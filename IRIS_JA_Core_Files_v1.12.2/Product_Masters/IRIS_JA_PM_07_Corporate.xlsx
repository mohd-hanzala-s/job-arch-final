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9.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19.xml" ContentType="application/vnd.openxmlformats-officedocument.spreadsheetml.worksheet+xml"/>
  <Override PartName="/xl/tables/table8.xml" ContentType="application/vnd.openxmlformats-officedocument.spreadsheetml.table+xml"/>
  <Override PartName="/xl/worksheets/sheet20.xml" ContentType="application/vnd.openxmlformats-officedocument.spreadsheetml.worksheet+xml"/>
  <Override PartName="/xl/tables/table9.xml" ContentType="application/vnd.openxmlformats-officedocument.spreadsheetml.table+xml"/>
  <Override PartName="/xl/worksheets/sheet21.xml" ContentType="application/vnd.openxmlformats-officedocument.spreadsheetml.worksheet+xml"/>
  <Override PartName="/xl/tables/table10.xml" ContentType="application/vnd.openxmlformats-officedocument.spreadsheetml.table+xml"/>
  <Override PartName="/xl/worksheets/sheet22.xml" ContentType="application/vnd.openxmlformats-officedocument.spreadsheetml.worksheet+xml"/>
  <Override PartName="/xl/tables/table11.xml" ContentType="application/vnd.openxmlformats-officedocument.spreadsheetml.table+xml"/>
  <Override PartName="/xl/worksheets/sheet23.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24.xml" ContentType="application/vnd.openxmlformats-officedocument.spreadsheetml.worksheet+xml"/>
  <Override PartName="/xl/tables/table14.xml" ContentType="application/vnd.openxmlformats-officedocument.spreadsheetml.table+xml"/>
  <Override PartName="/xl/worksheets/sheet25.xml" ContentType="application/vnd.openxmlformats-officedocument.spreadsheetml.worksheet+xml"/>
  <Override PartName="/xl/comments/comment6.xml" ContentType="application/vnd.openxmlformats-officedocument.spreadsheetml.comments+xml"/>
  <Override PartName="/xl/tables/table15.xml" ContentType="application/vnd.openxmlformats-officedocument.spreadsheetml.table+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 How It Works" sheetId="1" state="visible" r:id="rId1"/>
    <sheet xmlns:r="http://schemas.openxmlformats.org/officeDocument/2006/relationships" name="Contents" sheetId="2" state="visible" r:id="rId2"/>
    <sheet xmlns:r="http://schemas.openxmlformats.org/officeDocument/2006/relationships" name="1. Overview" sheetId="3" state="visible" r:id="rId3"/>
    <sheet xmlns:r="http://schemas.openxmlformats.org/officeDocument/2006/relationships" name="1a. Placements" sheetId="4" state="visible" r:id="rId4"/>
    <sheet xmlns:r="http://schemas.openxmlformats.org/officeDocument/2006/relationships" name="1b. Person Card" sheetId="5" state="visible" r:id="rId5"/>
    <sheet xmlns:r="http://schemas.openxmlformats.org/officeDocument/2006/relationships" name="1d. Weightage Matrix" sheetId="6" state="visible" r:id="rId6"/>
    <sheet xmlns:r="http://schemas.openxmlformats.org/officeDocument/2006/relationships" name="1e. Weight Benchmark" sheetId="7" state="visible" r:id="rId7"/>
    <sheet xmlns:r="http://schemas.openxmlformats.org/officeDocument/2006/relationships" name="2. Talent Mapping" sheetId="8" state="visible" r:id="rId8"/>
    <sheet xmlns:r="http://schemas.openxmlformats.org/officeDocument/2006/relationships" name="3. Raw Data &amp; Market Standards" sheetId="9" state="visible" r:id="rId9"/>
    <sheet xmlns:r="http://schemas.openxmlformats.org/officeDocument/2006/relationships" name="4. Role Competency Framework" sheetId="10" state="visible" r:id="rId10"/>
    <sheet xmlns:r="http://schemas.openxmlformats.org/officeDocument/2006/relationships" name="5. Capability Framework" sheetId="11" state="visible" r:id="rId11"/>
    <sheet xmlns:r="http://schemas.openxmlformats.org/officeDocument/2006/relationships" name="6. Role Catalogue" sheetId="12" state="visible" r:id="rId12"/>
    <sheet xmlns:r="http://schemas.openxmlformats.org/officeDocument/2006/relationships" name="7. Role Requirements" sheetId="13" state="visible" r:id="rId13"/>
    <sheet xmlns:r="http://schemas.openxmlformats.org/officeDocument/2006/relationships" name="8. Talent, Learning &amp; Mobility" sheetId="14" state="visible" r:id="rId14"/>
    <sheet xmlns:r="http://schemas.openxmlformats.org/officeDocument/2006/relationships" name="9. Calibration &amp; Decisions" sheetId="15" state="visible" r:id="rId15"/>
    <sheet xmlns:r="http://schemas.openxmlformats.org/officeDocument/2006/relationships" name="10. Framework &amp; Logic" sheetId="16" state="visible" r:id="rId16"/>
    <sheet xmlns:r="http://schemas.openxmlformats.org/officeDocument/2006/relationships" name="11. References &amp; Benchmarks" sheetId="17" state="visible" r:id="rId17"/>
    <sheet xmlns:r="http://schemas.openxmlformats.org/officeDocument/2006/relationships" name="12. Org Health" sheetId="18" state="visible" r:id="rId18"/>
    <sheet xmlns:r="http://schemas.openxmlformats.org/officeDocument/2006/relationships" name="13. Weight Sensitivity" sheetId="19" state="visible" r:id="rId19"/>
    <sheet xmlns:r="http://schemas.openxmlformats.org/officeDocument/2006/relationships" name="14. A3 Deep-Dive" sheetId="20" state="visible" r:id="rId20"/>
    <sheet xmlns:r="http://schemas.openxmlformats.org/officeDocument/2006/relationships" name="15. Succession" sheetId="21" state="visible" r:id="rId21"/>
    <sheet xmlns:r="http://schemas.openxmlformats.org/officeDocument/2006/relationships" name="15a. Critical Roles at Risk" sheetId="22" state="visible" r:id="rId22"/>
    <sheet xmlns:r="http://schemas.openxmlformats.org/officeDocument/2006/relationships" name="16. Role Definitions" sheetId="23" state="visible" r:id="rId23"/>
    <sheet xmlns:r="http://schemas.openxmlformats.org/officeDocument/2006/relationships" name="17. Data Gaps" sheetId="24" state="visible" r:id="rId24"/>
    <sheet xmlns:r="http://schemas.openxmlformats.org/officeDocument/2006/relationships" name="18. Career Ladder" sheetId="25" state="visible" r:id="rId25"/>
    <sheet xmlns:r="http://schemas.openxmlformats.org/officeDocument/2006/relationships" name="Card Lists" sheetId="26" state="hidden" r:id="rId26"/>
  </sheets>
  <definedNames>
    <definedName name="PC_Products">'Card Lists'!$A$1:$A$1</definedName>
    <definedName name="PC_D_1">'Card Lists'!$B$1:$B$8</definedName>
    <definedName name="PC_N_1">'Card Lists'!$D$1:$D$6</definedName>
    <definedName name="PC_I_1">'Card Lists'!$E$1:$E$6</definedName>
    <definedName name="PC_N_2">'Card Lists'!$D$7:$D$17</definedName>
    <definedName name="PC_I_2">'Card Lists'!$E$7:$E$17</definedName>
    <definedName name="PC_N_3">'Card Lists'!$D$18:$D$25</definedName>
    <definedName name="PC_I_3">'Card Lists'!$E$18:$E$25</definedName>
    <definedName name="PC_N_4">'Card Lists'!$D$26:$D$39</definedName>
    <definedName name="PC_I_4">'Card Lists'!$E$26:$E$39</definedName>
    <definedName name="PC_N_5">'Card Lists'!$D$40:$D$41</definedName>
    <definedName name="PC_I_5">'Card Lists'!$E$40:$E$41</definedName>
    <definedName name="PC_N_6">'Card Lists'!$D$42:$D$44</definedName>
    <definedName name="PC_I_6">'Card Lists'!$E$42:$E$44</definedName>
    <definedName name="PC_N_7">'Card Lists'!$D$45:$D$47</definedName>
    <definedName name="PC_I_7">'Card Lists'!$E$45:$E$47</definedName>
    <definedName name="PC_N_8">'Card Lists'!$D$48:$D$49</definedName>
    <definedName name="PC_I_8">'Card Lists'!$E$48:$E$49</definedName>
    <definedName name="PC_Keys">'Card Lists'!$F$1:$F$8</definedName>
    <definedName name="PC_NK">'Card Lists'!$H$1:$H$49</definedName>
    <definedName name="PC_NKIds">'Card Lists'!$I$1:$I$49</definedName>
    <definedName name="PC_NKRow">'Card Lists'!$J$1:$J$49</definedName>
    <definedName name="PC_ProdF">OFFSET('Card Lists'!$M$1,0,0,MAX(1,'Card Lists'!$L$1),1)</definedName>
    <definedName name="PC_DeptF">OFFSET('Card Lists'!$O$1,0,0,MAX(1,'Card Lists'!$N$8),1)</definedName>
    <definedName name="PC_NameF">OFFSET('Card Lists'!$Q$1,0,0,MAX(1,'Card Lists'!$P$49),1)</definedName>
    <definedName name="WM_EXP_AB">'1d. Weightage Matrix'!$B$6</definedName>
    <definedName name="WM_EXP_CE">'1d. Weightage Matrix'!$B$7</definedName>
    <definedName name="WM_C">'1d. Weightage Matrix'!$N$17:$N$35</definedName>
    <definedName name="WM_AU">'1d. Weightage Matrix'!$O$17:$O$35</definedName>
    <definedName name="WM_AC">'1d. Weightage Matrix'!$P$17:$P$35</definedName>
    <definedName name="WM_L">'1d. Weightage Matrix'!$Q$17:$Q$35</definedName>
    <definedName name="WM_E">'1d. Weightage Matrix'!$R$17:$R$35</definedName>
    <definedName name="WM_BI">'1d. Weightage Matrix'!$S$17:$S$35</definedName>
    <definedName name="WM_KEY">'1d. Weightage Matrix'!$A$17:$A$35</definedName>
    <definedName name="_xlnm.Print_Titles" localSheetId="3">'1a. Placements'!$5:$6</definedName>
    <definedName name="_xlnm.Print_Area" localSheetId="4">'1b. Person Card'!$A$1:$H$58</definedName>
    <definedName name="_xlnm.Print_Titles" localSheetId="5">'1d. Weightage Matrix'!$15:$16</definedName>
    <definedName name="_xlnm.Print_Titles" localSheetId="7">'2. Talent Mapping'!$5:$6</definedName>
    <definedName name="_xlnm.Print_Titles" localSheetId="8">'3. Raw Data &amp; Market Standards'!$5:$6</definedName>
    <definedName name="_xlnm._FilterDatabase" localSheetId="11" hidden="1">'6. Role Catalogue'!$A$6:$AY$44</definedName>
    <definedName name="_xlnm.Print_Titles" localSheetId="11">'6. Role Catalogue'!$5:$6</definedName>
    <definedName name="_xlnm.Print_Titles" localSheetId="13">'8. Talent, Learning &amp; Mobility'!$5:$6</definedName>
    <definedName name="_xlnm.Print_Titles" localSheetId="17">'12. Org Health'!$5:$6</definedName>
    <definedName name="_xlnm.Print_Titles" localSheetId="18">'13. Weight Sensitivity'!$39:$40</definedName>
    <definedName name="_xlnm.Print_Titles" localSheetId="19">'14. A3 Deep-Dive'!$5:$6</definedName>
    <definedName name="_xlnm.Print_Titles" localSheetId="20">'15. Succession'!$4:$5</definedName>
    <definedName name="_xlnm.Print_Titles" localSheetId="21">'15a. Critical Roles at Risk'!$4:$5</definedName>
    <definedName name="_xlnm.Print_Titles" localSheetId="22">'16. Role Definitions'!$5:$6</definedName>
    <definedName name="_xlnm.Print_Titles" localSheetId="23">'17. Data Gaps'!$4:$5</definedName>
    <definedName name="_xlnm.Print_Titles" localSheetId="24">'18. Career Ladder'!$5:$6</definedName>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dd-mmm-yyyy"/>
  </numFmts>
  <fonts count="43">
    <font>
      <name val="Calibri"/>
      <family val="2"/>
      <color theme="1"/>
      <sz val="11"/>
      <scheme val="minor"/>
    </font>
    <font>
      <name val="Calibri"/>
      <b val="1"/>
      <color rgb="00FFFFFF"/>
      <sz val="18"/>
    </font>
    <font>
      <name val="Calibri"/>
      <i val="1"/>
      <color rgb="00404040"/>
      <sz val="10"/>
    </font>
    <font>
      <name val="Calibri"/>
      <color rgb="007F7F7F"/>
      <sz val="8"/>
    </font>
    <font>
      <name val="Calibri"/>
      <b val="1"/>
      <color rgb="00FFFFFF"/>
      <sz val="12"/>
    </font>
    <font>
      <name val="Calibri"/>
      <b val="1"/>
      <color rgb="00FFFFFF"/>
      <sz val="9"/>
    </font>
    <font>
      <name val="Calibri"/>
      <b val="1"/>
      <color rgb="001F3864"/>
      <sz val="18"/>
    </font>
    <font>
      <name val="Calibri"/>
      <i val="1"/>
      <color rgb="00595959"/>
      <sz val="10"/>
    </font>
    <font>
      <name val="Calibri"/>
      <b val="1"/>
      <color rgb="00FFFFFF"/>
      <sz val="10"/>
    </font>
    <font>
      <name val="Calibri"/>
      <b val="1"/>
      <sz val="10"/>
    </font>
    <font>
      <name val="Calibri"/>
      <sz val="10"/>
    </font>
    <font>
      <name val="Calibri"/>
      <b val="1"/>
      <color rgb="009C0006"/>
      <sz val="10"/>
    </font>
    <font>
      <name val="Calibri"/>
      <b val="1"/>
      <color rgb="001F3864"/>
      <sz val="10"/>
    </font>
    <font>
      <name val="Calibri"/>
      <b val="1"/>
      <color rgb="00833C0B"/>
      <sz val="10"/>
    </font>
    <font>
      <name val="Calibri"/>
      <b val="1"/>
      <color rgb="00006100"/>
      <sz val="10"/>
    </font>
    <font>
      <name val="Calibri"/>
      <b val="1"/>
      <color rgb="009C5700"/>
      <sz val="10"/>
    </font>
    <font>
      <name val="Calibri"/>
      <b val="1"/>
      <color rgb="001F4E79"/>
      <sz val="10"/>
    </font>
    <font>
      <name val="Calibri"/>
      <b val="1"/>
      <color rgb="00375623"/>
      <sz val="10"/>
    </font>
    <font>
      <name val="Calibri"/>
      <b val="1"/>
      <color rgb="007F6000"/>
      <sz val="10"/>
    </font>
    <font>
      <name val="Calibri"/>
      <color rgb="009C0006"/>
      <sz val="10"/>
    </font>
    <font>
      <name val="Calibri"/>
      <b val="1"/>
      <color rgb="00404040"/>
      <sz val="10"/>
    </font>
    <font>
      <name val="Calibri"/>
      <b val="1"/>
      <color rgb="001F3864"/>
      <sz val="9"/>
    </font>
    <font>
      <name val="Calibri"/>
      <b val="1"/>
      <color rgb="00833C0B"/>
      <sz val="9"/>
    </font>
    <font>
      <name val="Calibri"/>
      <b val="1"/>
      <color rgb="00006100"/>
      <sz val="9"/>
    </font>
    <font>
      <name val="Calibri"/>
      <b val="1"/>
      <color rgb="009C5700"/>
      <sz val="9"/>
    </font>
    <font>
      <name val="Calibri"/>
      <b val="1"/>
      <color rgb="001F4E79"/>
      <sz val="9"/>
    </font>
    <font>
      <name val="Calibri"/>
      <b val="1"/>
      <color rgb="00375623"/>
      <sz val="9"/>
    </font>
    <font>
      <name val="Calibri"/>
      <b val="1"/>
      <color rgb="009C0006"/>
      <sz val="9"/>
    </font>
    <font>
      <name val="Calibri"/>
      <b val="1"/>
      <color rgb="007F6000"/>
      <sz val="9"/>
    </font>
    <font>
      <name val="Calibri"/>
      <i val="1"/>
      <sz val="10"/>
    </font>
    <font>
      <name val="Calibri"/>
      <color rgb="001F4E79"/>
      <sz val="10"/>
    </font>
    <font>
      <name val="Calibri"/>
      <b val="1"/>
      <color rgb="00C00000"/>
      <sz val="10"/>
    </font>
    <font>
      <name val="Calibri"/>
      <color rgb="009C5700"/>
      <sz val="10"/>
    </font>
    <font>
      <name val="Calibri"/>
      <b val="1"/>
      <color rgb="001F3864"/>
      <sz val="11"/>
    </font>
    <font>
      <name val="Calibri"/>
      <b val="1"/>
      <sz val="11"/>
    </font>
    <font>
      <name val="Calibri"/>
      <b val="1"/>
      <color rgb="00595959"/>
      <sz val="10"/>
    </font>
    <font>
      <name val="Calibri"/>
      <sz val="11"/>
    </font>
    <font>
      <name val="Calibri"/>
      <b val="1"/>
      <color rgb="001F3864"/>
      <sz val="14"/>
    </font>
    <font>
      <name val="Calibri"/>
      <b val="1"/>
      <color rgb="00404040"/>
      <sz val="11"/>
    </font>
    <font>
      <name val="Consolas"/>
      <color rgb="002E75B6"/>
      <sz val="10"/>
    </font>
    <font>
      <name val="Calibri"/>
      <b val="1"/>
      <sz val="12"/>
    </font>
    <font>
      <name val="Calibri"/>
      <b val="1"/>
      <color rgb="000563C1"/>
      <sz val="11"/>
      <u val="single"/>
    </font>
    <font>
      <name val="Calibri"/>
      <b val="1"/>
      <color rgb="000563C1"/>
      <sz val="10"/>
      <u val="single"/>
    </font>
  </fonts>
  <fills count="38">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F2F2F2"/>
      </patternFill>
    </fill>
    <fill>
      <patternFill patternType="solid">
        <fgColor rgb="00F8CBAD"/>
      </patternFill>
    </fill>
    <fill>
      <patternFill patternType="solid">
        <fgColor rgb="00E2EFDA"/>
      </patternFill>
    </fill>
    <fill>
      <patternFill patternType="solid">
        <fgColor rgb="00DDEBF7"/>
      </patternFill>
    </fill>
    <fill>
      <patternFill patternType="solid">
        <fgColor rgb="00C6E0B4"/>
      </patternFill>
    </fill>
    <fill>
      <patternFill patternType="solid">
        <fgColor rgb="00D0E8E5"/>
      </patternFill>
    </fill>
    <fill>
      <patternFill patternType="solid">
        <fgColor rgb="00A9D08E"/>
      </patternFill>
    </fill>
    <fill>
      <patternFill patternType="solid">
        <fgColor rgb="00E4DFEC"/>
      </patternFill>
    </fill>
    <fill>
      <patternFill patternType="solid">
        <fgColor rgb="00E8DCC8"/>
      </patternFill>
    </fill>
    <fill>
      <patternFill patternType="solid">
        <fgColor rgb="00EDEDED"/>
      </patternFill>
    </fill>
    <fill>
      <patternFill patternType="solid">
        <fgColor rgb="00FFC7CE"/>
      </patternFill>
    </fill>
    <fill>
      <patternFill patternType="solid">
        <fgColor rgb="00C6EFCE"/>
      </patternFill>
    </fill>
    <fill>
      <patternFill patternType="solid">
        <fgColor rgb="00FFEB9C"/>
      </patternFill>
    </fill>
    <fill>
      <patternFill patternType="solid">
        <fgColor rgb="00FFF2CC"/>
      </patternFill>
    </fill>
    <fill>
      <patternFill patternType="solid">
        <fgColor rgb="00548235"/>
      </patternFill>
    </fill>
    <fill>
      <patternFill patternType="solid">
        <fgColor rgb="007030A0"/>
      </patternFill>
    </fill>
    <fill>
      <patternFill patternType="solid">
        <fgColor rgb="00C55A11"/>
      </patternFill>
    </fill>
    <fill>
      <patternFill patternType="solid">
        <fgColor rgb="00806000"/>
      </patternFill>
    </fill>
    <fill>
      <patternFill patternType="solid">
        <fgColor rgb="00375623"/>
      </patternFill>
    </fill>
    <fill>
      <patternFill patternType="solid">
        <fgColor rgb="00843C0C"/>
      </patternFill>
    </fill>
    <fill>
      <patternFill patternType="solid">
        <fgColor rgb="003A3838"/>
      </patternFill>
    </fill>
    <fill>
      <patternFill patternType="solid">
        <fgColor rgb="00595959"/>
      </patternFill>
    </fill>
    <fill>
      <patternFill patternType="solid">
        <fgColor rgb="00EEF6EA"/>
      </patternFill>
    </fill>
    <fill>
      <patternFill patternType="solid">
        <fgColor rgb="00EAF3FB"/>
      </patternFill>
    </fill>
    <fill>
      <patternFill patternType="solid">
        <fgColor rgb="00EAF2E6"/>
      </patternFill>
    </fill>
    <fill>
      <patternFill patternType="solid">
        <fgColor rgb="00F4EEF9"/>
      </patternFill>
    </fill>
    <fill>
      <patternFill patternType="solid">
        <fgColor rgb="00F8F4E6"/>
      </patternFill>
    </fill>
    <fill>
      <patternFill patternType="solid">
        <fgColor rgb="00F8EDE7"/>
      </patternFill>
    </fill>
    <fill>
      <patternFill patternType="solid">
        <fgColor rgb="00FCF1EA"/>
      </patternFill>
    </fill>
    <fill>
      <patternFill patternType="solid">
        <fgColor rgb="00EEF2F9"/>
      </patternFill>
    </fill>
    <fill>
      <patternFill patternType="solid">
        <fgColor rgb="00FFFFFF"/>
      </patternFill>
    </fill>
    <fill>
      <patternFill patternType="solid">
        <fgColor rgb="00808080"/>
      </patternFill>
    </fill>
    <fill>
      <patternFill patternType="solid">
        <fgColor rgb="00FCE4D6"/>
      </patternFill>
    </fill>
  </fills>
  <borders count="24">
    <border>
      <left/>
      <right/>
      <top/>
      <bottom/>
      <diagonal/>
    </border>
    <border>
      <left style="thin">
        <color rgb="00BFBFBF"/>
      </left>
      <right style="thin">
        <color rgb="00BFBFBF"/>
      </right>
      <top style="thin">
        <color rgb="00BFBFBF"/>
      </top>
      <bottom style="thin">
        <color rgb="00BFBFBF"/>
      </bottom>
    </border>
    <border>
      <left style="medium">
        <color rgb="00548235"/>
      </left>
      <right style="thin">
        <color rgb="00BFBFBF"/>
      </right>
      <top style="thin">
        <color rgb="00BFBFBF"/>
      </top>
      <bottom style="thin">
        <color rgb="00BFBFBF"/>
      </bottom>
    </border>
    <border>
      <left style="medium">
        <color rgb="002E75B6"/>
      </left>
      <right style="thin">
        <color rgb="00BFBFBF"/>
      </right>
      <top style="thin">
        <color rgb="00BFBFBF"/>
      </top>
      <bottom style="thin">
        <color rgb="00BFBFBF"/>
      </bottom>
    </border>
    <border>
      <left style="medium">
        <color rgb="00375623"/>
      </left>
      <right style="thin">
        <color rgb="00BFBFBF"/>
      </right>
      <top style="thin">
        <color rgb="00BFBFBF"/>
      </top>
      <bottom style="thin">
        <color rgb="00BFBFBF"/>
      </bottom>
    </border>
    <border>
      <left style="medium">
        <color rgb="007030A0"/>
      </left>
      <right style="thin">
        <color rgb="00BFBFBF"/>
      </right>
      <top style="thin">
        <color rgb="00BFBFBF"/>
      </top>
      <bottom style="thin">
        <color rgb="00BFBFBF"/>
      </bottom>
    </border>
    <border>
      <left style="medium">
        <color rgb="003A3838"/>
      </left>
      <right style="thin">
        <color rgb="00BFBFBF"/>
      </right>
      <top style="thin">
        <color rgb="00BFBFBF"/>
      </top>
      <bottom style="thin">
        <color rgb="00BFBFBF"/>
      </bottom>
    </border>
    <border>
      <left style="medium">
        <color rgb="00806000"/>
      </left>
      <right style="thin">
        <color rgb="00BFBFBF"/>
      </right>
      <top style="thin">
        <color rgb="00BFBFBF"/>
      </top>
      <bottom style="thin">
        <color rgb="00BFBFBF"/>
      </bottom>
    </border>
    <border>
      <left style="medium">
        <color rgb="001F3864"/>
      </left>
      <right style="thin">
        <color rgb="00BFBFBF"/>
      </right>
      <top style="thin">
        <color rgb="00BFBFBF"/>
      </top>
      <bottom style="thin">
        <color rgb="00BFBFBF"/>
      </bottom>
    </border>
    <border>
      <left style="medium">
        <color rgb="00843C0C"/>
      </left>
      <right style="thin">
        <color rgb="00BFBFBF"/>
      </right>
      <top style="thin">
        <color rgb="00BFBFBF"/>
      </top>
      <bottom style="thin">
        <color rgb="00BFBFBF"/>
      </bottom>
    </border>
    <border>
      <left style="medium">
        <color rgb="00C55A11"/>
      </left>
      <right style="thin">
        <color rgb="00BFBFBF"/>
      </right>
      <top style="thin">
        <color rgb="00BFBFBF"/>
      </top>
      <bottom style="thin">
        <color rgb="00BFBFBF"/>
      </bottom>
    </border>
    <border>
      <left style="medium">
        <color rgb="00595959"/>
      </left>
      <right style="thin">
        <color rgb="00BFBFBF"/>
      </right>
      <top style="thin">
        <color rgb="00BFBFBF"/>
      </top>
      <bottom style="thin">
        <color rgb="00BFBFBF"/>
      </bottom>
    </border>
    <border>
      <left style="medium">
        <color rgb="00548235"/>
      </left>
      <right/>
      <top/>
      <bottom/>
    </border>
    <border>
      <left style="medium">
        <color rgb="007030A0"/>
      </left>
      <right/>
      <top/>
      <bottom/>
    </border>
    <border>
      <left style="medium">
        <color rgb="00375623"/>
      </left>
      <right/>
      <top/>
      <bottom/>
    </border>
    <border>
      <left style="medium">
        <color rgb="00843C0C"/>
      </left>
      <right/>
      <top/>
      <bottom/>
    </border>
    <border>
      <left style="medium">
        <color rgb="001F3864"/>
      </left>
      <right/>
      <top/>
      <bottom/>
    </border>
    <border>
      <left style="medium">
        <color rgb="002E75B6"/>
      </left>
      <right/>
      <top/>
      <bottom/>
    </border>
    <border>
      <left style="medium">
        <color rgb="00C55A11"/>
      </left>
      <right/>
      <top/>
      <bottom/>
    </border>
    <border>
      <left style="medium">
        <color rgb="00806000"/>
      </left>
      <right/>
      <top/>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46">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indent="1"/>
    </xf>
    <xf numFmtId="0" fontId="3" fillId="3" borderId="0" applyAlignment="1" pivotButton="0" quotePrefix="0" xfId="0">
      <alignment indent="1"/>
    </xf>
    <xf numFmtId="0" fontId="0" fillId="3" borderId="0" pivotButton="0" quotePrefix="0" xfId="0"/>
    <xf numFmtId="0" fontId="4" fillId="2" borderId="0" applyAlignment="1" pivotButton="0" quotePrefix="0" xfId="0">
      <alignment vertical="center"/>
    </xf>
    <xf numFmtId="0" fontId="5" fillId="4" borderId="1" applyAlignment="1" pivotButton="0" quotePrefix="0" xfId="0">
      <alignment horizontal="center" vertical="top" wrapText="1"/>
    </xf>
    <xf numFmtId="0" fontId="0" fillId="4" borderId="1" pivotButton="0" quotePrefix="0" xfId="0"/>
    <xf numFmtId="0" fontId="6" fillId="5" borderId="1" applyAlignment="1" pivotButton="0" quotePrefix="0" xfId="0">
      <alignment horizontal="center" vertical="top" wrapText="1"/>
    </xf>
    <xf numFmtId="0" fontId="0" fillId="5" borderId="1" pivotButton="0" quotePrefix="0" xfId="0"/>
    <xf numFmtId="0" fontId="7" fillId="0" borderId="0" applyAlignment="1" pivotButton="0" quotePrefix="0" xfId="0">
      <alignment vertical="top" wrapText="1"/>
    </xf>
    <xf numFmtId="0" fontId="8" fillId="4" borderId="1" applyAlignment="1" pivotButton="0" quotePrefix="0" xfId="0">
      <alignment horizontal="center" vertical="top" wrapText="1"/>
    </xf>
    <xf numFmtId="0" fontId="9" fillId="0" borderId="1" applyAlignment="1" pivotButton="0" quotePrefix="0" xfId="0">
      <alignment vertical="top" wrapText="1"/>
    </xf>
    <xf numFmtId="0" fontId="0" fillId="0" borderId="1" pivotButton="0" quotePrefix="0" xfId="0"/>
    <xf numFmtId="0" fontId="10" fillId="0" borderId="1" applyAlignment="1" pivotButton="0" quotePrefix="0" xfId="0">
      <alignment horizontal="center" vertical="top" wrapText="1"/>
    </xf>
    <xf numFmtId="0" fontId="10" fillId="0" borderId="1" applyAlignment="1" pivotButton="0" quotePrefix="0" xfId="0">
      <alignment vertical="top" wrapText="1"/>
    </xf>
    <xf numFmtId="0" fontId="9" fillId="0" borderId="0" applyAlignment="1" pivotButton="0" quotePrefix="0" xfId="0">
      <alignment vertical="top" wrapText="1"/>
    </xf>
    <xf numFmtId="0" fontId="10" fillId="6" borderId="1" applyAlignment="1" pivotButton="0" quotePrefix="0" xfId="0">
      <alignment vertical="top" wrapText="1"/>
    </xf>
    <xf numFmtId="0" fontId="0" fillId="6" borderId="1" pivotButton="0" quotePrefix="0" xfId="0"/>
    <xf numFmtId="0" fontId="10" fillId="6" borderId="1" applyAlignment="1" pivotButton="0" quotePrefix="0" xfId="0">
      <alignment horizontal="center" vertical="top" wrapText="1"/>
    </xf>
    <xf numFmtId="0" fontId="10" fillId="7" borderId="1" applyAlignment="1" pivotButton="0" quotePrefix="0" xfId="0">
      <alignment vertical="top" wrapText="1"/>
    </xf>
    <xf numFmtId="0" fontId="0" fillId="7" borderId="1" pivotButton="0" quotePrefix="0" xfId="0"/>
    <xf numFmtId="0" fontId="10" fillId="7" borderId="1" applyAlignment="1" pivotButton="0" quotePrefix="0" xfId="0">
      <alignment horizontal="center" vertical="top" wrapText="1"/>
    </xf>
    <xf numFmtId="0" fontId="9" fillId="8" borderId="1" applyAlignment="1" pivotButton="0" quotePrefix="0" xfId="0">
      <alignment vertical="top" wrapText="1"/>
    </xf>
    <xf numFmtId="0" fontId="0" fillId="8" borderId="1" pivotButton="0" quotePrefix="0" xfId="0"/>
    <xf numFmtId="0" fontId="10" fillId="8" borderId="1" applyAlignment="1" pivotButton="0" quotePrefix="0" xfId="0">
      <alignment horizontal="center" vertical="top" wrapText="1"/>
    </xf>
    <xf numFmtId="0" fontId="9" fillId="7" borderId="1" applyAlignment="1" pivotButton="0" quotePrefix="0" xfId="0">
      <alignment vertical="top" wrapText="1"/>
    </xf>
    <xf numFmtId="0" fontId="9" fillId="9" borderId="1" applyAlignment="1" pivotButton="0" quotePrefix="0" xfId="0">
      <alignment vertical="top" wrapText="1"/>
    </xf>
    <xf numFmtId="0" fontId="0" fillId="9" borderId="1" pivotButton="0" quotePrefix="0" xfId="0"/>
    <xf numFmtId="0" fontId="10" fillId="9" borderId="1" applyAlignment="1" pivotButton="0" quotePrefix="0" xfId="0">
      <alignment horizontal="center" vertical="top" wrapText="1"/>
    </xf>
    <xf numFmtId="0" fontId="9" fillId="10" borderId="1" applyAlignment="1" pivotButton="0" quotePrefix="0" xfId="0">
      <alignment vertical="top" wrapText="1"/>
    </xf>
    <xf numFmtId="0" fontId="0" fillId="10" borderId="1" pivotButton="0" quotePrefix="0" xfId="0"/>
    <xf numFmtId="0" fontId="10" fillId="10" borderId="1" applyAlignment="1" pivotButton="0" quotePrefix="0" xfId="0">
      <alignment horizontal="center" vertical="top" wrapText="1"/>
    </xf>
    <xf numFmtId="0" fontId="9" fillId="11" borderId="1" applyAlignment="1" pivotButton="0" quotePrefix="0" xfId="0">
      <alignment vertical="top" wrapText="1"/>
    </xf>
    <xf numFmtId="0" fontId="0" fillId="11" borderId="1" pivotButton="0" quotePrefix="0" xfId="0"/>
    <xf numFmtId="0" fontId="10" fillId="11" borderId="1" applyAlignment="1" pivotButton="0" quotePrefix="0" xfId="0">
      <alignment horizontal="center" vertical="top" wrapText="1"/>
    </xf>
    <xf numFmtId="0" fontId="9" fillId="12" borderId="1" applyAlignment="1" pivotButton="0" quotePrefix="0" xfId="0">
      <alignment vertical="top" wrapText="1"/>
    </xf>
    <xf numFmtId="0" fontId="0" fillId="12" borderId="1" pivotButton="0" quotePrefix="0" xfId="0"/>
    <xf numFmtId="0" fontId="10" fillId="12" borderId="1" applyAlignment="1" pivotButton="0" quotePrefix="0" xfId="0">
      <alignment horizontal="center" vertical="top" wrapText="1"/>
    </xf>
    <xf numFmtId="0" fontId="9" fillId="13" borderId="1" applyAlignment="1" pivotButton="0" quotePrefix="0" xfId="0">
      <alignment vertical="top" wrapText="1"/>
    </xf>
    <xf numFmtId="0" fontId="0" fillId="13" borderId="1" pivotButton="0" quotePrefix="0" xfId="0"/>
    <xf numFmtId="0" fontId="10" fillId="13" borderId="1" applyAlignment="1" pivotButton="0" quotePrefix="0" xfId="0">
      <alignment horizontal="center" vertical="top" wrapText="1"/>
    </xf>
    <xf numFmtId="0" fontId="9" fillId="14" borderId="1" applyAlignment="1" pivotButton="0" quotePrefix="0" xfId="0">
      <alignment vertical="top" wrapText="1"/>
    </xf>
    <xf numFmtId="0" fontId="0" fillId="14" borderId="1" pivotButton="0" quotePrefix="0" xfId="0"/>
    <xf numFmtId="0" fontId="10" fillId="14" borderId="1" applyAlignment="1" pivotButton="0" quotePrefix="0" xfId="0">
      <alignment horizontal="center" vertical="top" wrapText="1"/>
    </xf>
    <xf numFmtId="0" fontId="9" fillId="5" borderId="1" applyAlignment="1" pivotButton="0" quotePrefix="0" xfId="0">
      <alignment vertical="top" wrapText="1"/>
    </xf>
    <xf numFmtId="0" fontId="10" fillId="5" borderId="1" applyAlignment="1" pivotButton="0" quotePrefix="0" xfId="0">
      <alignment horizontal="center" vertical="top" wrapText="1"/>
    </xf>
    <xf numFmtId="0" fontId="11" fillId="15" borderId="1" applyAlignment="1" pivotButton="0" quotePrefix="0" xfId="0">
      <alignment vertical="top" wrapText="1"/>
    </xf>
    <xf numFmtId="0" fontId="12" fillId="3" borderId="1" applyAlignment="1" pivotButton="0" quotePrefix="0" xfId="0">
      <alignment vertical="center" indent="1"/>
    </xf>
    <xf numFmtId="0" fontId="0" fillId="3" borderId="1" pivotButton="0" quotePrefix="0" xfId="0"/>
    <xf numFmtId="0" fontId="13" fillId="6" borderId="1" applyAlignment="1" pivotButton="0" quotePrefix="0" xfId="0">
      <alignment vertical="center" indent="1"/>
    </xf>
    <xf numFmtId="0" fontId="14" fillId="16" borderId="1" applyAlignment="1" pivotButton="0" quotePrefix="0" xfId="0">
      <alignment vertical="center" indent="1"/>
    </xf>
    <xf numFmtId="0" fontId="0" fillId="16" borderId="1" pivotButton="0" quotePrefix="0" xfId="0"/>
    <xf numFmtId="0" fontId="15" fillId="17" borderId="1" applyAlignment="1" pivotButton="0" quotePrefix="0" xfId="0">
      <alignment vertical="center" indent="1"/>
    </xf>
    <xf numFmtId="0" fontId="0" fillId="17" borderId="1" pivotButton="0" quotePrefix="0" xfId="0"/>
    <xf numFmtId="0" fontId="16" fillId="8" borderId="1" applyAlignment="1" pivotButton="0" quotePrefix="0" xfId="0">
      <alignment vertical="center" indent="1"/>
    </xf>
    <xf numFmtId="0" fontId="17" fillId="9" borderId="1" applyAlignment="1" pivotButton="0" quotePrefix="0" xfId="0">
      <alignment vertical="center" indent="1"/>
    </xf>
    <xf numFmtId="0" fontId="11" fillId="15" borderId="1" applyAlignment="1" pivotButton="0" quotePrefix="0" xfId="0">
      <alignment vertical="center" indent="1"/>
    </xf>
    <xf numFmtId="0" fontId="0" fillId="15" borderId="1" pivotButton="0" quotePrefix="0" xfId="0"/>
    <xf numFmtId="0" fontId="18" fillId="18" borderId="1" applyAlignment="1" pivotButton="0" quotePrefix="0" xfId="0">
      <alignment vertical="center" indent="1"/>
    </xf>
    <xf numFmtId="0" fontId="0" fillId="18" borderId="1" pivotButton="0" quotePrefix="0" xfId="0"/>
    <xf numFmtId="0" fontId="21" fillId="3" borderId="0" applyAlignment="1" pivotButton="0" quotePrefix="0" xfId="0">
      <alignment horizontal="center" vertical="center" wrapText="1"/>
    </xf>
    <xf numFmtId="0" fontId="22" fillId="6" borderId="0" applyAlignment="1" pivotButton="0" quotePrefix="0" xfId="0">
      <alignment horizontal="center" vertical="center" wrapText="1"/>
    </xf>
    <xf numFmtId="0" fontId="0" fillId="6" borderId="0" pivotButton="0" quotePrefix="0" xfId="0"/>
    <xf numFmtId="0" fontId="23" fillId="16" borderId="0" applyAlignment="1" pivotButton="0" quotePrefix="0" xfId="0">
      <alignment horizontal="center" vertical="center" wrapText="1"/>
    </xf>
    <xf numFmtId="0" fontId="24" fillId="17" borderId="0" applyAlignment="1" pivotButton="0" quotePrefix="0" xfId="0">
      <alignment horizontal="center" vertical="center" wrapText="1"/>
    </xf>
    <xf numFmtId="0" fontId="25" fillId="8" borderId="0" applyAlignment="1" pivotButton="0" quotePrefix="0" xfId="0">
      <alignment horizontal="center" vertical="center" wrapText="1"/>
    </xf>
    <xf numFmtId="0" fontId="26" fillId="9" borderId="0" applyAlignment="1" pivotButton="0" quotePrefix="0" xfId="0">
      <alignment horizontal="center" vertical="center" wrapText="1"/>
    </xf>
    <xf numFmtId="0" fontId="27" fillId="15" borderId="0" applyAlignment="1" pivotButton="0" quotePrefix="0" xfId="0">
      <alignment horizontal="center" vertical="center" wrapText="1"/>
    </xf>
    <xf numFmtId="0" fontId="0" fillId="15" borderId="0" pivotButton="0" quotePrefix="0" xfId="0"/>
    <xf numFmtId="0" fontId="28" fillId="18" borderId="0" applyAlignment="1" pivotButton="0" quotePrefix="0" xfId="0">
      <alignment horizontal="center" vertical="center" wrapText="1"/>
    </xf>
    <xf numFmtId="0" fontId="0" fillId="18" borderId="0" pivotButton="0" quotePrefix="0" xfId="0"/>
    <xf numFmtId="0" fontId="4" fillId="2" borderId="0" applyAlignment="1" pivotButton="0" quotePrefix="0" xfId="0">
      <alignment vertical="center" wrapText="1"/>
    </xf>
    <xf numFmtId="0" fontId="4" fillId="4" borderId="0" applyAlignment="1" pivotButton="0" quotePrefix="0" xfId="0">
      <alignment vertical="center" wrapText="1"/>
    </xf>
    <xf numFmtId="0" fontId="0" fillId="4" borderId="0" pivotButton="0" quotePrefix="0" xfId="0"/>
    <xf numFmtId="0" fontId="4" fillId="19" borderId="0" applyAlignment="1" pivotButton="0" quotePrefix="0" xfId="0">
      <alignment vertical="center" wrapText="1"/>
    </xf>
    <xf numFmtId="0" fontId="4" fillId="20" borderId="0" applyAlignment="1" pivotButton="0" quotePrefix="0" xfId="0">
      <alignment vertical="center" wrapText="1"/>
    </xf>
    <xf numFmtId="0" fontId="0" fillId="20" borderId="0" pivotButton="0" quotePrefix="0" xfId="0"/>
    <xf numFmtId="0" fontId="4" fillId="21" borderId="0" applyAlignment="1" pivotButton="0" quotePrefix="0" xfId="0">
      <alignment vertical="center" wrapText="1"/>
    </xf>
    <xf numFmtId="0" fontId="0" fillId="21" borderId="0" pivotButton="0" quotePrefix="0" xfId="0"/>
    <xf numFmtId="0" fontId="4" fillId="22" borderId="0" applyAlignment="1" pivotButton="0" quotePrefix="0" xfId="0">
      <alignment vertical="center" wrapText="1"/>
    </xf>
    <xf numFmtId="0" fontId="0" fillId="22" borderId="0" pivotButton="0" quotePrefix="0" xfId="0"/>
    <xf numFmtId="0" fontId="4" fillId="23" borderId="0" applyAlignment="1" pivotButton="0" quotePrefix="0" xfId="0">
      <alignment vertical="center" wrapText="1"/>
    </xf>
    <xf numFmtId="0" fontId="0" fillId="23" borderId="0" pivotButton="0" quotePrefix="0" xfId="0"/>
    <xf numFmtId="0" fontId="4" fillId="24" borderId="0" applyAlignment="1" pivotButton="0" quotePrefix="0" xfId="0">
      <alignment vertical="center" wrapText="1"/>
    </xf>
    <xf numFmtId="0" fontId="0" fillId="24" borderId="0" pivotButton="0" quotePrefix="0" xfId="0"/>
    <xf numFmtId="0" fontId="4" fillId="25" borderId="0" applyAlignment="1" pivotButton="0" quotePrefix="0" xfId="0">
      <alignment vertical="center" wrapText="1"/>
    </xf>
    <xf numFmtId="0" fontId="0" fillId="25" borderId="0" pivotButton="0" quotePrefix="0" xfId="0"/>
    <xf numFmtId="0" fontId="4" fillId="26" borderId="0" applyAlignment="1" pivotButton="0" quotePrefix="0" xfId="0">
      <alignment vertical="center" wrapText="1"/>
    </xf>
    <xf numFmtId="0" fontId="0" fillId="26" borderId="0" pivotButton="0" quotePrefix="0" xfId="0"/>
    <xf numFmtId="0" fontId="8" fillId="2" borderId="8" applyAlignment="1" pivotButton="0" quotePrefix="0" xfId="0">
      <alignment horizontal="center" vertical="top" wrapText="1"/>
    </xf>
    <xf numFmtId="0" fontId="8" fillId="2" borderId="1" applyAlignment="1" pivotButton="0" quotePrefix="0" xfId="0">
      <alignment horizontal="center" vertical="top" wrapText="1"/>
    </xf>
    <xf numFmtId="0" fontId="8" fillId="4" borderId="3" applyAlignment="1" pivotButton="0" quotePrefix="0" xfId="0">
      <alignment horizontal="center" vertical="top" wrapText="1"/>
    </xf>
    <xf numFmtId="0" fontId="8" fillId="19" borderId="2" applyAlignment="1" pivotButton="0" quotePrefix="0" xfId="0">
      <alignment horizontal="center" vertical="top" wrapText="1"/>
    </xf>
    <xf numFmtId="0" fontId="8" fillId="20" borderId="5" applyAlignment="1" pivotButton="0" quotePrefix="0" xfId="0">
      <alignment horizontal="center" vertical="top" wrapText="1"/>
    </xf>
    <xf numFmtId="0" fontId="8" fillId="20" borderId="1" applyAlignment="1" pivotButton="0" quotePrefix="0" xfId="0">
      <alignment horizontal="center" vertical="top" wrapText="1"/>
    </xf>
    <xf numFmtId="0" fontId="8" fillId="21" borderId="10" applyAlignment="1" pivotButton="0" quotePrefix="0" xfId="0">
      <alignment horizontal="center" vertical="top" wrapText="1"/>
    </xf>
    <xf numFmtId="0" fontId="8" fillId="21" borderId="1" applyAlignment="1" pivotButton="0" quotePrefix="0" xfId="0">
      <alignment horizontal="center" vertical="top" wrapText="1"/>
    </xf>
    <xf numFmtId="0" fontId="8" fillId="22" borderId="7" applyAlignment="1" pivotButton="0" quotePrefix="0" xfId="0">
      <alignment horizontal="center" vertical="top" wrapText="1"/>
    </xf>
    <xf numFmtId="0" fontId="8" fillId="22" borderId="1" applyAlignment="1" pivotButton="0" quotePrefix="0" xfId="0">
      <alignment horizontal="center" vertical="top" wrapText="1"/>
    </xf>
    <xf numFmtId="0" fontId="8" fillId="23" borderId="4" applyAlignment="1" pivotButton="0" quotePrefix="0" xfId="0">
      <alignment horizontal="center" vertical="top" wrapText="1"/>
    </xf>
    <xf numFmtId="0" fontId="8" fillId="23" borderId="1" applyAlignment="1" pivotButton="0" quotePrefix="0" xfId="0">
      <alignment horizontal="center" vertical="top" wrapText="1"/>
    </xf>
    <xf numFmtId="0" fontId="8" fillId="24" borderId="9" applyAlignment="1" pivotButton="0" quotePrefix="0" xfId="0">
      <alignment horizontal="center" vertical="top" wrapText="1"/>
    </xf>
    <xf numFmtId="0" fontId="8" fillId="24" borderId="1" applyAlignment="1" pivotButton="0" quotePrefix="0" xfId="0">
      <alignment horizontal="center" vertical="top" wrapText="1"/>
    </xf>
    <xf numFmtId="0" fontId="8" fillId="25" borderId="6" applyAlignment="1" pivotButton="0" quotePrefix="0" xfId="0">
      <alignment horizontal="center" vertical="top" wrapText="1"/>
    </xf>
    <xf numFmtId="0" fontId="8" fillId="25" borderId="1" applyAlignment="1" pivotButton="0" quotePrefix="0" xfId="0">
      <alignment horizontal="center" vertical="top" wrapText="1"/>
    </xf>
    <xf numFmtId="0" fontId="8" fillId="26" borderId="11" applyAlignment="1" pivotButton="0" quotePrefix="0" xfId="0">
      <alignment horizontal="center" vertical="top" wrapText="1"/>
    </xf>
    <xf numFmtId="0" fontId="8" fillId="26" borderId="1" applyAlignment="1" pivotButton="0" quotePrefix="0" xfId="0">
      <alignment horizontal="center" vertical="top" wrapText="1"/>
    </xf>
    <xf numFmtId="0" fontId="10" fillId="34" borderId="8" applyAlignment="1" pivotButton="0" quotePrefix="0" xfId="0">
      <alignment vertical="top" wrapText="1"/>
    </xf>
    <xf numFmtId="0" fontId="9" fillId="34" borderId="1" applyAlignment="1" pivotButton="0" quotePrefix="0" xfId="0">
      <alignment vertical="top" wrapText="1"/>
    </xf>
    <xf numFmtId="0" fontId="10" fillId="34" borderId="1" applyAlignment="1" pivotButton="0" quotePrefix="0" xfId="0">
      <alignment vertical="top" wrapText="1"/>
    </xf>
    <xf numFmtId="0" fontId="10" fillId="34" borderId="1" applyAlignment="1" pivotButton="0" quotePrefix="0" xfId="0">
      <alignment horizontal="center" vertical="top" wrapText="1"/>
    </xf>
    <xf numFmtId="0" fontId="10" fillId="28" borderId="3" applyAlignment="1" pivotButton="0" quotePrefix="0" xfId="0">
      <alignment vertical="top" wrapText="1"/>
    </xf>
    <xf numFmtId="0" fontId="10" fillId="28" borderId="1" applyAlignment="1" pivotButton="0" quotePrefix="0" xfId="0">
      <alignment vertical="top" wrapText="1"/>
    </xf>
    <xf numFmtId="0" fontId="13" fillId="6" borderId="1" applyAlignment="1" pivotButton="0" quotePrefix="0" xfId="0">
      <alignment vertical="top" wrapText="1"/>
    </xf>
    <xf numFmtId="0" fontId="13" fillId="6" borderId="1" applyAlignment="1" pivotButton="0" quotePrefix="0" xfId="0">
      <alignment horizontal="center" vertical="top" wrapText="1"/>
    </xf>
    <xf numFmtId="0" fontId="16" fillId="8" borderId="1" applyAlignment="1" pivotButton="0" quotePrefix="0" xfId="0">
      <alignment vertical="top" wrapText="1"/>
    </xf>
    <xf numFmtId="0" fontId="10" fillId="27" borderId="2" applyAlignment="1" pivotButton="0" quotePrefix="0" xfId="0">
      <alignment vertical="top" wrapText="1"/>
    </xf>
    <xf numFmtId="0" fontId="10" fillId="30" borderId="5" applyAlignment="1" pivotButton="0" quotePrefix="0" xfId="0">
      <alignment vertical="top" wrapText="1"/>
    </xf>
    <xf numFmtId="0" fontId="10" fillId="18" borderId="1" applyAlignment="1" pivotButton="0" quotePrefix="0" xfId="0">
      <alignment vertical="top" wrapText="1"/>
    </xf>
    <xf numFmtId="0" fontId="10" fillId="33" borderId="10" applyAlignment="1" pivotButton="0" quotePrefix="0" xfId="0">
      <alignment vertical="top" wrapText="1"/>
    </xf>
    <xf numFmtId="0" fontId="10" fillId="33" borderId="1" applyAlignment="1" pivotButton="0" quotePrefix="0" xfId="0">
      <alignment vertical="top" wrapText="1"/>
    </xf>
    <xf numFmtId="0" fontId="10" fillId="31" borderId="7" applyAlignment="1" pivotButton="0" quotePrefix="0" xfId="0">
      <alignment vertical="top" wrapText="1"/>
    </xf>
    <xf numFmtId="164" fontId="10" fillId="31" borderId="1" applyAlignment="1" pivotButton="0" quotePrefix="0" xfId="0">
      <alignment horizontal="center" vertical="top" wrapText="1"/>
    </xf>
    <xf numFmtId="9" fontId="10" fillId="31" borderId="1" applyAlignment="1" pivotButton="0" quotePrefix="0" xfId="0">
      <alignment horizontal="center" vertical="top" wrapText="1"/>
    </xf>
    <xf numFmtId="2" fontId="10" fillId="31" borderId="1" applyAlignment="1" pivotButton="0" quotePrefix="0" xfId="0">
      <alignment horizontal="center" vertical="top" wrapText="1"/>
    </xf>
    <xf numFmtId="164" fontId="10" fillId="18" borderId="1" applyAlignment="1" pivotButton="0" quotePrefix="0" xfId="0">
      <alignment horizontal="center" vertical="top" wrapText="1"/>
    </xf>
    <xf numFmtId="0" fontId="10" fillId="31" borderId="1" applyAlignment="1" pivotButton="0" quotePrefix="0" xfId="0">
      <alignment horizontal="center" vertical="top" wrapText="1"/>
    </xf>
    <xf numFmtId="0" fontId="10" fillId="29" borderId="4" applyAlignment="1" pivotButton="0" quotePrefix="0" xfId="0">
      <alignment vertical="top" wrapText="1"/>
    </xf>
    <xf numFmtId="0" fontId="10" fillId="29" borderId="1" applyAlignment="1" pivotButton="0" quotePrefix="0" xfId="0">
      <alignment vertical="top" wrapText="1"/>
    </xf>
    <xf numFmtId="0" fontId="10" fillId="32" borderId="9" applyAlignment="1" pivotButton="0" quotePrefix="0" xfId="0">
      <alignment vertical="top" wrapText="1"/>
    </xf>
    <xf numFmtId="0" fontId="10" fillId="32" borderId="1" applyAlignment="1" pivotButton="0" quotePrefix="0" xfId="0">
      <alignment vertical="top" wrapText="1"/>
    </xf>
    <xf numFmtId="0" fontId="10" fillId="5" borderId="6" applyAlignment="1" pivotButton="0" quotePrefix="0" xfId="0">
      <alignment vertical="top" wrapText="1"/>
    </xf>
    <xf numFmtId="0" fontId="10" fillId="5" borderId="1" applyAlignment="1" pivotButton="0" quotePrefix="0" xfId="0">
      <alignment vertical="top" wrapText="1"/>
    </xf>
    <xf numFmtId="0" fontId="10" fillId="14" borderId="11" applyAlignment="1" pivotButton="0" quotePrefix="0" xfId="0">
      <alignment vertical="top" wrapText="1"/>
    </xf>
    <xf numFmtId="0" fontId="10" fillId="14" borderId="1" applyAlignment="1" pivotButton="0" quotePrefix="0" xfId="0">
      <alignment vertical="top" wrapText="1"/>
    </xf>
    <xf numFmtId="0" fontId="10" fillId="18" borderId="8" applyAlignment="1" pivotButton="0" quotePrefix="0" xfId="0">
      <alignment vertical="top" wrapText="1"/>
    </xf>
    <xf numFmtId="0" fontId="13" fillId="6" borderId="3" applyAlignment="1" pivotButton="0" quotePrefix="0" xfId="0">
      <alignment vertical="top" wrapText="1"/>
    </xf>
    <xf numFmtId="0" fontId="10" fillId="8" borderId="1" applyAlignment="1" pivotButton="0" quotePrefix="0" xfId="0">
      <alignment vertical="top" wrapText="1"/>
    </xf>
    <xf numFmtId="0" fontId="19" fillId="15" borderId="9" applyAlignment="1" pivotButton="0" quotePrefix="0" xfId="0">
      <alignment vertical="top" wrapText="1"/>
    </xf>
    <xf numFmtId="0" fontId="19" fillId="15" borderId="1" applyAlignment="1" pivotButton="0" quotePrefix="0" xfId="0">
      <alignment vertical="top" wrapText="1"/>
    </xf>
    <xf numFmtId="0" fontId="19" fillId="15" borderId="6" applyAlignment="1" pivotButton="0" quotePrefix="0" xfId="0">
      <alignment vertical="top" wrapText="1"/>
    </xf>
    <xf numFmtId="0" fontId="9" fillId="14" borderId="1" applyAlignment="1" pivotButton="0" quotePrefix="0" xfId="0">
      <alignment horizontal="center" vertical="top" wrapText="1"/>
    </xf>
    <xf numFmtId="0" fontId="20" fillId="5" borderId="1" applyAlignment="1" pivotButton="0" quotePrefix="0" xfId="0">
      <alignment vertical="top" wrapText="1"/>
    </xf>
    <xf numFmtId="0" fontId="10" fillId="13" borderId="1" applyAlignment="1" pivotButton="0" quotePrefix="0" xfId="0">
      <alignment vertical="top" wrapText="1"/>
    </xf>
    <xf numFmtId="0" fontId="10" fillId="10" borderId="1" applyAlignment="1" pivotButton="0" quotePrefix="0" xfId="0">
      <alignment vertical="top" wrapText="1"/>
    </xf>
    <xf numFmtId="0" fontId="11" fillId="15" borderId="1" applyAlignment="1" pivotButton="0" quotePrefix="0" xfId="0">
      <alignment horizontal="center" vertical="top" wrapText="1"/>
    </xf>
    <xf numFmtId="0" fontId="15" fillId="17" borderId="1" applyAlignment="1" pivotButton="0" quotePrefix="0" xfId="0">
      <alignment vertical="top" wrapText="1"/>
    </xf>
    <xf numFmtId="0" fontId="10" fillId="12" borderId="1" applyAlignment="1" pivotButton="0" quotePrefix="0" xfId="0">
      <alignment vertical="top" wrapText="1"/>
    </xf>
    <xf numFmtId="0" fontId="9" fillId="7" borderId="1" applyAlignment="1" pivotButton="0" quotePrefix="0" xfId="0">
      <alignment horizontal="center" vertical="top" wrapText="1"/>
    </xf>
    <xf numFmtId="0" fontId="9" fillId="8" borderId="1" applyAlignment="1" pivotButton="0" quotePrefix="0" xfId="0">
      <alignment horizontal="center" vertical="top" wrapText="1"/>
    </xf>
    <xf numFmtId="0" fontId="0" fillId="16" borderId="0" pivotButton="0" quotePrefix="0" xfId="0"/>
    <xf numFmtId="0" fontId="0" fillId="17" borderId="0" pivotButton="0" quotePrefix="0" xfId="0"/>
    <xf numFmtId="0" fontId="0" fillId="9" borderId="0" pivotButton="0" quotePrefix="0" xfId="0"/>
    <xf numFmtId="0" fontId="0" fillId="19" borderId="0" pivotButton="0" quotePrefix="0" xfId="0"/>
    <xf numFmtId="0" fontId="8" fillId="19" borderId="1" applyAlignment="1" pivotButton="0" quotePrefix="0" xfId="0">
      <alignment horizontal="center" vertical="top" wrapText="1"/>
    </xf>
    <xf numFmtId="0" fontId="10" fillId="27" borderId="12" applyAlignment="1" pivotButton="0" quotePrefix="0" xfId="0">
      <alignment vertical="top"/>
    </xf>
    <xf numFmtId="0" fontId="10" fillId="27" borderId="0" applyAlignment="1" pivotButton="0" quotePrefix="0" xfId="0">
      <alignment vertical="top"/>
    </xf>
    <xf numFmtId="165" fontId="10" fillId="27" borderId="0" applyAlignment="1" pivotButton="0" quotePrefix="0" xfId="0">
      <alignment vertical="top"/>
    </xf>
    <xf numFmtId="0" fontId="4" fillId="4" borderId="0" pivotButton="0" quotePrefix="0" xfId="0"/>
    <xf numFmtId="0" fontId="10" fillId="8" borderId="8" applyAlignment="1" pivotButton="0" quotePrefix="0" xfId="0">
      <alignment horizontal="center" vertical="top" wrapText="1"/>
    </xf>
    <xf numFmtId="0" fontId="10" fillId="28" borderId="3" applyAlignment="1" pivotButton="0" quotePrefix="0" xfId="0">
      <alignment horizontal="center" vertical="top" wrapText="1"/>
    </xf>
    <xf numFmtId="0" fontId="10" fillId="28" borderId="1" applyAlignment="1" pivotButton="0" quotePrefix="0" xfId="0">
      <alignment horizontal="center" vertical="top" wrapText="1"/>
    </xf>
    <xf numFmtId="0" fontId="10" fillId="27" borderId="1" applyAlignment="1" pivotButton="0" quotePrefix="0" xfId="0">
      <alignment vertical="top" wrapText="1"/>
    </xf>
    <xf numFmtId="0" fontId="10" fillId="30" borderId="1" applyAlignment="1" pivotButton="0" quotePrefix="0" xfId="0">
      <alignment vertical="top" wrapText="1"/>
    </xf>
    <xf numFmtId="0" fontId="10" fillId="7" borderId="8" applyAlignment="1" pivotButton="0" quotePrefix="0" xfId="0">
      <alignment horizontal="center" vertical="top" wrapText="1"/>
    </xf>
    <xf numFmtId="0" fontId="10" fillId="10" borderId="8" applyAlignment="1" pivotButton="0" quotePrefix="0" xfId="0">
      <alignment horizontal="center" vertical="top" wrapText="1"/>
    </xf>
    <xf numFmtId="0" fontId="10" fillId="12" borderId="8" applyAlignment="1" pivotButton="0" quotePrefix="0" xfId="0">
      <alignment horizontal="center" vertical="top" wrapText="1"/>
    </xf>
    <xf numFmtId="0" fontId="10" fillId="13" borderId="8" applyAlignment="1" pivotButton="0" quotePrefix="0" xfId="0">
      <alignment horizontal="center" vertical="top" wrapText="1"/>
    </xf>
    <xf numFmtId="0" fontId="10" fillId="14" borderId="8" applyAlignment="1" pivotButton="0" quotePrefix="0" xfId="0">
      <alignment horizontal="center" vertical="top" wrapText="1"/>
    </xf>
    <xf numFmtId="0" fontId="9" fillId="0" borderId="1" applyAlignment="1" pivotButton="0" quotePrefix="0" xfId="0">
      <alignment horizontal="center" vertical="top" wrapText="1"/>
    </xf>
    <xf numFmtId="0" fontId="29" fillId="0" borderId="0" applyAlignment="1" pivotButton="0" quotePrefix="0" xfId="0">
      <alignment vertical="top" wrapText="1"/>
    </xf>
    <xf numFmtId="0" fontId="4" fillId="4" borderId="0" applyAlignment="1" pivotButton="0" quotePrefix="0" xfId="0">
      <alignment vertical="center"/>
    </xf>
    <xf numFmtId="0" fontId="10" fillId="35" borderId="1" applyAlignment="1" pivotButton="0" quotePrefix="0" xfId="0">
      <alignment vertical="top" wrapText="1"/>
    </xf>
    <xf numFmtId="0" fontId="10" fillId="35" borderId="1" applyAlignment="1" pivotButton="0" quotePrefix="0" xfId="0">
      <alignment horizontal="center" vertical="top" wrapText="1"/>
    </xf>
    <xf numFmtId="0" fontId="10" fillId="18" borderId="1" applyAlignment="1" pivotButton="0" quotePrefix="0" xfId="0">
      <alignment horizontal="center" vertical="top" wrapText="1"/>
    </xf>
    <xf numFmtId="0" fontId="9" fillId="34" borderId="8" applyAlignment="1" pivotButton="0" quotePrefix="0" xfId="0">
      <alignment horizontal="center" vertical="top" wrapText="1"/>
    </xf>
    <xf numFmtId="0" fontId="10" fillId="31" borderId="7" applyAlignment="1" pivotButton="0" quotePrefix="0" xfId="0">
      <alignment horizontal="center" vertical="top" wrapText="1"/>
    </xf>
    <xf numFmtId="0" fontId="10" fillId="31" borderId="1" applyAlignment="1" pivotButton="0" quotePrefix="0" xfId="0">
      <alignment vertical="top" wrapText="1"/>
    </xf>
    <xf numFmtId="0" fontId="9" fillId="10" borderId="1" applyAlignment="1" pivotButton="0" quotePrefix="0" xfId="0">
      <alignment horizontal="center" vertical="top" wrapText="1"/>
    </xf>
    <xf numFmtId="0" fontId="10" fillId="8" borderId="6" applyAlignment="1" pivotButton="0" quotePrefix="0" xfId="0">
      <alignment vertical="top" wrapText="1"/>
    </xf>
    <xf numFmtId="0" fontId="9" fillId="13" borderId="1" applyAlignment="1" pivotButton="0" quotePrefix="0" xfId="0">
      <alignment horizontal="center" vertical="top" wrapText="1"/>
    </xf>
    <xf numFmtId="0" fontId="10" fillId="7" borderId="6" applyAlignment="1" pivotButton="0" quotePrefix="0" xfId="0">
      <alignment vertical="top" wrapText="1"/>
    </xf>
    <xf numFmtId="0" fontId="9" fillId="12" borderId="1" applyAlignment="1" pivotButton="0" quotePrefix="0" xfId="0">
      <alignment horizontal="center" vertical="top" wrapText="1"/>
    </xf>
    <xf numFmtId="0" fontId="10" fillId="27" borderId="2" applyAlignment="1" pivotButton="0" quotePrefix="0" xfId="0">
      <alignment horizontal="center" vertical="top" wrapText="1"/>
    </xf>
    <xf numFmtId="0" fontId="10" fillId="30" borderId="5" applyAlignment="1" pivotButton="0" quotePrefix="0" xfId="0">
      <alignment horizontal="center" vertical="top" wrapText="1"/>
    </xf>
    <xf numFmtId="9" fontId="10" fillId="30" borderId="1" applyAlignment="1" pivotButton="0" quotePrefix="0" xfId="0">
      <alignment horizontal="center" vertical="top" wrapText="1"/>
    </xf>
    <xf numFmtId="0" fontId="10" fillId="29" borderId="4" applyAlignment="1" pivotButton="0" quotePrefix="0" xfId="0">
      <alignment horizontal="center" vertical="top" wrapText="1"/>
    </xf>
    <xf numFmtId="0" fontId="10" fillId="29" borderId="1" applyAlignment="1" pivotButton="0" quotePrefix="0" xfId="0">
      <alignment horizontal="center" vertical="top" wrapText="1"/>
    </xf>
    <xf numFmtId="0" fontId="0" fillId="34" borderId="16" pivotButton="0" quotePrefix="0" xfId="0"/>
    <xf numFmtId="0" fontId="0" fillId="34" borderId="0" pivotButton="0" quotePrefix="0" xfId="0"/>
    <xf numFmtId="0" fontId="0" fillId="28" borderId="17" pivotButton="0" quotePrefix="0" xfId="0"/>
    <xf numFmtId="0" fontId="0" fillId="28" borderId="0" pivotButton="0" quotePrefix="0" xfId="0"/>
    <xf numFmtId="0" fontId="0" fillId="27" borderId="12" pivotButton="0" quotePrefix="0" xfId="0"/>
    <xf numFmtId="0" fontId="0" fillId="27" borderId="0" pivotButton="0" quotePrefix="0" xfId="0"/>
    <xf numFmtId="0" fontId="0" fillId="30" borderId="13" pivotButton="0" quotePrefix="0" xfId="0"/>
    <xf numFmtId="0" fontId="0" fillId="30" borderId="0" pivotButton="0" quotePrefix="0" xfId="0"/>
    <xf numFmtId="0" fontId="0" fillId="33" borderId="18" pivotButton="0" quotePrefix="0" xfId="0"/>
    <xf numFmtId="0" fontId="0" fillId="33" borderId="0" pivotButton="0" quotePrefix="0" xfId="0"/>
    <xf numFmtId="0" fontId="0" fillId="31" borderId="19" pivotButton="0" quotePrefix="0" xfId="0"/>
    <xf numFmtId="0" fontId="0" fillId="29" borderId="14" pivotButton="0" quotePrefix="0" xfId="0"/>
    <xf numFmtId="0" fontId="0" fillId="29" borderId="0" pivotButton="0" quotePrefix="0" xfId="0"/>
    <xf numFmtId="0" fontId="0" fillId="32" borderId="15" pivotButton="0" quotePrefix="0" xfId="0"/>
    <xf numFmtId="0" fontId="0" fillId="32" borderId="0" pivotButton="0" quotePrefix="0" xfId="0"/>
    <xf numFmtId="0" fontId="0" fillId="8" borderId="0" pivotButton="0" quotePrefix="0" xfId="0"/>
    <xf numFmtId="9" fontId="10" fillId="0" borderId="1" applyAlignment="1" pivotButton="0" quotePrefix="0" xfId="0">
      <alignment horizontal="center" vertical="top" wrapText="1"/>
    </xf>
    <xf numFmtId="0" fontId="10" fillId="9" borderId="1" applyAlignment="1" pivotButton="0" quotePrefix="0" xfId="0">
      <alignment vertical="top" wrapText="1"/>
    </xf>
    <xf numFmtId="0" fontId="10" fillId="11" borderId="1" applyAlignment="1" pivotButton="0" quotePrefix="0" xfId="0">
      <alignment vertical="top" wrapText="1"/>
    </xf>
    <xf numFmtId="0" fontId="10" fillId="0" borderId="0" applyAlignment="1" pivotButton="0" quotePrefix="0" xfId="0">
      <alignment vertical="top" wrapText="1"/>
    </xf>
    <xf numFmtId="0" fontId="9" fillId="3" borderId="1" applyAlignment="1" pivotButton="0" quotePrefix="0" xfId="0">
      <alignment vertical="top" wrapText="1"/>
    </xf>
    <xf numFmtId="0" fontId="0" fillId="0" borderId="22" pivotButton="0" quotePrefix="0" xfId="0"/>
    <xf numFmtId="0" fontId="0" fillId="0" borderId="23" pivotButton="0" quotePrefix="0" xfId="0"/>
    <xf numFmtId="0" fontId="10" fillId="3" borderId="1" applyAlignment="1" pivotButton="0" quotePrefix="0" xfId="0">
      <alignment horizontal="center" vertical="top" wrapText="1"/>
    </xf>
    <xf numFmtId="0" fontId="10" fillId="0" borderId="1" applyAlignment="1" pivotButton="0" quotePrefix="0" xfId="0">
      <alignment vertical="top"/>
    </xf>
    <xf numFmtId="0" fontId="30" fillId="8" borderId="1" applyAlignment="1" pivotButton="0" quotePrefix="0" xfId="0">
      <alignment horizontal="center" vertical="top" wrapText="1"/>
    </xf>
    <xf numFmtId="0" fontId="31" fillId="0" borderId="1" applyAlignment="1" pivotButton="0" quotePrefix="0" xfId="0">
      <alignment vertical="top"/>
    </xf>
    <xf numFmtId="0" fontId="32" fillId="17" borderId="1" applyAlignment="1" pivotButton="0" quotePrefix="0" xfId="0">
      <alignment horizontal="center" vertical="top" wrapText="1"/>
    </xf>
    <xf numFmtId="0" fontId="33" fillId="3" borderId="0" applyAlignment="1" pivotButton="0" quotePrefix="0" xfId="0">
      <alignment vertical="top" wrapText="1"/>
    </xf>
    <xf numFmtId="0" fontId="34" fillId="18" borderId="0" applyAlignment="1" pivotButton="0" quotePrefix="0" xfId="0">
      <alignment vertical="top" wrapText="1"/>
    </xf>
    <xf numFmtId="0" fontId="35" fillId="0" borderId="0" applyAlignment="1" pivotButton="0" quotePrefix="0" xfId="0">
      <alignment horizontal="right" vertical="center"/>
    </xf>
    <xf numFmtId="0" fontId="36" fillId="35" borderId="1" applyAlignment="1" pivotButton="0" quotePrefix="0" xfId="0">
      <alignment vertical="top" wrapText="1"/>
    </xf>
    <xf numFmtId="0" fontId="33"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xf numFmtId="0" fontId="4" fillId="2" borderId="0" applyAlignment="1" pivotButton="0" quotePrefix="0" xfId="0">
      <alignment vertical="center" indent="1"/>
    </xf>
    <xf numFmtId="0" fontId="9" fillId="5" borderId="0" applyAlignment="1" pivotButton="0" quotePrefix="0" xfId="0">
      <alignment vertical="top" wrapText="1"/>
    </xf>
    <xf numFmtId="0" fontId="8" fillId="4" borderId="0" applyAlignment="1" pivotButton="0" quotePrefix="0" xfId="0">
      <alignment vertical="top" wrapText="1"/>
    </xf>
    <xf numFmtId="0" fontId="10" fillId="0" borderId="0" applyAlignment="1" pivotButton="0" quotePrefix="0" xfId="0">
      <alignment horizontal="center" vertical="top" wrapText="1"/>
    </xf>
    <xf numFmtId="0" fontId="39" fillId="0" borderId="0" applyAlignment="1" pivotButton="0" quotePrefix="0" xfId="0">
      <alignment vertical="top" wrapText="1"/>
    </xf>
    <xf numFmtId="9" fontId="10" fillId="0" borderId="0" applyAlignment="1" pivotButton="0" quotePrefix="0" xfId="0">
      <alignment horizontal="center" vertical="top" wrapText="1"/>
    </xf>
    <xf numFmtId="2" fontId="10" fillId="0" borderId="0" applyAlignment="1" pivotButton="0" quotePrefix="0" xfId="0">
      <alignment horizontal="center" vertical="top" wrapText="1"/>
    </xf>
    <xf numFmtId="0" fontId="9" fillId="3" borderId="0" applyAlignment="1" pivotButton="0" quotePrefix="0" xfId="0">
      <alignment vertical="top" wrapText="1"/>
    </xf>
    <xf numFmtId="2" fontId="9" fillId="3" borderId="0" applyAlignment="1" pivotButton="0" quotePrefix="0" xfId="0">
      <alignment horizontal="center" vertical="top" wrapText="1"/>
    </xf>
    <xf numFmtId="0" fontId="9" fillId="3" borderId="0" applyAlignment="1" pivotButton="0" quotePrefix="0" xfId="0">
      <alignment horizontal="center" vertical="top" wrapText="1"/>
    </xf>
    <xf numFmtId="0" fontId="40" fillId="18" borderId="1" applyAlignment="1" pivotButton="0" quotePrefix="0" xfId="0">
      <alignment horizontal="center" vertical="top" wrapText="1"/>
    </xf>
    <xf numFmtId="0" fontId="8" fillId="36" borderId="1" applyAlignment="1" pivotButton="0" quotePrefix="0" xfId="0">
      <alignment horizontal="center" vertical="top" wrapText="1"/>
    </xf>
    <xf numFmtId="164" fontId="9" fillId="0" borderId="1" applyAlignment="1" pivotButton="0" quotePrefix="0" xfId="0">
      <alignment horizontal="center" vertical="top" wrapText="1"/>
    </xf>
    <xf numFmtId="9" fontId="10" fillId="14" borderId="1" applyAlignment="1" pivotButton="0" quotePrefix="0" xfId="0">
      <alignment horizontal="center" vertical="top" wrapText="1"/>
    </xf>
    <xf numFmtId="164" fontId="10" fillId="0" borderId="1" applyAlignment="1" pivotButton="0" quotePrefix="0" xfId="0">
      <alignment vertical="top" wrapText="1"/>
    </xf>
    <xf numFmtId="0" fontId="8" fillId="4" borderId="1" applyAlignment="1" pivotButton="0" quotePrefix="0" xfId="0">
      <alignment vertical="top" wrapText="1"/>
    </xf>
    <xf numFmtId="0" fontId="10" fillId="37" borderId="1" applyAlignment="1" pivotButton="0" quotePrefix="0" xfId="0">
      <alignment vertical="top" wrapText="1"/>
    </xf>
    <xf numFmtId="0" fontId="42" fillId="0" borderId="0" applyAlignment="1" pivotButton="0" quotePrefix="0" xfId="0">
      <alignment vertical="center"/>
    </xf>
    <xf numFmtId="0" fontId="0" fillId="0" borderId="1" applyAlignment="1" pivotButton="0" quotePrefix="0" xfId="0">
      <alignment horizontal="center" vertical="top"/>
    </xf>
    <xf numFmtId="0" fontId="41" fillId="0" borderId="1" applyAlignment="1" pivotButton="0" quotePrefix="0" xfId="0">
      <alignment vertical="top"/>
    </xf>
    <xf numFmtId="166" fontId="10" fillId="27"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People by level</a:t>
            </a:r>
          </a:p>
        </rich>
      </tx>
    </title>
    <plotArea>
      <barChart>
        <barDir val="col"/>
        <grouping val="clustered"/>
        <ser>
          <idx val="0"/>
          <order val="0"/>
          <tx>
            <strRef>
              <f>'1. Overview'!B151</f>
            </strRef>
          </tx>
          <spPr>
            <a:solidFill xmlns:a="http://schemas.openxmlformats.org/drawingml/2006/main">
              <a:srgbClr val="2E75B6"/>
            </a:solidFill>
            <a:ln xmlns:a="http://schemas.openxmlformats.org/drawingml/2006/main">
              <a:solidFill>
                <a:srgbClr val="2E75B6"/>
              </a:solidFill>
              <a:prstDash val="solid"/>
            </a:ln>
          </spPr>
          <cat>
            <numRef>
              <f>'1. Overview'!$A$152:$A$161</f>
            </numRef>
          </cat>
          <val>
            <numRef>
              <f>'1. Overview'!$B$152:$B$161</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Ratings</a:t>
            </a:r>
          </a:p>
        </rich>
      </tx>
    </title>
    <plotArea>
      <barChart>
        <barDir val="bar"/>
        <grouping val="clustered"/>
        <ser>
          <idx val="0"/>
          <order val="0"/>
          <tx>
            <strRef>
              <f>'1b. Person Card'!B31</f>
            </strRef>
          </tx>
          <spPr>
            <a:solidFill xmlns:a="http://schemas.openxmlformats.org/drawingml/2006/main">
              <a:srgbClr val="2E75B6"/>
            </a:solidFill>
            <a:ln xmlns:a="http://schemas.openxmlformats.org/drawingml/2006/main">
              <a:prstDash val="solid"/>
            </a:ln>
          </spPr>
          <cat>
            <numRef>
              <f>'1b. Person Card'!$A$32:$A$37</f>
            </numRef>
          </cat>
          <val>
            <numRef>
              <f>'1b. Person Card'!$B$32:$B$37</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2"/>
          <min val="0"/>
        </scaling>
        <delete val="0"/>
        <axPos val="l"/>
        <majorTickMark val="none"/>
        <minorTickMark val="none"/>
        <crossAx val="10"/>
      </valAx>
    </plotArea>
    <plotVisOnly val="1"/>
    <dispBlanksAs val="gap"/>
  </chart>
</chartSpace>
</file>

<file path=xl/comments/comment1.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Business line: CARBON, iFile, iDEAL, Datatech, Consume or Corporate.</t>
      </text>
    </comment>
    <comment ref="D6" authorId="0" shapeId="0">
      <text>
        <t>Department in the Employee Master.</t>
      </text>
    </comment>
    <comment ref="E6" authorId="0" shapeId="0">
      <text>
        <t>The discipline, the same across businesses.</t>
      </text>
    </comment>
    <comment ref="G6" authorId="0" shapeId="0">
      <text>
        <t>Title held today · Employee Master.</t>
      </text>
    </comment>
    <comment ref="H6" authorId="0" shapeId="0">
      <text>
        <t>New title: level marker + role noun · title rules N1–N5.</t>
      </text>
    </comment>
    <comment ref="I6" authorId="0" shapeId="0">
      <text>
        <t>Level in the current structure, or 'Not in current mapping files'.</t>
      </text>
    </comment>
    <comment ref="J6" authorId="0" shapeId="0">
      <text>
        <t>Level on the new ladder · A1–E2, B+ / C+ Player-Coach steps, X1–X3 consultants after the rules.</t>
      </text>
    </comment>
    <comment ref="K6" authorId="0" shapeId="0">
      <text>
        <t>Individual Contributor, POD Lead, People Manager, Player-Coach or Consultant.</t>
      </text>
    </comment>
    <comment ref="L6" authorId="0" shapeId="0">
      <text>
        <t>Up, same, down · pay and title protected for one cycle or newly mapped.</t>
      </text>
    </comment>
    <comment ref="M6" authorId="0" shapeId="0">
      <text>
        <t>Weighted score = Σ rating × weight, on the 1–12 level scale. Not performance, not pay.</t>
      </text>
    </comment>
    <comment ref="N6" authorId="0" shapeId="0">
      <text>
        <t>Complexity &amp; Expertise rating: how hard the work is.</t>
      </text>
    </comment>
    <comment ref="O6" authorId="0" shapeId="0">
      <text>
        <t>Autonomy &amp; Decision rating: how freely the person decides.</t>
      </text>
    </comment>
    <comment ref="P6" authorId="0" shapeId="0">
      <text>
        <t>Accountability &amp; Impact rating: what the role answers for.</t>
      </text>
    </comment>
    <comment ref="Q6" authorId="0" shapeId="0">
      <text>
        <t>Leadership &amp; Strategy rating: how much the role leads others.</t>
      </text>
    </comment>
    <comment ref="R6" authorId="0" shapeId="0">
      <text>
        <t>Experience &amp; Qualification rating: the experience and qualification the role needs.</t>
      </text>
    </comment>
    <comment ref="T6" authorId="0" shapeId="0">
      <text>
        <t>'The score decided the level', or the rule that held or moved it · R4–R10; Framework &amp; Model Master.</t>
      </text>
    </comment>
    <comment ref="U6" authorId="0" shapeId="0">
      <text>
        <t>Close call, near a gate, input needed, or a protected move down.</t>
      </text>
    </comment>
    <comment ref="V6" authorId="0" shapeId="0">
      <text>
        <t>High / Medium / Low: how much evidence stands behind the placement.</t>
      </text>
    </comment>
  </commentList>
</comments>
</file>

<file path=xl/comments/comment2.xml><?xml version="1.0" encoding="utf-8"?>
<comments xmlns="http://schemas.openxmlformats.org/spreadsheetml/2006/main">
  <authors>
    <author>IRIS HR</author>
  </authors>
  <commentList>
    <comment ref="B16" authorId="0" shapeId="0">
      <text>
        <t>Business line: CARBON, iFile, iDEAL, Datatech, Consume or Corporate.</t>
      </text>
    </comment>
    <comment ref="C16" authorId="0" shapeId="0">
      <text>
        <t>Department in the Employee Master.</t>
      </text>
    </comment>
  </commentList>
</comments>
</file>

<file path=xl/comments/comment3.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From the Employee Master reporting line.</t>
      </text>
    </comment>
    <comment ref="H6" authorId="0" shapeId="0">
      <text>
        <t>Title held today · Employee Master.</t>
      </text>
    </comment>
    <comment ref="I6" authorId="0" shapeId="0">
      <text>
        <t>New title: level marker + role noun · title rules N1–N5.</t>
      </text>
    </comment>
    <comment ref="J6" authorId="0" shapeId="0">
      <text>
        <t>The discipline, the same across businesses.</t>
      </text>
    </comment>
    <comment ref="L6" authorId="0" shapeId="0">
      <text>
        <t>Level in the current structure, or 'Not in current mapping files'.</t>
      </text>
    </comment>
    <comment ref="M6" authorId="0" shapeId="0">
      <text>
        <t>Level on the new ladder · A1–E2, B+ / C+ Player-Coach steps, X1–X3 consultants after the rules.</t>
      </text>
    </comment>
    <comment ref="N6" authorId="0" shapeId="0">
      <text>
        <t>The generic title of the level on the person's track.</t>
      </text>
    </comment>
    <comment ref="O6" authorId="0" shapeId="0">
      <text>
        <t>A practitioner · B specialist / manager · C principal / head · D business leadership · E enterprise leadership.</t>
      </text>
    </comment>
    <comment ref="P6" authorId="0" shapeId="0">
      <text>
        <t>Individual Contributor, POD Lead, People Manager, Player-Coach or Consultant.</t>
      </text>
    </comment>
    <comment ref="Q6" authorId="0" shapeId="0">
      <text>
        <t>Up, same, down · pay and title protected for one cycle or newly mapped.</t>
      </text>
    </comment>
    <comment ref="R6" authorId="0" shapeId="0">
      <text>
        <t>What the role does, its key responsibilities, deliverables, decision rights, skills, tools and the competencies it requires — from the role catalogue: catalogue text plus counted themes from role-holders' survey answers · only where 3+ answered, never one person's words.</t>
      </text>
    </comment>
    <comment ref="AS6" authorId="0" shapeId="0">
      <text>
        <t>The score rounded to the nearest level ·.5 rounds up, before the rules.</t>
      </text>
    </comment>
    <comment ref="AT6" authorId="0" shapeId="0">
      <text>
        <t>The base weights for the band and track, and the tilt for the type of work.</t>
      </text>
    </comment>
    <comment ref="AU6" authorId="0" shapeId="0">
      <text>
        <t>Each rating × weight = points; the points add up to the score.</t>
      </text>
    </comment>
    <comment ref="BF6" authorId="0" shapeId="0">
      <text>
        <t>High / Medium / Low: how much evidence stands behind the placement.</t>
      </text>
    </comment>
    <comment ref="BG6" authorId="0" shapeId="0">
      <text>
        <t>Facts the business head or HR must confirm before sign-off.</t>
      </text>
    </comment>
    <comment ref="BN6" authorId="0" shapeId="0">
      <text>
        <t>Agree / Change / Discuss — the manager's view of the placement.</t>
      </text>
    </comment>
    <comment ref="BP6" authorId="0" shapeId="0">
      <text>
        <t>Approved / Changed / On hold.</t>
      </text>
    </comment>
    <comment ref="BQ6" authorId="0" shapeId="0">
      <text>
        <t>The level after calibration; enter only when it differs from FINAL LEVEL or once approved.</t>
      </text>
    </comment>
  </commentList>
</comments>
</file>

<file path=xl/comments/comment4.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Level in the current structure, or 'Not in current mapping files'.</t>
      </text>
    </comment>
    <comment ref="G6" authorId="0" shapeId="0">
      <text>
        <t>Level on the new ladder · A1–E2, B+ / C+ Player-Coach steps, X1–X3 consultants after the rules.</t>
      </text>
    </comment>
    <comment ref="H6" authorId="0" shapeId="0">
      <text>
        <t>Up, same, down · pay and title protected for one cycle or newly mapped.</t>
      </text>
    </comment>
    <comment ref="I6" authorId="0" shapeId="0">
      <text>
        <t>The discipline, the same across businesses.</t>
      </text>
    </comment>
    <comment ref="AK6" authorId="0" shapeId="0">
      <text>
        <t>Department in the Employee Master.</t>
      </text>
    </comment>
    <comment ref="AR6" authorId="0" shapeId="0">
      <text>
        <t>Open → In discussion → Agreed / Changed / Escalated → Closed.</t>
      </text>
    </comment>
  </commentList>
</comments>
</file>

<file path=xl/comments/comment5.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Level in the current structure, or 'Not in current mapping files'.</t>
      </text>
    </comment>
    <comment ref="G6" authorId="0" shapeId="0">
      <text>
        <t>Level on the new ladder · A1–E2, B+ / C+ Player-Coach steps, X1–X3 consultants after the rules.</t>
      </text>
    </comment>
    <comment ref="H6" authorId="0" shapeId="0">
      <text>
        <t>Up, same, down · pay and title protected for one cycle or newly mapped.</t>
      </text>
    </comment>
    <comment ref="I6" authorId="0" shapeId="0">
      <text>
        <t>Individual Contributor, POD Lead, People Manager, Player-Coach or Consultant.</t>
      </text>
    </comment>
  </commentList>
</comments>
</file>

<file path=xl/comments/comment6.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3</col>
      <colOff>0</colOff>
      <row>150</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30</row>
      <rowOff>0</rowOff>
    </from>
    <ext cx="396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_1a__Placements" displayName="T_1a__Placements" ref="A6:V55" headerRowCount="1">
  <autoFilter ref="A6:V55"/>
  <tableColumns count="22">
    <tableColumn id="1" name="Emp ID"/>
    <tableColumn id="2" name="Employee name"/>
    <tableColumn id="3" name="Business"/>
    <tableColumn id="4" name="Department"/>
    <tableColumn id="5" name="Job family"/>
    <tableColumn id="6" name="Sub-family"/>
    <tableColumn id="7" name="Current designation"/>
    <tableColumn id="8" name="Final designation"/>
    <tableColumn id="9" name="Current level"/>
    <tableColumn id="10" name="FINAL LEVEL"/>
    <tableColumn id="11" name="Track"/>
    <tableColumn id="12" name="Change"/>
    <tableColumn id="13" name="Score"/>
    <tableColumn id="14" name="Complexity"/>
    <tableColumn id="15" name="Autonomy"/>
    <tableColumn id="16" name="Accountability"/>
    <tableColumn id="17" name="Leadership"/>
    <tableColumn id="18" name="Exp &amp; Qual"/>
    <tableColumn id="19" name="Bus. Impact"/>
    <tableColumn id="20" name="What set the level"/>
    <tableColumn id="21" name="Flags"/>
    <tableColumn id="22" name="Confidence"/>
  </tableColumns>
  <tableStyleInfo name="TableStyleLight1" showRowStripes="1" showColumnStripes="0"/>
</table>
</file>

<file path=xl/tables/table2.xml><?xml version="1.0" encoding="utf-8"?>
<table xmlns="http://schemas.openxmlformats.org/spreadsheetml/2006/main" id="2" name="T_1d__Weightage_Matrix" displayName="T_1d__Weightage_Matrix" ref="A16:T35" headerRowCount="1">
  <autoFilter ref="A16:T35"/>
  <tableColumns count="20">
    <tableColumn id="1" name="Weight row"/>
    <tableColumn id="2" name="Business"/>
    <tableColumn id="3" name="Department"/>
    <tableColumn id="4" name="Role group"/>
    <tableColumn id="5" name="People"/>
    <tableColumn id="6" name="Main type of work"/>
    <tableColumn id="7" name="How hard %"/>
    <tableColumn id="8" name="Decides alone %"/>
    <tableColumn id="9" name="Answers for %"/>
    <tableColumn id="10" name="Leads %"/>
    <tableColumn id="11" name="Experience %"/>
    <tableColumn id="12" name="Business impact %"/>
    <tableColumn id="13" name="Entered total"/>
    <tableColumn id="14" name="Used · How hard"/>
    <tableColumn id="15" name="Used · Decides alone"/>
    <tableColumn id="16" name="Used · Answers for"/>
    <tableColumn id="17" name="Used · Leads"/>
    <tableColumn id="18" name="Used · Experience"/>
    <tableColumn id="19" name="Used · Business impact"/>
    <tableColumn id="20" name="Why changed · leader"/>
  </tableColumns>
  <tableStyleInfo name="TableStyleLight1" showRowStripes="1" showColumnStripes="0"/>
</table>
</file>

<file path=xl/tables/table3.xml><?xml version="1.0" encoding="utf-8"?>
<table xmlns="http://schemas.openxmlformats.org/spreadsheetml/2006/main" id="3" name="T_2__Talent_Mapping" displayName="T_2__Talent_Mapping" ref="A6:BV55" headerRowCount="1">
  <autoFilter ref="A6:BV55"/>
  <tableColumns count="74">
    <tableColumn id="1" name="Emp ID"/>
    <tableColumn id="2" name="Employee name"/>
    <tableColumn id="3" name="Department"/>
    <tableColumn id="4" name="Reporting manager"/>
    <tableColumn id="5" name="Total exp. · yrs"/>
    <tableColumn id="6" name="Exp. at IRIS · yrs"/>
    <tableColumn id="7" name="Qualification"/>
    <tableColumn id="8" name="Current designation"/>
    <tableColumn id="9" name="Final designation"/>
    <tableColumn id="10" name="Job family"/>
    <tableColumn id="11" name="Sub-family · what they do"/>
    <tableColumn id="12" name="Current level"/>
    <tableColumn id="13" name="FINAL LEVEL"/>
    <tableColumn id="14" name="Level title"/>
    <tableColumn id="15" name="Band"/>
    <tableColumn id="16" name="Track"/>
    <tableColumn id="17" name="Change vs current"/>
    <tableColumn id="18" name="Role profile — what they do, responsibilities &amp; competencies required"/>
    <tableColumn id="19" name="Business impact — from survey and data"/>
    <tableColumn id="20" name="Business impact — from manager / head · to complete"/>
    <tableColumn id="21" name="Replacement — what they do · simple"/>
    <tableColumn id="22" name="Hire equivalent · external market"/>
    <tableColumn id="23" name="Competencies &amp; skill level to hire for"/>
    <tableColumn id="24" name="Interview questions for the perfect fit"/>
    <tableColumn id="25" name="Weight row — Weightage Matrix"/>
    <tableColumn id="26" name="Complexity rating"/>
    <tableColumn id="27" name="Complexity weight"/>
    <tableColumn id="28" name="Complexity points"/>
    <tableColumn id="29" name="Autonomy rating"/>
    <tableColumn id="30" name="Autonomy weight"/>
    <tableColumn id="31" name="Autonomy points"/>
    <tableColumn id="32" name="Accountab. rating"/>
    <tableColumn id="33" name="Accountab. weight"/>
    <tableColumn id="34" name="Accountab. points"/>
    <tableColumn id="35" name="Leadership rating"/>
    <tableColumn id="36" name="Leadership weight"/>
    <tableColumn id="37" name="Leadership points"/>
    <tableColumn id="38" name="Exp + Qual rating"/>
    <tableColumn id="39" name="Exp + Qual weight"/>
    <tableColumn id="40" name="Exp + Qual points"/>
    <tableColumn id="41" name="Bus. Impact rating"/>
    <tableColumn id="42" name="Bus. Impact weight"/>
    <tableColumn id="43" name="Bus. Impact points"/>
    <tableColumn id="44" name="WEIGHTED SCORE = Σ points"/>
    <tableColumn id="45" name="Level the score indicates"/>
    <tableColumn id="46" name="Why these weights"/>
    <tableColumn id="47" name="Calculation"/>
    <tableColumn id="48" name="Gates, limits &amp; Player-Coach transition steps applied — with the numbers"/>
    <tableColumn id="49" name="Complexity &amp; Expertise — justification"/>
    <tableColumn id="50" name="Autonomy &amp; Decision — justification"/>
    <tableColumn id="51" name="Accountability &amp; Impact — justification"/>
    <tableColumn id="52" name="Leadership &amp; Strategy — justification"/>
    <tableColumn id="53" name="Experience &amp; Qualification — justification"/>
    <tableColumn id="54" name="Business Impact — justification"/>
    <tableColumn id="55" name="ADDITIONAL INPUTS NEEDED — what, and who provides it"/>
    <tableColumn id="56" name="Data used for this person"/>
    <tableColumn id="57" name="Market standard for this role and level"/>
    <tableColumn id="58" name="Confidence"/>
    <tableColumn id="59" name="Points to confirm"/>
    <tableColumn id="60" name="Player-Coach / calibration flag"/>
    <tableColumn id="61" name="Current fixed pay · annual CTC"/>
    <tableColumn id="62" name="Proposed range — minimum"/>
    <tableColumn id="63" name="Proposed range — midpoint"/>
    <tableColumn id="64" name="Proposed range — maximum"/>
    <tableColumn id="65" name="Compa-ratio"/>
    <tableColumn id="66" name="Manager validation"/>
    <tableColumn id="67" name="Manager comment / proposed change"/>
    <tableColumn id="68" name="HR decision"/>
    <tableColumn id="69" name="Approved level"/>
    <tableColumn id="70" name="Approved designation"/>
    <tableColumn id="71" name="Pay / title protection · Y/N"/>
    <tableColumn id="72" name="Reviewer"/>
    <tableColumn id="73" name="Decision date"/>
    <tableColumn id="74" name="Bus. Impact — model start"/>
  </tableColumns>
  <tableStyleInfo name="TableStyleLight1" showRowStripes="1" showColumnStripes="0"/>
</table>
</file>

<file path=xl/tables/table4.xml><?xml version="1.0" encoding="utf-8"?>
<table xmlns="http://schemas.openxmlformats.org/spreadsheetml/2006/main" id="4" name="T_3__Raw_Data___Market_Standards" displayName="T_3__Raw_Data___Market_Standards" ref="A6:CG55" headerRowCount="1">
  <autoFilter ref="A6:CG55"/>
  <tableColumns count="85">
    <tableColumn id="1" name="Emp ID"/>
    <tableColumn id="2" name="Employee name"/>
    <tableColumn id="3" name="Department"/>
    <tableColumn id="4" name="Current designation"/>
    <tableColumn id="5" name="Final designation"/>
    <tableColumn id="6" name="Current level"/>
    <tableColumn id="7" name="FINAL LEVEL"/>
    <tableColumn id="8" name="Change vs current"/>
    <tableColumn id="9" name="Job family"/>
    <tableColumn id="10" name="Sub-family"/>
    <tableColumn id="11" name="ADDITIONAL INPUTS NEEDED — what, and who provides it"/>
    <tableColumn id="12" name="Survey questions answered · of 20"/>
    <tableColumn id="13" name="Radford / Mercer code"/>
    <tableColumn id="14" name="Pave level"/>
    <tableColumn id="15" name="SFIA 9"/>
    <tableColumn id="16" name="IRIS experience guide"/>
    <tableColumn id="17" name="Market experience · Accenture · Infosys"/>
    <tableColumn id="18" name="Typical market title based on competitor/market benchmark"/>
    <tableColumn id="19" name="Competitors, regtech &amp; SaaS leaders"/>
    <tableColumn id="20" name="Professional standard"/>
    <tableColumn id="21" name="Required capability · Core · Future · Functional · Leadership"/>
    <tableColumn id="22" name="Sr No"/>
    <tableColumn id="23" name="Emp Id · 2"/>
    <tableColumn id="24" name="Employee Category"/>
    <tableColumn id="25" name="Employee Status"/>
    <tableColumn id="26" name="Employee Name · 2"/>
    <tableColumn id="27" name="DoJ"/>
    <tableColumn id="28" name="Designation"/>
    <tableColumn id="29" name="Highest Qualifications"/>
    <tableColumn id="30" name="Reporting Manager"/>
    <tableColumn id="31" name="N levels"/>
    <tableColumn id="32" name="Manager or Individual Contributor"/>
    <tableColumn id="33" name="EXP Outside IRIS"/>
    <tableColumn id="34" name="EXP Current IRIS"/>
    <tableColumn id="35" name="Business Line"/>
    <tableColumn id="36" name="Product/Others"/>
    <tableColumn id="37" name="Department · 2"/>
    <tableColumn id="38" name="Sub Functional Categorization"/>
    <tableColumn id="39" name="Core Development"/>
    <tableColumn id="40" name="Functional Categorization"/>
    <tableColumn id="41" name="Skill Sets"/>
    <tableColumn id="42" name="Technical/Non-technical"/>
    <tableColumn id="43" name="Total Question Answered"/>
    <tableColumn id="44" name="Status"/>
    <tableColumn id="45" name="[Talent Mapping · iFile / iDEAL / DataTech / Database Content] Emp Id"/>
    <tableColumn id="46" name="[Talent Mapping · iFile / iDEAL / DataTech / Database Content] Employee Category"/>
    <tableColumn id="47" name="[Talent Mapping · iFile / iDEAL / DataTech / Database Content] Employee Status"/>
    <tableColumn id="48" name="[Talent Mapping · iFile / iDEAL / DataTech / Database Content] Employee Name"/>
    <tableColumn id="49" name="[Talent Mapping · iFile / iDEAL / DataTech / Database Content] DoJ"/>
    <tableColumn id="50" name="[Talent Mapping · iFile / iDEAL / DataTech / Database Content] Designation"/>
    <tableColumn id="51" name="[Talent Mapping · iFile / iDEAL / DataTech / Database Content] Role Family"/>
    <tableColumn id="52" name="[Talent Mapping · iFile / iDEAL / DataTech / Database Content] Sub-Family"/>
    <tableColumn id="53" name="[Talent Mapping · iFile / iDEAL / DataTech / Database Content] Job Title"/>
    <tableColumn id="54" name="[Talent Mapping · iFile / iDEAL / DataTech / Database Content] Career Level"/>
    <tableColumn id="55" name="[Talent Mapping · iFile / iDEAL / DataTech / Database Content] Highest Qualifications"/>
    <tableColumn id="56" name="[Talent Mapping · iFile / iDEAL / DataTech / Database Content] Reporting Manager"/>
    <tableColumn id="57" name="[Talent Mapping · iFile / iDEAL / DataTech / Database Content] N levels"/>
    <tableColumn id="58" name="[Talent Mapping · iFile / iDEAL / DataTech / Database Content] Manager or Individual Contributor"/>
    <tableColumn id="59" name="[Talent Mapping · iFile / iDEAL / DataTech / Database Content] EXP Outside IRIS"/>
    <tableColumn id="60" name="[Talent Mapping · iFile / iDEAL / DataTech / Database Content] EXP Current IRIS"/>
    <tableColumn id="61" name="[Talent Mapping · iFile / iDEAL / DataTech / Database Content] Total Experience"/>
    <tableColumn id="62" name="[Talent Mapping · iFile / iDEAL / DataTech / Database Content] Business Line"/>
    <tableColumn id="63" name="[Talent Mapping · iFile / iDEAL / DataTech / Database Content] Product/Others"/>
    <tableColumn id="64" name="[Talent Mapping · iFile / iDEAL / DataTech / Database Content] Department"/>
    <tableColumn id="65" name="[Talent Mapping · iFile / iDEAL / DataTech / Database Content] Sub Functional Categorization"/>
    <tableColumn id="66" name="[Talent Mapping · iFile / iDEAL / DataTech / Database Content] Core Development"/>
    <tableColumn id="67" name="[Talent Mapping · iFile / iDEAL / DataTech / Database Content] Functional Categorization"/>
    <tableColumn id="68" name="[Talent Mapping · iFile / iDEAL / DataTech / Database Content] Skill Sets"/>
    <tableColumn id="69" name="[Talent Mapping · iFile / iDEAL / DataTech / Database Content] Technical/Non-technical"/>
    <tableColumn id="70" name="[Talent Mapping · iFile / iDEAL / DataTech / Database Content] Location"/>
    <tableColumn id="71" name="[Talent Mapping · iFile / iDEAL / DataTech / Database Content] Annual KRAs · objective Measurable Minimum 5 - Self"/>
    <tableColumn id="72" name="[Talent Mapping · iFile / iDEAL / DataTech / Database Content] Annual KRAs · objective Measurable Minimum 5 - set by Manager"/>
    <tableColumn id="73" name="[Talent Mapping · iFile / iDEAL / DataTech / Database Content] Quarterly KRAs"/>
    <tableColumn id="74" name="[Talent Mapping · iFile / iDEAL / DataTech / Database Content] Tentative Rating for Q1 · Scale 1-5"/>
    <tableColumn id="75" name="[Talent Mapping · iFile / iDEAL / DataTech / Database Content] Last Performance Discussion date"/>
    <tableColumn id="76" name="[Talent Mapping · iFile / iDEAL / DataTech / Database Content] Is a structural Change needed for better future"/>
    <tableColumn id="77" name="[Talent Mapping · iFile / iDEAL / DataTech / Database Content] Quarterly Performance Rating"/>
    <tableColumn id="78" name="[Talent Mapping · iFile / iDEAL / DataTech / Database Content] Potential Rating · High/Med/Low"/>
    <tableColumn id="79" name="[Talent Mapping · iFile / iDEAL / DataTech / Database Content] 9-Box Placement"/>
    <tableColumn id="80" name="[Talent Mapping · iFile / iDEAL / DataTech / Database Content] Ready for Promotion"/>
    <tableColumn id="81" name="[Talent Mapping · iFile / iDEAL / DataTech / Database Content] Fast Tracker · Y/N"/>
    <tableColumn id="82" name="[Talent Mapping · iFile / iDEAL / DataTech / Database Content] Critical Role · Y/N"/>
    <tableColumn id="83" name="[Talent Mapping · iFile / iDEAL / DataTech / Database Content] Name of Successor Identified"/>
    <tableColumn id="84" name="[Talent Mapping · iFile / iDEAL / DataTech / Database Content] Training Needs identified for current Role"/>
    <tableColumn id="85" name="[Talent Mapping · iFile / iDEAL / DataTech / Database Content] Projects and Products"/>
  </tableColumns>
  <tableStyleInfo name="TableStyleLight1" showRowStripes="1" showColumnStripes="0"/>
</table>
</file>

<file path=xl/tables/table5.xml><?xml version="1.0" encoding="utf-8"?>
<table xmlns="http://schemas.openxmlformats.org/spreadsheetml/2006/main" id="5" name="T_8__Talent__Learning___Mobility" displayName="T_8__Talent__Learning___Mobility" ref="A6:AJ55" headerRowCount="1">
  <autoFilter ref="A6:AJ55"/>
  <tableColumns count="36">
    <tableColumn id="1" name="Emp ID"/>
    <tableColumn id="2" name="Employee name"/>
    <tableColumn id="3" name="Department"/>
    <tableColumn id="4" name="Current designation"/>
    <tableColumn id="5" name="Final designation"/>
    <tableColumn id="6" name="Current level"/>
    <tableColumn id="7" name="FINAL LEVEL"/>
    <tableColumn id="8" name="Change vs current"/>
    <tableColumn id="9" name="Track"/>
    <tableColumn id="10" name="Latest rating"/>
    <tableColumn id="11" name="Potential"/>
    <tableColumn id="12" name="9-box"/>
    <tableColumn id="13" name="Readiness"/>
    <tableColumn id="14" name="Top performer"/>
    <tableColumn id="15" name="Critical role · Y/N"/>
    <tableColumn id="16" name="Successor named"/>
    <tableColumn id="17" name="Competency index %"/>
    <tableColumn id="18" name="Fit"/>
    <tableColumn id="19" name="Core %"/>
    <tableColumn id="20" name="Future-ready %"/>
    <tableColumn id="21" name="Functional %"/>
    <tableColumn id="22" name="Leadership %"/>
    <tableColumn id="23" name="Top gaps"/>
    <tableColumn id="24" name="Readiness for next level"/>
    <tableColumn id="25" name="Ratings by competency · rating / required"/>
    <tableColumn id="26" name="Self-identified — topics · survey; not quoted"/>
    <tableColumn id="27" name="Manager-identified"/>
    <tableColumn id="28" name="Role-based priorities"/>
    <tableColumn id="29" name="To move to the next role — topics · survey; not quoted"/>
    <tableColumn id="30" name="Training for next role"/>
    <tableColumn id="31" name="Lateral move options"/>
    <tableColumn id="32" name="Duplication — same business"/>
    <tableColumn id="33" name="Alternate talent pool — other businesses"/>
    <tableColumn id="34" name="Direct reports"/>
    <tableColumn id="35" name="Span status"/>
    <tableColumn id="36" name="Span action"/>
  </tableColumns>
  <tableStyleInfo name="TableStyleLight1" showRowStripes="1" showColumnStripes="0"/>
</table>
</file>

<file path=xl/tables/table6.xml><?xml version="1.0" encoding="utf-8"?>
<table xmlns="http://schemas.openxmlformats.org/spreadsheetml/2006/main" id="6" name="T_12__Org_Health_6" displayName="T_12__Org_Health_6" ref="A6:G16" headerRowCount="1">
  <autoFilter ref="A6:G16"/>
  <tableColumns count="7">
    <tableColumn id="1" name="Manager"/>
    <tableColumn id="2" name="Business"/>
    <tableColumn id="3" name="Department"/>
    <tableColumn id="4" name="Level"/>
    <tableColumn id="5" name="Direct reports"/>
    <tableColumn id="6" name="Layer"/>
    <tableColumn id="7" name="What to look at"/>
  </tableColumns>
  <tableStyleInfo name="TableStyleLight1" showRowStripes="1" showColumnStripes="0"/>
</table>
</file>

<file path=xl/tables/table7.xml><?xml version="1.0" encoding="utf-8"?>
<table xmlns="http://schemas.openxmlformats.org/spreadsheetml/2006/main" id="7" name="T_12__Org_Health_23" displayName="T_12__Org_Health_23" ref="A23:G41" headerRowCount="1">
  <autoFilter ref="A23:G41"/>
  <tableColumns count="7">
    <tableColumn id="1" name="Sub-family · family"/>
    <tableColumn id="2" name="CARBON"/>
    <tableColumn id="3" name="iFile"/>
    <tableColumn id="4" name="iDEAL"/>
    <tableColumn id="5" name="Datatech"/>
    <tableColumn id="6" name="Consume"/>
    <tableColumn id="7" name="Corporate"/>
  </tableColumns>
  <tableStyleInfo name="TableStyleLight1" showRowStripes="1" showColumnStripes="0"/>
</table>
</file>

<file path=xl/tables/table8.xml><?xml version="1.0" encoding="utf-8"?>
<table xmlns="http://schemas.openxmlformats.org/spreadsheetml/2006/main" id="8" name="T_13__Weight_Sensitivity_40" displayName="T_13__Weight_Sensitivity_40" ref="A40:G45" headerRowCount="1">
  <autoFilter ref="A40:G45"/>
  <tableColumns count="7">
    <tableColumn id="1" name="Person"/>
    <tableColumn id="2" name="Business"/>
    <tableColumn id="3" name="Department"/>
    <tableColumn id="4" name="Level"/>
    <tableColumn id="5" name="Score"/>
    <tableColumn id="6" name="Tests that move it"/>
    <tableColumn id="7" name="Final designation"/>
  </tableColumns>
  <tableStyleInfo name="TableStyleLight1" showRowStripes="1" showColumnStripes="0"/>
</table>
</file>

<file path=xl/tables/table9.xml><?xml version="1.0" encoding="utf-8"?>
<table xmlns="http://schemas.openxmlformats.org/spreadsheetml/2006/main" id="9" name="T_14__A3_Deep_Dive_6" displayName="T_14__A3_Deep_Dive_6" ref="A6:H27" headerRowCount="1">
  <autoFilter ref="A6:H27"/>
  <tableColumns count="8">
    <tableColumn id="1" name="Person"/>
    <tableColumn id="2" name="Business"/>
    <tableColumn id="3" name="Department"/>
    <tableColumn id="4" name="Designation"/>
    <tableColumn id="5" name="Total exp. · yrs"/>
    <tableColumn id="6" name="Score"/>
    <tableColumn id="7" name="Gap to B1"/>
    <tableColumn id="8" name="Group"/>
  </tableColumns>
  <tableStyleInfo name="TableStyleLight1" showRowStripes="1" showColumnStripes="0"/>
</table>
</file>

<file path=xl/tables/table10.xml><?xml version="1.0" encoding="utf-8"?>
<table xmlns="http://schemas.openxmlformats.org/spreadsheetml/2006/main" id="10" name="T_15__Succession_5" displayName="T_15__Succession_5" ref="A5:H13" headerRowCount="1">
  <autoFilter ref="A5:H13"/>
  <tableColumns count="8">
    <tableColumn id="1" name="Role holder"/>
    <tableColumn id="2" name="Business"/>
    <tableColumn id="3" name="Role"/>
    <tableColumn id="4" name="Level"/>
    <tableColumn id="5" name="Cover"/>
    <tableColumn id="6" name="Ready now"/>
    <tableColumn id="7" name="Ready in 6–12 months"/>
    <tableColumn id="8" name="High potential"/>
  </tableColumns>
  <tableStyleInfo name="TableStyleLight1" showRowStripes="1" showColumnStripes="0"/>
</table>
</file>

<file path=xl/tables/table11.xml><?xml version="1.0" encoding="utf-8"?>
<table xmlns="http://schemas.openxmlformats.org/spreadsheetml/2006/main" id="11" name="T_15a__Critical_Roles_at_Risk_5" displayName="T_15a__Critical_Roles_at_Risk_5" ref="A5:L7" headerRowCount="1">
  <autoFilter ref="A5:L7"/>
  <tableColumns count="12">
    <tableColumn id="1" name="Person"/>
    <tableColumn id="2" name="Emp ID"/>
    <tableColumn id="3" name="Business"/>
    <tableColumn id="4" name="Department"/>
    <tableColumn id="5" name="Role"/>
    <tableColumn id="6" name="Level"/>
    <tableColumn id="7" name="Critical role"/>
    <tableColumn id="8" name="Only this person"/>
    <tableColumn id="9" name="Successor named"/>
    <tableColumn id="10" name="Risk"/>
    <tableColumn id="11" name="Possible cover · same sub-family"/>
    <tableColumn id="12" name="Action"/>
  </tableColumns>
  <tableStyleInfo name="TableStyleLight1" showRowStripes="1" showColumnStripes="0"/>
</table>
</file>

<file path=xl/tables/table12.xml><?xml version="1.0" encoding="utf-8"?>
<table xmlns="http://schemas.openxmlformats.org/spreadsheetml/2006/main" id="12" name="T_16__Role_Definitions_6" displayName="T_16__Role_Definitions_6" ref="A6:F8" headerRowCount="1">
  <autoFilter ref="A6:F8"/>
  <tableColumns count="6">
    <tableColumn id="1" name="Job family"/>
    <tableColumn id="2" name="Sub-family"/>
    <tableColumn id="3" name="Level"/>
    <tableColumn id="4" name="Track"/>
    <tableColumn id="5" name="People"/>
    <tableColumn id="6" name="Titles in use"/>
  </tableColumns>
  <tableStyleInfo name="TableStyleLight1" showRowStripes="1" showColumnStripes="0"/>
</table>
</file>

<file path=xl/tables/table13.xml><?xml version="1.0" encoding="utf-8"?>
<table xmlns="http://schemas.openxmlformats.org/spreadsheetml/2006/main" id="13" name="T_16__Role_Definitions_11" displayName="T_16__Role_Definitions_11" ref="A11:F13" headerRowCount="1">
  <autoFilter ref="A11:F13"/>
  <tableColumns count="6">
    <tableColumn id="1" name="Job family"/>
    <tableColumn id="2" name="Sub-family"/>
    <tableColumn id="3" name="Level"/>
    <tableColumn id="4" name="Track"/>
    <tableColumn id="5" name="Roles"/>
    <tableColumn id="6" name="Where · business · department · title · people"/>
  </tableColumns>
  <tableStyleInfo name="TableStyleLight1" showRowStripes="1" showColumnStripes="0"/>
</table>
</file>

<file path=xl/tables/table14.xml><?xml version="1.0" encoding="utf-8"?>
<table xmlns="http://schemas.openxmlformats.org/spreadsheetml/2006/main" id="14" name="T_17__Data_Gaps_5" displayName="T_17__Data_Gaps_5" ref="A5:G30" headerRowCount="1">
  <autoFilter ref="A5:G30"/>
  <tableColumns count="7">
    <tableColumn id="1" name="Emp ID"/>
    <tableColumn id="2" name="Person"/>
    <tableColumn id="3" name="Business"/>
    <tableColumn id="4" name="Department"/>
    <tableColumn id="5" name="Level"/>
    <tableColumn id="6" name="What is missing"/>
    <tableColumn id="7" name="Who supplies it"/>
  </tableColumns>
  <tableStyleInfo name="TableStyleLight1" showRowStripes="1" showColumnStripes="0"/>
</table>
</file>

<file path=xl/tables/table15.xml><?xml version="1.0" encoding="utf-8"?>
<table xmlns="http://schemas.openxmlformats.org/spreadsheetml/2006/main" id="15" name="T_18__Career_Ladder" displayName="T_18__Career_Ladder" ref="A6:P42" headerRowCount="1">
  <autoFilter ref="A6:P42"/>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Corporate · same work in other departments"/>
    <tableColumn id="16" name="Overlap across IRIS · same work in other products"/>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ents'!A1" TargetMode="External" Id="rId1"/></Relationships>
</file>

<file path=xl/worksheets/_rels/sheet2.xml.rels><Relationships xmlns="http://schemas.openxmlformats.org/package/2006/relationships"><Relationship Type="http://schemas.openxmlformats.org/officeDocument/2006/relationships/hyperlink" Target="#'Start &#8212; How It Works'!A1" TargetMode="External" Id="rId1"/><Relationship Type="http://schemas.openxmlformats.org/officeDocument/2006/relationships/hyperlink" Target="#'1. Overview'!A1" TargetMode="External" Id="rId2"/><Relationship Type="http://schemas.openxmlformats.org/officeDocument/2006/relationships/hyperlink" Target="#'1a. Placements'!A1" TargetMode="External" Id="rId3"/><Relationship Type="http://schemas.openxmlformats.org/officeDocument/2006/relationships/hyperlink" Target="#'1b. Person Card'!A1" TargetMode="External" Id="rId4"/><Relationship Type="http://schemas.openxmlformats.org/officeDocument/2006/relationships/hyperlink" Target="#'1d. Weightage Matrix'!A1" TargetMode="External" Id="rId5"/><Relationship Type="http://schemas.openxmlformats.org/officeDocument/2006/relationships/hyperlink" Target="#'1e. Weight Benchmark'!A1" TargetMode="External" Id="rId6"/><Relationship Type="http://schemas.openxmlformats.org/officeDocument/2006/relationships/hyperlink" Target="#'2. Talent Mapping'!A1" TargetMode="External" Id="rId7"/><Relationship Type="http://schemas.openxmlformats.org/officeDocument/2006/relationships/hyperlink" Target="#'3. Raw Data &amp; Market Standards'!A1" TargetMode="External" Id="rId8"/><Relationship Type="http://schemas.openxmlformats.org/officeDocument/2006/relationships/hyperlink" Target="#'4. Role Competency Framework'!A1" TargetMode="External" Id="rId9"/><Relationship Type="http://schemas.openxmlformats.org/officeDocument/2006/relationships/hyperlink" Target="#'5. Capability Framework'!A1" TargetMode="External" Id="rId10"/><Relationship Type="http://schemas.openxmlformats.org/officeDocument/2006/relationships/hyperlink" Target="#'6. Role Catalogue'!A1" TargetMode="External" Id="rId11"/><Relationship Type="http://schemas.openxmlformats.org/officeDocument/2006/relationships/hyperlink" Target="#'7. Role Requirements'!A1" TargetMode="External" Id="rId12"/><Relationship Type="http://schemas.openxmlformats.org/officeDocument/2006/relationships/hyperlink" Target="#'8. Talent, Learning &amp; Mobility'!A1" TargetMode="External" Id="rId13"/><Relationship Type="http://schemas.openxmlformats.org/officeDocument/2006/relationships/hyperlink" Target="#'9. Calibration &amp; Decisions'!A1" TargetMode="External" Id="rId14"/><Relationship Type="http://schemas.openxmlformats.org/officeDocument/2006/relationships/hyperlink" Target="#'10. Framework &amp; Logic'!A1" TargetMode="External" Id="rId15"/><Relationship Type="http://schemas.openxmlformats.org/officeDocument/2006/relationships/hyperlink" Target="#'11. References &amp; Benchmarks'!A1" TargetMode="External" Id="rId16"/><Relationship Type="http://schemas.openxmlformats.org/officeDocument/2006/relationships/hyperlink" Target="#'12. Org Health'!A1" TargetMode="External" Id="rId17"/><Relationship Type="http://schemas.openxmlformats.org/officeDocument/2006/relationships/hyperlink" Target="#'13. Weight Sensitivity'!A1" TargetMode="External" Id="rId18"/><Relationship Type="http://schemas.openxmlformats.org/officeDocument/2006/relationships/hyperlink" Target="#'14. A3 Deep-Dive'!A1" TargetMode="External" Id="rId19"/><Relationship Type="http://schemas.openxmlformats.org/officeDocument/2006/relationships/hyperlink" Target="#'15. Succession'!A1" TargetMode="External" Id="rId20"/><Relationship Type="http://schemas.openxmlformats.org/officeDocument/2006/relationships/hyperlink" Target="#'15a. Critical Roles at Risk'!A1" TargetMode="External" Id="rId21"/><Relationship Type="http://schemas.openxmlformats.org/officeDocument/2006/relationships/hyperlink" Target="#'16. Role Definitions'!A1" TargetMode="External" Id="rId22"/><Relationship Type="http://schemas.openxmlformats.org/officeDocument/2006/relationships/hyperlink" Target="#'17. Data Gaps'!A1" TargetMode="External" Id="rId23"/><Relationship Type="http://schemas.openxmlformats.org/officeDocument/2006/relationships/hyperlink" Target="#'18. Career Ladder'!A1" TargetMode="External" Id="rId24"/></Relationships>
</file>

<file path=xl/worksheets/_rels/sheet3.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drawing" Target="/xl/drawings/drawing1.xml" Id="rId2"/></Relationships>
</file>

<file path=xl/worksheets/_rels/sheet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drawing" Target="/xl/drawings/drawing2.xml" Id="rId2"/></Relationships>
</file>

<file path=xl/worksheets/_rels/sheet6.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Contents'!A1" TargetMode="External" Id="rId1"/></Relationships>
</file>

<file path=xl/worksheets/_rels/sheet8.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3.xm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4.xml" Id="rId2"/><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hyperlink" Target="#'Contents'!A1" TargetMode="External" Id="rId1"/></Relationships>
</file>

<file path=xl/worksheets/_rels/sheet11.xml.rels><Relationships xmlns="http://schemas.openxmlformats.org/package/2006/relationships"><Relationship Type="http://schemas.openxmlformats.org/officeDocument/2006/relationships/hyperlink" Target="#'Contents'!A1" TargetMode="External" Id="rId1"/></Relationships>
</file>

<file path=xl/worksheets/_rels/sheet12.xml.rels><Relationships xmlns="http://schemas.openxmlformats.org/package/2006/relationships"><Relationship Type="http://schemas.openxmlformats.org/officeDocument/2006/relationships/hyperlink" Target="#'Contents'!A1" TargetMode="External" Id="rId1"/></Relationships>
</file>

<file path=xl/worksheets/_rels/sheet13.xml.rels><Relationships xmlns="http://schemas.openxmlformats.org/package/2006/relationships"><Relationship Type="http://schemas.openxmlformats.org/officeDocument/2006/relationships/hyperlink" Target="#'Contents'!A1" TargetMode="External" Id="rId1"/></Relationships>
</file>

<file path=xl/worksheets/_rels/sheet1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5.xm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5.xml.rels><Relationships xmlns="http://schemas.openxmlformats.org/package/2006/relationships"><Relationship Type="http://schemas.openxmlformats.org/officeDocument/2006/relationships/hyperlink" Target="#'Contents'!A1" TargetMode="External" Id="rId1"/></Relationships>
</file>

<file path=xl/worksheets/_rels/sheet16.xml.rels><Relationships xmlns="http://schemas.openxmlformats.org/package/2006/relationships"><Relationship Type="http://schemas.openxmlformats.org/officeDocument/2006/relationships/hyperlink" Target="#'Contents'!A1" TargetMode="External" Id="rId1"/></Relationships>
</file>

<file path=xl/worksheets/_rels/sheet17.xml.rels><Relationships xmlns="http://schemas.openxmlformats.org/package/2006/relationships"><Relationship Type="http://schemas.openxmlformats.org/officeDocument/2006/relationships/hyperlink" Target="#'Contents'!A1" TargetMode="External" Id="rId1"/></Relationships>
</file>

<file path=xl/worksheets/_rels/sheet18.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6.xml" Id="rId2"/><Relationship Type="http://schemas.openxmlformats.org/officeDocument/2006/relationships/table" Target="/xl/tables/table7.xml" Id="rId3"/></Relationships>
</file>

<file path=xl/worksheets/_rels/sheet19.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8.xml" Id="rId2"/></Relationships>
</file>

<file path=xl/worksheets/_rels/sheet20.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9.xml" Id="rId2"/></Relationships>
</file>

<file path=xl/worksheets/_rels/sheet21.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0.xml" Id="rId2"/></Relationships>
</file>

<file path=xl/worksheets/_rels/sheet22.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1.xml" Id="rId2"/></Relationships>
</file>

<file path=xl/worksheets/_rels/sheet23.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2.xml" Id="rId2"/><Relationship Type="http://schemas.openxmlformats.org/officeDocument/2006/relationships/table" Target="/xl/tables/table13.xml" Id="rId3"/></Relationships>
</file>

<file path=xl/worksheets/_rels/sheet2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4.xml" Id="rId2"/></Relationships>
</file>

<file path=xl/worksheets/_rels/sheet25.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5.xml" Id="rId2"/><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1F3864"/>
    <outlinePr summaryBelow="1" summaryRight="1"/>
    <pageSetUpPr fitToPage="1"/>
  </sheetPr>
  <dimension ref="A1:E8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70" customWidth="1" min="3" max="3"/>
    <col width="44" customWidth="1" min="4" max="4"/>
    <col width="13" customWidth="1" min="5" max="5"/>
  </cols>
  <sheetData>
    <row r="1" ht="34" customHeight="1">
      <c r="A1" s="1" t="inlineStr">
        <is>
          <t>How this exercise works — from a base framework to the final job architecture</t>
        </is>
      </c>
      <c r="B1" s="2" t="n"/>
      <c r="C1" s="2" t="n"/>
      <c r="D1" s="2" t="n"/>
      <c r="E1" s="242" t="inlineStr">
        <is>
          <t>◂ Contents</t>
        </is>
      </c>
    </row>
    <row r="2" ht="46" customHeight="1">
      <c r="A2" s="3" t="inlineStr">
        <is>
          <r>
            <rPr>
              <rFont val="Calibri"/>
              <b val="1"/>
              <i val="1"/>
              <color rgb="00404040"/>
              <sz val="10"/>
            </rPr>
            <t>Read this first:</t>
          </r>
          <r>
            <rPr>
              <rFont val="Calibri"/>
              <i val="1"/>
              <color rgb="00404040"/>
              <sz val="10"/>
            </rPr>
            <t xml:space="preserve"> what we did step by step, what is happening now, how the model works, what it produced, the impact — then our framework, the Job Architecture process and the Job Design process. The same page opens every file. The full master for one product: every person, the reasoning, the role catalogue, insights and the career ladder.</t>
          </r>
        </is>
      </c>
    </row>
    <row r="3">
      <c r="A3" s="4" t="inlineStr">
        <is>
          <t>IRIS · Job Architecture &amp; Job Design · Final v1.12 · October 2026 · Internal — Confidential</t>
        </is>
      </c>
      <c r="B3" s="5" t="n"/>
      <c r="C3" s="5" t="n"/>
      <c r="D3" s="5" t="n"/>
    </row>
    <row r="4"/>
    <row r="5" ht="20" customHeight="1">
      <c r="A5" s="6" t="inlineStr">
        <is>
          <t>1. What we did — step by step</t>
        </is>
      </c>
      <c r="B5" s="2" t="n"/>
      <c r="C5" s="2" t="n"/>
      <c r="D5" s="2" t="n"/>
    </row>
    <row r="6" ht="15" customHeight="1">
      <c r="A6" s="12" t="inlineStr">
        <is>
          <t>#</t>
        </is>
      </c>
      <c r="B6" s="12" t="inlineStr">
        <is>
          <t>Step</t>
        </is>
      </c>
      <c r="C6" s="12" t="inlineStr">
        <is>
          <t>What we did</t>
        </is>
      </c>
      <c r="D6" s="12" t="inlineStr">
        <is>
          <t>What came out of it</t>
        </is>
      </c>
    </row>
    <row r="7" ht="54" customHeight="1">
      <c r="A7" s="15" t="n">
        <v>1</v>
      </c>
      <c r="B7" s="16" t="inlineStr">
        <is>
          <t>Created a base framework</t>
        </is>
      </c>
      <c r="C7" s="16" t="inlineStr">
        <is>
          <t>Built IRIS's job architecture from established market methods — Aon Radford / Mercer career levels, Korn Ferry Hay factors, WTW banding and SFIA — with job families anchored to the ILO occupation standard.</t>
        </is>
      </c>
      <c r="D7" s="16" t="inlineStr">
        <is>
          <t>19 job families, 61 sub-families, a 12-level ladder plus two Player-Coach steps · B+, C+, six factors, individual-contributor and manager tracks</t>
        </is>
      </c>
    </row>
    <row r="8" ht="54" customHeight="1">
      <c r="A8" s="15" t="n">
        <v>2</v>
      </c>
      <c r="B8" s="16" t="inlineStr">
        <is>
          <t>Designed a survey around it</t>
        </is>
      </c>
      <c r="C8" s="16" t="inlineStr">
        <is>
          <r>
            <rPr>
              <rFont val="Calibri"/>
              <b val="1"/>
              <sz val="10"/>
            </rPr>
            <t>The 'How We Grow' survey:</t>
          </r>
          <r>
            <rPr>
              <rFont val="Calibri"/>
              <sz val="10"/>
            </rPr>
            <t xml:space="preserve"> 20 questions, each tied to the framework's factors — purpose of the role, what it delivers, what it is accountable for, what it can decide, the skills and tools it needs, and learning needs.</t>
          </r>
        </is>
      </c>
      <c r="D8" s="16" t="inlineStr">
        <is>
          <t>One evidence form for every role, so each rating can be traced to an answer</t>
        </is>
      </c>
    </row>
    <row r="9" ht="41" customHeight="1">
      <c r="A9" s="15" t="n">
        <v>3</v>
      </c>
      <c r="B9" s="16" t="inlineStr">
        <is>
          <t>Conducted 60–65 workshops</t>
        </is>
      </c>
      <c r="C9" s="16" t="inlineStr">
        <is>
          <t>Ran 60–65 workshops with teams across the six products and Corporate: explained the framework, walked through the questions and collected answers in the room.</t>
        </is>
      </c>
      <c r="D9" s="16" t="inlineStr">
        <is>
          <t>Survey responses from 520 people</t>
        </is>
      </c>
    </row>
    <row r="10" ht="41" customHeight="1">
      <c r="A10" s="15" t="n">
        <v>4</v>
      </c>
      <c r="B10" s="16" t="inlineStr">
        <is>
          <t>Gathered the data</t>
        </is>
      </c>
      <c r="C10" s="16" t="inlineStr">
        <is>
          <t>Combined the survey with the HRIS employee master, KRAs · self and manager-set, the managers' talent mapping · rating, potential, 9-box and the reporting lines.</t>
        </is>
      </c>
      <c r="D10" s="16" t="inlineStr">
        <is>
          <t>One record per person — 586 people; KRAs on file for 453</t>
        </is>
      </c>
    </row>
    <row r="11" ht="41" customHeight="1">
      <c r="A11" s="15" t="n">
        <v>5</v>
      </c>
      <c r="B11" s="16" t="inlineStr">
        <is>
          <t>Cleaned and protected it</t>
        </is>
      </c>
      <c r="C11" s="16" t="inlineStr">
        <is>
          <t>Matched responses to people · with consent where needed, removed personal data, and showed survey content only where three or more role-holders answered — never one person's words against a name.</t>
        </is>
      </c>
      <c r="D11" s="16" t="inlineStr">
        <is>
          <t>Privacy-safe evidence</t>
        </is>
      </c>
    </row>
    <row r="12" ht="28" customHeight="1">
      <c r="A12" s="15" t="n">
        <v>6</v>
      </c>
      <c r="B12" s="16" t="inlineStr">
        <is>
          <t>Mapped every role</t>
        </is>
      </c>
      <c r="C12" s="16" t="inlineStr">
        <is>
          <t>Placed each person in a job family, a sub-family · the work they actually do and a track.</t>
        </is>
      </c>
      <c r="D12" s="16" t="inlineStr">
        <is>
          <t>267 distinct employee roles; one IRIS-wide role catalogue</t>
        </is>
      </c>
    </row>
    <row r="13" ht="54" customHeight="1">
      <c r="A13" s="15" t="n">
        <v>7</v>
      </c>
      <c r="B13" s="16" t="inlineStr">
        <is>
          <t>Rated and scored</t>
        </is>
      </c>
      <c r="C13" s="16" t="inlineStr">
        <is>
          <t>Rated six factors — Complexity, Autonomy, Accountability, Leadership, Experience &amp; Qualification, Business Impact — on the ladder scale from the evidence; rating × weight = points; points add up to a score; the score points to a level.</t>
        </is>
      </c>
      <c r="D13" s="16" t="inlineStr">
        <is>
          <t>A score and an indicated level for 540 employees</t>
        </is>
      </c>
    </row>
    <row r="14" ht="41" customHeight="1">
      <c r="A14" s="15" t="n">
        <v>8</v>
      </c>
      <c r="B14" s="16" t="inlineStr">
        <is>
          <t>Applied the rules</t>
        </is>
      </c>
      <c r="C14" s="16" t="inlineStr">
        <is>
          <t>Gates, limits and Player-Coach steps where the evidence calls for them, and leadership decisions for the top bands — each one written down with its numbers.</t>
        </is>
      </c>
      <c r="D14" s="16" t="inlineStr">
        <is>
          <t>A final level and designation for everyone, every move explained</t>
        </is>
      </c>
    </row>
    <row r="15" ht="41" customHeight="1">
      <c r="A15" s="15" t="n">
        <v>9</v>
      </c>
      <c r="B15" s="16" t="inlineStr">
        <is>
          <t>Benchmarked to the market</t>
        </is>
      </c>
      <c r="C15" s="16" t="inlineStr">
        <is>
          <t>Matched every level to Aon Radford / Mercer codes and SFIA, and to competitor, regtech and SaaS ladders; every source re-read and corrected.</t>
        </is>
      </c>
      <c r="D15" s="16" t="inlineStr">
        <is>
          <t>A market code and a typical market title for every level</t>
        </is>
      </c>
    </row>
    <row r="16" ht="54" customHeight="1">
      <c r="A16" s="15" t="n">
        <v>10</v>
      </c>
      <c r="B16" s="16" t="inlineStr">
        <is>
          <t>Built the file set</t>
        </is>
      </c>
      <c r="C16" s="16" t="inlineStr">
        <is>
          <t>One build produces every file from the same data, so they always agree: the HR Super Master, product masters and simplified editions, the framework &amp; model master, the calibration panel pack, the ladder master and draft letters.</t>
        </is>
      </c>
      <c r="D16" s="16" t="inlineStr">
        <is>
          <t>Files by audience, rebuilt and re-checked in minutes</t>
        </is>
      </c>
    </row>
    <row r="17" ht="28" customHeight="1">
      <c r="A17" s="15" t="n">
        <v>11</v>
      </c>
      <c r="B17" s="16" t="inlineStr">
        <is>
          <t>Reviewed and corrected</t>
        </is>
      </c>
      <c r="C17" s="16" t="inlineStr">
        <is>
          <t>Business-head review, independent reviews, and 100+ automated checks on every build · placements, privacy, formulas, links, counts.</t>
        </is>
      </c>
      <c r="D17" s="16" t="inlineStr">
        <is>
          <t>Corrections fed back as validated inputs, never as hand edits</t>
        </is>
      </c>
    </row>
    <row r="18" ht="15" customHeight="1"/>
    <row r="19" ht="20" customHeight="1">
      <c r="A19" s="6" t="inlineStr">
        <is>
          <t>2. What we are doing now</t>
        </is>
      </c>
      <c r="B19" s="2" t="n"/>
      <c r="C19" s="2" t="n"/>
      <c r="D19" s="2" t="n"/>
    </row>
    <row r="20" ht="15" customHeight="1">
      <c r="A20" s="12" t="inlineStr">
        <is>
          <t>Now</t>
        </is>
      </c>
      <c r="B20" s="8" t="n"/>
      <c r="C20" s="12" t="inlineStr">
        <is>
          <t>What happens</t>
        </is>
      </c>
      <c r="D20" s="12" t="inlineStr">
        <is>
          <t>Who</t>
        </is>
      </c>
    </row>
    <row r="21" ht="28" customHeight="1">
      <c r="A21" s="13" t="inlineStr">
        <is>
          <t>Calibration</t>
        </is>
      </c>
      <c r="B21" s="14" t="n"/>
      <c r="C21" s="16" t="inlineStr">
        <is>
          <t>The panel rates anchor roles blind and compares them with the model; close calls and moves down are decided.</t>
        </is>
      </c>
      <c r="D21" s="16" t="inlineStr">
        <is>
          <t>Calibration panel</t>
        </is>
      </c>
    </row>
    <row r="22" ht="28" customHeight="1">
      <c r="A22" s="13" t="inlineStr">
        <is>
          <t>Decisions and data</t>
        </is>
      </c>
      <c r="B22" s="14" t="n"/>
      <c r="C22" s="16" t="inlineStr">
        <is>
          <t>Open decisions and critical data requests are worked in the HR Super Master's tracker.</t>
        </is>
      </c>
      <c r="D22" s="16" t="inlineStr">
        <is>
          <t>HR, managers, business heads</t>
        </is>
      </c>
    </row>
    <row r="23" ht="28" customHeight="1">
      <c r="A23" s="13" t="inlineStr">
        <is>
          <t>Business-head review</t>
        </is>
      </c>
      <c r="B23" s="14" t="n"/>
      <c r="C23" s="16" t="inlineStr">
        <is>
          <t>Each business head marks Agree / Change / Discuss in their simplified edition; responses are imported and tracked.</t>
        </is>
      </c>
      <c r="D23" s="16" t="inlineStr">
        <is>
          <t>Business heads</t>
        </is>
      </c>
    </row>
    <row r="24" ht="28" customHeight="1">
      <c r="A24" s="13" t="inlineStr">
        <is>
          <t>Sign-off</t>
        </is>
      </c>
      <c r="B24" s="14" t="n"/>
      <c r="C24" s="16" t="inlineStr">
        <is>
          <t>The executive sponsor approves the structure; then the draft letters are issued.</t>
        </is>
      </c>
      <c r="D24" s="16" t="inlineStr">
        <is>
          <t>Executive sponsor, HR</t>
        </is>
      </c>
    </row>
    <row r="25" ht="28" customHeight="1">
      <c r="A25" s="13" t="inlineStr">
        <is>
          <t>Pay · later</t>
        </is>
      </c>
      <c r="B25" s="14" t="n"/>
      <c r="C25" s="16" t="inlineStr">
        <is>
          <t>Buy one India pay survey and price each level; pay columns stay blank until then.</t>
        </is>
      </c>
      <c r="D25" s="16" t="inlineStr">
        <is>
          <t>HR, Finance</t>
        </is>
      </c>
    </row>
    <row r="26" ht="15" customHeight="1"/>
    <row r="27" ht="20" customHeight="1">
      <c r="A27" s="6" t="inlineStr">
        <is>
          <t>3. How it works — in one minute</t>
        </is>
      </c>
      <c r="B27" s="2" t="n"/>
      <c r="C27" s="2" t="n"/>
      <c r="D27" s="2" t="n"/>
    </row>
    <row r="28" ht="15" customHeight="1">
      <c r="A28" s="12" t="inlineStr">
        <is>
          <t>Step</t>
        </is>
      </c>
      <c r="B28" s="8" t="n"/>
      <c r="C28" s="12" t="inlineStr">
        <is>
          <t>In plain words</t>
        </is>
      </c>
      <c r="D28" s="8" t="n"/>
    </row>
    <row r="29" ht="28" customHeight="1">
      <c r="A29" s="13" t="inlineStr">
        <is>
          <t>1 · A building with 12 floors</t>
        </is>
      </c>
      <c r="B29" s="14" t="n"/>
      <c r="C29" s="16" t="inlineStr">
        <is>
          <r>
            <rPr>
              <rFont val="Calibri"/>
              <b val="1"/>
              <sz val="10"/>
            </rPr>
            <t>IRIS is a building:</t>
          </r>
          <r>
            <rPr>
              <rFont val="Calibri"/>
              <sz val="10"/>
            </rPr>
            <t xml:space="preserve"> floor 1 = first job, floor 12 = CEO; two half floors · B+, C+ for player-coaches. Every job lives on one floor.</t>
          </r>
        </is>
      </c>
      <c r="D29" s="14" t="n"/>
    </row>
    <row r="30" ht="28" customHeight="1">
      <c r="A30" s="13" t="inlineStr">
        <is>
          <t>2 · Six judges</t>
        </is>
      </c>
      <c r="B30" s="14" t="n"/>
      <c r="C30" s="16" t="inlineStr">
        <is>
          <t>Six judges look at the job — How hard? Decides alone? Answers for? Leads? Experience? Business impact? — and each holds up a floor number · the rating, using the evidence: survey, KRAs, HRIS, reporting line.</t>
        </is>
      </c>
      <c r="D30" s="14" t="n"/>
    </row>
    <row r="31" ht="28" customHeight="1">
      <c r="A31" s="13" t="inlineStr">
        <is>
          <t>3 · Some count more</t>
        </is>
      </c>
      <c r="B31" s="14" t="n"/>
      <c r="C31" s="16" t="inlineStr">
        <is>
          <t>Starting out, the quality of the work counts most; for leaders, results, leading and business impact count most. Experience counts little. All six add to 100%, and leaders can edit them on the Weightage Matrix.</t>
        </is>
      </c>
      <c r="D31" s="14" t="n"/>
    </row>
    <row r="32" ht="28" customHeight="1">
      <c r="A32" s="13" t="inlineStr">
        <is>
          <t>4 · Add up = the floor</t>
        </is>
      </c>
      <c r="B32" s="14" t="n"/>
      <c r="C32" s="16" t="inlineStr">
        <is>
          <t>Card × how much it counts = points; add the points = the score; round it = the floor · 5.05 → 5 → B2. Fair-play checks can hold it — each one written down.</t>
        </is>
      </c>
      <c r="D32" s="14" t="n"/>
    </row>
    <row r="33" ht="15" customHeight="1"/>
    <row r="34" ht="15" customHeight="1">
      <c r="A34" s="11" t="inlineStr">
        <is>
          <t>The HR Super Master's sheet '1c. Scoring Made Simple' and the Process Explainer tell this story in full, with three worked examples.</t>
        </is>
      </c>
    </row>
    <row r="35" ht="20" customHeight="1">
      <c r="A35" s="6" t="inlineStr">
        <is>
          <t>4. What it produced — the output</t>
        </is>
      </c>
      <c r="B35" s="2" t="n"/>
      <c r="C35" s="2" t="n"/>
      <c r="D35" s="2" t="n"/>
    </row>
    <row r="36" ht="15" customHeight="1">
      <c r="A36" s="12" t="inlineStr">
        <is>
          <t>Output</t>
        </is>
      </c>
      <c r="B36" s="8" t="n"/>
      <c r="C36" s="8" t="n"/>
      <c r="D36" s="12" t="inlineStr">
        <is>
          <t>Count</t>
        </is>
      </c>
    </row>
    <row r="37" ht="15" customHeight="1">
      <c r="A37" s="13" t="inlineStr">
        <is>
          <t>People mapped · employees + consultants</t>
        </is>
      </c>
      <c r="B37" s="14" t="n"/>
      <c r="C37" s="14" t="n"/>
      <c r="D37" s="15" t="inlineStr">
        <is>
          <t>586</t>
        </is>
      </c>
    </row>
    <row r="38" ht="15" customHeight="1">
      <c r="A38" s="13" t="inlineStr">
        <is>
          <t>Job families · sub-families</t>
        </is>
      </c>
      <c r="B38" s="14" t="n"/>
      <c r="C38" s="14" t="n"/>
      <c r="D38" s="15" t="inlineStr">
        <is>
          <t>19 · 61</t>
        </is>
      </c>
    </row>
    <row r="39" ht="15" customHeight="1">
      <c r="A39" s="13" t="inlineStr">
        <is>
          <t>Ladder steps in use · employees</t>
        </is>
      </c>
      <c r="B39" s="14" t="n"/>
      <c r="C39" s="14" t="n"/>
      <c r="D39" s="15" t="n">
        <v>13</v>
      </c>
    </row>
    <row r="40" ht="15" customHeight="1">
      <c r="A40" s="13" t="inlineStr">
        <is>
          <t>Designations on the new ladder · employees</t>
        </is>
      </c>
      <c r="B40" s="14" t="n"/>
      <c r="C40" s="14" t="n"/>
      <c r="D40" s="15" t="n">
        <v>184</v>
      </c>
    </row>
    <row r="41" ht="15" customHeight="1">
      <c r="A41" s="13" t="inlineStr">
        <is>
          <t>Distinct employee roles</t>
        </is>
      </c>
      <c r="B41" s="14" t="n"/>
      <c r="C41" s="14" t="n"/>
      <c r="D41" s="15" t="n">
        <v>267</v>
      </c>
    </row>
    <row r="42" ht="15" customHeight="1">
      <c r="A42" s="13" t="inlineStr">
        <is>
          <t>Products and Corporate</t>
        </is>
      </c>
      <c r="B42" s="14" t="n"/>
      <c r="C42" s="14" t="n"/>
      <c r="D42" s="15" t="n">
        <v>6</v>
      </c>
    </row>
    <row r="43" ht="15" customHeight="1">
      <c r="A43" s="13" t="inlineStr">
        <is>
          <t>People in leadership bands D–E</t>
        </is>
      </c>
      <c r="B43" s="14" t="n"/>
      <c r="C43" s="14" t="n"/>
      <c r="D43" s="15" t="n">
        <v>11</v>
      </c>
    </row>
    <row r="44" ht="15" customHeight="1"/>
    <row r="45" ht="20" customHeight="1">
      <c r="A45" s="6" t="inlineStr">
        <is>
          <t>5. The impact</t>
        </is>
      </c>
      <c r="B45" s="2" t="n"/>
      <c r="C45" s="2" t="n"/>
      <c r="D45" s="2" t="n"/>
    </row>
    <row r="46" ht="15" customHeight="1">
      <c r="A46" s="12" t="inlineStr">
        <is>
          <t>Impact</t>
        </is>
      </c>
      <c r="B46" s="8" t="n"/>
      <c r="C46" s="12" t="inlineStr">
        <is>
          <t>What it means</t>
        </is>
      </c>
      <c r="D46" s="8" t="n"/>
    </row>
    <row r="47" ht="28" customHeight="1">
      <c r="A47" s="13" t="inlineStr">
        <is>
          <t>One architecture for all of IRIS</t>
        </is>
      </c>
      <c r="B47" s="14" t="n"/>
      <c r="C47" s="16" t="inlineStr">
        <is>
          <t>The same families, the same ladder and the same method in every product — titles mean the same thing everywhere.</t>
        </is>
      </c>
      <c r="D47" s="14" t="n"/>
    </row>
    <row r="48" ht="15" customHeight="1">
      <c r="A48" s="13" t="inlineStr">
        <is>
          <t>Transparent, explainable levels</t>
        </is>
      </c>
      <c r="B48" s="14" t="n"/>
      <c r="C48" s="16" t="inlineStr">
        <is>
          <t>Every level traces to evidence, ratings, weights and named rules; anyone can see why a role sits where it does.</t>
        </is>
      </c>
      <c r="D48" s="14" t="n"/>
    </row>
    <row r="49" ht="28" customHeight="1">
      <c r="A49" s="13" t="inlineStr">
        <is>
          <t>Clear career paths</t>
        </is>
      </c>
      <c r="B49" s="14" t="n"/>
      <c r="C49" s="16" t="inlineStr">
        <is>
          <t>Individual-contributor and manager tracks with a ladder in every sub-family, and the competencies needed for the next step.</t>
        </is>
      </c>
      <c r="D49" s="14" t="n"/>
    </row>
    <row r="50" ht="28" customHeight="1">
      <c r="A50" s="13" t="inlineStr">
        <is>
          <t>Duplication made visible</t>
        </is>
      </c>
      <c r="B50" s="14" t="n"/>
      <c r="C50" s="16" t="inlineStr">
        <is>
          <t>53 family × sub-family × level combinations are held in more than one product — candidates for common role definitions and shared pools.</t>
        </is>
      </c>
      <c r="D50" s="14" t="n"/>
    </row>
    <row r="51" ht="28" customHeight="1">
      <c r="A51" s="13" t="inlineStr">
        <is>
          <t>Leadership consistency</t>
        </is>
      </c>
      <c r="B51" s="14" t="n"/>
      <c r="C51" s="16" t="inlineStr">
        <is>
          <t>No one in Bands D–E sits above their reporting manager, anyone in Band D reporting to an E1 / E2 sits at D2, and leadership levels are set by approved decisions.</t>
        </is>
      </c>
      <c r="D51" s="14" t="n"/>
    </row>
    <row r="52" ht="15" customHeight="1">
      <c r="A52" s="13" t="inlineStr">
        <is>
          <t>Ready for pay and planning</t>
        </is>
      </c>
      <c r="B52" s="14" t="n"/>
      <c r="C52" s="16" t="inlineStr">
        <is>
          <t>Each level carries a market code, so pay ranges, succession and workforce planning can be built on it.</t>
        </is>
      </c>
      <c r="D52" s="14" t="n"/>
    </row>
    <row r="53" ht="15" customHeight="1"/>
    <row r="54" ht="20" customHeight="1">
      <c r="A54" s="6" t="inlineStr">
        <is>
          <t>6. Our framework at a glance</t>
        </is>
      </c>
      <c r="B54" s="2" t="n"/>
      <c r="C54" s="2" t="n"/>
      <c r="D54" s="2" t="n"/>
    </row>
    <row r="55" ht="28" customHeight="1">
      <c r="A55" s="12" t="inlineStr">
        <is>
          <t>Element</t>
        </is>
      </c>
      <c r="B55" s="12" t="inlineStr">
        <is>
          <t>What it is</t>
        </is>
      </c>
      <c r="C55" s="8" t="n"/>
      <c r="D55" s="8" t="n"/>
    </row>
    <row r="56" ht="41" customHeight="1">
      <c r="A56" s="13" t="inlineStr">
        <is>
          <t>Job families</t>
        </is>
      </c>
      <c r="B56" s="16" t="inlineStr">
        <is>
          <t>19 families of work, each anchored to the ILO occupation standard — the same in every product.</t>
        </is>
      </c>
      <c r="C56" s="14" t="n"/>
      <c r="D56" s="14" t="n"/>
    </row>
    <row r="57" ht="41" customHeight="1">
      <c r="A57" s="13" t="inlineStr">
        <is>
          <t>Sub-families</t>
        </is>
      </c>
      <c r="B57" s="16" t="inlineStr">
        <is>
          <t>61 sub-families: the work a person actually does inside a family. One definition each, used everywhere.</t>
        </is>
      </c>
      <c r="C57" s="14" t="n"/>
      <c r="D57" s="14" t="n"/>
    </row>
    <row r="58" ht="41" customHeight="1">
      <c r="A58" s="13" t="inlineStr">
        <is>
          <t>Career ladder</t>
        </is>
      </c>
      <c r="B58" s="16" t="inlineStr">
        <is>
          <r>
            <rPr>
              <rFont val="Calibri"/>
              <b val="1"/>
              <sz val="10"/>
            </rPr>
            <t>One ladder from intern to CEO:</t>
          </r>
          <r>
            <rPr>
              <rFont val="Calibri"/>
              <sz val="10"/>
            </rPr>
            <t xml:space="preserve"> A1–A3 practitioner · B1–B3 specialist / manager · B+ Player-Coach · C1–C2 principal / head · C+ Player-Coach · D1–D2 business leadership · E1–E2 enterprise leadership; X1–X3 for consultants · outside the ladder.</t>
          </r>
        </is>
      </c>
      <c r="C58" s="14" t="n"/>
      <c r="D58" s="14" t="n"/>
    </row>
    <row r="59" ht="28" customHeight="1">
      <c r="A59" s="13" t="inlineStr">
        <is>
          <t>Tracks</t>
        </is>
      </c>
      <c r="B59" s="16" t="inlineStr">
        <is>
          <t>Individual contributor, POD Lead · leads 1–3 while doing the work, Player-Coach · leads and delivers, People Manager, Consultant — experts progress without having to manage.</t>
        </is>
      </c>
      <c r="C59" s="14" t="n"/>
      <c r="D59" s="14" t="n"/>
    </row>
    <row r="60" ht="28" customHeight="1">
      <c r="A60" s="13" t="inlineStr">
        <is>
          <t>Six factors</t>
        </is>
      </c>
      <c r="B60" s="16" t="inlineStr">
        <is>
          <t>Complexity &amp; Expertise · Autonomy &amp; Decision · Accountability &amp; Impact · Leadership &amp; Strategy · Experience &amp; Qualification · Business Impact — each gets a rating: the floor of the ladder that part of the job looks like.</t>
        </is>
      </c>
      <c r="C60" s="14" t="n"/>
      <c r="D60" s="14" t="n"/>
    </row>
    <row r="61" ht="28" customHeight="1">
      <c r="A61" s="13" t="inlineStr">
        <is>
          <t>Weights</t>
        </is>
      </c>
      <c r="B61" s="16" t="inlineStr">
        <is>
          <t>How much each factor counts, by band and track · junior roles: skill and experience; senior roles: accountability and leadership, fine-tuned ±5 by type of work.</t>
        </is>
      </c>
      <c r="C61" s="14" t="n"/>
      <c r="D61" s="14" t="n"/>
    </row>
    <row r="62" ht="28" customHeight="1">
      <c r="A62" s="13" t="inlineStr">
        <is>
          <t>Rules</t>
        </is>
      </c>
      <c r="B62" s="16" t="inlineStr">
        <is>
          <t>R1–R13: category rules, provisional holds, work-substance and structure gates, experience limits, track minimums, Player-Coach steps, leadership decisions and the D–E reporting-line rules — each written on the person's row with its numbers.</t>
        </is>
      </c>
      <c r="C62" s="14" t="n"/>
      <c r="D62" s="14" t="n"/>
    </row>
    <row r="63" ht="28" customHeight="1">
      <c r="A63" s="13" t="inlineStr">
        <is>
          <t>Titles</t>
        </is>
      </c>
      <c r="B63" s="16" t="inlineStr">
        <is>
          <t>Level marker + role noun; market titles where the market has its own ladder · Product Manager, Account Executive.</t>
        </is>
      </c>
      <c r="C63" s="14" t="n"/>
      <c r="D63" s="14" t="n"/>
    </row>
    <row r="64" ht="41" customHeight="1">
      <c r="A64" s="13" t="inlineStr">
        <is>
          <t>Competencies</t>
        </is>
      </c>
      <c r="B64" s="16" t="inlineStr">
        <is>
          <t>6 core and 4 future-ready for everyone, 4 leadership for leaders, and functional competencies for each family — each with a 1–5 skill level required at every career level.</t>
        </is>
      </c>
      <c r="C64" s="14" t="n"/>
      <c r="D64" s="14" t="n"/>
    </row>
    <row r="65" ht="28" customHeight="1">
      <c r="A65" s="13" t="inlineStr">
        <is>
          <t>Market link</t>
        </is>
      </c>
      <c r="B65" s="16" t="inlineStr">
        <is>
          <t>Every level maps to Aon Radford / Mercer codes and SFIA, with competitor, regtech and SaaS equivalents — the base for pay ranges later.</t>
        </is>
      </c>
      <c r="C65" s="14" t="n"/>
      <c r="D65" s="14" t="n"/>
    </row>
    <row r="66" ht="15" customHeight="1"/>
    <row r="67" ht="20" customHeight="1">
      <c r="A67" s="6" t="inlineStr">
        <is>
          <t>7. The Job Architecture process — how the structure was built</t>
        </is>
      </c>
      <c r="B67" s="2" t="n"/>
      <c r="C67" s="2" t="n"/>
      <c r="D67" s="2" t="n"/>
    </row>
    <row r="68" ht="15" customHeight="1">
      <c r="A68" s="12" t="inlineStr">
        <is>
          <t>#</t>
        </is>
      </c>
      <c r="B68" s="12" t="inlineStr">
        <is>
          <t>Step</t>
        </is>
      </c>
      <c r="C68" s="12" t="inlineStr">
        <is>
          <t>What happens</t>
        </is>
      </c>
      <c r="D68" s="8" t="n"/>
    </row>
    <row r="69" ht="15" customHeight="1">
      <c r="A69" s="15" t="n">
        <v>1</v>
      </c>
      <c r="B69" s="16" t="inlineStr">
        <is>
          <t>Define families</t>
        </is>
      </c>
      <c r="C69" s="16" t="inlineStr">
        <is>
          <t>Group all work into job families anchored to ISCO-08, so the same work has the same name everywhere.</t>
        </is>
      </c>
      <c r="D69" s="14" t="n"/>
    </row>
    <row r="70" ht="15" customHeight="1">
      <c r="A70" s="15" t="n">
        <v>2</v>
      </c>
      <c r="B70" s="16" t="inlineStr">
        <is>
          <t>Define sub-families</t>
        </is>
      </c>
      <c r="C70" s="16" t="inlineStr">
        <is>
          <t>Split each family into the distinct kinds of work people do, from the survey and role data.</t>
        </is>
      </c>
      <c r="D70" s="14" t="n"/>
    </row>
    <row r="71" ht="28" customHeight="1">
      <c r="A71" s="15" t="n">
        <v>3</v>
      </c>
      <c r="B71" s="16" t="inlineStr">
        <is>
          <t>Set the ladder and bands</t>
        </is>
      </c>
      <c r="C71" s="16" t="inlineStr">
        <is>
          <t>One 12-level ladder with five bands and two Player-Coach steps; what each level owns, its experience range and span.</t>
        </is>
      </c>
      <c r="D71" s="14" t="n"/>
    </row>
    <row r="72" ht="28" customHeight="1">
      <c r="A72" s="15" t="n">
        <v>4</v>
      </c>
      <c r="B72" s="16" t="inlineStr">
        <is>
          <t>Set the tracks</t>
        </is>
      </c>
      <c r="C72" s="16" t="inlineStr">
        <is>
          <t>IC, POD Lead, Player-Coach, People Manager, Consultant — and the rules for each.</t>
        </is>
      </c>
      <c r="D72" s="14" t="n"/>
    </row>
    <row r="73" ht="15" customHeight="1">
      <c r="A73" s="15" t="n">
        <v>5</v>
      </c>
      <c r="B73" s="16" t="inlineStr">
        <is>
          <t>Level every role</t>
        </is>
      </c>
      <c r="C73" s="16" t="inlineStr">
        <is>
          <t>Six ratings × weights → score → level, then the rules; leadership levels by approved decision.</t>
        </is>
      </c>
      <c r="D73" s="14" t="n"/>
    </row>
    <row r="74" ht="15" customHeight="1">
      <c r="A74" s="15" t="n">
        <v>6</v>
      </c>
      <c r="B74" s="16" t="inlineStr">
        <is>
          <t>Name every role</t>
        </is>
      </c>
      <c r="C74" s="16" t="inlineStr">
        <is>
          <t>Designation = level marker + role noun; title protection for anyone moving down.</t>
        </is>
      </c>
      <c r="D74" s="14" t="n"/>
    </row>
    <row r="75" ht="15" customHeight="1">
      <c r="A75" s="15" t="n">
        <v>7</v>
      </c>
      <c r="B75" s="16" t="inlineStr">
        <is>
          <t>Benchmark</t>
        </is>
      </c>
      <c r="C75" s="16" t="inlineStr">
        <is>
          <t>Crosswalk every level to Radford / Mercer and SFIA; compare with competitor and peer ladders.</t>
        </is>
      </c>
      <c r="D75" s="14" t="n"/>
    </row>
    <row r="76" ht="15" customHeight="1">
      <c r="A76" s="15" t="n">
        <v>8</v>
      </c>
      <c r="B76" s="16" t="inlineStr">
        <is>
          <t>Govern</t>
        </is>
      </c>
      <c r="C76" s="16" t="inlineStr">
        <is>
          <t>Calibration panel, business-head review, a decision tracker and change rules · who can change a level, and how.</t>
        </is>
      </c>
      <c r="D76" s="14" t="n"/>
    </row>
    <row r="77" ht="15" customHeight="1"/>
    <row r="78" ht="20" customHeight="1">
      <c r="A78" s="6" t="inlineStr">
        <is>
          <t>8. The Job Design process — how each role is described</t>
        </is>
      </c>
      <c r="B78" s="2" t="n"/>
      <c r="C78" s="2" t="n"/>
      <c r="D78" s="2" t="n"/>
    </row>
    <row r="79" ht="15" customHeight="1">
      <c r="A79" s="12" t="inlineStr">
        <is>
          <t>#</t>
        </is>
      </c>
      <c r="B79" s="12" t="inlineStr">
        <is>
          <t>Step</t>
        </is>
      </c>
      <c r="C79" s="12" t="inlineStr">
        <is>
          <t>What happens</t>
        </is>
      </c>
      <c r="D79" s="8" t="n"/>
    </row>
    <row r="80" ht="15" customHeight="1">
      <c r="A80" s="15" t="n">
        <v>1</v>
      </c>
      <c r="B80" s="16" t="inlineStr">
        <is>
          <t>Purpose</t>
        </is>
      </c>
      <c r="C80" s="16" t="inlineStr">
        <is>
          <t>Why the role exists — from the sub-family definition and the level standard.</t>
        </is>
      </c>
      <c r="D80" s="14" t="n"/>
    </row>
    <row r="81" ht="28" customHeight="1">
      <c r="A81" s="15" t="n">
        <v>2</v>
      </c>
      <c r="B81" s="16" t="inlineStr">
        <is>
          <t>Responsibilities and deliverables</t>
        </is>
      </c>
      <c r="C81" s="16" t="inlineStr">
        <is>
          <t>What the role does and produces — from role-holders' survey answers · as counted themes and KRAs.</t>
        </is>
      </c>
      <c r="D81" s="14" t="n"/>
    </row>
    <row r="82" ht="28" customHeight="1">
      <c r="A82" s="15" t="n">
        <v>3</v>
      </c>
      <c r="B82" s="16" t="inlineStr">
        <is>
          <t>Accountability and decision rights</t>
        </is>
      </c>
      <c r="C82" s="16" t="inlineStr">
        <is>
          <t>What the role answers for, what it can decide alone, and what happens if the work is missed.</t>
        </is>
      </c>
      <c r="D82" s="14" t="n"/>
    </row>
    <row r="83" ht="15" customHeight="1">
      <c r="A83" s="15" t="n">
        <v>4</v>
      </c>
      <c r="B83" s="16" t="inlineStr">
        <is>
          <t>Measures</t>
        </is>
      </c>
      <c r="C83" s="16" t="inlineStr">
        <is>
          <r>
            <rPr>
              <rFont val="Calibri"/>
              <b val="1"/>
              <sz val="10"/>
            </rPr>
            <t>Manager-set KRAs:</t>
          </r>
          <r>
            <rPr>
              <rFont val="Calibri"/>
              <sz val="10"/>
            </rPr>
            <t xml:space="preserve"> how the role is judged.</t>
          </r>
        </is>
      </c>
      <c r="D83" s="14" t="n"/>
    </row>
    <row r="84" ht="15" customHeight="1">
      <c r="A84" s="15" t="n">
        <v>5</v>
      </c>
      <c r="B84" s="16" t="inlineStr">
        <is>
          <t>Competencies and skill level</t>
        </is>
      </c>
      <c r="C84" s="16" t="inlineStr">
        <is>
          <t>The core, future-ready, functional and leadership competencies the role needs, each at a 1–5 level.</t>
        </is>
      </c>
      <c r="D84" s="14" t="n"/>
    </row>
    <row r="85" ht="15" customHeight="1">
      <c r="A85" s="15" t="n">
        <v>6</v>
      </c>
      <c r="B85" s="16" t="inlineStr">
        <is>
          <t>Role profile and catalogue</t>
        </is>
      </c>
      <c r="C85" s="16" t="inlineStr">
        <is>
          <t>One IRIS-wide catalogue entry per family × sub-family × level × track — the shared description of the job.</t>
        </is>
      </c>
      <c r="D85" s="14" t="n"/>
    </row>
    <row r="86" ht="15" customHeight="1">
      <c r="A86" s="15" t="n">
        <v>7</v>
      </c>
      <c r="B86" s="16" t="inlineStr">
        <is>
          <t>Career ladder</t>
        </is>
      </c>
      <c r="C86" s="16" t="inlineStr">
        <is>
          <t>Where the role sits in its sub-family's ladder, the next step and what it takes.</t>
        </is>
      </c>
      <c r="D86" s="14" t="n"/>
    </row>
    <row r="87" ht="28" customHeight="1">
      <c r="A87" s="15" t="n">
        <v>8</v>
      </c>
      <c r="B87" s="16" t="inlineStr">
        <is>
          <t>Recruitment profile</t>
        </is>
      </c>
      <c r="C87" s="16" t="inlineStr">
        <is>
          <t>The hire equivalent in the market, the competencies to hire for and the interview questions — on every person card.</t>
        </is>
      </c>
      <c r="D87" s="14" t="n"/>
    </row>
  </sheetData>
  <mergeCells count="79">
    <mergeCell ref="A5:D5"/>
    <mergeCell ref="B60:D60"/>
    <mergeCell ref="A37:C37"/>
    <mergeCell ref="B57:D57"/>
    <mergeCell ref="A51:B51"/>
    <mergeCell ref="C79:D79"/>
    <mergeCell ref="C73:D73"/>
    <mergeCell ref="C50:D50"/>
    <mergeCell ref="A43:C43"/>
    <mergeCell ref="C76:D76"/>
    <mergeCell ref="A54:D54"/>
    <mergeCell ref="B62:D62"/>
    <mergeCell ref="A22:B22"/>
    <mergeCell ref="A27:D27"/>
    <mergeCell ref="A28:B28"/>
    <mergeCell ref="B56:D56"/>
    <mergeCell ref="C28:D28"/>
    <mergeCell ref="A2:D2"/>
    <mergeCell ref="C69:D69"/>
    <mergeCell ref="C83:D83"/>
    <mergeCell ref="A48:B48"/>
    <mergeCell ref="A30:B30"/>
    <mergeCell ref="C30:D30"/>
    <mergeCell ref="A35:D35"/>
    <mergeCell ref="A19:D19"/>
    <mergeCell ref="C47:D47"/>
    <mergeCell ref="A46:B46"/>
    <mergeCell ref="A38:C38"/>
    <mergeCell ref="C71:D71"/>
    <mergeCell ref="A40:C40"/>
    <mergeCell ref="B59:D59"/>
    <mergeCell ref="A52:B52"/>
    <mergeCell ref="C82:D82"/>
    <mergeCell ref="C86:D86"/>
    <mergeCell ref="C68:D68"/>
    <mergeCell ref="A49:B49"/>
    <mergeCell ref="A42:C42"/>
    <mergeCell ref="C29:D29"/>
    <mergeCell ref="C85:D85"/>
    <mergeCell ref="A34:D34"/>
    <mergeCell ref="C75:D75"/>
    <mergeCell ref="C84:D84"/>
    <mergeCell ref="B65:D65"/>
    <mergeCell ref="C31:D31"/>
    <mergeCell ref="C80:D80"/>
    <mergeCell ref="A1:D1"/>
    <mergeCell ref="A45:D45"/>
    <mergeCell ref="A21:B21"/>
    <mergeCell ref="C46:D46"/>
    <mergeCell ref="B63:D63"/>
    <mergeCell ref="C51:D51"/>
    <mergeCell ref="A78:D78"/>
    <mergeCell ref="A32:B32"/>
    <mergeCell ref="A23:B23"/>
    <mergeCell ref="C70:D70"/>
    <mergeCell ref="C48:D48"/>
    <mergeCell ref="C32:D32"/>
    <mergeCell ref="C49:D49"/>
    <mergeCell ref="A24:B24"/>
    <mergeCell ref="A41:C41"/>
    <mergeCell ref="B61:D61"/>
    <mergeCell ref="C74:D74"/>
    <mergeCell ref="A67:D67"/>
    <mergeCell ref="A25:B25"/>
    <mergeCell ref="B55:D55"/>
    <mergeCell ref="B64:D64"/>
    <mergeCell ref="A50:B50"/>
    <mergeCell ref="A47:B47"/>
    <mergeCell ref="A39:C39"/>
    <mergeCell ref="C52:D52"/>
    <mergeCell ref="A20:B20"/>
    <mergeCell ref="A36:C36"/>
    <mergeCell ref="A29:B29"/>
    <mergeCell ref="C72:D72"/>
    <mergeCell ref="C81:D81"/>
    <mergeCell ref="A3:D3"/>
    <mergeCell ref="B58:D58"/>
    <mergeCell ref="A31:B31"/>
    <mergeCell ref="C87:D87"/>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C29"/>
  <sheetViews>
    <sheetView showGridLines="0" workbookViewId="0">
      <pane ySplit="5" topLeftCell="A6" activePane="bottomLeft" state="frozen"/>
      <selection pane="bottomLeft" activeCell="A1" sqref="A1"/>
    </sheetView>
  </sheetViews>
  <sheetFormatPr baseColWidth="8" defaultRowHeight="15"/>
  <cols>
    <col width="6" customWidth="1" min="1" max="1"/>
    <col width="34" customWidth="1" min="2" max="2"/>
    <col width="90" customWidth="1" min="3" max="3"/>
  </cols>
  <sheetData>
    <row r="1" ht="34" customHeight="1">
      <c r="A1" s="1" t="inlineStr">
        <is>
          <t>IRIS Job Architecture — Corporate Product Master — contents</t>
        </is>
      </c>
      <c r="B1" s="2" t="n"/>
      <c r="C1" s="2" t="n"/>
    </row>
    <row r="2" ht="30" customHeight="1">
      <c r="A2" s="3" t="inlineStr">
        <is>
          <t>Click a sheet name to go there; every sheet has a '◂ Contents' link at the top right to come back.</t>
        </is>
      </c>
    </row>
    <row r="3">
      <c r="A3" s="4" t="inlineStr">
        <is>
          <t>IRIS · Job Architecture &amp; Job Design · Final v1.12 · October 2026 · Internal — Confidential</t>
        </is>
      </c>
      <c r="B3" s="5" t="n"/>
      <c r="C3" s="5" t="n"/>
    </row>
    <row r="4"/>
    <row r="5">
      <c r="A5" s="92" t="inlineStr">
        <is>
          <t>#</t>
        </is>
      </c>
      <c r="B5" s="92" t="inlineStr">
        <is>
          <t>Sheet</t>
        </is>
      </c>
      <c r="C5" s="92" t="inlineStr">
        <is>
          <t>What it holds</t>
        </is>
      </c>
    </row>
    <row r="6" ht="45" customHeight="1">
      <c r="A6" s="243" t="n">
        <v>1</v>
      </c>
      <c r="B6" s="244" t="inlineStr">
        <is>
          <t>Start — How It Works</t>
        </is>
      </c>
      <c r="C6" s="16" t="inlineStr">
        <is>
          <r>
            <rPr>
              <rFont val="Calibri"/>
              <b val="1"/>
              <sz val="10"/>
            </rPr>
            <t>Read this first:</t>
          </r>
          <r>
            <rPr>
              <rFont val="Calibri"/>
              <sz val="10"/>
            </rPr>
            <t xml:space="preserve"> what we did step by step, what is happening now, how the model works, what it produced, the impact — then our framework, the Job Architecture process and the Job Design process.</t>
          </r>
        </is>
      </c>
    </row>
    <row r="7" ht="60" customHeight="1">
      <c r="A7" s="243" t="n">
        <v>2</v>
      </c>
      <c r="B7" s="244" t="inlineStr">
        <is>
          <t>1. Overview</t>
        </is>
      </c>
      <c r="C7" s="16" t="inlineStr">
        <is>
          <r>
            <rPr>
              <rFont val="Calibri"/>
              <b val="1"/>
              <sz val="10"/>
            </rPr>
            <t>The whole picture on one page:</t>
          </r>
          <r>
            <rPr>
              <rFont val="Calibri"/>
              <sz val="10"/>
            </rPr>
            <t xml:space="preserve"> how many people, families, sub-families and roles; what changed from the old structure; where everyone sits by band, track and department; the Player-Coach transition steps; what each sheet in this workbook is for; and, at the end, how a role's level is worked out.</t>
          </r>
        </is>
      </c>
    </row>
    <row r="8" ht="60" customHeight="1">
      <c r="A8" s="243" t="n">
        <v>3</v>
      </c>
      <c r="B8" s="244" t="inlineStr">
        <is>
          <t>1a. Placements</t>
        </is>
      </c>
      <c r="C8" s="16" t="inlineStr">
        <is>
          <t>Who sits where, before → after, the score as built, the six ratings · bars, what set the level and any flag; after a leader edits the Weightage Matrix, the live score is on sheet 2. The full reasoning for one person is on sheet 1b · choose the Emp ID; every column for everyone is on sheet 2. Filter by business, department, family or level with the header arrows.</t>
        </is>
      </c>
    </row>
    <row r="9" ht="30" customHeight="1">
      <c r="A9" s="243" t="n">
        <v>4</v>
      </c>
      <c r="B9" s="244" t="inlineStr">
        <is>
          <t>1b. Person Card</t>
        </is>
      </c>
      <c r="C9" s="16" t="inlineStr">
        <is>
          <r>
            <rPr>
              <rFont val="Calibri"/>
              <b val="1"/>
              <sz val="10"/>
            </rPr>
            <t>Find a person:</t>
          </r>
          <r>
            <rPr>
              <rFont val="Calibri"/>
              <sz val="10"/>
            </rPr>
            <t xml:space="preserve"> paste or type an Emp ID, or pick Department → Name from the yellow drop-downs — type part of a word in the Search box beside a drop-down to shorten its list.</t>
          </r>
        </is>
      </c>
    </row>
    <row r="10" ht="30" customHeight="1">
      <c r="A10" s="243" t="n">
        <v>5</v>
      </c>
      <c r="B10" s="244" t="inlineStr">
        <is>
          <t>1d. Weightage Matrix</t>
        </is>
      </c>
      <c r="C10" s="16" t="inlineStr">
        <is>
          <t>1d · Leaders: change the yellow weights. Sheet 2 recalculates points, score and 'Level the score indicates' at once.</t>
        </is>
      </c>
    </row>
    <row r="11" ht="30" customHeight="1">
      <c r="A11" s="243" t="n">
        <v>6</v>
      </c>
      <c r="B11" s="244" t="inlineStr">
        <is>
          <t>1e. Weight Benchmark</t>
        </is>
      </c>
      <c r="C11" s="16" t="inlineStr">
        <is>
          <t>1e · The published point-factor plans, how weights shift with seniority, the evidence on experience and on business impact, and IRIS's defaults set against them.</t>
        </is>
      </c>
    </row>
    <row r="12" ht="60" customHeight="1">
      <c r="A12" s="243" t="n">
        <v>7</v>
      </c>
      <c r="B12" s="244" t="inlineStr">
        <is>
          <t>2. Talent Mapping</t>
        </is>
      </c>
      <c r="C12" s="16" t="inlineStr">
        <is>
          <r>
            <rPr>
              <rFont val="Calibri"/>
              <b val="1"/>
              <sz val="10"/>
            </rPr>
            <t>Read left to right:</t>
          </r>
          <r>
            <rPr>
              <rFont val="Calibri"/>
              <sz val="10"/>
            </rPr>
            <t xml:space="preserve"> the person → their role before and after → what the role does · responsibilities and competencies required → six ratings × weights = points → the score and the level it points to → any rule that changed the level → why each rating was given · starting point, evidence, market standard → the data used.</t>
          </r>
        </is>
      </c>
    </row>
    <row r="13" ht="45" customHeight="1">
      <c r="A13" s="243" t="n">
        <v>8</v>
      </c>
      <c r="B13" s="244" t="inlineStr">
        <is>
          <t>3. Raw Data &amp; Market Standards</t>
        </is>
      </c>
      <c r="C13" s="16" t="inlineStr">
        <is>
          <r>
            <rPr>
              <rFont val="Calibri"/>
              <b val="1"/>
              <sz val="10"/>
            </rPr>
            <t>Left:</t>
          </r>
          <r>
            <rPr>
              <rFont val="Calibri"/>
              <sz val="10"/>
            </rPr>
            <t xml:space="preserve"> the person and their final role. Middle: the market standard for that role and level.</t>
          </r>
        </is>
      </c>
    </row>
    <row r="14" ht="75" customHeight="1">
      <c r="A14" s="243" t="n">
        <v>9</v>
      </c>
      <c r="B14" s="244" t="inlineStr">
        <is>
          <t>4. Role Competency Framework</t>
        </is>
      </c>
      <c r="C14" s="16" t="inlineStr">
        <is>
          <t>For every role · designation × level × track and the sub-family it sits in: the proficiency required in each cluster and exactly what that proficiency looks like — the six core and four future-ready competencies, the leadership expected, the family's must-have and other functional competencies, the department's technical competencies, how to assess them, the credentials, and where today's role-holders stand.</t>
        </is>
      </c>
    </row>
    <row r="15" ht="30" customHeight="1">
      <c r="A15" s="243" t="n">
        <v>10</v>
      </c>
      <c r="B15" s="244" t="inlineStr">
        <is>
          <t>5. Capability Framework</t>
        </is>
      </c>
      <c r="C15" s="16" t="inlineStr">
        <is>
          <t>The level sizes the role; the capability framework defines what a person in it must be able to do, and how well · proficiency 1–5, aligned to SFIA 9.</t>
        </is>
      </c>
    </row>
    <row r="16" ht="18" customHeight="1">
      <c r="A16" s="243" t="n">
        <v>11</v>
      </c>
      <c r="B16" s="244" t="inlineStr">
        <is>
          <t>6. Role Catalogue</t>
        </is>
      </c>
      <c r="C16" s="16" t="inlineStr">
        <is>
          <t>One row per catalogue role · job family × sub-family × level × track that someone here holds.</t>
        </is>
      </c>
    </row>
    <row r="17" ht="18" customHeight="1">
      <c r="A17" s="243" t="n">
        <v>12</v>
      </c>
      <c r="B17" s="244" t="inlineStr">
        <is>
          <t>7. Role Requirements</t>
        </is>
      </c>
      <c r="C17" s="16" t="inlineStr">
        <is>
          <t>One row per role · designation × level × track inside each department, lowest level first.</t>
        </is>
      </c>
    </row>
    <row r="18" ht="45" customHeight="1">
      <c r="A18" s="243" t="n">
        <v>13</v>
      </c>
      <c r="B18" s="244" t="inlineStr">
        <is>
          <t>8. Talent, Learning &amp; Mobility</t>
        </is>
      </c>
      <c r="C18" s="16" t="inlineStr">
        <is>
          <t>Manager talent data, competency results against the role's profile, learning needs from three angles · self, manager, role, and mobility signals · lateral options, duplicated work, similar talent elsewhere in IRIS, span.</t>
        </is>
      </c>
    </row>
    <row r="19" ht="60" customHeight="1">
      <c r="A19" s="243" t="n">
        <v>14</v>
      </c>
      <c r="B19" s="244" t="inlineStr">
        <is>
          <t>9. Calibration &amp; Decisions</t>
        </is>
      </c>
      <c r="C19" s="16" t="inlineStr">
        <is>
          <r>
            <rPr>
              <rFont val="Calibri"/>
              <b val="1"/>
              <sz val="10"/>
            </rPr>
            <t>Every placement that needs a human decision, with the reason:</t>
          </r>
          <r>
            <rPr>
              <rFont val="Calibri"/>
              <sz val="10"/>
            </rPr>
            <t xml:space="preserve"> Player-Coach transition steps and candidates, close calls, moves down, changes from the earlier proposal, provisional cases, title checks, long-tenure A3 cases, senior titles without teams — then the open decisions and the quality checks run on this workbook.</t>
          </r>
        </is>
      </c>
    </row>
    <row r="20" ht="45" customHeight="1">
      <c r="A20" s="243" t="n">
        <v>15</v>
      </c>
      <c r="B20" s="244" t="inlineStr">
        <is>
          <t>10. Framework &amp; Logic</t>
        </is>
      </c>
      <c r="C20" s="16" t="inlineStr">
        <is>
          <t>How the Master Framework is applied to Corporate, step by step: classification, tracks, factors and weights, rules, levels, market benchmarks, capability, validation, data and sources.</t>
        </is>
      </c>
    </row>
    <row r="21" ht="45" customHeight="1">
      <c r="A21" s="243" t="n">
        <v>16</v>
      </c>
      <c r="B21" s="244" t="inlineStr">
        <is>
          <t>11. References &amp; Benchmarks</t>
        </is>
      </c>
      <c r="C21" s="16" t="inlineStr">
        <is>
          <r>
            <rPr>
              <rFont val="Calibri"/>
              <b val="1"/>
              <sz val="10"/>
            </rPr>
            <t>Scope:</t>
          </r>
          <r>
            <rPr>
              <rFont val="Calibri"/>
              <sz val="10"/>
            </rPr>
            <t xml:space="preserve"> Corporate. Every company, standard, database and website used, and — department by department — what the best standard looks like at each IRIS level · A1 → E2 at IRIS's direct competitors, regtech leaders and SaaS leaders.</t>
          </r>
        </is>
      </c>
    </row>
    <row r="22" ht="30" customHeight="1">
      <c r="A22" s="243" t="n">
        <v>17</v>
      </c>
      <c r="B22" s="244" t="inlineStr">
        <is>
          <t>12. Org Health</t>
        </is>
      </c>
      <c r="C22" s="16" t="inlineStr">
        <is>
          <t>Managers with very small or very large teams, the deepest reporting chains, and the sub-family overlap across businesses.</t>
        </is>
      </c>
    </row>
    <row r="23" ht="30" customHeight="1">
      <c r="A23" s="243" t="n">
        <v>18</v>
      </c>
      <c r="B23" s="244" t="inlineStr">
        <is>
          <t>13. Weight Sensitivity</t>
        </is>
      </c>
      <c r="C23" s="16" t="inlineStr">
        <is>
          <t>Every placement re-run 30 times, each time moving 5 weight points from one factor to another in every weight set.</t>
        </is>
      </c>
    </row>
    <row r="24" ht="30" customHeight="1">
      <c r="A24" s="243" t="n">
        <v>19</v>
      </c>
      <c r="B24" s="244" t="inlineStr">
        <is>
          <t>14. A3 Deep-Dive</t>
        </is>
      </c>
      <c r="C24" s="16" t="inlineStr">
        <is>
          <t>21 employees at A3. 'Gap to B1' = 3.5 minus the person's score on Band B's own weights · B's entry point.</t>
        </is>
      </c>
    </row>
    <row r="25" ht="30" customHeight="1">
      <c r="A25" s="243" t="n">
        <v>20</v>
      </c>
      <c r="B25" s="244" t="inlineStr">
        <is>
          <t>15. Succession</t>
        </is>
      </c>
      <c r="C25" s="16" t="inlineStr">
        <is>
          <r>
            <rPr>
              <rFont val="Calibri"/>
              <b val="1"/>
              <sz val="10"/>
            </rPr>
            <t>For every role at C1 and above:</t>
          </r>
          <r>
            <rPr>
              <rFont val="Calibri"/>
              <sz val="10"/>
            </rPr>
            <t xml:space="preserve"> people in the same job family, up to three steps below, by readiness · from the talent data on sheet 8.</t>
          </r>
        </is>
      </c>
    </row>
    <row r="26" ht="30" customHeight="1">
      <c r="A26" s="243" t="n">
        <v>21</v>
      </c>
      <c r="B26" s="244" t="inlineStr">
        <is>
          <t>15a. Critical Roles at Risk</t>
        </is>
      </c>
      <c r="C26" s="16" t="inlineStr">
        <is>
          <t>2 people whose role is critical, or whose work only they do, with no successor named · 0 high risk.</t>
        </is>
      </c>
    </row>
    <row r="27" ht="18" customHeight="1">
      <c r="A27" s="243" t="n">
        <v>22</v>
      </c>
      <c r="B27" s="244" t="inlineStr">
        <is>
          <t>16. Role Definitions</t>
        </is>
      </c>
      <c r="C27" s="16" t="inlineStr">
        <is>
          <t>35 department-level roles map to 31 role definitions · family · sub-family · level · track.</t>
        </is>
      </c>
    </row>
    <row r="28" ht="30" customHeight="1">
      <c r="A28" s="243" t="n">
        <v>23</v>
      </c>
      <c r="B28" s="244" t="inlineStr">
        <is>
          <t>17. Data Gaps</t>
        </is>
      </c>
      <c r="C28" s="16" t="inlineStr">
        <is>
          <t>19 employees with at least one missing input. The same list, with owner and status columns, is in the HR Super Master's calibration tracker.</t>
        </is>
      </c>
    </row>
    <row r="29" ht="60" customHeight="1">
      <c r="A29" s="243" t="n">
        <v>24</v>
      </c>
      <c r="B29" s="244" t="inlineStr">
        <is>
          <t>18. Career Ladder</t>
        </is>
      </c>
      <c r="C29" s="16" t="inlineStr">
        <is>
          <t>49 people in 8 departments. One row per designation at a level in a department, ordered department → band → level · bottom to top: earlier rows are lower levels. 'Same work' = same job family, sub-family and level; overlap within the product is shaded orange, overlap across IRIS blue.</t>
        </is>
      </c>
    </row>
  </sheetData>
  <mergeCells count="3">
    <mergeCell ref="A1:C1"/>
    <mergeCell ref="A3:C3"/>
    <mergeCell ref="A2:C2"/>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2" r:id="rId17"/>
    <hyperlink xmlns:r="http://schemas.openxmlformats.org/officeDocument/2006/relationships" ref="B23" r:id="rId18"/>
    <hyperlink xmlns:r="http://schemas.openxmlformats.org/officeDocument/2006/relationships" ref="B24"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28" r:id="rId23"/>
    <hyperlink xmlns:r="http://schemas.openxmlformats.org/officeDocument/2006/relationships" ref="B29" r:id="rId24"/>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3.xml><?xml version="1.0" encoding="utf-8"?>
<worksheet xmlns="http://schemas.openxmlformats.org/spreadsheetml/2006/main">
  <sheetPr>
    <tabColor rgb="001F3864"/>
    <outlinePr summaryBelow="1" summaryRight="1"/>
    <pageSetUpPr fitToPage="1"/>
  </sheetPr>
  <dimension ref="A1:O174"/>
  <sheetViews>
    <sheetView showGridLines="0" workbookViewId="0">
      <pane ySplit="4" topLeftCell="A5"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3" customWidth="1" min="15" max="15"/>
  </cols>
  <sheetData>
    <row r="1" ht="34" customHeight="1">
      <c r="A1" s="1" t="inlineStr">
        <is>
          <t>Overview — Corporate</t>
        </is>
      </c>
      <c r="O1" s="242" t="inlineStr">
        <is>
          <t>◂ Contents</t>
        </is>
      </c>
    </row>
    <row r="2" ht="32" customHeight="1">
      <c r="A2" s="3" t="inlineStr">
        <is>
          <r>
            <rPr>
              <rFont val="Calibri"/>
              <b val="1"/>
              <i val="1"/>
              <color rgb="00404040"/>
              <sz val="10"/>
            </rPr>
            <t>Sheet 1 · The whole picture on one page:</t>
          </r>
          <r>
            <rPr>
              <rFont val="Calibri"/>
              <i val="1"/>
              <color rgb="00404040"/>
              <sz val="10"/>
            </rPr>
            <t xml:space="preserve"> how many people, families, sub-families and roles; what changed from the old structure; where everyone sits by band, track and department; the Player-Coach transition steps; what each sheet in this workbook is for; and, at the end, how a role's level is worked out.</t>
          </r>
        </is>
      </c>
    </row>
    <row r="3">
      <c r="A3" s="4" t="inlineStr">
        <is>
          <t>IRIS · Job Architecture &amp; Job Design · Final v1.12 · October 2026 · Internal — Confidential</t>
        </is>
      </c>
    </row>
    <row r="4" ht="15" customHeight="1"/>
    <row r="5" ht="20" customHeight="1">
      <c r="A5" s="6" t="inlineStr">
        <is>
          <t>1. Headline numbers</t>
        </is>
      </c>
    </row>
    <row r="6" ht="15" customHeight="1">
      <c r="A6" s="7" t="inlineStr">
        <is>
          <t>People</t>
        </is>
      </c>
      <c r="B6" s="211" t="n"/>
      <c r="C6" s="7" t="inlineStr">
        <is>
          <t>Departments</t>
        </is>
      </c>
      <c r="D6" s="211" t="n"/>
      <c r="E6" s="7" t="inlineStr">
        <is>
          <t>Job families</t>
        </is>
      </c>
      <c r="F6" s="211" t="n"/>
      <c r="G6" s="7" t="inlineStr">
        <is>
          <t>Sub-families</t>
        </is>
      </c>
      <c r="H6" s="211" t="n"/>
      <c r="I6" s="7" t="inlineStr">
        <is>
          <t>Roles</t>
        </is>
      </c>
      <c r="J6" s="211" t="n"/>
      <c r="K6" s="7" t="inlineStr">
        <is>
          <t>Ladder steps in use</t>
        </is>
      </c>
      <c r="L6" s="211" t="n"/>
      <c r="M6" s="7" t="inlineStr">
        <is>
          <t>Player-Coaches</t>
        </is>
      </c>
      <c r="N6" s="211" t="n"/>
    </row>
    <row r="7" ht="30" customHeight="1">
      <c r="A7" s="9" t="n">
        <v>49</v>
      </c>
      <c r="B7" s="211" t="n"/>
      <c r="C7" s="9" t="n">
        <v>8</v>
      </c>
      <c r="D7" s="211" t="n"/>
      <c r="E7" s="9" t="n">
        <v>9</v>
      </c>
      <c r="F7" s="211" t="n"/>
      <c r="G7" s="9" t="n">
        <v>18</v>
      </c>
      <c r="H7" s="211" t="n"/>
      <c r="I7" s="9" t="n">
        <v>36</v>
      </c>
      <c r="J7" s="211" t="n"/>
      <c r="K7" s="9" t="n">
        <v>10</v>
      </c>
      <c r="L7" s="211" t="n"/>
      <c r="M7" s="9" t="n">
        <v>0</v>
      </c>
      <c r="N7" s="211" t="n"/>
    </row>
    <row r="8" ht="28" customHeight="1">
      <c r="A8" s="7" t="inlineStr">
        <is>
          <t>Level up vs current</t>
        </is>
      </c>
      <c r="B8" s="211" t="n"/>
      <c r="C8" s="7" t="inlineStr">
        <is>
          <t>Level down · protected</t>
        </is>
      </c>
      <c r="D8" s="211" t="n"/>
      <c r="E8" s="7" t="inlineStr">
        <is>
          <t>Same level</t>
        </is>
      </c>
      <c r="F8" s="211" t="n"/>
      <c r="G8" s="7" t="inlineStr">
        <is>
          <t>Newly mapped</t>
        </is>
      </c>
      <c r="H8" s="211" t="n"/>
      <c r="I8" s="7" t="inlineStr">
        <is>
          <t>Close calls / near a gate</t>
        </is>
      </c>
      <c r="J8" s="211" t="n"/>
      <c r="K8" s="7" t="inlineStr">
        <is>
          <t>Consultants</t>
        </is>
      </c>
      <c r="L8" s="211" t="n"/>
    </row>
    <row r="9" ht="30" customHeight="1">
      <c r="A9" s="9" t="n">
        <v>0</v>
      </c>
      <c r="B9" s="211" t="n"/>
      <c r="C9" s="9" t="n">
        <v>1</v>
      </c>
      <c r="D9" s="211" t="n"/>
      <c r="E9" s="9" t="n">
        <v>3</v>
      </c>
      <c r="F9" s="211" t="n"/>
      <c r="G9" s="9" t="n">
        <v>45</v>
      </c>
      <c r="H9" s="211" t="n"/>
      <c r="I9" s="9" t="inlineStr">
        <is>
          <t>2 / 1</t>
        </is>
      </c>
      <c r="J9" s="211" t="n"/>
      <c r="K9" s="9" t="n">
        <v>1</v>
      </c>
      <c r="L9" s="211" t="n"/>
    </row>
    <row r="10" ht="28" customHeight="1">
      <c r="A10" s="11" t="inlineStr">
        <is>
          <t>Job families and sub-families exclude 'Unassigned' · consultants with no role on record. Career levels: 12 levels A1–E2 plus 2 Player-Coach Player-Coach transition steps · B+, C+ = 14; consultants sit outside the ladder at X1–X3. Departments are counted per business line.</t>
        </is>
      </c>
    </row>
    <row r="11" ht="15" customHeight="1"/>
    <row r="12" ht="20" customHeight="1">
      <c r="A12" s="6" t="inlineStr">
        <is>
          <t>2. What changed — old structure → new structure</t>
        </is>
      </c>
    </row>
    <row r="13" ht="28" customHeight="1">
      <c r="A13" s="12" t="inlineStr">
        <is>
          <t>Measure</t>
        </is>
      </c>
      <c r="B13" s="212" t="n"/>
      <c r="C13" s="211" t="n"/>
      <c r="D13" s="12" t="inlineStr">
        <is>
          <t>Old · count</t>
        </is>
      </c>
      <c r="E13" s="211" t="n"/>
      <c r="F13" s="12" t="inlineStr">
        <is>
          <t>New · count</t>
        </is>
      </c>
      <c r="G13" s="211" t="n"/>
      <c r="H13" s="12" t="inlineStr">
        <is>
          <t>People whose value changed</t>
        </is>
      </c>
      <c r="I13" s="211" t="n"/>
      <c r="J13" s="12" t="inlineStr">
        <is>
          <t>People unchanged</t>
        </is>
      </c>
      <c r="K13" s="211" t="n"/>
      <c r="L13" s="12" t="inlineStr">
        <is>
          <t>What it means</t>
        </is>
      </c>
      <c r="M13" s="212" t="n"/>
      <c r="N13" s="211" t="n"/>
    </row>
    <row r="14" ht="41" customHeight="1">
      <c r="A14" s="13" t="inlineStr">
        <is>
          <t>Job families</t>
        </is>
      </c>
      <c r="B14" s="212" t="n"/>
      <c r="C14" s="211" t="n"/>
      <c r="D14" s="15" t="n">
        <v>6</v>
      </c>
      <c r="E14" s="211" t="n"/>
      <c r="F14" s="15" t="n">
        <v>9</v>
      </c>
      <c r="G14" s="211" t="n"/>
      <c r="H14" s="15" t="n">
        <v>47</v>
      </c>
      <c r="I14" s="211" t="n"/>
      <c r="J14" s="15" t="n">
        <v>2</v>
      </c>
      <c r="K14" s="211" t="n"/>
      <c r="L14" s="16" t="inlineStr">
        <is>
          <t>Families are now disciplines, the same across businesses</t>
        </is>
      </c>
      <c r="M14" s="212" t="n"/>
      <c r="N14" s="211" t="n"/>
    </row>
    <row r="15" ht="28" customHeight="1">
      <c r="A15" s="13" t="inlineStr">
        <is>
          <t>Sub-families</t>
        </is>
      </c>
      <c r="B15" s="212" t="n"/>
      <c r="C15" s="211" t="n"/>
      <c r="D15" s="15" t="n">
        <v>10</v>
      </c>
      <c r="E15" s="211" t="n"/>
      <c r="F15" s="15" t="n">
        <v>18</v>
      </c>
      <c r="G15" s="211" t="n"/>
      <c r="H15" s="15" t="n">
        <v>48</v>
      </c>
      <c r="I15" s="211" t="n"/>
      <c r="J15" s="15" t="n">
        <v>1</v>
      </c>
      <c r="K15" s="211" t="n"/>
      <c r="L15" s="16" t="inlineStr">
        <is>
          <t>Sub-families now name the actual work done</t>
        </is>
      </c>
      <c r="M15" s="212" t="n"/>
      <c r="N15" s="211" t="n"/>
    </row>
    <row r="16" ht="28" customHeight="1">
      <c r="A16" s="13" t="inlineStr">
        <is>
          <t>Designations</t>
        </is>
      </c>
      <c r="B16" s="212" t="n"/>
      <c r="C16" s="211" t="n"/>
      <c r="D16" s="15" t="n">
        <v>34</v>
      </c>
      <c r="E16" s="211" t="n"/>
      <c r="F16" s="15" t="n">
        <v>35</v>
      </c>
      <c r="G16" s="211" t="n"/>
      <c r="H16" s="15" t="n">
        <v>44</v>
      </c>
      <c r="I16" s="211" t="n"/>
      <c r="J16" s="15" t="n">
        <v>5</v>
      </c>
      <c r="K16" s="211" t="n"/>
      <c r="L16" s="16" t="inlineStr">
        <is>
          <t>Title = level marker + role noun</t>
        </is>
      </c>
      <c r="M16" s="212" t="n"/>
      <c r="N16" s="211" t="n"/>
    </row>
    <row r="17" ht="41" customHeight="1">
      <c r="A17" s="13" t="inlineStr">
        <is>
          <t>Career levels</t>
        </is>
      </c>
      <c r="B17" s="212" t="n"/>
      <c r="C17" s="211" t="n"/>
      <c r="D17" s="15" t="n">
        <v>5</v>
      </c>
      <c r="E17" s="211" t="n"/>
      <c r="F17" s="15" t="n">
        <v>10</v>
      </c>
      <c r="G17" s="211" t="n"/>
      <c r="H17" s="15" t="n">
        <v>46</v>
      </c>
      <c r="I17" s="211" t="n"/>
      <c r="J17" s="15" t="n">
        <v>3</v>
      </c>
      <c r="K17" s="211" t="n"/>
      <c r="L17" s="16" t="inlineStr">
        <is>
          <r>
            <rPr>
              <rFont val="Calibri"/>
              <b val="1"/>
              <sz val="10"/>
            </rPr>
            <t>New ladder:</t>
          </r>
          <r>
            <rPr>
              <rFont val="Calibri"/>
              <sz val="10"/>
            </rPr>
            <t xml:space="preserve"> 12 levels + 2 Player-Coach transition steps; consultants counted separately</t>
          </r>
        </is>
      </c>
      <c r="M17" s="212" t="n"/>
      <c r="N17" s="211" t="n"/>
    </row>
    <row r="18" ht="15" customHeight="1"/>
    <row r="19" ht="15" customHeight="1">
      <c r="A19" s="17" t="inlineStr">
        <is>
          <t>2a. Job families — old → new</t>
        </is>
      </c>
    </row>
    <row r="20" ht="15" customHeight="1">
      <c r="A20" s="12" t="inlineStr">
        <is>
          <t>Old job family</t>
        </is>
      </c>
      <c r="B20" s="212" t="n"/>
      <c r="C20" s="212" t="n"/>
      <c r="D20" s="212" t="n"/>
      <c r="E20" s="211" t="n"/>
      <c r="F20" s="12" t="inlineStr">
        <is>
          <t>New job family</t>
        </is>
      </c>
      <c r="G20" s="212" t="n"/>
      <c r="H20" s="212" t="n"/>
      <c r="I20" s="212" t="n"/>
      <c r="J20" s="211" t="n"/>
      <c r="K20" s="12" t="inlineStr">
        <is>
          <t>People</t>
        </is>
      </c>
      <c r="L20" s="12" t="inlineStr">
        <is>
          <t>What happened</t>
        </is>
      </c>
      <c r="M20" s="212" t="n"/>
      <c r="N20" s="211" t="n"/>
    </row>
    <row r="21" ht="15" customHeight="1">
      <c r="A21" s="18" t="inlineStr">
        <is>
          <t>General &amp; Admin · Employee Master</t>
        </is>
      </c>
      <c r="B21" s="212" t="n"/>
      <c r="C21" s="212" t="n"/>
      <c r="D21" s="212" t="n"/>
      <c r="E21" s="211" t="n"/>
      <c r="F21" s="18" t="inlineStr">
        <is>
          <t>IT &amp; Infrastructure</t>
        </is>
      </c>
      <c r="G21" s="212" t="n"/>
      <c r="H21" s="212" t="n"/>
      <c r="I21" s="212" t="n"/>
      <c r="J21" s="211" t="n"/>
      <c r="K21" s="20" t="n">
        <v>13</v>
      </c>
      <c r="L21" s="18" t="inlineStr">
        <is>
          <t>Split into several</t>
        </is>
      </c>
      <c r="M21" s="212" t="n"/>
      <c r="N21" s="211" t="n"/>
    </row>
    <row r="22" ht="15" customHeight="1">
      <c r="A22" s="18" t="inlineStr">
        <is>
          <t>General &amp; Admin · Employee Master</t>
        </is>
      </c>
      <c r="B22" s="212" t="n"/>
      <c r="C22" s="212" t="n"/>
      <c r="D22" s="212" t="n"/>
      <c r="E22" s="211" t="n"/>
      <c r="F22" s="18" t="inlineStr">
        <is>
          <t>Finance &amp; Accounts</t>
        </is>
      </c>
      <c r="G22" s="212" t="n"/>
      <c r="H22" s="212" t="n"/>
      <c r="I22" s="212" t="n"/>
      <c r="J22" s="211" t="n"/>
      <c r="K22" s="20" t="n">
        <v>10</v>
      </c>
      <c r="L22" s="18" t="inlineStr">
        <is>
          <t>Split into several</t>
        </is>
      </c>
      <c r="M22" s="212" t="n"/>
      <c r="N22" s="211" t="n"/>
    </row>
    <row r="23" ht="15" customHeight="1">
      <c r="A23" s="18" t="inlineStr">
        <is>
          <t>General &amp; Admin · Employee Master</t>
        </is>
      </c>
      <c r="B23" s="212" t="n"/>
      <c r="C23" s="212" t="n"/>
      <c r="D23" s="212" t="n"/>
      <c r="E23" s="211" t="n"/>
      <c r="F23" s="18" t="inlineStr">
        <is>
          <t>Administration, Legal &amp; Secretarial</t>
        </is>
      </c>
      <c r="G23" s="212" t="n"/>
      <c r="H23" s="212" t="n"/>
      <c r="I23" s="212" t="n"/>
      <c r="J23" s="211" t="n"/>
      <c r="K23" s="20" t="n">
        <v>9</v>
      </c>
      <c r="L23" s="18" t="inlineStr">
        <is>
          <t>Split into several</t>
        </is>
      </c>
      <c r="M23" s="212" t="n"/>
      <c r="N23" s="211" t="n"/>
    </row>
    <row r="24" ht="15" customHeight="1">
      <c r="A24" s="18" t="inlineStr">
        <is>
          <t>General &amp; Admin · Employee Master</t>
        </is>
      </c>
      <c r="B24" s="212" t="n"/>
      <c r="C24" s="212" t="n"/>
      <c r="D24" s="212" t="n"/>
      <c r="E24" s="211" t="n"/>
      <c r="F24" s="18" t="inlineStr">
        <is>
          <t>Human Resources</t>
        </is>
      </c>
      <c r="G24" s="212" t="n"/>
      <c r="H24" s="212" t="n"/>
      <c r="I24" s="212" t="n"/>
      <c r="J24" s="211" t="n"/>
      <c r="K24" s="20" t="n">
        <v>8</v>
      </c>
      <c r="L24" s="18" t="inlineStr">
        <is>
          <t>Split into several</t>
        </is>
      </c>
      <c r="M24" s="212" t="n"/>
      <c r="N24" s="211" t="n"/>
    </row>
    <row r="25" ht="15" customHeight="1">
      <c r="A25" s="18" t="inlineStr">
        <is>
          <t>Management · Employee Master</t>
        </is>
      </c>
      <c r="B25" s="212" t="n"/>
      <c r="C25" s="212" t="n"/>
      <c r="D25" s="212" t="n"/>
      <c r="E25" s="211" t="n"/>
      <c r="F25" s="18" t="inlineStr">
        <is>
          <t>Executive Leadership</t>
        </is>
      </c>
      <c r="G25" s="212" t="n"/>
      <c r="H25" s="212" t="n"/>
      <c r="I25" s="212" t="n"/>
      <c r="J25" s="211" t="n"/>
      <c r="K25" s="20" t="n">
        <v>3</v>
      </c>
      <c r="L25" s="18" t="inlineStr">
        <is>
          <t>Merged with others</t>
        </is>
      </c>
      <c r="M25" s="212" t="n"/>
      <c r="N25" s="211" t="n"/>
    </row>
    <row r="26" ht="15" customHeight="1">
      <c r="A26" s="18" t="inlineStr">
        <is>
          <t>Data &amp; Analytics</t>
        </is>
      </c>
      <c r="B26" s="212" t="n"/>
      <c r="C26" s="212" t="n"/>
      <c r="D26" s="212" t="n"/>
      <c r="E26" s="211" t="n"/>
      <c r="F26" s="18" t="inlineStr">
        <is>
          <t>Marketing &amp; Communications</t>
        </is>
      </c>
      <c r="G26" s="212" t="n"/>
      <c r="H26" s="212" t="n"/>
      <c r="I26" s="212" t="n"/>
      <c r="J26" s="211" t="n"/>
      <c r="K26" s="20" t="n">
        <v>1</v>
      </c>
      <c r="L26" s="18" t="inlineStr">
        <is>
          <t>Merged with others</t>
        </is>
      </c>
      <c r="M26" s="212" t="n"/>
      <c r="N26" s="211" t="n"/>
    </row>
    <row r="27" ht="15" customHeight="1">
      <c r="A27" s="21" t="inlineStr">
        <is>
          <t>Design &amp; Creative</t>
        </is>
      </c>
      <c r="B27" s="212" t="n"/>
      <c r="C27" s="212" t="n"/>
      <c r="D27" s="212" t="n"/>
      <c r="E27" s="211" t="n"/>
      <c r="F27" s="21" t="inlineStr">
        <is>
          <t>Design &amp; Creative</t>
        </is>
      </c>
      <c r="G27" s="212" t="n"/>
      <c r="H27" s="212" t="n"/>
      <c r="I27" s="212" t="n"/>
      <c r="J27" s="211" t="n"/>
      <c r="K27" s="23" t="n">
        <v>1</v>
      </c>
      <c r="L27" s="21" t="inlineStr">
        <is>
          <t>Unchanged</t>
        </is>
      </c>
      <c r="M27" s="212" t="n"/>
      <c r="N27" s="211" t="n"/>
    </row>
    <row r="28" ht="15" customHeight="1">
      <c r="A28" s="18" t="inlineStr">
        <is>
          <t>General &amp; Admin · Employee Master</t>
        </is>
      </c>
      <c r="B28" s="212" t="n"/>
      <c r="C28" s="212" t="n"/>
      <c r="D28" s="212" t="n"/>
      <c r="E28" s="211" t="n"/>
      <c r="F28" s="18" t="inlineStr">
        <is>
          <t>Engineering &amp; Development</t>
        </is>
      </c>
      <c r="G28" s="212" t="n"/>
      <c r="H28" s="212" t="n"/>
      <c r="I28" s="212" t="n"/>
      <c r="J28" s="211" t="n"/>
      <c r="K28" s="20" t="n">
        <v>1</v>
      </c>
      <c r="L28" s="18" t="inlineStr">
        <is>
          <t>Split into several</t>
        </is>
      </c>
      <c r="M28" s="212" t="n"/>
      <c r="N28" s="211" t="n"/>
    </row>
    <row r="29" ht="15" customHeight="1">
      <c r="A29" s="18" t="inlineStr">
        <is>
          <t>General &amp; Admin · Employee Master</t>
        </is>
      </c>
      <c r="B29" s="212" t="n"/>
      <c r="C29" s="212" t="n"/>
      <c r="D29" s="212" t="n"/>
      <c r="E29" s="211" t="n"/>
      <c r="F29" s="18" t="inlineStr">
        <is>
          <t>Executive Leadership</t>
        </is>
      </c>
      <c r="G29" s="212" t="n"/>
      <c r="H29" s="212" t="n"/>
      <c r="I29" s="212" t="n"/>
      <c r="J29" s="211" t="n"/>
      <c r="K29" s="20" t="n">
        <v>1</v>
      </c>
      <c r="L29" s="18" t="inlineStr">
        <is>
          <t>Split and regrouped</t>
        </is>
      </c>
      <c r="M29" s="212" t="n"/>
      <c r="N29" s="211" t="n"/>
    </row>
    <row r="30" ht="15" customHeight="1">
      <c r="A30" s="21" t="inlineStr">
        <is>
          <t>Marketing &amp; Communications</t>
        </is>
      </c>
      <c r="B30" s="212" t="n"/>
      <c r="C30" s="212" t="n"/>
      <c r="D30" s="212" t="n"/>
      <c r="E30" s="211" t="n"/>
      <c r="F30" s="21" t="inlineStr">
        <is>
          <t>Marketing &amp; Communications</t>
        </is>
      </c>
      <c r="G30" s="212" t="n"/>
      <c r="H30" s="212" t="n"/>
      <c r="I30" s="212" t="n"/>
      <c r="J30" s="211" t="n"/>
      <c r="K30" s="23" t="n">
        <v>1</v>
      </c>
      <c r="L30" s="21" t="inlineStr">
        <is>
          <t>Unchanged; others joined it</t>
        </is>
      </c>
      <c r="M30" s="212" t="n"/>
      <c r="N30" s="211" t="n"/>
    </row>
    <row r="31" ht="15" customHeight="1">
      <c r="A31" s="18" t="inlineStr">
        <is>
          <t>Product/Project · Employee Master</t>
        </is>
      </c>
      <c r="B31" s="212" t="n"/>
      <c r="C31" s="212" t="n"/>
      <c r="D31" s="212" t="n"/>
      <c r="E31" s="211" t="n"/>
      <c r="F31" s="18" t="inlineStr">
        <is>
          <t>Project &amp; Program Management</t>
        </is>
      </c>
      <c r="G31" s="212" t="n"/>
      <c r="H31" s="212" t="n"/>
      <c r="I31" s="212" t="n"/>
      <c r="J31" s="211" t="n"/>
      <c r="K31" s="20" t="n">
        <v>1</v>
      </c>
      <c r="L31" s="18" t="inlineStr">
        <is>
          <t>Renamed</t>
        </is>
      </c>
      <c r="M31" s="212" t="n"/>
      <c r="N31" s="211" t="n"/>
    </row>
    <row r="32" ht="15" customHeight="1"/>
    <row r="33" ht="15" customHeight="1">
      <c r="A33" s="17" t="inlineStr">
        <is>
          <t>2b. Sub-families — old → new · the 30 largest moves; sheet 10 §2 lists every sub-family</t>
        </is>
      </c>
    </row>
    <row r="34" ht="15" customHeight="1">
      <c r="A34" s="12" t="inlineStr">
        <is>
          <t>Old sub-family</t>
        </is>
      </c>
      <c r="B34" s="212" t="n"/>
      <c r="C34" s="212" t="n"/>
      <c r="D34" s="212" t="n"/>
      <c r="E34" s="211" t="n"/>
      <c r="F34" s="12" t="inlineStr">
        <is>
          <t>New sub-family</t>
        </is>
      </c>
      <c r="G34" s="212" t="n"/>
      <c r="H34" s="212" t="n"/>
      <c r="I34" s="212" t="n"/>
      <c r="J34" s="211" t="n"/>
      <c r="K34" s="12" t="inlineStr">
        <is>
          <t>People</t>
        </is>
      </c>
      <c r="L34" s="12" t="inlineStr">
        <is>
          <t>What happened</t>
        </is>
      </c>
      <c r="M34" s="212" t="n"/>
      <c r="N34" s="211" t="n"/>
    </row>
    <row r="35" ht="15" customHeight="1">
      <c r="A35" s="16" t="inlineStr">
        <is>
          <t>Infra · Employee Master</t>
        </is>
      </c>
      <c r="B35" s="212" t="n"/>
      <c r="C35" s="212" t="n"/>
      <c r="D35" s="212" t="n"/>
      <c r="E35" s="211" t="n"/>
      <c r="F35" s="16" t="inlineStr">
        <is>
          <t>Infrastructure &amp; Cloud Operations</t>
        </is>
      </c>
      <c r="G35" s="212" t="n"/>
      <c r="H35" s="212" t="n"/>
      <c r="I35" s="212" t="n"/>
      <c r="J35" s="211" t="n"/>
      <c r="K35" s="15" t="n">
        <v>11</v>
      </c>
      <c r="L35" s="16" t="inlineStr">
        <is>
          <t>Split into several</t>
        </is>
      </c>
      <c r="M35" s="212" t="n"/>
      <c r="N35" s="211" t="n"/>
    </row>
    <row r="36" ht="15" customHeight="1">
      <c r="A36" s="16" t="inlineStr">
        <is>
          <t>Administration · Employee Master</t>
        </is>
      </c>
      <c r="B36" s="212" t="n"/>
      <c r="C36" s="212" t="n"/>
      <c r="D36" s="212" t="n"/>
      <c r="E36" s="211" t="n"/>
      <c r="F36" s="16" t="inlineStr">
        <is>
          <t>Administration &amp; Facilities</t>
        </is>
      </c>
      <c r="G36" s="212" t="n"/>
      <c r="H36" s="212" t="n"/>
      <c r="I36" s="212" t="n"/>
      <c r="J36" s="211" t="n"/>
      <c r="K36" s="15" t="n">
        <v>6</v>
      </c>
      <c r="L36" s="16" t="inlineStr">
        <is>
          <t>Renamed</t>
        </is>
      </c>
      <c r="M36" s="212" t="n"/>
      <c r="N36" s="211" t="n"/>
    </row>
    <row r="37" ht="15" customHeight="1">
      <c r="A37" s="16" t="inlineStr">
        <is>
          <t>Accounting · Employee Master</t>
        </is>
      </c>
      <c r="B37" s="212" t="n"/>
      <c r="C37" s="212" t="n"/>
      <c r="D37" s="212" t="n"/>
      <c r="E37" s="211" t="n"/>
      <c r="F37" s="16" t="inlineStr">
        <is>
          <t>Accounting &amp; Transaction Processing</t>
        </is>
      </c>
      <c r="G37" s="212" t="n"/>
      <c r="H37" s="212" t="n"/>
      <c r="I37" s="212" t="n"/>
      <c r="J37" s="211" t="n"/>
      <c r="K37" s="15" t="n">
        <v>4</v>
      </c>
      <c r="L37" s="16" t="inlineStr">
        <is>
          <t>Split into several</t>
        </is>
      </c>
      <c r="M37" s="212" t="n"/>
      <c r="N37" s="211" t="n"/>
    </row>
    <row r="38" ht="15" customHeight="1">
      <c r="A38" s="16" t="inlineStr">
        <is>
          <t>Accounting · Employee Master</t>
        </is>
      </c>
      <c r="B38" s="212" t="n"/>
      <c r="C38" s="212" t="n"/>
      <c r="D38" s="212" t="n"/>
      <c r="E38" s="211" t="n"/>
      <c r="F38" s="16" t="inlineStr">
        <is>
          <t>Financial Reporting, Compliance &amp; Audit</t>
        </is>
      </c>
      <c r="G38" s="212" t="n"/>
      <c r="H38" s="212" t="n"/>
      <c r="I38" s="212" t="n"/>
      <c r="J38" s="211" t="n"/>
      <c r="K38" s="15" t="n">
        <v>4</v>
      </c>
      <c r="L38" s="16" t="inlineStr">
        <is>
          <t>Split into several</t>
        </is>
      </c>
      <c r="M38" s="212" t="n"/>
      <c r="N38" s="211" t="n"/>
    </row>
    <row r="39" ht="15" customHeight="1">
      <c r="A39" s="16" t="inlineStr">
        <is>
          <t>HR · Employee Master</t>
        </is>
      </c>
      <c r="B39" s="212" t="n"/>
      <c r="C39" s="212" t="n"/>
      <c r="D39" s="212" t="n"/>
      <c r="E39" s="211" t="n"/>
      <c r="F39" s="16" t="inlineStr">
        <is>
          <t>HR Operations &amp; Payroll</t>
        </is>
      </c>
      <c r="G39" s="212" t="n"/>
      <c r="H39" s="212" t="n"/>
      <c r="I39" s="212" t="n"/>
      <c r="J39" s="211" t="n"/>
      <c r="K39" s="15" t="n">
        <v>3</v>
      </c>
      <c r="L39" s="16" t="inlineStr">
        <is>
          <t>Split into several</t>
        </is>
      </c>
      <c r="M39" s="212" t="n"/>
      <c r="N39" s="211" t="n"/>
    </row>
    <row r="40" ht="15" customHeight="1">
      <c r="A40" s="16" t="inlineStr">
        <is>
          <t>HR · Employee Master</t>
        </is>
      </c>
      <c r="B40" s="212" t="n"/>
      <c r="C40" s="212" t="n"/>
      <c r="D40" s="212" t="n"/>
      <c r="E40" s="211" t="n"/>
      <c r="F40" s="16" t="inlineStr">
        <is>
          <t>Talent Acquisition</t>
        </is>
      </c>
      <c r="G40" s="212" t="n"/>
      <c r="H40" s="212" t="n"/>
      <c r="I40" s="212" t="n"/>
      <c r="J40" s="211" t="n"/>
      <c r="K40" s="15" t="n">
        <v>3</v>
      </c>
      <c r="L40" s="16" t="inlineStr">
        <is>
          <t>Split into several</t>
        </is>
      </c>
      <c r="M40" s="212" t="n"/>
      <c r="N40" s="211" t="n"/>
    </row>
    <row r="41" ht="15" customHeight="1">
      <c r="A41" s="16" t="inlineStr">
        <is>
          <t>Management · Employee Master</t>
        </is>
      </c>
      <c r="B41" s="212" t="n"/>
      <c r="C41" s="212" t="n"/>
      <c r="D41" s="212" t="n"/>
      <c r="E41" s="211" t="n"/>
      <c r="F41" s="16" t="inlineStr">
        <is>
          <t>Enterprise Leadership</t>
        </is>
      </c>
      <c r="G41" s="212" t="n"/>
      <c r="H41" s="212" t="n"/>
      <c r="I41" s="212" t="n"/>
      <c r="J41" s="211" t="n"/>
      <c r="K41" s="15" t="n">
        <v>3</v>
      </c>
      <c r="L41" s="16" t="inlineStr">
        <is>
          <t>Merged with others</t>
        </is>
      </c>
      <c r="M41" s="212" t="n"/>
      <c r="N41" s="211" t="n"/>
    </row>
    <row r="42" ht="15" customHeight="1">
      <c r="A42" s="16" t="inlineStr">
        <is>
          <t>Secretarial and Legal · Employee Master</t>
        </is>
      </c>
      <c r="B42" s="212" t="n"/>
      <c r="C42" s="212" t="n"/>
      <c r="D42" s="212" t="n"/>
      <c r="E42" s="211" t="n"/>
      <c r="F42" s="16" t="inlineStr">
        <is>
          <t>Company Secretarial &amp; Legal</t>
        </is>
      </c>
      <c r="G42" s="212" t="n"/>
      <c r="H42" s="212" t="n"/>
      <c r="I42" s="212" t="n"/>
      <c r="J42" s="211" t="n"/>
      <c r="K42" s="15" t="n">
        <v>3</v>
      </c>
      <c r="L42" s="16" t="inlineStr">
        <is>
          <t>Renamed</t>
        </is>
      </c>
      <c r="M42" s="212" t="n"/>
      <c r="N42" s="211" t="n"/>
    </row>
    <row r="43" ht="15" customHeight="1">
      <c r="A43" s="16" t="inlineStr">
        <is>
          <t>Accounting · Employee Master</t>
        </is>
      </c>
      <c r="B43" s="212" t="n"/>
      <c r="C43" s="212" t="n"/>
      <c r="D43" s="212" t="n"/>
      <c r="E43" s="211" t="n"/>
      <c r="F43" s="16" t="inlineStr">
        <is>
          <t>Finance Leadership</t>
        </is>
      </c>
      <c r="G43" s="212" t="n"/>
      <c r="H43" s="212" t="n"/>
      <c r="I43" s="212" t="n"/>
      <c r="J43" s="211" t="n"/>
      <c r="K43" s="15" t="n">
        <v>2</v>
      </c>
      <c r="L43" s="16" t="inlineStr">
        <is>
          <t>Split into several</t>
        </is>
      </c>
      <c r="M43" s="212" t="n"/>
      <c r="N43" s="211" t="n"/>
    </row>
    <row r="44" ht="15" customHeight="1">
      <c r="A44" s="16" t="inlineStr">
        <is>
          <t>Accounting · Employee Master</t>
        </is>
      </c>
      <c r="B44" s="212" t="n"/>
      <c r="C44" s="212" t="n"/>
      <c r="D44" s="212" t="n"/>
      <c r="E44" s="211" t="n"/>
      <c r="F44" s="16" t="inlineStr">
        <is>
          <t>Enterprise Leadership</t>
        </is>
      </c>
      <c r="G44" s="212" t="n"/>
      <c r="H44" s="212" t="n"/>
      <c r="I44" s="212" t="n"/>
      <c r="J44" s="211" t="n"/>
      <c r="K44" s="15" t="n">
        <v>1</v>
      </c>
      <c r="L44" s="16" t="inlineStr">
        <is>
          <t>Split and regrouped</t>
        </is>
      </c>
      <c r="M44" s="212" t="n"/>
      <c r="N44" s="211" t="n"/>
    </row>
    <row r="45" ht="15" customHeight="1">
      <c r="A45" s="16" t="inlineStr">
        <is>
          <t>Content Marketing</t>
        </is>
      </c>
      <c r="B45" s="212" t="n"/>
      <c r="C45" s="212" t="n"/>
      <c r="D45" s="212" t="n"/>
      <c r="E45" s="211" t="n"/>
      <c r="F45" s="16" t="inlineStr">
        <is>
          <t>Content Marketing</t>
        </is>
      </c>
      <c r="G45" s="212" t="n"/>
      <c r="H45" s="212" t="n"/>
      <c r="I45" s="212" t="n"/>
      <c r="J45" s="211" t="n"/>
      <c r="K45" s="15" t="n">
        <v>1</v>
      </c>
      <c r="L45" s="16" t="inlineStr">
        <is>
          <t>Unchanged</t>
        </is>
      </c>
      <c r="M45" s="212" t="n"/>
      <c r="N45" s="211" t="n"/>
    </row>
    <row r="46" ht="15" customHeight="1">
      <c r="A46" s="16" t="inlineStr">
        <is>
          <t>Data &amp; Analytics</t>
        </is>
      </c>
      <c r="B46" s="212" t="n"/>
      <c r="C46" s="212" t="n"/>
      <c r="D46" s="212" t="n"/>
      <c r="E46" s="211" t="n"/>
      <c r="F46" s="16" t="inlineStr">
        <is>
          <t>Marketing Operations &amp; Automation</t>
        </is>
      </c>
      <c r="G46" s="212" t="n"/>
      <c r="H46" s="212" t="n"/>
      <c r="I46" s="212" t="n"/>
      <c r="J46" s="211" t="n"/>
      <c r="K46" s="15" t="n">
        <v>1</v>
      </c>
      <c r="L46" s="16" t="inlineStr">
        <is>
          <t>Renamed</t>
        </is>
      </c>
      <c r="M46" s="212" t="n"/>
      <c r="N46" s="211" t="n"/>
    </row>
    <row r="47" ht="15" customHeight="1">
      <c r="A47" s="16" t="inlineStr">
        <is>
          <t>Development · Employee Master</t>
        </is>
      </c>
      <c r="B47" s="212" t="n"/>
      <c r="C47" s="212" t="n"/>
      <c r="D47" s="212" t="n"/>
      <c r="E47" s="211" t="n"/>
      <c r="F47" s="16" t="inlineStr">
        <is>
          <t>PMO &amp; Delivery Excellence</t>
        </is>
      </c>
      <c r="G47" s="212" t="n"/>
      <c r="H47" s="212" t="n"/>
      <c r="I47" s="212" t="n"/>
      <c r="J47" s="211" t="n"/>
      <c r="K47" s="15" t="n">
        <v>1</v>
      </c>
      <c r="L47" s="16" t="inlineStr">
        <is>
          <t>Renamed</t>
        </is>
      </c>
      <c r="M47" s="212" t="n"/>
      <c r="N47" s="211" t="n"/>
    </row>
    <row r="48" ht="15" customHeight="1">
      <c r="A48" s="16" t="inlineStr">
        <is>
          <t>Graphic / Visual Design</t>
        </is>
      </c>
      <c r="B48" s="212" t="n"/>
      <c r="C48" s="212" t="n"/>
      <c r="D48" s="212" t="n"/>
      <c r="E48" s="211" t="n"/>
      <c r="F48" s="16" t="inlineStr">
        <is>
          <t>Brand, Graphic &amp; Video Design</t>
        </is>
      </c>
      <c r="G48" s="212" t="n"/>
      <c r="H48" s="212" t="n"/>
      <c r="I48" s="212" t="n"/>
      <c r="J48" s="211" t="n"/>
      <c r="K48" s="15" t="n">
        <v>1</v>
      </c>
      <c r="L48" s="16" t="inlineStr">
        <is>
          <t>Renamed</t>
        </is>
      </c>
      <c r="M48" s="212" t="n"/>
      <c r="N48" s="211" t="n"/>
    </row>
    <row r="49" ht="15" customHeight="1">
      <c r="A49" s="16" t="inlineStr">
        <is>
          <t>HR · Employee Master</t>
        </is>
      </c>
      <c r="B49" s="212" t="n"/>
      <c r="C49" s="212" t="n"/>
      <c r="D49" s="212" t="n"/>
      <c r="E49" s="211" t="n"/>
      <c r="F49" s="16" t="inlineStr">
        <is>
          <t>HR Leadership</t>
        </is>
      </c>
      <c r="G49" s="212" t="n"/>
      <c r="H49" s="212" t="n"/>
      <c r="I49" s="212" t="n"/>
      <c r="J49" s="211" t="n"/>
      <c r="K49" s="15" t="n">
        <v>1</v>
      </c>
      <c r="L49" s="16" t="inlineStr">
        <is>
          <t>Split into several</t>
        </is>
      </c>
      <c r="M49" s="212" t="n"/>
      <c r="N49" s="211" t="n"/>
    </row>
    <row r="50" ht="15" customHeight="1">
      <c r="A50" s="16" t="inlineStr">
        <is>
          <t>HR · Employee Master</t>
        </is>
      </c>
      <c r="B50" s="212" t="n"/>
      <c r="C50" s="212" t="n"/>
      <c r="D50" s="212" t="n"/>
      <c r="E50" s="211" t="n"/>
      <c r="F50" s="16" t="inlineStr">
        <is>
          <t>HR Transformation &amp; OD</t>
        </is>
      </c>
      <c r="G50" s="212" t="n"/>
      <c r="H50" s="212" t="n"/>
      <c r="I50" s="212" t="n"/>
      <c r="J50" s="211" t="n"/>
      <c r="K50" s="15" t="n">
        <v>1</v>
      </c>
      <c r="L50" s="16" t="inlineStr">
        <is>
          <t>Split into several</t>
        </is>
      </c>
      <c r="M50" s="212" t="n"/>
      <c r="N50" s="211" t="n"/>
    </row>
    <row r="51" ht="15" customHeight="1">
      <c r="A51" s="16" t="inlineStr">
        <is>
          <t>Infra · Employee Master</t>
        </is>
      </c>
      <c r="B51" s="212" t="n"/>
      <c r="C51" s="212" t="n"/>
      <c r="D51" s="212" t="n"/>
      <c r="E51" s="211" t="n"/>
      <c r="F51" s="16" t="inlineStr">
        <is>
          <t>DevOps &amp; Release Engineering</t>
        </is>
      </c>
      <c r="G51" s="212" t="n"/>
      <c r="H51" s="212" t="n"/>
      <c r="I51" s="212" t="n"/>
      <c r="J51" s="211" t="n"/>
      <c r="K51" s="15" t="n">
        <v>1</v>
      </c>
      <c r="L51" s="16" t="inlineStr">
        <is>
          <t>Split into several</t>
        </is>
      </c>
      <c r="M51" s="212" t="n"/>
      <c r="N51" s="211" t="n"/>
    </row>
    <row r="52" ht="15" customHeight="1">
      <c r="A52" s="16" t="inlineStr">
        <is>
          <t>Infra · Employee Master</t>
        </is>
      </c>
      <c r="B52" s="212" t="n"/>
      <c r="C52" s="212" t="n"/>
      <c r="D52" s="212" t="n"/>
      <c r="E52" s="211" t="n"/>
      <c r="F52" s="16" t="inlineStr">
        <is>
          <t>End-User Support</t>
        </is>
      </c>
      <c r="G52" s="212" t="n"/>
      <c r="H52" s="212" t="n"/>
      <c r="I52" s="212" t="n"/>
      <c r="J52" s="211" t="n"/>
      <c r="K52" s="15" t="n">
        <v>1</v>
      </c>
      <c r="L52" s="16" t="inlineStr">
        <is>
          <t>Split into several</t>
        </is>
      </c>
      <c r="M52" s="212" t="n"/>
      <c r="N52" s="211" t="n"/>
    </row>
    <row r="53" ht="15" customHeight="1">
      <c r="A53" s="16" t="inlineStr">
        <is>
          <t>Infra · Employee Master</t>
        </is>
      </c>
      <c r="B53" s="212" t="n"/>
      <c r="C53" s="212" t="n"/>
      <c r="D53" s="212" t="n"/>
      <c r="E53" s="211" t="n"/>
      <c r="F53" s="16" t="inlineStr">
        <is>
          <t>IT Infrastructure Leadership</t>
        </is>
      </c>
      <c r="G53" s="212" t="n"/>
      <c r="H53" s="212" t="n"/>
      <c r="I53" s="212" t="n"/>
      <c r="J53" s="211" t="n"/>
      <c r="K53" s="15" t="n">
        <v>1</v>
      </c>
      <c r="L53" s="16" t="inlineStr">
        <is>
          <t>Split into several</t>
        </is>
      </c>
      <c r="M53" s="212" t="n"/>
      <c r="N53" s="211" t="n"/>
    </row>
    <row r="54" ht="15" customHeight="1"/>
    <row r="55" ht="20" customHeight="1">
      <c r="A55" s="6" t="inlineStr">
        <is>
          <t>3. Where people sit — band × track</t>
        </is>
      </c>
    </row>
    <row r="56" ht="15" customHeight="1">
      <c r="A56" s="12" t="inlineStr">
        <is>
          <t>Band</t>
        </is>
      </c>
      <c r="B56" s="212" t="n"/>
      <c r="C56" s="211" t="n"/>
      <c r="D56" s="12" t="inlineStr">
        <is>
          <t>IC</t>
        </is>
      </c>
      <c r="E56" s="211" t="n"/>
      <c r="F56" s="12" t="inlineStr">
        <is>
          <t>POD Lead</t>
        </is>
      </c>
      <c r="G56" s="211" t="n"/>
      <c r="H56" s="12" t="inlineStr">
        <is>
          <t>Player-Coach</t>
        </is>
      </c>
      <c r="I56" s="211" t="n"/>
      <c r="J56" s="12" t="inlineStr">
        <is>
          <t>People Manager</t>
        </is>
      </c>
      <c r="K56" s="211" t="n"/>
      <c r="L56" s="12" t="inlineStr">
        <is>
          <t>Consultant</t>
        </is>
      </c>
      <c r="M56" s="211" t="n"/>
      <c r="N56" s="12" t="inlineStr">
        <is>
          <t>Total</t>
        </is>
      </c>
    </row>
    <row r="57" ht="15" customHeight="1">
      <c r="A57" s="24" t="inlineStr">
        <is>
          <t>A</t>
        </is>
      </c>
      <c r="B57" s="212" t="n"/>
      <c r="C57" s="211" t="n"/>
      <c r="D57" s="26" t="n">
        <v>23</v>
      </c>
      <c r="E57" s="211" t="n"/>
      <c r="F57" s="26" t="inlineStr"/>
      <c r="G57" s="211" t="n"/>
      <c r="H57" s="26" t="inlineStr"/>
      <c r="I57" s="211" t="n"/>
      <c r="J57" s="26" t="inlineStr"/>
      <c r="K57" s="211" t="n"/>
      <c r="L57" s="26" t="inlineStr"/>
      <c r="M57" s="211" t="n"/>
      <c r="N57" s="26" t="n">
        <v>23</v>
      </c>
    </row>
    <row r="58" ht="15" customHeight="1">
      <c r="A58" s="27" t="inlineStr">
        <is>
          <t>B</t>
        </is>
      </c>
      <c r="B58" s="212" t="n"/>
      <c r="C58" s="211" t="n"/>
      <c r="D58" s="23" t="n">
        <v>8</v>
      </c>
      <c r="E58" s="211" t="n"/>
      <c r="F58" s="23" t="n">
        <v>6</v>
      </c>
      <c r="G58" s="211" t="n"/>
      <c r="H58" s="23" t="inlineStr"/>
      <c r="I58" s="211" t="n"/>
      <c r="J58" s="23" t="n">
        <v>3</v>
      </c>
      <c r="K58" s="211" t="n"/>
      <c r="L58" s="23" t="inlineStr"/>
      <c r="M58" s="211" t="n"/>
      <c r="N58" s="23" t="n">
        <v>17</v>
      </c>
    </row>
    <row r="59" ht="15" customHeight="1">
      <c r="A59" s="28" t="inlineStr">
        <is>
          <t>B+</t>
        </is>
      </c>
      <c r="B59" s="212" t="n"/>
      <c r="C59" s="211" t="n"/>
      <c r="D59" s="30" t="inlineStr"/>
      <c r="E59" s="211" t="n"/>
      <c r="F59" s="30" t="inlineStr"/>
      <c r="G59" s="211" t="n"/>
      <c r="H59" s="30" t="inlineStr"/>
      <c r="I59" s="211" t="n"/>
      <c r="J59" s="30" t="inlineStr"/>
      <c r="K59" s="211" t="n"/>
      <c r="L59" s="30" t="inlineStr"/>
      <c r="M59" s="211" t="n"/>
      <c r="N59" s="30" t="n">
        <v>0</v>
      </c>
    </row>
    <row r="60" ht="15" customHeight="1">
      <c r="A60" s="31" t="inlineStr">
        <is>
          <t>C</t>
        </is>
      </c>
      <c r="B60" s="212" t="n"/>
      <c r="C60" s="211" t="n"/>
      <c r="D60" s="33" t="inlineStr"/>
      <c r="E60" s="211" t="n"/>
      <c r="F60" s="33" t="n">
        <v>1</v>
      </c>
      <c r="G60" s="211" t="n"/>
      <c r="H60" s="33" t="inlineStr"/>
      <c r="I60" s="211" t="n"/>
      <c r="J60" s="33" t="n">
        <v>2</v>
      </c>
      <c r="K60" s="211" t="n"/>
      <c r="L60" s="33" t="inlineStr"/>
      <c r="M60" s="211" t="n"/>
      <c r="N60" s="33" t="n">
        <v>3</v>
      </c>
    </row>
    <row r="61" ht="15" customHeight="1">
      <c r="A61" s="34" t="inlineStr">
        <is>
          <t>C+</t>
        </is>
      </c>
      <c r="B61" s="212" t="n"/>
      <c r="C61" s="211" t="n"/>
      <c r="D61" s="36" t="inlineStr"/>
      <c r="E61" s="211" t="n"/>
      <c r="F61" s="36" t="inlineStr"/>
      <c r="G61" s="211" t="n"/>
      <c r="H61" s="36" t="inlineStr"/>
      <c r="I61" s="211" t="n"/>
      <c r="J61" s="36" t="inlineStr"/>
      <c r="K61" s="211" t="n"/>
      <c r="L61" s="36" t="inlineStr"/>
      <c r="M61" s="211" t="n"/>
      <c r="N61" s="36" t="n">
        <v>0</v>
      </c>
    </row>
    <row r="62" ht="15" customHeight="1">
      <c r="A62" s="37" t="inlineStr">
        <is>
          <t>D</t>
        </is>
      </c>
      <c r="B62" s="212" t="n"/>
      <c r="C62" s="211" t="n"/>
      <c r="D62" s="39" t="inlineStr"/>
      <c r="E62" s="211" t="n"/>
      <c r="F62" s="39" t="inlineStr"/>
      <c r="G62" s="211" t="n"/>
      <c r="H62" s="39" t="inlineStr"/>
      <c r="I62" s="211" t="n"/>
      <c r="J62" s="39" t="n">
        <v>1</v>
      </c>
      <c r="K62" s="211" t="n"/>
      <c r="L62" s="39" t="inlineStr"/>
      <c r="M62" s="211" t="n"/>
      <c r="N62" s="39" t="n">
        <v>1</v>
      </c>
    </row>
    <row r="63" ht="15" customHeight="1">
      <c r="A63" s="40" t="inlineStr">
        <is>
          <t>E</t>
        </is>
      </c>
      <c r="B63" s="212" t="n"/>
      <c r="C63" s="211" t="n"/>
      <c r="D63" s="42" t="inlineStr"/>
      <c r="E63" s="211" t="n"/>
      <c r="F63" s="42" t="inlineStr"/>
      <c r="G63" s="211" t="n"/>
      <c r="H63" s="42" t="inlineStr"/>
      <c r="I63" s="211" t="n"/>
      <c r="J63" s="42" t="n">
        <v>4</v>
      </c>
      <c r="K63" s="211" t="n"/>
      <c r="L63" s="42" t="inlineStr"/>
      <c r="M63" s="211" t="n"/>
      <c r="N63" s="42" t="n">
        <v>4</v>
      </c>
    </row>
    <row r="64" ht="15" customHeight="1">
      <c r="A64" s="43" t="inlineStr">
        <is>
          <t>X</t>
        </is>
      </c>
      <c r="B64" s="212" t="n"/>
      <c r="C64" s="211" t="n"/>
      <c r="D64" s="45" t="inlineStr"/>
      <c r="E64" s="211" t="n"/>
      <c r="F64" s="45" t="inlineStr"/>
      <c r="G64" s="211" t="n"/>
      <c r="H64" s="45" t="inlineStr"/>
      <c r="I64" s="211" t="n"/>
      <c r="J64" s="45" t="inlineStr"/>
      <c r="K64" s="211" t="n"/>
      <c r="L64" s="45" t="n">
        <v>1</v>
      </c>
      <c r="M64" s="211" t="n"/>
      <c r="N64" s="45" t="n">
        <v>1</v>
      </c>
    </row>
    <row r="65" ht="15" customHeight="1">
      <c r="A65" s="46" t="inlineStr">
        <is>
          <t>Total</t>
        </is>
      </c>
      <c r="B65" s="212" t="n"/>
      <c r="C65" s="211" t="n"/>
      <c r="D65" s="47" t="n">
        <v>31</v>
      </c>
      <c r="E65" s="211" t="n"/>
      <c r="F65" s="47" t="n">
        <v>7</v>
      </c>
      <c r="G65" s="211" t="n"/>
      <c r="H65" s="47" t="n">
        <v>0</v>
      </c>
      <c r="I65" s="211" t="n"/>
      <c r="J65" s="47" t="n">
        <v>10</v>
      </c>
      <c r="K65" s="211" t="n"/>
      <c r="L65" s="47" t="n">
        <v>1</v>
      </c>
      <c r="M65" s="211" t="n"/>
      <c r="N65" s="47" t="n">
        <v>49</v>
      </c>
    </row>
    <row r="66" ht="15" customHeight="1"/>
    <row r="67" ht="20" customHeight="1">
      <c r="A67" s="6" t="inlineStr">
        <is>
          <t>4. Levels by department · bottom to top, left to right</t>
        </is>
      </c>
    </row>
    <row r="68" ht="15" customHeight="1">
      <c r="A68" s="12" t="inlineStr">
        <is>
          <t>Department</t>
        </is>
      </c>
      <c r="B68" s="211" t="n"/>
      <c r="C68" s="12" t="inlineStr">
        <is>
          <t>A1</t>
        </is>
      </c>
      <c r="D68" s="12" t="inlineStr">
        <is>
          <t>A2</t>
        </is>
      </c>
      <c r="E68" s="12" t="inlineStr">
        <is>
          <t>A3</t>
        </is>
      </c>
      <c r="F68" s="12" t="inlineStr">
        <is>
          <t>B1</t>
        </is>
      </c>
      <c r="G68" s="12" t="inlineStr">
        <is>
          <t>B2</t>
        </is>
      </c>
      <c r="H68" s="12" t="inlineStr">
        <is>
          <t>B3</t>
        </is>
      </c>
      <c r="I68" s="12" t="inlineStr">
        <is>
          <t>C1</t>
        </is>
      </c>
      <c r="J68" s="12" t="inlineStr">
        <is>
          <t>D2</t>
        </is>
      </c>
      <c r="K68" s="12" t="inlineStr">
        <is>
          <t>E1</t>
        </is>
      </c>
      <c r="L68" s="12" t="inlineStr">
        <is>
          <t>E2</t>
        </is>
      </c>
      <c r="M68" s="12" t="inlineStr">
        <is>
          <t>X1</t>
        </is>
      </c>
      <c r="N68" s="12" t="inlineStr">
        <is>
          <t>Total</t>
        </is>
      </c>
    </row>
    <row r="69" ht="15" customHeight="1">
      <c r="A69" s="13" t="inlineStr">
        <is>
          <t>Administration</t>
        </is>
      </c>
      <c r="B69" s="211" t="n"/>
      <c r="C69" s="15" t="inlineStr"/>
      <c r="D69" s="15" t="inlineStr"/>
      <c r="E69" s="15" t="n">
        <v>4</v>
      </c>
      <c r="F69" s="15" t="inlineStr"/>
      <c r="G69" s="15" t="n">
        <v>1</v>
      </c>
      <c r="H69" s="15" t="inlineStr"/>
      <c r="I69" s="15" t="inlineStr"/>
      <c r="J69" s="15" t="inlineStr"/>
      <c r="K69" s="15" t="inlineStr"/>
      <c r="L69" s="15" t="inlineStr"/>
      <c r="M69" s="15" t="n">
        <v>1</v>
      </c>
      <c r="N69" s="15" t="n">
        <v>6</v>
      </c>
    </row>
    <row r="70" ht="15" customHeight="1">
      <c r="A70" s="13" t="inlineStr">
        <is>
          <t>Finance</t>
        </is>
      </c>
      <c r="B70" s="211" t="n"/>
      <c r="C70" s="15" t="inlineStr"/>
      <c r="D70" s="15" t="inlineStr"/>
      <c r="E70" s="15" t="n">
        <v>2</v>
      </c>
      <c r="F70" s="15" t="n">
        <v>5</v>
      </c>
      <c r="G70" s="15" t="n">
        <v>1</v>
      </c>
      <c r="H70" s="15" t="inlineStr"/>
      <c r="I70" s="15" t="n">
        <v>2</v>
      </c>
      <c r="J70" s="15" t="inlineStr"/>
      <c r="K70" s="15" t="n">
        <v>1</v>
      </c>
      <c r="L70" s="15" t="inlineStr"/>
      <c r="M70" s="15" t="inlineStr"/>
      <c r="N70" s="15" t="n">
        <v>11</v>
      </c>
    </row>
    <row r="71" ht="15" customHeight="1">
      <c r="A71" s="13" t="inlineStr">
        <is>
          <t>HR</t>
        </is>
      </c>
      <c r="B71" s="211" t="n"/>
      <c r="C71" s="15" t="inlineStr"/>
      <c r="D71" s="15" t="n">
        <v>1</v>
      </c>
      <c r="E71" s="15" t="n">
        <v>2</v>
      </c>
      <c r="F71" s="15" t="n">
        <v>2</v>
      </c>
      <c r="G71" s="15" t="n">
        <v>1</v>
      </c>
      <c r="H71" s="15" t="n">
        <v>1</v>
      </c>
      <c r="I71" s="15" t="inlineStr"/>
      <c r="J71" s="15" t="n">
        <v>1</v>
      </c>
      <c r="K71" s="15" t="inlineStr"/>
      <c r="L71" s="15" t="inlineStr"/>
      <c r="M71" s="15" t="inlineStr"/>
      <c r="N71" s="15" t="n">
        <v>8</v>
      </c>
    </row>
    <row r="72" ht="15" customHeight="1">
      <c r="A72" s="13" t="inlineStr">
        <is>
          <t>IT &amp; Infrastructure</t>
        </is>
      </c>
      <c r="B72" s="211" t="n"/>
      <c r="C72" s="15" t="inlineStr"/>
      <c r="D72" s="15" t="inlineStr"/>
      <c r="E72" s="15" t="n">
        <v>10</v>
      </c>
      <c r="F72" s="15" t="n">
        <v>3</v>
      </c>
      <c r="G72" s="15" t="n">
        <v>1</v>
      </c>
      <c r="H72" s="15" t="inlineStr"/>
      <c r="I72" s="15" t="inlineStr"/>
      <c r="J72" s="15" t="inlineStr"/>
      <c r="K72" s="15" t="inlineStr"/>
      <c r="L72" s="15" t="inlineStr"/>
      <c r="M72" s="15" t="inlineStr"/>
      <c r="N72" s="15" t="n">
        <v>14</v>
      </c>
    </row>
    <row r="73" ht="15" customHeight="1">
      <c r="A73" s="13" t="inlineStr">
        <is>
          <t>Management</t>
        </is>
      </c>
      <c r="B73" s="211" t="n"/>
      <c r="C73" s="15" t="inlineStr"/>
      <c r="D73" s="15" t="inlineStr"/>
      <c r="E73" s="15" t="inlineStr"/>
      <c r="F73" s="15" t="inlineStr"/>
      <c r="G73" s="15" t="inlineStr"/>
      <c r="H73" s="15" t="inlineStr"/>
      <c r="I73" s="15" t="inlineStr"/>
      <c r="J73" s="15" t="inlineStr"/>
      <c r="K73" s="15" t="n">
        <v>1</v>
      </c>
      <c r="L73" s="15" t="n">
        <v>1</v>
      </c>
      <c r="M73" s="15" t="inlineStr"/>
      <c r="N73" s="15" t="n">
        <v>2</v>
      </c>
    </row>
    <row r="74" ht="15" customHeight="1">
      <c r="A74" s="13" t="inlineStr">
        <is>
          <t>Marketing</t>
        </is>
      </c>
      <c r="B74" s="211" t="n"/>
      <c r="C74" s="15" t="inlineStr"/>
      <c r="D74" s="15" t="inlineStr"/>
      <c r="E74" s="15" t="n">
        <v>2</v>
      </c>
      <c r="F74" s="15" t="inlineStr"/>
      <c r="G74" s="15" t="n">
        <v>1</v>
      </c>
      <c r="H74" s="15" t="inlineStr"/>
      <c r="I74" s="15" t="inlineStr"/>
      <c r="J74" s="15" t="inlineStr"/>
      <c r="K74" s="15" t="inlineStr"/>
      <c r="L74" s="15" t="inlineStr"/>
      <c r="M74" s="15" t="inlineStr"/>
      <c r="N74" s="15" t="n">
        <v>3</v>
      </c>
    </row>
    <row r="75" ht="15" customHeight="1">
      <c r="A75" s="13" t="inlineStr">
        <is>
          <t>Secretarial &amp; Legal</t>
        </is>
      </c>
      <c r="B75" s="211" t="n"/>
      <c r="C75" s="15" t="n">
        <v>1</v>
      </c>
      <c r="D75" s="15" t="inlineStr"/>
      <c r="E75" s="15" t="n">
        <v>1</v>
      </c>
      <c r="F75" s="15" t="inlineStr"/>
      <c r="G75" s="15" t="inlineStr"/>
      <c r="H75" s="15" t="inlineStr"/>
      <c r="I75" s="15" t="n">
        <v>1</v>
      </c>
      <c r="J75" s="15" t="inlineStr"/>
      <c r="K75" s="15" t="inlineStr"/>
      <c r="L75" s="15" t="inlineStr"/>
      <c r="M75" s="15" t="inlineStr"/>
      <c r="N75" s="15" t="n">
        <v>3</v>
      </c>
    </row>
    <row r="76" ht="15" customHeight="1">
      <c r="A76" s="13" t="inlineStr">
        <is>
          <t>Technology</t>
        </is>
      </c>
      <c r="B76" s="211" t="n"/>
      <c r="C76" s="15" t="inlineStr"/>
      <c r="D76" s="15" t="inlineStr"/>
      <c r="E76" s="15" t="inlineStr"/>
      <c r="F76" s="15" t="inlineStr"/>
      <c r="G76" s="15" t="inlineStr"/>
      <c r="H76" s="15" t="n">
        <v>1</v>
      </c>
      <c r="I76" s="15" t="inlineStr"/>
      <c r="J76" s="15" t="inlineStr"/>
      <c r="K76" s="15" t="n">
        <v>1</v>
      </c>
      <c r="L76" s="15" t="inlineStr"/>
      <c r="M76" s="15" t="inlineStr"/>
      <c r="N76" s="15" t="n">
        <v>2</v>
      </c>
    </row>
    <row r="77" ht="15" customHeight="1">
      <c r="A77" s="13" t="inlineStr">
        <is>
          <t>Total</t>
        </is>
      </c>
      <c r="B77" s="211" t="n"/>
      <c r="C77" s="15" t="n">
        <v>1</v>
      </c>
      <c r="D77" s="15" t="n">
        <v>1</v>
      </c>
      <c r="E77" s="15" t="n">
        <v>21</v>
      </c>
      <c r="F77" s="15" t="n">
        <v>10</v>
      </c>
      <c r="G77" s="15" t="n">
        <v>5</v>
      </c>
      <c r="H77" s="15" t="n">
        <v>2</v>
      </c>
      <c r="I77" s="15" t="n">
        <v>3</v>
      </c>
      <c r="J77" s="15" t="n">
        <v>1</v>
      </c>
      <c r="K77" s="15" t="n">
        <v>3</v>
      </c>
      <c r="L77" s="15" t="n">
        <v>1</v>
      </c>
      <c r="M77" s="15" t="n">
        <v>1</v>
      </c>
      <c r="N77" s="15" t="n">
        <v>49</v>
      </c>
    </row>
    <row r="78" ht="15" customHeight="1"/>
    <row r="79" ht="20" customHeight="1">
      <c r="A79" s="6" t="inlineStr">
        <is>
          <t>5. Job families × band</t>
        </is>
      </c>
    </row>
    <row r="80" ht="28" customHeight="1">
      <c r="A80" s="12" t="inlineStr">
        <is>
          <t>Job family</t>
        </is>
      </c>
      <c r="B80" s="212" t="n"/>
      <c r="C80" s="212" t="n"/>
      <c r="D80" s="211" t="n"/>
      <c r="E80" s="12" t="inlineStr">
        <is>
          <t>A</t>
        </is>
      </c>
      <c r="F80" s="12" t="inlineStr">
        <is>
          <t>B</t>
        </is>
      </c>
      <c r="G80" s="12" t="inlineStr">
        <is>
          <t>B+</t>
        </is>
      </c>
      <c r="H80" s="12" t="inlineStr">
        <is>
          <t>C</t>
        </is>
      </c>
      <c r="I80" s="12" t="inlineStr">
        <is>
          <t>C+</t>
        </is>
      </c>
      <c r="J80" s="12" t="inlineStr">
        <is>
          <t>D</t>
        </is>
      </c>
      <c r="K80" s="12" t="inlineStr">
        <is>
          <t>E</t>
        </is>
      </c>
      <c r="L80" s="12" t="inlineStr">
        <is>
          <t>X</t>
        </is>
      </c>
      <c r="M80" s="12" t="inlineStr">
        <is>
          <t>Total</t>
        </is>
      </c>
      <c r="N80" s="12" t="inlineStr">
        <is>
          <t>Sub-families</t>
        </is>
      </c>
    </row>
    <row r="81" ht="15" customHeight="1">
      <c r="A81" s="13" t="inlineStr">
        <is>
          <t>IT &amp; Infrastructure</t>
        </is>
      </c>
      <c r="B81" s="212" t="n"/>
      <c r="C81" s="212" t="n"/>
      <c r="D81" s="211" t="n"/>
      <c r="E81" s="15" t="n">
        <v>9</v>
      </c>
      <c r="F81" s="15" t="n">
        <v>4</v>
      </c>
      <c r="G81" s="15" t="inlineStr"/>
      <c r="H81" s="15" t="inlineStr"/>
      <c r="I81" s="15" t="inlineStr"/>
      <c r="J81" s="15" t="inlineStr"/>
      <c r="K81" s="15" t="inlineStr"/>
      <c r="L81" s="15" t="inlineStr"/>
      <c r="M81" s="15" t="n">
        <v>13</v>
      </c>
      <c r="N81" s="15" t="n">
        <v>3</v>
      </c>
    </row>
    <row r="82" ht="15" customHeight="1">
      <c r="A82" s="13" t="inlineStr">
        <is>
          <t>Finance &amp; Accounts</t>
        </is>
      </c>
      <c r="B82" s="212" t="n"/>
      <c r="C82" s="212" t="n"/>
      <c r="D82" s="211" t="n"/>
      <c r="E82" s="15" t="n">
        <v>2</v>
      </c>
      <c r="F82" s="15" t="n">
        <v>6</v>
      </c>
      <c r="G82" s="15" t="inlineStr"/>
      <c r="H82" s="15" t="n">
        <v>2</v>
      </c>
      <c r="I82" s="15" t="inlineStr"/>
      <c r="J82" s="15" t="inlineStr"/>
      <c r="K82" s="15" t="inlineStr"/>
      <c r="L82" s="15" t="inlineStr"/>
      <c r="M82" s="15" t="n">
        <v>10</v>
      </c>
      <c r="N82" s="15" t="n">
        <v>3</v>
      </c>
    </row>
    <row r="83" ht="15" customHeight="1">
      <c r="A83" s="13" t="inlineStr">
        <is>
          <t>Administration, Legal &amp; Secretarial</t>
        </is>
      </c>
      <c r="B83" s="212" t="n"/>
      <c r="C83" s="212" t="n"/>
      <c r="D83" s="211" t="n"/>
      <c r="E83" s="15" t="n">
        <v>6</v>
      </c>
      <c r="F83" s="15" t="n">
        <v>1</v>
      </c>
      <c r="G83" s="15" t="inlineStr"/>
      <c r="H83" s="15" t="n">
        <v>1</v>
      </c>
      <c r="I83" s="15" t="inlineStr"/>
      <c r="J83" s="15" t="inlineStr"/>
      <c r="K83" s="15" t="inlineStr"/>
      <c r="L83" s="15" t="n">
        <v>1</v>
      </c>
      <c r="M83" s="15" t="n">
        <v>9</v>
      </c>
      <c r="N83" s="15" t="n">
        <v>2</v>
      </c>
    </row>
    <row r="84" ht="15" customHeight="1">
      <c r="A84" s="13" t="inlineStr">
        <is>
          <t>Human Resources</t>
        </is>
      </c>
      <c r="B84" s="212" t="n"/>
      <c r="C84" s="212" t="n"/>
      <c r="D84" s="211" t="n"/>
      <c r="E84" s="15" t="n">
        <v>3</v>
      </c>
      <c r="F84" s="15" t="n">
        <v>4</v>
      </c>
      <c r="G84" s="15" t="inlineStr"/>
      <c r="H84" s="15" t="inlineStr"/>
      <c r="I84" s="15" t="inlineStr"/>
      <c r="J84" s="15" t="n">
        <v>1</v>
      </c>
      <c r="K84" s="15" t="inlineStr"/>
      <c r="L84" s="15" t="inlineStr"/>
      <c r="M84" s="15" t="n">
        <v>8</v>
      </c>
      <c r="N84" s="15" t="n">
        <v>4</v>
      </c>
    </row>
    <row r="85" ht="15" customHeight="1">
      <c r="A85" s="13" t="inlineStr">
        <is>
          <t>Executive Leadership</t>
        </is>
      </c>
      <c r="B85" s="212" t="n"/>
      <c r="C85" s="212" t="n"/>
      <c r="D85" s="211" t="n"/>
      <c r="E85" s="15" t="inlineStr"/>
      <c r="F85" s="15" t="inlineStr"/>
      <c r="G85" s="15" t="inlineStr"/>
      <c r="H85" s="15" t="inlineStr"/>
      <c r="I85" s="15" t="inlineStr"/>
      <c r="J85" s="15" t="inlineStr"/>
      <c r="K85" s="15" t="n">
        <v>4</v>
      </c>
      <c r="L85" s="15" t="inlineStr"/>
      <c r="M85" s="15" t="n">
        <v>4</v>
      </c>
      <c r="N85" s="15" t="n">
        <v>1</v>
      </c>
    </row>
    <row r="86" ht="15" customHeight="1">
      <c r="A86" s="13" t="inlineStr">
        <is>
          <t>Marketing &amp; Communications</t>
        </is>
      </c>
      <c r="B86" s="212" t="n"/>
      <c r="C86" s="212" t="n"/>
      <c r="D86" s="211" t="n"/>
      <c r="E86" s="15" t="n">
        <v>1</v>
      </c>
      <c r="F86" s="15" t="n">
        <v>1</v>
      </c>
      <c r="G86" s="15" t="inlineStr"/>
      <c r="H86" s="15" t="inlineStr"/>
      <c r="I86" s="15" t="inlineStr"/>
      <c r="J86" s="15" t="inlineStr"/>
      <c r="K86" s="15" t="inlineStr"/>
      <c r="L86" s="15" t="inlineStr"/>
      <c r="M86" s="15" t="n">
        <v>2</v>
      </c>
      <c r="N86" s="15" t="n">
        <v>2</v>
      </c>
    </row>
    <row r="87" ht="15" customHeight="1">
      <c r="A87" s="13" t="inlineStr">
        <is>
          <t>Engineering &amp; Development</t>
        </is>
      </c>
      <c r="B87" s="212" t="n"/>
      <c r="C87" s="212" t="n"/>
      <c r="D87" s="211" t="n"/>
      <c r="E87" s="15" t="n">
        <v>1</v>
      </c>
      <c r="F87" s="15" t="inlineStr"/>
      <c r="G87" s="15" t="inlineStr"/>
      <c r="H87" s="15" t="inlineStr"/>
      <c r="I87" s="15" t="inlineStr"/>
      <c r="J87" s="15" t="inlineStr"/>
      <c r="K87" s="15" t="inlineStr"/>
      <c r="L87" s="15" t="inlineStr"/>
      <c r="M87" s="15" t="n">
        <v>1</v>
      </c>
      <c r="N87" s="15" t="n">
        <v>1</v>
      </c>
    </row>
    <row r="88" ht="15" customHeight="1">
      <c r="A88" s="13" t="inlineStr">
        <is>
          <t>Design &amp; Creative</t>
        </is>
      </c>
      <c r="B88" s="212" t="n"/>
      <c r="C88" s="212" t="n"/>
      <c r="D88" s="211" t="n"/>
      <c r="E88" s="15" t="n">
        <v>1</v>
      </c>
      <c r="F88" s="15" t="inlineStr"/>
      <c r="G88" s="15" t="inlineStr"/>
      <c r="H88" s="15" t="inlineStr"/>
      <c r="I88" s="15" t="inlineStr"/>
      <c r="J88" s="15" t="inlineStr"/>
      <c r="K88" s="15" t="inlineStr"/>
      <c r="L88" s="15" t="inlineStr"/>
      <c r="M88" s="15" t="n">
        <v>1</v>
      </c>
      <c r="N88" s="15" t="n">
        <v>1</v>
      </c>
    </row>
    <row r="89" ht="15" customHeight="1">
      <c r="A89" s="13" t="inlineStr">
        <is>
          <t>Project &amp; Program Management</t>
        </is>
      </c>
      <c r="B89" s="212" t="n"/>
      <c r="C89" s="212" t="n"/>
      <c r="D89" s="211" t="n"/>
      <c r="E89" s="15" t="inlineStr"/>
      <c r="F89" s="15" t="n">
        <v>1</v>
      </c>
      <c r="G89" s="15" t="inlineStr"/>
      <c r="H89" s="15" t="inlineStr"/>
      <c r="I89" s="15" t="inlineStr"/>
      <c r="J89" s="15" t="inlineStr"/>
      <c r="K89" s="15" t="inlineStr"/>
      <c r="L89" s="15" t="inlineStr"/>
      <c r="M89" s="15" t="n">
        <v>1</v>
      </c>
      <c r="N89" s="15" t="n">
        <v>1</v>
      </c>
    </row>
    <row r="90" ht="15" customHeight="1"/>
    <row r="91" ht="20" customHeight="1">
      <c r="A91" s="6" t="inlineStr">
        <is>
          <t>6. Player-Coach transition steps · new — between Bands B and C, and C and D</t>
        </is>
      </c>
    </row>
    <row r="92" ht="15" customHeight="1">
      <c r="A92" s="11" t="inlineStr">
        <is>
          <t>A Player-Coach leads people AND still delivers hands-on expert work. Placed on evidence only; candidates go to the manager and the calibration panel.</t>
        </is>
      </c>
    </row>
    <row r="93" ht="15" customHeight="1">
      <c r="A93" s="11" t="inlineStr">
        <is>
          <t>No one in this business meets the Player-Coach evidence today; the Player-Coach transition steps are available as roles grow.</t>
        </is>
      </c>
    </row>
    <row r="94" ht="20" customHeight="1">
      <c r="A94" s="6" t="inlineStr">
        <is>
          <t>7. Critical inputs needed — who must supply what · red cells across the workbook</t>
        </is>
      </c>
    </row>
    <row r="95" ht="15" customHeight="1">
      <c r="A95" s="12" t="inlineStr">
        <is>
          <t>Input needed</t>
        </is>
      </c>
      <c r="B95" s="212" t="n"/>
      <c r="C95" s="212" t="n"/>
      <c r="D95" s="212" t="n"/>
      <c r="E95" s="212" t="n"/>
      <c r="F95" s="212" t="n"/>
      <c r="G95" s="211" t="n"/>
      <c r="H95" s="12" t="inlineStr">
        <is>
          <t>Who provides it</t>
        </is>
      </c>
      <c r="I95" s="212" t="n"/>
      <c r="J95" s="212" t="n"/>
      <c r="K95" s="211" t="n"/>
      <c r="L95" s="12" t="inlineStr">
        <is>
          <t>People</t>
        </is>
      </c>
      <c r="M95" s="212" t="n"/>
      <c r="N95" s="211" t="n"/>
    </row>
    <row r="96" ht="15" customHeight="1">
      <c r="A96" s="48" t="inlineStr">
        <is>
          <t>Survey response or KRAs describing the work · nothing on file</t>
        </is>
      </c>
      <c r="B96" s="212" t="n"/>
      <c r="C96" s="212" t="n"/>
      <c r="D96" s="212" t="n"/>
      <c r="E96" s="212" t="n"/>
      <c r="F96" s="212" t="n"/>
      <c r="G96" s="211" t="n"/>
      <c r="H96" s="16" t="inlineStr">
        <is>
          <t>Employee + manager</t>
        </is>
      </c>
      <c r="I96" s="212" t="n"/>
      <c r="J96" s="212" t="n"/>
      <c r="K96" s="211" t="n"/>
      <c r="L96" s="15" t="n">
        <v>15</v>
      </c>
      <c r="M96" s="212" t="n"/>
      <c r="N96" s="211" t="n"/>
    </row>
    <row r="97" ht="15" customHeight="1">
      <c r="A97" s="48" t="inlineStr">
        <is>
          <t>Correct the experience record</t>
        </is>
      </c>
      <c r="B97" s="212" t="n"/>
      <c r="C97" s="212" t="n"/>
      <c r="D97" s="212" t="n"/>
      <c r="E97" s="212" t="n"/>
      <c r="F97" s="212" t="n"/>
      <c r="G97" s="211" t="n"/>
      <c r="H97" s="16" t="inlineStr">
        <is>
          <t>HR</t>
        </is>
      </c>
      <c r="I97" s="212" t="n"/>
      <c r="J97" s="212" t="n"/>
      <c r="K97" s="211" t="n"/>
      <c r="L97" s="15" t="n">
        <v>4</v>
      </c>
      <c r="M97" s="212" t="n"/>
      <c r="N97" s="211" t="n"/>
    </row>
    <row r="98" ht="15" customHeight="1">
      <c r="A98" s="48" t="inlineStr">
        <is>
          <t>Total experience · outside + at IRIS</t>
        </is>
      </c>
      <c r="B98" s="212" t="n"/>
      <c r="C98" s="212" t="n"/>
      <c r="D98" s="212" t="n"/>
      <c r="E98" s="212" t="n"/>
      <c r="F98" s="212" t="n"/>
      <c r="G98" s="211" t="n"/>
      <c r="H98" s="16" t="inlineStr">
        <is>
          <t>HR — HRIS</t>
        </is>
      </c>
      <c r="I98" s="212" t="n"/>
      <c r="J98" s="212" t="n"/>
      <c r="K98" s="211" t="n"/>
      <c r="L98" s="15" t="n">
        <v>2</v>
      </c>
      <c r="M98" s="212" t="n"/>
      <c r="N98" s="211" t="n"/>
    </row>
    <row r="99" ht="15" customHeight="1">
      <c r="A99" s="48" t="inlineStr">
        <is>
          <t>Confirm prior experience · provisional placement</t>
        </is>
      </c>
      <c r="B99" s="212" t="n"/>
      <c r="C99" s="212" t="n"/>
      <c r="D99" s="212" t="n"/>
      <c r="E99" s="212" t="n"/>
      <c r="F99" s="212" t="n"/>
      <c r="G99" s="211" t="n"/>
      <c r="H99" s="16" t="inlineStr">
        <is>
          <t>HR</t>
        </is>
      </c>
      <c r="I99" s="212" t="n"/>
      <c r="J99" s="212" t="n"/>
      <c r="K99" s="211" t="n"/>
      <c r="L99" s="15" t="n">
        <v>2</v>
      </c>
      <c r="M99" s="212" t="n"/>
      <c r="N99" s="211" t="n"/>
    </row>
    <row r="100" ht="15" customHeight="1">
      <c r="A100" s="48" t="inlineStr">
        <is>
          <t>Confirm structure behind the senior title · org chart</t>
        </is>
      </c>
      <c r="B100" s="212" t="n"/>
      <c r="C100" s="212" t="n"/>
      <c r="D100" s="212" t="n"/>
      <c r="E100" s="212" t="n"/>
      <c r="F100" s="212" t="n"/>
      <c r="G100" s="211" t="n"/>
      <c r="H100" s="16" t="inlineStr">
        <is>
          <t>Business head</t>
        </is>
      </c>
      <c r="I100" s="212" t="n"/>
      <c r="J100" s="212" t="n"/>
      <c r="K100" s="211" t="n"/>
      <c r="L100" s="15" t="n">
        <v>1</v>
      </c>
      <c r="M100" s="212" t="n"/>
      <c r="N100" s="211" t="n"/>
    </row>
    <row r="101" ht="15" customHeight="1">
      <c r="A101" s="48" t="inlineStr">
        <is>
          <t>Confirm the reporting line</t>
        </is>
      </c>
      <c r="B101" s="212" t="n"/>
      <c r="C101" s="212" t="n"/>
      <c r="D101" s="212" t="n"/>
      <c r="E101" s="212" t="n"/>
      <c r="F101" s="212" t="n"/>
      <c r="G101" s="211" t="n"/>
      <c r="H101" s="16" t="inlineStr">
        <is>
          <t>Manager</t>
        </is>
      </c>
      <c r="I101" s="212" t="n"/>
      <c r="J101" s="212" t="n"/>
      <c r="K101" s="211" t="n"/>
      <c r="L101" s="15" t="n">
        <v>1</v>
      </c>
      <c r="M101" s="212" t="n"/>
      <c r="N101" s="211" t="n"/>
    </row>
    <row r="102" ht="15" customHeight="1"/>
    <row r="103" ht="28" customHeight="1">
      <c r="A103" s="11" t="inlineStr">
        <is>
          <t>19 of 49 people need at least one critical input · one that could change or confirm the placement; pay is set later. The full list by person is on sheet 9, section J.</t>
        </is>
      </c>
    </row>
    <row r="104" ht="20" customHeight="1">
      <c r="A104" s="6" t="inlineStr">
        <is>
          <t>8. What the colours mean</t>
        </is>
      </c>
    </row>
    <row r="105" ht="15" customHeight="1">
      <c r="A105" s="49" t="inlineStr">
        <is>
          <t>Section colours: each column group has its own header colour and a matching light tint</t>
        </is>
      </c>
      <c r="B105" s="212" t="n"/>
      <c r="C105" s="212" t="n"/>
      <c r="D105" s="212" t="n"/>
      <c r="E105" s="212" t="n"/>
      <c r="F105" s="212" t="n"/>
      <c r="G105" s="212" t="n"/>
      <c r="H105" s="212" t="n"/>
      <c r="I105" s="212" t="n"/>
      <c r="J105" s="212" t="n"/>
      <c r="K105" s="212" t="n"/>
      <c r="L105" s="212" t="n"/>
      <c r="M105" s="212" t="n"/>
      <c r="N105" s="211" t="n"/>
    </row>
    <row r="106" ht="15" customHeight="1">
      <c r="A106" s="51" t="inlineStr">
        <is>
          <t>Changed vs current · designation or level</t>
        </is>
      </c>
      <c r="B106" s="212" t="n"/>
      <c r="C106" s="212" t="n"/>
      <c r="D106" s="212" t="n"/>
      <c r="E106" s="212" t="n"/>
      <c r="F106" s="212" t="n"/>
      <c r="G106" s="212" t="n"/>
      <c r="H106" s="212" t="n"/>
      <c r="I106" s="212" t="n"/>
      <c r="J106" s="212" t="n"/>
      <c r="K106" s="212" t="n"/>
      <c r="L106" s="212" t="n"/>
      <c r="M106" s="212" t="n"/>
      <c r="N106" s="211" t="n"/>
    </row>
    <row r="107" ht="15" customHeight="1">
      <c r="A107" s="52" t="inlineStr">
        <is>
          <t>Level up</t>
        </is>
      </c>
      <c r="B107" s="212" t="n"/>
      <c r="C107" s="212" t="n"/>
      <c r="D107" s="212" t="n"/>
      <c r="E107" s="212" t="n"/>
      <c r="F107" s="212" t="n"/>
      <c r="G107" s="212" t="n"/>
      <c r="H107" s="212" t="n"/>
      <c r="I107" s="212" t="n"/>
      <c r="J107" s="212" t="n"/>
      <c r="K107" s="212" t="n"/>
      <c r="L107" s="212" t="n"/>
      <c r="M107" s="212" t="n"/>
      <c r="N107" s="211" t="n"/>
    </row>
    <row r="108" ht="15" customHeight="1">
      <c r="A108" s="54" t="inlineStr">
        <is>
          <t>Level down — pay &amp; title protected</t>
        </is>
      </c>
      <c r="B108" s="212" t="n"/>
      <c r="C108" s="212" t="n"/>
      <c r="D108" s="212" t="n"/>
      <c r="E108" s="212" t="n"/>
      <c r="F108" s="212" t="n"/>
      <c r="G108" s="212" t="n"/>
      <c r="H108" s="212" t="n"/>
      <c r="I108" s="212" t="n"/>
      <c r="J108" s="212" t="n"/>
      <c r="K108" s="212" t="n"/>
      <c r="L108" s="212" t="n"/>
      <c r="M108" s="212" t="n"/>
      <c r="N108" s="211" t="n"/>
    </row>
    <row r="109" ht="15" customHeight="1">
      <c r="A109" s="56" t="inlineStr">
        <is>
          <t>Newly mapped</t>
        </is>
      </c>
      <c r="B109" s="212" t="n"/>
      <c r="C109" s="212" t="n"/>
      <c r="D109" s="212" t="n"/>
      <c r="E109" s="212" t="n"/>
      <c r="F109" s="212" t="n"/>
      <c r="G109" s="212" t="n"/>
      <c r="H109" s="212" t="n"/>
      <c r="I109" s="212" t="n"/>
      <c r="J109" s="212" t="n"/>
      <c r="K109" s="212" t="n"/>
      <c r="L109" s="212" t="n"/>
      <c r="M109" s="212" t="n"/>
      <c r="N109" s="211" t="n"/>
    </row>
    <row r="110" ht="15" customHeight="1">
      <c r="A110" s="57" t="inlineStr">
        <is>
          <t>Player-Coach · B+ · C+</t>
        </is>
      </c>
      <c r="B110" s="212" t="n"/>
      <c r="C110" s="212" t="n"/>
      <c r="D110" s="212" t="n"/>
      <c r="E110" s="212" t="n"/>
      <c r="F110" s="212" t="n"/>
      <c r="G110" s="212" t="n"/>
      <c r="H110" s="212" t="n"/>
      <c r="I110" s="212" t="n"/>
      <c r="J110" s="212" t="n"/>
      <c r="K110" s="212" t="n"/>
      <c r="L110" s="212" t="n"/>
      <c r="M110" s="212" t="n"/>
      <c r="N110" s="211" t="n"/>
    </row>
    <row r="111" ht="15" customHeight="1">
      <c r="A111" s="58" t="inlineStr">
        <is>
          <t>RED = critical input needed · could change or confirm the level</t>
        </is>
      </c>
      <c r="B111" s="212" t="n"/>
      <c r="C111" s="212" t="n"/>
      <c r="D111" s="212" t="n"/>
      <c r="E111" s="212" t="n"/>
      <c r="F111" s="212" t="n"/>
      <c r="G111" s="212" t="n"/>
      <c r="H111" s="212" t="n"/>
      <c r="I111" s="212" t="n"/>
      <c r="J111" s="212" t="n"/>
      <c r="K111" s="212" t="n"/>
      <c r="L111" s="212" t="n"/>
      <c r="M111" s="212" t="n"/>
      <c r="N111" s="211" t="n"/>
    </row>
    <row r="112" ht="15" customHeight="1">
      <c r="A112" s="60" t="inlineStr">
        <is>
          <t>YELLOW = to complete in validation</t>
        </is>
      </c>
      <c r="B112" s="212" t="n"/>
      <c r="C112" s="212" t="n"/>
      <c r="D112" s="212" t="n"/>
      <c r="E112" s="212" t="n"/>
      <c r="F112" s="212" t="n"/>
      <c r="G112" s="212" t="n"/>
      <c r="H112" s="212" t="n"/>
      <c r="I112" s="212" t="n"/>
      <c r="J112" s="212" t="n"/>
      <c r="K112" s="212" t="n"/>
      <c r="L112" s="212" t="n"/>
      <c r="M112" s="212" t="n"/>
      <c r="N112" s="211" t="n"/>
    </row>
    <row r="113" ht="15" customHeight="1"/>
    <row r="114" ht="20" customHeight="1">
      <c r="A114" s="6" t="inlineStr">
        <is>
          <t>9. What is in this workbook</t>
        </is>
      </c>
    </row>
    <row r="115" ht="28" customHeight="1">
      <c r="A115" s="11" t="inlineStr">
        <is>
          <t xml:space="preserve">Every sheet in this workbook, with what it holds and a link to it, is listed on the Contents sheet · the first tab. Read sheet 2 for any one person; sheets 3–11 give the detail behind it; the insight sheets and, in the HR Super Master, the calibration tracker follow. </t>
        </is>
      </c>
    </row>
    <row r="116" ht="20" customHeight="1">
      <c r="A116" s="6" t="inlineStr">
        <is>
          <t>10. Data used</t>
        </is>
      </c>
    </row>
    <row r="117" ht="15" customHeight="1">
      <c r="A117" s="12" t="inlineStr">
        <is>
          <t>Source</t>
        </is>
      </c>
      <c r="B117" s="212" t="n"/>
      <c r="C117" s="212" t="n"/>
      <c r="D117" s="211" t="n"/>
      <c r="E117" s="12" t="inlineStr">
        <is>
          <t>People covered</t>
        </is>
      </c>
      <c r="F117" s="212" t="n"/>
      <c r="G117" s="211" t="n"/>
      <c r="H117" s="12" t="inlineStr">
        <is>
          <t>Used for</t>
        </is>
      </c>
      <c r="I117" s="212" t="n"/>
      <c r="J117" s="212" t="n"/>
      <c r="K117" s="212" t="n"/>
      <c r="L117" s="212" t="n"/>
      <c r="M117" s="212" t="n"/>
      <c r="N117" s="211" t="n"/>
    </row>
    <row r="118" ht="15" customHeight="1">
      <c r="A118" s="13" t="inlineStr">
        <is>
          <t>Employee Master · HRIS</t>
        </is>
      </c>
      <c r="B118" s="212" t="n"/>
      <c r="C118" s="212" t="n"/>
      <c r="D118" s="211" t="n"/>
      <c r="E118" s="16" t="inlineStr">
        <is>
          <t>49 of 49</t>
        </is>
      </c>
      <c r="F118" s="212" t="n"/>
      <c r="G118" s="211" t="n"/>
      <c r="H118" s="16" t="inlineStr">
        <is>
          <t>Identity, department, manager, experience, qualification, reports</t>
        </is>
      </c>
      <c r="I118" s="212" t="n"/>
      <c r="J118" s="212" t="n"/>
      <c r="K118" s="212" t="n"/>
      <c r="L118" s="212" t="n"/>
      <c r="M118" s="212" t="n"/>
      <c r="N118" s="211" t="n"/>
    </row>
    <row r="119" ht="15" customHeight="1">
      <c r="A119" s="13" t="inlineStr">
        <is>
          <t>How We Grow survey · 20 questions</t>
        </is>
      </c>
      <c r="B119" s="212" t="n"/>
      <c r="C119" s="212" t="n"/>
      <c r="D119" s="211" t="n"/>
      <c r="E119" s="16" t="inlineStr">
        <is>
          <t>33 of 49</t>
        </is>
      </c>
      <c r="F119" s="212" t="n"/>
      <c r="G119" s="211" t="n"/>
      <c r="H119" s="16" t="inlineStr">
        <is>
          <t>Evidence for the six factors; role profiles; learning needs</t>
        </is>
      </c>
      <c r="I119" s="212" t="n"/>
      <c r="J119" s="212" t="n"/>
      <c r="K119" s="212" t="n"/>
      <c r="L119" s="212" t="n"/>
      <c r="M119" s="212" t="n"/>
      <c r="N119" s="211" t="n"/>
    </row>
    <row r="120" ht="15" customHeight="1">
      <c r="A120" s="13" t="inlineStr">
        <is>
          <t>KRAs · self / manager-set / submitted</t>
        </is>
      </c>
      <c r="B120" s="212" t="n"/>
      <c r="C120" s="212" t="n"/>
      <c r="D120" s="211" t="n"/>
      <c r="E120" s="16" t="inlineStr">
        <is>
          <t>3 of 49</t>
        </is>
      </c>
      <c r="F120" s="212" t="n"/>
      <c r="G120" s="211" t="n"/>
      <c r="H120" s="16" t="inlineStr">
        <is>
          <t>Evidence for Complexity and Accountability; performance measures</t>
        </is>
      </c>
      <c r="I120" s="212" t="n"/>
      <c r="J120" s="212" t="n"/>
      <c r="K120" s="212" t="n"/>
      <c r="L120" s="212" t="n"/>
      <c r="M120" s="212" t="n"/>
      <c r="N120" s="211" t="n"/>
    </row>
    <row r="121" ht="15" customHeight="1">
      <c r="A121" s="13" t="inlineStr">
        <is>
          <t>Manager talent mapping</t>
        </is>
      </c>
      <c r="B121" s="212" t="n"/>
      <c r="C121" s="212" t="n"/>
      <c r="D121" s="211" t="n"/>
      <c r="E121" s="16" t="inlineStr">
        <is>
          <t>49 of 49</t>
        </is>
      </c>
      <c r="F121" s="212" t="n"/>
      <c r="G121" s="211" t="n"/>
      <c r="H121" s="16" t="inlineStr">
        <is>
          <t>Rating, potential, 9-box, player-coach flag, training needs</t>
        </is>
      </c>
      <c r="I121" s="212" t="n"/>
      <c r="J121" s="212" t="n"/>
      <c r="K121" s="212" t="n"/>
      <c r="L121" s="212" t="n"/>
      <c r="M121" s="212" t="n"/>
      <c r="N121" s="211" t="n"/>
    </row>
    <row r="122" ht="28" customHeight="1">
      <c r="A122" s="13" t="inlineStr">
        <is>
          <t>Market standards</t>
        </is>
      </c>
      <c r="B122" s="212" t="n"/>
      <c r="C122" s="212" t="n"/>
      <c r="D122" s="211" t="n"/>
      <c r="E122" s="16" t="inlineStr">
        <is>
          <t>All levels and families</t>
        </is>
      </c>
      <c r="F122" s="212" t="n"/>
      <c r="G122" s="211" t="n"/>
      <c r="H122" s="16" t="inlineStr">
        <is>
          <t>Radford / Mercer codes, SFIA, peer and competitor ladders, professional standards</t>
        </is>
      </c>
      <c r="I122" s="212" t="n"/>
      <c r="J122" s="212" t="n"/>
      <c r="K122" s="212" t="n"/>
      <c r="L122" s="212" t="n"/>
      <c r="M122" s="212" t="n"/>
      <c r="N122" s="211" t="n"/>
    </row>
    <row r="123" ht="28" customHeight="1">
      <c r="A123" s="13" t="inlineStr">
        <is>
          <t>Validated inputs · build/inputs/overrides.csv</t>
        </is>
      </c>
      <c r="B123" s="212" t="n"/>
      <c r="C123" s="212" t="n"/>
      <c r="D123" s="211" t="n"/>
      <c r="E123" s="16" t="inlineStr">
        <is>
          <t>1 people · 9 changes</t>
        </is>
      </c>
      <c r="F123" s="212" t="n"/>
      <c r="G123" s="211" t="n"/>
      <c r="H123" s="16" t="inlineStr">
        <is>
          <t>Corrections confirmed in validation, applied before the engine runs; each is printed on the person's row</t>
        </is>
      </c>
      <c r="I123" s="212" t="n"/>
      <c r="J123" s="212" t="n"/>
      <c r="K123" s="212" t="n"/>
      <c r="L123" s="212" t="n"/>
      <c r="M123" s="212" t="n"/>
      <c r="N123" s="211" t="n"/>
    </row>
    <row r="124" ht="28" customHeight="1">
      <c r="A124" s="13" t="inlineStr">
        <is>
          <t>Pay</t>
        </is>
      </c>
      <c r="B124" s="212" t="n"/>
      <c r="C124" s="212" t="n"/>
      <c r="D124" s="211" t="n"/>
      <c r="E124" s="16" t="inlineStr">
        <is>
          <t>—</t>
        </is>
      </c>
      <c r="F124" s="212" t="n"/>
      <c r="G124" s="211" t="n"/>
      <c r="H124" s="16" t="inlineStr">
        <is>
          <t>Not supplied — every pay column is left blank · grey until the pay survey is bought; not flagged as a missing input</t>
        </is>
      </c>
      <c r="I124" s="212" t="n"/>
      <c r="J124" s="212" t="n"/>
      <c r="K124" s="212" t="n"/>
      <c r="L124" s="212" t="n"/>
      <c r="M124" s="212" t="n"/>
      <c r="N124" s="211" t="n"/>
    </row>
    <row r="125" ht="15" customHeight="1"/>
    <row r="126" ht="20" customHeight="1">
      <c r="A126" s="6" t="inlineStr">
        <is>
          <t>11. How a role's level is worked out — in four steps</t>
        </is>
      </c>
    </row>
    <row r="127" ht="28" customHeight="1">
      <c r="A127" s="11" t="inlineStr">
        <is>
          <t>The score measures the size of the role, not how well the person performs, and it is not linked to pay. It uses the same scale as the ladder · A1 = 1, A2 = 2 … B1 = 4 … E2 = 12, so a score reads as a level.</t>
        </is>
      </c>
    </row>
    <row r="128" ht="15" customHeight="1">
      <c r="A128" s="12" t="inlineStr">
        <is>
          <t>Step</t>
        </is>
      </c>
      <c r="B128" s="12" t="inlineStr">
        <is>
          <t>What happens</t>
        </is>
      </c>
      <c r="C128" s="212" t="n"/>
      <c r="D128" s="212" t="n"/>
      <c r="E128" s="212" t="n"/>
      <c r="F128" s="212" t="n"/>
      <c r="G128" s="211" t="n"/>
      <c r="H128" s="12" t="inlineStr">
        <is>
          <t>In plain words</t>
        </is>
      </c>
      <c r="I128" s="212" t="n"/>
      <c r="J128" s="212" t="n"/>
      <c r="K128" s="212" t="n"/>
      <c r="L128" s="212" t="n"/>
      <c r="M128" s="212" t="n"/>
      <c r="N128" s="211" t="n"/>
    </row>
    <row r="129" ht="54" customHeight="1">
      <c r="A129" s="13" t="inlineStr">
        <is>
          <t>1 · Rate</t>
        </is>
      </c>
      <c r="B129" s="16"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C129" s="212" t="n"/>
      <c r="D129" s="212" t="n"/>
      <c r="E129" s="212" t="n"/>
      <c r="F129" s="212" t="n"/>
      <c r="G129" s="211" t="n"/>
      <c r="H129" s="16" t="inlineStr">
        <is>
          <t>How hard the work is, how freely the person decides, what the role answers for, how much it leads others, the experience it needs and its impact on the business.</t>
        </is>
      </c>
      <c r="I129" s="212" t="n"/>
      <c r="J129" s="212" t="n"/>
      <c r="K129" s="212" t="n"/>
      <c r="L129" s="212" t="n"/>
      <c r="M129" s="212" t="n"/>
      <c r="N129" s="211" t="n"/>
    </row>
    <row r="130" ht="41" customHeight="1">
      <c r="A130" s="13" t="inlineStr">
        <is>
          <t>2 · Weigh</t>
        </is>
      </c>
      <c r="B130" s="16" t="inlineStr">
        <is>
          <t>Each factor has a weight; the six weights add to 100%. They depend on the band and track and the department's type of work, and leaders can edit them on the Weightage Matrix.</t>
        </is>
      </c>
      <c r="C130" s="212" t="n"/>
      <c r="D130" s="212" t="n"/>
      <c r="E130" s="212" t="n"/>
      <c r="F130" s="212" t="n"/>
      <c r="G130" s="211" t="n"/>
      <c r="H130" s="16" t="inlineStr">
        <is>
          <t>Junior roles count the work itself most · Leadership counts 0% in Band A. Senior roles count accountability, leadership and business impact most. Experience counts little.</t>
        </is>
      </c>
      <c r="I130" s="212" t="n"/>
      <c r="J130" s="212" t="n"/>
      <c r="K130" s="212" t="n"/>
      <c r="L130" s="212" t="n"/>
      <c r="M130" s="212" t="n"/>
      <c r="N130" s="211" t="n"/>
    </row>
    <row r="131" ht="41" customHeight="1">
      <c r="A131" s="13" t="inlineStr">
        <is>
          <t>3 · Score</t>
        </is>
      </c>
      <c r="B131" s="16" t="inlineStr">
        <is>
          <t>Score = the six ratings × their weights, added up. Rounded to the nearest whole number ·.5 rounds up, it gives the indicated level.</t>
        </is>
      </c>
      <c r="C131" s="212" t="n"/>
      <c r="D131" s="212" t="n"/>
      <c r="E131" s="212" t="n"/>
      <c r="F131" s="212" t="n"/>
      <c r="G131" s="211" t="n"/>
      <c r="H131" s="16" t="inlineStr">
        <is>
          <t>A weighted average rating — so 4.73 means 'between B1 and B2, nearer B2', which rounds to B2.</t>
        </is>
      </c>
      <c r="I131" s="212" t="n"/>
      <c r="J131" s="212" t="n"/>
      <c r="K131" s="212" t="n"/>
      <c r="L131" s="212" t="n"/>
      <c r="M131" s="212" t="n"/>
      <c r="N131" s="211" t="n"/>
    </row>
    <row r="132" ht="67" customHeight="1">
      <c r="A132" s="13" t="inlineStr">
        <is>
          <t>4 · Check</t>
        </is>
      </c>
      <c r="B132" s="16"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C132" s="212" t="n"/>
      <c r="D132" s="212" t="n"/>
      <c r="E132" s="212" t="n"/>
      <c r="F132" s="212" t="n"/>
      <c r="G132" s="211" t="n"/>
      <c r="H132" s="16" t="inlineStr">
        <is>
          <t>The score proposes; the rules make sure the role really carries that level. Any change is named, with its numbers, on sheet 2 of this workbook.</t>
        </is>
      </c>
      <c r="I132" s="212" t="n"/>
      <c r="J132" s="212" t="n"/>
      <c r="K132" s="212" t="n"/>
      <c r="L132" s="212" t="n"/>
      <c r="M132" s="212" t="n"/>
      <c r="N132" s="211" t="n"/>
    </row>
    <row r="133" ht="15" customHeight="1"/>
    <row r="134" ht="15" customHeight="1">
      <c r="A134" s="17" t="inlineStr">
        <is>
          <t>Worked example · invented numbers — a Band B individual contributor doing technology work:</t>
        </is>
      </c>
    </row>
    <row r="135" ht="15" customHeight="1">
      <c r="A135" s="12" t="inlineStr">
        <is>
          <t>Factor</t>
        </is>
      </c>
      <c r="B135" s="12" t="inlineStr">
        <is>
          <t>Complexity</t>
        </is>
      </c>
      <c r="C135" s="211" t="n"/>
      <c r="D135" s="12" t="inlineStr">
        <is>
          <t>Autonomy</t>
        </is>
      </c>
      <c r="E135" s="211" t="n"/>
      <c r="F135" s="12" t="inlineStr">
        <is>
          <t>Accountability</t>
        </is>
      </c>
      <c r="G135" s="211" t="n"/>
      <c r="H135" s="12" t="inlineStr">
        <is>
          <t>Leadership</t>
        </is>
      </c>
      <c r="I135" s="211" t="n"/>
      <c r="J135" s="12" t="inlineStr">
        <is>
          <t>Experience</t>
        </is>
      </c>
      <c r="K135" s="211" t="n"/>
      <c r="L135" s="12" t="inlineStr">
        <is>
          <t>Bus. Impact</t>
        </is>
      </c>
      <c r="M135" s="211" t="n"/>
      <c r="N135" s="12" t="inlineStr">
        <is>
          <t>Score</t>
        </is>
      </c>
    </row>
    <row r="136" ht="15" customHeight="1">
      <c r="A136" s="13" t="inlineStr">
        <is>
          <t>Rating</t>
        </is>
      </c>
      <c r="B136" s="15" t="inlineStr">
        <is>
          <t>5</t>
        </is>
      </c>
      <c r="C136" s="211" t="n"/>
      <c r="D136" s="15" t="inlineStr">
        <is>
          <t>4</t>
        </is>
      </c>
      <c r="E136" s="211" t="n"/>
      <c r="F136" s="15" t="inlineStr">
        <is>
          <t>5</t>
        </is>
      </c>
      <c r="G136" s="211" t="n"/>
      <c r="H136" s="15" t="inlineStr">
        <is>
          <t>3</t>
        </is>
      </c>
      <c r="I136" s="211" t="n"/>
      <c r="J136" s="15" t="inlineStr">
        <is>
          <t>5</t>
        </is>
      </c>
      <c r="K136" s="211" t="n"/>
      <c r="L136" s="15" t="inlineStr">
        <is>
          <t>5</t>
        </is>
      </c>
      <c r="M136" s="211" t="n"/>
      <c r="N136" s="15" t="inlineStr"/>
    </row>
    <row r="137" ht="15" customHeight="1">
      <c r="A137" s="13" t="inlineStr">
        <is>
          <t>Weight</t>
        </is>
      </c>
      <c r="B137" s="15" t="inlineStr">
        <is>
          <t>56%</t>
        </is>
      </c>
      <c r="C137" s="211" t="n"/>
      <c r="D137" s="15" t="inlineStr">
        <is>
          <t>17%</t>
        </is>
      </c>
      <c r="E137" s="211" t="n"/>
      <c r="F137" s="15" t="inlineStr">
        <is>
          <t>5%</t>
        </is>
      </c>
      <c r="G137" s="211" t="n"/>
      <c r="H137" s="15" t="inlineStr">
        <is>
          <t>5%</t>
        </is>
      </c>
      <c r="I137" s="211" t="n"/>
      <c r="J137" s="15" t="inlineStr">
        <is>
          <t>10%</t>
        </is>
      </c>
      <c r="K137" s="211" t="n"/>
      <c r="L137" s="15" t="inlineStr">
        <is>
          <t>7%</t>
        </is>
      </c>
      <c r="M137" s="211" t="n"/>
      <c r="N137" s="15" t="inlineStr">
        <is>
          <t>100%</t>
        </is>
      </c>
    </row>
    <row r="138" ht="15" customHeight="1">
      <c r="A138" s="13" t="inlineStr">
        <is>
          <t>Rating × weight</t>
        </is>
      </c>
      <c r="B138" s="15" t="inlineStr">
        <is>
          <t>2.80</t>
        </is>
      </c>
      <c r="C138" s="211" t="n"/>
      <c r="D138" s="15" t="inlineStr">
        <is>
          <t>0.68</t>
        </is>
      </c>
      <c r="E138" s="211" t="n"/>
      <c r="F138" s="15" t="inlineStr">
        <is>
          <t>0.25</t>
        </is>
      </c>
      <c r="G138" s="211" t="n"/>
      <c r="H138" s="15" t="inlineStr">
        <is>
          <t>0.15</t>
        </is>
      </c>
      <c r="I138" s="211" t="n"/>
      <c r="J138" s="15" t="inlineStr">
        <is>
          <t>0.50</t>
        </is>
      </c>
      <c r="K138" s="211" t="n"/>
      <c r="L138" s="15" t="inlineStr">
        <is>
          <t>0.35</t>
        </is>
      </c>
      <c r="M138" s="211" t="n"/>
      <c r="N138" s="15" t="inlineStr">
        <is>
          <t>4.73 → B2</t>
        </is>
      </c>
    </row>
    <row r="139" ht="15" customHeight="1"/>
    <row r="140" ht="15" customHeight="1">
      <c r="A140" s="17" t="inlineStr">
        <is>
          <t>What the numbers mean — Corporate</t>
        </is>
      </c>
    </row>
    <row r="141" ht="15" customHeight="1">
      <c r="A141" s="12" t="inlineStr">
        <is>
          <t>Term</t>
        </is>
      </c>
      <c r="B141" s="12" t="inlineStr">
        <is>
          <t>Meaning</t>
        </is>
      </c>
      <c r="C141" s="212" t="n"/>
      <c r="D141" s="212" t="n"/>
      <c r="E141" s="212" t="n"/>
      <c r="F141" s="212" t="n"/>
      <c r="G141" s="212" t="n"/>
      <c r="H141" s="212" t="n"/>
      <c r="I141" s="212" t="n"/>
      <c r="J141" s="212" t="n"/>
      <c r="K141" s="212" t="n"/>
      <c r="L141" s="211" t="n"/>
      <c r="M141" s="12" t="inlineStr">
        <is>
          <t>People</t>
        </is>
      </c>
      <c r="N141" s="211" t="n"/>
    </row>
    <row r="142" ht="15" customHeight="1">
      <c r="A142" s="13" t="inlineStr">
        <is>
          <t>Score</t>
        </is>
      </c>
      <c r="B142" s="16" t="inlineStr">
        <is>
          <t>The size of the role in level units. Not performance, not pay.</t>
        </is>
      </c>
      <c r="C142" s="212" t="n"/>
      <c r="D142" s="212" t="n"/>
      <c r="E142" s="212" t="n"/>
      <c r="F142" s="212" t="n"/>
      <c r="G142" s="212" t="n"/>
      <c r="H142" s="212" t="n"/>
      <c r="I142" s="212" t="n"/>
      <c r="J142" s="212" t="n"/>
      <c r="K142" s="212" t="n"/>
      <c r="L142" s="211" t="n"/>
      <c r="M142" s="15" t="n">
        <v>47</v>
      </c>
      <c r="N142" s="211" t="n"/>
    </row>
    <row r="143" ht="15" customHeight="1">
      <c r="A143" s="13" t="inlineStr">
        <is>
          <t>Indicated level</t>
        </is>
      </c>
      <c r="B143" s="16" t="inlineStr">
        <is>
          <t>The score rounded to the nearest level.</t>
        </is>
      </c>
      <c r="C143" s="212" t="n"/>
      <c r="D143" s="212" t="n"/>
      <c r="E143" s="212" t="n"/>
      <c r="F143" s="212" t="n"/>
      <c r="G143" s="212" t="n"/>
      <c r="H143" s="212" t="n"/>
      <c r="I143" s="212" t="n"/>
      <c r="J143" s="212" t="n"/>
      <c r="K143" s="212" t="n"/>
      <c r="L143" s="211" t="n"/>
      <c r="M143" s="15" t="n">
        <v>47</v>
      </c>
      <c r="N143" s="211" t="n"/>
    </row>
    <row r="144" ht="15" customHeight="1">
      <c r="A144" s="13" t="inlineStr">
        <is>
          <t>Final level</t>
        </is>
      </c>
      <c r="B144" s="16" t="inlineStr">
        <is>
          <t>The level after the rules. Where it differs from the indicated level, a rule moved it and the reason is recorded.</t>
        </is>
      </c>
      <c r="C144" s="212" t="n"/>
      <c r="D144" s="212" t="n"/>
      <c r="E144" s="212" t="n"/>
      <c r="F144" s="212" t="n"/>
      <c r="G144" s="212" t="n"/>
      <c r="H144" s="212" t="n"/>
      <c r="I144" s="212" t="n"/>
      <c r="J144" s="212" t="n"/>
      <c r="K144" s="212" t="n"/>
      <c r="L144" s="211" t="n"/>
      <c r="M144" s="15" t="inlineStr">
        <is>
          <t>5 differ</t>
        </is>
      </c>
      <c r="N144" s="211" t="n"/>
    </row>
    <row r="145" ht="15" customHeight="1">
      <c r="A145" s="13" t="inlineStr">
        <is>
          <t>Close call</t>
        </is>
      </c>
      <c r="B145" s="16" t="inlineStr">
        <is>
          <t>The score decided the level and sits within ±0.05 of a rounding point. Sent to the calibration panel.</t>
        </is>
      </c>
      <c r="C145" s="212" t="n"/>
      <c r="D145" s="212" t="n"/>
      <c r="E145" s="212" t="n"/>
      <c r="F145" s="212" t="n"/>
      <c r="G145" s="212" t="n"/>
      <c r="H145" s="212" t="n"/>
      <c r="I145" s="212" t="n"/>
      <c r="J145" s="212" t="n"/>
      <c r="K145" s="212" t="n"/>
      <c r="L145" s="211" t="n"/>
      <c r="M145" s="15" t="n">
        <v>2</v>
      </c>
      <c r="N145" s="211" t="n"/>
    </row>
    <row r="146" ht="28" customHeight="1">
      <c r="A146" s="13" t="inlineStr">
        <is>
          <t>Near a gate</t>
        </is>
      </c>
      <c r="B146" s="16" t="inlineStr">
        <is>
          <t>A rule set the level, and the number behind that rule is within a quarter-point of flipping it. Sent to the calibration panel.</t>
        </is>
      </c>
      <c r="C146" s="212" t="n"/>
      <c r="D146" s="212" t="n"/>
      <c r="E146" s="212" t="n"/>
      <c r="F146" s="212" t="n"/>
      <c r="G146" s="212" t="n"/>
      <c r="H146" s="212" t="n"/>
      <c r="I146" s="212" t="n"/>
      <c r="J146" s="212" t="n"/>
      <c r="K146" s="212" t="n"/>
      <c r="L146" s="211" t="n"/>
      <c r="M146" s="15" t="n">
        <v>1</v>
      </c>
      <c r="N146" s="211" t="n"/>
    </row>
    <row r="147" ht="15" customHeight="1">
      <c r="A147" s="13" t="inlineStr">
        <is>
          <t>Not scored</t>
        </is>
      </c>
      <c r="B147" s="16" t="inlineStr">
        <is>
          <t>Interns and first-year trainees, consultants and anyone with incomplete ratings are placed by rule.</t>
        </is>
      </c>
      <c r="C147" s="212" t="n"/>
      <c r="D147" s="212" t="n"/>
      <c r="E147" s="212" t="n"/>
      <c r="F147" s="212" t="n"/>
      <c r="G147" s="212" t="n"/>
      <c r="H147" s="212" t="n"/>
      <c r="I147" s="212" t="n"/>
      <c r="J147" s="212" t="n"/>
      <c r="K147" s="212" t="n"/>
      <c r="L147" s="211" t="n"/>
      <c r="M147" s="15" t="n">
        <v>2</v>
      </c>
      <c r="N147" s="211" t="n"/>
    </row>
    <row r="148"/>
    <row r="149" ht="20" customHeight="1">
      <c r="A149" s="6" t="inlineStr">
        <is>
          <t>Charts — the shape of this population</t>
        </is>
      </c>
    </row>
    <row r="150">
      <c r="A150" s="11" t="inlineStr">
        <is>
          <t>People at each level, and how levels moved from the current structure. Built from the tables beside them.</t>
        </is>
      </c>
    </row>
    <row r="151">
      <c r="A151" s="12" t="inlineStr">
        <is>
          <t>Level</t>
        </is>
      </c>
      <c r="B151" s="12" t="inlineStr">
        <is>
          <t>People</t>
        </is>
      </c>
    </row>
    <row r="152">
      <c r="A152" s="13" t="inlineStr">
        <is>
          <t>A1</t>
        </is>
      </c>
      <c r="B152" s="15" t="n">
        <v>1</v>
      </c>
    </row>
    <row r="153">
      <c r="A153" s="13" t="inlineStr">
        <is>
          <t>A2</t>
        </is>
      </c>
      <c r="B153" s="15" t="n">
        <v>1</v>
      </c>
    </row>
    <row r="154">
      <c r="A154" s="13" t="inlineStr">
        <is>
          <t>A3</t>
        </is>
      </c>
      <c r="B154" s="15" t="n">
        <v>21</v>
      </c>
    </row>
    <row r="155">
      <c r="A155" s="13" t="inlineStr">
        <is>
          <t>B1</t>
        </is>
      </c>
      <c r="B155" s="15" t="n">
        <v>10</v>
      </c>
    </row>
    <row r="156">
      <c r="A156" s="13" t="inlineStr">
        <is>
          <t>B2</t>
        </is>
      </c>
      <c r="B156" s="15" t="n">
        <v>5</v>
      </c>
    </row>
    <row r="157">
      <c r="A157" s="13" t="inlineStr">
        <is>
          <t>B3</t>
        </is>
      </c>
      <c r="B157" s="15" t="n">
        <v>2</v>
      </c>
    </row>
    <row r="158">
      <c r="A158" s="13" t="inlineStr">
        <is>
          <t>C1</t>
        </is>
      </c>
      <c r="B158" s="15" t="n">
        <v>3</v>
      </c>
    </row>
    <row r="159">
      <c r="A159" s="13" t="inlineStr">
        <is>
          <t>D2</t>
        </is>
      </c>
      <c r="B159" s="15" t="n">
        <v>1</v>
      </c>
    </row>
    <row r="160">
      <c r="A160" s="13" t="inlineStr">
        <is>
          <t>E1</t>
        </is>
      </c>
      <c r="B160" s="15" t="n">
        <v>3</v>
      </c>
    </row>
    <row r="161">
      <c r="A161" s="13" t="inlineStr">
        <is>
          <t>E2</t>
        </is>
      </c>
      <c r="B161" s="15" t="n">
        <v>1</v>
      </c>
    </row>
    <row r="162"/>
    <row r="163"/>
    <row r="164"/>
    <row r="165"/>
    <row r="166"/>
    <row r="167"/>
    <row r="168"/>
    <row r="169"/>
    <row r="170">
      <c r="A170" s="12" t="inlineStr">
        <is>
          <t>Current ↓ / New →</t>
        </is>
      </c>
      <c r="B170" s="12" t="inlineStr">
        <is>
          <t>A1</t>
        </is>
      </c>
      <c r="C170" s="12" t="inlineStr">
        <is>
          <t>A2</t>
        </is>
      </c>
      <c r="D170" s="12" t="inlineStr">
        <is>
          <t>A3</t>
        </is>
      </c>
      <c r="E170" s="12" t="inlineStr">
        <is>
          <t>B1</t>
        </is>
      </c>
      <c r="F170" s="12" t="inlineStr">
        <is>
          <t>B2</t>
        </is>
      </c>
      <c r="G170" s="12" t="inlineStr">
        <is>
          <t>B3</t>
        </is>
      </c>
      <c r="H170" s="12" t="inlineStr">
        <is>
          <t>C1</t>
        </is>
      </c>
      <c r="I170" s="12" t="inlineStr">
        <is>
          <t>D2</t>
        </is>
      </c>
      <c r="J170" s="12" t="inlineStr">
        <is>
          <t>E1</t>
        </is>
      </c>
      <c r="K170" s="12" t="inlineStr">
        <is>
          <t>E2</t>
        </is>
      </c>
      <c r="L170" s="12" t="inlineStr">
        <is>
          <t>Total</t>
        </is>
      </c>
    </row>
    <row r="171">
      <c r="A171" s="13" t="inlineStr">
        <is>
          <t>L4</t>
        </is>
      </c>
      <c r="B171" s="15" t="n"/>
      <c r="C171" s="15" t="n"/>
      <c r="D171" s="15" t="n">
        <v>1</v>
      </c>
      <c r="E171" s="15" t="n"/>
      <c r="F171" s="15" t="n"/>
      <c r="G171" s="15" t="n"/>
      <c r="H171" s="15" t="n"/>
      <c r="I171" s="15" t="n"/>
      <c r="J171" s="15" t="n"/>
      <c r="K171" s="15" t="n"/>
      <c r="L171" s="15" t="n">
        <v>1</v>
      </c>
    </row>
    <row r="172">
      <c r="A172" s="13" t="inlineStr">
        <is>
          <t>L5</t>
        </is>
      </c>
      <c r="B172" s="15" t="n"/>
      <c r="C172" s="15" t="n"/>
      <c r="D172" s="15" t="n">
        <v>1</v>
      </c>
      <c r="E172" s="15" t="n"/>
      <c r="F172" s="15" t="n">
        <v>1</v>
      </c>
      <c r="G172" s="15" t="n"/>
      <c r="H172" s="15" t="n"/>
      <c r="I172" s="15" t="n"/>
      <c r="J172" s="15" t="n"/>
      <c r="K172" s="15" t="n"/>
      <c r="L172" s="15" t="n">
        <v>2</v>
      </c>
    </row>
    <row r="173">
      <c r="A173" s="13" t="inlineStr">
        <is>
          <t>Not mapped</t>
        </is>
      </c>
      <c r="B173" s="15" t="n">
        <v>1</v>
      </c>
      <c r="C173" s="15" t="n">
        <v>1</v>
      </c>
      <c r="D173" s="15" t="n">
        <v>19</v>
      </c>
      <c r="E173" s="15" t="n">
        <v>10</v>
      </c>
      <c r="F173" s="15" t="n">
        <v>4</v>
      </c>
      <c r="G173" s="15" t="n">
        <v>2</v>
      </c>
      <c r="H173" s="15" t="n">
        <v>3</v>
      </c>
      <c r="I173" s="15" t="n">
        <v>1</v>
      </c>
      <c r="J173" s="15" t="n">
        <v>3</v>
      </c>
      <c r="K173" s="15" t="n">
        <v>1</v>
      </c>
      <c r="L173" s="15" t="n">
        <v>45</v>
      </c>
    </row>
    <row r="174">
      <c r="A174" s="210" t="inlineStr">
        <is>
          <t>Total</t>
        </is>
      </c>
      <c r="B174" s="213" t="n">
        <v>1</v>
      </c>
      <c r="C174" s="213" t="n">
        <v>1</v>
      </c>
      <c r="D174" s="213" t="n">
        <v>21</v>
      </c>
      <c r="E174" s="213" t="n">
        <v>10</v>
      </c>
      <c r="F174" s="213" t="n">
        <v>5</v>
      </c>
      <c r="G174" s="213" t="n">
        <v>2</v>
      </c>
      <c r="H174" s="213" t="n">
        <v>3</v>
      </c>
      <c r="I174" s="213" t="n">
        <v>1</v>
      </c>
      <c r="J174" s="213" t="n">
        <v>3</v>
      </c>
      <c r="K174" s="213" t="n">
        <v>1</v>
      </c>
      <c r="L174" s="213" t="n">
        <v>48</v>
      </c>
    </row>
  </sheetData>
  <mergeCells count="359">
    <mergeCell ref="D60:E60"/>
    <mergeCell ref="A48:E48"/>
    <mergeCell ref="L42:N42"/>
    <mergeCell ref="F16:G16"/>
    <mergeCell ref="H101:K101"/>
    <mergeCell ref="B141:L141"/>
    <mergeCell ref="J59:K59"/>
    <mergeCell ref="A121:D121"/>
    <mergeCell ref="A57:C57"/>
    <mergeCell ref="E8:F8"/>
    <mergeCell ref="A79:N79"/>
    <mergeCell ref="F36:J36"/>
    <mergeCell ref="L100:N100"/>
    <mergeCell ref="L136:M136"/>
    <mergeCell ref="A37:E37"/>
    <mergeCell ref="A124:D124"/>
    <mergeCell ref="F31:J31"/>
    <mergeCell ref="L95:N95"/>
    <mergeCell ref="F39:J39"/>
    <mergeCell ref="A43:E43"/>
    <mergeCell ref="L97:N97"/>
    <mergeCell ref="H62:I62"/>
    <mergeCell ref="J62:K62"/>
    <mergeCell ref="L47:N47"/>
    <mergeCell ref="J64:K64"/>
    <mergeCell ref="A92:N92"/>
    <mergeCell ref="J57:K57"/>
    <mergeCell ref="L57:M57"/>
    <mergeCell ref="A117:D117"/>
    <mergeCell ref="A94:N94"/>
    <mergeCell ref="F21:J21"/>
    <mergeCell ref="L50:N50"/>
    <mergeCell ref="F50:J50"/>
    <mergeCell ref="F17:G17"/>
    <mergeCell ref="L52:N52"/>
    <mergeCell ref="H17:I17"/>
    <mergeCell ref="M7:N7"/>
    <mergeCell ref="A58:C58"/>
    <mergeCell ref="F61:G61"/>
    <mergeCell ref="A60:C60"/>
    <mergeCell ref="A38:E38"/>
    <mergeCell ref="D15:E15"/>
    <mergeCell ref="B131:G131"/>
    <mergeCell ref="B142:L142"/>
    <mergeCell ref="F49:J49"/>
    <mergeCell ref="H14:I14"/>
    <mergeCell ref="G9:H9"/>
    <mergeCell ref="A40:E40"/>
    <mergeCell ref="I9:J9"/>
    <mergeCell ref="A67:N67"/>
    <mergeCell ref="B144:L144"/>
    <mergeCell ref="F137:G137"/>
    <mergeCell ref="H137:I137"/>
    <mergeCell ref="H97:K97"/>
    <mergeCell ref="L40:N40"/>
    <mergeCell ref="J65:K65"/>
    <mergeCell ref="E6:F6"/>
    <mergeCell ref="L58:M58"/>
    <mergeCell ref="F23:J23"/>
    <mergeCell ref="A87:D87"/>
    <mergeCell ref="L60:M60"/>
    <mergeCell ref="F52:J52"/>
    <mergeCell ref="A89:D89"/>
    <mergeCell ref="F37:J37"/>
    <mergeCell ref="A28:E28"/>
    <mergeCell ref="L53:N53"/>
    <mergeCell ref="A30:E30"/>
    <mergeCell ref="F53:J53"/>
    <mergeCell ref="J14:K14"/>
    <mergeCell ref="J13:K13"/>
    <mergeCell ref="H64:I64"/>
    <mergeCell ref="J15:K15"/>
    <mergeCell ref="A41:E41"/>
    <mergeCell ref="E119:G119"/>
    <mergeCell ref="F42:J42"/>
    <mergeCell ref="A82:D82"/>
    <mergeCell ref="B145:L145"/>
    <mergeCell ref="G6:H6"/>
    <mergeCell ref="A27:E27"/>
    <mergeCell ref="L21:N21"/>
    <mergeCell ref="D16:E16"/>
    <mergeCell ref="H138:I138"/>
    <mergeCell ref="B147:L147"/>
    <mergeCell ref="H98:K98"/>
    <mergeCell ref="A99:G99"/>
    <mergeCell ref="L16:N16"/>
    <mergeCell ref="A101:G101"/>
    <mergeCell ref="L43:N43"/>
    <mergeCell ref="H128:N128"/>
    <mergeCell ref="A122:D122"/>
    <mergeCell ref="A70:B70"/>
    <mergeCell ref="A7:B7"/>
    <mergeCell ref="A74:B74"/>
    <mergeCell ref="D135:E135"/>
    <mergeCell ref="F135:G135"/>
    <mergeCell ref="A76:B76"/>
    <mergeCell ref="H65:I65"/>
    <mergeCell ref="A116:N116"/>
    <mergeCell ref="A91:N91"/>
    <mergeCell ref="A85:D85"/>
    <mergeCell ref="A93:N93"/>
    <mergeCell ref="L24:N24"/>
    <mergeCell ref="A100:G100"/>
    <mergeCell ref="M142:N142"/>
    <mergeCell ref="L51:N51"/>
    <mergeCell ref="L26:N26"/>
    <mergeCell ref="H56:I56"/>
    <mergeCell ref="M144:N144"/>
    <mergeCell ref="F51:J51"/>
    <mergeCell ref="B128:G128"/>
    <mergeCell ref="A12:N12"/>
    <mergeCell ref="A71:B71"/>
    <mergeCell ref="A104:N104"/>
    <mergeCell ref="I8:J8"/>
    <mergeCell ref="A8:B8"/>
    <mergeCell ref="C8:D8"/>
    <mergeCell ref="A106:N106"/>
    <mergeCell ref="F136:G136"/>
    <mergeCell ref="L37:N37"/>
    <mergeCell ref="A95:G95"/>
    <mergeCell ref="H136:I136"/>
    <mergeCell ref="A16:C16"/>
    <mergeCell ref="A77:B77"/>
    <mergeCell ref="F29:J29"/>
    <mergeCell ref="A97:G97"/>
    <mergeCell ref="L14:N14"/>
    <mergeCell ref="D63:E63"/>
    <mergeCell ref="A96:G96"/>
    <mergeCell ref="H58:I58"/>
    <mergeCell ref="F24:J24"/>
    <mergeCell ref="A25:E25"/>
    <mergeCell ref="H60:I60"/>
    <mergeCell ref="L96:N96"/>
    <mergeCell ref="F26:J26"/>
    <mergeCell ref="K8:L8"/>
    <mergeCell ref="A2:N2"/>
    <mergeCell ref="L27:N27"/>
    <mergeCell ref="H57:I57"/>
    <mergeCell ref="M145:N145"/>
    <mergeCell ref="B129:G129"/>
    <mergeCell ref="F27:J27"/>
    <mergeCell ref="A20:E20"/>
    <mergeCell ref="M147:N147"/>
    <mergeCell ref="A112:N112"/>
    <mergeCell ref="H100:K100"/>
    <mergeCell ref="A127:N127"/>
    <mergeCell ref="F44:J44"/>
    <mergeCell ref="A114:N114"/>
    <mergeCell ref="A51:E51"/>
    <mergeCell ref="L45:N45"/>
    <mergeCell ref="A107:N107"/>
    <mergeCell ref="H95:K95"/>
    <mergeCell ref="L20:N20"/>
    <mergeCell ref="L38:N38"/>
    <mergeCell ref="F20:J20"/>
    <mergeCell ref="L22:N22"/>
    <mergeCell ref="A17:C17"/>
    <mergeCell ref="C9:D9"/>
    <mergeCell ref="A98:G98"/>
    <mergeCell ref="E9:F9"/>
    <mergeCell ref="A119:D119"/>
    <mergeCell ref="M6:N6"/>
    <mergeCell ref="J63:K63"/>
    <mergeCell ref="B137:C137"/>
    <mergeCell ref="L63:M63"/>
    <mergeCell ref="A33:N33"/>
    <mergeCell ref="D137:E137"/>
    <mergeCell ref="L98:N98"/>
    <mergeCell ref="A35:E35"/>
    <mergeCell ref="J138:K138"/>
    <mergeCell ref="D59:E59"/>
    <mergeCell ref="A39:E39"/>
    <mergeCell ref="C6:D6"/>
    <mergeCell ref="A73:B73"/>
    <mergeCell ref="E118:G118"/>
    <mergeCell ref="L35:N35"/>
    <mergeCell ref="A103:N103"/>
    <mergeCell ref="J60:K60"/>
    <mergeCell ref="H120:N120"/>
    <mergeCell ref="D61:E61"/>
    <mergeCell ref="F45:J45"/>
    <mergeCell ref="A21:E21"/>
    <mergeCell ref="L46:N46"/>
    <mergeCell ref="A63:C63"/>
    <mergeCell ref="F47:J47"/>
    <mergeCell ref="A23:E23"/>
    <mergeCell ref="D62:E62"/>
    <mergeCell ref="F46:J46"/>
    <mergeCell ref="F13:G13"/>
    <mergeCell ref="D56:E56"/>
    <mergeCell ref="L48:N48"/>
    <mergeCell ref="H13:I13"/>
    <mergeCell ref="F56:G56"/>
    <mergeCell ref="D64:E64"/>
    <mergeCell ref="F48:J48"/>
    <mergeCell ref="A52:E52"/>
    <mergeCell ref="A68:B68"/>
    <mergeCell ref="H15:I15"/>
    <mergeCell ref="M141:N141"/>
    <mergeCell ref="J58:K58"/>
    <mergeCell ref="F57:G57"/>
    <mergeCell ref="A34:E34"/>
    <mergeCell ref="M143:N143"/>
    <mergeCell ref="B138:C138"/>
    <mergeCell ref="D138:E138"/>
    <mergeCell ref="H96:K96"/>
    <mergeCell ref="A49:E49"/>
    <mergeCell ref="A36:E36"/>
    <mergeCell ref="L137:M137"/>
    <mergeCell ref="A1:N1"/>
    <mergeCell ref="L41:N41"/>
    <mergeCell ref="G7:H7"/>
    <mergeCell ref="I7:J7"/>
    <mergeCell ref="L34:N34"/>
    <mergeCell ref="F41:J41"/>
    <mergeCell ref="F35:J35"/>
    <mergeCell ref="L99:N99"/>
    <mergeCell ref="A13:C13"/>
    <mergeCell ref="L49:N49"/>
    <mergeCell ref="F62:G62"/>
    <mergeCell ref="A55:N55"/>
    <mergeCell ref="A88:D88"/>
    <mergeCell ref="L36:N36"/>
    <mergeCell ref="H121:N121"/>
    <mergeCell ref="A15:C15"/>
    <mergeCell ref="A29:E29"/>
    <mergeCell ref="H123:N123"/>
    <mergeCell ref="L59:M59"/>
    <mergeCell ref="A31:E31"/>
    <mergeCell ref="J61:K61"/>
    <mergeCell ref="L61:M61"/>
    <mergeCell ref="F64:G64"/>
    <mergeCell ref="A24:E24"/>
    <mergeCell ref="K9:L9"/>
    <mergeCell ref="D65:E65"/>
    <mergeCell ref="A69:B69"/>
    <mergeCell ref="A83:D83"/>
    <mergeCell ref="A62:C62"/>
    <mergeCell ref="D17:E17"/>
    <mergeCell ref="A149:N149"/>
    <mergeCell ref="A50:E50"/>
    <mergeCell ref="H16:I16"/>
    <mergeCell ref="J16:K16"/>
    <mergeCell ref="F38:J38"/>
    <mergeCell ref="A42:E42"/>
    <mergeCell ref="L138:M138"/>
    <mergeCell ref="A59:C59"/>
    <mergeCell ref="L17:N17"/>
    <mergeCell ref="A150:N150"/>
    <mergeCell ref="A80:D80"/>
    <mergeCell ref="B143:L143"/>
    <mergeCell ref="A61:C61"/>
    <mergeCell ref="D14:E14"/>
    <mergeCell ref="F14:G14"/>
    <mergeCell ref="H131:N131"/>
    <mergeCell ref="F65:G65"/>
    <mergeCell ref="L39:N39"/>
    <mergeCell ref="A56:C56"/>
    <mergeCell ref="G8:H8"/>
    <mergeCell ref="H124:N124"/>
    <mergeCell ref="A6:B6"/>
    <mergeCell ref="B136:C136"/>
    <mergeCell ref="L62:M62"/>
    <mergeCell ref="D136:E136"/>
    <mergeCell ref="L64:M64"/>
    <mergeCell ref="F28:J28"/>
    <mergeCell ref="D58:E58"/>
    <mergeCell ref="F58:G58"/>
    <mergeCell ref="A84:D84"/>
    <mergeCell ref="H129:N129"/>
    <mergeCell ref="A72:B72"/>
    <mergeCell ref="A140:N140"/>
    <mergeCell ref="F60:G60"/>
    <mergeCell ref="A86:D86"/>
    <mergeCell ref="A65:C65"/>
    <mergeCell ref="J17:K17"/>
    <mergeCell ref="A45:E45"/>
    <mergeCell ref="A81:D81"/>
    <mergeCell ref="L25:N25"/>
    <mergeCell ref="F15:G15"/>
    <mergeCell ref="D13:E13"/>
    <mergeCell ref="A46:E46"/>
    <mergeCell ref="E124:G124"/>
    <mergeCell ref="E120:G120"/>
    <mergeCell ref="A26:E26"/>
    <mergeCell ref="A105:N105"/>
    <mergeCell ref="H130:N130"/>
    <mergeCell ref="H117:N117"/>
    <mergeCell ref="J137:K137"/>
    <mergeCell ref="E121:G121"/>
    <mergeCell ref="H132:N132"/>
    <mergeCell ref="H119:N119"/>
    <mergeCell ref="L13:N13"/>
    <mergeCell ref="E123:G123"/>
    <mergeCell ref="L65:M65"/>
    <mergeCell ref="A10:N10"/>
    <mergeCell ref="A9:B9"/>
    <mergeCell ref="A115:N115"/>
    <mergeCell ref="L15:N15"/>
    <mergeCell ref="I6:J6"/>
    <mergeCell ref="F63:G63"/>
    <mergeCell ref="H63:I63"/>
    <mergeCell ref="A14:C14"/>
    <mergeCell ref="F138:G138"/>
    <mergeCell ref="H122:N122"/>
    <mergeCell ref="A3:N3"/>
    <mergeCell ref="A5:N5"/>
    <mergeCell ref="F22:J22"/>
    <mergeCell ref="L101:N101"/>
    <mergeCell ref="L28:N28"/>
    <mergeCell ref="K6:L6"/>
    <mergeCell ref="M146:N146"/>
    <mergeCell ref="B130:G130"/>
    <mergeCell ref="L23:N23"/>
    <mergeCell ref="B132:G132"/>
    <mergeCell ref="F40:J40"/>
    <mergeCell ref="A110:N110"/>
    <mergeCell ref="A75:B75"/>
    <mergeCell ref="A108:N108"/>
    <mergeCell ref="A47:E47"/>
    <mergeCell ref="A22:E22"/>
    <mergeCell ref="E122:G122"/>
    <mergeCell ref="A64:C64"/>
    <mergeCell ref="K7:L7"/>
    <mergeCell ref="A120:D120"/>
    <mergeCell ref="C7:D7"/>
    <mergeCell ref="E7:F7"/>
    <mergeCell ref="A134:N134"/>
    <mergeCell ref="A44:E44"/>
    <mergeCell ref="H135:I135"/>
    <mergeCell ref="J135:K135"/>
    <mergeCell ref="B135:C135"/>
    <mergeCell ref="L135:M135"/>
    <mergeCell ref="F34:J34"/>
    <mergeCell ref="F25:J25"/>
    <mergeCell ref="L30:N30"/>
    <mergeCell ref="L29:N29"/>
    <mergeCell ref="J136:K136"/>
    <mergeCell ref="F59:G59"/>
    <mergeCell ref="F30:J30"/>
    <mergeCell ref="H59:I59"/>
    <mergeCell ref="D57:E57"/>
    <mergeCell ref="L44:N44"/>
    <mergeCell ref="L31:N31"/>
    <mergeCell ref="H61:I61"/>
    <mergeCell ref="A123:D123"/>
    <mergeCell ref="H118:N118"/>
    <mergeCell ref="B146:L146"/>
    <mergeCell ref="J56:K56"/>
    <mergeCell ref="E117:G117"/>
    <mergeCell ref="A53:E53"/>
    <mergeCell ref="L56:M56"/>
    <mergeCell ref="A118:D118"/>
    <mergeCell ref="F43:J43"/>
    <mergeCell ref="A126:N126"/>
    <mergeCell ref="A109:N109"/>
    <mergeCell ref="A19:N19"/>
    <mergeCell ref="A111:N111"/>
    <mergeCell ref="H99:K99"/>
  </mergeCells>
  <conditionalFormatting sqref="B171:K173">
    <cfRule type="colorScale" priority="1">
      <colorScale>
        <cfvo type="num" val="0"/>
        <cfvo type="max"/>
        <color rgb="00FFFFFF"/>
        <color rgb="002E75B6"/>
      </colorScale>
    </cfRule>
  </conditionalFormatting>
  <hyperlinks>
    <hyperlink xmlns:r="http://schemas.openxmlformats.org/officeDocument/2006/relationships" ref="O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2"/>
</worksheet>
</file>

<file path=xl/worksheets/sheet4.xml><?xml version="1.0" encoding="utf-8"?>
<worksheet xmlns="http://schemas.openxmlformats.org/spreadsheetml/2006/main">
  <sheetPr>
    <tabColor rgb="001F3864"/>
    <outlinePr summaryBelow="1" summaryRight="1"/>
    <pageSetUpPr fitToPage="1"/>
  </sheetPr>
  <dimension ref="A1:W55"/>
  <sheetViews>
    <sheetView showGridLines="0"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10" customWidth="1" min="3" max="3"/>
    <col width="18" customWidth="1" min="4" max="4"/>
    <col width="22" customWidth="1" min="5" max="5"/>
    <col width="24" customWidth="1" min="6" max="6"/>
    <col width="24" customWidth="1" min="7" max="7"/>
    <col width="26" customWidth="1" min="8" max="8"/>
    <col width="14" customWidth="1" min="9" max="9"/>
    <col width="9" customWidth="1" min="10" max="10"/>
    <col width="13" customWidth="1" min="11" max="11"/>
    <col width="12" customWidth="1" min="12" max="12"/>
    <col width="8" customWidth="1" min="13" max="13"/>
    <col width="9" customWidth="1" min="14" max="14"/>
    <col width="9" customWidth="1" min="15" max="15"/>
    <col width="10" customWidth="1" min="16" max="16"/>
    <col width="9" customWidth="1" min="17" max="17"/>
    <col width="9" customWidth="1" min="18" max="18"/>
    <col width="9" customWidth="1" min="19" max="19"/>
    <col width="44" customWidth="1" min="20" max="20"/>
    <col width="24" customWidth="1" min="21" max="21"/>
    <col width="10" customWidth="1" min="22" max="22"/>
    <col width="13" customWidth="1" min="23" max="23"/>
  </cols>
  <sheetData>
    <row r="1" ht="34" customHeight="1">
      <c r="A1" s="1" t="inlineStr">
        <is>
          <t>Placements — one line per person · the slim view</t>
        </is>
      </c>
      <c r="W1" s="242" t="inlineStr">
        <is>
          <t>◂ Contents</t>
        </is>
      </c>
    </row>
    <row r="2" ht="32" customHeight="1">
      <c r="A2" s="3" t="inlineStr">
        <is>
          <t>Sheet 1a · Who sits where, before → after, the score as built, the six ratings · bars, what set the level and any flag; after a leader edits the Weightage Matrix, the live score is on sheet 2. The full reasoning for one person is on sheet 1b · choose the Emp ID; every column for everyone is on sheet 2. Filter by business, department, family or level with the header arrows.</t>
        </is>
      </c>
    </row>
    <row r="3">
      <c r="A3" s="4" t="inlineStr">
        <is>
          <t>IRIS · Job Architecture &amp; Job Design · Final v1.12 · October 2026 · Internal — Confidential</t>
        </is>
      </c>
    </row>
    <row r="4"/>
    <row r="5"/>
    <row r="6" ht="30" customHeight="1">
      <c r="A6" s="92" t="inlineStr">
        <is>
          <t>Emp ID</t>
        </is>
      </c>
      <c r="B6" s="92" t="inlineStr">
        <is>
          <t>Employee name</t>
        </is>
      </c>
      <c r="C6" s="92" t="inlineStr">
        <is>
          <t>Business</t>
        </is>
      </c>
      <c r="D6" s="92" t="inlineStr">
        <is>
          <t>Department</t>
        </is>
      </c>
      <c r="E6" s="92" t="inlineStr">
        <is>
          <t>Job family</t>
        </is>
      </c>
      <c r="F6" s="92" t="inlineStr">
        <is>
          <t>Sub-family</t>
        </is>
      </c>
      <c r="G6" s="92" t="inlineStr">
        <is>
          <t>Current designation</t>
        </is>
      </c>
      <c r="H6" s="92" t="inlineStr">
        <is>
          <t>Final designation</t>
        </is>
      </c>
      <c r="I6" s="92" t="inlineStr">
        <is>
          <t>Current level</t>
        </is>
      </c>
      <c r="J6" s="92" t="inlineStr">
        <is>
          <t>FINAL LEVEL</t>
        </is>
      </c>
      <c r="K6" s="92" t="inlineStr">
        <is>
          <t>Track</t>
        </is>
      </c>
      <c r="L6" s="92" t="inlineStr">
        <is>
          <t>Change</t>
        </is>
      </c>
      <c r="M6" s="92" t="inlineStr">
        <is>
          <t>Score</t>
        </is>
      </c>
      <c r="N6" s="92" t="inlineStr">
        <is>
          <t>Complexity</t>
        </is>
      </c>
      <c r="O6" s="92" t="inlineStr">
        <is>
          <t>Autonomy</t>
        </is>
      </c>
      <c r="P6" s="92" t="inlineStr">
        <is>
          <t>Accountability</t>
        </is>
      </c>
      <c r="Q6" s="92" t="inlineStr">
        <is>
          <t>Leadership</t>
        </is>
      </c>
      <c r="R6" s="92" t="inlineStr">
        <is>
          <t>Exp &amp; Qual</t>
        </is>
      </c>
      <c r="S6" s="92" t="inlineStr">
        <is>
          <t>Bus. Impact</t>
        </is>
      </c>
      <c r="T6" s="92" t="inlineStr">
        <is>
          <t>What set the level</t>
        </is>
      </c>
      <c r="U6" s="92" t="inlineStr">
        <is>
          <t>Flags</t>
        </is>
      </c>
      <c r="V6" s="92" t="inlineStr">
        <is>
          <t>Confidence</t>
        </is>
      </c>
    </row>
    <row r="7">
      <c r="A7" s="15" t="inlineStr">
        <is>
          <t>IRIS1326</t>
        </is>
      </c>
      <c r="B7" s="214" t="inlineStr">
        <is>
          <t>Sujit Acharya</t>
        </is>
      </c>
      <c r="C7" s="214" t="inlineStr">
        <is>
          <t>Corporate</t>
        </is>
      </c>
      <c r="D7" s="214" t="inlineStr">
        <is>
          <t>Administration</t>
        </is>
      </c>
      <c r="E7" s="214" t="inlineStr">
        <is>
          <t>Administration, Legal &amp; Secretarial</t>
        </is>
      </c>
      <c r="F7" s="214" t="inlineStr">
        <is>
          <t>Administration &amp; Facilities</t>
        </is>
      </c>
      <c r="G7" s="214" t="inlineStr">
        <is>
          <t>Manager Administration</t>
        </is>
      </c>
      <c r="H7" s="214" t="inlineStr">
        <is>
          <t>Manager – Administration</t>
        </is>
      </c>
      <c r="I7" s="15" t="inlineStr">
        <is>
          <t>Not mapped</t>
        </is>
      </c>
      <c r="J7" s="150" t="inlineStr">
        <is>
          <t>B2</t>
        </is>
      </c>
      <c r="K7" s="15" t="inlineStr">
        <is>
          <t>People Manager</t>
        </is>
      </c>
      <c r="L7" s="215" t="inlineStr">
        <is>
          <t>Newly mapped</t>
        </is>
      </c>
      <c r="M7" s="15" t="n">
        <v>4.83</v>
      </c>
      <c r="N7" s="15" t="n">
        <v>4</v>
      </c>
      <c r="O7" s="15" t="n">
        <v>4</v>
      </c>
      <c r="P7" s="15" t="n">
        <v>4</v>
      </c>
      <c r="Q7" s="15" t="n">
        <v>3.5</v>
      </c>
      <c r="R7" s="15" t="n">
        <v>10</v>
      </c>
      <c r="S7" s="15" t="n">
        <v>4</v>
      </c>
      <c r="T7" s="214" t="inlineStr">
        <is>
          <t>The score decided the level</t>
        </is>
      </c>
      <c r="U7" s="214" t="inlineStr">
        <is>
          <t>—</t>
        </is>
      </c>
      <c r="V7" s="15" t="inlineStr">
        <is>
          <t>High</t>
        </is>
      </c>
    </row>
    <row r="8">
      <c r="A8" s="15" t="inlineStr">
        <is>
          <t>IRIS2431</t>
        </is>
      </c>
      <c r="B8" s="214" t="inlineStr">
        <is>
          <t>Ashish Pawar</t>
        </is>
      </c>
      <c r="C8" s="214" t="inlineStr">
        <is>
          <t>Corporate</t>
        </is>
      </c>
      <c r="D8" s="214" t="inlineStr">
        <is>
          <t>Administration</t>
        </is>
      </c>
      <c r="E8" s="214" t="inlineStr">
        <is>
          <t>Administration, Legal &amp; Secretarial</t>
        </is>
      </c>
      <c r="F8" s="214" t="inlineStr">
        <is>
          <t>Administration &amp; Facilities</t>
        </is>
      </c>
      <c r="G8" s="214" t="inlineStr">
        <is>
          <t>Executive Administration</t>
        </is>
      </c>
      <c r="H8" s="214" t="inlineStr">
        <is>
          <t>Senior Administration Executive</t>
        </is>
      </c>
      <c r="I8" s="15" t="inlineStr">
        <is>
          <t>Not mapped</t>
        </is>
      </c>
      <c r="J8" s="151" t="inlineStr">
        <is>
          <t>A3</t>
        </is>
      </c>
      <c r="K8" s="15" t="inlineStr">
        <is>
          <t>IC</t>
        </is>
      </c>
      <c r="L8" s="215" t="inlineStr">
        <is>
          <t>Newly mapped</t>
        </is>
      </c>
      <c r="M8" s="15" t="n">
        <v>2.83</v>
      </c>
      <c r="N8" s="15" t="n">
        <v>2</v>
      </c>
      <c r="O8" s="15" t="n">
        <v>2</v>
      </c>
      <c r="P8" s="15" t="n">
        <v>2</v>
      </c>
      <c r="Q8" s="15" t="n">
        <v>1</v>
      </c>
      <c r="R8" s="15" t="n">
        <v>7.5</v>
      </c>
      <c r="S8" s="15" t="n">
        <v>2</v>
      </c>
      <c r="T8" s="214" t="inlineStr">
        <is>
          <t>The score decided the level</t>
        </is>
      </c>
      <c r="U8" s="214" t="inlineStr">
        <is>
          <t>—</t>
        </is>
      </c>
      <c r="V8" s="15" t="inlineStr">
        <is>
          <t>Medium</t>
        </is>
      </c>
    </row>
    <row r="9">
      <c r="A9" s="15" t="inlineStr">
        <is>
          <t>IRIS0020</t>
        </is>
      </c>
      <c r="B9" s="214" t="inlineStr">
        <is>
          <t>Mangesh Kosty</t>
        </is>
      </c>
      <c r="C9" s="214" t="inlineStr">
        <is>
          <t>Corporate</t>
        </is>
      </c>
      <c r="D9" s="214" t="inlineStr">
        <is>
          <t>Administration</t>
        </is>
      </c>
      <c r="E9" s="214" t="inlineStr">
        <is>
          <t>Administration, Legal &amp; Secretarial</t>
        </is>
      </c>
      <c r="F9" s="214" t="inlineStr">
        <is>
          <t>Administration &amp; Facilities</t>
        </is>
      </c>
      <c r="G9" s="214" t="inlineStr">
        <is>
          <t>Executive Administration</t>
        </is>
      </c>
      <c r="H9" s="214" t="inlineStr">
        <is>
          <t>Senior Administration Executive</t>
        </is>
      </c>
      <c r="I9" s="15" t="inlineStr">
        <is>
          <t>Not mapped</t>
        </is>
      </c>
      <c r="J9" s="151" t="inlineStr">
        <is>
          <t>A3</t>
        </is>
      </c>
      <c r="K9" s="15" t="inlineStr">
        <is>
          <t>IC</t>
        </is>
      </c>
      <c r="L9" s="215" t="inlineStr">
        <is>
          <t>Newly mapped</t>
        </is>
      </c>
      <c r="M9" s="15" t="n">
        <v>3.12</v>
      </c>
      <c r="N9" s="15" t="n">
        <v>2</v>
      </c>
      <c r="O9" s="15" t="n">
        <v>2</v>
      </c>
      <c r="P9" s="15" t="n">
        <v>2</v>
      </c>
      <c r="Q9" s="15" t="n">
        <v>1</v>
      </c>
      <c r="R9" s="15" t="n">
        <v>9.5</v>
      </c>
      <c r="S9" s="15" t="n">
        <v>2</v>
      </c>
      <c r="T9" s="214" t="inlineStr">
        <is>
          <t>The score decided the level</t>
        </is>
      </c>
      <c r="U9" s="216" t="inlineStr">
        <is>
          <t>Input needed</t>
        </is>
      </c>
      <c r="V9" s="15" t="inlineStr">
        <is>
          <t>Low</t>
        </is>
      </c>
    </row>
    <row r="10">
      <c r="A10" s="15" t="inlineStr">
        <is>
          <t>IRIS0021</t>
        </is>
      </c>
      <c r="B10" s="214" t="inlineStr">
        <is>
          <t>Rajesh Khurambe</t>
        </is>
      </c>
      <c r="C10" s="214" t="inlineStr">
        <is>
          <t>Corporate</t>
        </is>
      </c>
      <c r="D10" s="214" t="inlineStr">
        <is>
          <t>Administration</t>
        </is>
      </c>
      <c r="E10" s="214" t="inlineStr">
        <is>
          <t>Administration, Legal &amp; Secretarial</t>
        </is>
      </c>
      <c r="F10" s="214" t="inlineStr">
        <is>
          <t>Administration &amp; Facilities</t>
        </is>
      </c>
      <c r="G10" s="214" t="inlineStr">
        <is>
          <t>Executive Administration</t>
        </is>
      </c>
      <c r="H10" s="214" t="inlineStr">
        <is>
          <t>Senior Administration Executive</t>
        </is>
      </c>
      <c r="I10" s="15" t="inlineStr">
        <is>
          <t>Not mapped</t>
        </is>
      </c>
      <c r="J10" s="151" t="inlineStr">
        <is>
          <t>A3</t>
        </is>
      </c>
      <c r="K10" s="15" t="inlineStr">
        <is>
          <t>IC</t>
        </is>
      </c>
      <c r="L10" s="215" t="inlineStr">
        <is>
          <t>Newly mapped</t>
        </is>
      </c>
      <c r="M10" s="15" t="n">
        <v>3.12</v>
      </c>
      <c r="N10" s="15" t="n">
        <v>2</v>
      </c>
      <c r="O10" s="15" t="n">
        <v>2</v>
      </c>
      <c r="P10" s="15" t="n">
        <v>2</v>
      </c>
      <c r="Q10" s="15" t="n">
        <v>1</v>
      </c>
      <c r="R10" s="15" t="n">
        <v>9.5</v>
      </c>
      <c r="S10" s="15" t="n">
        <v>2</v>
      </c>
      <c r="T10" s="214" t="inlineStr">
        <is>
          <t>The score decided the level</t>
        </is>
      </c>
      <c r="U10" s="216" t="inlineStr">
        <is>
          <t>Input needed</t>
        </is>
      </c>
      <c r="V10" s="15" t="inlineStr">
        <is>
          <t>Low</t>
        </is>
      </c>
    </row>
    <row r="11">
      <c r="A11" s="15" t="inlineStr">
        <is>
          <t>IRIS1008</t>
        </is>
      </c>
      <c r="B11" s="214" t="inlineStr">
        <is>
          <t>Sunil Pawar</t>
        </is>
      </c>
      <c r="C11" s="214" t="inlineStr">
        <is>
          <t>Corporate</t>
        </is>
      </c>
      <c r="D11" s="214" t="inlineStr">
        <is>
          <t>Administration</t>
        </is>
      </c>
      <c r="E11" s="214" t="inlineStr">
        <is>
          <t>Administration, Legal &amp; Secretarial</t>
        </is>
      </c>
      <c r="F11" s="214" t="inlineStr">
        <is>
          <t>Administration &amp; Facilities</t>
        </is>
      </c>
      <c r="G11" s="214" t="inlineStr">
        <is>
          <t>Executive Administration</t>
        </is>
      </c>
      <c r="H11" s="214" t="inlineStr">
        <is>
          <t>Senior Administration Executive</t>
        </is>
      </c>
      <c r="I11" s="15" t="inlineStr">
        <is>
          <t>Not mapped</t>
        </is>
      </c>
      <c r="J11" s="151" t="inlineStr">
        <is>
          <t>A3</t>
        </is>
      </c>
      <c r="K11" s="15" t="inlineStr">
        <is>
          <t>IC</t>
        </is>
      </c>
      <c r="L11" s="215" t="inlineStr">
        <is>
          <t>Newly mapped</t>
        </is>
      </c>
      <c r="M11" s="15" t="n">
        <v>2.83</v>
      </c>
      <c r="N11" s="15" t="n">
        <v>2</v>
      </c>
      <c r="O11" s="15" t="n">
        <v>2</v>
      </c>
      <c r="P11" s="15" t="n">
        <v>2</v>
      </c>
      <c r="Q11" s="15" t="n">
        <v>1</v>
      </c>
      <c r="R11" s="15" t="n">
        <v>7.5</v>
      </c>
      <c r="S11" s="15" t="n">
        <v>2</v>
      </c>
      <c r="T11" s="214" t="inlineStr">
        <is>
          <t>The score decided the level</t>
        </is>
      </c>
      <c r="U11" s="216" t="inlineStr">
        <is>
          <t>Input needed</t>
        </is>
      </c>
      <c r="V11" s="15" t="inlineStr">
        <is>
          <t>Low</t>
        </is>
      </c>
    </row>
    <row r="12">
      <c r="A12" s="15" t="inlineStr">
        <is>
          <t>IRISC291</t>
        </is>
      </c>
      <c r="B12" s="214" t="inlineStr">
        <is>
          <t>Ganesh Prabhakar Amrutsagar</t>
        </is>
      </c>
      <c r="C12" s="214" t="inlineStr">
        <is>
          <t>Corporate</t>
        </is>
      </c>
      <c r="D12" s="214" t="inlineStr">
        <is>
          <t>Administration</t>
        </is>
      </c>
      <c r="E12" s="214" t="inlineStr">
        <is>
          <t>Administration, Legal &amp; Secretarial</t>
        </is>
      </c>
      <c r="F12" s="214" t="inlineStr">
        <is>
          <t>Administration &amp; Facilities</t>
        </is>
      </c>
      <c r="G12" s="214" t="inlineStr">
        <is>
          <t>Consultant</t>
        </is>
      </c>
      <c r="H12" s="214" t="inlineStr">
        <is>
          <t>Associate Consultant – Administration &amp; Facilities</t>
        </is>
      </c>
      <c r="I12" s="15" t="inlineStr">
        <is>
          <t>Not mapped</t>
        </is>
      </c>
      <c r="J12" s="143" t="inlineStr">
        <is>
          <t>X1</t>
        </is>
      </c>
      <c r="K12" s="15" t="inlineStr">
        <is>
          <t>Consultant</t>
        </is>
      </c>
      <c r="L12" s="15" t="inlineStr">
        <is>
          <t>Same level</t>
        </is>
      </c>
      <c r="M12" s="15" t="n"/>
      <c r="N12" s="15" t="n"/>
      <c r="O12" s="15" t="n"/>
      <c r="P12" s="15" t="n"/>
      <c r="Q12" s="15" t="n"/>
      <c r="R12" s="15" t="n"/>
      <c r="S12" s="15" t="n"/>
      <c r="T12" s="214" t="inlineStr">
        <is>
          <t>Placed by rule</t>
        </is>
      </c>
      <c r="U12" s="214" t="inlineStr">
        <is>
          <t>—</t>
        </is>
      </c>
      <c r="V12" s="15" t="inlineStr">
        <is>
          <t>—</t>
        </is>
      </c>
    </row>
    <row r="13">
      <c r="A13" s="15" t="inlineStr">
        <is>
          <t>IRIS0919</t>
        </is>
      </c>
      <c r="B13" s="214" t="inlineStr">
        <is>
          <t>Vineet Kandoi</t>
        </is>
      </c>
      <c r="C13" s="214" t="inlineStr">
        <is>
          <t>Corporate</t>
        </is>
      </c>
      <c r="D13" s="214" t="inlineStr">
        <is>
          <t>Finance</t>
        </is>
      </c>
      <c r="E13" s="214" t="inlineStr">
        <is>
          <t>Executive Leadership</t>
        </is>
      </c>
      <c r="F13" s="214" t="inlineStr">
        <is>
          <t>Enterprise Leadership</t>
        </is>
      </c>
      <c r="G13" s="214" t="inlineStr">
        <is>
          <t>Chief Financial Officer</t>
        </is>
      </c>
      <c r="H13" s="214" t="inlineStr">
        <is>
          <t>Chief Financial Officer</t>
        </is>
      </c>
      <c r="I13" s="15" t="inlineStr">
        <is>
          <t>Not mapped</t>
        </is>
      </c>
      <c r="J13" s="182" t="inlineStr">
        <is>
          <t>E1</t>
        </is>
      </c>
      <c r="K13" s="15" t="inlineStr">
        <is>
          <t>People Manager</t>
        </is>
      </c>
      <c r="L13" s="215" t="inlineStr">
        <is>
          <t>Newly mapped</t>
        </is>
      </c>
      <c r="M13" s="15" t="n">
        <v>10.9</v>
      </c>
      <c r="N13" s="15" t="n">
        <v>11</v>
      </c>
      <c r="O13" s="15" t="n">
        <v>11</v>
      </c>
      <c r="P13" s="15" t="n">
        <v>11</v>
      </c>
      <c r="Q13" s="15" t="n">
        <v>11</v>
      </c>
      <c r="R13" s="15" t="n">
        <v>9</v>
      </c>
      <c r="S13" s="15" t="n">
        <v>11</v>
      </c>
      <c r="T13" s="214" t="inlineStr">
        <is>
          <t>The score decided the level</t>
        </is>
      </c>
      <c r="U13" s="216" t="inlineStr">
        <is>
          <t>Input needed</t>
        </is>
      </c>
      <c r="V13" s="15" t="inlineStr">
        <is>
          <t>Low</t>
        </is>
      </c>
    </row>
    <row r="14">
      <c r="A14" s="15" t="inlineStr">
        <is>
          <t>IRIS1918</t>
        </is>
      </c>
      <c r="B14" s="214" t="inlineStr">
        <is>
          <t>Nishant Gupta</t>
        </is>
      </c>
      <c r="C14" s="214" t="inlineStr">
        <is>
          <t>Corporate</t>
        </is>
      </c>
      <c r="D14" s="214" t="inlineStr">
        <is>
          <t>Finance</t>
        </is>
      </c>
      <c r="E14" s="214" t="inlineStr">
        <is>
          <t>Finance &amp; Accounts</t>
        </is>
      </c>
      <c r="F14" s="214" t="inlineStr">
        <is>
          <t>Finance Leadership</t>
        </is>
      </c>
      <c r="G14" s="214" t="inlineStr">
        <is>
          <t>Head Finance &amp; Accounts</t>
        </is>
      </c>
      <c r="H14" s="214" t="inlineStr">
        <is>
          <t>Associate Head – Finance &amp; Accounts</t>
        </is>
      </c>
      <c r="I14" s="15" t="inlineStr">
        <is>
          <t>Not mapped</t>
        </is>
      </c>
      <c r="J14" s="180" t="inlineStr">
        <is>
          <t>C1</t>
        </is>
      </c>
      <c r="K14" s="15" t="inlineStr">
        <is>
          <t>People Manager</t>
        </is>
      </c>
      <c r="L14" s="215" t="inlineStr">
        <is>
          <t>Newly mapped</t>
        </is>
      </c>
      <c r="M14" s="15" t="n">
        <v>7.37</v>
      </c>
      <c r="N14" s="15" t="n">
        <v>8</v>
      </c>
      <c r="O14" s="15" t="n">
        <v>8</v>
      </c>
      <c r="P14" s="15" t="n">
        <v>6.5</v>
      </c>
      <c r="Q14" s="15" t="n">
        <v>7</v>
      </c>
      <c r="R14" s="15" t="n">
        <v>6</v>
      </c>
      <c r="S14" s="15" t="n">
        <v>6.5</v>
      </c>
      <c r="T14" s="214" t="inlineStr">
        <is>
          <t>The score decided the level</t>
        </is>
      </c>
      <c r="U14" s="216" t="inlineStr">
        <is>
          <t>Input needed</t>
        </is>
      </c>
      <c r="V14" s="15" t="inlineStr">
        <is>
          <t>Low</t>
        </is>
      </c>
    </row>
    <row r="15">
      <c r="A15" s="15" t="inlineStr">
        <is>
          <t>IRIS0006</t>
        </is>
      </c>
      <c r="B15" s="214" t="inlineStr">
        <is>
          <t>Sudhakar Sawant</t>
        </is>
      </c>
      <c r="C15" s="214" t="inlineStr">
        <is>
          <t>Corporate</t>
        </is>
      </c>
      <c r="D15" s="214" t="inlineStr">
        <is>
          <t>Finance</t>
        </is>
      </c>
      <c r="E15" s="214" t="inlineStr">
        <is>
          <t>Finance &amp; Accounts</t>
        </is>
      </c>
      <c r="F15" s="214" t="inlineStr">
        <is>
          <t>Finance Leadership</t>
        </is>
      </c>
      <c r="G15" s="214" t="inlineStr">
        <is>
          <t>Head – Admin &amp; Internal Audit</t>
        </is>
      </c>
      <c r="H15" s="214" t="inlineStr">
        <is>
          <t>Associate Head – Admin &amp; Internal Audit</t>
        </is>
      </c>
      <c r="I15" s="15" t="inlineStr">
        <is>
          <t>Not mapped</t>
        </is>
      </c>
      <c r="J15" s="180" t="inlineStr">
        <is>
          <t>C1</t>
        </is>
      </c>
      <c r="K15" s="15" t="inlineStr">
        <is>
          <t>People Manager</t>
        </is>
      </c>
      <c r="L15" s="215" t="inlineStr">
        <is>
          <t>Newly mapped</t>
        </is>
      </c>
      <c r="M15" s="15" t="n">
        <v>7.87</v>
      </c>
      <c r="N15" s="15" t="n">
        <v>8</v>
      </c>
      <c r="O15" s="15" t="n">
        <v>8</v>
      </c>
      <c r="P15" s="15" t="n">
        <v>6</v>
      </c>
      <c r="Q15" s="15" t="n">
        <v>7</v>
      </c>
      <c r="R15" s="15" t="n">
        <v>12</v>
      </c>
      <c r="S15" s="15" t="n">
        <v>6</v>
      </c>
      <c r="T15" s="214" t="inlineStr">
        <is>
          <r>
            <rPr>
              <rFont val="Calibri"/>
              <b val="1"/>
              <sz val="10"/>
            </rPr>
            <t>Rule:</t>
          </r>
          <r>
            <rPr>
              <rFont val="Calibri"/>
              <sz val="10"/>
            </rPr>
            <t xml:space="preserve"> R5 structural gate</t>
          </r>
        </is>
      </c>
      <c r="U15" s="216" t="inlineStr">
        <is>
          <t>Input needed</t>
        </is>
      </c>
      <c r="V15" s="15" t="inlineStr">
        <is>
          <t>Low</t>
        </is>
      </c>
    </row>
    <row r="16">
      <c r="A16" s="15" t="inlineStr">
        <is>
          <t>IRIS1508</t>
        </is>
      </c>
      <c r="B16" s="214" t="inlineStr">
        <is>
          <t>Winny Nair</t>
        </is>
      </c>
      <c r="C16" s="214" t="inlineStr">
        <is>
          <t>Corporate</t>
        </is>
      </c>
      <c r="D16" s="214" t="inlineStr">
        <is>
          <t>Finance</t>
        </is>
      </c>
      <c r="E16" s="214" t="inlineStr">
        <is>
          <t>Finance &amp; Accounts</t>
        </is>
      </c>
      <c r="F16" s="214" t="inlineStr">
        <is>
          <t>Financial Reporting, Compliance &amp; Audit</t>
        </is>
      </c>
      <c r="G16" s="214" t="inlineStr">
        <is>
          <t>Manager - Finance and Accounts</t>
        </is>
      </c>
      <c r="H16" s="214" t="inlineStr">
        <is>
          <t>Senior Finance Specialist – POD Lead</t>
        </is>
      </c>
      <c r="I16" s="15" t="inlineStr">
        <is>
          <t>Not mapped</t>
        </is>
      </c>
      <c r="J16" s="150" t="inlineStr">
        <is>
          <t>B2</t>
        </is>
      </c>
      <c r="K16" s="15" t="inlineStr">
        <is>
          <t>POD Lead</t>
        </is>
      </c>
      <c r="L16" s="215" t="inlineStr">
        <is>
          <t>Newly mapped</t>
        </is>
      </c>
      <c r="M16" s="15" t="n">
        <v>5.42</v>
      </c>
      <c r="N16" s="15" t="n">
        <v>5</v>
      </c>
      <c r="O16" s="15" t="n">
        <v>4</v>
      </c>
      <c r="P16" s="15" t="n">
        <v>4.5</v>
      </c>
      <c r="Q16" s="15" t="n">
        <v>3.5</v>
      </c>
      <c r="R16" s="15" t="n">
        <v>10</v>
      </c>
      <c r="S16" s="15" t="n">
        <v>4.5</v>
      </c>
      <c r="T16" s="214" t="inlineStr">
        <is>
          <t>The score decided the level</t>
        </is>
      </c>
      <c r="U16" s="214" t="inlineStr">
        <is>
          <t>—</t>
        </is>
      </c>
      <c r="V16" s="15" t="inlineStr">
        <is>
          <t>Medium</t>
        </is>
      </c>
    </row>
    <row r="17">
      <c r="A17" s="15" t="inlineStr">
        <is>
          <t>IRIS1724</t>
        </is>
      </c>
      <c r="B17" s="214" t="inlineStr">
        <is>
          <t>Anita Chavan</t>
        </is>
      </c>
      <c r="C17" s="214" t="inlineStr">
        <is>
          <t>Corporate</t>
        </is>
      </c>
      <c r="D17" s="214" t="inlineStr">
        <is>
          <t>Finance</t>
        </is>
      </c>
      <c r="E17" s="214" t="inlineStr">
        <is>
          <t>Finance &amp; Accounts</t>
        </is>
      </c>
      <c r="F17" s="214" t="inlineStr">
        <is>
          <t>Accounting &amp; Transaction Processing</t>
        </is>
      </c>
      <c r="G17" s="214" t="inlineStr">
        <is>
          <t>Senior Executive Accounts</t>
        </is>
      </c>
      <c r="H17" s="214" t="inlineStr">
        <is>
          <t>Accounts Specialist – POD Lead</t>
        </is>
      </c>
      <c r="I17" s="15" t="inlineStr">
        <is>
          <t>Not mapped</t>
        </is>
      </c>
      <c r="J17" s="150" t="inlineStr">
        <is>
          <t>B1</t>
        </is>
      </c>
      <c r="K17" s="15" t="inlineStr">
        <is>
          <t>POD Lead</t>
        </is>
      </c>
      <c r="L17" s="215" t="inlineStr">
        <is>
          <t>Newly mapped</t>
        </is>
      </c>
      <c r="M17" s="15" t="n">
        <v>3.94</v>
      </c>
      <c r="N17" s="15" t="n">
        <v>3</v>
      </c>
      <c r="O17" s="15" t="n">
        <v>2.5</v>
      </c>
      <c r="P17" s="15" t="n">
        <v>3</v>
      </c>
      <c r="Q17" s="15" t="n">
        <v>2.5</v>
      </c>
      <c r="R17" s="15" t="n">
        <v>10</v>
      </c>
      <c r="S17" s="15" t="n">
        <v>3</v>
      </c>
      <c r="T17" s="214" t="inlineStr">
        <is>
          <t>The score decided the level</t>
        </is>
      </c>
      <c r="U17" s="214" t="inlineStr">
        <is>
          <t>—</t>
        </is>
      </c>
      <c r="V17" s="15" t="inlineStr">
        <is>
          <t>Medium</t>
        </is>
      </c>
    </row>
    <row r="18">
      <c r="A18" s="15" t="inlineStr">
        <is>
          <t>IRIS1557</t>
        </is>
      </c>
      <c r="B18" s="214" t="inlineStr">
        <is>
          <t>Gaurangee Gaurav Tawde</t>
        </is>
      </c>
      <c r="C18" s="214" t="inlineStr">
        <is>
          <t>Corporate</t>
        </is>
      </c>
      <c r="D18" s="214" t="inlineStr">
        <is>
          <t>Finance</t>
        </is>
      </c>
      <c r="E18" s="214" t="inlineStr">
        <is>
          <t>Finance &amp; Accounts</t>
        </is>
      </c>
      <c r="F18" s="214" t="inlineStr">
        <is>
          <t>Accounting &amp; Transaction Processing</t>
        </is>
      </c>
      <c r="G18" s="214" t="inlineStr">
        <is>
          <t>Senior Executive Accounts</t>
        </is>
      </c>
      <c r="H18" s="214" t="inlineStr">
        <is>
          <t>Accounts Specialist – POD Lead</t>
        </is>
      </c>
      <c r="I18" s="15" t="inlineStr">
        <is>
          <t>Not mapped</t>
        </is>
      </c>
      <c r="J18" s="150" t="inlineStr">
        <is>
          <t>B1</t>
        </is>
      </c>
      <c r="K18" s="15" t="inlineStr">
        <is>
          <t>POD Lead</t>
        </is>
      </c>
      <c r="L18" s="215" t="inlineStr">
        <is>
          <t>Newly mapped</t>
        </is>
      </c>
      <c r="M18" s="15" t="n">
        <v>3.94</v>
      </c>
      <c r="N18" s="15" t="n">
        <v>3</v>
      </c>
      <c r="O18" s="15" t="n">
        <v>2.5</v>
      </c>
      <c r="P18" s="15" t="n">
        <v>3</v>
      </c>
      <c r="Q18" s="15" t="n">
        <v>2.5</v>
      </c>
      <c r="R18" s="15" t="n">
        <v>10</v>
      </c>
      <c r="S18" s="15" t="n">
        <v>3</v>
      </c>
      <c r="T18" s="214" t="inlineStr">
        <is>
          <t>The score decided the level</t>
        </is>
      </c>
      <c r="U18" s="214" t="inlineStr">
        <is>
          <t>—</t>
        </is>
      </c>
      <c r="V18" s="15" t="inlineStr">
        <is>
          <t>Medium</t>
        </is>
      </c>
    </row>
    <row r="19">
      <c r="A19" s="15" t="inlineStr">
        <is>
          <t>IRIS2547</t>
        </is>
      </c>
      <c r="B19" s="214" t="inlineStr">
        <is>
          <t>Lalit Choudhary</t>
        </is>
      </c>
      <c r="C19" s="214" t="inlineStr">
        <is>
          <t>Corporate</t>
        </is>
      </c>
      <c r="D19" s="214" t="inlineStr">
        <is>
          <t>Finance</t>
        </is>
      </c>
      <c r="E19" s="214" t="inlineStr">
        <is>
          <t>Finance &amp; Accounts</t>
        </is>
      </c>
      <c r="F19" s="214" t="inlineStr">
        <is>
          <t>Financial Reporting, Compliance &amp; Audit</t>
        </is>
      </c>
      <c r="G19" s="214" t="inlineStr">
        <is>
          <t>Assistant Manager - Finance and Accounts</t>
        </is>
      </c>
      <c r="H19" s="214" t="inlineStr">
        <is>
          <t>Finance Specialist</t>
        </is>
      </c>
      <c r="I19" s="15" t="inlineStr">
        <is>
          <t>Not mapped</t>
        </is>
      </c>
      <c r="J19" s="150" t="inlineStr">
        <is>
          <t>B1</t>
        </is>
      </c>
      <c r="K19" s="15" t="inlineStr">
        <is>
          <t>IC</t>
        </is>
      </c>
      <c r="L19" s="215" t="inlineStr">
        <is>
          <t>Newly mapped</t>
        </is>
      </c>
      <c r="M19" s="15" t="n">
        <v>3.72</v>
      </c>
      <c r="N19" s="15" t="n">
        <v>4</v>
      </c>
      <c r="O19" s="15" t="n">
        <v>3</v>
      </c>
      <c r="P19" s="15" t="n">
        <v>3.5</v>
      </c>
      <c r="Q19" s="15" t="n">
        <v>2</v>
      </c>
      <c r="R19" s="15" t="n">
        <v>4.5</v>
      </c>
      <c r="S19" s="15" t="n">
        <v>3.5</v>
      </c>
      <c r="T19" s="214" t="inlineStr">
        <is>
          <t>The score decided the level</t>
        </is>
      </c>
      <c r="U19" s="214" t="inlineStr">
        <is>
          <t>—</t>
        </is>
      </c>
      <c r="V19" s="15" t="inlineStr">
        <is>
          <t>Medium</t>
        </is>
      </c>
    </row>
    <row r="20">
      <c r="A20" s="15" t="inlineStr">
        <is>
          <t>IRIS2561</t>
        </is>
      </c>
      <c r="B20" s="214" t="inlineStr">
        <is>
          <t>Radhika Karnani</t>
        </is>
      </c>
      <c r="C20" s="214" t="inlineStr">
        <is>
          <t>Corporate</t>
        </is>
      </c>
      <c r="D20" s="214" t="inlineStr">
        <is>
          <t>Finance</t>
        </is>
      </c>
      <c r="E20" s="214" t="inlineStr">
        <is>
          <t>Finance &amp; Accounts</t>
        </is>
      </c>
      <c r="F20" s="214" t="inlineStr">
        <is>
          <t>Financial Reporting, Compliance &amp; Audit</t>
        </is>
      </c>
      <c r="G20" s="214" t="inlineStr">
        <is>
          <t>Assistant Manager - Finance and Accounts</t>
        </is>
      </c>
      <c r="H20" s="214" t="inlineStr">
        <is>
          <t>Finance Specialist</t>
        </is>
      </c>
      <c r="I20" s="15" t="inlineStr">
        <is>
          <t>Not mapped</t>
        </is>
      </c>
      <c r="J20" s="150" t="inlineStr">
        <is>
          <t>B1</t>
        </is>
      </c>
      <c r="K20" s="15" t="inlineStr">
        <is>
          <t>IC</t>
        </is>
      </c>
      <c r="L20" s="215" t="inlineStr">
        <is>
          <t>Newly mapped</t>
        </is>
      </c>
      <c r="M20" s="15" t="n">
        <v>3.82</v>
      </c>
      <c r="N20" s="15" t="n">
        <v>4</v>
      </c>
      <c r="O20" s="15" t="n">
        <v>3</v>
      </c>
      <c r="P20" s="15" t="n">
        <v>3.5</v>
      </c>
      <c r="Q20" s="15" t="n">
        <v>2.5</v>
      </c>
      <c r="R20" s="15" t="n">
        <v>5</v>
      </c>
      <c r="S20" s="15" t="n">
        <v>3.5</v>
      </c>
      <c r="T20" s="214" t="inlineStr">
        <is>
          <r>
            <rPr>
              <rFont val="Calibri"/>
              <b val="1"/>
              <sz val="10"/>
            </rPr>
            <t>Rule:</t>
          </r>
          <r>
            <rPr>
              <rFont val="Calibri"/>
              <sz val="10"/>
            </rPr>
            <t xml:space="preserve"> R2</t>
          </r>
        </is>
      </c>
      <c r="U20" s="216" t="inlineStr">
        <is>
          <t>Input needed</t>
        </is>
      </c>
      <c r="V20" s="15" t="inlineStr">
        <is>
          <t>Low</t>
        </is>
      </c>
    </row>
    <row r="21">
      <c r="A21" s="15" t="inlineStr">
        <is>
          <t>IRIS2214</t>
        </is>
      </c>
      <c r="B21" s="214" t="inlineStr">
        <is>
          <t>Shreya Singh</t>
        </is>
      </c>
      <c r="C21" s="214" t="inlineStr">
        <is>
          <t>Corporate</t>
        </is>
      </c>
      <c r="D21" s="214" t="inlineStr">
        <is>
          <t>Finance</t>
        </is>
      </c>
      <c r="E21" s="214" t="inlineStr">
        <is>
          <t>Finance &amp; Accounts</t>
        </is>
      </c>
      <c r="F21" s="214" t="inlineStr">
        <is>
          <t>Financial Reporting, Compliance &amp; Audit</t>
        </is>
      </c>
      <c r="G21" s="214" t="inlineStr">
        <is>
          <t>Assistant Manager - Finance and Accounts</t>
        </is>
      </c>
      <c r="H21" s="214" t="inlineStr">
        <is>
          <t>Finance Specialist – POD Lead</t>
        </is>
      </c>
      <c r="I21" s="15" t="inlineStr">
        <is>
          <t>Not mapped</t>
        </is>
      </c>
      <c r="J21" s="150" t="inlineStr">
        <is>
          <t>B1</t>
        </is>
      </c>
      <c r="K21" s="15" t="inlineStr">
        <is>
          <t>POD Lead</t>
        </is>
      </c>
      <c r="L21" s="215" t="inlineStr">
        <is>
          <t>Newly mapped</t>
        </is>
      </c>
      <c r="M21" s="15" t="n">
        <v>3.97</v>
      </c>
      <c r="N21" s="15" t="n">
        <v>4</v>
      </c>
      <c r="O21" s="15" t="n">
        <v>3.5</v>
      </c>
      <c r="P21" s="15" t="n">
        <v>4</v>
      </c>
      <c r="Q21" s="15" t="n">
        <v>3.5</v>
      </c>
      <c r="R21" s="15" t="n">
        <v>4.5</v>
      </c>
      <c r="S21" s="15" t="n">
        <v>4</v>
      </c>
      <c r="T21" s="214" t="inlineStr">
        <is>
          <t>The score decided the level</t>
        </is>
      </c>
      <c r="U21" s="214" t="inlineStr">
        <is>
          <t>—</t>
        </is>
      </c>
      <c r="V21" s="15" t="inlineStr">
        <is>
          <t>High</t>
        </is>
      </c>
    </row>
    <row r="22">
      <c r="A22" s="15" t="inlineStr">
        <is>
          <t>IRIS2217</t>
        </is>
      </c>
      <c r="B22" s="214" t="inlineStr">
        <is>
          <t>Bhushan Kashid</t>
        </is>
      </c>
      <c r="C22" s="214" t="inlineStr">
        <is>
          <t>Corporate</t>
        </is>
      </c>
      <c r="D22" s="214" t="inlineStr">
        <is>
          <t>Finance</t>
        </is>
      </c>
      <c r="E22" s="214" t="inlineStr">
        <is>
          <t>Finance &amp; Accounts</t>
        </is>
      </c>
      <c r="F22" s="214" t="inlineStr">
        <is>
          <t>Accounting &amp; Transaction Processing</t>
        </is>
      </c>
      <c r="G22" s="214" t="inlineStr">
        <is>
          <t>Executive Accounts</t>
        </is>
      </c>
      <c r="H22" s="214" t="inlineStr">
        <is>
          <t>Senior Accounts Executive</t>
        </is>
      </c>
      <c r="I22" s="15" t="inlineStr">
        <is>
          <t>Not mapped</t>
        </is>
      </c>
      <c r="J22" s="151" t="inlineStr">
        <is>
          <t>A3</t>
        </is>
      </c>
      <c r="K22" s="15" t="inlineStr">
        <is>
          <t>IC</t>
        </is>
      </c>
      <c r="L22" s="215" t="inlineStr">
        <is>
          <t>Newly mapped</t>
        </is>
      </c>
      <c r="M22" s="15" t="n">
        <v>2.52</v>
      </c>
      <c r="N22" s="15" t="n">
        <v>2</v>
      </c>
      <c r="O22" s="15" t="n">
        <v>2</v>
      </c>
      <c r="P22" s="15" t="n">
        <v>2</v>
      </c>
      <c r="Q22" s="15" t="n">
        <v>1</v>
      </c>
      <c r="R22" s="15" t="n">
        <v>5.5</v>
      </c>
      <c r="S22" s="15" t="n">
        <v>2</v>
      </c>
      <c r="T22" s="214" t="inlineStr">
        <is>
          <t>The score decided the level</t>
        </is>
      </c>
      <c r="U22" s="216" t="inlineStr">
        <is>
          <t>Close call</t>
        </is>
      </c>
      <c r="V22" s="15" t="inlineStr">
        <is>
          <t>High</t>
        </is>
      </c>
    </row>
    <row r="23">
      <c r="A23" s="15" t="inlineStr">
        <is>
          <t>IRIS2062</t>
        </is>
      </c>
      <c r="B23" s="214" t="inlineStr">
        <is>
          <t>Riddhi Narkar</t>
        </is>
      </c>
      <c r="C23" s="214" t="inlineStr">
        <is>
          <t>Corporate</t>
        </is>
      </c>
      <c r="D23" s="214" t="inlineStr">
        <is>
          <t>Finance</t>
        </is>
      </c>
      <c r="E23" s="214" t="inlineStr">
        <is>
          <t>Finance &amp; Accounts</t>
        </is>
      </c>
      <c r="F23" s="214" t="inlineStr">
        <is>
          <t>Accounting &amp; Transaction Processing</t>
        </is>
      </c>
      <c r="G23" s="214" t="inlineStr">
        <is>
          <t>Executive Accounts</t>
        </is>
      </c>
      <c r="H23" s="214" t="inlineStr">
        <is>
          <t>Senior Accounts Executive</t>
        </is>
      </c>
      <c r="I23" s="15" t="inlineStr">
        <is>
          <t>Not mapped</t>
        </is>
      </c>
      <c r="J23" s="151" t="inlineStr">
        <is>
          <t>A3</t>
        </is>
      </c>
      <c r="K23" s="15" t="inlineStr">
        <is>
          <t>IC</t>
        </is>
      </c>
      <c r="L23" s="215" t="inlineStr">
        <is>
          <t>Newly mapped</t>
        </is>
      </c>
      <c r="M23" s="15" t="n">
        <v>2.52</v>
      </c>
      <c r="N23" s="15" t="n">
        <v>2</v>
      </c>
      <c r="O23" s="15" t="n">
        <v>1.5</v>
      </c>
      <c r="P23" s="15" t="n">
        <v>2</v>
      </c>
      <c r="Q23" s="15" t="n">
        <v>1</v>
      </c>
      <c r="R23" s="15" t="n">
        <v>6</v>
      </c>
      <c r="S23" s="15" t="n">
        <v>2</v>
      </c>
      <c r="T23" s="214" t="inlineStr">
        <is>
          <t>The score decided the level</t>
        </is>
      </c>
      <c r="U23" s="216" t="inlineStr">
        <is>
          <t>Close call</t>
        </is>
      </c>
      <c r="V23" s="15" t="inlineStr">
        <is>
          <t>High</t>
        </is>
      </c>
    </row>
    <row r="24">
      <c r="A24" s="15" t="inlineStr">
        <is>
          <t>IRIS2533</t>
        </is>
      </c>
      <c r="B24" s="214" t="inlineStr">
        <is>
          <t>Shweta Jha</t>
        </is>
      </c>
      <c r="C24" s="214" t="inlineStr">
        <is>
          <t>Corporate</t>
        </is>
      </c>
      <c r="D24" s="214" t="inlineStr">
        <is>
          <t>HR</t>
        </is>
      </c>
      <c r="E24" s="214" t="inlineStr">
        <is>
          <t>Human Resources</t>
        </is>
      </c>
      <c r="F24" s="214" t="inlineStr">
        <is>
          <t>HR Leadership</t>
        </is>
      </c>
      <c r="G24" s="214" t="inlineStr">
        <is>
          <t>Vice President - Human Resource</t>
        </is>
      </c>
      <c r="H24" s="214" t="inlineStr">
        <is>
          <t>Vice President – Human Resources</t>
        </is>
      </c>
      <c r="I24" s="15" t="inlineStr">
        <is>
          <t>Not mapped</t>
        </is>
      </c>
      <c r="J24" s="184" t="inlineStr">
        <is>
          <t>D2</t>
        </is>
      </c>
      <c r="K24" s="15" t="inlineStr">
        <is>
          <t>People Manager</t>
        </is>
      </c>
      <c r="L24" s="215" t="inlineStr">
        <is>
          <t>Newly mapped</t>
        </is>
      </c>
      <c r="M24" s="15" t="n">
        <v>9.970000000000001</v>
      </c>
      <c r="N24" s="15" t="n">
        <v>10</v>
      </c>
      <c r="O24" s="15" t="n">
        <v>10</v>
      </c>
      <c r="P24" s="15" t="n">
        <v>10</v>
      </c>
      <c r="Q24" s="15" t="n">
        <v>10</v>
      </c>
      <c r="R24" s="15" t="n">
        <v>9.5</v>
      </c>
      <c r="S24" s="15" t="n">
        <v>10</v>
      </c>
      <c r="T24" s="214" t="inlineStr">
        <is>
          <t>The score decided the level</t>
        </is>
      </c>
      <c r="U24" s="216" t="inlineStr">
        <is>
          <t>Input needed</t>
        </is>
      </c>
      <c r="V24" s="15" t="inlineStr">
        <is>
          <t>Low</t>
        </is>
      </c>
    </row>
    <row r="25">
      <c r="A25" s="15" t="inlineStr">
        <is>
          <t>IRIS2556</t>
        </is>
      </c>
      <c r="B25" s="214" t="inlineStr">
        <is>
          <t>Mohammed Hanzala Shaikh</t>
        </is>
      </c>
      <c r="C25" s="214" t="inlineStr">
        <is>
          <t>Corporate</t>
        </is>
      </c>
      <c r="D25" s="214" t="inlineStr">
        <is>
          <t>HR</t>
        </is>
      </c>
      <c r="E25" s="214" t="inlineStr">
        <is>
          <t>Human Resources</t>
        </is>
      </c>
      <c r="F25" s="214" t="inlineStr">
        <is>
          <t>HR Transformation &amp; OD</t>
        </is>
      </c>
      <c r="G25" s="214" t="inlineStr">
        <is>
          <t>Lead HR Transformation</t>
        </is>
      </c>
      <c r="H25" s="214" t="inlineStr">
        <is>
          <t>Lead HR Specialist – Transformation &amp; OD</t>
        </is>
      </c>
      <c r="I25" s="15" t="inlineStr">
        <is>
          <t>Not mapped</t>
        </is>
      </c>
      <c r="J25" s="150" t="inlineStr">
        <is>
          <t>B3</t>
        </is>
      </c>
      <c r="K25" s="15" t="inlineStr">
        <is>
          <t>IC</t>
        </is>
      </c>
      <c r="L25" s="215" t="inlineStr">
        <is>
          <t>Newly mapped</t>
        </is>
      </c>
      <c r="M25" s="15" t="n">
        <v>5.73</v>
      </c>
      <c r="N25" s="15" t="n">
        <v>6</v>
      </c>
      <c r="O25" s="15" t="n">
        <v>6</v>
      </c>
      <c r="P25" s="15" t="n">
        <v>6</v>
      </c>
      <c r="Q25" s="15" t="n">
        <v>5</v>
      </c>
      <c r="R25" s="15" t="n">
        <v>4.5</v>
      </c>
      <c r="S25" s="15" t="n">
        <v>6</v>
      </c>
      <c r="T25" s="214" t="inlineStr">
        <is>
          <t>The score decided the level</t>
        </is>
      </c>
      <c r="U25" s="216" t="inlineStr">
        <is>
          <t>Input needed</t>
        </is>
      </c>
      <c r="V25" s="15" t="inlineStr">
        <is>
          <t>Low</t>
        </is>
      </c>
    </row>
    <row r="26">
      <c r="A26" s="15" t="inlineStr">
        <is>
          <t>IRIS2557</t>
        </is>
      </c>
      <c r="B26" s="214" t="inlineStr">
        <is>
          <t>Simran Kaur Raina</t>
        </is>
      </c>
      <c r="C26" s="214" t="inlineStr">
        <is>
          <t>Corporate</t>
        </is>
      </c>
      <c r="D26" s="214" t="inlineStr">
        <is>
          <t>HR</t>
        </is>
      </c>
      <c r="E26" s="214" t="inlineStr">
        <is>
          <t>Human Resources</t>
        </is>
      </c>
      <c r="F26" s="214" t="inlineStr">
        <is>
          <t>Talent Acquisition</t>
        </is>
      </c>
      <c r="G26" s="214" t="inlineStr">
        <is>
          <t>Manager- Talent Acquisition</t>
        </is>
      </c>
      <c r="H26" s="214" t="inlineStr">
        <is>
          <t>Senior Talent Acquisition Specialist</t>
        </is>
      </c>
      <c r="I26" s="15" t="inlineStr">
        <is>
          <t>Not mapped</t>
        </is>
      </c>
      <c r="J26" s="150" t="inlineStr">
        <is>
          <t>B2</t>
        </is>
      </c>
      <c r="K26" s="15" t="inlineStr">
        <is>
          <t>IC</t>
        </is>
      </c>
      <c r="L26" s="215" t="inlineStr">
        <is>
          <t>Newly mapped</t>
        </is>
      </c>
      <c r="M26" s="15" t="n">
        <v>4.53</v>
      </c>
      <c r="N26" s="15" t="n">
        <v>4.5</v>
      </c>
      <c r="O26" s="15" t="n">
        <v>4.5</v>
      </c>
      <c r="P26" s="15" t="n">
        <v>4.5</v>
      </c>
      <c r="Q26" s="15" t="n">
        <v>3.5</v>
      </c>
      <c r="R26" s="15" t="n">
        <v>5</v>
      </c>
      <c r="S26" s="15" t="n">
        <v>4.5</v>
      </c>
      <c r="T26" s="214" t="inlineStr">
        <is>
          <r>
            <rPr>
              <rFont val="Calibri"/>
              <b val="1"/>
              <sz val="10"/>
            </rPr>
            <t>Rule:</t>
          </r>
          <r>
            <rPr>
              <rFont val="Calibri"/>
              <sz val="10"/>
            </rPr>
            <t xml:space="preserve"> R2</t>
          </r>
        </is>
      </c>
      <c r="U26" s="216" t="inlineStr">
        <is>
          <t>Input needed</t>
        </is>
      </c>
      <c r="V26" s="15" t="inlineStr">
        <is>
          <t>Low</t>
        </is>
      </c>
    </row>
    <row r="27">
      <c r="A27" s="15" t="inlineStr">
        <is>
          <t>IRIS0204</t>
        </is>
      </c>
      <c r="B27" s="214" t="inlineStr">
        <is>
          <t>Chandrakumar Moopanar</t>
        </is>
      </c>
      <c r="C27" s="214" t="inlineStr">
        <is>
          <t>Corporate</t>
        </is>
      </c>
      <c r="D27" s="214" t="inlineStr">
        <is>
          <t>HR</t>
        </is>
      </c>
      <c r="E27" s="214" t="inlineStr">
        <is>
          <t>Human Resources</t>
        </is>
      </c>
      <c r="F27" s="214" t="inlineStr">
        <is>
          <t>HR Operations &amp; Payroll</t>
        </is>
      </c>
      <c r="G27" s="214" t="inlineStr">
        <is>
          <t>HRIS &amp; Payroll Specialist</t>
        </is>
      </c>
      <c r="H27" s="214" t="inlineStr">
        <is>
          <t>HR Specialist</t>
        </is>
      </c>
      <c r="I27" s="15" t="inlineStr">
        <is>
          <t>Not mapped</t>
        </is>
      </c>
      <c r="J27" s="150" t="inlineStr">
        <is>
          <t>B1</t>
        </is>
      </c>
      <c r="K27" s="15" t="inlineStr">
        <is>
          <t>IC</t>
        </is>
      </c>
      <c r="L27" s="215" t="inlineStr">
        <is>
          <t>Newly mapped</t>
        </is>
      </c>
      <c r="M27" s="15" t="n">
        <v>4.24</v>
      </c>
      <c r="N27" s="15" t="n">
        <v>3.5</v>
      </c>
      <c r="O27" s="15" t="n">
        <v>3</v>
      </c>
      <c r="P27" s="15" t="n">
        <v>3.5</v>
      </c>
      <c r="Q27" s="15" t="n">
        <v>2</v>
      </c>
      <c r="R27" s="15" t="n">
        <v>9.5</v>
      </c>
      <c r="S27" s="15" t="n">
        <v>3.5</v>
      </c>
      <c r="T27" s="214" t="inlineStr">
        <is>
          <t>The score decided the level</t>
        </is>
      </c>
      <c r="U27" s="214" t="inlineStr">
        <is>
          <t>—</t>
        </is>
      </c>
      <c r="V27" s="15" t="inlineStr">
        <is>
          <t>Medium</t>
        </is>
      </c>
    </row>
    <row r="28">
      <c r="A28" s="15" t="inlineStr">
        <is>
          <t>IRIS2152</t>
        </is>
      </c>
      <c r="B28" s="214" t="inlineStr">
        <is>
          <t>Nikitha Nair</t>
        </is>
      </c>
      <c r="C28" s="214" t="inlineStr">
        <is>
          <t>Corporate</t>
        </is>
      </c>
      <c r="D28" s="214" t="inlineStr">
        <is>
          <t>HR</t>
        </is>
      </c>
      <c r="E28" s="214" t="inlineStr">
        <is>
          <t>Human Resources</t>
        </is>
      </c>
      <c r="F28" s="214" t="inlineStr">
        <is>
          <t>HR Operations &amp; Payroll</t>
        </is>
      </c>
      <c r="G28" s="214" t="inlineStr">
        <is>
          <t>Employee Experience Specialist</t>
        </is>
      </c>
      <c r="H28" s="214" t="inlineStr">
        <is>
          <t>HR Specialist – POD Lead</t>
        </is>
      </c>
      <c r="I28" s="15" t="inlineStr">
        <is>
          <t>Not mapped</t>
        </is>
      </c>
      <c r="J28" s="150" t="inlineStr">
        <is>
          <t>B1</t>
        </is>
      </c>
      <c r="K28" s="15" t="inlineStr">
        <is>
          <t>POD Lead</t>
        </is>
      </c>
      <c r="L28" s="215" t="inlineStr">
        <is>
          <t>Newly mapped</t>
        </is>
      </c>
      <c r="M28" s="15" t="n">
        <v>3.55</v>
      </c>
      <c r="N28" s="15" t="n">
        <v>3.5</v>
      </c>
      <c r="O28" s="15" t="n">
        <v>3.5</v>
      </c>
      <c r="P28" s="15" t="n">
        <v>3.5</v>
      </c>
      <c r="Q28" s="15" t="n">
        <v>3</v>
      </c>
      <c r="R28" s="15" t="n">
        <v>4</v>
      </c>
      <c r="S28" s="15" t="n">
        <v>3.5</v>
      </c>
      <c r="T28" s="214" t="inlineStr">
        <is>
          <t>The score decided the level</t>
        </is>
      </c>
      <c r="U28" s="214" t="inlineStr">
        <is>
          <t>—</t>
        </is>
      </c>
      <c r="V28" s="15" t="inlineStr">
        <is>
          <t>Medium</t>
        </is>
      </c>
    </row>
    <row r="29">
      <c r="A29" s="15" t="inlineStr">
        <is>
          <t>IRIS2402</t>
        </is>
      </c>
      <c r="B29" s="214" t="inlineStr">
        <is>
          <t>Renuka Badhoria</t>
        </is>
      </c>
      <c r="C29" s="214" t="inlineStr">
        <is>
          <t>Corporate</t>
        </is>
      </c>
      <c r="D29" s="214" t="inlineStr">
        <is>
          <t>HR</t>
        </is>
      </c>
      <c r="E29" s="214" t="inlineStr">
        <is>
          <t>Human Resources</t>
        </is>
      </c>
      <c r="F29" s="214" t="inlineStr">
        <is>
          <t>Talent Acquisition</t>
        </is>
      </c>
      <c r="G29" s="214" t="inlineStr">
        <is>
          <t>Talent Acquisition Specialist</t>
        </is>
      </c>
      <c r="H29" s="214" t="inlineStr">
        <is>
          <t>Senior Talent Acquisition Executive</t>
        </is>
      </c>
      <c r="I29" s="15" t="inlineStr">
        <is>
          <t>Not mapped</t>
        </is>
      </c>
      <c r="J29" s="151" t="inlineStr">
        <is>
          <t>A3</t>
        </is>
      </c>
      <c r="K29" s="15" t="inlineStr">
        <is>
          <t>IC</t>
        </is>
      </c>
      <c r="L29" s="215" t="inlineStr">
        <is>
          <t>Newly mapped</t>
        </is>
      </c>
      <c r="M29" s="15" t="n">
        <v>3.15</v>
      </c>
      <c r="N29" s="15" t="n">
        <v>3</v>
      </c>
      <c r="O29" s="15" t="n">
        <v>3</v>
      </c>
      <c r="P29" s="15" t="n">
        <v>3.5</v>
      </c>
      <c r="Q29" s="15" t="n">
        <v>2</v>
      </c>
      <c r="R29" s="15" t="n">
        <v>3.5</v>
      </c>
      <c r="S29" s="15" t="n">
        <v>3.5</v>
      </c>
      <c r="T29" s="214" t="inlineStr">
        <is>
          <t>The score decided the level</t>
        </is>
      </c>
      <c r="U29" s="214" t="inlineStr">
        <is>
          <t>—</t>
        </is>
      </c>
      <c r="V29" s="15" t="inlineStr">
        <is>
          <t>High</t>
        </is>
      </c>
    </row>
    <row r="30">
      <c r="A30" s="15" t="inlineStr">
        <is>
          <t>IRIS2245</t>
        </is>
      </c>
      <c r="B30" s="214" t="inlineStr">
        <is>
          <t>Shruti Gawas</t>
        </is>
      </c>
      <c r="C30" s="214" t="inlineStr">
        <is>
          <t>Corporate</t>
        </is>
      </c>
      <c r="D30" s="214" t="inlineStr">
        <is>
          <t>HR</t>
        </is>
      </c>
      <c r="E30" s="214" t="inlineStr">
        <is>
          <t>Human Resources</t>
        </is>
      </c>
      <c r="F30" s="214" t="inlineStr">
        <is>
          <t>Talent Acquisition</t>
        </is>
      </c>
      <c r="G30" s="214" t="inlineStr">
        <is>
          <t>Senior Executive - Talent Acquisition</t>
        </is>
      </c>
      <c r="H30" s="214" t="inlineStr">
        <is>
          <t>Senior Talent Acquisition Executive</t>
        </is>
      </c>
      <c r="I30" s="15" t="inlineStr">
        <is>
          <t>Not mapped</t>
        </is>
      </c>
      <c r="J30" s="151" t="inlineStr">
        <is>
          <t>A3</t>
        </is>
      </c>
      <c r="K30" s="15" t="inlineStr">
        <is>
          <t>IC</t>
        </is>
      </c>
      <c r="L30" s="215" t="inlineStr">
        <is>
          <t>Newly mapped</t>
        </is>
      </c>
      <c r="M30" s="15" t="n">
        <v>3.08</v>
      </c>
      <c r="N30" s="15" t="n">
        <v>3</v>
      </c>
      <c r="O30" s="15" t="n">
        <v>3</v>
      </c>
      <c r="P30" s="15" t="n">
        <v>3</v>
      </c>
      <c r="Q30" s="15" t="n">
        <v>1.5</v>
      </c>
      <c r="R30" s="15" t="n">
        <v>3.5</v>
      </c>
      <c r="S30" s="15" t="n">
        <v>3</v>
      </c>
      <c r="T30" s="214" t="inlineStr">
        <is>
          <t>The score decided the level</t>
        </is>
      </c>
      <c r="U30" s="214" t="inlineStr">
        <is>
          <t>—</t>
        </is>
      </c>
      <c r="V30" s="15" t="inlineStr">
        <is>
          <t>High</t>
        </is>
      </c>
    </row>
    <row r="31">
      <c r="A31" s="15" t="inlineStr">
        <is>
          <t>IRIS2558</t>
        </is>
      </c>
      <c r="B31" s="214" t="inlineStr">
        <is>
          <t>Blossom Dsouza</t>
        </is>
      </c>
      <c r="C31" s="214" t="inlineStr">
        <is>
          <t>Corporate</t>
        </is>
      </c>
      <c r="D31" s="214" t="inlineStr">
        <is>
          <t>HR</t>
        </is>
      </c>
      <c r="E31" s="214" t="inlineStr">
        <is>
          <t>Human Resources</t>
        </is>
      </c>
      <c r="F31" s="214" t="inlineStr">
        <is>
          <t>HR Operations &amp; Payroll</t>
        </is>
      </c>
      <c r="G31" s="214" t="inlineStr">
        <is>
          <t>Executive -HR</t>
        </is>
      </c>
      <c r="H31" s="214" t="inlineStr">
        <is>
          <t>HR Executive</t>
        </is>
      </c>
      <c r="I31" s="15" t="inlineStr">
        <is>
          <t>Not mapped</t>
        </is>
      </c>
      <c r="J31" s="151" t="inlineStr">
        <is>
          <t>A2</t>
        </is>
      </c>
      <c r="K31" s="15" t="inlineStr">
        <is>
          <t>IC</t>
        </is>
      </c>
      <c r="L31" s="215" t="inlineStr">
        <is>
          <t>Newly mapped</t>
        </is>
      </c>
      <c r="M31" s="15" t="n">
        <v>2</v>
      </c>
      <c r="N31" s="15" t="n">
        <v>2</v>
      </c>
      <c r="O31" s="15" t="n">
        <v>2</v>
      </c>
      <c r="P31" s="15" t="n">
        <v>2</v>
      </c>
      <c r="Q31" s="15" t="n">
        <v>1</v>
      </c>
      <c r="R31" s="15" t="n">
        <v>2</v>
      </c>
      <c r="S31" s="15" t="n">
        <v>2</v>
      </c>
      <c r="T31" s="214" t="inlineStr">
        <is>
          <t>The score decided the level</t>
        </is>
      </c>
      <c r="U31" s="214" t="inlineStr">
        <is>
          <t>—</t>
        </is>
      </c>
      <c r="V31" s="15" t="inlineStr">
        <is>
          <t>High</t>
        </is>
      </c>
    </row>
    <row r="32">
      <c r="A32" s="15" t="inlineStr">
        <is>
          <t>IRIS2103</t>
        </is>
      </c>
      <c r="B32" s="214" t="inlineStr">
        <is>
          <t>Mahesh Tilave</t>
        </is>
      </c>
      <c r="C32" s="214" t="inlineStr">
        <is>
          <t>Corporate</t>
        </is>
      </c>
      <c r="D32" s="214" t="inlineStr">
        <is>
          <t>IT &amp; Infrastructure</t>
        </is>
      </c>
      <c r="E32" s="214" t="inlineStr">
        <is>
          <t>IT &amp; Infrastructure</t>
        </is>
      </c>
      <c r="F32" s="214" t="inlineStr">
        <is>
          <t>IT Infrastructure Leadership</t>
        </is>
      </c>
      <c r="G32" s="214" t="inlineStr">
        <is>
          <t>Team Lead – IT Infrastructure</t>
        </is>
      </c>
      <c r="H32" s="214" t="inlineStr">
        <is>
          <t>Senior IT Manager</t>
        </is>
      </c>
      <c r="I32" s="15" t="inlineStr">
        <is>
          <t>Not mapped</t>
        </is>
      </c>
      <c r="J32" s="150" t="inlineStr">
        <is>
          <t>B2</t>
        </is>
      </c>
      <c r="K32" s="15" t="inlineStr">
        <is>
          <t>People Manager</t>
        </is>
      </c>
      <c r="L32" s="215" t="inlineStr">
        <is>
          <t>Newly mapped</t>
        </is>
      </c>
      <c r="M32" s="15" t="n">
        <v>5.14</v>
      </c>
      <c r="N32" s="15" t="n">
        <v>4</v>
      </c>
      <c r="O32" s="15" t="n">
        <v>4.5</v>
      </c>
      <c r="P32" s="15" t="n">
        <v>5.5</v>
      </c>
      <c r="Q32" s="15" t="n">
        <v>5.5</v>
      </c>
      <c r="R32" s="15" t="n">
        <v>10</v>
      </c>
      <c r="S32" s="15" t="n">
        <v>5.5</v>
      </c>
      <c r="T32" s="214" t="inlineStr">
        <is>
          <t>The score decided the level</t>
        </is>
      </c>
      <c r="U32" s="216" t="inlineStr">
        <is>
          <t>Input needed</t>
        </is>
      </c>
      <c r="V32" s="15" t="inlineStr">
        <is>
          <t>Medium</t>
        </is>
      </c>
    </row>
    <row r="33">
      <c r="A33" s="15" t="inlineStr">
        <is>
          <t>IRIS0265</t>
        </is>
      </c>
      <c r="B33" s="214" t="inlineStr">
        <is>
          <t>Rajit Kumar Sahu</t>
        </is>
      </c>
      <c r="C33" s="214" t="inlineStr">
        <is>
          <t>Corporate</t>
        </is>
      </c>
      <c r="D33" s="214" t="inlineStr">
        <is>
          <t>IT &amp; Infrastructure</t>
        </is>
      </c>
      <c r="E33" s="214" t="inlineStr">
        <is>
          <t>IT &amp; Infrastructure</t>
        </is>
      </c>
      <c r="F33" s="214" t="inlineStr">
        <is>
          <t>Infrastructure &amp; Cloud Operations</t>
        </is>
      </c>
      <c r="G33" s="214" t="inlineStr">
        <is>
          <t>System Administrator</t>
        </is>
      </c>
      <c r="H33" s="214" t="inlineStr">
        <is>
          <t>Infrastructure Specialist</t>
        </is>
      </c>
      <c r="I33" s="15" t="inlineStr">
        <is>
          <t>Not mapped</t>
        </is>
      </c>
      <c r="J33" s="150" t="inlineStr">
        <is>
          <t>B1</t>
        </is>
      </c>
      <c r="K33" s="15" t="inlineStr">
        <is>
          <t>IC</t>
        </is>
      </c>
      <c r="L33" s="215" t="inlineStr">
        <is>
          <t>Newly mapped</t>
        </is>
      </c>
      <c r="M33" s="15" t="n">
        <v>3.58</v>
      </c>
      <c r="N33" s="15" t="n">
        <v>3</v>
      </c>
      <c r="O33" s="15" t="n">
        <v>3</v>
      </c>
      <c r="P33" s="15" t="n">
        <v>3</v>
      </c>
      <c r="Q33" s="15" t="n">
        <v>1.5</v>
      </c>
      <c r="R33" s="15" t="n">
        <v>9.5</v>
      </c>
      <c r="S33" s="15" t="n">
        <v>3</v>
      </c>
      <c r="T33" s="214" t="inlineStr">
        <is>
          <t>The score decided the level</t>
        </is>
      </c>
      <c r="U33" s="214" t="inlineStr">
        <is>
          <t>—</t>
        </is>
      </c>
      <c r="V33" s="15" t="inlineStr">
        <is>
          <t>High</t>
        </is>
      </c>
    </row>
    <row r="34">
      <c r="A34" s="15" t="inlineStr">
        <is>
          <t>IRIS0909</t>
        </is>
      </c>
      <c r="B34" s="214" t="inlineStr">
        <is>
          <t>Ramesh Kone</t>
        </is>
      </c>
      <c r="C34" s="214" t="inlineStr">
        <is>
          <t>Corporate</t>
        </is>
      </c>
      <c r="D34" s="214" t="inlineStr">
        <is>
          <t>IT &amp; Infrastructure</t>
        </is>
      </c>
      <c r="E34" s="214" t="inlineStr">
        <is>
          <t>IT &amp; Infrastructure</t>
        </is>
      </c>
      <c r="F34" s="214" t="inlineStr">
        <is>
          <t>Infrastructure &amp; Cloud Operations</t>
        </is>
      </c>
      <c r="G34" s="214" t="inlineStr">
        <is>
          <t>System Administrator</t>
        </is>
      </c>
      <c r="H34" s="214" t="inlineStr">
        <is>
          <t>Infrastructure Specialist – POD Lead</t>
        </is>
      </c>
      <c r="I34" s="15" t="inlineStr">
        <is>
          <t>Not mapped</t>
        </is>
      </c>
      <c r="J34" s="150" t="inlineStr">
        <is>
          <t>B1</t>
        </is>
      </c>
      <c r="K34" s="15" t="inlineStr">
        <is>
          <t>POD Lead</t>
        </is>
      </c>
      <c r="L34" s="215" t="inlineStr">
        <is>
          <t>Newly mapped</t>
        </is>
      </c>
      <c r="M34" s="15" t="n">
        <v>3.65</v>
      </c>
      <c r="N34" s="15" t="n">
        <v>3</v>
      </c>
      <c r="O34" s="15" t="n">
        <v>3</v>
      </c>
      <c r="P34" s="15" t="n">
        <v>3</v>
      </c>
      <c r="Q34" s="15" t="n">
        <v>3</v>
      </c>
      <c r="R34" s="15" t="n">
        <v>9.5</v>
      </c>
      <c r="S34" s="15" t="n">
        <v>3</v>
      </c>
      <c r="T34" s="214" t="inlineStr">
        <is>
          <t>The score decided the level</t>
        </is>
      </c>
      <c r="U34" s="214" t="inlineStr">
        <is>
          <t>—</t>
        </is>
      </c>
      <c r="V34" s="15" t="inlineStr">
        <is>
          <t>High</t>
        </is>
      </c>
    </row>
    <row r="35">
      <c r="A35" s="15" t="inlineStr">
        <is>
          <t>IRIS0038</t>
        </is>
      </c>
      <c r="B35" s="214" t="inlineStr">
        <is>
          <t>Vikas Mithbawkar</t>
        </is>
      </c>
      <c r="C35" s="214" t="inlineStr">
        <is>
          <t>Corporate</t>
        </is>
      </c>
      <c r="D35" s="214" t="inlineStr">
        <is>
          <t>IT &amp; Infrastructure</t>
        </is>
      </c>
      <c r="E35" s="214" t="inlineStr">
        <is>
          <t>IT &amp; Infrastructure</t>
        </is>
      </c>
      <c r="F35" s="214" t="inlineStr">
        <is>
          <t>Infrastructure &amp; Cloud Operations</t>
        </is>
      </c>
      <c r="G35" s="214" t="inlineStr">
        <is>
          <t>Senior System Administrator</t>
        </is>
      </c>
      <c r="H35" s="214" t="inlineStr">
        <is>
          <t>IT Infrastructure Manager</t>
        </is>
      </c>
      <c r="I35" s="15" t="inlineStr">
        <is>
          <t>Not mapped</t>
        </is>
      </c>
      <c r="J35" s="150" t="inlineStr">
        <is>
          <t>B1</t>
        </is>
      </c>
      <c r="K35" s="15" t="inlineStr">
        <is>
          <t>People Manager</t>
        </is>
      </c>
      <c r="L35" s="215" t="inlineStr">
        <is>
          <t>Newly mapped</t>
        </is>
      </c>
      <c r="M35" s="15" t="n">
        <v>4.35</v>
      </c>
      <c r="N35" s="15" t="n">
        <v>3.5</v>
      </c>
      <c r="O35" s="15" t="n">
        <v>3.5</v>
      </c>
      <c r="P35" s="15" t="n">
        <v>4</v>
      </c>
      <c r="Q35" s="15" t="n">
        <v>4</v>
      </c>
      <c r="R35" s="15" t="n">
        <v>10.5</v>
      </c>
      <c r="S35" s="15" t="n">
        <v>4</v>
      </c>
      <c r="T35" s="214" t="inlineStr">
        <is>
          <t>The score decided the level</t>
        </is>
      </c>
      <c r="U35" s="214" t="inlineStr">
        <is>
          <t>—</t>
        </is>
      </c>
      <c r="V35" s="15" t="inlineStr">
        <is>
          <t>Medium</t>
        </is>
      </c>
    </row>
    <row r="36">
      <c r="A36" s="15" t="inlineStr">
        <is>
          <t>IRIS2468</t>
        </is>
      </c>
      <c r="B36" s="214" t="inlineStr">
        <is>
          <t>Amit Gangaram Kamble</t>
        </is>
      </c>
      <c r="C36" s="214" t="inlineStr">
        <is>
          <t>Corporate</t>
        </is>
      </c>
      <c r="D36" s="214" t="inlineStr">
        <is>
          <t>IT &amp; Infrastructure</t>
        </is>
      </c>
      <c r="E36" s="214" t="inlineStr">
        <is>
          <t>IT &amp; Infrastructure</t>
        </is>
      </c>
      <c r="F36" s="214" t="inlineStr">
        <is>
          <t>Infrastructure &amp; Cloud Operations</t>
        </is>
      </c>
      <c r="G36" s="214" t="inlineStr">
        <is>
          <t>Windows Server Administrator L1</t>
        </is>
      </c>
      <c r="H36" s="214" t="inlineStr">
        <is>
          <t>Senior System Administrator</t>
        </is>
      </c>
      <c r="I36" s="15" t="inlineStr">
        <is>
          <t>Not mapped</t>
        </is>
      </c>
      <c r="J36" s="151" t="inlineStr">
        <is>
          <t>A3</t>
        </is>
      </c>
      <c r="K36" s="15" t="inlineStr">
        <is>
          <t>IC</t>
        </is>
      </c>
      <c r="L36" s="215" t="inlineStr">
        <is>
          <t>Newly mapped</t>
        </is>
      </c>
      <c r="M36" s="15" t="n">
        <v>2.1</v>
      </c>
      <c r="N36" s="15" t="n">
        <v>2</v>
      </c>
      <c r="O36" s="15" t="n">
        <v>2</v>
      </c>
      <c r="P36" s="15" t="n">
        <v>2</v>
      </c>
      <c r="Q36" s="15" t="n">
        <v>1</v>
      </c>
      <c r="R36" s="15" t="n">
        <v>3</v>
      </c>
      <c r="S36" s="15" t="n">
        <v>2</v>
      </c>
      <c r="T36" s="214" t="inlineStr">
        <is>
          <r>
            <rPr>
              <rFont val="Calibri"/>
              <b val="1"/>
              <sz val="10"/>
            </rPr>
            <t>Rule:</t>
          </r>
          <r>
            <rPr>
              <rFont val="Calibri"/>
              <sz val="10"/>
            </rPr>
            <t xml:space="preserve"> R7 Band A experience</t>
          </r>
        </is>
      </c>
      <c r="U36" s="216" t="inlineStr">
        <is>
          <t>Input needed</t>
        </is>
      </c>
      <c r="V36" s="15" t="inlineStr">
        <is>
          <t>Low</t>
        </is>
      </c>
    </row>
    <row r="37">
      <c r="A37" s="15" t="inlineStr">
        <is>
          <t>IRIS2315</t>
        </is>
      </c>
      <c r="B37" s="214" t="inlineStr">
        <is>
          <t>Gouri Kohale</t>
        </is>
      </c>
      <c r="C37" s="214" t="inlineStr">
        <is>
          <t>Corporate</t>
        </is>
      </c>
      <c r="D37" s="214" t="inlineStr">
        <is>
          <t>IT &amp; Infrastructure</t>
        </is>
      </c>
      <c r="E37" s="214" t="inlineStr">
        <is>
          <t>IT &amp; Infrastructure</t>
        </is>
      </c>
      <c r="F37" s="214" t="inlineStr">
        <is>
          <t>Infrastructure &amp; Cloud Operations</t>
        </is>
      </c>
      <c r="G37" s="214" t="inlineStr">
        <is>
          <t>System Administrator</t>
        </is>
      </c>
      <c r="H37" s="214" t="inlineStr">
        <is>
          <t>Senior System Administrator</t>
        </is>
      </c>
      <c r="I37" s="15" t="inlineStr">
        <is>
          <t>Not mapped</t>
        </is>
      </c>
      <c r="J37" s="151" t="inlineStr">
        <is>
          <t>A3</t>
        </is>
      </c>
      <c r="K37" s="15" t="inlineStr">
        <is>
          <t>IC</t>
        </is>
      </c>
      <c r="L37" s="215" t="inlineStr">
        <is>
          <t>Newly mapped</t>
        </is>
      </c>
      <c r="M37" s="15" t="n">
        <v>2.65</v>
      </c>
      <c r="N37" s="15" t="n">
        <v>2.5</v>
      </c>
      <c r="O37" s="15" t="n">
        <v>2.5</v>
      </c>
      <c r="P37" s="15" t="n">
        <v>2.5</v>
      </c>
      <c r="Q37" s="15" t="n">
        <v>1.5</v>
      </c>
      <c r="R37" s="15" t="n">
        <v>4</v>
      </c>
      <c r="S37" s="15" t="n">
        <v>2.5</v>
      </c>
      <c r="T37" s="214" t="inlineStr">
        <is>
          <t>The score decided the level</t>
        </is>
      </c>
      <c r="U37" s="214" t="inlineStr">
        <is>
          <t>—</t>
        </is>
      </c>
      <c r="V37" s="15" t="inlineStr">
        <is>
          <t>High</t>
        </is>
      </c>
    </row>
    <row r="38">
      <c r="A38" s="15" t="inlineStr">
        <is>
          <t>IRIS2206</t>
        </is>
      </c>
      <c r="B38" s="214" t="inlineStr">
        <is>
          <t>Hemant Chordekar</t>
        </is>
      </c>
      <c r="C38" s="214" t="inlineStr">
        <is>
          <t>Corporate</t>
        </is>
      </c>
      <c r="D38" s="214" t="inlineStr">
        <is>
          <t>IT &amp; Infrastructure</t>
        </is>
      </c>
      <c r="E38" s="214" t="inlineStr">
        <is>
          <t>IT &amp; Infrastructure</t>
        </is>
      </c>
      <c r="F38" s="214" t="inlineStr">
        <is>
          <t>Infrastructure &amp; Cloud Operations</t>
        </is>
      </c>
      <c r="G38" s="214" t="inlineStr">
        <is>
          <t>System Administrator</t>
        </is>
      </c>
      <c r="H38" s="214" t="inlineStr">
        <is>
          <t>Infrastructure Specialist</t>
        </is>
      </c>
      <c r="I38" s="15" t="inlineStr">
        <is>
          <t>Not mapped</t>
        </is>
      </c>
      <c r="J38" s="151" t="inlineStr">
        <is>
          <t>A3</t>
        </is>
      </c>
      <c r="K38" s="15" t="inlineStr">
        <is>
          <t>IC</t>
        </is>
      </c>
      <c r="L38" s="215" t="inlineStr">
        <is>
          <t>Newly mapped</t>
        </is>
      </c>
      <c r="M38" s="15" t="n">
        <v>3.57</v>
      </c>
      <c r="N38" s="15" t="n">
        <v>3</v>
      </c>
      <c r="O38" s="15" t="n">
        <v>2.5</v>
      </c>
      <c r="P38" s="15" t="n">
        <v>3</v>
      </c>
      <c r="Q38" s="15" t="n">
        <v>1.5</v>
      </c>
      <c r="R38" s="15" t="n">
        <v>9.5</v>
      </c>
      <c r="S38" s="15" t="n">
        <v>3</v>
      </c>
      <c r="T38" s="214" t="inlineStr">
        <is>
          <r>
            <rPr>
              <rFont val="Calibri"/>
              <b val="1"/>
              <sz val="10"/>
            </rPr>
            <t>Rule:</t>
          </r>
          <r>
            <rPr>
              <rFont val="Calibri"/>
              <sz val="10"/>
            </rPr>
            <t xml:space="preserve"> R6 top of band</t>
          </r>
        </is>
      </c>
      <c r="U38" s="216" t="inlineStr">
        <is>
          <t>Near a gate · Input needed</t>
        </is>
      </c>
      <c r="V38" s="15" t="inlineStr">
        <is>
          <t>Low</t>
        </is>
      </c>
    </row>
    <row r="39">
      <c r="A39" s="15" t="inlineStr">
        <is>
          <t>IRISC298</t>
        </is>
      </c>
      <c r="B39" s="214" t="inlineStr">
        <is>
          <t>Ketan Balbhadra Yadav</t>
        </is>
      </c>
      <c r="C39" s="214" t="inlineStr">
        <is>
          <t>Corporate</t>
        </is>
      </c>
      <c r="D39" s="214" t="inlineStr">
        <is>
          <t>IT &amp; Infrastructure</t>
        </is>
      </c>
      <c r="E39" s="214" t="inlineStr">
        <is>
          <t>IT &amp; Infrastructure</t>
        </is>
      </c>
      <c r="F39" s="214" t="inlineStr">
        <is>
          <t>Infrastructure &amp; Cloud Operations</t>
        </is>
      </c>
      <c r="G39" s="214" t="inlineStr">
        <is>
          <t>Consultant</t>
        </is>
      </c>
      <c r="H39" s="214" t="inlineStr">
        <is>
          <t>Senior System Administrator</t>
        </is>
      </c>
      <c r="I39" s="15" t="inlineStr">
        <is>
          <t>Not mapped</t>
        </is>
      </c>
      <c r="J39" s="151" t="inlineStr">
        <is>
          <t>A3</t>
        </is>
      </c>
      <c r="K39" s="15" t="inlineStr">
        <is>
          <t>IC</t>
        </is>
      </c>
      <c r="L39" s="215" t="inlineStr">
        <is>
          <t>Newly mapped</t>
        </is>
      </c>
      <c r="M39" s="15" t="n">
        <v>2.1</v>
      </c>
      <c r="N39" s="15" t="n">
        <v>2</v>
      </c>
      <c r="O39" s="15" t="n">
        <v>2</v>
      </c>
      <c r="P39" s="15" t="n">
        <v>2</v>
      </c>
      <c r="Q39" s="15" t="n">
        <v>1</v>
      </c>
      <c r="R39" s="15" t="n">
        <v>3</v>
      </c>
      <c r="S39" s="15" t="n">
        <v>2</v>
      </c>
      <c r="T39" s="214" t="inlineStr">
        <is>
          <r>
            <rPr>
              <rFont val="Calibri"/>
              <b val="1"/>
              <sz val="10"/>
            </rPr>
            <t>Rule:</t>
          </r>
          <r>
            <rPr>
              <rFont val="Calibri"/>
              <sz val="10"/>
            </rPr>
            <t xml:space="preserve"> R7 Band A experience</t>
          </r>
        </is>
      </c>
      <c r="U39" s="214" t="inlineStr">
        <is>
          <t>—</t>
        </is>
      </c>
      <c r="V39" s="15" t="inlineStr">
        <is>
          <t>Low</t>
        </is>
      </c>
    </row>
    <row r="40">
      <c r="A40" s="15" t="inlineStr">
        <is>
          <t>IRIS1998</t>
        </is>
      </c>
      <c r="B40" s="214" t="inlineStr">
        <is>
          <t>Nimit Sadafal</t>
        </is>
      </c>
      <c r="C40" s="214" t="inlineStr">
        <is>
          <t>Corporate</t>
        </is>
      </c>
      <c r="D40" s="214" t="inlineStr">
        <is>
          <t>IT &amp; Infrastructure</t>
        </is>
      </c>
      <c r="E40" s="214" t="inlineStr">
        <is>
          <t>IT &amp; Infrastructure</t>
        </is>
      </c>
      <c r="F40" s="214" t="inlineStr">
        <is>
          <t>Infrastructure &amp; Cloud Operations</t>
        </is>
      </c>
      <c r="G40" s="214" t="inlineStr">
        <is>
          <t>System Administrator</t>
        </is>
      </c>
      <c r="H40" s="214" t="inlineStr">
        <is>
          <t>Senior System Administrator</t>
        </is>
      </c>
      <c r="I40" s="15" t="inlineStr">
        <is>
          <t>Not mapped</t>
        </is>
      </c>
      <c r="J40" s="151" t="inlineStr">
        <is>
          <t>A3</t>
        </is>
      </c>
      <c r="K40" s="15" t="inlineStr">
        <is>
          <t>IC</t>
        </is>
      </c>
      <c r="L40" s="215" t="inlineStr">
        <is>
          <t>Newly mapped</t>
        </is>
      </c>
      <c r="M40" s="15" t="n">
        <v>3.05</v>
      </c>
      <c r="N40" s="15" t="n">
        <v>2.5</v>
      </c>
      <c r="O40" s="15" t="n">
        <v>2.5</v>
      </c>
      <c r="P40" s="15" t="n">
        <v>3</v>
      </c>
      <c r="Q40" s="15" t="n">
        <v>1.5</v>
      </c>
      <c r="R40" s="15" t="n">
        <v>7.5</v>
      </c>
      <c r="S40" s="15" t="n">
        <v>3</v>
      </c>
      <c r="T40" s="214" t="inlineStr">
        <is>
          <t>The score decided the level</t>
        </is>
      </c>
      <c r="U40" s="214" t="inlineStr">
        <is>
          <t>—</t>
        </is>
      </c>
      <c r="V40" s="15" t="inlineStr">
        <is>
          <t>Medium</t>
        </is>
      </c>
    </row>
    <row r="41">
      <c r="A41" s="15" t="inlineStr">
        <is>
          <t>IRIS2099</t>
        </is>
      </c>
      <c r="B41" s="214" t="inlineStr">
        <is>
          <t>Parthiban Thangaraj</t>
        </is>
      </c>
      <c r="C41" s="214" t="inlineStr">
        <is>
          <t>Corporate</t>
        </is>
      </c>
      <c r="D41" s="214" t="inlineStr">
        <is>
          <t>IT &amp; Infrastructure</t>
        </is>
      </c>
      <c r="E41" s="214" t="inlineStr">
        <is>
          <t>Engineering &amp; Development</t>
        </is>
      </c>
      <c r="F41" s="214" t="inlineStr">
        <is>
          <t>DevOps &amp; Release Engineering</t>
        </is>
      </c>
      <c r="G41" s="214" t="inlineStr">
        <is>
          <t>Senior Software Engineer</t>
        </is>
      </c>
      <c r="H41" s="214" t="inlineStr">
        <is>
          <t>Senior DevOps Engineer</t>
        </is>
      </c>
      <c r="I41" s="15" t="inlineStr">
        <is>
          <t>Not mapped</t>
        </is>
      </c>
      <c r="J41" s="151" t="inlineStr">
        <is>
          <t>A3</t>
        </is>
      </c>
      <c r="K41" s="15" t="inlineStr">
        <is>
          <t>IC</t>
        </is>
      </c>
      <c r="L41" s="215" t="inlineStr">
        <is>
          <t>Newly mapped</t>
        </is>
      </c>
      <c r="M41" s="15" t="n">
        <v>2.85</v>
      </c>
      <c r="N41" s="15" t="n">
        <v>2.5</v>
      </c>
      <c r="O41" s="15" t="n">
        <v>2.5</v>
      </c>
      <c r="P41" s="15" t="n">
        <v>2.5</v>
      </c>
      <c r="Q41" s="15" t="n">
        <v>1.5</v>
      </c>
      <c r="R41" s="15" t="n">
        <v>6</v>
      </c>
      <c r="S41" s="15" t="n">
        <v>2.5</v>
      </c>
      <c r="T41" s="214" t="inlineStr">
        <is>
          <t>The score decided the level</t>
        </is>
      </c>
      <c r="U41" s="214" t="inlineStr">
        <is>
          <t>—</t>
        </is>
      </c>
      <c r="V41" s="15" t="inlineStr">
        <is>
          <t>Medium</t>
        </is>
      </c>
    </row>
    <row r="42">
      <c r="A42" s="15" t="inlineStr">
        <is>
          <t>IRIS2003</t>
        </is>
      </c>
      <c r="B42" s="214" t="inlineStr">
        <is>
          <t>Rajyalakshmi Koyagura</t>
        </is>
      </c>
      <c r="C42" s="214" t="inlineStr">
        <is>
          <t>Corporate</t>
        </is>
      </c>
      <c r="D42" s="214" t="inlineStr">
        <is>
          <t>IT &amp; Infrastructure</t>
        </is>
      </c>
      <c r="E42" s="214" t="inlineStr">
        <is>
          <t>IT &amp; Infrastructure</t>
        </is>
      </c>
      <c r="F42" s="214" t="inlineStr">
        <is>
          <t>Infrastructure &amp; Cloud Operations</t>
        </is>
      </c>
      <c r="G42" s="214" t="inlineStr">
        <is>
          <t>System Administrator</t>
        </is>
      </c>
      <c r="H42" s="214" t="inlineStr">
        <is>
          <t>Senior System Administrator</t>
        </is>
      </c>
      <c r="I42" s="15" t="inlineStr">
        <is>
          <t>Not mapped</t>
        </is>
      </c>
      <c r="J42" s="151" t="inlineStr">
        <is>
          <t>A3</t>
        </is>
      </c>
      <c r="K42" s="15" t="inlineStr">
        <is>
          <t>IC</t>
        </is>
      </c>
      <c r="L42" s="215" t="inlineStr">
        <is>
          <t>Newly mapped</t>
        </is>
      </c>
      <c r="M42" s="15" t="n">
        <v>3.12</v>
      </c>
      <c r="N42" s="15" t="n">
        <v>3</v>
      </c>
      <c r="O42" s="15" t="n">
        <v>2.5</v>
      </c>
      <c r="P42" s="15" t="n">
        <v>3</v>
      </c>
      <c r="Q42" s="15" t="n">
        <v>1.5</v>
      </c>
      <c r="R42" s="15" t="n">
        <v>5</v>
      </c>
      <c r="S42" s="15" t="n">
        <v>3</v>
      </c>
      <c r="T42" s="214" t="inlineStr">
        <is>
          <t>The score decided the level</t>
        </is>
      </c>
      <c r="U42" s="214" t="inlineStr">
        <is>
          <t>—</t>
        </is>
      </c>
      <c r="V42" s="15" t="inlineStr">
        <is>
          <t>Medium</t>
        </is>
      </c>
    </row>
    <row r="43">
      <c r="A43" s="15" t="inlineStr">
        <is>
          <t>IRIS2098</t>
        </is>
      </c>
      <c r="B43" s="214" t="inlineStr">
        <is>
          <t>Sagar Jamadar</t>
        </is>
      </c>
      <c r="C43" s="214" t="inlineStr">
        <is>
          <t>Corporate</t>
        </is>
      </c>
      <c r="D43" s="214" t="inlineStr">
        <is>
          <t>IT &amp; Infrastructure</t>
        </is>
      </c>
      <c r="E43" s="214" t="inlineStr">
        <is>
          <t>IT &amp; Infrastructure</t>
        </is>
      </c>
      <c r="F43" s="214" t="inlineStr">
        <is>
          <t>End-User Support</t>
        </is>
      </c>
      <c r="G43" s="214" t="inlineStr">
        <is>
          <t>Desktop Support Engineer</t>
        </is>
      </c>
      <c r="H43" s="214" t="inlineStr">
        <is>
          <t>Senior Desktop Support Engineer</t>
        </is>
      </c>
      <c r="I43" s="15" t="inlineStr">
        <is>
          <t>Not mapped</t>
        </is>
      </c>
      <c r="J43" s="151" t="inlineStr">
        <is>
          <t>A3</t>
        </is>
      </c>
      <c r="K43" s="15" t="inlineStr">
        <is>
          <t>IC</t>
        </is>
      </c>
      <c r="L43" s="215" t="inlineStr">
        <is>
          <t>Newly mapped</t>
        </is>
      </c>
      <c r="M43" s="15" t="n">
        <v>2.3</v>
      </c>
      <c r="N43" s="15" t="n">
        <v>2</v>
      </c>
      <c r="O43" s="15" t="n">
        <v>2</v>
      </c>
      <c r="P43" s="15" t="n">
        <v>2</v>
      </c>
      <c r="Q43" s="15" t="n">
        <v>1</v>
      </c>
      <c r="R43" s="15" t="n">
        <v>5</v>
      </c>
      <c r="S43" s="15" t="n">
        <v>2</v>
      </c>
      <c r="T43" s="214" t="inlineStr">
        <is>
          <r>
            <rPr>
              <rFont val="Calibri"/>
              <b val="1"/>
              <sz val="10"/>
            </rPr>
            <t>Rule:</t>
          </r>
          <r>
            <rPr>
              <rFont val="Calibri"/>
              <sz val="10"/>
            </rPr>
            <t xml:space="preserve"> R7 Band A experience</t>
          </r>
        </is>
      </c>
      <c r="U43" s="214" t="inlineStr">
        <is>
          <t>—</t>
        </is>
      </c>
      <c r="V43" s="15" t="inlineStr">
        <is>
          <t>High</t>
        </is>
      </c>
    </row>
    <row r="44">
      <c r="A44" s="15" t="inlineStr">
        <is>
          <t>IRIS1958</t>
        </is>
      </c>
      <c r="B44" s="214" t="inlineStr">
        <is>
          <t>Sandip Mane</t>
        </is>
      </c>
      <c r="C44" s="214" t="inlineStr">
        <is>
          <t>Corporate</t>
        </is>
      </c>
      <c r="D44" s="214" t="inlineStr">
        <is>
          <t>IT &amp; Infrastructure</t>
        </is>
      </c>
      <c r="E44" s="214" t="inlineStr">
        <is>
          <t>IT &amp; Infrastructure</t>
        </is>
      </c>
      <c r="F44" s="214" t="inlineStr">
        <is>
          <t>Infrastructure &amp; Cloud Operations</t>
        </is>
      </c>
      <c r="G44" s="214" t="inlineStr">
        <is>
          <t>System Administrator</t>
        </is>
      </c>
      <c r="H44" s="214" t="inlineStr">
        <is>
          <t>Senior System Administrator</t>
        </is>
      </c>
      <c r="I44" s="15" t="inlineStr">
        <is>
          <t>Not mapped</t>
        </is>
      </c>
      <c r="J44" s="151" t="inlineStr">
        <is>
          <t>A3</t>
        </is>
      </c>
      <c r="K44" s="15" t="inlineStr">
        <is>
          <t>IC</t>
        </is>
      </c>
      <c r="L44" s="215" t="inlineStr">
        <is>
          <t>Newly mapped</t>
        </is>
      </c>
      <c r="M44" s="15" t="n">
        <v>3.27</v>
      </c>
      <c r="N44" s="15" t="n">
        <v>3</v>
      </c>
      <c r="O44" s="15" t="n">
        <v>2.5</v>
      </c>
      <c r="P44" s="15" t="n">
        <v>3</v>
      </c>
      <c r="Q44" s="15" t="n">
        <v>1.5</v>
      </c>
      <c r="R44" s="15" t="n">
        <v>6.5</v>
      </c>
      <c r="S44" s="15" t="n">
        <v>3</v>
      </c>
      <c r="T44" s="214" t="inlineStr">
        <is>
          <t>The score decided the level</t>
        </is>
      </c>
      <c r="U44" s="214" t="inlineStr">
        <is>
          <t>—</t>
        </is>
      </c>
      <c r="V44" s="15" t="inlineStr">
        <is>
          <t>Medium</t>
        </is>
      </c>
    </row>
    <row r="45">
      <c r="A45" s="15" t="inlineStr">
        <is>
          <t>IRIS1581</t>
        </is>
      </c>
      <c r="B45" s="214" t="inlineStr">
        <is>
          <t>Vishal Vare</t>
        </is>
      </c>
      <c r="C45" s="214" t="inlineStr">
        <is>
          <t>Corporate</t>
        </is>
      </c>
      <c r="D45" s="214" t="inlineStr">
        <is>
          <t>IT &amp; Infrastructure</t>
        </is>
      </c>
      <c r="E45" s="214" t="inlineStr">
        <is>
          <t>IT &amp; Infrastructure</t>
        </is>
      </c>
      <c r="F45" s="214" t="inlineStr">
        <is>
          <t>Infrastructure &amp; Cloud Operations</t>
        </is>
      </c>
      <c r="G45" s="214" t="inlineStr">
        <is>
          <t>Senior System Administrator</t>
        </is>
      </c>
      <c r="H45" s="214" t="inlineStr">
        <is>
          <t>Senior System Administrator</t>
        </is>
      </c>
      <c r="I45" s="15" t="inlineStr">
        <is>
          <t>Not mapped</t>
        </is>
      </c>
      <c r="J45" s="151" t="inlineStr">
        <is>
          <t>A3</t>
        </is>
      </c>
      <c r="K45" s="15" t="inlineStr">
        <is>
          <t>IC</t>
        </is>
      </c>
      <c r="L45" s="215" t="inlineStr">
        <is>
          <t>Newly mapped</t>
        </is>
      </c>
      <c r="M45" s="15" t="n">
        <v>3.22</v>
      </c>
      <c r="N45" s="15" t="n">
        <v>3</v>
      </c>
      <c r="O45" s="15" t="n">
        <v>2.5</v>
      </c>
      <c r="P45" s="15" t="n">
        <v>3</v>
      </c>
      <c r="Q45" s="15" t="n">
        <v>1.5</v>
      </c>
      <c r="R45" s="15" t="n">
        <v>6</v>
      </c>
      <c r="S45" s="15" t="n">
        <v>3</v>
      </c>
      <c r="T45" s="214" t="inlineStr">
        <is>
          <t>The score decided the level</t>
        </is>
      </c>
      <c r="U45" s="216" t="inlineStr">
        <is>
          <t>Input needed</t>
        </is>
      </c>
      <c r="V45" s="15" t="inlineStr">
        <is>
          <t>Low</t>
        </is>
      </c>
    </row>
    <row r="46">
      <c r="A46" s="15" t="inlineStr">
        <is>
          <t>IRIS0001</t>
        </is>
      </c>
      <c r="B46" s="214" t="inlineStr">
        <is>
          <t>Balachandran K</t>
        </is>
      </c>
      <c r="C46" s="214" t="inlineStr">
        <is>
          <t>Corporate</t>
        </is>
      </c>
      <c r="D46" s="214" t="inlineStr">
        <is>
          <t>Management</t>
        </is>
      </c>
      <c r="E46" s="214" t="inlineStr">
        <is>
          <t>Executive Leadership</t>
        </is>
      </c>
      <c r="F46" s="214" t="inlineStr">
        <is>
          <t>Enterprise Leadership</t>
        </is>
      </c>
      <c r="G46" s="214" t="inlineStr">
        <is>
          <t>CEO</t>
        </is>
      </c>
      <c r="H46" s="214" t="inlineStr">
        <is>
          <t>Chief Executive Officer</t>
        </is>
      </c>
      <c r="I46" s="15" t="inlineStr">
        <is>
          <t>Not mapped</t>
        </is>
      </c>
      <c r="J46" s="182" t="inlineStr">
        <is>
          <t>E2</t>
        </is>
      </c>
      <c r="K46" s="15" t="inlineStr">
        <is>
          <t>People Manager</t>
        </is>
      </c>
      <c r="L46" s="215" t="inlineStr">
        <is>
          <t>Newly mapped</t>
        </is>
      </c>
      <c r="M46" s="15" t="n">
        <v>12</v>
      </c>
      <c r="N46" s="15" t="n">
        <v>12</v>
      </c>
      <c r="O46" s="15" t="n">
        <v>12</v>
      </c>
      <c r="P46" s="15" t="n">
        <v>12</v>
      </c>
      <c r="Q46" s="15" t="n">
        <v>12</v>
      </c>
      <c r="R46" s="15" t="n">
        <v>12</v>
      </c>
      <c r="S46" s="15" t="n">
        <v>12</v>
      </c>
      <c r="T46" s="214" t="inlineStr">
        <is>
          <t>The score decided the level</t>
        </is>
      </c>
      <c r="U46" s="216" t="inlineStr">
        <is>
          <t>Input needed</t>
        </is>
      </c>
      <c r="V46" s="15" t="inlineStr">
        <is>
          <t>Low</t>
        </is>
      </c>
    </row>
    <row r="47">
      <c r="A47" s="15" t="inlineStr">
        <is>
          <t>IRIS0002</t>
        </is>
      </c>
      <c r="B47" s="214" t="inlineStr">
        <is>
          <t>Deepta Rangarajan</t>
        </is>
      </c>
      <c r="C47" s="214" t="inlineStr">
        <is>
          <t>Corporate</t>
        </is>
      </c>
      <c r="D47" s="214" t="inlineStr">
        <is>
          <t>Management</t>
        </is>
      </c>
      <c r="E47" s="214" t="inlineStr">
        <is>
          <t>Executive Leadership</t>
        </is>
      </c>
      <c r="F47" s="214" t="inlineStr">
        <is>
          <t>Enterprise Leadership</t>
        </is>
      </c>
      <c r="G47" s="214" t="inlineStr">
        <is>
          <t>COO, Product Sponsor · Carbon</t>
        </is>
      </c>
      <c r="H47" s="214" t="inlineStr">
        <is>
          <t>Chief Operating Officer</t>
        </is>
      </c>
      <c r="I47" s="15" t="inlineStr">
        <is>
          <t>Not mapped</t>
        </is>
      </c>
      <c r="J47" s="182" t="inlineStr">
        <is>
          <t>E1</t>
        </is>
      </c>
      <c r="K47" s="15" t="inlineStr">
        <is>
          <t>People Manager</t>
        </is>
      </c>
      <c r="L47" s="215" t="inlineStr">
        <is>
          <t>Newly mapped</t>
        </is>
      </c>
      <c r="M47" s="15" t="n">
        <v>11.05</v>
      </c>
      <c r="N47" s="15" t="n">
        <v>11</v>
      </c>
      <c r="O47" s="15" t="n">
        <v>11</v>
      </c>
      <c r="P47" s="15" t="n">
        <v>11</v>
      </c>
      <c r="Q47" s="15" t="n">
        <v>11</v>
      </c>
      <c r="R47" s="15" t="n">
        <v>12</v>
      </c>
      <c r="S47" s="15" t="n">
        <v>11</v>
      </c>
      <c r="T47" s="214" t="inlineStr">
        <is>
          <t>The score decided the level</t>
        </is>
      </c>
      <c r="U47" s="216" t="inlineStr">
        <is>
          <t>Input needed</t>
        </is>
      </c>
      <c r="V47" s="15" t="inlineStr">
        <is>
          <t>Low</t>
        </is>
      </c>
    </row>
    <row r="48">
      <c r="A48" s="15" t="inlineStr">
        <is>
          <t>IRIS2200</t>
        </is>
      </c>
      <c r="B48" s="214" t="inlineStr">
        <is>
          <t>Barsha Gloria Gomes</t>
        </is>
      </c>
      <c r="C48" s="214" t="inlineStr">
        <is>
          <t>Corporate</t>
        </is>
      </c>
      <c r="D48" s="214" t="inlineStr">
        <is>
          <t>Marketing</t>
        </is>
      </c>
      <c r="E48" s="214" t="inlineStr">
        <is>
          <t>Marketing &amp; Communications</t>
        </is>
      </c>
      <c r="F48" s="214" t="inlineStr">
        <is>
          <t>Content Marketing</t>
        </is>
      </c>
      <c r="G48" s="214" t="inlineStr">
        <is>
          <t>Manager-Content</t>
        </is>
      </c>
      <c r="H48" s="214" t="inlineStr">
        <is>
          <t>Senior Content Marketing Specialist</t>
        </is>
      </c>
      <c r="I48" s="15" t="inlineStr">
        <is>
          <t>L5</t>
        </is>
      </c>
      <c r="J48" s="150" t="inlineStr">
        <is>
          <t>B2</t>
        </is>
      </c>
      <c r="K48" s="15" t="inlineStr">
        <is>
          <t>IC</t>
        </is>
      </c>
      <c r="L48" s="15" t="inlineStr">
        <is>
          <t>Same level</t>
        </is>
      </c>
      <c r="M48" s="15" t="n">
        <v>4.58</v>
      </c>
      <c r="N48" s="15" t="n">
        <v>4.5</v>
      </c>
      <c r="O48" s="15" t="n">
        <v>4</v>
      </c>
      <c r="P48" s="15" t="n">
        <v>4.5</v>
      </c>
      <c r="Q48" s="15" t="n">
        <v>3</v>
      </c>
      <c r="R48" s="15" t="n">
        <v>6.5</v>
      </c>
      <c r="S48" s="15" t="n">
        <v>5</v>
      </c>
      <c r="T48" s="214" t="inlineStr">
        <is>
          <t>The score decided the level</t>
        </is>
      </c>
      <c r="U48" s="214" t="inlineStr">
        <is>
          <t>—</t>
        </is>
      </c>
      <c r="V48" s="15" t="inlineStr">
        <is>
          <t>Medium</t>
        </is>
      </c>
    </row>
    <row r="49">
      <c r="A49" s="15" t="inlineStr">
        <is>
          <t>IRIS2307</t>
        </is>
      </c>
      <c r="B49" s="214" t="inlineStr">
        <is>
          <t>Abhishek Sharma</t>
        </is>
      </c>
      <c r="C49" s="214" t="inlineStr">
        <is>
          <t>Corporate</t>
        </is>
      </c>
      <c r="D49" s="214" t="inlineStr">
        <is>
          <t>Marketing</t>
        </is>
      </c>
      <c r="E49" s="214" t="inlineStr">
        <is>
          <t>Design &amp; Creative</t>
        </is>
      </c>
      <c r="F49" s="214" t="inlineStr">
        <is>
          <t>Brand, Graphic &amp; Video Design</t>
        </is>
      </c>
      <c r="G49" s="214" t="inlineStr">
        <is>
          <t>Senior Designer</t>
        </is>
      </c>
      <c r="H49" s="214" t="inlineStr">
        <is>
          <t>Senior Designer</t>
        </is>
      </c>
      <c r="I49" s="15" t="inlineStr">
        <is>
          <t>L4</t>
        </is>
      </c>
      <c r="J49" s="151" t="inlineStr">
        <is>
          <t>A3</t>
        </is>
      </c>
      <c r="K49" s="15" t="inlineStr">
        <is>
          <t>IC</t>
        </is>
      </c>
      <c r="L49" s="15" t="inlineStr">
        <is>
          <t>Same level</t>
        </is>
      </c>
      <c r="M49" s="15" t="n">
        <v>3.16</v>
      </c>
      <c r="N49" s="15" t="n">
        <v>3</v>
      </c>
      <c r="O49" s="15" t="n">
        <v>3</v>
      </c>
      <c r="P49" s="15" t="n">
        <v>3</v>
      </c>
      <c r="Q49" s="15" t="n">
        <v>1.5</v>
      </c>
      <c r="R49" s="15" t="n">
        <v>4</v>
      </c>
      <c r="S49" s="15" t="n">
        <v>3.5</v>
      </c>
      <c r="T49" s="214" t="inlineStr">
        <is>
          <t>The score decided the level</t>
        </is>
      </c>
      <c r="U49" s="214" t="inlineStr">
        <is>
          <t>—</t>
        </is>
      </c>
      <c r="V49" s="15" t="inlineStr">
        <is>
          <t>High</t>
        </is>
      </c>
    </row>
    <row r="50">
      <c r="A50" s="15" t="inlineStr">
        <is>
          <t>IRIS2190</t>
        </is>
      </c>
      <c r="B50" s="214" t="inlineStr">
        <is>
          <t>Esther Kanagaselvam D</t>
        </is>
      </c>
      <c r="C50" s="214" t="inlineStr">
        <is>
          <t>Corporate</t>
        </is>
      </c>
      <c r="D50" s="214" t="inlineStr">
        <is>
          <t>Marketing</t>
        </is>
      </c>
      <c r="E50" s="214" t="inlineStr">
        <is>
          <t>Marketing &amp; Communications</t>
        </is>
      </c>
      <c r="F50" s="214" t="inlineStr">
        <is>
          <t>Marketing Operations &amp; Automation</t>
        </is>
      </c>
      <c r="G50" s="214" t="inlineStr">
        <is>
          <t>Executive Lead Generation and Database</t>
        </is>
      </c>
      <c r="H50" s="214" t="inlineStr">
        <is>
          <t>Senior Marketing Operations Associate</t>
        </is>
      </c>
      <c r="I50" s="15" t="inlineStr">
        <is>
          <t>L5</t>
        </is>
      </c>
      <c r="J50" s="151" t="inlineStr">
        <is>
          <t>A3</t>
        </is>
      </c>
      <c r="K50" s="15" t="inlineStr">
        <is>
          <t>IC</t>
        </is>
      </c>
      <c r="L50" s="217" t="inlineStr">
        <is>
          <t>Down</t>
        </is>
      </c>
      <c r="M50" s="15" t="n">
        <v>2.65</v>
      </c>
      <c r="N50" s="15" t="n">
        <v>2.5</v>
      </c>
      <c r="O50" s="15" t="n">
        <v>2.5</v>
      </c>
      <c r="P50" s="15" t="n">
        <v>2.5</v>
      </c>
      <c r="Q50" s="15" t="n">
        <v>1</v>
      </c>
      <c r="R50" s="15" t="n">
        <v>4</v>
      </c>
      <c r="S50" s="15" t="n">
        <v>2.5</v>
      </c>
      <c r="T50" s="214" t="inlineStr">
        <is>
          <t>The score decided the level</t>
        </is>
      </c>
      <c r="U50" s="216" t="inlineStr">
        <is>
          <t>Down — protected</t>
        </is>
      </c>
      <c r="V50" s="15" t="inlineStr">
        <is>
          <t>High</t>
        </is>
      </c>
    </row>
    <row r="51">
      <c r="A51" s="15" t="inlineStr">
        <is>
          <t>IRIS1914</t>
        </is>
      </c>
      <c r="B51" s="214" t="inlineStr">
        <is>
          <t>Santosh Sharma</t>
        </is>
      </c>
      <c r="C51" s="214" t="inlineStr">
        <is>
          <t>Corporate</t>
        </is>
      </c>
      <c r="D51" s="214" t="inlineStr">
        <is>
          <t>Secretarial &amp; Legal</t>
        </is>
      </c>
      <c r="E51" s="214" t="inlineStr">
        <is>
          <t>Administration, Legal &amp; Secretarial</t>
        </is>
      </c>
      <c r="F51" s="214" t="inlineStr">
        <is>
          <t>Company Secretarial &amp; Legal</t>
        </is>
      </c>
      <c r="G51" s="214" t="inlineStr">
        <is>
          <t>Company Secretary</t>
        </is>
      </c>
      <c r="H51" s="214" t="inlineStr">
        <is>
          <t>Company Secretary – POD Lead</t>
        </is>
      </c>
      <c r="I51" s="15" t="inlineStr">
        <is>
          <t>Not mapped</t>
        </is>
      </c>
      <c r="J51" s="180" t="inlineStr">
        <is>
          <t>C1</t>
        </is>
      </c>
      <c r="K51" s="15" t="inlineStr">
        <is>
          <t>POD Lead</t>
        </is>
      </c>
      <c r="L51" s="215" t="inlineStr">
        <is>
          <t>Newly mapped</t>
        </is>
      </c>
      <c r="M51" s="15" t="n">
        <v>6.93</v>
      </c>
      <c r="N51" s="15" t="n">
        <v>7</v>
      </c>
      <c r="O51" s="15" t="n">
        <v>7</v>
      </c>
      <c r="P51" s="15" t="n">
        <v>5.5</v>
      </c>
      <c r="Q51" s="15" t="n">
        <v>6</v>
      </c>
      <c r="R51" s="15" t="n">
        <v>9.5</v>
      </c>
      <c r="S51" s="15" t="n">
        <v>5.5</v>
      </c>
      <c r="T51" s="214" t="inlineStr">
        <is>
          <t>The score decided the level</t>
        </is>
      </c>
      <c r="U51" s="216" t="inlineStr">
        <is>
          <t>Input needed</t>
        </is>
      </c>
      <c r="V51" s="15" t="inlineStr">
        <is>
          <t>Low</t>
        </is>
      </c>
    </row>
    <row r="52">
      <c r="A52" s="15" t="inlineStr">
        <is>
          <t>IRIS2290</t>
        </is>
      </c>
      <c r="B52" s="214" t="inlineStr">
        <is>
          <t>Melita Suares</t>
        </is>
      </c>
      <c r="C52" s="214" t="inlineStr">
        <is>
          <t>Corporate</t>
        </is>
      </c>
      <c r="D52" s="214" t="inlineStr">
        <is>
          <t>Secretarial &amp; Legal</t>
        </is>
      </c>
      <c r="E52" s="214" t="inlineStr">
        <is>
          <t>Administration, Legal &amp; Secretarial</t>
        </is>
      </c>
      <c r="F52" s="214" t="inlineStr">
        <is>
          <t>Company Secretarial &amp; Legal</t>
        </is>
      </c>
      <c r="G52" s="214" t="inlineStr">
        <is>
          <t>Executive - Secretarial and Legal</t>
        </is>
      </c>
      <c r="H52" s="214" t="inlineStr">
        <is>
          <t>Senior Secretarial Executive</t>
        </is>
      </c>
      <c r="I52" s="15" t="inlineStr">
        <is>
          <t>Not mapped</t>
        </is>
      </c>
      <c r="J52" s="151" t="inlineStr">
        <is>
          <t>A3</t>
        </is>
      </c>
      <c r="K52" s="15" t="inlineStr">
        <is>
          <t>IC</t>
        </is>
      </c>
      <c r="L52" s="215" t="inlineStr">
        <is>
          <t>Newly mapped</t>
        </is>
      </c>
      <c r="M52" s="15" t="n">
        <v>2.88</v>
      </c>
      <c r="N52" s="15" t="n">
        <v>2.5</v>
      </c>
      <c r="O52" s="15" t="n">
        <v>2.5</v>
      </c>
      <c r="P52" s="15" t="n">
        <v>2.5</v>
      </c>
      <c r="Q52" s="15" t="n">
        <v>1.5</v>
      </c>
      <c r="R52" s="15" t="n">
        <v>5</v>
      </c>
      <c r="S52" s="15" t="n">
        <v>2.5</v>
      </c>
      <c r="T52" s="214" t="inlineStr">
        <is>
          <t>The score decided the level</t>
        </is>
      </c>
      <c r="U52" s="214" t="inlineStr">
        <is>
          <t>—</t>
        </is>
      </c>
      <c r="V52" s="15" t="inlineStr">
        <is>
          <t>High</t>
        </is>
      </c>
    </row>
    <row r="53">
      <c r="A53" s="15" t="inlineStr">
        <is>
          <t>INTN0296</t>
        </is>
      </c>
      <c r="B53" s="214" t="inlineStr">
        <is>
          <t>Sneha Pillai</t>
        </is>
      </c>
      <c r="C53" s="214" t="inlineStr">
        <is>
          <t>Corporate</t>
        </is>
      </c>
      <c r="D53" s="214" t="inlineStr">
        <is>
          <t>Secretarial &amp; Legal</t>
        </is>
      </c>
      <c r="E53" s="214" t="inlineStr">
        <is>
          <t>Administration, Legal &amp; Secretarial</t>
        </is>
      </c>
      <c r="F53" s="214" t="inlineStr">
        <is>
          <t>Company Secretarial &amp; Legal</t>
        </is>
      </c>
      <c r="G53" s="214" t="inlineStr">
        <is>
          <t>Intern</t>
        </is>
      </c>
      <c r="H53" s="214" t="inlineStr">
        <is>
          <t>Intern – Company Secretarial &amp; Legal</t>
        </is>
      </c>
      <c r="I53" s="15" t="inlineStr">
        <is>
          <t>Not mapped</t>
        </is>
      </c>
      <c r="J53" s="151" t="inlineStr">
        <is>
          <t>A1</t>
        </is>
      </c>
      <c r="K53" s="15" t="inlineStr">
        <is>
          <t>IC</t>
        </is>
      </c>
      <c r="L53" s="215" t="inlineStr">
        <is>
          <t>Newly mapped</t>
        </is>
      </c>
      <c r="M53" s="15" t="n"/>
      <c r="N53" s="15" t="n"/>
      <c r="O53" s="15" t="n"/>
      <c r="P53" s="15" t="n"/>
      <c r="Q53" s="15" t="n"/>
      <c r="R53" s="15" t="n"/>
      <c r="S53" s="15" t="n"/>
      <c r="T53" s="214" t="inlineStr">
        <is>
          <t>Placed by rule</t>
        </is>
      </c>
      <c r="U53" s="214" t="inlineStr">
        <is>
          <t>—</t>
        </is>
      </c>
      <c r="V53" s="15" t="inlineStr">
        <is>
          <t>Medium</t>
        </is>
      </c>
    </row>
    <row r="54">
      <c r="A54" s="15" t="inlineStr">
        <is>
          <t>IRIS2060</t>
        </is>
      </c>
      <c r="B54" s="214" t="inlineStr">
        <is>
          <t>P K X Thomas</t>
        </is>
      </c>
      <c r="C54" s="214" t="inlineStr">
        <is>
          <t>Corporate</t>
        </is>
      </c>
      <c r="D54" s="214" t="inlineStr">
        <is>
          <t>Technology</t>
        </is>
      </c>
      <c r="E54" s="214" t="inlineStr">
        <is>
          <t>Executive Leadership</t>
        </is>
      </c>
      <c r="F54" s="214" t="inlineStr">
        <is>
          <t>Enterprise Leadership</t>
        </is>
      </c>
      <c r="G54" s="214" t="inlineStr">
        <is>
          <t>Chief Technology Officer</t>
        </is>
      </c>
      <c r="H54" s="214" t="inlineStr">
        <is>
          <t>Chief Technology Officer</t>
        </is>
      </c>
      <c r="I54" s="15" t="inlineStr">
        <is>
          <t>Not mapped</t>
        </is>
      </c>
      <c r="J54" s="182" t="inlineStr">
        <is>
          <t>E1</t>
        </is>
      </c>
      <c r="K54" s="15" t="inlineStr">
        <is>
          <t>People Manager</t>
        </is>
      </c>
      <c r="L54" s="215" t="inlineStr">
        <is>
          <t>Newly mapped</t>
        </is>
      </c>
      <c r="M54" s="15" t="n">
        <v>11.05</v>
      </c>
      <c r="N54" s="15" t="n">
        <v>11</v>
      </c>
      <c r="O54" s="15" t="n">
        <v>11</v>
      </c>
      <c r="P54" s="15" t="n">
        <v>11</v>
      </c>
      <c r="Q54" s="15" t="n">
        <v>11</v>
      </c>
      <c r="R54" s="15" t="n">
        <v>12</v>
      </c>
      <c r="S54" s="15" t="n">
        <v>11</v>
      </c>
      <c r="T54" s="214" t="inlineStr">
        <is>
          <t>The score decided the level</t>
        </is>
      </c>
      <c r="U54" s="216" t="inlineStr">
        <is>
          <t>Input needed</t>
        </is>
      </c>
      <c r="V54" s="15" t="inlineStr">
        <is>
          <t>Low</t>
        </is>
      </c>
    </row>
    <row r="55">
      <c r="A55" s="15" t="inlineStr">
        <is>
          <t>IRISC344</t>
        </is>
      </c>
      <c r="B55" s="214" t="inlineStr">
        <is>
          <t>Vikas Thakur</t>
        </is>
      </c>
      <c r="C55" s="214" t="inlineStr">
        <is>
          <t>Corporate</t>
        </is>
      </c>
      <c r="D55" s="214" t="inlineStr">
        <is>
          <t>Technology</t>
        </is>
      </c>
      <c r="E55" s="214" t="inlineStr">
        <is>
          <t>Project &amp; Program Management</t>
        </is>
      </c>
      <c r="F55" s="214" t="inlineStr">
        <is>
          <t>PMO &amp; Delivery Excellence</t>
        </is>
      </c>
      <c r="G55" s="214" t="inlineStr">
        <is>
          <t>Agile Coach</t>
        </is>
      </c>
      <c r="H55" s="214" t="inlineStr">
        <is>
          <t>Agile Coach</t>
        </is>
      </c>
      <c r="I55" s="15" t="inlineStr">
        <is>
          <t>Not mapped</t>
        </is>
      </c>
      <c r="J55" s="150" t="inlineStr">
        <is>
          <t>B3</t>
        </is>
      </c>
      <c r="K55" s="15" t="inlineStr">
        <is>
          <t>IC</t>
        </is>
      </c>
      <c r="L55" s="215" t="inlineStr">
        <is>
          <t>Newly mapped</t>
        </is>
      </c>
      <c r="M55" s="15" t="n">
        <v>6</v>
      </c>
      <c r="N55" s="15" t="n">
        <v>6</v>
      </c>
      <c r="O55" s="15" t="n">
        <v>6</v>
      </c>
      <c r="P55" s="15" t="n">
        <v>6</v>
      </c>
      <c r="Q55" s="15" t="n">
        <v>5</v>
      </c>
      <c r="R55" s="15" t="n">
        <v>6.5</v>
      </c>
      <c r="S55" s="15" t="n">
        <v>6</v>
      </c>
      <c r="T55" s="214" t="inlineStr">
        <is>
          <t>The score decided the level</t>
        </is>
      </c>
      <c r="U55" s="216" t="inlineStr">
        <is>
          <t>Input needed</t>
        </is>
      </c>
      <c r="V55" s="15" t="inlineStr">
        <is>
          <t>Low</t>
        </is>
      </c>
    </row>
  </sheetData>
  <mergeCells count="3">
    <mergeCell ref="A2:V2"/>
    <mergeCell ref="A1:V1"/>
    <mergeCell ref="A3:V3"/>
  </mergeCells>
  <conditionalFormatting sqref="N7:N55">
    <cfRule type="dataBar" priority="1">
      <dataBar showValue="1">
        <cfvo type="num" val="0"/>
        <cfvo type="num" val="12"/>
        <color rgb="005B9BD5"/>
      </dataBar>
    </cfRule>
  </conditionalFormatting>
  <conditionalFormatting sqref="O7:O55">
    <cfRule type="dataBar" priority="2">
      <dataBar showValue="1">
        <cfvo type="num" val="0"/>
        <cfvo type="num" val="12"/>
        <color rgb="005B9BD5"/>
      </dataBar>
    </cfRule>
  </conditionalFormatting>
  <conditionalFormatting sqref="P7:P55">
    <cfRule type="dataBar" priority="3">
      <dataBar showValue="1">
        <cfvo type="num" val="0"/>
        <cfvo type="num" val="12"/>
        <color rgb="005B9BD5"/>
      </dataBar>
    </cfRule>
  </conditionalFormatting>
  <conditionalFormatting sqref="Q7:Q55">
    <cfRule type="dataBar" priority="4">
      <dataBar showValue="1">
        <cfvo type="num" val="0"/>
        <cfvo type="num" val="12"/>
        <color rgb="005B9BD5"/>
      </dataBar>
    </cfRule>
  </conditionalFormatting>
  <conditionalFormatting sqref="R7:R55">
    <cfRule type="dataBar" priority="5">
      <dataBar showValue="1">
        <cfvo type="num" val="0"/>
        <cfvo type="num" val="12"/>
        <color rgb="005B9BD5"/>
      </dataBar>
    </cfRule>
  </conditionalFormatting>
  <conditionalFormatting sqref="S7:S55">
    <cfRule type="dataBar" priority="6">
      <dataBar showValue="1">
        <cfvo type="num" val="0"/>
        <cfvo type="num" val="12"/>
        <color rgb="005B9BD5"/>
      </dataBar>
    </cfRule>
  </conditionalFormatting>
  <conditionalFormatting sqref="M7:M55">
    <cfRule type="dataBar" priority="7">
      <dataBar showValue="1">
        <cfvo type="num" val="0"/>
        <cfvo type="num" val="12"/>
        <color rgb="00A9D08E"/>
      </dataBar>
    </cfRule>
  </conditionalFormatting>
  <hyperlinks>
    <hyperlink xmlns:r="http://schemas.openxmlformats.org/officeDocument/2006/relationships" ref="W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5.xml><?xml version="1.0" encoding="utf-8"?>
<worksheet xmlns="http://schemas.openxmlformats.org/spreadsheetml/2006/main">
  <sheetPr>
    <tabColor rgb="002E75B6"/>
    <outlinePr summaryBelow="1" summaryRight="1"/>
    <pageSetUpPr fitToPage="1"/>
  </sheetPr>
  <dimension ref="A1:J57"/>
  <sheetViews>
    <sheetView showGridLines="0" workbookViewId="0">
      <pane ySplit="7" topLeftCell="A8" activePane="bottomLeft" state="frozen"/>
      <selection pane="bottomLeft" activeCell="A1" sqref="A1"/>
    </sheetView>
  </sheetViews>
  <sheetFormatPr baseColWidth="8" defaultRowHeight="15"/>
  <cols>
    <col width="20" customWidth="1" min="1" max="1"/>
    <col width="16" customWidth="1" min="2" max="2"/>
    <col width="14" customWidth="1" min="3" max="3"/>
    <col width="10" customWidth="1" min="4" max="4"/>
    <col width="10" customWidth="1" min="5" max="5"/>
    <col width="10" customWidth="1" min="6" max="6"/>
    <col width="30" customWidth="1" min="7" max="7"/>
    <col width="30" customWidth="1" min="8" max="8"/>
    <col width="13" customWidth="1" min="9" max="9"/>
    <col hidden="1" width="13" customWidth="1" min="10" max="10"/>
  </cols>
  <sheetData>
    <row r="1" ht="34" customHeight="1">
      <c r="A1" s="1" t="inlineStr">
        <is>
          <t>Person card — one person's placement on one page</t>
        </is>
      </c>
      <c r="I1" s="242" t="inlineStr">
        <is>
          <t>◂ Contents</t>
        </is>
      </c>
    </row>
    <row r="2" ht="46" customHeight="1">
      <c r="A2" s="3" t="inlineStr">
        <is>
          <r>
            <rPr>
              <rFont val="Calibri"/>
              <b val="1"/>
              <i val="1"/>
              <color rgb="00404040"/>
              <sz val="10"/>
            </rPr>
            <t>Sheet 1b · Find a person:</t>
          </r>
          <r>
            <rPr>
              <rFont val="Calibri"/>
              <i val="1"/>
              <color rgb="00404040"/>
              <sz val="10"/>
            </rPr>
            <t xml:space="preserve"> paste or type an Emp ID, or pick Department → Name from the yellow drop-downs — type part of a word in the Search box beside a drop-down to shorten its list. Everything below fills in from sheet 2: the role before and after, the six ratings as bars with weights and points, the score and the level, the rules applied, the justification for each rating and the evidence.</t>
          </r>
        </is>
      </c>
    </row>
    <row r="3">
      <c r="A3" s="4" t="inlineStr">
        <is>
          <t>IRIS · Job Architecture &amp; Job Design · Final v1.12 · October 2026 · Internal — Confidential</t>
        </is>
      </c>
    </row>
    <row r="4"/>
    <row r="5" ht="22" customHeight="1">
      <c r="A5" s="218" t="inlineStr">
        <is>
          <t>Department</t>
        </is>
      </c>
      <c r="B5" s="219" t="inlineStr">
        <is>
          <t>Administration</t>
        </is>
      </c>
      <c r="E5" s="220" t="inlineStr">
        <is>
          <t>Search ▸</t>
        </is>
      </c>
      <c r="F5" s="221" t="n"/>
      <c r="G5" s="222" t="inlineStr">
        <is>
          <t>Showing  ▸</t>
        </is>
      </c>
      <c r="H5" s="223" t="str">
        <f>IFERROR(INDEX('2. Talent Mapping'!$B$7:$B$55,$J$7),"")</f>
        <v>Ashish Pawar</v>
      </c>
      <c r="J5" t="inlineStr">
        <is>
          <t>Corporate</t>
        </is>
      </c>
    </row>
    <row r="6" ht="22" customHeight="1">
      <c r="A6" s="218" t="inlineStr">
        <is>
          <t>Name</t>
        </is>
      </c>
      <c r="B6" s="219" t="inlineStr">
        <is>
          <t>Ashish Pawar</t>
        </is>
      </c>
      <c r="E6" s="220" t="inlineStr">
        <is>
          <t>Search ▸</t>
        </is>
      </c>
      <c r="F6" s="221" t="n"/>
      <c r="G6" s="11" t="n"/>
      <c r="H6" s="224" t="str">
        <f>IF($J$7="","No match — check the Emp ID" &amp; IF(COUNTA(PC_Products)=1," · this file holds one product only","") &amp; ", or clear it and pick a name",IF(LEFT($J$6,3)="No ",$J$6,"Emp ID "&amp;$J$6)&amp;IF($B$7&lt;&gt;""," · by Emp ID"," · by name"))</f>
        <v>Emp ID IRIS2431 · by name</v>
      </c>
      <c r="J6" t="str">
        <f>IF(TRIM($B$7)&lt;&gt;"",TRIM($B$7),IFERROR(INDEX(PC_NKIds,MATCH($J$5&amp;"|"&amp;$B$5&amp;"|"&amp;$B$6,PC_NK,0)),""))</f>
        <v>IRIS2431</v>
      </c>
    </row>
    <row r="7" ht="22" customHeight="1">
      <c r="A7" s="218" t="inlineStr">
        <is>
          <t>Emp ID — paste or type</t>
        </is>
      </c>
      <c r="B7" s="219" t="n"/>
      <c r="J7">
        <f>IFERROR(INDEX(PC_NKRow,MATCH($J$6,PC_NKIds,0)),"")</f>
        <v>2</v>
      </c>
    </row>
    <row r="8">
      <c r="A8" s="11" t="inlineStr">
        <is>
          <t>Paste or type an Emp ID — any person, any product, upper or lower case — or leave it blank and pick Department → Name. To shorten a drop-down, type part of a word in its Search box first. A typed Emp ID wins — clear it to pick by name.</t>
        </is>
      </c>
    </row>
    <row r="9"/>
    <row r="10" ht="20" customHeight="1">
      <c r="A10" s="225" t="inlineStr">
        <is>
          <t>WHO</t>
        </is>
      </c>
    </row>
    <row r="11">
      <c r="A11" s="226" t="inlineStr">
        <is>
          <t>Business</t>
        </is>
      </c>
      <c r="C11" s="209" t="inlineStr">
        <is>
          <t>Corporate</t>
        </is>
      </c>
      <c r="E11" s="226" t="inlineStr">
        <is>
          <t>Department</t>
        </is>
      </c>
      <c r="G11" s="209" t="str">
        <f>IFERROR(INDEX('2. Talent Mapping'!$C$7:$C$55,$J$7),"")</f>
        <v>Administration</v>
      </c>
    </row>
    <row r="12">
      <c r="A12" s="226" t="inlineStr">
        <is>
          <t>Reporting manager</t>
        </is>
      </c>
      <c r="C12" s="209" t="str">
        <f>IFERROR(INDEX('2. Talent Mapping'!$D$7:$D$55,$J$7),"")</f>
        <v>Sujit Acharya</v>
      </c>
      <c r="E12" s="226" t="inlineStr">
        <is>
          <t>Qualification</t>
        </is>
      </c>
      <c r="G12" s="209" t="str">
        <f>IFERROR(INDEX('2. Talent Mapping'!$G$7:$G$55,$J$7),"")</f>
        <v>BA</v>
      </c>
    </row>
    <row r="13">
      <c r="A13" s="226" t="inlineStr">
        <is>
          <t>Total experience · yrs</t>
        </is>
      </c>
      <c r="C13" s="209">
        <f>IFERROR(INDEX('2. Talent Mapping'!$E$7:$E$55,$J$7),"")</f>
        <v>13.2</v>
      </c>
      <c r="E13" s="226" t="inlineStr">
        <is>
          <t>Experience at IRIS · yrs</t>
        </is>
      </c>
      <c r="G13" s="209">
        <f>IFERROR(INDEX('2. Talent Mapping'!$F$7:$F$55,$J$7),"")</f>
        <v>1</v>
      </c>
    </row>
    <row r="14"/>
    <row r="15" ht="20" customHeight="1">
      <c r="A15" s="225" t="inlineStr">
        <is>
          <t>ROLE — BEFORE → AFTER</t>
        </is>
      </c>
    </row>
    <row r="16">
      <c r="A16" s="226" t="inlineStr">
        <is>
          <t>Current designation</t>
        </is>
      </c>
      <c r="C16" s="209" t="str">
        <f>IFERROR(INDEX('2. Talent Mapping'!$H$7:$H$55,$J$7),"")</f>
        <v>Executive Administration</v>
      </c>
      <c r="E16" s="226" t="inlineStr">
        <is>
          <t>Final designation</t>
        </is>
      </c>
      <c r="G16" s="209" t="str">
        <f>IFERROR(INDEX('2. Talent Mapping'!$I$7:$I$55,$J$7),"")</f>
        <v>Senior Administration Executive</v>
      </c>
    </row>
    <row r="17">
      <c r="A17" s="226" t="inlineStr">
        <is>
          <t>Current level</t>
        </is>
      </c>
      <c r="C17" s="209" t="str">
        <f>IFERROR(INDEX('2. Talent Mapping'!$L$7:$L$55,$J$7),"")</f>
        <v>Not in current mapping files</v>
      </c>
      <c r="E17" s="226" t="inlineStr">
        <is>
          <t>FINAL LEVEL</t>
        </is>
      </c>
      <c r="G17" s="209" t="str">
        <f>IFERROR(INDEX('2. Talent Mapping'!$M$7:$M$55,$J$7),"")</f>
        <v>A3</v>
      </c>
    </row>
    <row r="18">
      <c r="A18" s="226" t="inlineStr">
        <is>
          <t>Level title</t>
        </is>
      </c>
      <c r="C18" s="209" t="str">
        <f>IFERROR(INDEX('2. Talent Mapping'!$N$7:$N$55,$J$7),"")</f>
        <v>Senior Associate</v>
      </c>
      <c r="E18" s="226" t="inlineStr">
        <is>
          <t>Band</t>
        </is>
      </c>
      <c r="G18" s="209" t="str">
        <f>IFERROR(INDEX('2. Talent Mapping'!$O$7:$O$55,$J$7),"")</f>
        <v>A</v>
      </c>
    </row>
    <row r="19">
      <c r="A19" s="226" t="inlineStr">
        <is>
          <t>Job family</t>
        </is>
      </c>
      <c r="C19" s="209" t="str">
        <f>IFERROR(INDEX('2. Talent Mapping'!$J$7:$J$55,$J$7),"")</f>
        <v>Administration, Legal &amp; Secretarial</v>
      </c>
      <c r="E19" s="226" t="inlineStr">
        <is>
          <t>Sub-family</t>
        </is>
      </c>
      <c r="G19" s="209" t="str">
        <f>IFERROR(INDEX('2. Talent Mapping'!$K$7:$K$55,$J$7),"")</f>
        <v>Administration &amp; Facilities</v>
      </c>
    </row>
    <row r="20">
      <c r="A20" s="226" t="inlineStr">
        <is>
          <t>Track</t>
        </is>
      </c>
      <c r="C20" s="209" t="str">
        <f>IFERROR(INDEX('2. Talent Mapping'!$P$7:$P$55,$J$7),"")</f>
        <v>IC</v>
      </c>
      <c r="E20" s="226" t="inlineStr">
        <is>
          <t>Change vs current</t>
        </is>
      </c>
      <c r="G20" s="209" t="str">
        <f>IFERROR(INDEX('2. Talent Mapping'!$Q$7:$Q$55,$J$7),"")</f>
        <v>● Newly mapped</v>
      </c>
    </row>
    <row r="21"/>
    <row r="22" ht="210" customHeight="1">
      <c r="A22" s="226" t="inlineStr">
        <is>
          <t>WHAT THEY DO — role, responsibilities &amp; competencies required</t>
        </is>
      </c>
      <c r="B22" s="209" t="str">
        <f>IFERROR(IF(INDEX('2. Talent Mapping'!$R$7:$R$55,$J$7)="","—",INDEX('2. Talent Mapping'!$R$7:$R$55,$J$7)),"")</f>
        <v>WHAT THE ROLE DOES: Manages travel, facilities, office administration and vendors. At A3: varied work; reviews juniors; go-to for a process.
KEY RESPONSIBILITIES: Manages travel, facilities, office administration and vendors; Varied and non-standard work; handles exceptions; A module / process, or work with client or regulatory consequences
DELIVERS: A module / process, or work with client or regulatory consequences
DECIDES ALONE: Technical / QC / client calls on own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4 holders, 1 answered the survey; sub-family 2 answered; catalogue RC-001</v>
      </c>
    </row>
    <row r="23" ht="120" customHeight="1">
      <c r="A23" s="226" t="inlineStr">
        <is>
          <t>BUSINESS IMPACT — from survey and data</t>
        </is>
      </c>
      <c r="B23" s="209" t="str">
        <f>IFERROR(IF(INDEX('2. Talent Mapping'!$S$7:$S$55,$J$7)="","—",INDEX('2. Talent Mapping'!$S$7:$S$55,$J$7)),"")</f>
        <v>What the role answers for: A module / process, or work with client or regulatory consequences.
Accountability &amp; Impact rating: 2 of 12 · A2-level impact.
Manager talent mapping — Latest rating: Not rated · manager · 9-Box Grid placement: Not placed · manager.</v>
      </c>
    </row>
    <row r="24" ht="45" customHeight="1">
      <c r="A24" s="226" t="inlineStr">
        <is>
          <t>BUSINESS IMPACT — from manager / head</t>
        </is>
      </c>
      <c r="B24" s="209" t="str">
        <f>IFERROR(IF(INDEX('2. Talent Mapping'!$T$7:$T$55,$J$7)="","—",INDEX('2. Talent Mapping'!$T$7:$T$55,$J$7)),"")</f>
        <v>—</v>
      </c>
    </row>
    <row r="25" ht="20" customHeight="1">
      <c r="A25" s="225" t="inlineStr">
        <is>
          <t>RECRUITMENT — FIND A REPLACEMENT FOR THIS ROLE</t>
        </is>
      </c>
    </row>
    <row r="26" ht="120" customHeight="1">
      <c r="A26" s="226" t="inlineStr">
        <is>
          <t>What they do · simple</t>
        </is>
      </c>
      <c r="B26" s="209" t="str">
        <f>IFERROR(IF(INDEX('2. Talent Mapping'!$U$7:$U$55,$J$7)="","—",INDEX('2. Talent Mapping'!$U$7:$U$55,$J$7)),"")</f>
        <v>Senior Administration Executive in Administration · Corporate, A3 — IC.
The work: Manages travel, facilities, office administration and vendors.
At this level the role owns varied work; reviews juniors; go-to for a process.
Key responsibilities: Manages travel, facilities, office administration and vendors; Varied and non-standard work; handles exceptions; A module / process, or work with client or regulatory consequences.</v>
      </c>
    </row>
    <row r="27" ht="120" customHeight="1">
      <c r="A27" s="226" t="inlineStr">
        <is>
          <t>Hire equivalent · external market</t>
        </is>
      </c>
      <c r="B27" s="209" t="str">
        <f>IFERROR(IF(INDEX('2. Talent Mapping'!$V$7:$V$55,$J$7)="","—",INDEX('2. Talent Mapping'!$V$7:$V$55,$J$7)),"")</f>
        <v>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v>
      </c>
    </row>
    <row r="28" ht="330" customHeight="1">
      <c r="A28" s="226" t="inlineStr">
        <is>
          <t>Competencies &amp; skill level to hire for</t>
        </is>
      </c>
      <c r="B28" s="209" t="str">
        <f>IFERROR(IF(INDEX('2. Talent Mapping'!$W$7:$W$55,$J$7)="","—",INDEX('2. Talent Mapping'!$W$7:$W$55,$J$7)),"")</f>
        <v>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Administration
★ = must-have for the family. Scale: 1 Awareness · 2 Working · 3 Practitioner · 4 Advanced · 5 Expert.</v>
      </c>
    </row>
    <row r="29" ht="330" customHeight="1">
      <c r="A29" s="226" t="inlineStr">
        <is>
          <t>Interview questions for the perfect fit</t>
        </is>
      </c>
      <c r="B29" s="209" t="str">
        <f>IFERROR(IF(INDEX('2. Talent Mapping'!$X$7:$X$55,$J$7)="","—",INDEX('2. Talent Mapping'!$X$7:$X$55,$J$7)),"")</f>
        <v>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v>
      </c>
    </row>
    <row r="30" ht="20" customHeight="1">
      <c r="A30" s="225" t="inlineStr">
        <is>
          <t>HOW THE LEVEL IS WORKED OUT</t>
        </is>
      </c>
    </row>
    <row r="31">
      <c r="A31" s="227" t="inlineStr">
        <is>
          <t>Factor</t>
        </is>
      </c>
      <c r="B31" s="227" t="inlineStr">
        <is>
          <t>Rating</t>
        </is>
      </c>
      <c r="C31" s="227" t="inlineStr">
        <is>
          <t>Bar</t>
        </is>
      </c>
      <c r="E31" s="227" t="inlineStr">
        <is>
          <t>Weight</t>
        </is>
      </c>
      <c r="F31" s="227" t="inlineStr">
        <is>
          <t>Points</t>
        </is>
      </c>
    </row>
    <row r="32">
      <c r="A32" s="226" t="inlineStr">
        <is>
          <t>Complexity &amp; Expertise</t>
        </is>
      </c>
      <c r="B32" s="228">
        <f>IFERROR(INDEX('2. Talent Mapping'!$Z$7:$Z$55,$J$7),"")</f>
        <v>2</v>
      </c>
      <c r="C32" s="229" t="str">
        <f>IF(B32="","",REPT("█",ROUND(B32,0))&amp;REPT("░",12-ROUND(B32,0)))</f>
        <v>██░░░░░░░░░░</v>
      </c>
      <c r="E32" s="230">
        <f>IFERROR(INDEX('2. Talent Mapping'!$AA$7:$AA$55,$J$7),"")</f>
        <v>0.54</v>
      </c>
      <c r="F32" s="231">
        <f>IF(OR(B32="",E32=""),"",B32*E32)</f>
        <v>1.08</v>
      </c>
    </row>
    <row r="33">
      <c r="A33" s="226" t="inlineStr">
        <is>
          <t>Autonomy &amp; Decision</t>
        </is>
      </c>
      <c r="B33" s="228">
        <f>IFERROR(INDEX('2. Talent Mapping'!$AC$7:$AC$55,$J$7),"")</f>
        <v>2</v>
      </c>
      <c r="C33" s="229" t="str">
        <f>IF(B33="","",REPT("█",ROUND(B33,0))&amp;REPT("░",12-ROUND(B33,0)))</f>
        <v>██░░░░░░░░░░</v>
      </c>
      <c r="E33" s="230">
        <f>IFERROR(INDEX('2. Talent Mapping'!$AD$7:$AD$55,$J$7),"")</f>
        <v>0.16</v>
      </c>
      <c r="F33" s="231">
        <f>IF(OR(B33="",E33=""),"",B33*E33)</f>
        <v>0.32</v>
      </c>
    </row>
    <row r="34">
      <c r="A34" s="226" t="inlineStr">
        <is>
          <t>Accountability &amp; Impact</t>
        </is>
      </c>
      <c r="B34" s="228">
        <f>IFERROR(INDEX('2. Talent Mapping'!$AF$7:$AF$55,$J$7),"")</f>
        <v>2</v>
      </c>
      <c r="C34" s="229" t="str">
        <f>IF(B34="","",REPT("█",ROUND(B34,0))&amp;REPT("░",12-ROUND(B34,0)))</f>
        <v>██░░░░░░░░░░</v>
      </c>
      <c r="E34" s="230">
        <f>IFERROR(INDEX('2. Talent Mapping'!$AG$7:$AG$55,$J$7),"")</f>
        <v>0.09</v>
      </c>
      <c r="F34" s="231">
        <f>IF(OR(B34="",E34=""),"",B34*E34)</f>
        <v>0.18</v>
      </c>
    </row>
    <row r="35">
      <c r="A35" s="226" t="inlineStr">
        <is>
          <t>Leadership &amp; Strategy</t>
        </is>
      </c>
      <c r="B35" s="228">
        <f>IFERROR(INDEX('2. Talent Mapping'!$AI$7:$AI$55,$J$7),"")</f>
        <v>1</v>
      </c>
      <c r="C35" s="229" t="str">
        <f>IF(B35="","",REPT("█",ROUND(B35,0))&amp;REPT("░",12-ROUND(B35,0)))</f>
        <v>█░░░░░░░░░░░</v>
      </c>
      <c r="E35" s="230">
        <f>IFERROR(INDEX('2. Talent Mapping'!$AJ$7:$AJ$55,$J$7),"")</f>
        <v>0</v>
      </c>
      <c r="F35" s="231">
        <f>IF(OR(B35="",E35=""),"",B35*E35)</f>
        <v>0</v>
      </c>
    </row>
    <row r="36">
      <c r="A36" s="226" t="inlineStr">
        <is>
          <t>Experience &amp; Qualification</t>
        </is>
      </c>
      <c r="B36" s="228">
        <f>IFERROR(INDEX('2. Talent Mapping'!$AL$7:$AL$55,$J$7),"")</f>
        <v>7.5</v>
      </c>
      <c r="C36" s="229" t="str">
        <f>IF(B36="","",REPT("█",ROUND(B36,0))&amp;REPT("░",12-ROUND(B36,0)))</f>
        <v>████████░░░░</v>
      </c>
      <c r="E36" s="230">
        <f>IFERROR(INDEX('2. Talent Mapping'!$AM$7:$AM$55,$J$7),"")</f>
        <v>0.15</v>
      </c>
      <c r="F36" s="231">
        <f>IF(OR(B36="",E36=""),"",B36*E36)</f>
        <v>1.125</v>
      </c>
    </row>
    <row r="37">
      <c r="A37" s="226" t="inlineStr">
        <is>
          <t>Business Impact</t>
        </is>
      </c>
      <c r="B37" s="228">
        <f>IFERROR(INDEX('2. Talent Mapping'!$AO$7:$AO$55,$J$7),"")</f>
        <v>2</v>
      </c>
      <c r="C37" s="229" t="str">
        <f>IF(B37="","",REPT("█",ROUND(B37,0))&amp;REPT("░",12-ROUND(B37,0)))</f>
        <v>██░░░░░░░░░░</v>
      </c>
      <c r="E37" s="230">
        <f>IFERROR(INDEX('2. Talent Mapping'!$AP$7:$AP$55,$J$7),"")</f>
        <v>0.06</v>
      </c>
      <c r="F37" s="231">
        <f>IF(OR(B37="",E37=""),"",B37*E37)</f>
        <v>0.12</v>
      </c>
    </row>
    <row r="38">
      <c r="A38" s="232" t="inlineStr">
        <is>
          <t>Weighted score</t>
        </is>
      </c>
      <c r="F38" s="233">
        <f>IF(COUNT(F32:F37)=6,SUM(F32:F37),"Placed by rule")</f>
        <v>2.825</v>
      </c>
    </row>
    <row r="39">
      <c r="A39" s="232" t="inlineStr">
        <is>
          <t>Level the score indicates</t>
        </is>
      </c>
      <c r="F39" s="234" t="str">
        <f>IFERROR(INDEX('2. Talent Mapping'!$AS$7:$AS$55,$J$7),"")</f>
        <v>A3</v>
      </c>
    </row>
    <row r="40">
      <c r="A40" s="232" t="inlineStr">
        <is>
          <t>FINAL LEVEL</t>
        </is>
      </c>
      <c r="F40" s="234" t="str">
        <f>IFERROR(INDEX('2. Talent Mapping'!$M$7:$M$55,$J$7),"")</f>
        <v>A3</v>
      </c>
    </row>
    <row r="41"/>
    <row r="42" ht="60" customHeight="1">
      <c r="A42" s="226" t="inlineStr">
        <is>
          <t>Why these weights</t>
        </is>
      </c>
      <c r="B42" s="209" t="str">
        <f>IFERROR(IF(INDEX('2. Talent Mapping'!$AT$7:$AT$55,$J$7)="","—",INDEX('2. Talent Mapping'!$AT$7:$AT$55,$J$7)),"")</f>
        <v>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v>
      </c>
    </row>
    <row r="43" ht="60" customHeight="1">
      <c r="A43" s="226" t="inlineStr">
        <is>
          <t>Calculation</t>
        </is>
      </c>
      <c r="B43" s="209" t="str">
        <f>IFERROR(IF(INDEX('2. Talent Mapping'!$AU$7:$AU$55,$J$7)="","—",INDEX('2. Talent Mapping'!$AU$7:$AU$55,$J$7)),"")</f>
        <v>At build: Complexity 1.08 + Autonomy 0.32 + Accountability 0.18 + Leadership 0.00 + Experience 1.12 + Business impact 0.12
= 2.83 points → nearest level 3 = A3
Final level: A3 · same as the score</v>
      </c>
    </row>
    <row r="44" ht="60" customHeight="1">
      <c r="A44" s="226" t="inlineStr">
        <is>
          <t>Rules applied — with the numbers</t>
        </is>
      </c>
      <c r="B44" s="209" t="str">
        <f>IFERROR(IF(INDEX('2. Talent Mapping'!$AV$7:$AV$55,$J$7)="","—",INDEX('2. Talent Mapping'!$AV$7:$AV$55,$J$7)),"")</f>
        <v>No rule applied: the score decides.</v>
      </c>
    </row>
    <row r="45" ht="20" customHeight="1">
      <c r="A45" s="225" t="inlineStr">
        <is>
          <t>JUSTIFICATION FOR EACH RATING</t>
        </is>
      </c>
    </row>
    <row r="46" ht="105" customHeight="1">
      <c r="A46" s="226" t="inlineStr">
        <is>
          <t>Complexity &amp; Expertise</t>
        </is>
      </c>
      <c r="B46" s="209" t="str">
        <f>IFERROR(IF(INDEX('2. Talent Mapping'!$AW$7:$AW$55,$J$7)="","—",INDEX('2. Talent Mapping'!$AW$7:$AW$55,$J$7)),"")</f>
        <v>Rated 2 of 12
Start: 2.0 · practitioner title
Evidence reads like A2: own survey / KRA answers · summarised by the rater; not quoted → matches the start
Market: A2 = Standard work of the discipline</v>
      </c>
    </row>
    <row r="47" ht="105" customHeight="1">
      <c r="A47" s="226" t="inlineStr">
        <is>
          <t>Autonomy &amp; Decision</t>
        </is>
      </c>
      <c r="B47" s="209" t="str">
        <f>IFERROR(IF(INDEX('2. Talent Mapping'!$AX$7:$AX$55,$J$7)="","—",INDEX('2. Talent Mapping'!$AX$7:$AX$55,$J$7)),"")</f>
        <v>Rated 2 of 12
Start: 2.0 · practitioner title
Evidence reads like A2: States 'routine decisions' only → matches the start
Market: A2 = Chooses own approach within standards</v>
      </c>
    </row>
    <row r="48" ht="105" customHeight="1">
      <c r="A48" s="226" t="inlineStr">
        <is>
          <t>Accountability &amp; Impact</t>
        </is>
      </c>
      <c r="B48" s="209" t="str">
        <f>IFERROR(IF(INDEX('2. Talent Mapping'!$AY$7:$AY$55,$J$7)="","—",INDEX('2. Talent Mapping'!$AY$7:$AY$55,$J$7)),"")</f>
        <v>Rated 2 of 12
Start: 2.0 · practitioner title
Evidence reads like A2: Own admin support and vendor coordination; errors cause delays or extra cost → matches the start
Market: A2 = Own deliverables · accuracy, TAT</v>
      </c>
    </row>
    <row r="49" ht="105" customHeight="1">
      <c r="A49" s="226" t="inlineStr">
        <is>
          <t>Leadership &amp; Strategy</t>
        </is>
      </c>
      <c r="B49" s="209" t="str">
        <f>IFERROR(IF(INDEX('2. Talent Mapping'!$AZ$7:$AZ$55,$J$7)="","—",INDEX('2. Talent Mapping'!$AZ$7:$AZ$55,$J$7)),"")</f>
        <v>Rated 1 of 12 — not counted: the weight is 0% at this level
Start: 1.0 · individual contributor, so influence only
Evidence reads like A1: No guidance or leadership of others described → matches the start
Team: 0 direct reports · IC
Market: A1 = Not scored in Band A</v>
      </c>
    </row>
    <row r="50" ht="105" customHeight="1">
      <c r="A50" s="226" t="inlineStr">
        <is>
          <t>Experience &amp; Qualification</t>
        </is>
      </c>
      <c r="B50" s="209" t="str">
        <f>IFERROR(IF(INDEX('2. Talent Mapping'!$BA$7:$BA$55,$J$7)="","—",INDEX('2. Talent Mapping'!$BA$7:$BA$55,$J$7)),"")</f>
        <v>Rated 7.5 of 12 · between C1 and C2
Experience: 13.2 yrs total · 12.2 before IRIS + 1.0 at IRIS = 7.5 on the experience scale
Qualification: BA · graduate → no change
Market: A3 roles typically have 2–5 yrs · IRIS guide 2–4</v>
      </c>
    </row>
    <row r="51" ht="105" customHeight="1">
      <c r="A51" s="226" t="inlineStr">
        <is>
          <t>Business Impact</t>
        </is>
      </c>
      <c r="B51" s="209" t="str">
        <f>IFERROR(IF(INDEX('2. Talent Mapping'!$BB$7:$BB$55,$J$7)="","—",INDEX('2. Talent Mapping'!$BB$7:$BB$55,$J$7)),"")</f>
        <v>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v>
      </c>
    </row>
    <row r="52" ht="20" customHeight="1">
      <c r="A52" s="225" t="inlineStr">
        <is>
          <t>EVIDENCE, MARKET AND POINTS TO CONFIRM</t>
        </is>
      </c>
    </row>
    <row r="53" ht="45" customHeight="1">
      <c r="A53" s="226" t="inlineStr">
        <is>
          <t>Data used</t>
        </is>
      </c>
      <c r="B53" s="209" t="str">
        <f>IFERROR(IF(INDEX('2. Talent Mapping'!$BD$7:$BD$55,$J$7)="","—",INDEX('2. Talent Mapping'!$BD$7:$BD$55,$J$7)),"")</f>
        <v>✓ HRIS: 13.2 yrs, BA, 0 direct reports
✓ Survey: 19 of 20 questions answered
✗ KRAs: none on file
✓ Manager mapping: rating, 9-box
✗ Job description: not on file</v>
      </c>
    </row>
    <row r="54" ht="45" customHeight="1">
      <c r="A54" s="226" t="inlineStr">
        <is>
          <t>Market standard</t>
        </is>
      </c>
      <c r="B54" s="209" t="str">
        <f>IFERROR(IF(INDEX('2. Talent Mapping'!$BE$7:$BE$55,$J$7)="","—",INDEX('2. Talent Mapping'!$BE$7:$BE$55,$J$7)),"")</f>
        <v>Market level: P2 · SFIA 3 Apply
Typical title: Admin / Secretarial Executive
At peers: IRIS Vs Competitor Benchmark — corporate services ladder: Senior Executive
Typical experience: 2–5 yrs · IRIS guide 2–4
Standard: ICSI; Companies Act 2013</v>
      </c>
    </row>
    <row r="55" ht="45" customHeight="1">
      <c r="A55" s="226" t="inlineStr">
        <is>
          <t>Confidence</t>
        </is>
      </c>
      <c r="B55" s="209" t="str">
        <f>IFERROR(IF(INDEX('2. Talent Mapping'!$BF$7:$BF$55,$J$7)="","—",INDEX('2. Talent Mapping'!$BF$7:$BF$55,$J$7)),"")</f>
        <v>Medium</v>
      </c>
    </row>
    <row r="56" ht="45" customHeight="1">
      <c r="A56" s="226" t="inlineStr">
        <is>
          <t>Points to confirm</t>
        </is>
      </c>
      <c r="B56" s="209" t="str">
        <f>IFERROR(IF(INDEX('2. Talent Mapping'!$BG$7:$BG$55,$J$7)="","—",INDEX('2. Talent Mapping'!$BG$7:$BG$55,$J$7)),"")</f>
        <v>• 13.2 yrs of experience in a role that reads as Band A work — a career-path question for the manager: can the role be widened · Specialist, B1 or is it correctly sized?</v>
      </c>
    </row>
    <row r="57" ht="45" customHeight="1">
      <c r="A57" s="226" t="inlineStr">
        <is>
          <t>Inputs still needed</t>
        </is>
      </c>
      <c r="B57" s="209" t="str">
        <f>IFERROR(IF(INDEX('2. Talent Mapping'!$BC$7:$BC$55,$J$7)="","—",INDEX('2. Talent Mapping'!$BC$7:$BC$55,$J$7)),"")</f>
        <v>—</v>
      </c>
    </row>
  </sheetData>
  <mergeCells count="73">
    <mergeCell ref="E12:F12"/>
    <mergeCell ref="C34:D34"/>
    <mergeCell ref="G12:H12"/>
    <mergeCell ref="A30:H30"/>
    <mergeCell ref="A15:H15"/>
    <mergeCell ref="C33:D33"/>
    <mergeCell ref="B49:H49"/>
    <mergeCell ref="A11:B11"/>
    <mergeCell ref="G11:H11"/>
    <mergeCell ref="B55:H55"/>
    <mergeCell ref="B24:H24"/>
    <mergeCell ref="A1:H1"/>
    <mergeCell ref="A45:H45"/>
    <mergeCell ref="E17:F17"/>
    <mergeCell ref="B51:H51"/>
    <mergeCell ref="G17:H17"/>
    <mergeCell ref="C35:D35"/>
    <mergeCell ref="C20:D20"/>
    <mergeCell ref="A16:B16"/>
    <mergeCell ref="E20:F20"/>
    <mergeCell ref="B26:H26"/>
    <mergeCell ref="C16:D16"/>
    <mergeCell ref="B50:H50"/>
    <mergeCell ref="A25:H25"/>
    <mergeCell ref="E19:F19"/>
    <mergeCell ref="G19:H19"/>
    <mergeCell ref="B47:H47"/>
    <mergeCell ref="B54:H54"/>
    <mergeCell ref="E13:F13"/>
    <mergeCell ref="G13:H13"/>
    <mergeCell ref="A18:B18"/>
    <mergeCell ref="G18:H18"/>
    <mergeCell ref="C31:D31"/>
    <mergeCell ref="B6:D6"/>
    <mergeCell ref="A12:B12"/>
    <mergeCell ref="B46:H46"/>
    <mergeCell ref="B22:H22"/>
    <mergeCell ref="C12:D12"/>
    <mergeCell ref="A3:H3"/>
    <mergeCell ref="B5:D5"/>
    <mergeCell ref="B27:H27"/>
    <mergeCell ref="B56:H56"/>
    <mergeCell ref="C11:D11"/>
    <mergeCell ref="A2:H2"/>
    <mergeCell ref="B43:H43"/>
    <mergeCell ref="E11:F11"/>
    <mergeCell ref="C36:D36"/>
    <mergeCell ref="B48:H48"/>
    <mergeCell ref="A17:B17"/>
    <mergeCell ref="B42:H42"/>
    <mergeCell ref="B7:D7"/>
    <mergeCell ref="C17:D17"/>
    <mergeCell ref="A8:H8"/>
    <mergeCell ref="B23:H23"/>
    <mergeCell ref="A20:B20"/>
    <mergeCell ref="G20:H20"/>
    <mergeCell ref="C32:D32"/>
    <mergeCell ref="E16:F16"/>
    <mergeCell ref="B57:H57"/>
    <mergeCell ref="G16:H16"/>
    <mergeCell ref="A19:B19"/>
    <mergeCell ref="B44:H44"/>
    <mergeCell ref="B53:H53"/>
    <mergeCell ref="C19:D19"/>
    <mergeCell ref="A10:H10"/>
    <mergeCell ref="C37:D37"/>
    <mergeCell ref="A52:H52"/>
    <mergeCell ref="A13:B13"/>
    <mergeCell ref="C13:D13"/>
    <mergeCell ref="B29:H29"/>
    <mergeCell ref="C18:D18"/>
    <mergeCell ref="E18:F18"/>
    <mergeCell ref="B28:H28"/>
  </mergeCells>
  <dataValidations count="2">
    <dataValidation sqref="B5" showDropDown="0" showInputMessage="0" showErrorMessage="0" allowBlank="1" type="list">
      <formula1>PC_DeptF</formula1>
    </dataValidation>
    <dataValidation sqref="B6" showDropDown="0" showInputMessage="0" showErrorMessage="0" allowBlank="1" type="list">
      <formula1>PC_NameF</formula1>
    </dataValidation>
  </dataValidation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2"/>
</worksheet>
</file>

<file path=xl/worksheets/sheet6.xml><?xml version="1.0" encoding="utf-8"?>
<worksheet xmlns="http://schemas.openxmlformats.org/spreadsheetml/2006/main">
  <sheetPr>
    <tabColor rgb="002E75B6"/>
    <outlinePr summaryBelow="1" summaryRight="1"/>
    <pageSetUpPr fitToPage="1"/>
  </sheetPr>
  <dimension ref="A1:Z93"/>
  <sheetViews>
    <sheetView showGridLines="0" workbookViewId="0">
      <pane xSplit="4" ySplit="16" topLeftCell="E1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2" customWidth="1" min="2" max="2"/>
    <col width="24" customWidth="1" min="3" max="3"/>
    <col width="22" customWidth="1" min="4" max="4"/>
    <col width="8" customWidth="1" min="5" max="5"/>
    <col width="22" customWidth="1" min="6" max="6"/>
    <col width="11" customWidth="1" min="7" max="7"/>
    <col width="11" customWidth="1" min="8" max="8"/>
    <col width="11" customWidth="1" min="9" max="9"/>
    <col width="11" customWidth="1" min="10" max="10"/>
    <col width="11" customWidth="1" min="11" max="11"/>
    <col width="11" customWidth="1" min="12" max="12"/>
    <col width="10" customWidth="1" min="13" max="13"/>
    <col width="9" customWidth="1" min="14" max="14"/>
    <col width="9" customWidth="1" min="15" max="15"/>
    <col width="9" customWidth="1" min="16" max="16"/>
    <col width="9" customWidth="1" min="17" max="17"/>
    <col width="9" customWidth="1" min="18" max="18"/>
    <col width="9" customWidth="1" min="19" max="19"/>
    <col width="34"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34" customHeight="1">
      <c r="A1" s="1" t="inlineStr">
        <is>
          <t>Weightage Matrix — how much each factor counts, by department and role group · editable</t>
        </is>
      </c>
      <c r="U1" s="242" t="inlineStr">
        <is>
          <t>◂ Contents</t>
        </is>
      </c>
    </row>
    <row r="2" ht="30" customHeight="1">
      <c r="A2" s="3" t="inlineStr">
        <is>
          <t>1d · Leaders: change the yellow weights. Sheet 2 recalculates points, score and 'Level the score indicates' at once. Below the matrix: what each factor means, what a weight means, and what each rating means.</t>
        </is>
      </c>
    </row>
    <row r="3">
      <c r="A3" s="4" t="inlineStr">
        <is>
          <t>IRIS · Job Architecture &amp; Job Design · Final v1.12 · October 2026 · Internal — Confidential</t>
        </is>
      </c>
    </row>
    <row r="4"/>
    <row r="5" ht="20" customHeight="1">
      <c r="A5" s="6" t="inlineStr">
        <is>
          <t>SETTINGS — Experience &amp; Qualification weight · kept low by design; change it here for everyone</t>
        </is>
      </c>
    </row>
    <row r="6">
      <c r="A6" s="46" t="inlineStr">
        <is>
          <t>Experience &amp; Qualification weight — Bands A–B</t>
        </is>
      </c>
      <c r="B6" s="235" t="n">
        <v>10</v>
      </c>
      <c r="C6" s="11" t="inlineStr">
        <is>
          <t>Band A, Band B and B+ · Corporate functions rows add 5 for professional qualifications</t>
        </is>
      </c>
    </row>
    <row r="7">
      <c r="A7" s="46" t="inlineStr">
        <is>
          <t>Experience &amp; Qualification weight — Bands C–E</t>
        </is>
      </c>
      <c r="B7" s="235" t="n">
        <v>5</v>
      </c>
      <c r="C7" s="11" t="inlineStr">
        <is>
          <t>Band C, C+ and Bands D–E · Corporate functions rows add 5 for professional qualifications</t>
        </is>
      </c>
    </row>
    <row r="8">
      <c r="A8" s="11" t="inlineStr">
        <is>
          <r>
            <rPr>
              <rFont val="Calibri"/>
              <b val="1"/>
              <i val="1"/>
              <color rgb="00595959"/>
              <sz val="10"/>
            </rPr>
            <t>Why it is low:</t>
          </r>
          <r>
            <rPr>
              <rFont val="Calibri"/>
              <i val="1"/>
              <color rgb="00595959"/>
              <sz val="10"/>
            </rPr>
            <t xml:space="preserve"> Sources: S05, S49 Hay know-how includes experience however acquired · S04, S52 Mercer IPE knowledge · S07 WTW GGS · S58 McKinsey · S59 Deloitte · S60 WEF · S61 EY India, 2026 — skills over tenure. The 10% / 5% level is an IRIS leadership decision.</t>
          </r>
        </is>
      </c>
    </row>
    <row r="9"/>
    <row r="10" ht="20" customHeight="1">
      <c r="A10" s="6" t="inlineStr">
        <is>
          <t>HOW TO USE IT — in four steps</t>
        </is>
      </c>
    </row>
    <row r="11">
      <c r="A11" s="209" t="inlineStr">
        <is>
          <t>1. Find your department and role group in the matrix below · filter the Department column.</t>
        </is>
      </c>
    </row>
    <row r="12">
      <c r="A12" s="209" t="inlineStr">
        <is>
          <t>2. Change the yellow weights in steps of 5%. Each row should add up to about 100% — the 'Used' columns show the weights actually applied.</t>
        </is>
      </c>
    </row>
    <row r="13">
      <c r="A13" s="209" t="inlineStr">
        <is>
          <t>3. Look at sheet 2: points, the score and 'Level the score indicates' have already changed for everyone in that department and role group.</t>
        </is>
      </c>
    </row>
    <row r="14">
      <c r="A14" s="209" t="inlineStr">
        <is>
          <t>4. Write why you changed a row in the last column and send the file back; HR imports it and the final levels follow on the next run.</t>
        </is>
      </c>
    </row>
    <row r="15" ht="20" customHeight="1">
      <c r="A15" s="6" t="inlineStr">
        <is>
          <t>THE MATRIX — one row per department × role group in this file</t>
        </is>
      </c>
    </row>
    <row r="16" ht="32" customHeight="1">
      <c r="A16" s="92" t="inlineStr">
        <is>
          <t>Weight row</t>
        </is>
      </c>
      <c r="B16" s="92" t="inlineStr">
        <is>
          <t>Business</t>
        </is>
      </c>
      <c r="C16" s="92" t="inlineStr">
        <is>
          <t>Department</t>
        </is>
      </c>
      <c r="D16" s="92" t="inlineStr">
        <is>
          <t>Role group</t>
        </is>
      </c>
      <c r="E16" s="92" t="inlineStr">
        <is>
          <t>People</t>
        </is>
      </c>
      <c r="F16" s="92" t="inlineStr">
        <is>
          <t>Main type of work</t>
        </is>
      </c>
      <c r="G16" s="12" t="inlineStr">
        <is>
          <t>How hard %</t>
        </is>
      </c>
      <c r="H16" s="12" t="inlineStr">
        <is>
          <t>Decides alone %</t>
        </is>
      </c>
      <c r="I16" s="12" t="inlineStr">
        <is>
          <t>Answers for %</t>
        </is>
      </c>
      <c r="J16" s="12" t="inlineStr">
        <is>
          <t>Leads %</t>
        </is>
      </c>
      <c r="K16" s="12" t="inlineStr">
        <is>
          <t>Experience %</t>
        </is>
      </c>
      <c r="L16" s="12" t="inlineStr">
        <is>
          <t>Business impact %</t>
        </is>
      </c>
      <c r="M16" s="12" t="inlineStr">
        <is>
          <t>Entered total</t>
        </is>
      </c>
      <c r="N16" s="92" t="inlineStr">
        <is>
          <t>Used · How hard</t>
        </is>
      </c>
      <c r="O16" s="92" t="inlineStr">
        <is>
          <t>Used · Decides alone</t>
        </is>
      </c>
      <c r="P16" s="92" t="inlineStr">
        <is>
          <t>Used · Answers for</t>
        </is>
      </c>
      <c r="Q16" s="92" t="inlineStr">
        <is>
          <t>Used · Leads</t>
        </is>
      </c>
      <c r="R16" s="92" t="inlineStr">
        <is>
          <t>Used · Experience</t>
        </is>
      </c>
      <c r="S16" s="92" t="inlineStr">
        <is>
          <t>Used · Business impact</t>
        </is>
      </c>
      <c r="T16" s="92" t="inlineStr">
        <is>
          <t>Why changed · leader</t>
        </is>
      </c>
      <c r="U16" s="236" t="inlineStr">
        <is>
          <t>Default · How hard</t>
        </is>
      </c>
      <c r="V16" s="236" t="inlineStr">
        <is>
          <t>Default · Decides alone</t>
        </is>
      </c>
      <c r="W16" s="236" t="inlineStr">
        <is>
          <t>Default · Answers for</t>
        </is>
      </c>
      <c r="X16" s="236" t="inlineStr">
        <is>
          <t>Default · Leads</t>
        </is>
      </c>
      <c r="Y16" s="236" t="inlineStr">
        <is>
          <t>Default · Experience</t>
        </is>
      </c>
      <c r="Z16" s="236" t="inlineStr">
        <is>
          <t>Default · Business impact</t>
        </is>
      </c>
    </row>
    <row r="17" ht="30" customHeight="1">
      <c r="A17" s="16" t="inlineStr">
        <is>
          <t>Corporate · Administration · Band A · Early career</t>
        </is>
      </c>
      <c r="B17" s="16" t="inlineStr">
        <is>
          <t>Corporate</t>
        </is>
      </c>
      <c r="C17" s="16" t="inlineStr">
        <is>
          <t>Administration</t>
        </is>
      </c>
      <c r="D17" s="13" t="inlineStr">
        <is>
          <t>Band A · Early career</t>
        </is>
      </c>
      <c r="E17" s="15" t="n">
        <v>4</v>
      </c>
      <c r="F17" s="16" t="inlineStr">
        <is>
          <t>Corporate functions</t>
        </is>
      </c>
      <c r="G17" s="127" t="n">
        <v>54</v>
      </c>
      <c r="H17" s="127" t="n">
        <v>16</v>
      </c>
      <c r="I17" s="127" t="n">
        <v>9</v>
      </c>
      <c r="J17" s="127" t="n">
        <v>0</v>
      </c>
      <c r="K17" s="127">
        <f>WM_EXP_AB+5</f>
        <v>15</v>
      </c>
      <c r="L17" s="127" t="n">
        <v>6</v>
      </c>
      <c r="M17" s="237">
        <f>SUM(G17:L17)</f>
        <v>100</v>
      </c>
      <c r="N17" s="238">
        <f>IF((G17+H17+I17+J17+L17)=0,0,G17*(100-MAX(0,MIN(100,K17)))/(G17+H17+I17+J17+L17))/100</f>
        <v>0.54</v>
      </c>
      <c r="O17" s="238">
        <f>IF((G17+H17+I17+J17+L17)=0,0,H17*(100-MAX(0,MIN(100,K17)))/(G17+H17+I17+J17+L17))/100</f>
        <v>0.16</v>
      </c>
      <c r="P17" s="238">
        <f>IF((G17+H17+I17+J17+L17)=0,0,I17*(100-MAX(0,MIN(100,K17)))/(G17+H17+I17+J17+L17))/100</f>
        <v>0.09</v>
      </c>
      <c r="Q17" s="238">
        <f>IF((G17+H17+I17+J17+L17)=0,0,J17*(100-MAX(0,MIN(100,K17)))/(G17+H17+I17+J17+L17))/100</f>
        <v>0</v>
      </c>
      <c r="R17" s="238">
        <f>MAX(0,MIN(100,K17))/100</f>
        <v>0.15</v>
      </c>
      <c r="S17" s="238">
        <f>IF((G17+H17+I17+J17+L17)=0,0,L17*(100-MAX(0,MIN(100,K17)))/(G17+H17+I17+J17+L17))/100</f>
        <v>0.06</v>
      </c>
      <c r="T17" s="120" t="n"/>
      <c r="U17" s="239" t="n">
        <v>54</v>
      </c>
      <c r="V17" s="239" t="n">
        <v>16</v>
      </c>
      <c r="W17" s="239" t="n">
        <v>9</v>
      </c>
      <c r="X17" s="239" t="n">
        <v>0</v>
      </c>
      <c r="Y17" s="239" t="n">
        <v>15</v>
      </c>
      <c r="Z17" s="239" t="n">
        <v>6</v>
      </c>
    </row>
    <row r="18" ht="30" customHeight="1">
      <c r="A18" s="16" t="inlineStr">
        <is>
          <t>Corporate · Administration · Band B · People Manager</t>
        </is>
      </c>
      <c r="B18" s="16" t="inlineStr">
        <is>
          <t>Corporate</t>
        </is>
      </c>
      <c r="C18" s="16" t="inlineStr">
        <is>
          <t>Administration</t>
        </is>
      </c>
      <c r="D18" s="13" t="inlineStr">
        <is>
          <t>Band B · People Manager</t>
        </is>
      </c>
      <c r="E18" s="15" t="n">
        <v>1</v>
      </c>
      <c r="F18" s="16" t="inlineStr">
        <is>
          <t>Corporate functions</t>
        </is>
      </c>
      <c r="G18" s="127" t="n">
        <v>32</v>
      </c>
      <c r="H18" s="127" t="n">
        <v>18</v>
      </c>
      <c r="I18" s="127" t="n">
        <v>11</v>
      </c>
      <c r="J18" s="127" t="n">
        <v>15</v>
      </c>
      <c r="K18" s="127">
        <f>WM_EXP_AB+5</f>
        <v>15</v>
      </c>
      <c r="L18" s="127" t="n">
        <v>9</v>
      </c>
      <c r="M18" s="237">
        <f>SUM(G18:L18)</f>
        <v>100</v>
      </c>
      <c r="N18" s="238">
        <f>IF((G18+H18+I18+J18+L18)=0,0,G18*(100-MAX(0,MIN(100,K18)))/(G18+H18+I18+J18+L18))/100</f>
        <v>0.32</v>
      </c>
      <c r="O18" s="238">
        <f>IF((G18+H18+I18+J18+L18)=0,0,H18*(100-MAX(0,MIN(100,K18)))/(G18+H18+I18+J18+L18))/100</f>
        <v>0.18</v>
      </c>
      <c r="P18" s="238">
        <f>IF((G18+H18+I18+J18+L18)=0,0,I18*(100-MAX(0,MIN(100,K18)))/(G18+H18+I18+J18+L18))/100</f>
        <v>0.11</v>
      </c>
      <c r="Q18" s="238">
        <f>IF((G18+H18+I18+J18+L18)=0,0,J18*(100-MAX(0,MIN(100,K18)))/(G18+H18+I18+J18+L18))/100</f>
        <v>0.15</v>
      </c>
      <c r="R18" s="238">
        <f>MAX(0,MIN(100,K18))/100</f>
        <v>0.15</v>
      </c>
      <c r="S18" s="238">
        <f>IF((G18+H18+I18+J18+L18)=0,0,L18*(100-MAX(0,MIN(100,K18)))/(G18+H18+I18+J18+L18))/100</f>
        <v>0.09</v>
      </c>
      <c r="T18" s="120" t="n"/>
      <c r="U18" s="239" t="n">
        <v>32</v>
      </c>
      <c r="V18" s="239" t="n">
        <v>18</v>
      </c>
      <c r="W18" s="239" t="n">
        <v>11</v>
      </c>
      <c r="X18" s="239" t="n">
        <v>15</v>
      </c>
      <c r="Y18" s="239" t="n">
        <v>15</v>
      </c>
      <c r="Z18" s="239" t="n">
        <v>9</v>
      </c>
    </row>
    <row r="19" ht="30" customHeight="1">
      <c r="A19" s="16" t="inlineStr">
        <is>
          <t>Corporate · Finance · Band A · Early career</t>
        </is>
      </c>
      <c r="B19" s="16" t="inlineStr">
        <is>
          <t>Corporate</t>
        </is>
      </c>
      <c r="C19" s="16" t="inlineStr">
        <is>
          <t>Finance</t>
        </is>
      </c>
      <c r="D19" s="13" t="inlineStr">
        <is>
          <t>Band A · Early career</t>
        </is>
      </c>
      <c r="E19" s="15" t="n">
        <v>2</v>
      </c>
      <c r="F19" s="16" t="inlineStr">
        <is>
          <t>Corporate functions</t>
        </is>
      </c>
      <c r="G19" s="127" t="n">
        <v>54</v>
      </c>
      <c r="H19" s="127" t="n">
        <v>16</v>
      </c>
      <c r="I19" s="127" t="n">
        <v>9</v>
      </c>
      <c r="J19" s="127" t="n">
        <v>0</v>
      </c>
      <c r="K19" s="127">
        <f>WM_EXP_AB+5</f>
        <v>15</v>
      </c>
      <c r="L19" s="127" t="n">
        <v>6</v>
      </c>
      <c r="M19" s="237">
        <f>SUM(G19:L19)</f>
        <v>100</v>
      </c>
      <c r="N19" s="238">
        <f>IF((G19+H19+I19+J19+L19)=0,0,G19*(100-MAX(0,MIN(100,K19)))/(G19+H19+I19+J19+L19))/100</f>
        <v>0.54</v>
      </c>
      <c r="O19" s="238">
        <f>IF((G19+H19+I19+J19+L19)=0,0,H19*(100-MAX(0,MIN(100,K19)))/(G19+H19+I19+J19+L19))/100</f>
        <v>0.16</v>
      </c>
      <c r="P19" s="238">
        <f>IF((G19+H19+I19+J19+L19)=0,0,I19*(100-MAX(0,MIN(100,K19)))/(G19+H19+I19+J19+L19))/100</f>
        <v>0.09</v>
      </c>
      <c r="Q19" s="238">
        <f>IF((G19+H19+I19+J19+L19)=0,0,J19*(100-MAX(0,MIN(100,K19)))/(G19+H19+I19+J19+L19))/100</f>
        <v>0</v>
      </c>
      <c r="R19" s="238">
        <f>MAX(0,MIN(100,K19))/100</f>
        <v>0.15</v>
      </c>
      <c r="S19" s="238">
        <f>IF((G19+H19+I19+J19+L19)=0,0,L19*(100-MAX(0,MIN(100,K19)))/(G19+H19+I19+J19+L19))/100</f>
        <v>0.06</v>
      </c>
      <c r="T19" s="120" t="n"/>
      <c r="U19" s="239" t="n">
        <v>54</v>
      </c>
      <c r="V19" s="239" t="n">
        <v>16</v>
      </c>
      <c r="W19" s="239" t="n">
        <v>9</v>
      </c>
      <c r="X19" s="239" t="n">
        <v>0</v>
      </c>
      <c r="Y19" s="239" t="n">
        <v>15</v>
      </c>
      <c r="Z19" s="239" t="n">
        <v>6</v>
      </c>
    </row>
    <row r="20" ht="30" customHeight="1">
      <c r="A20" s="16" t="inlineStr">
        <is>
          <t>Corporate · Finance · Band B · Expert / POD Lead</t>
        </is>
      </c>
      <c r="B20" s="16" t="inlineStr">
        <is>
          <t>Corporate</t>
        </is>
      </c>
      <c r="C20" s="16" t="inlineStr">
        <is>
          <t>Finance</t>
        </is>
      </c>
      <c r="D20" s="13" t="inlineStr">
        <is>
          <t>Band B · Expert / POD Lead</t>
        </is>
      </c>
      <c r="E20" s="15" t="n">
        <v>6</v>
      </c>
      <c r="F20" s="16" t="inlineStr">
        <is>
          <t>Corporate functions</t>
        </is>
      </c>
      <c r="G20" s="127" t="n">
        <v>46</v>
      </c>
      <c r="H20" s="127" t="n">
        <v>17</v>
      </c>
      <c r="I20" s="127" t="n">
        <v>10</v>
      </c>
      <c r="J20" s="127" t="n">
        <v>5</v>
      </c>
      <c r="K20" s="127">
        <f>WM_EXP_AB+5</f>
        <v>15</v>
      </c>
      <c r="L20" s="127" t="n">
        <v>7</v>
      </c>
      <c r="M20" s="237">
        <f>SUM(G20:L20)</f>
        <v>100</v>
      </c>
      <c r="N20" s="238">
        <f>IF((G20+H20+I20+J20+L20)=0,0,G20*(100-MAX(0,MIN(100,K20)))/(G20+H20+I20+J20+L20))/100</f>
        <v>0.46</v>
      </c>
      <c r="O20" s="238">
        <f>IF((G20+H20+I20+J20+L20)=0,0,H20*(100-MAX(0,MIN(100,K20)))/(G20+H20+I20+J20+L20))/100</f>
        <v>0.17</v>
      </c>
      <c r="P20" s="238">
        <f>IF((G20+H20+I20+J20+L20)=0,0,I20*(100-MAX(0,MIN(100,K20)))/(G20+H20+I20+J20+L20))/100</f>
        <v>0.1</v>
      </c>
      <c r="Q20" s="238">
        <f>IF((G20+H20+I20+J20+L20)=0,0,J20*(100-MAX(0,MIN(100,K20)))/(G20+H20+I20+J20+L20))/100</f>
        <v>0.05</v>
      </c>
      <c r="R20" s="238">
        <f>MAX(0,MIN(100,K20))/100</f>
        <v>0.15</v>
      </c>
      <c r="S20" s="238">
        <f>IF((G20+H20+I20+J20+L20)=0,0,L20*(100-MAX(0,MIN(100,K20)))/(G20+H20+I20+J20+L20))/100</f>
        <v>0.07</v>
      </c>
      <c r="T20" s="120" t="n"/>
      <c r="U20" s="239" t="n">
        <v>46</v>
      </c>
      <c r="V20" s="239" t="n">
        <v>17</v>
      </c>
      <c r="W20" s="239" t="n">
        <v>10</v>
      </c>
      <c r="X20" s="239" t="n">
        <v>5</v>
      </c>
      <c r="Y20" s="239" t="n">
        <v>15</v>
      </c>
      <c r="Z20" s="239" t="n">
        <v>7</v>
      </c>
    </row>
    <row r="21" ht="30" customHeight="1">
      <c r="A21" s="16" t="inlineStr">
        <is>
          <t>Corporate · Finance · Band C · Head / Manager</t>
        </is>
      </c>
      <c r="B21" s="16" t="inlineStr">
        <is>
          <t>Corporate</t>
        </is>
      </c>
      <c r="C21" s="16" t="inlineStr">
        <is>
          <t>Finance</t>
        </is>
      </c>
      <c r="D21" s="13" t="inlineStr">
        <is>
          <t>Band C · Head / Manager</t>
        </is>
      </c>
      <c r="E21" s="15" t="n">
        <v>2</v>
      </c>
      <c r="F21" s="16" t="inlineStr">
        <is>
          <t>Corporate functions</t>
        </is>
      </c>
      <c r="G21" s="127" t="n">
        <v>38</v>
      </c>
      <c r="H21" s="127" t="n">
        <v>18</v>
      </c>
      <c r="I21" s="127" t="n">
        <v>11</v>
      </c>
      <c r="J21" s="127" t="n">
        <v>15</v>
      </c>
      <c r="K21" s="127">
        <f>WM_EXP_CE+5</f>
        <v>10</v>
      </c>
      <c r="L21" s="127" t="n">
        <v>8</v>
      </c>
      <c r="M21" s="237">
        <f>SUM(G21:L21)</f>
        <v>100</v>
      </c>
      <c r="N21" s="238">
        <f>IF((G21+H21+I21+J21+L21)=0,0,G21*(100-MAX(0,MIN(100,K21)))/(G21+H21+I21+J21+L21))/100</f>
        <v>0.38</v>
      </c>
      <c r="O21" s="238">
        <f>IF((G21+H21+I21+J21+L21)=0,0,H21*(100-MAX(0,MIN(100,K21)))/(G21+H21+I21+J21+L21))/100</f>
        <v>0.18</v>
      </c>
      <c r="P21" s="238">
        <f>IF((G21+H21+I21+J21+L21)=0,0,I21*(100-MAX(0,MIN(100,K21)))/(G21+H21+I21+J21+L21))/100</f>
        <v>0.11</v>
      </c>
      <c r="Q21" s="238">
        <f>IF((G21+H21+I21+J21+L21)=0,0,J21*(100-MAX(0,MIN(100,K21)))/(G21+H21+I21+J21+L21))/100</f>
        <v>0.15</v>
      </c>
      <c r="R21" s="238">
        <f>MAX(0,MIN(100,K21))/100</f>
        <v>0.1</v>
      </c>
      <c r="S21" s="238">
        <f>IF((G21+H21+I21+J21+L21)=0,0,L21*(100-MAX(0,MIN(100,K21)))/(G21+H21+I21+J21+L21))/100</f>
        <v>0.08</v>
      </c>
      <c r="T21" s="120" t="n"/>
      <c r="U21" s="239" t="n">
        <v>38</v>
      </c>
      <c r="V21" s="239" t="n">
        <v>18</v>
      </c>
      <c r="W21" s="239" t="n">
        <v>11</v>
      </c>
      <c r="X21" s="239" t="n">
        <v>15</v>
      </c>
      <c r="Y21" s="239" t="n">
        <v>10</v>
      </c>
      <c r="Z21" s="239" t="n">
        <v>8</v>
      </c>
    </row>
    <row r="22" ht="30" customHeight="1">
      <c r="A22" s="16" t="inlineStr">
        <is>
          <t>Corporate · Finance · Bands D–E · Leadership</t>
        </is>
      </c>
      <c r="B22" s="16" t="inlineStr">
        <is>
          <t>Corporate</t>
        </is>
      </c>
      <c r="C22" s="16" t="inlineStr">
        <is>
          <t>Finance</t>
        </is>
      </c>
      <c r="D22" s="13" t="inlineStr">
        <is>
          <t>Bands D–E · Leadership</t>
        </is>
      </c>
      <c r="E22" s="15" t="n">
        <v>1</v>
      </c>
      <c r="F22" s="16" t="inlineStr">
        <is>
          <t>Corporate functions</t>
        </is>
      </c>
      <c r="G22" s="127" t="n">
        <v>37</v>
      </c>
      <c r="H22" s="127" t="n">
        <v>19</v>
      </c>
      <c r="I22" s="127" t="n">
        <v>11</v>
      </c>
      <c r="J22" s="127" t="n">
        <v>20</v>
      </c>
      <c r="K22" s="127">
        <f>WM_EXP_CE</f>
        <v>5</v>
      </c>
      <c r="L22" s="127" t="n">
        <v>8</v>
      </c>
      <c r="M22" s="237">
        <f>SUM(G22:L22)</f>
        <v>100</v>
      </c>
      <c r="N22" s="238">
        <f>IF((G22+H22+I22+J22+L22)=0,0,G22*(100-MAX(0,MIN(100,K22)))/(G22+H22+I22+J22+L22))/100</f>
        <v>0.37</v>
      </c>
      <c r="O22" s="238">
        <f>IF((G22+H22+I22+J22+L22)=0,0,H22*(100-MAX(0,MIN(100,K22)))/(G22+H22+I22+J22+L22))/100</f>
        <v>0.19</v>
      </c>
      <c r="P22" s="238">
        <f>IF((G22+H22+I22+J22+L22)=0,0,I22*(100-MAX(0,MIN(100,K22)))/(G22+H22+I22+J22+L22))/100</f>
        <v>0.11</v>
      </c>
      <c r="Q22" s="238">
        <f>IF((G22+H22+I22+J22+L22)=0,0,J22*(100-MAX(0,MIN(100,K22)))/(G22+H22+I22+J22+L22))/100</f>
        <v>0.2</v>
      </c>
      <c r="R22" s="238">
        <f>MAX(0,MIN(100,K22))/100</f>
        <v>0.05</v>
      </c>
      <c r="S22" s="238">
        <f>IF((G22+H22+I22+J22+L22)=0,0,L22*(100-MAX(0,MIN(100,K22)))/(G22+H22+I22+J22+L22))/100</f>
        <v>0.08</v>
      </c>
      <c r="T22" s="120" t="n"/>
      <c r="U22" s="239" t="n">
        <v>37</v>
      </c>
      <c r="V22" s="239" t="n">
        <v>19</v>
      </c>
      <c r="W22" s="239" t="n">
        <v>11</v>
      </c>
      <c r="X22" s="239" t="n">
        <v>20</v>
      </c>
      <c r="Y22" s="239" t="n">
        <v>5</v>
      </c>
      <c r="Z22" s="239" t="n">
        <v>8</v>
      </c>
    </row>
    <row r="23" ht="30" customHeight="1">
      <c r="A23" s="16" t="inlineStr">
        <is>
          <t>Corporate · HR · Band A · Early career</t>
        </is>
      </c>
      <c r="B23" s="16" t="inlineStr">
        <is>
          <t>Corporate</t>
        </is>
      </c>
      <c r="C23" s="16" t="inlineStr">
        <is>
          <t>HR</t>
        </is>
      </c>
      <c r="D23" s="13" t="inlineStr">
        <is>
          <t>Band A · Early career</t>
        </is>
      </c>
      <c r="E23" s="15" t="n">
        <v>3</v>
      </c>
      <c r="F23" s="16" t="inlineStr">
        <is>
          <t>Corporate functions</t>
        </is>
      </c>
      <c r="G23" s="127" t="n">
        <v>54</v>
      </c>
      <c r="H23" s="127" t="n">
        <v>16</v>
      </c>
      <c r="I23" s="127" t="n">
        <v>9</v>
      </c>
      <c r="J23" s="127" t="n">
        <v>0</v>
      </c>
      <c r="K23" s="127">
        <f>WM_EXP_AB+5</f>
        <v>15</v>
      </c>
      <c r="L23" s="127" t="n">
        <v>6</v>
      </c>
      <c r="M23" s="237">
        <f>SUM(G23:L23)</f>
        <v>100</v>
      </c>
      <c r="N23" s="238">
        <f>IF((G23+H23+I23+J23+L23)=0,0,G23*(100-MAX(0,MIN(100,K23)))/(G23+H23+I23+J23+L23))/100</f>
        <v>0.54</v>
      </c>
      <c r="O23" s="238">
        <f>IF((G23+H23+I23+J23+L23)=0,0,H23*(100-MAX(0,MIN(100,K23)))/(G23+H23+I23+J23+L23))/100</f>
        <v>0.16</v>
      </c>
      <c r="P23" s="238">
        <f>IF((G23+H23+I23+J23+L23)=0,0,I23*(100-MAX(0,MIN(100,K23)))/(G23+H23+I23+J23+L23))/100</f>
        <v>0.09</v>
      </c>
      <c r="Q23" s="238">
        <f>IF((G23+H23+I23+J23+L23)=0,0,J23*(100-MAX(0,MIN(100,K23)))/(G23+H23+I23+J23+L23))/100</f>
        <v>0</v>
      </c>
      <c r="R23" s="238">
        <f>MAX(0,MIN(100,K23))/100</f>
        <v>0.15</v>
      </c>
      <c r="S23" s="238">
        <f>IF((G23+H23+I23+J23+L23)=0,0,L23*(100-MAX(0,MIN(100,K23)))/(G23+H23+I23+J23+L23))/100</f>
        <v>0.06</v>
      </c>
      <c r="T23" s="120" t="n"/>
      <c r="U23" s="239" t="n">
        <v>54</v>
      </c>
      <c r="V23" s="239" t="n">
        <v>16</v>
      </c>
      <c r="W23" s="239" t="n">
        <v>9</v>
      </c>
      <c r="X23" s="239" t="n">
        <v>0</v>
      </c>
      <c r="Y23" s="239" t="n">
        <v>15</v>
      </c>
      <c r="Z23" s="239" t="n">
        <v>6</v>
      </c>
    </row>
    <row r="24" ht="30" customHeight="1">
      <c r="A24" s="16" t="inlineStr">
        <is>
          <t>Corporate · HR · Band B · Expert / POD Lead</t>
        </is>
      </c>
      <c r="B24" s="16" t="inlineStr">
        <is>
          <t>Corporate</t>
        </is>
      </c>
      <c r="C24" s="16" t="inlineStr">
        <is>
          <t>HR</t>
        </is>
      </c>
      <c r="D24" s="13" t="inlineStr">
        <is>
          <t>Band B · Expert / POD Lead</t>
        </is>
      </c>
      <c r="E24" s="15" t="n">
        <v>4</v>
      </c>
      <c r="F24" s="16" t="inlineStr">
        <is>
          <t>Corporate functions</t>
        </is>
      </c>
      <c r="G24" s="127" t="n">
        <v>46</v>
      </c>
      <c r="H24" s="127" t="n">
        <v>17</v>
      </c>
      <c r="I24" s="127" t="n">
        <v>10</v>
      </c>
      <c r="J24" s="127" t="n">
        <v>5</v>
      </c>
      <c r="K24" s="127">
        <f>WM_EXP_AB+5</f>
        <v>15</v>
      </c>
      <c r="L24" s="127" t="n">
        <v>7</v>
      </c>
      <c r="M24" s="237">
        <f>SUM(G24:L24)</f>
        <v>100</v>
      </c>
      <c r="N24" s="238">
        <f>IF((G24+H24+I24+J24+L24)=0,0,G24*(100-MAX(0,MIN(100,K24)))/(G24+H24+I24+J24+L24))/100</f>
        <v>0.46</v>
      </c>
      <c r="O24" s="238">
        <f>IF((G24+H24+I24+J24+L24)=0,0,H24*(100-MAX(0,MIN(100,K24)))/(G24+H24+I24+J24+L24))/100</f>
        <v>0.17</v>
      </c>
      <c r="P24" s="238">
        <f>IF((G24+H24+I24+J24+L24)=0,0,I24*(100-MAX(0,MIN(100,K24)))/(G24+H24+I24+J24+L24))/100</f>
        <v>0.1</v>
      </c>
      <c r="Q24" s="238">
        <f>IF((G24+H24+I24+J24+L24)=0,0,J24*(100-MAX(0,MIN(100,K24)))/(G24+H24+I24+J24+L24))/100</f>
        <v>0.05</v>
      </c>
      <c r="R24" s="238">
        <f>MAX(0,MIN(100,K24))/100</f>
        <v>0.15</v>
      </c>
      <c r="S24" s="238">
        <f>IF((G24+H24+I24+J24+L24)=0,0,L24*(100-MAX(0,MIN(100,K24)))/(G24+H24+I24+J24+L24))/100</f>
        <v>0.07</v>
      </c>
      <c r="T24" s="120" t="n"/>
      <c r="U24" s="239" t="n">
        <v>46</v>
      </c>
      <c r="V24" s="239" t="n">
        <v>17</v>
      </c>
      <c r="W24" s="239" t="n">
        <v>10</v>
      </c>
      <c r="X24" s="239" t="n">
        <v>5</v>
      </c>
      <c r="Y24" s="239" t="n">
        <v>15</v>
      </c>
      <c r="Z24" s="239" t="n">
        <v>7</v>
      </c>
    </row>
    <row r="25" ht="30" customHeight="1">
      <c r="A25" s="16" t="inlineStr">
        <is>
          <t>Corporate · HR · Bands D–E · Leadership</t>
        </is>
      </c>
      <c r="B25" s="16" t="inlineStr">
        <is>
          <t>Corporate</t>
        </is>
      </c>
      <c r="C25" s="16" t="inlineStr">
        <is>
          <t>HR</t>
        </is>
      </c>
      <c r="D25" s="13" t="inlineStr">
        <is>
          <t>Bands D–E · Leadership</t>
        </is>
      </c>
      <c r="E25" s="15" t="n">
        <v>1</v>
      </c>
      <c r="F25" s="16" t="inlineStr">
        <is>
          <t>Corporate functions</t>
        </is>
      </c>
      <c r="G25" s="127" t="n">
        <v>37</v>
      </c>
      <c r="H25" s="127" t="n">
        <v>19</v>
      </c>
      <c r="I25" s="127" t="n">
        <v>11</v>
      </c>
      <c r="J25" s="127" t="n">
        <v>20</v>
      </c>
      <c r="K25" s="127">
        <f>WM_EXP_CE</f>
        <v>5</v>
      </c>
      <c r="L25" s="127" t="n">
        <v>8</v>
      </c>
      <c r="M25" s="237">
        <f>SUM(G25:L25)</f>
        <v>100</v>
      </c>
      <c r="N25" s="238">
        <f>IF((G25+H25+I25+J25+L25)=0,0,G25*(100-MAX(0,MIN(100,K25)))/(G25+H25+I25+J25+L25))/100</f>
        <v>0.37</v>
      </c>
      <c r="O25" s="238">
        <f>IF((G25+H25+I25+J25+L25)=0,0,H25*(100-MAX(0,MIN(100,K25)))/(G25+H25+I25+J25+L25))/100</f>
        <v>0.19</v>
      </c>
      <c r="P25" s="238">
        <f>IF((G25+H25+I25+J25+L25)=0,0,I25*(100-MAX(0,MIN(100,K25)))/(G25+H25+I25+J25+L25))/100</f>
        <v>0.11</v>
      </c>
      <c r="Q25" s="238">
        <f>IF((G25+H25+I25+J25+L25)=0,0,J25*(100-MAX(0,MIN(100,K25)))/(G25+H25+I25+J25+L25))/100</f>
        <v>0.2</v>
      </c>
      <c r="R25" s="238">
        <f>MAX(0,MIN(100,K25))/100</f>
        <v>0.05</v>
      </c>
      <c r="S25" s="238">
        <f>IF((G25+H25+I25+J25+L25)=0,0,L25*(100-MAX(0,MIN(100,K25)))/(G25+H25+I25+J25+L25))/100</f>
        <v>0.08</v>
      </c>
      <c r="T25" s="120" t="n"/>
      <c r="U25" s="239" t="n">
        <v>37</v>
      </c>
      <c r="V25" s="239" t="n">
        <v>19</v>
      </c>
      <c r="W25" s="239" t="n">
        <v>11</v>
      </c>
      <c r="X25" s="239" t="n">
        <v>20</v>
      </c>
      <c r="Y25" s="239" t="n">
        <v>5</v>
      </c>
      <c r="Z25" s="239" t="n">
        <v>8</v>
      </c>
    </row>
    <row r="26" ht="30" customHeight="1">
      <c r="A26" s="16" t="inlineStr">
        <is>
          <t>Corporate · IT &amp; Infrastructure · Band A · Early career</t>
        </is>
      </c>
      <c r="B26" s="16" t="inlineStr">
        <is>
          <t>Corporate</t>
        </is>
      </c>
      <c r="C26" s="16" t="inlineStr">
        <is>
          <t>IT &amp; Infrastructure</t>
        </is>
      </c>
      <c r="D26" s="13" t="inlineStr">
        <is>
          <t>Band A · Early career</t>
        </is>
      </c>
      <c r="E26" s="15" t="n">
        <v>10</v>
      </c>
      <c r="F26" s="16" t="inlineStr">
        <is>
          <t>Technology &amp; engineering</t>
        </is>
      </c>
      <c r="G26" s="127" t="n">
        <v>64</v>
      </c>
      <c r="H26" s="127" t="n">
        <v>16</v>
      </c>
      <c r="I26" s="127" t="n">
        <v>4</v>
      </c>
      <c r="J26" s="127" t="n">
        <v>0</v>
      </c>
      <c r="K26" s="127">
        <f>WM_EXP_AB</f>
        <v>10</v>
      </c>
      <c r="L26" s="127" t="n">
        <v>6</v>
      </c>
      <c r="M26" s="237">
        <f>SUM(G26:L26)</f>
        <v>100</v>
      </c>
      <c r="N26" s="238">
        <f>IF((G26+H26+I26+J26+L26)=0,0,G26*(100-MAX(0,MIN(100,K26)))/(G26+H26+I26+J26+L26))/100</f>
        <v>0.64</v>
      </c>
      <c r="O26" s="238">
        <f>IF((G26+H26+I26+J26+L26)=0,0,H26*(100-MAX(0,MIN(100,K26)))/(G26+H26+I26+J26+L26))/100</f>
        <v>0.16</v>
      </c>
      <c r="P26" s="238">
        <f>IF((G26+H26+I26+J26+L26)=0,0,I26*(100-MAX(0,MIN(100,K26)))/(G26+H26+I26+J26+L26))/100</f>
        <v>0.04</v>
      </c>
      <c r="Q26" s="238">
        <f>IF((G26+H26+I26+J26+L26)=0,0,J26*(100-MAX(0,MIN(100,K26)))/(G26+H26+I26+J26+L26))/100</f>
        <v>0</v>
      </c>
      <c r="R26" s="238">
        <f>MAX(0,MIN(100,K26))/100</f>
        <v>0.1</v>
      </c>
      <c r="S26" s="238">
        <f>IF((G26+H26+I26+J26+L26)=0,0,L26*(100-MAX(0,MIN(100,K26)))/(G26+H26+I26+J26+L26))/100</f>
        <v>0.06</v>
      </c>
      <c r="T26" s="120" t="n"/>
      <c r="U26" s="239" t="n">
        <v>64</v>
      </c>
      <c r="V26" s="239" t="n">
        <v>16</v>
      </c>
      <c r="W26" s="239" t="n">
        <v>4</v>
      </c>
      <c r="X26" s="239" t="n">
        <v>0</v>
      </c>
      <c r="Y26" s="239" t="n">
        <v>10</v>
      </c>
      <c r="Z26" s="239" t="n">
        <v>6</v>
      </c>
    </row>
    <row r="27" ht="30" customHeight="1">
      <c r="A27" s="16" t="inlineStr">
        <is>
          <t>Corporate · IT &amp; Infrastructure · Band B · Expert / POD Lead</t>
        </is>
      </c>
      <c r="B27" s="16" t="inlineStr">
        <is>
          <t>Corporate</t>
        </is>
      </c>
      <c r="C27" s="16" t="inlineStr">
        <is>
          <t>IT &amp; Infrastructure</t>
        </is>
      </c>
      <c r="D27" s="13" t="inlineStr">
        <is>
          <t>Band B · Expert / POD Lead</t>
        </is>
      </c>
      <c r="E27" s="15" t="n">
        <v>2</v>
      </c>
      <c r="F27" s="16" t="inlineStr">
        <is>
          <t>Technology &amp; engineering</t>
        </is>
      </c>
      <c r="G27" s="127" t="n">
        <v>56</v>
      </c>
      <c r="H27" s="127" t="n">
        <v>17</v>
      </c>
      <c r="I27" s="127" t="n">
        <v>5</v>
      </c>
      <c r="J27" s="127" t="n">
        <v>5</v>
      </c>
      <c r="K27" s="127">
        <f>WM_EXP_AB</f>
        <v>10</v>
      </c>
      <c r="L27" s="127" t="n">
        <v>7</v>
      </c>
      <c r="M27" s="237">
        <f>SUM(G27:L27)</f>
        <v>100</v>
      </c>
      <c r="N27" s="238">
        <f>IF((G27+H27+I27+J27+L27)=0,0,G27*(100-MAX(0,MIN(100,K27)))/(G27+H27+I27+J27+L27))/100</f>
        <v>0.56</v>
      </c>
      <c r="O27" s="238">
        <f>IF((G27+H27+I27+J27+L27)=0,0,H27*(100-MAX(0,MIN(100,K27)))/(G27+H27+I27+J27+L27))/100</f>
        <v>0.17</v>
      </c>
      <c r="P27" s="238">
        <f>IF((G27+H27+I27+J27+L27)=0,0,I27*(100-MAX(0,MIN(100,K27)))/(G27+H27+I27+J27+L27))/100</f>
        <v>0.05</v>
      </c>
      <c r="Q27" s="238">
        <f>IF((G27+H27+I27+J27+L27)=0,0,J27*(100-MAX(0,MIN(100,K27)))/(G27+H27+I27+J27+L27))/100</f>
        <v>0.05</v>
      </c>
      <c r="R27" s="238">
        <f>MAX(0,MIN(100,K27))/100</f>
        <v>0.1</v>
      </c>
      <c r="S27" s="238">
        <f>IF((G27+H27+I27+J27+L27)=0,0,L27*(100-MAX(0,MIN(100,K27)))/(G27+H27+I27+J27+L27))/100</f>
        <v>0.07</v>
      </c>
      <c r="T27" s="120" t="n"/>
      <c r="U27" s="239" t="n">
        <v>56</v>
      </c>
      <c r="V27" s="239" t="n">
        <v>17</v>
      </c>
      <c r="W27" s="239" t="n">
        <v>5</v>
      </c>
      <c r="X27" s="239" t="n">
        <v>5</v>
      </c>
      <c r="Y27" s="239" t="n">
        <v>10</v>
      </c>
      <c r="Z27" s="239" t="n">
        <v>7</v>
      </c>
    </row>
    <row r="28" ht="30" customHeight="1">
      <c r="A28" s="16" t="inlineStr">
        <is>
          <t>Corporate · IT &amp; Infrastructure · Band B · People Manager</t>
        </is>
      </c>
      <c r="B28" s="16" t="inlineStr">
        <is>
          <t>Corporate</t>
        </is>
      </c>
      <c r="C28" s="16" t="inlineStr">
        <is>
          <t>IT &amp; Infrastructure</t>
        </is>
      </c>
      <c r="D28" s="13" t="inlineStr">
        <is>
          <t>Band B · People Manager</t>
        </is>
      </c>
      <c r="E28" s="15" t="n">
        <v>2</v>
      </c>
      <c r="F28" s="16" t="inlineStr">
        <is>
          <t>Technology &amp; engineering</t>
        </is>
      </c>
      <c r="G28" s="127" t="n">
        <v>42</v>
      </c>
      <c r="H28" s="127" t="n">
        <v>18</v>
      </c>
      <c r="I28" s="127" t="n">
        <v>6</v>
      </c>
      <c r="J28" s="127" t="n">
        <v>15</v>
      </c>
      <c r="K28" s="127">
        <f>WM_EXP_AB</f>
        <v>10</v>
      </c>
      <c r="L28" s="127" t="n">
        <v>9</v>
      </c>
      <c r="M28" s="237">
        <f>SUM(G28:L28)</f>
        <v>100</v>
      </c>
      <c r="N28" s="238">
        <f>IF((G28+H28+I28+J28+L28)=0,0,G28*(100-MAX(0,MIN(100,K28)))/(G28+H28+I28+J28+L28))/100</f>
        <v>0.42</v>
      </c>
      <c r="O28" s="238">
        <f>IF((G28+H28+I28+J28+L28)=0,0,H28*(100-MAX(0,MIN(100,K28)))/(G28+H28+I28+J28+L28))/100</f>
        <v>0.18</v>
      </c>
      <c r="P28" s="238">
        <f>IF((G28+H28+I28+J28+L28)=0,0,I28*(100-MAX(0,MIN(100,K28)))/(G28+H28+I28+J28+L28))/100</f>
        <v>0.06</v>
      </c>
      <c r="Q28" s="238">
        <f>IF((G28+H28+I28+J28+L28)=0,0,J28*(100-MAX(0,MIN(100,K28)))/(G28+H28+I28+J28+L28))/100</f>
        <v>0.15</v>
      </c>
      <c r="R28" s="238">
        <f>MAX(0,MIN(100,K28))/100</f>
        <v>0.1</v>
      </c>
      <c r="S28" s="238">
        <f>IF((G28+H28+I28+J28+L28)=0,0,L28*(100-MAX(0,MIN(100,K28)))/(G28+H28+I28+J28+L28))/100</f>
        <v>0.09</v>
      </c>
      <c r="T28" s="120" t="n"/>
      <c r="U28" s="239" t="n">
        <v>42</v>
      </c>
      <c r="V28" s="239" t="n">
        <v>18</v>
      </c>
      <c r="W28" s="239" t="n">
        <v>6</v>
      </c>
      <c r="X28" s="239" t="n">
        <v>15</v>
      </c>
      <c r="Y28" s="239" t="n">
        <v>10</v>
      </c>
      <c r="Z28" s="239" t="n">
        <v>9</v>
      </c>
    </row>
    <row r="29" ht="30" customHeight="1">
      <c r="A29" s="16" t="inlineStr">
        <is>
          <t>Corporate · Management · Bands D–E · Leadership</t>
        </is>
      </c>
      <c r="B29" s="16" t="inlineStr">
        <is>
          <t>Corporate</t>
        </is>
      </c>
      <c r="C29" s="16" t="inlineStr">
        <is>
          <t>Management</t>
        </is>
      </c>
      <c r="D29" s="13" t="inlineStr">
        <is>
          <t>Bands D–E · Leadership</t>
        </is>
      </c>
      <c r="E29" s="15" t="n">
        <v>2</v>
      </c>
      <c r="F29" s="16" t="inlineStr">
        <is>
          <t>General management</t>
        </is>
      </c>
      <c r="G29" s="127" t="n">
        <v>37</v>
      </c>
      <c r="H29" s="127" t="n">
        <v>19</v>
      </c>
      <c r="I29" s="127" t="n">
        <v>11</v>
      </c>
      <c r="J29" s="127" t="n">
        <v>20</v>
      </c>
      <c r="K29" s="127">
        <f>WM_EXP_CE</f>
        <v>5</v>
      </c>
      <c r="L29" s="127" t="n">
        <v>8</v>
      </c>
      <c r="M29" s="237">
        <f>SUM(G29:L29)</f>
        <v>100</v>
      </c>
      <c r="N29" s="238">
        <f>IF((G29+H29+I29+J29+L29)=0,0,G29*(100-MAX(0,MIN(100,K29)))/(G29+H29+I29+J29+L29))/100</f>
        <v>0.37</v>
      </c>
      <c r="O29" s="238">
        <f>IF((G29+H29+I29+J29+L29)=0,0,H29*(100-MAX(0,MIN(100,K29)))/(G29+H29+I29+J29+L29))/100</f>
        <v>0.19</v>
      </c>
      <c r="P29" s="238">
        <f>IF((G29+H29+I29+J29+L29)=0,0,I29*(100-MAX(0,MIN(100,K29)))/(G29+H29+I29+J29+L29))/100</f>
        <v>0.11</v>
      </c>
      <c r="Q29" s="238">
        <f>IF((G29+H29+I29+J29+L29)=0,0,J29*(100-MAX(0,MIN(100,K29)))/(G29+H29+I29+J29+L29))/100</f>
        <v>0.2</v>
      </c>
      <c r="R29" s="238">
        <f>MAX(0,MIN(100,K29))/100</f>
        <v>0.05</v>
      </c>
      <c r="S29" s="238">
        <f>IF((G29+H29+I29+J29+L29)=0,0,L29*(100-MAX(0,MIN(100,K29)))/(G29+H29+I29+J29+L29))/100</f>
        <v>0.08</v>
      </c>
      <c r="T29" s="120" t="n"/>
      <c r="U29" s="239" t="n">
        <v>37</v>
      </c>
      <c r="V29" s="239" t="n">
        <v>19</v>
      </c>
      <c r="W29" s="239" t="n">
        <v>11</v>
      </c>
      <c r="X29" s="239" t="n">
        <v>20</v>
      </c>
      <c r="Y29" s="239" t="n">
        <v>5</v>
      </c>
      <c r="Z29" s="239" t="n">
        <v>8</v>
      </c>
    </row>
    <row r="30" ht="30" customHeight="1">
      <c r="A30" s="16" t="inlineStr">
        <is>
          <t>Corporate · Marketing · Band A · Early career</t>
        </is>
      </c>
      <c r="B30" s="16" t="inlineStr">
        <is>
          <t>Corporate</t>
        </is>
      </c>
      <c r="C30" s="16" t="inlineStr">
        <is>
          <t>Marketing</t>
        </is>
      </c>
      <c r="D30" s="13" t="inlineStr">
        <is>
          <t>Band A · Early career</t>
        </is>
      </c>
      <c r="E30" s="15" t="n">
        <v>2</v>
      </c>
      <c r="F30" s="16" t="inlineStr">
        <is>
          <t>Sales &amp; marketing</t>
        </is>
      </c>
      <c r="G30" s="127" t="n">
        <v>54</v>
      </c>
      <c r="H30" s="127" t="n">
        <v>21</v>
      </c>
      <c r="I30" s="127" t="n">
        <v>4</v>
      </c>
      <c r="J30" s="127" t="n">
        <v>0</v>
      </c>
      <c r="K30" s="127">
        <f>WM_EXP_AB</f>
        <v>10</v>
      </c>
      <c r="L30" s="127" t="n">
        <v>11</v>
      </c>
      <c r="M30" s="237">
        <f>SUM(G30:L30)</f>
        <v>100</v>
      </c>
      <c r="N30" s="238">
        <f>IF((G30+H30+I30+J30+L30)=0,0,G30*(100-MAX(0,MIN(100,K30)))/(G30+H30+I30+J30+L30))/100</f>
        <v>0.54</v>
      </c>
      <c r="O30" s="238">
        <f>IF((G30+H30+I30+J30+L30)=0,0,H30*(100-MAX(0,MIN(100,K30)))/(G30+H30+I30+J30+L30))/100</f>
        <v>0.21</v>
      </c>
      <c r="P30" s="238">
        <f>IF((G30+H30+I30+J30+L30)=0,0,I30*(100-MAX(0,MIN(100,K30)))/(G30+H30+I30+J30+L30))/100</f>
        <v>0.04</v>
      </c>
      <c r="Q30" s="238">
        <f>IF((G30+H30+I30+J30+L30)=0,0,J30*(100-MAX(0,MIN(100,K30)))/(G30+H30+I30+J30+L30))/100</f>
        <v>0</v>
      </c>
      <c r="R30" s="238">
        <f>MAX(0,MIN(100,K30))/100</f>
        <v>0.1</v>
      </c>
      <c r="S30" s="238">
        <f>IF((G30+H30+I30+J30+L30)=0,0,L30*(100-MAX(0,MIN(100,K30)))/(G30+H30+I30+J30+L30))/100</f>
        <v>0.11</v>
      </c>
      <c r="T30" s="120" t="n"/>
      <c r="U30" s="239" t="n">
        <v>54</v>
      </c>
      <c r="V30" s="239" t="n">
        <v>21</v>
      </c>
      <c r="W30" s="239" t="n">
        <v>4</v>
      </c>
      <c r="X30" s="239" t="n">
        <v>0</v>
      </c>
      <c r="Y30" s="239" t="n">
        <v>10</v>
      </c>
      <c r="Z30" s="239" t="n">
        <v>11</v>
      </c>
    </row>
    <row r="31" ht="30" customHeight="1">
      <c r="A31" s="16" t="inlineStr">
        <is>
          <t>Corporate · Marketing · Band B · Expert / POD Lead</t>
        </is>
      </c>
      <c r="B31" s="16" t="inlineStr">
        <is>
          <t>Corporate</t>
        </is>
      </c>
      <c r="C31" s="16" t="inlineStr">
        <is>
          <t>Marketing</t>
        </is>
      </c>
      <c r="D31" s="13" t="inlineStr">
        <is>
          <t>Band B · Expert / POD Lead</t>
        </is>
      </c>
      <c r="E31" s="15" t="n">
        <v>1</v>
      </c>
      <c r="F31" s="16" t="inlineStr">
        <is>
          <t>Sales &amp; marketing</t>
        </is>
      </c>
      <c r="G31" s="127" t="n">
        <v>46</v>
      </c>
      <c r="H31" s="127" t="n">
        <v>22</v>
      </c>
      <c r="I31" s="127" t="n">
        <v>5</v>
      </c>
      <c r="J31" s="127" t="n">
        <v>5</v>
      </c>
      <c r="K31" s="127">
        <f>WM_EXP_AB</f>
        <v>10</v>
      </c>
      <c r="L31" s="127" t="n">
        <v>12</v>
      </c>
      <c r="M31" s="237">
        <f>SUM(G31:L31)</f>
        <v>100</v>
      </c>
      <c r="N31" s="238">
        <f>IF((G31+H31+I31+J31+L31)=0,0,G31*(100-MAX(0,MIN(100,K31)))/(G31+H31+I31+J31+L31))/100</f>
        <v>0.46</v>
      </c>
      <c r="O31" s="238">
        <f>IF((G31+H31+I31+J31+L31)=0,0,H31*(100-MAX(0,MIN(100,K31)))/(G31+H31+I31+J31+L31))/100</f>
        <v>0.22</v>
      </c>
      <c r="P31" s="238">
        <f>IF((G31+H31+I31+J31+L31)=0,0,I31*(100-MAX(0,MIN(100,K31)))/(G31+H31+I31+J31+L31))/100</f>
        <v>0.05</v>
      </c>
      <c r="Q31" s="238">
        <f>IF((G31+H31+I31+J31+L31)=0,0,J31*(100-MAX(0,MIN(100,K31)))/(G31+H31+I31+J31+L31))/100</f>
        <v>0.05</v>
      </c>
      <c r="R31" s="238">
        <f>MAX(0,MIN(100,K31))/100</f>
        <v>0.1</v>
      </c>
      <c r="S31" s="238">
        <f>IF((G31+H31+I31+J31+L31)=0,0,L31*(100-MAX(0,MIN(100,K31)))/(G31+H31+I31+J31+L31))/100</f>
        <v>0.12</v>
      </c>
      <c r="T31" s="120" t="n"/>
      <c r="U31" s="239" t="n">
        <v>46</v>
      </c>
      <c r="V31" s="239" t="n">
        <v>22</v>
      </c>
      <c r="W31" s="239" t="n">
        <v>5</v>
      </c>
      <c r="X31" s="239" t="n">
        <v>5</v>
      </c>
      <c r="Y31" s="239" t="n">
        <v>10</v>
      </c>
      <c r="Z31" s="239" t="n">
        <v>12</v>
      </c>
    </row>
    <row r="32" ht="30" customHeight="1">
      <c r="A32" s="16" t="inlineStr">
        <is>
          <t>Corporate · Secretarial &amp; Legal · Band A · Early career</t>
        </is>
      </c>
      <c r="B32" s="16" t="inlineStr">
        <is>
          <t>Corporate</t>
        </is>
      </c>
      <c r="C32" s="16" t="inlineStr">
        <is>
          <t>Secretarial &amp; Legal</t>
        </is>
      </c>
      <c r="D32" s="13" t="inlineStr">
        <is>
          <t>Band A · Early career</t>
        </is>
      </c>
      <c r="E32" s="15" t="n">
        <v>1</v>
      </c>
      <c r="F32" s="16" t="inlineStr">
        <is>
          <t>Corporate functions</t>
        </is>
      </c>
      <c r="G32" s="127" t="n">
        <v>54</v>
      </c>
      <c r="H32" s="127" t="n">
        <v>16</v>
      </c>
      <c r="I32" s="127" t="n">
        <v>9</v>
      </c>
      <c r="J32" s="127" t="n">
        <v>0</v>
      </c>
      <c r="K32" s="127">
        <f>WM_EXP_AB+5</f>
        <v>15</v>
      </c>
      <c r="L32" s="127" t="n">
        <v>6</v>
      </c>
      <c r="M32" s="237">
        <f>SUM(G32:L32)</f>
        <v>100</v>
      </c>
      <c r="N32" s="238">
        <f>IF((G32+H32+I32+J32+L32)=0,0,G32*(100-MAX(0,MIN(100,K32)))/(G32+H32+I32+J32+L32))/100</f>
        <v>0.54</v>
      </c>
      <c r="O32" s="238">
        <f>IF((G32+H32+I32+J32+L32)=0,0,H32*(100-MAX(0,MIN(100,K32)))/(G32+H32+I32+J32+L32))/100</f>
        <v>0.16</v>
      </c>
      <c r="P32" s="238">
        <f>IF((G32+H32+I32+J32+L32)=0,0,I32*(100-MAX(0,MIN(100,K32)))/(G32+H32+I32+J32+L32))/100</f>
        <v>0.09</v>
      </c>
      <c r="Q32" s="238">
        <f>IF((G32+H32+I32+J32+L32)=0,0,J32*(100-MAX(0,MIN(100,K32)))/(G32+H32+I32+J32+L32))/100</f>
        <v>0</v>
      </c>
      <c r="R32" s="238">
        <f>MAX(0,MIN(100,K32))/100</f>
        <v>0.15</v>
      </c>
      <c r="S32" s="238">
        <f>IF((G32+H32+I32+J32+L32)=0,0,L32*(100-MAX(0,MIN(100,K32)))/(G32+H32+I32+J32+L32))/100</f>
        <v>0.06</v>
      </c>
      <c r="T32" s="120" t="n"/>
      <c r="U32" s="239" t="n">
        <v>54</v>
      </c>
      <c r="V32" s="239" t="n">
        <v>16</v>
      </c>
      <c r="W32" s="239" t="n">
        <v>9</v>
      </c>
      <c r="X32" s="239" t="n">
        <v>0</v>
      </c>
      <c r="Y32" s="239" t="n">
        <v>15</v>
      </c>
      <c r="Z32" s="239" t="n">
        <v>6</v>
      </c>
    </row>
    <row r="33" ht="30" customHeight="1">
      <c r="A33" s="16" t="inlineStr">
        <is>
          <t>Corporate · Secretarial &amp; Legal · Band C · Principal expert</t>
        </is>
      </c>
      <c r="B33" s="16" t="inlineStr">
        <is>
          <t>Corporate</t>
        </is>
      </c>
      <c r="C33" s="16" t="inlineStr">
        <is>
          <t>Secretarial &amp; Legal</t>
        </is>
      </c>
      <c r="D33" s="13" t="inlineStr">
        <is>
          <t>Band C · Principal expert</t>
        </is>
      </c>
      <c r="E33" s="15" t="n">
        <v>1</v>
      </c>
      <c r="F33" s="16" t="inlineStr">
        <is>
          <t>Corporate functions</t>
        </is>
      </c>
      <c r="G33" s="127" t="n">
        <v>49</v>
      </c>
      <c r="H33" s="127" t="n">
        <v>18</v>
      </c>
      <c r="I33" s="127" t="n">
        <v>10</v>
      </c>
      <c r="J33" s="127" t="n">
        <v>5</v>
      </c>
      <c r="K33" s="127">
        <f>WM_EXP_CE+5</f>
        <v>10</v>
      </c>
      <c r="L33" s="127" t="n">
        <v>8</v>
      </c>
      <c r="M33" s="237">
        <f>SUM(G33:L33)</f>
        <v>100</v>
      </c>
      <c r="N33" s="238">
        <f>IF((G33+H33+I33+J33+L33)=0,0,G33*(100-MAX(0,MIN(100,K33)))/(G33+H33+I33+J33+L33))/100</f>
        <v>0.49</v>
      </c>
      <c r="O33" s="238">
        <f>IF((G33+H33+I33+J33+L33)=0,0,H33*(100-MAX(0,MIN(100,K33)))/(G33+H33+I33+J33+L33))/100</f>
        <v>0.18</v>
      </c>
      <c r="P33" s="238">
        <f>IF((G33+H33+I33+J33+L33)=0,0,I33*(100-MAX(0,MIN(100,K33)))/(G33+H33+I33+J33+L33))/100</f>
        <v>0.1</v>
      </c>
      <c r="Q33" s="238">
        <f>IF((G33+H33+I33+J33+L33)=0,0,J33*(100-MAX(0,MIN(100,K33)))/(G33+H33+I33+J33+L33))/100</f>
        <v>0.05</v>
      </c>
      <c r="R33" s="238">
        <f>MAX(0,MIN(100,K33))/100</f>
        <v>0.1</v>
      </c>
      <c r="S33" s="238">
        <f>IF((G33+H33+I33+J33+L33)=0,0,L33*(100-MAX(0,MIN(100,K33)))/(G33+H33+I33+J33+L33))/100</f>
        <v>0.08</v>
      </c>
      <c r="T33" s="120" t="n"/>
      <c r="U33" s="239" t="n">
        <v>49</v>
      </c>
      <c r="V33" s="239" t="n">
        <v>18</v>
      </c>
      <c r="W33" s="239" t="n">
        <v>10</v>
      </c>
      <c r="X33" s="239" t="n">
        <v>5</v>
      </c>
      <c r="Y33" s="239" t="n">
        <v>10</v>
      </c>
      <c r="Z33" s="239" t="n">
        <v>8</v>
      </c>
    </row>
    <row r="34" ht="30" customHeight="1">
      <c r="A34" s="16" t="inlineStr">
        <is>
          <t>Corporate · Technology · Band B · Expert / POD Lead</t>
        </is>
      </c>
      <c r="B34" s="16" t="inlineStr">
        <is>
          <t>Corporate</t>
        </is>
      </c>
      <c r="C34" s="16" t="inlineStr">
        <is>
          <t>Technology</t>
        </is>
      </c>
      <c r="D34" s="13" t="inlineStr">
        <is>
          <t>Band B · Expert / POD Lead</t>
        </is>
      </c>
      <c r="E34" s="15" t="n">
        <v>1</v>
      </c>
      <c r="F34" s="16" t="inlineStr">
        <is>
          <t>Technology &amp; engineering</t>
        </is>
      </c>
      <c r="G34" s="127" t="n">
        <v>56</v>
      </c>
      <c r="H34" s="127" t="n">
        <v>17</v>
      </c>
      <c r="I34" s="127" t="n">
        <v>5</v>
      </c>
      <c r="J34" s="127" t="n">
        <v>5</v>
      </c>
      <c r="K34" s="127">
        <f>WM_EXP_AB</f>
        <v>10</v>
      </c>
      <c r="L34" s="127" t="n">
        <v>7</v>
      </c>
      <c r="M34" s="237">
        <f>SUM(G34:L34)</f>
        <v>100</v>
      </c>
      <c r="N34" s="238">
        <f>IF((G34+H34+I34+J34+L34)=0,0,G34*(100-MAX(0,MIN(100,K34)))/(G34+H34+I34+J34+L34))/100</f>
        <v>0.56</v>
      </c>
      <c r="O34" s="238">
        <f>IF((G34+H34+I34+J34+L34)=0,0,H34*(100-MAX(0,MIN(100,K34)))/(G34+H34+I34+J34+L34))/100</f>
        <v>0.17</v>
      </c>
      <c r="P34" s="238">
        <f>IF((G34+H34+I34+J34+L34)=0,0,I34*(100-MAX(0,MIN(100,K34)))/(G34+H34+I34+J34+L34))/100</f>
        <v>0.05</v>
      </c>
      <c r="Q34" s="238">
        <f>IF((G34+H34+I34+J34+L34)=0,0,J34*(100-MAX(0,MIN(100,K34)))/(G34+H34+I34+J34+L34))/100</f>
        <v>0.05</v>
      </c>
      <c r="R34" s="238">
        <f>MAX(0,MIN(100,K34))/100</f>
        <v>0.1</v>
      </c>
      <c r="S34" s="238">
        <f>IF((G34+H34+I34+J34+L34)=0,0,L34*(100-MAX(0,MIN(100,K34)))/(G34+H34+I34+J34+L34))/100</f>
        <v>0.07</v>
      </c>
      <c r="T34" s="120" t="n"/>
      <c r="U34" s="239" t="n">
        <v>56</v>
      </c>
      <c r="V34" s="239" t="n">
        <v>17</v>
      </c>
      <c r="W34" s="239" t="n">
        <v>5</v>
      </c>
      <c r="X34" s="239" t="n">
        <v>5</v>
      </c>
      <c r="Y34" s="239" t="n">
        <v>10</v>
      </c>
      <c r="Z34" s="239" t="n">
        <v>7</v>
      </c>
    </row>
    <row r="35" ht="30" customHeight="1">
      <c r="A35" s="16" t="inlineStr">
        <is>
          <t>Corporate · Technology · Bands D–E · Leadership</t>
        </is>
      </c>
      <c r="B35" s="16" t="inlineStr">
        <is>
          <t>Corporate</t>
        </is>
      </c>
      <c r="C35" s="16" t="inlineStr">
        <is>
          <t>Technology</t>
        </is>
      </c>
      <c r="D35" s="13" t="inlineStr">
        <is>
          <t>Bands D–E · Leadership</t>
        </is>
      </c>
      <c r="E35" s="15" t="n">
        <v>1</v>
      </c>
      <c r="F35" s="16" t="inlineStr">
        <is>
          <t>Technology &amp; engineering</t>
        </is>
      </c>
      <c r="G35" s="127" t="n">
        <v>37</v>
      </c>
      <c r="H35" s="127" t="n">
        <v>19</v>
      </c>
      <c r="I35" s="127" t="n">
        <v>11</v>
      </c>
      <c r="J35" s="127" t="n">
        <v>20</v>
      </c>
      <c r="K35" s="127">
        <f>WM_EXP_CE</f>
        <v>5</v>
      </c>
      <c r="L35" s="127" t="n">
        <v>8</v>
      </c>
      <c r="M35" s="237">
        <f>SUM(G35:L35)</f>
        <v>100</v>
      </c>
      <c r="N35" s="238">
        <f>IF((G35+H35+I35+J35+L35)=0,0,G35*(100-MAX(0,MIN(100,K35)))/(G35+H35+I35+J35+L35))/100</f>
        <v>0.37</v>
      </c>
      <c r="O35" s="238">
        <f>IF((G35+H35+I35+J35+L35)=0,0,H35*(100-MAX(0,MIN(100,K35)))/(G35+H35+I35+J35+L35))/100</f>
        <v>0.19</v>
      </c>
      <c r="P35" s="238">
        <f>IF((G35+H35+I35+J35+L35)=0,0,I35*(100-MAX(0,MIN(100,K35)))/(G35+H35+I35+J35+L35))/100</f>
        <v>0.11</v>
      </c>
      <c r="Q35" s="238">
        <f>IF((G35+H35+I35+J35+L35)=0,0,J35*(100-MAX(0,MIN(100,K35)))/(G35+H35+I35+J35+L35))/100</f>
        <v>0.2</v>
      </c>
      <c r="R35" s="238">
        <f>MAX(0,MIN(100,K35))/100</f>
        <v>0.05</v>
      </c>
      <c r="S35" s="238">
        <f>IF((G35+H35+I35+J35+L35)=0,0,L35*(100-MAX(0,MIN(100,K35)))/(G35+H35+I35+J35+L35))/100</f>
        <v>0.08</v>
      </c>
      <c r="T35" s="120" t="n"/>
      <c r="U35" s="239" t="n">
        <v>37</v>
      </c>
      <c r="V35" s="239" t="n">
        <v>19</v>
      </c>
      <c r="W35" s="239" t="n">
        <v>11</v>
      </c>
      <c r="X35" s="239" t="n">
        <v>20</v>
      </c>
      <c r="Y35" s="239" t="n">
        <v>5</v>
      </c>
      <c r="Z35" s="239" t="n">
        <v>8</v>
      </c>
    </row>
    <row r="36" ht="15" customHeight="1"/>
    <row r="37" ht="20" customHeight="1">
      <c r="A37" s="6" t="inlineStr">
        <is>
          <t>WHAT EACH FACTOR MEANS — and when to give it more weight</t>
        </is>
      </c>
    </row>
    <row r="38" ht="15" customHeight="1">
      <c r="A38" s="12" t="inlineStr">
        <is>
          <t>Factor</t>
        </is>
      </c>
      <c r="B38" s="211" t="n"/>
      <c r="C38" s="12" t="inlineStr">
        <is>
          <t>What it measures</t>
        </is>
      </c>
      <c r="D38" s="212" t="n"/>
      <c r="E38" s="212" t="n"/>
      <c r="F38" s="212" t="n"/>
      <c r="G38" s="212" t="n"/>
      <c r="H38" s="211" t="n"/>
      <c r="I38" s="12" t="inlineStr">
        <is>
          <t>Give it more weight when…</t>
        </is>
      </c>
      <c r="J38" s="212" t="n"/>
      <c r="K38" s="212" t="n"/>
      <c r="L38" s="212" t="n"/>
      <c r="M38" s="212" t="n"/>
      <c r="N38" s="212" t="n"/>
      <c r="O38" s="212" t="n"/>
      <c r="P38" s="212" t="n"/>
      <c r="Q38" s="212" t="n"/>
      <c r="R38" s="212" t="n"/>
      <c r="S38" s="212" t="n"/>
      <c r="T38" s="211" t="n"/>
    </row>
    <row r="39" ht="15" customHeight="1">
      <c r="A39" s="13" t="inlineStr">
        <is>
          <t>Complexity &amp; Expertise</t>
        </is>
      </c>
      <c r="B39" s="211" t="n"/>
      <c r="C39" s="16" t="inlineStr">
        <is>
          <t>How hard and how specialised the work is</t>
        </is>
      </c>
      <c r="D39" s="212" t="n"/>
      <c r="E39" s="212" t="n"/>
      <c r="F39" s="212" t="n"/>
      <c r="G39" s="212" t="n"/>
      <c r="H39" s="211" t="n"/>
      <c r="I39" s="16" t="inlineStr">
        <is>
          <r>
            <rPr>
              <rFont val="Calibri"/>
              <b val="1"/>
              <sz val="10"/>
            </rPr>
            <t>The job's value is deep expertise:</t>
          </r>
          <r>
            <rPr>
              <rFont val="Calibri"/>
              <sz val="10"/>
            </rPr>
            <t xml:space="preserve"> architecture, actuarial, taxonomy design</t>
          </r>
        </is>
      </c>
      <c r="J39" s="212" t="n"/>
      <c r="K39" s="212" t="n"/>
      <c r="L39" s="212" t="n"/>
      <c r="M39" s="212" t="n"/>
      <c r="N39" s="212" t="n"/>
      <c r="O39" s="212" t="n"/>
      <c r="P39" s="212" t="n"/>
      <c r="Q39" s="212" t="n"/>
      <c r="R39" s="212" t="n"/>
      <c r="S39" s="212" t="n"/>
      <c r="T39" s="211" t="n"/>
    </row>
    <row r="40" ht="15" customHeight="1">
      <c r="A40" s="13" t="inlineStr">
        <is>
          <t>Autonomy &amp; Decision</t>
        </is>
      </c>
      <c r="B40" s="211" t="n"/>
      <c r="C40" s="16" t="inlineStr">
        <is>
          <t>What the person decides without asking</t>
        </is>
      </c>
      <c r="D40" s="212" t="n"/>
      <c r="E40" s="212" t="n"/>
      <c r="F40" s="212" t="n"/>
      <c r="G40" s="212" t="n"/>
      <c r="H40" s="211" t="n"/>
      <c r="I40" s="16" t="inlineStr">
        <is>
          <r>
            <rPr>
              <rFont val="Calibri"/>
              <b val="1"/>
              <sz val="10"/>
            </rPr>
            <t>The job is trusted to act alone:</t>
          </r>
          <r>
            <rPr>
              <rFont val="Calibri"/>
              <sz val="10"/>
            </rPr>
            <t xml:space="preserve"> product calls, deals, client decisions</t>
          </r>
        </is>
      </c>
      <c r="J40" s="212" t="n"/>
      <c r="K40" s="212" t="n"/>
      <c r="L40" s="212" t="n"/>
      <c r="M40" s="212" t="n"/>
      <c r="N40" s="212" t="n"/>
      <c r="O40" s="212" t="n"/>
      <c r="P40" s="212" t="n"/>
      <c r="Q40" s="212" t="n"/>
      <c r="R40" s="212" t="n"/>
      <c r="S40" s="212" t="n"/>
      <c r="T40" s="211" t="n"/>
    </row>
    <row r="41" ht="15" customHeight="1">
      <c r="A41" s="13" t="inlineStr">
        <is>
          <t>Accountability &amp; Impact</t>
        </is>
      </c>
      <c r="B41" s="211" t="n"/>
      <c r="C41" s="16" t="inlineStr">
        <is>
          <t>What the job answers for — its scope</t>
        </is>
      </c>
      <c r="D41" s="212" t="n"/>
      <c r="E41" s="212" t="n"/>
      <c r="F41" s="212" t="n"/>
      <c r="G41" s="212" t="n"/>
      <c r="H41" s="211" t="n"/>
      <c r="I41" s="16" t="inlineStr">
        <is>
          <t>Results, risk or quality of an area rest on this job</t>
        </is>
      </c>
      <c r="J41" s="212" t="n"/>
      <c r="K41" s="212" t="n"/>
      <c r="L41" s="212" t="n"/>
      <c r="M41" s="212" t="n"/>
      <c r="N41" s="212" t="n"/>
      <c r="O41" s="212" t="n"/>
      <c r="P41" s="212" t="n"/>
      <c r="Q41" s="212" t="n"/>
      <c r="R41" s="212" t="n"/>
      <c r="S41" s="212" t="n"/>
      <c r="T41" s="211" t="n"/>
    </row>
    <row r="42" ht="15" customHeight="1">
      <c r="A42" s="13" t="inlineStr">
        <is>
          <t>Leadership &amp; Strategy</t>
        </is>
      </c>
      <c r="B42" s="211" t="n"/>
      <c r="C42" s="16" t="inlineStr">
        <is>
          <t>Leading people or setting direction</t>
        </is>
      </c>
      <c r="D42" s="212" t="n"/>
      <c r="E42" s="212" t="n"/>
      <c r="F42" s="212" t="n"/>
      <c r="G42" s="212" t="n"/>
      <c r="H42" s="211" t="n"/>
      <c r="I42" s="16" t="inlineStr">
        <is>
          <t>The job's results come through a team or through direction it sets</t>
        </is>
      </c>
      <c r="J42" s="212" t="n"/>
      <c r="K42" s="212" t="n"/>
      <c r="L42" s="212" t="n"/>
      <c r="M42" s="212" t="n"/>
      <c r="N42" s="212" t="n"/>
      <c r="O42" s="212" t="n"/>
      <c r="P42" s="212" t="n"/>
      <c r="Q42" s="212" t="n"/>
      <c r="R42" s="212" t="n"/>
      <c r="S42" s="212" t="n"/>
      <c r="T42" s="211" t="n"/>
    </row>
    <row r="43" ht="15" customHeight="1">
      <c r="A43" s="13" t="inlineStr">
        <is>
          <t>Experience &amp; Qualification</t>
        </is>
      </c>
      <c r="B43" s="211" t="n"/>
      <c r="C43" s="16" t="inlineStr">
        <is>
          <t>Years in the field and qualifications</t>
        </is>
      </c>
      <c r="D43" s="212" t="n"/>
      <c r="E43" s="212" t="n"/>
      <c r="F43" s="212" t="n"/>
      <c r="G43" s="212" t="n"/>
      <c r="H43" s="211" t="n"/>
      <c r="I43" s="16" t="inlineStr">
        <is>
          <t>A licence or long experience is itself the requirement — kept low by design</t>
        </is>
      </c>
      <c r="J43" s="212" t="n"/>
      <c r="K43" s="212" t="n"/>
      <c r="L43" s="212" t="n"/>
      <c r="M43" s="212" t="n"/>
      <c r="N43" s="212" t="n"/>
      <c r="O43" s="212" t="n"/>
      <c r="P43" s="212" t="n"/>
      <c r="Q43" s="212" t="n"/>
      <c r="R43" s="212" t="n"/>
      <c r="S43" s="212" t="n"/>
      <c r="T43" s="211" t="n"/>
    </row>
    <row r="44" ht="15" customHeight="1">
      <c r="A44" s="13" t="inlineStr">
        <is>
          <t>Business Impact</t>
        </is>
      </c>
      <c r="B44" s="211" t="n"/>
      <c r="C44" s="16" t="inlineStr">
        <is>
          <t>The difference the job makes to revenue, clients, compliance or cost</t>
        </is>
      </c>
      <c r="D44" s="212" t="n"/>
      <c r="E44" s="212" t="n"/>
      <c r="F44" s="212" t="n"/>
      <c r="G44" s="212" t="n"/>
      <c r="H44" s="211" t="n"/>
      <c r="I44" s="16" t="inlineStr">
        <is>
          <r>
            <rPr>
              <rFont val="Calibri"/>
              <b val="1"/>
              <sz val="10"/>
            </rPr>
            <t>Results are visible in business numbers:</t>
          </r>
          <r>
            <rPr>
              <rFont val="Calibri"/>
              <sz val="10"/>
            </rPr>
            <t xml:space="preserve"> sales, client retention, filings, savings</t>
          </r>
        </is>
      </c>
      <c r="J44" s="212" t="n"/>
      <c r="K44" s="212" t="n"/>
      <c r="L44" s="212" t="n"/>
      <c r="M44" s="212" t="n"/>
      <c r="N44" s="212" t="n"/>
      <c r="O44" s="212" t="n"/>
      <c r="P44" s="212" t="n"/>
      <c r="Q44" s="212" t="n"/>
      <c r="R44" s="212" t="n"/>
      <c r="S44" s="212" t="n"/>
      <c r="T44" s="211" t="n"/>
    </row>
    <row r="45" ht="15" customHeight="1"/>
    <row r="46" ht="15" customHeight="1">
      <c r="A46" s="11" t="inlineStr">
        <is>
          <r>
            <rPr>
              <rFont val="Calibri"/>
              <b val="1"/>
              <i val="1"/>
              <color rgb="00595959"/>
              <sz val="10"/>
            </rPr>
            <t>Leadership weights:</t>
          </r>
          <r>
            <rPr>
              <rFont val="Calibri"/>
              <i val="1"/>
              <color rgb="00595959"/>
              <sz val="10"/>
            </rPr>
            <t xml:space="preserve"> Sources: S05, S46, S47 Hay managerial know-how by level · S04 Mercer IPE communication · S09 McKinsey spans of control. The 0 / 5 / 10 / 15 / 20% steps by role group are an IRIS design rule.</t>
          </r>
        </is>
      </c>
    </row>
    <row r="47" ht="15" customHeight="1">
      <c r="A47" s="11" t="inlineStr">
        <is>
          <r>
            <rPr>
              <rFont val="Calibri"/>
              <b val="1"/>
              <i val="1"/>
              <color rgb="00595959"/>
              <sz val="10"/>
            </rPr>
            <t>Business Impact:</t>
          </r>
          <r>
            <rPr>
              <rFont val="Calibri"/>
              <i val="1"/>
              <color rgb="00595959"/>
              <sz val="10"/>
            </rPr>
            <t xml:space="preserve"> Sources: S05 Hay accountability, nature of impact · S04 Mercer IPE impact · S07 WTW GGS nature and area of impact · S53–S57 public plans' financial or consequences factor, 7–10% of points.</t>
          </r>
        </is>
      </c>
    </row>
    <row r="48" ht="15" customHeight="1">
      <c r="A48" s="11" t="inlineStr">
        <is>
          <r>
            <rPr>
              <rFont val="Calibri"/>
              <b val="1"/>
              <i val="1"/>
              <color rgb="00595959"/>
              <sz val="10"/>
            </rPr>
            <t>Type-of-work shift:</t>
          </r>
          <r>
            <rPr>
              <rFont val="Calibri"/>
              <i val="1"/>
              <color rgb="00595959"/>
              <sz val="10"/>
            </rPr>
            <t xml:space="preserve"> Basis: S06 Hay short profile — A-type delivery jobs weight accountability, P-type thinking jobs weight problem solving, L-type are balanced. The ±5 size is an IRIS design rule, kept small so the market defaults stay in control.</t>
          </r>
        </is>
      </c>
    </row>
    <row r="49" ht="20" customHeight="1">
      <c r="A49" s="6" t="inlineStr">
        <is>
          <t>WHAT A WEIGHT MEANS</t>
        </is>
      </c>
    </row>
    <row r="50" ht="15" customHeight="1">
      <c r="A50" s="12" t="inlineStr">
        <is>
          <t>Weight</t>
        </is>
      </c>
      <c r="B50" s="211" t="n"/>
      <c r="C50" s="12" t="inlineStr">
        <is>
          <t>What it means for the score</t>
        </is>
      </c>
      <c r="D50" s="212" t="n"/>
      <c r="E50" s="212" t="n"/>
      <c r="F50" s="212" t="n"/>
      <c r="G50" s="212" t="n"/>
      <c r="H50" s="212" t="n"/>
      <c r="I50" s="212" t="n"/>
      <c r="J50" s="212" t="n"/>
      <c r="K50" s="212" t="n"/>
      <c r="L50" s="212" t="n"/>
      <c r="M50" s="212" t="n"/>
      <c r="N50" s="212" t="n"/>
      <c r="O50" s="212" t="n"/>
      <c r="P50" s="212" t="n"/>
      <c r="Q50" s="212" t="n"/>
      <c r="R50" s="212" t="n"/>
      <c r="S50" s="212" t="n"/>
      <c r="T50" s="211" t="n"/>
    </row>
    <row r="51" ht="15" customHeight="1">
      <c r="A51" s="13" t="inlineStr">
        <is>
          <t>0%</t>
        </is>
      </c>
      <c r="B51" s="211" t="n"/>
      <c r="C51" s="16" t="inlineStr">
        <is>
          <t>Ignored for this role group — the rating does not count at all</t>
        </is>
      </c>
      <c r="D51" s="212" t="n"/>
      <c r="E51" s="212" t="n"/>
      <c r="F51" s="212" t="n"/>
      <c r="G51" s="212" t="n"/>
      <c r="H51" s="212" t="n"/>
      <c r="I51" s="212" t="n"/>
      <c r="J51" s="212" t="n"/>
      <c r="K51" s="212" t="n"/>
      <c r="L51" s="212" t="n"/>
      <c r="M51" s="212" t="n"/>
      <c r="N51" s="212" t="n"/>
      <c r="O51" s="212" t="n"/>
      <c r="P51" s="212" t="n"/>
      <c r="Q51" s="212" t="n"/>
      <c r="R51" s="212" t="n"/>
      <c r="S51" s="212" t="n"/>
      <c r="T51" s="211" t="n"/>
    </row>
    <row r="52" ht="15" customHeight="1">
      <c r="A52" s="13" t="inlineStr">
        <is>
          <t>5%</t>
        </is>
      </c>
      <c r="B52" s="211" t="n"/>
      <c r="C52" s="16" t="inlineStr">
        <is>
          <t>Minor — a tie-breaker; a 1-point change in the rating moves the score by 0.05</t>
        </is>
      </c>
      <c r="D52" s="212" t="n"/>
      <c r="E52" s="212" t="n"/>
      <c r="F52" s="212" t="n"/>
      <c r="G52" s="212" t="n"/>
      <c r="H52" s="212" t="n"/>
      <c r="I52" s="212" t="n"/>
      <c r="J52" s="212" t="n"/>
      <c r="K52" s="212" t="n"/>
      <c r="L52" s="212" t="n"/>
      <c r="M52" s="212" t="n"/>
      <c r="N52" s="212" t="n"/>
      <c r="O52" s="212" t="n"/>
      <c r="P52" s="212" t="n"/>
      <c r="Q52" s="212" t="n"/>
      <c r="R52" s="212" t="n"/>
      <c r="S52" s="212" t="n"/>
      <c r="T52" s="211" t="n"/>
    </row>
    <row r="53" ht="15" customHeight="1">
      <c r="A53" s="13" t="inlineStr">
        <is>
          <t>10%</t>
        </is>
      </c>
      <c r="B53" s="211" t="n"/>
      <c r="C53" s="16" t="inlineStr">
        <is>
          <t>Counts a little — a 1-point change moves the score by 0.10</t>
        </is>
      </c>
      <c r="D53" s="212" t="n"/>
      <c r="E53" s="212" t="n"/>
      <c r="F53" s="212" t="n"/>
      <c r="G53" s="212" t="n"/>
      <c r="H53" s="212" t="n"/>
      <c r="I53" s="212" t="n"/>
      <c r="J53" s="212" t="n"/>
      <c r="K53" s="212" t="n"/>
      <c r="L53" s="212" t="n"/>
      <c r="M53" s="212" t="n"/>
      <c r="N53" s="212" t="n"/>
      <c r="O53" s="212" t="n"/>
      <c r="P53" s="212" t="n"/>
      <c r="Q53" s="212" t="n"/>
      <c r="R53" s="212" t="n"/>
      <c r="S53" s="212" t="n"/>
      <c r="T53" s="211" t="n"/>
    </row>
    <row r="54" ht="15" customHeight="1">
      <c r="A54" s="13" t="inlineStr">
        <is>
          <t>15–20%</t>
        </is>
      </c>
      <c r="B54" s="211" t="n"/>
      <c r="C54" s="16" t="inlineStr">
        <is>
          <t>Important — one of the main things this role is judged on</t>
        </is>
      </c>
      <c r="D54" s="212" t="n"/>
      <c r="E54" s="212" t="n"/>
      <c r="F54" s="212" t="n"/>
      <c r="G54" s="212" t="n"/>
      <c r="H54" s="212" t="n"/>
      <c r="I54" s="212" t="n"/>
      <c r="J54" s="212" t="n"/>
      <c r="K54" s="212" t="n"/>
      <c r="L54" s="212" t="n"/>
      <c r="M54" s="212" t="n"/>
      <c r="N54" s="212" t="n"/>
      <c r="O54" s="212" t="n"/>
      <c r="P54" s="212" t="n"/>
      <c r="Q54" s="212" t="n"/>
      <c r="R54" s="212" t="n"/>
      <c r="S54" s="212" t="n"/>
      <c r="T54" s="211" t="n"/>
    </row>
    <row r="55" ht="15" customHeight="1">
      <c r="A55" s="13" t="inlineStr">
        <is>
          <t>25–30%</t>
        </is>
      </c>
      <c r="B55" s="211" t="n"/>
      <c r="C55" s="16" t="inlineStr">
        <is>
          <t>Leading factor — this is what the role is mostly about</t>
        </is>
      </c>
      <c r="D55" s="212" t="n"/>
      <c r="E55" s="212" t="n"/>
      <c r="F55" s="212" t="n"/>
      <c r="G55" s="212" t="n"/>
      <c r="H55" s="212" t="n"/>
      <c r="I55" s="212" t="n"/>
      <c r="J55" s="212" t="n"/>
      <c r="K55" s="212" t="n"/>
      <c r="L55" s="212" t="n"/>
      <c r="M55" s="212" t="n"/>
      <c r="N55" s="212" t="n"/>
      <c r="O55" s="212" t="n"/>
      <c r="P55" s="212" t="n"/>
      <c r="Q55" s="212" t="n"/>
      <c r="R55" s="212" t="n"/>
      <c r="S55" s="212" t="n"/>
      <c r="T55" s="211" t="n"/>
    </row>
    <row r="56" ht="15" customHeight="1">
      <c r="A56" s="13" t="inlineStr">
        <is>
          <t>35%+</t>
        </is>
      </c>
      <c r="B56" s="211" t="n"/>
      <c r="C56" s="16" t="inlineStr">
        <is>
          <t>Dominant — use rarely; one factor then decides most of the score</t>
        </is>
      </c>
      <c r="D56" s="212" t="n"/>
      <c r="E56" s="212" t="n"/>
      <c r="F56" s="212" t="n"/>
      <c r="G56" s="212" t="n"/>
      <c r="H56" s="212" t="n"/>
      <c r="I56" s="212" t="n"/>
      <c r="J56" s="212" t="n"/>
      <c r="K56" s="212" t="n"/>
      <c r="L56" s="212" t="n"/>
      <c r="M56" s="212" t="n"/>
      <c r="N56" s="212" t="n"/>
      <c r="O56" s="212" t="n"/>
      <c r="P56" s="212" t="n"/>
      <c r="Q56" s="212" t="n"/>
      <c r="R56" s="212" t="n"/>
      <c r="S56" s="212" t="n"/>
      <c r="T56" s="211" t="n"/>
    </row>
    <row r="57" ht="15" customHeight="1"/>
    <row r="58" ht="28" customHeight="1">
      <c r="A58" s="209" t="inlineStr">
        <is>
          <r>
            <rPr>
              <rFont val="Calibri"/>
              <b val="1"/>
              <sz val="10"/>
            </rPr>
            <t>How a weight works:</t>
          </r>
          <r>
            <rPr>
              <rFont val="Calibri"/>
              <sz val="10"/>
            </rPr>
            <t xml:space="preserve"> points = rating × weight, and the score is the sum of the six points. So a weight is simply how much one point of rating on that factor is worth. Moving 5% from one factor to another changes a person's score by 0.05 × the difference between their two ratings — usually less than 0.2, which is why small changes rarely move a level.</t>
          </r>
        </is>
      </c>
    </row>
    <row r="59" ht="20" customHeight="1">
      <c r="A59" s="6" t="inlineStr">
        <is>
          <t>RULES OF THUMB</t>
        </is>
      </c>
    </row>
    <row r="60" ht="15" customHeight="1">
      <c r="A60" s="209" t="inlineStr">
        <is>
          <t>• Start from the default row and change it in steps of 5%; small changes are safer than big ones.</t>
        </is>
      </c>
    </row>
    <row r="61" ht="15" customHeight="1">
      <c r="A61" s="209" t="inlineStr">
        <is>
          <t>• Keep each row's six weights adding up to about 100%. If they don't, the sheet scales the five non-Experience weights so they do — the 'Used' columns show the real weights.</t>
        </is>
      </c>
    </row>
    <row r="62" ht="15" customHeight="1">
      <c r="A62" s="209" t="inlineStr">
        <is>
          <t>• Experience &amp; Qualification is set once for everyone in the Settings block above · Bands A–B and Bands C–E. Change it there, not row by row; a number typed in a row's Experience cell overrides the setting for that row.</t>
        </is>
      </c>
    </row>
    <row r="63" ht="15" customHeight="1">
      <c r="A63" s="209" t="inlineStr">
        <is>
          <t>• Leaders of the same role group in different departments should differ only for a real reason · for example, sales roles count Business Impact more. Note the reason in the last column.</t>
        </is>
      </c>
    </row>
    <row r="64" ht="15" customHeight="1">
      <c r="A64" s="209" t="inlineStr">
        <is>
          <t>• Your edits change points, the score and 'Level the score indicates' on sheet 2 at once. The final level — with the fair-play checks — is confirmed when HR imports your edits and re-runs the model.</t>
        </is>
      </c>
    </row>
    <row r="65" ht="20" customHeight="1">
      <c r="A65" s="6" t="inlineStr">
        <is>
          <t>WHERE THE DEFAULT WEIGHTS COME FROM</t>
        </is>
      </c>
    </row>
    <row r="66" ht="28" customHeight="1">
      <c r="A66" s="11" t="inlineStr">
        <is>
          <t>Each role group's default row is the average of three published sources, given equal weight: Korn Ferry Hay, Mercer IPE and five public point-factor plans — NHS Agenda for Change, UK local-government 13-factor, GLPC, Scottish Joint Council, US OPM FES. Sources: S46–S51 Korn Ferry Hay evaluations · S04, S52 Mercer IPE · S53–S57 NHS, UK NJC/PSC, GLPC, SJC and US OPM point-factor plans. The per-source figures: HR Super Master sheet 1e, section 0. Full links: source register, HR Super Master sheet 11 and Framework Master M16.</t>
        </is>
      </c>
    </row>
    <row r="67" ht="15" customHeight="1">
      <c r="A67" s="12" t="inlineStr">
        <is>
          <t>Factor</t>
        </is>
      </c>
      <c r="B67" s="212" t="n"/>
      <c r="C67" s="212" t="n"/>
      <c r="D67" s="212" t="n"/>
      <c r="E67" s="212" t="n"/>
      <c r="F67" s="211" t="n"/>
      <c r="G67" s="12" t="inlineStr">
        <is>
          <t>This file — average of its scored roles</t>
        </is>
      </c>
      <c r="H67" s="212" t="n"/>
      <c r="I67" s="212" t="n"/>
      <c r="J67" s="211" t="n"/>
      <c r="K67" s="12" t="inlineStr">
        <is>
          <t>Published plans — average</t>
        </is>
      </c>
      <c r="L67" s="212" t="n"/>
      <c r="M67" s="212" t="n"/>
      <c r="N67" s="211" t="n"/>
      <c r="O67" s="12" t="inlineStr">
        <is>
          <t>Published plans — range</t>
        </is>
      </c>
      <c r="P67" s="212" t="n"/>
      <c r="Q67" s="212" t="n"/>
      <c r="R67" s="212" t="n"/>
      <c r="S67" s="212" t="n"/>
      <c r="T67" s="211" t="n"/>
    </row>
    <row r="68" ht="15" customHeight="1">
      <c r="A68" s="13" t="inlineStr">
        <is>
          <t>Complexity &amp; Expertise</t>
        </is>
      </c>
      <c r="B68" s="212" t="n"/>
      <c r="C68" s="212" t="n"/>
      <c r="D68" s="212" t="n"/>
      <c r="E68" s="212" t="n"/>
      <c r="F68" s="211" t="n"/>
      <c r="G68" s="16" t="inlineStr">
        <is>
          <t>50.8%</t>
        </is>
      </c>
      <c r="H68" s="212" t="n"/>
      <c r="I68" s="212" t="n"/>
      <c r="J68" s="211" t="n"/>
      <c r="K68" s="16" t="inlineStr">
        <is>
          <t>42.8%</t>
        </is>
      </c>
      <c r="L68" s="212" t="n"/>
      <c r="M68" s="212" t="n"/>
      <c r="N68" s="211" t="n"/>
      <c r="O68" s="16" t="inlineStr">
        <is>
          <t>38–52%</t>
        </is>
      </c>
      <c r="P68" s="212" t="n"/>
      <c r="Q68" s="212" t="n"/>
      <c r="R68" s="212" t="n"/>
      <c r="S68" s="212" t="n"/>
      <c r="T68" s="211" t="n"/>
    </row>
    <row r="69" ht="15" customHeight="1">
      <c r="A69" s="13" t="inlineStr">
        <is>
          <t>Autonomy &amp; Decision</t>
        </is>
      </c>
      <c r="B69" s="212" t="n"/>
      <c r="C69" s="212" t="n"/>
      <c r="D69" s="212" t="n"/>
      <c r="E69" s="212" t="n"/>
      <c r="F69" s="211" t="n"/>
      <c r="G69" s="16" t="inlineStr">
        <is>
          <t>17.2%</t>
        </is>
      </c>
      <c r="H69" s="212" t="n"/>
      <c r="I69" s="212" t="n"/>
      <c r="J69" s="211" t="n"/>
      <c r="K69" s="16" t="inlineStr">
        <is>
          <t>14.9%</t>
        </is>
      </c>
      <c r="L69" s="212" t="n"/>
      <c r="M69" s="212" t="n"/>
      <c r="N69" s="211" t="n"/>
      <c r="O69" s="16" t="inlineStr">
        <is>
          <t>7–30%</t>
        </is>
      </c>
      <c r="P69" s="212" t="n"/>
      <c r="Q69" s="212" t="n"/>
      <c r="R69" s="212" t="n"/>
      <c r="S69" s="212" t="n"/>
      <c r="T69" s="211" t="n"/>
    </row>
    <row r="70" ht="15" customHeight="1">
      <c r="A70" s="13" t="inlineStr">
        <is>
          <t>Accountability &amp; Impact</t>
        </is>
      </c>
      <c r="B70" s="212" t="n"/>
      <c r="C70" s="212" t="n"/>
      <c r="D70" s="212" t="n"/>
      <c r="E70" s="212" t="n"/>
      <c r="F70" s="211" t="n"/>
      <c r="G70" s="16" t="inlineStr">
        <is>
          <t>7.8%</t>
        </is>
      </c>
      <c r="H70" s="212" t="n"/>
      <c r="I70" s="212" t="n"/>
      <c r="J70" s="211" t="n"/>
      <c r="K70" s="16" t="inlineStr">
        <is>
          <t>15.1%</t>
        </is>
      </c>
      <c r="L70" s="212" t="n"/>
      <c r="M70" s="212" t="n"/>
      <c r="N70" s="211" t="n"/>
      <c r="O70" s="16" t="inlineStr">
        <is>
          <t>6–20%</t>
        </is>
      </c>
      <c r="P70" s="212" t="n"/>
      <c r="Q70" s="212" t="n"/>
      <c r="R70" s="212" t="n"/>
      <c r="S70" s="212" t="n"/>
      <c r="T70" s="211" t="n"/>
    </row>
    <row r="71" ht="15" customHeight="1">
      <c r="A71" s="13" t="inlineStr">
        <is>
          <t>Leadership &amp; Strategy</t>
        </is>
      </c>
      <c r="B71" s="212" t="n"/>
      <c r="C71" s="212" t="n"/>
      <c r="D71" s="212" t="n"/>
      <c r="E71" s="212" t="n"/>
      <c r="F71" s="211" t="n"/>
      <c r="G71" s="16" t="inlineStr">
        <is>
          <t>5.3%</t>
        </is>
      </c>
      <c r="H71" s="212" t="n"/>
      <c r="I71" s="212" t="n"/>
      <c r="J71" s="211" t="n"/>
      <c r="K71" s="16" t="inlineStr">
        <is>
          <t>20.6%</t>
        </is>
      </c>
      <c r="L71" s="212" t="n"/>
      <c r="M71" s="212" t="n"/>
      <c r="N71" s="211" t="n"/>
      <c r="O71" s="16" t="inlineStr">
        <is>
          <t>8–30%</t>
        </is>
      </c>
      <c r="P71" s="212" t="n"/>
      <c r="Q71" s="212" t="n"/>
      <c r="R71" s="212" t="n"/>
      <c r="S71" s="212" t="n"/>
      <c r="T71" s="211" t="n"/>
    </row>
    <row r="72" ht="15" customHeight="1">
      <c r="A72" s="13" t="inlineStr">
        <is>
          <t>Business Impact</t>
        </is>
      </c>
      <c r="B72" s="212" t="n"/>
      <c r="C72" s="212" t="n"/>
      <c r="D72" s="212" t="n"/>
      <c r="E72" s="212" t="n"/>
      <c r="F72" s="211" t="n"/>
      <c r="G72" s="16" t="inlineStr">
        <is>
          <t>7.1%</t>
        </is>
      </c>
      <c r="H72" s="212" t="n"/>
      <c r="I72" s="212" t="n"/>
      <c r="J72" s="211" t="n"/>
      <c r="K72" s="16" t="inlineStr">
        <is>
          <t>6.7%</t>
        </is>
      </c>
      <c r="L72" s="212" t="n"/>
      <c r="M72" s="212" t="n"/>
      <c r="N72" s="211" t="n"/>
      <c r="O72" s="16" t="inlineStr">
        <is>
          <t>0–10%</t>
        </is>
      </c>
      <c r="P72" s="212" t="n"/>
      <c r="Q72" s="212" t="n"/>
      <c r="R72" s="212" t="n"/>
      <c r="S72" s="212" t="n"/>
      <c r="T72" s="211" t="n"/>
    </row>
    <row r="73" ht="15" customHeight="1">
      <c r="A73" s="13" t="inlineStr">
        <is>
          <t>Experience &amp; Qualification</t>
        </is>
      </c>
      <c r="B73" s="212" t="n"/>
      <c r="C73" s="212" t="n"/>
      <c r="D73" s="212" t="n"/>
      <c r="E73" s="212" t="n"/>
      <c r="F73" s="211" t="n"/>
      <c r="G73" s="16" t="inlineStr">
        <is>
          <t>11.7%</t>
        </is>
      </c>
      <c r="H73" s="212" t="n"/>
      <c r="I73" s="212" t="n"/>
      <c r="J73" s="211" t="n"/>
      <c r="K73" s="16" t="inlineStr">
        <is>
          <t>not scored separately</t>
        </is>
      </c>
      <c r="L73" s="212" t="n"/>
      <c r="M73" s="212" t="n"/>
      <c r="N73" s="211" t="n"/>
      <c r="O73" s="16" t="inlineStr">
        <is>
          <t>Hay, Mercer IPE and WTW fold experience into knowledge</t>
        </is>
      </c>
      <c r="P73" s="212" t="n"/>
      <c r="Q73" s="212" t="n"/>
      <c r="R73" s="212" t="n"/>
      <c r="S73" s="212" t="n"/>
      <c r="T73" s="211" t="n"/>
    </row>
    <row r="74" ht="15" customHeight="1"/>
    <row r="75" ht="20" customHeight="1">
      <c r="A75" s="6" t="inlineStr">
        <is>
          <t>WHAT A RATING MEANS — the same 1-to-12 scale for every factor, every department, every band</t>
        </is>
      </c>
    </row>
    <row r="76" ht="15" customHeight="1">
      <c r="A76" s="11" t="inlineStr">
        <is>
          <t>A rating is the floor of the ladder that this side of the job looks like: 4 = B1-level, 8 = C2-level. Managers can change a person's Business Impact rating on sheet 2 · yellow; the other ratings are set from the evidence and changed through validation.</t>
        </is>
      </c>
    </row>
    <row r="77" ht="15" customHeight="1">
      <c r="A77" s="12" t="inlineStr">
        <is>
          <t>Rating · level</t>
        </is>
      </c>
      <c r="B77" s="211" t="n"/>
      <c r="C77" s="12" t="inlineStr">
        <is>
          <t>Complexity</t>
        </is>
      </c>
      <c r="D77" s="212" t="n"/>
      <c r="E77" s="211" t="n"/>
      <c r="F77" s="12" t="inlineStr">
        <is>
          <t>Autonomy</t>
        </is>
      </c>
      <c r="G77" s="212" t="n"/>
      <c r="H77" s="211" t="n"/>
      <c r="I77" s="12" t="inlineStr">
        <is>
          <t>Accountability</t>
        </is>
      </c>
      <c r="J77" s="212" t="n"/>
      <c r="K77" s="211" t="n"/>
      <c r="L77" s="12" t="inlineStr">
        <is>
          <t>Leadership</t>
        </is>
      </c>
      <c r="M77" s="212" t="n"/>
      <c r="N77" s="211" t="n"/>
      <c r="O77" s="12" t="inlineStr">
        <is>
          <t>Experience</t>
        </is>
      </c>
      <c r="P77" s="212" t="n"/>
      <c r="Q77" s="211" t="n"/>
      <c r="R77" s="12" t="inlineStr">
        <is>
          <t>Business impact</t>
        </is>
      </c>
      <c r="S77" s="212" t="n"/>
      <c r="T77" s="211" t="n"/>
    </row>
    <row r="78" ht="28" customHeight="1">
      <c r="A78" s="13" t="inlineStr">
        <is>
          <t>12 · E2</t>
        </is>
      </c>
      <c r="B78" s="211" t="n"/>
      <c r="C78" s="16" t="inlineStr">
        <is>
          <t>Enterprise-wide uncertainty, transformation and external forces</t>
        </is>
      </c>
      <c r="D78" s="212" t="n"/>
      <c r="E78" s="211" t="n"/>
      <c r="F78" s="16" t="inlineStr">
        <is>
          <t>Accountable to the board</t>
        </is>
      </c>
      <c r="G78" s="212" t="n"/>
      <c r="H78" s="211" t="n"/>
      <c r="I78" s="16" t="inlineStr">
        <is>
          <t>Enterprise results, risk, culture and long-term viability</t>
        </is>
      </c>
      <c r="J78" s="212" t="n"/>
      <c r="K78" s="211" t="n"/>
      <c r="L78" s="16" t="inlineStr">
        <is>
          <t>Sets enterprise strategy; leads the executive team</t>
        </is>
      </c>
      <c r="M78" s="212" t="n"/>
      <c r="N78" s="211" t="n"/>
      <c r="O78" s="16" t="inlineStr">
        <is>
          <t>About 28 yrs</t>
        </is>
      </c>
      <c r="P78" s="212" t="n"/>
      <c r="Q78" s="211" t="n"/>
      <c r="R78" s="16" t="inlineStr">
        <is>
          <t>Answers for the whole company's results and long-term value</t>
        </is>
      </c>
      <c r="S78" s="212" t="n"/>
      <c r="T78" s="211" t="n"/>
    </row>
    <row r="79" ht="28" customHeight="1">
      <c r="A79" s="13" t="inlineStr">
        <is>
          <t>11 · E1</t>
        </is>
      </c>
      <c r="B79" s="211" t="n"/>
      <c r="C79" s="16" t="inlineStr">
        <is>
          <t>Enterprise-level functional strategy</t>
        </is>
      </c>
      <c r="D79" s="212" t="n"/>
      <c r="E79" s="211" t="n"/>
      <c r="F79" s="16" t="inlineStr">
        <is>
          <t>Sets enterprise priorities for the function</t>
        </is>
      </c>
      <c r="G79" s="212" t="n"/>
      <c r="H79" s="211" t="n"/>
      <c r="I79" s="16" t="inlineStr">
        <is>
          <t>Enterprise-wide functional results</t>
        </is>
      </c>
      <c r="J79" s="212" t="n"/>
      <c r="K79" s="211" t="n"/>
      <c r="L79" s="16" t="inlineStr">
        <is>
          <t>Shapes enterprise strategy</t>
        </is>
      </c>
      <c r="M79" s="212" t="n"/>
      <c r="N79" s="211" t="n"/>
      <c r="O79" s="16" t="inlineStr">
        <is>
          <t>About 24 yrs</t>
        </is>
      </c>
      <c r="P79" s="212" t="n"/>
      <c r="Q79" s="211" t="n"/>
      <c r="R79" s="16" t="inlineStr">
        <is>
          <t>Shapes company-wide results through a function</t>
        </is>
      </c>
      <c r="S79" s="212" t="n"/>
      <c r="T79" s="211" t="n"/>
    </row>
    <row r="80" ht="28" customHeight="1">
      <c r="A80" s="13" t="inlineStr">
        <is>
          <t>10 · D2</t>
        </is>
      </c>
      <c r="B80" s="211" t="n"/>
      <c r="C80" s="16" t="inlineStr">
        <is>
          <t>Portfolio-level strategic, financial and regulatory trade-offs</t>
        </is>
      </c>
      <c r="D80" s="212" t="n"/>
      <c r="E80" s="211" t="n"/>
      <c r="F80" s="16" t="inlineStr">
        <is>
          <t>Sets direction across business lines</t>
        </is>
      </c>
      <c r="G80" s="212" t="n"/>
      <c r="H80" s="211" t="n"/>
      <c r="I80" s="16" t="inlineStr">
        <is>
          <t>Multi-business results</t>
        </is>
      </c>
      <c r="J80" s="212" t="n"/>
      <c r="K80" s="211" t="n"/>
      <c r="L80" s="16" t="inlineStr">
        <is>
          <t>Builds the leadership team across businesses</t>
        </is>
      </c>
      <c r="M80" s="212" t="n"/>
      <c r="N80" s="211" t="n"/>
      <c r="O80" s="16" t="inlineStr">
        <is>
          <t>About 21 yrs</t>
        </is>
      </c>
      <c r="P80" s="212" t="n"/>
      <c r="Q80" s="211" t="n"/>
      <c r="R80" s="16" t="inlineStr">
        <is>
          <t>Owns the results of several business lines</t>
        </is>
      </c>
      <c r="S80" s="212" t="n"/>
      <c r="T80" s="211" t="n"/>
    </row>
    <row r="81" ht="28" customHeight="1">
      <c r="A81" s="13" t="inlineStr">
        <is>
          <t>9 · D1</t>
        </is>
      </c>
      <c r="B81" s="211" t="n"/>
      <c r="C81" s="16" t="inlineStr">
        <is>
          <t>Competing strategic, financial and regulatory priorities</t>
        </is>
      </c>
      <c r="D81" s="212" t="n"/>
      <c r="E81" s="211" t="n"/>
      <c r="F81" s="16" t="inlineStr">
        <is>
          <t>Sets business-line direction, pricing and investment</t>
        </is>
      </c>
      <c r="G81" s="212" t="n"/>
      <c r="H81" s="211" t="n"/>
      <c r="I81" s="16" t="inlineStr">
        <is>
          <t>Business-line P&amp;L and market position</t>
        </is>
      </c>
      <c r="J81" s="212" t="n"/>
      <c r="K81" s="211" t="n"/>
      <c r="L81" s="16" t="inlineStr">
        <is>
          <t>Defines business strategy; builds the leadership bench</t>
        </is>
      </c>
      <c r="M81" s="212" t="n"/>
      <c r="N81" s="211" t="n"/>
      <c r="O81" s="16" t="inlineStr">
        <is>
          <t>About 17.5 yrs</t>
        </is>
      </c>
      <c r="P81" s="212" t="n"/>
      <c r="Q81" s="211" t="n"/>
      <c r="R81" s="16" t="inlineStr">
        <is>
          <t>Owns a business line's P&amp;L and growth, or a company-wide function</t>
        </is>
      </c>
      <c r="S81" s="212" t="n"/>
      <c r="T81" s="211" t="n"/>
    </row>
    <row r="82" ht="41" customHeight="1">
      <c r="A82" s="13" t="inlineStr">
        <is>
          <t>8.5 · C+</t>
        </is>
      </c>
      <c r="B82" s="211" t="n"/>
      <c r="C82" s="16" t="inlineStr">
        <is>
          <t>Function-wide and cross-product problems; personally handles the most critical client or technical work</t>
        </is>
      </c>
      <c r="D82" s="212" t="n"/>
      <c r="E82" s="211" t="n"/>
      <c r="F82" s="16" t="inlineStr">
        <is>
          <t>Sets direction for the function; business-line trade-offs go to the Business Head</t>
        </is>
      </c>
      <c r="G82" s="212" t="n"/>
      <c r="H82" s="211" t="n"/>
      <c r="I82" s="16" t="inlineStr">
        <is>
          <t>Function results, budget and key-client outcomes; carries own book or principal delivery</t>
        </is>
      </c>
      <c r="J82" s="212" t="n"/>
      <c r="K82" s="211" t="n"/>
      <c r="L82" s="16" t="inlineStr">
        <is>
          <t>Leads managers and leads and 10+ people in the function while staying hands-on</t>
        </is>
      </c>
      <c r="M82" s="212" t="n"/>
      <c r="N82" s="211" t="n"/>
      <c r="O82" s="16" t="inlineStr">
        <is>
          <t>About 16 yrs</t>
        </is>
      </c>
      <c r="P82" s="212" t="n"/>
      <c r="Q82" s="211" t="n"/>
      <c r="R82" s="16" t="inlineStr">
        <is>
          <t>Drives a function's results and personally wins or delivers key work</t>
        </is>
      </c>
      <c r="S82" s="212" t="n"/>
      <c r="T82" s="211" t="n"/>
    </row>
    <row r="83" ht="28" customHeight="1">
      <c r="A83" s="13" t="inlineStr">
        <is>
          <t>8 · C2</t>
        </is>
      </c>
      <c r="B83" s="211" t="n"/>
      <c r="C83" s="16" t="inlineStr">
        <is>
          <t>Function-wide or company-wide problems; creates methods and standards</t>
        </is>
      </c>
      <c r="D83" s="212" t="n"/>
      <c r="E83" s="211" t="n"/>
      <c r="F83" s="16" t="inlineStr">
        <is>
          <t>Sets direction for a function</t>
        </is>
      </c>
      <c r="G83" s="212" t="n"/>
      <c r="H83" s="211" t="n"/>
      <c r="I83" s="16" t="inlineStr">
        <is>
          <t>Function results, budget and risk</t>
        </is>
      </c>
      <c r="J83" s="212" t="n"/>
      <c r="K83" s="211" t="n"/>
      <c r="L83" s="16" t="inlineStr">
        <is>
          <t>Leads a function; shapes functional strategy</t>
        </is>
      </c>
      <c r="M83" s="212" t="n"/>
      <c r="N83" s="211" t="n"/>
      <c r="O83" s="16" t="inlineStr">
        <is>
          <t>About 14.5 yrs</t>
        </is>
      </c>
      <c r="P83" s="212" t="n"/>
      <c r="Q83" s="211" t="n"/>
      <c r="R83" s="16" t="inlineStr">
        <is>
          <t>Drives a function's or department's results and costs</t>
        </is>
      </c>
      <c r="S83" s="212" t="n"/>
      <c r="T83" s="211" t="n"/>
    </row>
    <row r="84" ht="28" customHeight="1">
      <c r="A84" s="13" t="inlineStr">
        <is>
          <t>7 · C1</t>
        </is>
      </c>
      <c r="B84" s="211" t="n"/>
      <c r="C84" s="16" t="inlineStr">
        <is>
          <t>Ambiguous, cross-product problems</t>
        </is>
      </c>
      <c r="D84" s="212" t="n"/>
      <c r="E84" s="211" t="n"/>
      <c r="F84" s="16" t="inlineStr">
        <is>
          <t>Sets direction for a sub-function or domain</t>
        </is>
      </c>
      <c r="G84" s="212" t="n"/>
      <c r="H84" s="211" t="n"/>
      <c r="I84" s="16" t="inlineStr">
        <is>
          <t>Sub-function results or domain quality across products</t>
        </is>
      </c>
      <c r="J84" s="212" t="n"/>
      <c r="K84" s="211" t="n"/>
      <c r="L84" s="16" t="inlineStr">
        <is>
          <t>Leads managers or a community of practice</t>
        </is>
      </c>
      <c r="M84" s="212" t="n"/>
      <c r="N84" s="211" t="n"/>
      <c r="O84" s="16" t="inlineStr">
        <is>
          <t>About 12 yrs</t>
        </is>
      </c>
      <c r="P84" s="212" t="n"/>
      <c r="Q84" s="211" t="n"/>
      <c r="R84" s="16" t="inlineStr">
        <is>
          <t>Changes results across a sub-function or across products</t>
        </is>
      </c>
      <c r="S84" s="212" t="n"/>
      <c r="T84" s="211" t="n"/>
    </row>
    <row r="85" ht="54" customHeight="1">
      <c r="A85" s="13" t="inlineStr">
        <is>
          <t>6.5 · B+</t>
        </is>
      </c>
      <c r="B85" s="211" t="n"/>
      <c r="C85" s="16" t="inlineStr">
        <is>
          <t>Principal-level problems in own domain; sets technical or quality standards and still builds</t>
        </is>
      </c>
      <c r="D85" s="212" t="n"/>
      <c r="E85" s="211" t="n"/>
      <c r="F85" s="16" t="inlineStr">
        <is>
          <t>Decides approach and priorities for the practice; escalates only cross-function trade-offs</t>
        </is>
      </c>
      <c r="G85" s="212" t="n"/>
      <c r="H85" s="211" t="n"/>
      <c r="I85" s="16" t="inlineStr">
        <is>
          <t>Practice outcomes plus own deliverables; quality and delivery of the team</t>
        </is>
      </c>
      <c r="J85" s="212" t="n"/>
      <c r="K85" s="211" t="n"/>
      <c r="L85" s="16" t="inlineStr">
        <is>
          <t>Leads 3–6 people · or a pod while remaining a hands-on expert; coaches, allocates, reviews</t>
        </is>
      </c>
      <c r="M85" s="212" t="n"/>
      <c r="N85" s="211" t="n"/>
      <c r="O85" s="16" t="inlineStr">
        <is>
          <t>About 11–12 yrs</t>
        </is>
      </c>
      <c r="P85" s="212" t="n"/>
      <c r="Q85" s="211" t="n"/>
      <c r="R85" s="16" t="inlineStr">
        <is>
          <t>Drives a practice's results while delivering the hardest work</t>
        </is>
      </c>
      <c r="S85" s="212" t="n"/>
      <c r="T85" s="211" t="n"/>
    </row>
    <row r="86" ht="41" customHeight="1">
      <c r="A86" s="13" t="inlineStr">
        <is>
          <t>6 · B3</t>
        </is>
      </c>
      <c r="B86" s="211" t="n"/>
      <c r="C86" s="16" t="inlineStr">
        <is>
          <t>Sets standards for a practice; cross-team problems</t>
        </is>
      </c>
      <c r="D86" s="212" t="n"/>
      <c r="E86" s="211" t="n"/>
      <c r="F86" s="16" t="inlineStr">
        <is>
          <t>Commercial / strategic calls for the unit</t>
        </is>
      </c>
      <c r="G86" s="212" t="n"/>
      <c r="H86" s="211" t="n"/>
      <c r="I86" s="16" t="inlineStr">
        <is>
          <t>Several teams or a practice</t>
        </is>
      </c>
      <c r="J86" s="212" t="n"/>
      <c r="K86" s="211" t="n"/>
      <c r="L86" s="16" t="inlineStr">
        <is>
          <r>
            <rPr>
              <rFont val="Calibri"/>
              <b val="1"/>
              <sz val="10"/>
            </rPr>
            <t>IC:</t>
          </r>
          <r>
            <rPr>
              <rFont val="Calibri"/>
              <sz val="10"/>
            </rPr>
            <t xml:space="preserve"> leads a practice · People: team leads / managers report in</t>
          </r>
        </is>
      </c>
      <c r="M86" s="212" t="n"/>
      <c r="N86" s="211" t="n"/>
      <c r="O86" s="16" t="inlineStr">
        <is>
          <t>About 10 yrs</t>
        </is>
      </c>
      <c r="P86" s="212" t="n"/>
      <c r="Q86" s="211" t="n"/>
      <c r="R86" s="16" t="inlineStr">
        <is>
          <t>Shapes the results of a practice or several teams</t>
        </is>
      </c>
      <c r="S86" s="212" t="n"/>
      <c r="T86" s="211" t="n"/>
    </row>
    <row r="87" ht="41" customHeight="1">
      <c r="A87" s="13" t="inlineStr">
        <is>
          <t>5 · B2</t>
        </is>
      </c>
      <c r="B87" s="211" t="n"/>
      <c r="C87" s="16" t="inlineStr">
        <is>
          <t>Hardest problems in the domain</t>
        </is>
      </c>
      <c r="D87" s="212" t="n"/>
      <c r="E87" s="211" t="n"/>
      <c r="F87" s="16" t="inlineStr">
        <is>
          <t>Allocates people and sets team priorities</t>
        </is>
      </c>
      <c r="G87" s="212" t="n"/>
      <c r="H87" s="211" t="n"/>
      <c r="I87" s="16" t="inlineStr">
        <is>
          <t>One team or a client portfolio</t>
        </is>
      </c>
      <c r="J87" s="212" t="n"/>
      <c r="K87" s="211" t="n"/>
      <c r="L87" s="16" t="inlineStr">
        <is>
          <r>
            <rPr>
              <rFont val="Calibri"/>
              <b val="1"/>
              <sz val="10"/>
            </rPr>
            <t>IC:</t>
          </r>
          <r>
            <rPr>
              <rFont val="Calibri"/>
              <sz val="10"/>
            </rPr>
            <t xml:space="preserve"> guides others in the domain · People: manages a team of 6+</t>
          </r>
        </is>
      </c>
      <c r="M87" s="212" t="n"/>
      <c r="N87" s="211" t="n"/>
      <c r="O87" s="16" t="inlineStr">
        <is>
          <t>About 7.5 yrs</t>
        </is>
      </c>
      <c r="P87" s="212" t="n"/>
      <c r="Q87" s="211" t="n"/>
      <c r="R87" s="16" t="inlineStr">
        <is>
          <t>Visible effect on a team's or client portfolio's revenue, quality or compliance</t>
        </is>
      </c>
      <c r="S87" s="212" t="n"/>
      <c r="T87" s="211" t="n"/>
    </row>
    <row r="88" ht="41" customHeight="1">
      <c r="A88" s="13" t="inlineStr">
        <is>
          <t>4 · B1</t>
        </is>
      </c>
      <c r="B88" s="211" t="n"/>
      <c r="C88" s="16" t="inlineStr">
        <is>
          <t>Domain specialist work</t>
        </is>
      </c>
      <c r="D88" s="212" t="n"/>
      <c r="E88" s="211" t="n"/>
      <c r="F88" s="16" t="inlineStr">
        <is>
          <t>Technical / QC / client calls for the domain</t>
        </is>
      </c>
      <c r="G88" s="212" t="n"/>
      <c r="H88" s="211" t="n"/>
      <c r="I88" s="16" t="inlineStr">
        <is>
          <t>A domain or a small team</t>
        </is>
      </c>
      <c r="J88" s="212" t="n"/>
      <c r="K88" s="211" t="n"/>
      <c r="L88" s="16" t="inlineStr">
        <is>
          <r>
            <rPr>
              <rFont val="Calibri"/>
              <b val="1"/>
              <sz val="10"/>
            </rPr>
            <t>IC:</t>
          </r>
          <r>
            <rPr>
              <rFont val="Calibri"/>
              <sz val="10"/>
            </rPr>
            <t xml:space="preserve"> mentors and reviews · People: hands-on team lead of 3–5</t>
          </r>
        </is>
      </c>
      <c r="M88" s="212" t="n"/>
      <c r="N88" s="211" t="n"/>
      <c r="O88" s="16" t="inlineStr">
        <is>
          <t>About 5.5 yrs</t>
        </is>
      </c>
      <c r="P88" s="212" t="n"/>
      <c r="Q88" s="211" t="n"/>
      <c r="R88" s="16" t="inlineStr">
        <is>
          <t>Moves a module's, product area's or client account's results</t>
        </is>
      </c>
      <c r="S88" s="212" t="n"/>
      <c r="T88" s="211" t="n"/>
    </row>
    <row r="89" ht="41" customHeight="1">
      <c r="A89" s="13" t="inlineStr">
        <is>
          <t>3 · A3</t>
        </is>
      </c>
      <c r="B89" s="211" t="n"/>
      <c r="C89" s="16" t="inlineStr">
        <is>
          <t>Varied and non-standard work; handles exceptions</t>
        </is>
      </c>
      <c r="D89" s="212" t="n"/>
      <c r="E89" s="211" t="n"/>
      <c r="F89" s="16" t="inlineStr">
        <is>
          <t>Technical / QC / client calls on own work</t>
        </is>
      </c>
      <c r="G89" s="212" t="n"/>
      <c r="H89" s="211" t="n"/>
      <c r="I89" s="16" t="inlineStr">
        <is>
          <t>A module / process, or work with client or regulatory consequences</t>
        </is>
      </c>
      <c r="J89" s="212" t="n"/>
      <c r="K89" s="211" t="n"/>
      <c r="L89" s="16" t="inlineStr">
        <is>
          <t>Not scored in Band A</t>
        </is>
      </c>
      <c r="M89" s="212" t="n"/>
      <c r="N89" s="211" t="n"/>
      <c r="O89" s="16" t="inlineStr">
        <is>
          <t>About 3 yrs</t>
        </is>
      </c>
      <c r="P89" s="212" t="n"/>
      <c r="Q89" s="211" t="n"/>
      <c r="R89" s="16" t="inlineStr">
        <is>
          <t>A process or client deliverable depends on this work</t>
        </is>
      </c>
      <c r="S89" s="212" t="n"/>
      <c r="T89" s="211" t="n"/>
    </row>
    <row r="90" ht="28" customHeight="1">
      <c r="A90" s="13" t="inlineStr">
        <is>
          <t>2 · A2</t>
        </is>
      </c>
      <c r="B90" s="211" t="n"/>
      <c r="C90" s="16" t="inlineStr">
        <is>
          <t>Standard work of the discipline</t>
        </is>
      </c>
      <c r="D90" s="212" t="n"/>
      <c r="E90" s="211" t="n"/>
      <c r="F90" s="16" t="inlineStr">
        <is>
          <t>Chooses own approach within standards</t>
        </is>
      </c>
      <c r="G90" s="212" t="n"/>
      <c r="H90" s="211" t="n"/>
      <c r="I90" s="16" t="inlineStr">
        <is>
          <t>Own deliverables · accuracy, TAT</t>
        </is>
      </c>
      <c r="J90" s="212" t="n"/>
      <c r="K90" s="211" t="n"/>
      <c r="L90" s="16" t="inlineStr">
        <is>
          <t>Not scored in Band A</t>
        </is>
      </c>
      <c r="M90" s="212" t="n"/>
      <c r="N90" s="211" t="n"/>
      <c r="O90" s="16" t="inlineStr">
        <is>
          <t>About 1 yr</t>
        </is>
      </c>
      <c r="P90" s="212" t="n"/>
      <c r="Q90" s="211" t="n"/>
      <c r="R90" s="16" t="inlineStr">
        <is>
          <t>Own deliverables feed a team's output and turnaround</t>
        </is>
      </c>
      <c r="S90" s="212" t="n"/>
      <c r="T90" s="211" t="n"/>
    </row>
    <row r="91" ht="28" customHeight="1">
      <c r="A91" s="13" t="inlineStr">
        <is>
          <t>1 · A1</t>
        </is>
      </c>
      <c r="B91" s="211" t="n"/>
      <c r="C91" s="16" t="inlineStr">
        <is>
          <t>Learning; follows worked examples</t>
        </is>
      </c>
      <c r="D91" s="212" t="n"/>
      <c r="E91" s="211" t="n"/>
      <c r="F91" s="16" t="inlineStr">
        <is>
          <t>Needs approval / close guidance</t>
        </is>
      </c>
      <c r="G91" s="212" t="n"/>
      <c r="H91" s="211" t="n"/>
      <c r="I91" s="16" t="inlineStr">
        <is>
          <t>Learning tasks</t>
        </is>
      </c>
      <c r="J91" s="212" t="n"/>
      <c r="K91" s="211" t="n"/>
      <c r="L91" s="16" t="inlineStr">
        <is>
          <t>Not scored in Band A</t>
        </is>
      </c>
      <c r="M91" s="212" t="n"/>
      <c r="N91" s="211" t="n"/>
      <c r="O91" s="16" t="inlineStr">
        <is>
          <t>No experience yet</t>
        </is>
      </c>
      <c r="P91" s="212" t="n"/>
      <c r="Q91" s="211" t="n"/>
      <c r="R91" s="16" t="inlineStr">
        <is>
          <t>Learning; little direct effect on business results yet</t>
        </is>
      </c>
      <c r="S91" s="212" t="n"/>
      <c r="T91" s="211" t="n"/>
    </row>
    <row r="92" ht="15" customHeight="1"/>
    <row r="93" ht="15" customHeight="1">
      <c r="A93" s="11" t="inlineStr">
        <is>
          <r>
            <rPr>
              <rFont val="Calibri"/>
              <b val="1"/>
              <i val="1"/>
              <color rgb="00595959"/>
              <sz val="10"/>
            </rPr>
            <t>The ladder scale:</t>
          </r>
          <r>
            <rPr>
              <rFont val="Calibri"/>
              <i val="1"/>
              <color rgb="00595959"/>
              <sz val="10"/>
            </rPr>
            <t xml:space="preserve"> Sources: S01, S02 Aon Radford and Pave level codes · S08 SFIA levels of responsibility. Full links: source register, HR Super Master sheet 11 and Framework Master M16.</t>
          </r>
        </is>
      </c>
    </row>
  </sheetData>
  <mergeCells count="198">
    <mergeCell ref="A58:T58"/>
    <mergeCell ref="K70:N70"/>
    <mergeCell ref="C80:E80"/>
    <mergeCell ref="I41:T41"/>
    <mergeCell ref="A51:B51"/>
    <mergeCell ref="R83:T83"/>
    <mergeCell ref="F85:H85"/>
    <mergeCell ref="A15:T15"/>
    <mergeCell ref="C50:T50"/>
    <mergeCell ref="A64:T64"/>
    <mergeCell ref="O69:T69"/>
    <mergeCell ref="L83:N83"/>
    <mergeCell ref="I87:K87"/>
    <mergeCell ref="A88:B88"/>
    <mergeCell ref="C56:T56"/>
    <mergeCell ref="A60:T60"/>
    <mergeCell ref="R91:T91"/>
    <mergeCell ref="I43:T43"/>
    <mergeCell ref="R85:T85"/>
    <mergeCell ref="A54:B54"/>
    <mergeCell ref="L85:N85"/>
    <mergeCell ref="A41:B41"/>
    <mergeCell ref="G72:J72"/>
    <mergeCell ref="A90:B90"/>
    <mergeCell ref="C39:H39"/>
    <mergeCell ref="I79:K79"/>
    <mergeCell ref="I88:K88"/>
    <mergeCell ref="A56:B56"/>
    <mergeCell ref="I82:K82"/>
    <mergeCell ref="C91:E91"/>
    <mergeCell ref="G71:J71"/>
    <mergeCell ref="A72:F72"/>
    <mergeCell ref="R77:T77"/>
    <mergeCell ref="C38:H38"/>
    <mergeCell ref="O90:Q90"/>
    <mergeCell ref="O85:Q85"/>
    <mergeCell ref="O72:T72"/>
    <mergeCell ref="A85:B85"/>
    <mergeCell ref="A42:B42"/>
    <mergeCell ref="A2:T2"/>
    <mergeCell ref="C77:E77"/>
    <mergeCell ref="F78:H78"/>
    <mergeCell ref="A53:B53"/>
    <mergeCell ref="F87:H87"/>
    <mergeCell ref="A73:F73"/>
    <mergeCell ref="O77:Q77"/>
    <mergeCell ref="A62:T62"/>
    <mergeCell ref="R79:T79"/>
    <mergeCell ref="K67:N67"/>
    <mergeCell ref="A70:F70"/>
    <mergeCell ref="R88:T88"/>
    <mergeCell ref="F89:H89"/>
    <mergeCell ref="G68:J68"/>
    <mergeCell ref="O83:Q83"/>
    <mergeCell ref="L87:N87"/>
    <mergeCell ref="A39:B39"/>
    <mergeCell ref="C85:E85"/>
    <mergeCell ref="C41:H41"/>
    <mergeCell ref="R90:T90"/>
    <mergeCell ref="L89:N89"/>
    <mergeCell ref="A48:T48"/>
    <mergeCell ref="C84:E84"/>
    <mergeCell ref="C54:T54"/>
    <mergeCell ref="O84:Q84"/>
    <mergeCell ref="A59:T59"/>
    <mergeCell ref="C43:H43"/>
    <mergeCell ref="L88:N88"/>
    <mergeCell ref="A79:B79"/>
    <mergeCell ref="F91:H91"/>
    <mergeCell ref="A87:B87"/>
    <mergeCell ref="A61:T61"/>
    <mergeCell ref="K69:N69"/>
    <mergeCell ref="O80:Q80"/>
    <mergeCell ref="O89:Q89"/>
    <mergeCell ref="O79:Q79"/>
    <mergeCell ref="A8:I8"/>
    <mergeCell ref="A89:B89"/>
    <mergeCell ref="F77:H77"/>
    <mergeCell ref="I78:K78"/>
    <mergeCell ref="G67:J67"/>
    <mergeCell ref="C81:E81"/>
    <mergeCell ref="G70:J70"/>
    <mergeCell ref="O81:Q81"/>
    <mergeCell ref="O67:T67"/>
    <mergeCell ref="C87:E87"/>
    <mergeCell ref="L77:N77"/>
    <mergeCell ref="O78:Q78"/>
    <mergeCell ref="C53:T53"/>
    <mergeCell ref="I81:K81"/>
    <mergeCell ref="L86:N86"/>
    <mergeCell ref="K72:N72"/>
    <mergeCell ref="A76:T76"/>
    <mergeCell ref="O87:Q87"/>
    <mergeCell ref="I90:K90"/>
    <mergeCell ref="A91:B91"/>
    <mergeCell ref="C6:H6"/>
    <mergeCell ref="C89:E89"/>
    <mergeCell ref="A52:B52"/>
    <mergeCell ref="C79:E79"/>
    <mergeCell ref="R84:T84"/>
    <mergeCell ref="C88:E88"/>
    <mergeCell ref="R78:T78"/>
    <mergeCell ref="A63:T63"/>
    <mergeCell ref="A10:T10"/>
    <mergeCell ref="R87:T87"/>
    <mergeCell ref="L78:N78"/>
    <mergeCell ref="F86:H86"/>
    <mergeCell ref="A77:B77"/>
    <mergeCell ref="A83:B83"/>
    <mergeCell ref="I91:K91"/>
    <mergeCell ref="I85:K85"/>
    <mergeCell ref="R80:T80"/>
    <mergeCell ref="C40:H40"/>
    <mergeCell ref="F79:H79"/>
    <mergeCell ref="R89:T89"/>
    <mergeCell ref="A49:T49"/>
    <mergeCell ref="A11:T11"/>
    <mergeCell ref="A1:T1"/>
    <mergeCell ref="A71:F71"/>
    <mergeCell ref="A78:B78"/>
    <mergeCell ref="F81:H81"/>
    <mergeCell ref="F90:H90"/>
    <mergeCell ref="L79:N79"/>
    <mergeCell ref="C51:T51"/>
    <mergeCell ref="O71:T71"/>
    <mergeCell ref="A65:T65"/>
    <mergeCell ref="I39:T39"/>
    <mergeCell ref="A80:B80"/>
    <mergeCell ref="L81:N81"/>
    <mergeCell ref="A55:B55"/>
    <mergeCell ref="L90:N90"/>
    <mergeCell ref="A37:T37"/>
    <mergeCell ref="A46:T46"/>
    <mergeCell ref="O73:T73"/>
    <mergeCell ref="I38:T38"/>
    <mergeCell ref="F82:H82"/>
    <mergeCell ref="A68:F68"/>
    <mergeCell ref="A12:T12"/>
    <mergeCell ref="I84:K84"/>
    <mergeCell ref="C78:E78"/>
    <mergeCell ref="I40:T40"/>
    <mergeCell ref="A14:T14"/>
    <mergeCell ref="I86:K86"/>
    <mergeCell ref="L82:N82"/>
    <mergeCell ref="L91:N91"/>
    <mergeCell ref="I80:K80"/>
    <mergeCell ref="A38:B38"/>
    <mergeCell ref="O68:T68"/>
    <mergeCell ref="I89:K89"/>
    <mergeCell ref="A43:B43"/>
    <mergeCell ref="F84:H84"/>
    <mergeCell ref="A40:B40"/>
    <mergeCell ref="K71:N71"/>
    <mergeCell ref="A93:T93"/>
    <mergeCell ref="F80:H80"/>
    <mergeCell ref="A82:B82"/>
    <mergeCell ref="C44:H44"/>
    <mergeCell ref="G73:J73"/>
    <mergeCell ref="O88:Q88"/>
    <mergeCell ref="C55:T55"/>
    <mergeCell ref="K73:N73"/>
    <mergeCell ref="R86:T86"/>
    <mergeCell ref="C90:E90"/>
    <mergeCell ref="I42:T42"/>
    <mergeCell ref="L84:N84"/>
    <mergeCell ref="I83:K83"/>
    <mergeCell ref="A84:B84"/>
    <mergeCell ref="C52:T52"/>
    <mergeCell ref="K68:N68"/>
    <mergeCell ref="O70:T70"/>
    <mergeCell ref="C82:E82"/>
    <mergeCell ref="R81:T81"/>
    <mergeCell ref="C7:H7"/>
    <mergeCell ref="A66:T66"/>
    <mergeCell ref="I44:T44"/>
    <mergeCell ref="A50:B50"/>
    <mergeCell ref="O91:Q91"/>
    <mergeCell ref="A75:T75"/>
    <mergeCell ref="O82:Q82"/>
    <mergeCell ref="L80:N80"/>
    <mergeCell ref="A86:B86"/>
    <mergeCell ref="A3:T3"/>
    <mergeCell ref="A67:F67"/>
    <mergeCell ref="F88:H88"/>
    <mergeCell ref="C86:E86"/>
    <mergeCell ref="A47:T47"/>
    <mergeCell ref="C83:E83"/>
    <mergeCell ref="O86:Q86"/>
    <mergeCell ref="A5:T5"/>
    <mergeCell ref="I77:K77"/>
    <mergeCell ref="R82:T82"/>
    <mergeCell ref="C42:H42"/>
    <mergeCell ref="A81:B81"/>
    <mergeCell ref="G69:J69"/>
    <mergeCell ref="A44:B44"/>
    <mergeCell ref="F83:H83"/>
    <mergeCell ref="A69:F69"/>
    <mergeCell ref="A13:T13"/>
  </mergeCells>
  <conditionalFormatting sqref="G17:G35">
    <cfRule type="colorScale" priority="1">
      <colorScale>
        <cfvo type="num" val="0"/>
        <cfvo type="num" val="40"/>
        <color rgb="00FFFFFF"/>
        <color rgb="00A9D08E"/>
      </colorScale>
    </cfRule>
  </conditionalFormatting>
  <conditionalFormatting sqref="H17:H35">
    <cfRule type="colorScale" priority="2">
      <colorScale>
        <cfvo type="num" val="0"/>
        <cfvo type="num" val="40"/>
        <color rgb="00FFFFFF"/>
        <color rgb="00A9D08E"/>
      </colorScale>
    </cfRule>
  </conditionalFormatting>
  <conditionalFormatting sqref="I17:I35">
    <cfRule type="colorScale" priority="3">
      <colorScale>
        <cfvo type="num" val="0"/>
        <cfvo type="num" val="40"/>
        <color rgb="00FFFFFF"/>
        <color rgb="00A9D08E"/>
      </colorScale>
    </cfRule>
  </conditionalFormatting>
  <conditionalFormatting sqref="J17:J35">
    <cfRule type="colorScale" priority="4">
      <colorScale>
        <cfvo type="num" val="0"/>
        <cfvo type="num" val="40"/>
        <color rgb="00FFFFFF"/>
        <color rgb="00A9D08E"/>
      </colorScale>
    </cfRule>
  </conditionalFormatting>
  <conditionalFormatting sqref="K17:K35">
    <cfRule type="colorScale" priority="5">
      <colorScale>
        <cfvo type="num" val="0"/>
        <cfvo type="num" val="40"/>
        <color rgb="00FFFFFF"/>
        <color rgb="00A9D08E"/>
      </colorScale>
    </cfRule>
  </conditionalFormatting>
  <conditionalFormatting sqref="L17:L35">
    <cfRule type="colorScale" priority="6">
      <colorScale>
        <cfvo type="num" val="0"/>
        <cfvo type="num" val="40"/>
        <color rgb="00FFFFFF"/>
        <color rgb="00A9D08E"/>
      </colorScale>
    </cfRule>
  </conditionalFormatting>
  <dataValidations count="2">
    <dataValidation sqref="G17:L35" showDropDown="0" showInputMessage="0" showErrorMessage="1" allowBlank="1" errorTitle="Weight" error="Enter a weight from 0 to 100 (%)." type="decimal" operator="between">
      <formula1>0</formula1>
      <formula2>100</formula2>
    </dataValidation>
    <dataValidation sqref="B6:B7" showDropDown="0" showInputMessage="0" showErrorMessage="1" allowBlank="0" errorTitle="Experience weight" error="Enter a weight from 0 to 50 (%)." type="decimal" operator="between">
      <formula1>0</formula1>
      <formula2>50</formula2>
    </dataValidation>
  </dataValidation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7.xml><?xml version="1.0" encoding="utf-8"?>
<worksheet xmlns="http://schemas.openxmlformats.org/spreadsheetml/2006/main">
  <sheetPr>
    <tabColor rgb="002E75B6"/>
    <outlinePr summaryBelow="1" summaryRight="1"/>
    <pageSetUpPr fitToPage="1"/>
  </sheetPr>
  <dimension ref="A1:I155"/>
  <sheetViews>
    <sheetView showGridLines="0" workbookViewId="0">
      <pane ySplit="4" topLeftCell="A5" activePane="bottomLeft" state="frozen"/>
      <selection pane="bottomLef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2" customWidth="1" min="7" max="7"/>
    <col width="60" customWidth="1" min="8" max="8"/>
    <col width="13" customWidth="1" min="9" max="9"/>
  </cols>
  <sheetData>
    <row r="1" ht="34" customHeight="1">
      <c r="A1" s="1" t="inlineStr">
        <is>
          <t>Weight benchmark — where the default weights come from</t>
        </is>
      </c>
      <c r="I1" s="242" t="inlineStr">
        <is>
          <t>◂ Contents</t>
        </is>
      </c>
    </row>
    <row r="2" ht="32" customHeight="1">
      <c r="A2" s="3" t="inlineStr">
        <is>
          <t>1e · The published point-factor plans, how weights shift with seniority, the evidence on experience and on business impact, and IRIS's defaults set against them. Every figure has its source.</t>
        </is>
      </c>
    </row>
    <row r="3">
      <c r="A3" s="4" t="inlineStr">
        <is>
          <t>IRIS · Job Architecture &amp; Job Design · Final v1.12 · October 2026 · Internal — Confidential</t>
        </is>
      </c>
    </row>
    <row r="4"/>
    <row r="5" ht="20" customHeight="1">
      <c r="A5" s="6" t="inlineStr">
        <is>
          <t>0. How the default weights were derived — in one table</t>
        </is>
      </c>
    </row>
    <row r="6" ht="41" customHeight="1">
      <c r="A6" s="11" t="inlineStr">
        <is>
          <r>
            <rPr>
              <rFont val="Calibri"/>
              <b val="1"/>
              <i val="1"/>
              <color rgb="00595959"/>
              <sz val="10"/>
            </rPr>
            <t>Three published sources, given equal weight:</t>
          </r>
          <r>
            <rPr>
              <rFont val="Calibri"/>
              <i val="1"/>
              <color rgb="00595959"/>
              <sz val="10"/>
            </rPr>
            <t xml:space="preserve"> Korn Ferry Hay — the most widely used private-sector method, with verified point evaluations by level; Mercer IPE — its published point table; and the five public point-factor plans. Each is mapped to the six IRIS factors by the same rules, then the three are averaged and rounded to whole numbers. The three sources agree within a few points for every role group.</t>
          </r>
        </is>
      </c>
    </row>
    <row r="7" ht="28" customHeight="1">
      <c r="A7" s="12" t="inlineStr">
        <is>
          <t>Role group · source</t>
        </is>
      </c>
      <c r="B7" s="12" t="inlineStr">
        <is>
          <t>Complexity</t>
        </is>
      </c>
      <c r="C7" s="12" t="inlineStr">
        <is>
          <t>Autonomy</t>
        </is>
      </c>
      <c r="D7" s="12" t="inlineStr">
        <is>
          <t>Accountability</t>
        </is>
      </c>
      <c r="E7" s="12" t="inlineStr">
        <is>
          <t>Leadership</t>
        </is>
      </c>
      <c r="F7" s="12" t="inlineStr">
        <is>
          <t>Experience</t>
        </is>
      </c>
      <c r="G7" s="12" t="inlineStr">
        <is>
          <t>Business impact</t>
        </is>
      </c>
      <c r="H7" s="12" t="inlineStr">
        <is>
          <t>Note</t>
        </is>
      </c>
    </row>
    <row r="8" ht="15" customHeight="1">
      <c r="A8" s="13" t="inlineStr">
        <is>
          <t>Band A · Korn Ferry Hay</t>
        </is>
      </c>
      <c r="B8" s="15" t="inlineStr">
        <is>
          <t>71%</t>
        </is>
      </c>
      <c r="C8" s="15" t="inlineStr">
        <is>
          <t>11%</t>
        </is>
      </c>
      <c r="D8" s="15" t="inlineStr">
        <is>
          <t>4%</t>
        </is>
      </c>
      <c r="E8" s="15" t="inlineStr">
        <is>
          <t>0%</t>
        </is>
      </c>
      <c r="F8" s="15" t="inlineStr">
        <is>
          <t>10%</t>
        </is>
      </c>
      <c r="G8" s="15" t="inlineStr">
        <is>
          <t>4%</t>
        </is>
      </c>
      <c r="H8" s="16" t="inlineStr"/>
    </row>
    <row r="9" ht="15" customHeight="1">
      <c r="A9" s="13" t="inlineStr">
        <is>
          <t>Band A · Mercer IPE</t>
        </is>
      </c>
      <c r="B9" s="15" t="inlineStr">
        <is>
          <t>51%</t>
        </is>
      </c>
      <c r="C9" s="15" t="inlineStr">
        <is>
          <t>22%</t>
        </is>
      </c>
      <c r="D9" s="15" t="inlineStr">
        <is>
          <t>8%</t>
        </is>
      </c>
      <c r="E9" s="15" t="inlineStr">
        <is>
          <t>0%</t>
        </is>
      </c>
      <c r="F9" s="15" t="inlineStr">
        <is>
          <t>10%</t>
        </is>
      </c>
      <c r="G9" s="15" t="inlineStr">
        <is>
          <t>8%</t>
        </is>
      </c>
      <c r="H9" s="16" t="inlineStr"/>
    </row>
    <row r="10" ht="15" customHeight="1">
      <c r="A10" s="13" t="inlineStr">
        <is>
          <t>Band A · Public plans</t>
        </is>
      </c>
      <c r="B10" s="15" t="inlineStr">
        <is>
          <t>53%</t>
        </is>
      </c>
      <c r="C10" s="15" t="inlineStr">
        <is>
          <t>15%</t>
        </is>
      </c>
      <c r="D10" s="15" t="inlineStr">
        <is>
          <t>15%</t>
        </is>
      </c>
      <c r="E10" s="15" t="inlineStr">
        <is>
          <t>0%</t>
        </is>
      </c>
      <c r="F10" s="15" t="inlineStr">
        <is>
          <t>10%</t>
        </is>
      </c>
      <c r="G10" s="15" t="inlineStr">
        <is>
          <t>7%</t>
        </is>
      </c>
      <c r="H10" s="16" t="inlineStr"/>
    </row>
    <row r="11" ht="15" customHeight="1">
      <c r="A11" s="27" t="inlineStr">
        <is>
          <t>Band A · IRIS default</t>
        </is>
      </c>
      <c r="B11" s="23" t="inlineStr">
        <is>
          <t>59%</t>
        </is>
      </c>
      <c r="C11" s="23" t="inlineStr">
        <is>
          <t>16%</t>
        </is>
      </c>
      <c r="D11" s="23" t="inlineStr">
        <is>
          <t>9%</t>
        </is>
      </c>
      <c r="E11" s="23" t="inlineStr">
        <is>
          <t>0%</t>
        </is>
      </c>
      <c r="F11" s="23" t="inlineStr">
        <is>
          <t>10%</t>
        </is>
      </c>
      <c r="G11" s="23" t="inlineStr">
        <is>
          <t>6%</t>
        </is>
      </c>
      <c r="H11" s="21" t="inlineStr">
        <is>
          <t>Average of the three, whole numbers</t>
        </is>
      </c>
    </row>
    <row r="12" ht="28" customHeight="1">
      <c r="A12" s="13" t="inlineStr">
        <is>
          <t>Band B · IC / POD Lead · Korn Ferry Hay</t>
        </is>
      </c>
      <c r="B12" s="15" t="inlineStr">
        <is>
          <t>54%</t>
        </is>
      </c>
      <c r="C12" s="15" t="inlineStr">
        <is>
          <t>19%</t>
        </is>
      </c>
      <c r="D12" s="15" t="inlineStr">
        <is>
          <t>6%</t>
        </is>
      </c>
      <c r="E12" s="15" t="inlineStr">
        <is>
          <t>5%</t>
        </is>
      </c>
      <c r="F12" s="15" t="inlineStr">
        <is>
          <t>10%</t>
        </is>
      </c>
      <c r="G12" s="15" t="inlineStr">
        <is>
          <t>6%</t>
        </is>
      </c>
      <c r="H12" s="16" t="inlineStr"/>
    </row>
    <row r="13" ht="28" customHeight="1">
      <c r="A13" s="13" t="inlineStr">
        <is>
          <t>Band B · IC / POD Lead · Mercer IPE</t>
        </is>
      </c>
      <c r="B13" s="15" t="inlineStr">
        <is>
          <t>52%</t>
        </is>
      </c>
      <c r="C13" s="15" t="inlineStr">
        <is>
          <t>18%</t>
        </is>
      </c>
      <c r="D13" s="15" t="inlineStr">
        <is>
          <t>8%</t>
        </is>
      </c>
      <c r="E13" s="15" t="inlineStr">
        <is>
          <t>5%</t>
        </is>
      </c>
      <c r="F13" s="15" t="inlineStr">
        <is>
          <t>10%</t>
        </is>
      </c>
      <c r="G13" s="15" t="inlineStr">
        <is>
          <t>8%</t>
        </is>
      </c>
      <c r="H13" s="16" t="inlineStr"/>
    </row>
    <row r="14" ht="28" customHeight="1">
      <c r="A14" s="13" t="inlineStr">
        <is>
          <t>Band B · IC / POD Lead · Public plans</t>
        </is>
      </c>
      <c r="B14" s="15" t="inlineStr">
        <is>
          <t>48%</t>
        </is>
      </c>
      <c r="C14" s="15" t="inlineStr">
        <is>
          <t>15%</t>
        </is>
      </c>
      <c r="D14" s="15" t="inlineStr">
        <is>
          <t>15%</t>
        </is>
      </c>
      <c r="E14" s="15" t="inlineStr">
        <is>
          <t>5%</t>
        </is>
      </c>
      <c r="F14" s="15" t="inlineStr">
        <is>
          <t>10%</t>
        </is>
      </c>
      <c r="G14" s="15" t="inlineStr">
        <is>
          <t>7%</t>
        </is>
      </c>
      <c r="H14" s="16" t="inlineStr"/>
    </row>
    <row r="15" ht="28" customHeight="1">
      <c r="A15" s="27" t="inlineStr">
        <is>
          <t>Band B · IC / POD Lead · IRIS default</t>
        </is>
      </c>
      <c r="B15" s="23" t="inlineStr">
        <is>
          <t>51%</t>
        </is>
      </c>
      <c r="C15" s="23" t="inlineStr">
        <is>
          <t>17%</t>
        </is>
      </c>
      <c r="D15" s="23" t="inlineStr">
        <is>
          <t>10%</t>
        </is>
      </c>
      <c r="E15" s="23" t="inlineStr">
        <is>
          <t>5%</t>
        </is>
      </c>
      <c r="F15" s="23" t="inlineStr">
        <is>
          <t>10%</t>
        </is>
      </c>
      <c r="G15" s="23" t="inlineStr">
        <is>
          <t>7%</t>
        </is>
      </c>
      <c r="H15" s="21" t="inlineStr">
        <is>
          <t>Average of the three, whole numbers</t>
        </is>
      </c>
    </row>
    <row r="16" ht="28" customHeight="1">
      <c r="A16" s="13" t="inlineStr">
        <is>
          <t>Band B · People Manager · Korn Ferry Hay</t>
        </is>
      </c>
      <c r="B16" s="15" t="inlineStr">
        <is>
          <t>35%</t>
        </is>
      </c>
      <c r="C16" s="15" t="inlineStr">
        <is>
          <t>21%</t>
        </is>
      </c>
      <c r="D16" s="15" t="inlineStr">
        <is>
          <t>10%</t>
        </is>
      </c>
      <c r="E16" s="15" t="inlineStr">
        <is>
          <t>15%</t>
        </is>
      </c>
      <c r="F16" s="15" t="inlineStr">
        <is>
          <t>10%</t>
        </is>
      </c>
      <c r="G16" s="15" t="inlineStr">
        <is>
          <t>10%</t>
        </is>
      </c>
      <c r="H16" s="16" t="inlineStr"/>
    </row>
    <row r="17" ht="28" customHeight="1">
      <c r="A17" s="13" t="inlineStr">
        <is>
          <t>Band B · People Manager · Mercer IPE</t>
        </is>
      </c>
      <c r="B17" s="15" t="inlineStr">
        <is>
          <t>38%</t>
        </is>
      </c>
      <c r="C17" s="15" t="inlineStr">
        <is>
          <t>19%</t>
        </is>
      </c>
      <c r="D17" s="15" t="inlineStr">
        <is>
          <t>9%</t>
        </is>
      </c>
      <c r="E17" s="15" t="inlineStr">
        <is>
          <t>15%</t>
        </is>
      </c>
      <c r="F17" s="15" t="inlineStr">
        <is>
          <t>10%</t>
        </is>
      </c>
      <c r="G17" s="15" t="inlineStr">
        <is>
          <t>9%</t>
        </is>
      </c>
      <c r="H17" s="16" t="inlineStr"/>
    </row>
    <row r="18" ht="28" customHeight="1">
      <c r="A18" s="13" t="inlineStr">
        <is>
          <t>Band B · People Manager · Public plans</t>
        </is>
      </c>
      <c r="B18" s="15" t="inlineStr">
        <is>
          <t>38%</t>
        </is>
      </c>
      <c r="C18" s="15" t="inlineStr">
        <is>
          <t>15%</t>
        </is>
      </c>
      <c r="D18" s="15" t="inlineStr">
        <is>
          <t>15%</t>
        </is>
      </c>
      <c r="E18" s="15" t="inlineStr">
        <is>
          <t>15%</t>
        </is>
      </c>
      <c r="F18" s="15" t="inlineStr">
        <is>
          <t>10%</t>
        </is>
      </c>
      <c r="G18" s="15" t="inlineStr">
        <is>
          <t>7%</t>
        </is>
      </c>
      <c r="H18" s="16" t="inlineStr"/>
    </row>
    <row r="19" ht="28" customHeight="1">
      <c r="A19" s="27" t="inlineStr">
        <is>
          <t>Band B · People Manager · IRIS default</t>
        </is>
      </c>
      <c r="B19" s="23" t="inlineStr">
        <is>
          <t>37%</t>
        </is>
      </c>
      <c r="C19" s="23" t="inlineStr">
        <is>
          <t>18%</t>
        </is>
      </c>
      <c r="D19" s="23" t="inlineStr">
        <is>
          <t>11%</t>
        </is>
      </c>
      <c r="E19" s="23" t="inlineStr">
        <is>
          <t>15%</t>
        </is>
      </c>
      <c r="F19" s="23" t="inlineStr">
        <is>
          <t>10%</t>
        </is>
      </c>
      <c r="G19" s="23" t="inlineStr">
        <is>
          <t>9%</t>
        </is>
      </c>
      <c r="H19" s="21" t="inlineStr">
        <is>
          <t>Average of the three, whole numbers</t>
        </is>
      </c>
    </row>
    <row r="20" ht="28" customHeight="1">
      <c r="A20" s="13" t="inlineStr">
        <is>
          <t>Player-Coach · B+ · Korn Ferry Hay</t>
        </is>
      </c>
      <c r="B20" s="15" t="inlineStr">
        <is>
          <t>44%</t>
        </is>
      </c>
      <c r="C20" s="15" t="inlineStr">
        <is>
          <t>20%</t>
        </is>
      </c>
      <c r="D20" s="15" t="inlineStr">
        <is>
          <t>8%</t>
        </is>
      </c>
      <c r="E20" s="15" t="inlineStr">
        <is>
          <t>10%</t>
        </is>
      </c>
      <c r="F20" s="15" t="inlineStr">
        <is>
          <t>10%</t>
        </is>
      </c>
      <c r="G20" s="15" t="inlineStr">
        <is>
          <t>8%</t>
        </is>
      </c>
      <c r="H20" s="16" t="inlineStr"/>
    </row>
    <row r="21" ht="15" customHeight="1">
      <c r="A21" s="13" t="inlineStr">
        <is>
          <t>Player-Coach · B+ · Mercer IPE</t>
        </is>
      </c>
      <c r="B21" s="15" t="inlineStr">
        <is>
          <t>45%</t>
        </is>
      </c>
      <c r="C21" s="15" t="inlineStr">
        <is>
          <t>18%</t>
        </is>
      </c>
      <c r="D21" s="15" t="inlineStr">
        <is>
          <t>8%</t>
        </is>
      </c>
      <c r="E21" s="15" t="inlineStr">
        <is>
          <t>10%</t>
        </is>
      </c>
      <c r="F21" s="15" t="inlineStr">
        <is>
          <t>10%</t>
        </is>
      </c>
      <c r="G21" s="15" t="inlineStr">
        <is>
          <t>8%</t>
        </is>
      </c>
      <c r="H21" s="16" t="inlineStr"/>
    </row>
    <row r="22" ht="15" customHeight="1">
      <c r="A22" s="13" t="inlineStr">
        <is>
          <t>Player-Coach · B+ · Public plans</t>
        </is>
      </c>
      <c r="B22" s="15" t="inlineStr">
        <is>
          <t>43%</t>
        </is>
      </c>
      <c r="C22" s="15" t="inlineStr">
        <is>
          <t>15%</t>
        </is>
      </c>
      <c r="D22" s="15" t="inlineStr">
        <is>
          <t>15%</t>
        </is>
      </c>
      <c r="E22" s="15" t="inlineStr">
        <is>
          <t>10%</t>
        </is>
      </c>
      <c r="F22" s="15" t="inlineStr">
        <is>
          <t>10%</t>
        </is>
      </c>
      <c r="G22" s="15" t="inlineStr">
        <is>
          <t>7%</t>
        </is>
      </c>
      <c r="H22" s="16" t="inlineStr"/>
    </row>
    <row r="23" ht="15" customHeight="1">
      <c r="A23" s="27" t="inlineStr">
        <is>
          <t>Player-Coach · B+ · IRIS default</t>
        </is>
      </c>
      <c r="B23" s="23" t="inlineStr">
        <is>
          <t>44%</t>
        </is>
      </c>
      <c r="C23" s="23" t="inlineStr">
        <is>
          <t>18%</t>
        </is>
      </c>
      <c r="D23" s="23" t="inlineStr">
        <is>
          <t>10%</t>
        </is>
      </c>
      <c r="E23" s="23" t="inlineStr">
        <is>
          <t>10%</t>
        </is>
      </c>
      <c r="F23" s="23" t="inlineStr">
        <is>
          <t>10%</t>
        </is>
      </c>
      <c r="G23" s="23" t="inlineStr">
        <is>
          <t>8%</t>
        </is>
      </c>
      <c r="H23" s="21" t="inlineStr">
        <is>
          <t>Average of the three, whole numbers</t>
        </is>
      </c>
    </row>
    <row r="24" ht="28" customHeight="1">
      <c r="A24" s="13" t="inlineStr">
        <is>
          <t>Band C · Principal specialist · Korn Ferry Hay</t>
        </is>
      </c>
      <c r="B24" s="15" t="inlineStr">
        <is>
          <t>55%</t>
        </is>
      </c>
      <c r="C24" s="15" t="inlineStr">
        <is>
          <t>20%</t>
        </is>
      </c>
      <c r="D24" s="15" t="inlineStr">
        <is>
          <t>8%</t>
        </is>
      </c>
      <c r="E24" s="15" t="inlineStr">
        <is>
          <t>5%</t>
        </is>
      </c>
      <c r="F24" s="15" t="inlineStr">
        <is>
          <t>5%</t>
        </is>
      </c>
      <c r="G24" s="15" t="inlineStr">
        <is>
          <t>8%</t>
        </is>
      </c>
      <c r="H24" s="16" t="inlineStr"/>
    </row>
    <row r="25" ht="28" customHeight="1">
      <c r="A25" s="13" t="inlineStr">
        <is>
          <t>Band C · Principal specialist · Mercer IPE</t>
        </is>
      </c>
      <c r="B25" s="15" t="inlineStr">
        <is>
          <t>55%</t>
        </is>
      </c>
      <c r="C25" s="15" t="inlineStr">
        <is>
          <t>18%</t>
        </is>
      </c>
      <c r="D25" s="15" t="inlineStr">
        <is>
          <t>8%</t>
        </is>
      </c>
      <c r="E25" s="15" t="inlineStr">
        <is>
          <t>5%</t>
        </is>
      </c>
      <c r="F25" s="15" t="inlineStr">
        <is>
          <t>5%</t>
        </is>
      </c>
      <c r="G25" s="15" t="inlineStr">
        <is>
          <t>8%</t>
        </is>
      </c>
      <c r="H25" s="16" t="inlineStr"/>
    </row>
    <row r="26" ht="28" customHeight="1">
      <c r="A26" s="13" t="inlineStr">
        <is>
          <t>Band C · Principal specialist · Public plans</t>
        </is>
      </c>
      <c r="B26" s="15" t="inlineStr">
        <is>
          <t>53%</t>
        </is>
      </c>
      <c r="C26" s="15" t="inlineStr">
        <is>
          <t>15%</t>
        </is>
      </c>
      <c r="D26" s="15" t="inlineStr">
        <is>
          <t>15%</t>
        </is>
      </c>
      <c r="E26" s="15" t="inlineStr">
        <is>
          <t>5%</t>
        </is>
      </c>
      <c r="F26" s="15" t="inlineStr">
        <is>
          <t>5%</t>
        </is>
      </c>
      <c r="G26" s="15" t="inlineStr">
        <is>
          <t>7%</t>
        </is>
      </c>
      <c r="H26" s="16" t="inlineStr"/>
    </row>
    <row r="27" ht="28" customHeight="1">
      <c r="A27" s="27" t="inlineStr">
        <is>
          <t>Band C · Principal specialist · IRIS default</t>
        </is>
      </c>
      <c r="B27" s="23" t="inlineStr">
        <is>
          <t>54%</t>
        </is>
      </c>
      <c r="C27" s="23" t="inlineStr">
        <is>
          <t>18%</t>
        </is>
      </c>
      <c r="D27" s="23" t="inlineStr">
        <is>
          <t>10%</t>
        </is>
      </c>
      <c r="E27" s="23" t="inlineStr">
        <is>
          <t>5%</t>
        </is>
      </c>
      <c r="F27" s="23" t="inlineStr">
        <is>
          <t>5%</t>
        </is>
      </c>
      <c r="G27" s="23" t="inlineStr">
        <is>
          <t>8%</t>
        </is>
      </c>
      <c r="H27" s="21" t="inlineStr">
        <is>
          <t>Average of the three, whole numbers</t>
        </is>
      </c>
    </row>
    <row r="28" ht="28" customHeight="1">
      <c r="A28" s="13" t="inlineStr">
        <is>
          <t>Band C · Head / manager · Korn Ferry Hay</t>
        </is>
      </c>
      <c r="B28" s="15" t="inlineStr">
        <is>
          <t>44%</t>
        </is>
      </c>
      <c r="C28" s="15" t="inlineStr">
        <is>
          <t>20%</t>
        </is>
      </c>
      <c r="D28" s="15" t="inlineStr">
        <is>
          <t>8%</t>
        </is>
      </c>
      <c r="E28" s="15" t="inlineStr">
        <is>
          <t>15%</t>
        </is>
      </c>
      <c r="F28" s="15" t="inlineStr">
        <is>
          <t>5%</t>
        </is>
      </c>
      <c r="G28" s="15" t="inlineStr">
        <is>
          <t>8%</t>
        </is>
      </c>
      <c r="H28" s="16" t="inlineStr"/>
    </row>
    <row r="29" ht="28" customHeight="1">
      <c r="A29" s="13" t="inlineStr">
        <is>
          <t>Band C · Head / manager · Mercer IPE</t>
        </is>
      </c>
      <c r="B29" s="15" t="inlineStr">
        <is>
          <t>43%</t>
        </is>
      </c>
      <c r="C29" s="15" t="inlineStr">
        <is>
          <t>19%</t>
        </is>
      </c>
      <c r="D29" s="15" t="inlineStr">
        <is>
          <t>9%</t>
        </is>
      </c>
      <c r="E29" s="15" t="inlineStr">
        <is>
          <t>15%</t>
        </is>
      </c>
      <c r="F29" s="15" t="inlineStr">
        <is>
          <t>5%</t>
        </is>
      </c>
      <c r="G29" s="15" t="inlineStr">
        <is>
          <t>9%</t>
        </is>
      </c>
      <c r="H29" s="16" t="inlineStr"/>
    </row>
    <row r="30" ht="28" customHeight="1">
      <c r="A30" s="13" t="inlineStr">
        <is>
          <t>Band C · Head / manager · Public plans</t>
        </is>
      </c>
      <c r="B30" s="15" t="inlineStr">
        <is>
          <t>43%</t>
        </is>
      </c>
      <c r="C30" s="15" t="inlineStr">
        <is>
          <t>15%</t>
        </is>
      </c>
      <c r="D30" s="15" t="inlineStr">
        <is>
          <t>15%</t>
        </is>
      </c>
      <c r="E30" s="15" t="inlineStr">
        <is>
          <t>15%</t>
        </is>
      </c>
      <c r="F30" s="15" t="inlineStr">
        <is>
          <t>5%</t>
        </is>
      </c>
      <c r="G30" s="15" t="inlineStr">
        <is>
          <t>7%</t>
        </is>
      </c>
      <c r="H30" s="16" t="inlineStr"/>
    </row>
    <row r="31" ht="28" customHeight="1">
      <c r="A31" s="27" t="inlineStr">
        <is>
          <t>Band C · Head / manager · IRIS default</t>
        </is>
      </c>
      <c r="B31" s="23" t="inlineStr">
        <is>
          <t>43%</t>
        </is>
      </c>
      <c r="C31" s="23" t="inlineStr">
        <is>
          <t>18%</t>
        </is>
      </c>
      <c r="D31" s="23" t="inlineStr">
        <is>
          <t>11%</t>
        </is>
      </c>
      <c r="E31" s="23" t="inlineStr">
        <is>
          <t>15%</t>
        </is>
      </c>
      <c r="F31" s="23" t="inlineStr">
        <is>
          <t>5%</t>
        </is>
      </c>
      <c r="G31" s="23" t="inlineStr">
        <is>
          <t>8%</t>
        </is>
      </c>
      <c r="H31" s="21" t="inlineStr">
        <is>
          <t>Average of the three, whole numbers</t>
        </is>
      </c>
    </row>
    <row r="32" ht="28" customHeight="1">
      <c r="A32" s="13" t="inlineStr">
        <is>
          <t>Player-Coach · C+ · Korn Ferry Hay</t>
        </is>
      </c>
      <c r="B32" s="15" t="inlineStr">
        <is>
          <t>38%</t>
        </is>
      </c>
      <c r="C32" s="15" t="inlineStr">
        <is>
          <t>21%</t>
        </is>
      </c>
      <c r="D32" s="15" t="inlineStr">
        <is>
          <t>8%</t>
        </is>
      </c>
      <c r="E32" s="15" t="inlineStr">
        <is>
          <t>20%</t>
        </is>
      </c>
      <c r="F32" s="15" t="inlineStr">
        <is>
          <t>5%</t>
        </is>
      </c>
      <c r="G32" s="15" t="inlineStr">
        <is>
          <t>8%</t>
        </is>
      </c>
      <c r="H32" s="16" t="inlineStr"/>
    </row>
    <row r="33" ht="15" customHeight="1">
      <c r="A33" s="13" t="inlineStr">
        <is>
          <t>Player-Coach · C+ · Mercer IPE</t>
        </is>
      </c>
      <c r="B33" s="15" t="inlineStr">
        <is>
          <t>37%</t>
        </is>
      </c>
      <c r="C33" s="15" t="inlineStr">
        <is>
          <t>19%</t>
        </is>
      </c>
      <c r="D33" s="15" t="inlineStr">
        <is>
          <t>9%</t>
        </is>
      </c>
      <c r="E33" s="15" t="inlineStr">
        <is>
          <t>20%</t>
        </is>
      </c>
      <c r="F33" s="15" t="inlineStr">
        <is>
          <t>5%</t>
        </is>
      </c>
      <c r="G33" s="15" t="inlineStr">
        <is>
          <t>9%</t>
        </is>
      </c>
      <c r="H33" s="16" t="inlineStr"/>
    </row>
    <row r="34" ht="15" customHeight="1">
      <c r="A34" s="13" t="inlineStr">
        <is>
          <t>Player-Coach · C+ · Public plans</t>
        </is>
      </c>
      <c r="B34" s="15" t="inlineStr">
        <is>
          <t>38%</t>
        </is>
      </c>
      <c r="C34" s="15" t="inlineStr">
        <is>
          <t>15%</t>
        </is>
      </c>
      <c r="D34" s="15" t="inlineStr">
        <is>
          <t>15%</t>
        </is>
      </c>
      <c r="E34" s="15" t="inlineStr">
        <is>
          <t>20%</t>
        </is>
      </c>
      <c r="F34" s="15" t="inlineStr">
        <is>
          <t>5%</t>
        </is>
      </c>
      <c r="G34" s="15" t="inlineStr">
        <is>
          <t>7%</t>
        </is>
      </c>
      <c r="H34" s="16" t="inlineStr"/>
    </row>
    <row r="35" ht="15" customHeight="1">
      <c r="A35" s="27" t="inlineStr">
        <is>
          <t>Player-Coach · C+ · IRIS default</t>
        </is>
      </c>
      <c r="B35" s="23" t="inlineStr">
        <is>
          <t>38%</t>
        </is>
      </c>
      <c r="C35" s="23" t="inlineStr">
        <is>
          <t>18%</t>
        </is>
      </c>
      <c r="D35" s="23" t="inlineStr">
        <is>
          <t>11%</t>
        </is>
      </c>
      <c r="E35" s="23" t="inlineStr">
        <is>
          <t>20%</t>
        </is>
      </c>
      <c r="F35" s="23" t="inlineStr">
        <is>
          <t>5%</t>
        </is>
      </c>
      <c r="G35" s="23" t="inlineStr">
        <is>
          <t>8%</t>
        </is>
      </c>
      <c r="H35" s="21" t="inlineStr">
        <is>
          <t>Average of the three, whole numbers</t>
        </is>
      </c>
    </row>
    <row r="36" ht="15" customHeight="1">
      <c r="A36" s="13" t="inlineStr">
        <is>
          <t>Bands D–E · Korn Ferry Hay</t>
        </is>
      </c>
      <c r="B36" s="15" t="inlineStr">
        <is>
          <t>36%</t>
        </is>
      </c>
      <c r="C36" s="15" t="inlineStr">
        <is>
          <t>22%</t>
        </is>
      </c>
      <c r="D36" s="15" t="inlineStr">
        <is>
          <t>9%</t>
        </is>
      </c>
      <c r="E36" s="15" t="inlineStr">
        <is>
          <t>20%</t>
        </is>
      </c>
      <c r="F36" s="15" t="inlineStr">
        <is>
          <t>5%</t>
        </is>
      </c>
      <c r="G36" s="15" t="inlineStr">
        <is>
          <t>9%</t>
        </is>
      </c>
      <c r="H36" s="16" t="inlineStr"/>
    </row>
    <row r="37" ht="15" customHeight="1">
      <c r="A37" s="13" t="inlineStr">
        <is>
          <t>Bands D–E · Mercer IPE</t>
        </is>
      </c>
      <c r="B37" s="15" t="inlineStr">
        <is>
          <t>35%</t>
        </is>
      </c>
      <c r="C37" s="15" t="inlineStr">
        <is>
          <t>20%</t>
        </is>
      </c>
      <c r="D37" s="15" t="inlineStr">
        <is>
          <t>10%</t>
        </is>
      </c>
      <c r="E37" s="15" t="inlineStr">
        <is>
          <t>20%</t>
        </is>
      </c>
      <c r="F37" s="15" t="inlineStr">
        <is>
          <t>5%</t>
        </is>
      </c>
      <c r="G37" s="15" t="inlineStr">
        <is>
          <t>10%</t>
        </is>
      </c>
      <c r="H37" s="16" t="inlineStr"/>
    </row>
    <row r="38" ht="15" customHeight="1">
      <c r="A38" s="13" t="inlineStr">
        <is>
          <t>Bands D–E · Public plans</t>
        </is>
      </c>
      <c r="B38" s="15" t="inlineStr">
        <is>
          <t>38%</t>
        </is>
      </c>
      <c r="C38" s="15" t="inlineStr">
        <is>
          <t>15%</t>
        </is>
      </c>
      <c r="D38" s="15" t="inlineStr">
        <is>
          <t>15%</t>
        </is>
      </c>
      <c r="E38" s="15" t="inlineStr">
        <is>
          <t>20%</t>
        </is>
      </c>
      <c r="F38" s="15" t="inlineStr">
        <is>
          <t>5%</t>
        </is>
      </c>
      <c r="G38" s="15" t="inlineStr">
        <is>
          <t>7%</t>
        </is>
      </c>
      <c r="H38" s="16" t="inlineStr"/>
    </row>
    <row r="39" ht="15" customHeight="1">
      <c r="A39" s="27" t="inlineStr">
        <is>
          <t>Bands D–E · IRIS default</t>
        </is>
      </c>
      <c r="B39" s="23" t="inlineStr">
        <is>
          <t>37%</t>
        </is>
      </c>
      <c r="C39" s="23" t="inlineStr">
        <is>
          <t>19%</t>
        </is>
      </c>
      <c r="D39" s="23" t="inlineStr">
        <is>
          <t>11%</t>
        </is>
      </c>
      <c r="E39" s="23" t="inlineStr">
        <is>
          <t>20%</t>
        </is>
      </c>
      <c r="F39" s="23" t="inlineStr">
        <is>
          <t>5%</t>
        </is>
      </c>
      <c r="G39" s="23" t="inlineStr">
        <is>
          <t>8%</t>
        </is>
      </c>
      <c r="H39" s="21" t="inlineStr">
        <is>
          <t>Average of the three, whole numbers</t>
        </is>
      </c>
    </row>
    <row r="40" ht="15" customHeight="1"/>
    <row r="41" ht="28" customHeight="1">
      <c r="A41" s="11" t="inlineStr">
        <is>
          <r>
            <rPr>
              <rFont val="Calibri"/>
              <b val="1"/>
              <i val="1"/>
              <color rgb="00595959"/>
              <sz val="10"/>
            </rPr>
            <t>Sources:</t>
          </r>
          <r>
            <rPr>
              <rFont val="Calibri"/>
              <i val="1"/>
              <color rgb="00595959"/>
              <sz val="10"/>
            </rPr>
            <t xml:space="preserve"> S46–S51 Korn Ferry Hay evaluations · S04, S52 Mercer IPE · S53–S57 NHS, UK NJC/PSC, GLPC, SJC and US OPM point-factor plans. Full links: source register, HR Super Master sheet 11 and Framework Master M16.</t>
          </r>
        </is>
      </c>
    </row>
    <row r="42" ht="20" customHeight="1">
      <c r="A42" s="6" t="inlineStr">
        <is>
          <t>0b. Mapping rules — the same for every source</t>
        </is>
      </c>
    </row>
    <row r="43" ht="15" customHeight="1">
      <c r="A43" s="12" t="inlineStr">
        <is>
          <t>IRIS factor</t>
        </is>
      </c>
      <c r="B43" s="211" t="n"/>
      <c r="C43" s="12" t="inlineStr">
        <is>
          <t>Taken from</t>
        </is>
      </c>
      <c r="D43" s="212" t="n"/>
      <c r="E43" s="212" t="n"/>
      <c r="F43" s="212" t="n"/>
      <c r="G43" s="212" t="n"/>
      <c r="H43" s="211" t="n"/>
    </row>
    <row r="44" ht="28" customHeight="1">
      <c r="A44" s="13" t="inlineStr">
        <is>
          <t>Experience &amp; Qualification</t>
        </is>
      </c>
      <c r="B44" s="211" t="n"/>
      <c r="C44" s="16" t="inlineStr">
        <is>
          <t>Held at the leadership's policy weight — 10% in Bands A–B, 5% in Bands C–E — and taken out of each method's knowledge factor first</t>
        </is>
      </c>
      <c r="D44" s="212" t="n"/>
      <c r="E44" s="212" t="n"/>
      <c r="F44" s="212" t="n"/>
      <c r="G44" s="212" t="n"/>
      <c r="H44" s="211" t="n"/>
    </row>
    <row r="45" ht="41" customHeight="1">
      <c r="A45" s="13" t="inlineStr">
        <is>
          <t>Leadership &amp; Strategy</t>
        </is>
      </c>
      <c r="B45" s="211" t="n"/>
      <c r="C45" s="16" t="inlineStr">
        <is>
          <r>
            <rPr>
              <rFont val="Calibri"/>
              <b val="1"/>
              <sz val="10"/>
            </rPr>
            <t>People leadership expected at the level:</t>
          </r>
          <r>
            <rPr>
              <rFont val="Calibri"/>
              <sz val="10"/>
            </rPr>
            <t xml:space="preserve"> 0% Band A, 5% experts, 10% B+, 15% managers and heads, 20% C+ and Bands D–E — taken from Hay know-how · managerial and human-relations know-how, Mercer IPE communication, or the plans' leadership and relationships factors</t>
          </r>
        </is>
      </c>
      <c r="D45" s="212" t="n"/>
      <c r="E45" s="212" t="n"/>
      <c r="F45" s="212" t="n"/>
      <c r="G45" s="212" t="n"/>
      <c r="H45" s="211" t="n"/>
    </row>
    <row r="46" ht="15" customHeight="1">
      <c r="A46" s="13" t="inlineStr">
        <is>
          <t>Complexity &amp; Expertise</t>
        </is>
      </c>
      <c r="B46" s="211" t="n"/>
      <c r="C46" s="16" t="inlineStr">
        <is>
          <t>The rest of the knowledge factor, plus 60% of problem solving / innovation · the thinking challenge</t>
        </is>
      </c>
      <c r="D46" s="212" t="n"/>
      <c r="E46" s="212" t="n"/>
      <c r="F46" s="212" t="n"/>
      <c r="G46" s="212" t="n"/>
      <c r="H46" s="211" t="n"/>
    </row>
    <row r="47" ht="28" customHeight="1">
      <c r="A47" s="13" t="inlineStr">
        <is>
          <t>Autonomy &amp; Decision</t>
        </is>
      </c>
      <c r="B47" s="211" t="n"/>
      <c r="C47" s="16" t="inlineStr">
        <is>
          <t>40% of problem solving / innovation · the thinking environment plus 40% of accountability / impact · freedom to act, Hay's heaviest element; the plans' own autonomy factor</t>
        </is>
      </c>
      <c r="D47" s="212" t="n"/>
      <c r="E47" s="212" t="n"/>
      <c r="F47" s="212" t="n"/>
      <c r="G47" s="212" t="n"/>
      <c r="H47" s="211" t="n"/>
    </row>
    <row r="48" ht="15" customHeight="1">
      <c r="A48" s="13" t="inlineStr">
        <is>
          <t>Accountability &amp; Impact</t>
        </is>
      </c>
      <c r="B48" s="211" t="n"/>
      <c r="C48" s="16" t="inlineStr">
        <is>
          <t>30% of accountability / impact — the area or magnitude of the job's scope; the plans' responsibility factors</t>
        </is>
      </c>
      <c r="D48" s="212" t="n"/>
      <c r="E48" s="212" t="n"/>
      <c r="F48" s="212" t="n"/>
      <c r="G48" s="212" t="n"/>
      <c r="H48" s="211" t="n"/>
    </row>
    <row r="49" ht="15" customHeight="1">
      <c r="A49" s="13" t="inlineStr">
        <is>
          <t>Business Impact</t>
        </is>
      </c>
      <c r="B49" s="211" t="n"/>
      <c r="C49" s="16" t="inlineStr">
        <is>
          <t>30% of accountability / impact — the nature of the job's impact on results; the plans' financial / consequences factor</t>
        </is>
      </c>
      <c r="D49" s="212" t="n"/>
      <c r="E49" s="212" t="n"/>
      <c r="F49" s="212" t="n"/>
      <c r="G49" s="212" t="n"/>
      <c r="H49" s="211" t="n"/>
    </row>
    <row r="50" ht="15" customHeight="1"/>
    <row r="51" ht="54" customHeight="1">
      <c r="A51" s="11" t="inlineStr">
        <is>
          <r>
            <rPr>
              <rFont val="Calibri"/>
              <b val="1"/>
              <i val="1"/>
              <color rgb="00595959"/>
              <sz val="10"/>
            </rPr>
            <t>Sources:</t>
          </r>
          <r>
            <rPr>
              <rFont val="Calibri"/>
              <i val="1"/>
              <color rgb="00595959"/>
              <sz val="10"/>
            </rPr>
            <t xml:space="preserve"> S05, S46–S52 for the Hay and IPE factor definitions; the split percentages are IRIS mapping rules applied to every source alike. Experience: Sources: S05, S49 Hay know-how includes experience however acquired · S04, S52 Mercer IPE knowledge · S07 WTW GGS · S58 McKinsey · S59 Deloitte · S60 WEF · S61 EY India, 2026 — skills over tenure. The 10% / 5% level is an IRIS leadership decision. Leadership: Sources: S05, S46, S47 Hay managerial know-how by level · S04 Mercer IPE communication · S09 McKinsey spans of control. The 0 / 5 / 10 / 15 / 20% steps by role group are an IRIS design rule.</t>
          </r>
        </is>
      </c>
    </row>
    <row r="52" ht="20" customHeight="1">
      <c r="A52" s="6" t="inlineStr">
        <is>
          <t>0c. Korn Ferry Hay — verified evaluations by level</t>
        </is>
      </c>
    </row>
    <row r="53" ht="28" customHeight="1">
      <c r="A53" s="11" t="inlineStr">
        <is>
          <t>Know-How / Problem Solving / Accountability points and shares. Canada's executive plan scores public-service jobs on the Hay guide charts, which makes these the best public evidence of Hay shares by level.</t>
        </is>
      </c>
    </row>
    <row r="54" ht="28" customHeight="1">
      <c r="A54" s="12" t="inlineStr">
        <is>
          <t>Job and level</t>
        </is>
      </c>
      <c r="B54" s="12" t="inlineStr">
        <is>
          <t>Know-How</t>
        </is>
      </c>
      <c r="C54" s="12" t="inlineStr">
        <is>
          <t>Problem Solving</t>
        </is>
      </c>
      <c r="D54" s="12" t="inlineStr">
        <is>
          <t>Accountability</t>
        </is>
      </c>
      <c r="E54" s="12" t="inlineStr">
        <is>
          <t>Shares KH / PS / AC</t>
        </is>
      </c>
      <c r="F54" s="240" t="inlineStr"/>
      <c r="G54" s="240" t="inlineStr"/>
      <c r="H54" s="12" t="inlineStr">
        <is>
          <t>Source</t>
        </is>
      </c>
    </row>
    <row r="55" ht="28" customHeight="1">
      <c r="A55" s="13" t="inlineStr">
        <is>
          <t>Junior · clerical typical profile</t>
        </is>
      </c>
      <c r="B55" s="15" t="inlineStr">
        <is>
          <t>—</t>
        </is>
      </c>
      <c r="C55" s="15" t="inlineStr">
        <is>
          <t>—</t>
        </is>
      </c>
      <c r="D55" s="15" t="inlineStr">
        <is>
          <t>—</t>
        </is>
      </c>
      <c r="E55" s="15" t="inlineStr">
        <is>
          <t>72.7 / 13.6 / 13.6</t>
        </is>
      </c>
      <c r="F55" s="16" t="inlineStr"/>
      <c r="G55" s="16" t="inlineStr"/>
      <c r="H55" s="16" t="inlineStr">
        <is>
          <t>Hay summary deck, typical profile 64/12/12 + 12% working conditions</t>
        </is>
      </c>
    </row>
    <row r="56" ht="28" customHeight="1">
      <c r="A56" s="13" t="inlineStr">
        <is>
          <t>Supervisor typical profile</t>
        </is>
      </c>
      <c r="B56" s="15" t="inlineStr">
        <is>
          <t>—</t>
        </is>
      </c>
      <c r="C56" s="15" t="inlineStr">
        <is>
          <t>—</t>
        </is>
      </c>
      <c r="D56" s="15" t="inlineStr">
        <is>
          <t>—</t>
        </is>
      </c>
      <c r="E56" s="15" t="inlineStr">
        <is>
          <t>47.4 / 20.6 / 32.0</t>
        </is>
      </c>
      <c r="F56" s="16" t="inlineStr"/>
      <c r="G56" s="16" t="inlineStr"/>
      <c r="H56" s="16" t="inlineStr">
        <is>
          <t>Hay summary deck, typical profile 46/20/31 + 3% working conditions</t>
        </is>
      </c>
    </row>
    <row r="57" ht="28" customHeight="1">
      <c r="A57" s="13" t="inlineStr">
        <is>
          <t>Professional · research scientist</t>
        </is>
      </c>
      <c r="B57" s="15" t="n">
        <v>460</v>
      </c>
      <c r="C57" s="15" t="n">
        <v>230</v>
      </c>
      <c r="D57" s="15" t="n">
        <v>132</v>
      </c>
      <c r="E57" s="15" t="inlineStr">
        <is>
          <t>56.0 / 28.0 / 16.1</t>
        </is>
      </c>
      <c r="F57" s="16" t="inlineStr"/>
      <c r="G57" s="16" t="inlineStr"/>
      <c r="H57" s="16" t="inlineStr">
        <is>
          <t>Hay summary deck</t>
        </is>
      </c>
    </row>
    <row r="58" ht="28" customHeight="1">
      <c r="A58" s="13" t="inlineStr">
        <is>
          <t>Manager · Regional Manager Finance &amp; Admin</t>
        </is>
      </c>
      <c r="B58" s="15" t="n">
        <v>460</v>
      </c>
      <c r="C58" s="15" t="n">
        <v>200</v>
      </c>
      <c r="D58" s="15" t="n">
        <v>230</v>
      </c>
      <c r="E58" s="15" t="inlineStr">
        <is>
          <t>51.7 / 22.5 / 25.8</t>
        </is>
      </c>
      <c r="F58" s="16" t="inlineStr"/>
      <c r="G58" s="16" t="inlineStr"/>
      <c r="H58" s="16" t="inlineStr">
        <is>
          <t>Canada TBS EX plan, 4-O-3</t>
        </is>
      </c>
    </row>
    <row r="59" ht="28" customHeight="1">
      <c r="A59" s="13" t="inlineStr">
        <is>
          <t>Director EX-1 · Director Financial Policies</t>
        </is>
      </c>
      <c r="B59" s="15" t="n">
        <v>460</v>
      </c>
      <c r="C59" s="15" t="n">
        <v>230</v>
      </c>
      <c r="D59" s="15" t="n">
        <v>264</v>
      </c>
      <c r="E59" s="15" t="inlineStr">
        <is>
          <t>48.2 / 24.1 / 27.7</t>
        </is>
      </c>
      <c r="F59" s="16" t="inlineStr"/>
      <c r="G59" s="16" t="inlineStr"/>
      <c r="H59" s="16" t="inlineStr">
        <is>
          <t>Canada TBS EX plan</t>
        </is>
      </c>
    </row>
    <row r="60" ht="28" customHeight="1">
      <c r="A60" s="13" t="inlineStr">
        <is>
          <t>Director EX-1 · Director Financial Management</t>
        </is>
      </c>
      <c r="B60" s="15" t="n">
        <v>528</v>
      </c>
      <c r="C60" s="15" t="n">
        <v>264</v>
      </c>
      <c r="D60" s="15" t="n">
        <v>264</v>
      </c>
      <c r="E60" s="15" t="inlineStr">
        <is>
          <t>50.0 / 25.0 / 25.0</t>
        </is>
      </c>
      <c r="F60" s="16" t="inlineStr"/>
      <c r="G60" s="16" t="inlineStr"/>
      <c r="H60" s="16" t="inlineStr">
        <is>
          <t>Canada TBS EX plan, 5-M-1</t>
        </is>
      </c>
    </row>
    <row r="61" ht="28" customHeight="1">
      <c r="A61" s="13" t="inlineStr">
        <is>
          <t>Director EX-1 · Regional Director</t>
        </is>
      </c>
      <c r="B61" s="15" t="n">
        <v>528</v>
      </c>
      <c r="C61" s="15" t="n">
        <v>264</v>
      </c>
      <c r="D61" s="15" t="n">
        <v>304</v>
      </c>
      <c r="E61" s="15" t="inlineStr">
        <is>
          <t>48.2 / 24.1 / 27.7</t>
        </is>
      </c>
      <c r="F61" s="16" t="inlineStr"/>
      <c r="G61" s="16" t="inlineStr"/>
      <c r="H61" s="16" t="inlineStr">
        <is>
          <t>Canada TBS EX plan, 5-A-1</t>
        </is>
      </c>
    </row>
    <row r="62" ht="28" customHeight="1">
      <c r="A62" s="13" t="inlineStr">
        <is>
          <t>Senior executive EX-2 · ADC Operations</t>
        </is>
      </c>
      <c r="B62" s="15" t="n">
        <v>608</v>
      </c>
      <c r="C62" s="15" t="n">
        <v>304</v>
      </c>
      <c r="D62" s="15" t="n">
        <v>350</v>
      </c>
      <c r="E62" s="15" t="inlineStr">
        <is>
          <t>48.2 / 24.1 / 27.7</t>
        </is>
      </c>
      <c r="F62" s="16" t="inlineStr"/>
      <c r="G62" s="16" t="inlineStr"/>
      <c r="H62" s="16" t="inlineStr">
        <is>
          <t>Canada TBS EX plan, 6-A-2</t>
        </is>
      </c>
    </row>
    <row r="63" ht="28" customHeight="1">
      <c r="A63" s="13" t="inlineStr">
        <is>
          <t>Senior executive EX-2 · DG Resource Management</t>
        </is>
      </c>
      <c r="B63" s="15" t="n">
        <v>608</v>
      </c>
      <c r="C63" s="15" t="n">
        <v>350</v>
      </c>
      <c r="D63" s="15" t="n">
        <v>350</v>
      </c>
      <c r="E63" s="15" t="inlineStr">
        <is>
          <t>46.5 / 26.8 / 26.8</t>
        </is>
      </c>
      <c r="F63" s="16" t="inlineStr"/>
      <c r="G63" s="16" t="inlineStr"/>
      <c r="H63" s="16" t="inlineStr">
        <is>
          <t>Canada TBS EX plan, 6-O-2</t>
        </is>
      </c>
    </row>
    <row r="64" ht="28" customHeight="1">
      <c r="A64" s="13" t="inlineStr">
        <is>
          <t>Executive EX-3 · DG Regional Operations</t>
        </is>
      </c>
      <c r="B64" s="15" t="n">
        <v>700</v>
      </c>
      <c r="C64" s="15" t="n">
        <v>400</v>
      </c>
      <c r="D64" s="15" t="n">
        <v>528</v>
      </c>
      <c r="E64" s="15" t="inlineStr">
        <is>
          <t>43.0 / 24.6 / 32.4</t>
        </is>
      </c>
      <c r="F64" s="16" t="inlineStr"/>
      <c r="G64" s="16" t="inlineStr"/>
      <c r="H64" s="16" t="inlineStr">
        <is>
          <t>Canada TBS EX plan, 7-A-2</t>
        </is>
      </c>
    </row>
    <row r="65" ht="15" customHeight="1"/>
    <row r="66" ht="15" customHeight="1">
      <c r="A66" s="11" t="inlineStr">
        <is>
          <r>
            <rPr>
              <rFont val="Calibri"/>
              <b val="1"/>
              <i val="1"/>
              <color rgb="00595959"/>
              <sz val="10"/>
            </rPr>
            <t>Sources:</t>
          </r>
          <r>
            <rPr>
              <rFont val="Calibri"/>
              <i val="1"/>
              <color rgb="00595959"/>
              <sz val="10"/>
            </rPr>
            <t xml:space="preserve"> S46, S47 Canada TBS Executive Group plans 2005 and 2022 · S48 Hay summary deck · S50 Western University Hay overview.</t>
          </r>
        </is>
      </c>
    </row>
    <row r="67" ht="20" customHeight="1">
      <c r="A67" s="6" t="inlineStr">
        <is>
          <t>0d. Mercer IPE — the published point table</t>
        </is>
      </c>
    </row>
    <row r="68" ht="28" customHeight="1">
      <c r="A68" s="11" t="inlineStr">
        <is>
          <t>Maximum points per factor are verified from the IPE v3.1 manual; the level rows apply that table to typical ratings for a company of IRIS's size, so they are illustrative. Impact's share grows with seniority and with company size.</t>
        </is>
      </c>
    </row>
    <row r="69" ht="28" customHeight="1">
      <c r="A69" s="12" t="inlineStr">
        <is>
          <t>Row</t>
        </is>
      </c>
      <c r="B69" s="12" t="inlineStr">
        <is>
          <t>Impact</t>
        </is>
      </c>
      <c r="C69" s="12" t="inlineStr">
        <is>
          <t>Communication</t>
        </is>
      </c>
      <c r="D69" s="12" t="inlineStr">
        <is>
          <t>Innovation</t>
        </is>
      </c>
      <c r="E69" s="12" t="inlineStr">
        <is>
          <t>Knowledge</t>
        </is>
      </c>
      <c r="F69" s="240" t="inlineStr"/>
      <c r="G69" s="240" t="inlineStr"/>
      <c r="H69" s="12" t="inlineStr">
        <is>
          <t>Shares</t>
        </is>
      </c>
    </row>
    <row r="70" ht="28" customHeight="1">
      <c r="A70" s="13" t="inlineStr">
        <is>
          <t>Maximum points per factor · Mercer IPE v3.1</t>
        </is>
      </c>
      <c r="B70" s="15" t="inlineStr">
        <is>
          <t>705</t>
        </is>
      </c>
      <c r="C70" s="15" t="inlineStr">
        <is>
          <t>115</t>
        </is>
      </c>
      <c r="D70" s="15" t="inlineStr">
        <is>
          <t>130</t>
        </is>
      </c>
      <c r="E70" s="15" t="inlineStr">
        <is>
          <t>260</t>
        </is>
      </c>
      <c r="F70" s="16" t="inlineStr"/>
      <c r="G70" s="16" t="inlineStr"/>
      <c r="H70" s="16" t="inlineStr">
        <is>
          <t>Impact 58.3% · Communication 9.5% · Innovation 10.7% · Knowledge 21.5% at the maximum</t>
        </is>
      </c>
    </row>
    <row r="71" ht="28" customHeight="1">
      <c r="A71" s="13" t="inlineStr">
        <is>
          <t>Junior · illustrative rating, organisation size 5</t>
        </is>
      </c>
      <c r="B71" s="15" t="inlineStr">
        <is>
          <t>25</t>
        </is>
      </c>
      <c r="C71" s="15" t="inlineStr">
        <is>
          <t>10</t>
        </is>
      </c>
      <c r="D71" s="15" t="inlineStr">
        <is>
          <t>25</t>
        </is>
      </c>
      <c r="E71" s="15" t="inlineStr">
        <is>
          <t>30</t>
        </is>
      </c>
      <c r="F71" s="16" t="inlineStr"/>
      <c r="G71" s="16" t="inlineStr"/>
      <c r="H71" s="16" t="inlineStr">
        <is>
          <t>27.8 / 11.1 / 27.8 / 33.3%</t>
        </is>
      </c>
    </row>
    <row r="72" ht="15" customHeight="1">
      <c r="A72" s="13" t="inlineStr">
        <is>
          <t>Professional · illustrative</t>
        </is>
      </c>
      <c r="B72" s="15" t="inlineStr">
        <is>
          <t>60</t>
        </is>
      </c>
      <c r="C72" s="15" t="inlineStr">
        <is>
          <t>40</t>
        </is>
      </c>
      <c r="D72" s="15" t="inlineStr">
        <is>
          <t>45</t>
        </is>
      </c>
      <c r="E72" s="15" t="inlineStr">
        <is>
          <t>90</t>
        </is>
      </c>
      <c r="F72" s="16" t="inlineStr"/>
      <c r="G72" s="16" t="inlineStr"/>
      <c r="H72" s="16" t="inlineStr">
        <is>
          <t>25.5 / 17.0 / 19.1 / 38.3%</t>
        </is>
      </c>
    </row>
    <row r="73" ht="15" customHeight="1">
      <c r="A73" s="13" t="inlineStr">
        <is>
          <t>Manager · illustrative</t>
        </is>
      </c>
      <c r="B73" s="15" t="inlineStr">
        <is>
          <t>131</t>
        </is>
      </c>
      <c r="C73" s="15" t="inlineStr">
        <is>
          <t>60</t>
        </is>
      </c>
      <c r="D73" s="15" t="inlineStr">
        <is>
          <t>75</t>
        </is>
      </c>
      <c r="E73" s="15" t="inlineStr">
        <is>
          <t>173</t>
        </is>
      </c>
      <c r="F73" s="16" t="inlineStr"/>
      <c r="G73" s="16" t="inlineStr"/>
      <c r="H73" s="16" t="inlineStr">
        <is>
          <t>29.8 / 13.7 / 17.1 / 39.4%</t>
        </is>
      </c>
    </row>
    <row r="74" ht="15" customHeight="1">
      <c r="A74" s="13" t="inlineStr">
        <is>
          <t>Executive · illustrative</t>
        </is>
      </c>
      <c r="B74" s="15" t="inlineStr">
        <is>
          <t>207</t>
        </is>
      </c>
      <c r="C74" s="15" t="inlineStr">
        <is>
          <t>100</t>
        </is>
      </c>
      <c r="D74" s="15" t="inlineStr">
        <is>
          <t>105</t>
        </is>
      </c>
      <c r="E74" s="15" t="inlineStr">
        <is>
          <t>218</t>
        </is>
      </c>
      <c r="F74" s="16" t="inlineStr"/>
      <c r="G74" s="16" t="inlineStr"/>
      <c r="H74" s="16" t="inlineStr">
        <is>
          <t>32.9 / 15.9 / 16.7 / 34.6%</t>
        </is>
      </c>
    </row>
    <row r="75" ht="15" customHeight="1"/>
    <row r="76" ht="15" customHeight="1">
      <c r="A76" s="11" t="inlineStr">
        <is>
          <r>
            <rPr>
              <rFont val="Calibri"/>
              <b val="1"/>
              <i val="1"/>
              <color rgb="00595959"/>
              <sz val="10"/>
            </rPr>
            <t>Sources:</t>
          </r>
          <r>
            <rPr>
              <rFont val="Calibri"/>
              <i val="1"/>
              <color rgb="00595959"/>
              <sz val="10"/>
            </rPr>
            <t xml:space="preserve"> S52 Mercer IPE manual and factor sheet, third-party copies · S04 Mercer IPE.</t>
          </r>
        </is>
      </c>
    </row>
    <row r="77" ht="20" customHeight="1">
      <c r="A77" s="6" t="inlineStr">
        <is>
          <t>1. Published point-factor plans — share of points by factor</t>
        </is>
      </c>
    </row>
    <row r="78" ht="28" customHeight="1">
      <c r="A78" s="11" t="inlineStr">
        <is>
          <t>Effort and working-conditions factors removed and the rest scaled to 100%. Major vendors — Korn Ferry Hay, Mercer IPE, WTW, Aon Radford — do not publish their factor weights, so public schemes with published points are the hard benchmark.</t>
        </is>
      </c>
    </row>
    <row r="79" ht="41" customHeight="1">
      <c r="A79" s="12" t="inlineStr">
        <is>
          <t>Plan</t>
        </is>
      </c>
      <c r="B79" s="12" t="inlineStr">
        <is>
          <t>Complexity &amp; Expertise</t>
        </is>
      </c>
      <c r="C79" s="12" t="inlineStr">
        <is>
          <t>Autonomy &amp; Decision</t>
        </is>
      </c>
      <c r="D79" s="12" t="inlineStr">
        <is>
          <t>Accountability &amp; Impact</t>
        </is>
      </c>
      <c r="E79" s="12" t="inlineStr">
        <is>
          <t>Leadership &amp; Strategy</t>
        </is>
      </c>
      <c r="F79" s="12" t="inlineStr">
        <is>
          <t>Business Impact</t>
        </is>
      </c>
      <c r="G79" s="12" t="inlineStr">
        <is>
          <t>Effort and conditions removed</t>
        </is>
      </c>
      <c r="H79" s="12" t="inlineStr">
        <is>
          <t>Source</t>
        </is>
      </c>
    </row>
    <row r="80" ht="41" customHeight="1">
      <c r="A80" s="13" t="inlineStr">
        <is>
          <t>NHS Agenda for Change Job Evaluation Scheme · 16 factors, 1,000 points</t>
        </is>
      </c>
      <c r="B80" s="15" t="inlineStr">
        <is>
          <t>40.0%</t>
        </is>
      </c>
      <c r="C80" s="15" t="inlineStr">
        <is>
          <t>6.7%</t>
        </is>
      </c>
      <c r="D80" s="15" t="inlineStr">
        <is>
          <t>20.0%</t>
        </is>
      </c>
      <c r="E80" s="15" t="inlineStr">
        <is>
          <t>26.7%</t>
        </is>
      </c>
      <c r="F80" s="15" t="inlineStr">
        <is>
          <t>6.7%</t>
        </is>
      </c>
      <c r="G80" s="15" t="inlineStr">
        <is>
          <t>10.0%</t>
        </is>
      </c>
      <c r="H80" s="16" t="inlineStr">
        <is>
          <t>NHS Job Evaluation Handbook, ch. 6 para 1.5 — nhsemployers.org/sites/default/files/pdf/22/165.pdf</t>
        </is>
      </c>
    </row>
    <row r="81" ht="54" customHeight="1">
      <c r="A81" s="13" t="inlineStr">
        <is>
          <t>UK local government 13-factor scheme · Police Staff Council version of the NJC scheme, 1,000 points</t>
        </is>
      </c>
      <c r="B81" s="15" t="inlineStr">
        <is>
          <t>38.3%</t>
        </is>
      </c>
      <c r="C81" s="15" t="inlineStr">
        <is>
          <t>13.0%</t>
        </is>
      </c>
      <c r="D81" s="15" t="inlineStr">
        <is>
          <t>19.5%</t>
        </is>
      </c>
      <c r="E81" s="15" t="inlineStr">
        <is>
          <t>19.5%</t>
        </is>
      </c>
      <c r="F81" s="15" t="inlineStr">
        <is>
          <t>9.8%</t>
        </is>
      </c>
      <c r="G81" s="15" t="inlineStr">
        <is>
          <t>20.0%</t>
        </is>
      </c>
      <c r="H81" s="16" t="inlineStr">
        <is>
          <t>PSC Handbook pp. 47–48 — lb2.local.gov.uk/sites/default/files/documents/police-staff-council-13-f-342.pdf · NJC's own table sits behind the LGA log-in · Exact for PSC; NJC assumed equal</t>
        </is>
      </c>
    </row>
    <row r="82" ht="41" customHeight="1">
      <c r="A82" s="13" t="inlineStr">
        <is>
          <t>Greater London Provincial Council scheme · 11 factors, 948 points</t>
        </is>
      </c>
      <c r="B82" s="15" t="inlineStr">
        <is>
          <t>45.0%</t>
        </is>
      </c>
      <c r="C82" s="15" t="inlineStr">
        <is>
          <t>12.1%</t>
        </is>
      </c>
      <c r="D82" s="15" t="inlineStr">
        <is>
          <t>6.0%</t>
        </is>
      </c>
      <c r="E82" s="15" t="inlineStr">
        <is>
          <t>29.7%</t>
        </is>
      </c>
      <c r="F82" s="15" t="inlineStr">
        <is>
          <t>7.2%</t>
        </is>
      </c>
      <c r="G82" s="15" t="inlineStr">
        <is>
          <t>12.7%</t>
        </is>
      </c>
      <c r="H82" s="16" t="inlineStr">
        <is>
          <t>GLPC points weighting — sirddinbych.gov.uk/en/documents/jobs-and-employees/my-employment/reorganisation-and-change/glpc-points-weighting.pdf</t>
        </is>
      </c>
    </row>
    <row r="83" ht="28" customHeight="1">
      <c r="A83" s="13" t="inlineStr">
        <is>
          <t>Scottish Joint Council scheme · 13 factors, 1,000 points</t>
        </is>
      </c>
      <c r="B83" s="15" t="inlineStr">
        <is>
          <t>38.3%</t>
        </is>
      </c>
      <c r="C83" s="15" t="inlineStr">
        <is>
          <t>13.0%</t>
        </is>
      </c>
      <c r="D83" s="15" t="inlineStr">
        <is>
          <t>19.5%</t>
        </is>
      </c>
      <c r="E83" s="15" t="inlineStr">
        <is>
          <t>19.5%</t>
        </is>
      </c>
      <c r="F83" s="15" t="inlineStr">
        <is>
          <t>9.8%</t>
        </is>
      </c>
      <c r="G83" s="15" t="inlineStr">
        <is>
          <t>20.0%</t>
        </is>
      </c>
      <c r="H83" s="16" t="inlineStr">
        <is>
          <t>Highland Council SJC scoring matrix — highland.gov.uk/download/downloads/id/3889/scoring_matrix.pdf</t>
        </is>
      </c>
    </row>
    <row r="84" ht="28" customHeight="1">
      <c r="A84" s="13" t="inlineStr">
        <is>
          <t>US OPM Factor Evaluation System · 9 factors, 4,480 points</t>
        </is>
      </c>
      <c r="B84" s="15" t="inlineStr">
        <is>
          <t>52.5%</t>
        </is>
      </c>
      <c r="C84" s="15" t="inlineStr">
        <is>
          <t>29.7%</t>
        </is>
      </c>
      <c r="D84" s="15" t="inlineStr">
        <is>
          <t>10.3%</t>
        </is>
      </c>
      <c r="E84" s="15" t="inlineStr">
        <is>
          <t>7.5%</t>
        </is>
      </c>
      <c r="F84" s="15" t="inlineStr">
        <is>
          <t>0.0%</t>
        </is>
      </c>
      <c r="G84" s="15" t="inlineStr">
        <is>
          <t>2.2%</t>
        </is>
      </c>
      <c r="H84" s="16" t="inlineStr">
        <is>
          <t>OPM Introduction to the Position Classification Standards, Appendix 3 — opm.gov/…/positionclassificationintro.pdf</t>
        </is>
      </c>
    </row>
    <row r="85" ht="15" customHeight="1">
      <c r="A85" s="13" t="inlineStr">
        <is>
          <t>Average of the five plans</t>
        </is>
      </c>
      <c r="B85" s="15" t="inlineStr">
        <is>
          <t>42.8%</t>
        </is>
      </c>
      <c r="C85" s="15" t="inlineStr">
        <is>
          <t>14.9%</t>
        </is>
      </c>
      <c r="D85" s="15" t="inlineStr">
        <is>
          <t>15.1%</t>
        </is>
      </c>
      <c r="E85" s="15" t="inlineStr">
        <is>
          <t>20.6%</t>
        </is>
      </c>
      <c r="F85" s="15" t="inlineStr">
        <is>
          <t>6.7%</t>
        </is>
      </c>
      <c r="G85" s="15" t="inlineStr"/>
      <c r="H85" s="16" t="inlineStr">
        <is>
          <r>
            <rPr>
              <rFont val="Calibri"/>
              <b val="1"/>
              <sz val="10"/>
            </rPr>
            <t>Experience as a separate factor:</t>
          </r>
          <r>
            <rPr>
              <rFont val="Calibri"/>
              <sz val="10"/>
            </rPr>
            <t xml:space="preserve"> none of the five</t>
          </r>
        </is>
      </c>
    </row>
    <row r="86" ht="15" customHeight="1">
      <c r="A86" s="13" t="inlineStr">
        <is>
          <t>Range</t>
        </is>
      </c>
      <c r="B86" s="15" t="inlineStr">
        <is>
          <t>38–52%</t>
        </is>
      </c>
      <c r="C86" s="15" t="inlineStr">
        <is>
          <t>7–30%</t>
        </is>
      </c>
      <c r="D86" s="15" t="inlineStr">
        <is>
          <t>6–20%</t>
        </is>
      </c>
      <c r="E86" s="15" t="inlineStr">
        <is>
          <t>8–30%</t>
        </is>
      </c>
      <c r="F86" s="15" t="inlineStr">
        <is>
          <t>0–10%</t>
        </is>
      </c>
      <c r="G86" s="15" t="inlineStr"/>
      <c r="H86" s="16" t="inlineStr"/>
    </row>
    <row r="87" ht="15" customHeight="1"/>
    <row r="88" ht="15" customHeight="1">
      <c r="A88" s="12" t="inlineStr">
        <is>
          <t>Plan</t>
        </is>
      </c>
      <c r="B88" s="12" t="inlineStr">
        <is>
          <t>How its factors were mapped to the IRIS factors</t>
        </is>
      </c>
      <c r="C88" s="212" t="n"/>
      <c r="D88" s="212" t="n"/>
      <c r="E88" s="212" t="n"/>
      <c r="F88" s="212" t="n"/>
      <c r="G88" s="212" t="n"/>
      <c r="H88" s="211" t="n"/>
    </row>
    <row r="89" ht="41" customHeight="1">
      <c r="A89" s="13" t="inlineStr">
        <is>
          <t>NHS Agenda for Change Job Evaluation Scheme · 16 factors, 1,000 points</t>
        </is>
      </c>
      <c r="B89" s="16" t="inlineStr">
        <is>
          <t>Knowledge, training &amp; experience 240 + analytical and physical skills 120 → Complexity; freedom to act 60; patient care, information, R&amp;D 180; communication, planning, HR, policy 240; financial &amp; physical resources 60</t>
        </is>
      </c>
      <c r="C89" s="212" t="n"/>
      <c r="D89" s="212" t="n"/>
      <c r="E89" s="212" t="n"/>
      <c r="F89" s="212" t="n"/>
      <c r="G89" s="212" t="n"/>
      <c r="H89" s="211" t="n"/>
    </row>
    <row r="90" ht="41" customHeight="1">
      <c r="A90" s="13" t="inlineStr">
        <is>
          <t>UK local government 13-factor scheme · Police Staff Council version of the NJC scheme, 1,000 points</t>
        </is>
      </c>
      <c r="B90" s="16" t="inlineStr">
        <is>
          <t>Knowledge 163 + mental and physical skills 143; initiative &amp; independence 104; responsibility for people and physical resources 156; interpersonal and supervision 156; financial resources 78</t>
        </is>
      </c>
      <c r="C90" s="212" t="n"/>
      <c r="D90" s="212" t="n"/>
      <c r="E90" s="212" t="n"/>
      <c r="F90" s="212" t="n"/>
      <c r="G90" s="212" t="n"/>
      <c r="H90" s="211" t="n"/>
    </row>
    <row r="91" ht="28" customHeight="1">
      <c r="A91" s="13" t="inlineStr">
        <is>
          <t>Greater London Provincial Council scheme · 11 factors, 948 points</t>
        </is>
      </c>
      <c r="B91" s="16" t="inlineStr">
        <is>
          <t>Knowledge &amp; skill 272 + creativity 100; discretion 100; resources 50; contacts and supervision 246; consequences 60</t>
        </is>
      </c>
      <c r="C91" s="212" t="n"/>
      <c r="D91" s="212" t="n"/>
      <c r="E91" s="212" t="n"/>
      <c r="F91" s="212" t="n"/>
      <c r="G91" s="212" t="n"/>
      <c r="H91" s="211" t="n"/>
    </row>
    <row r="92" ht="28" customHeight="1">
      <c r="A92" s="13" t="inlineStr">
        <is>
          <t>Scottish Joint Council scheme · 13 factors, 1,000 points</t>
        </is>
      </c>
      <c r="B92" s="16" t="inlineStr">
        <is>
          <t>Knowledge 163 + mental skills and physical co-ordination 143; initiative 104; services to others and resources 156; communication and employees 156; financial 78</t>
        </is>
      </c>
      <c r="C92" s="212" t="n"/>
      <c r="D92" s="212" t="n"/>
      <c r="E92" s="212" t="n"/>
      <c r="F92" s="212" t="n"/>
      <c r="G92" s="212" t="n"/>
      <c r="H92" s="211" t="n"/>
    </row>
    <row r="93" ht="28" customHeight="1">
      <c r="A93" s="13" t="inlineStr">
        <is>
          <t>US OPM Factor Evaluation System · 9 factors, 4,480 points</t>
        </is>
      </c>
      <c r="B93" s="16" t="inlineStr">
        <is>
          <t>Knowledge required 1,850 + complexity 450; supervisory controls and guidelines 1,300; scope &amp; effect 450; personal contacts and purpose 330</t>
        </is>
      </c>
      <c r="C93" s="212" t="n"/>
      <c r="D93" s="212" t="n"/>
      <c r="E93" s="212" t="n"/>
      <c r="F93" s="212" t="n"/>
      <c r="G93" s="212" t="n"/>
      <c r="H93" s="211" t="n"/>
    </row>
    <row r="94" ht="15" customHeight="1"/>
    <row r="95" ht="15" customHeight="1">
      <c r="A95" s="11" t="inlineStr">
        <is>
          <r>
            <rPr>
              <rFont val="Calibri"/>
              <b val="1"/>
              <i val="1"/>
              <color rgb="00595959"/>
              <sz val="10"/>
            </rPr>
            <t>Sources:</t>
          </r>
          <r>
            <rPr>
              <rFont val="Calibri"/>
              <i val="1"/>
              <color rgb="00595959"/>
              <sz val="10"/>
            </rPr>
            <t xml:space="preserve"> S53 NHS · S54 Police Staff Council / NJC · S55 GLPC · S56 SJC · S57 US OPM.</t>
          </r>
        </is>
      </c>
    </row>
    <row r="96" ht="20" customHeight="1">
      <c r="A96" s="6" t="inlineStr">
        <is>
          <t>2. How weights shift with seniority — the Korn Ferry Hay profile</t>
        </is>
      </c>
    </row>
    <row r="97" ht="28" customHeight="1">
      <c r="A97" s="11" t="inlineStr">
        <is>
          <t>Share of Hay points by job type. Secondary source, used to set the slope by level only; the direction matches the official Canada TBS guidance: operations and line roles score relatively high in Accountability, thinking roles in Problem Solving.</t>
        </is>
      </c>
    </row>
    <row r="98" ht="28" customHeight="1">
      <c r="A98" s="12" t="inlineStr">
        <is>
          <t>Job type</t>
        </is>
      </c>
      <c r="B98" s="12" t="inlineStr">
        <is>
          <t>Know-How</t>
        </is>
      </c>
      <c r="C98" s="12" t="inlineStr">
        <is>
          <t>Problem Solving</t>
        </is>
      </c>
      <c r="D98" s="12" t="inlineStr">
        <is>
          <t>Accountability</t>
        </is>
      </c>
      <c r="E98" s="240" t="inlineStr"/>
      <c r="F98" s="240" t="inlineStr"/>
      <c r="G98" s="240" t="inlineStr"/>
      <c r="H98" s="12" t="inlineStr">
        <is>
          <t>Read as</t>
        </is>
      </c>
    </row>
    <row r="99" ht="15" customHeight="1">
      <c r="A99" s="13" t="inlineStr">
        <is>
          <t>Clerical</t>
        </is>
      </c>
      <c r="B99" s="15" t="inlineStr">
        <is>
          <t>73%</t>
        </is>
      </c>
      <c r="C99" s="15" t="inlineStr">
        <is>
          <t>14%</t>
        </is>
      </c>
      <c r="D99" s="15" t="inlineStr">
        <is>
          <t>14%</t>
        </is>
      </c>
      <c r="E99" s="16" t="inlineStr"/>
      <c r="F99" s="16" t="inlineStr"/>
      <c r="G99" s="16" t="inlineStr"/>
      <c r="H99" s="16" t="inlineStr">
        <is>
          <r>
            <rPr>
              <rFont val="Calibri"/>
              <b val="1"/>
              <sz val="10"/>
            </rPr>
            <t>Junior:</t>
          </r>
          <r>
            <rPr>
              <rFont val="Calibri"/>
              <sz val="10"/>
            </rPr>
            <t xml:space="preserve"> the work itself is almost everything</t>
          </r>
        </is>
      </c>
    </row>
    <row r="100" ht="15" customHeight="1">
      <c r="A100" s="13" t="inlineStr">
        <is>
          <t>Trade / technical</t>
        </is>
      </c>
      <c r="B100" s="15" t="inlineStr">
        <is>
          <t>66%</t>
        </is>
      </c>
      <c r="C100" s="15" t="inlineStr">
        <is>
          <t>15%</t>
        </is>
      </c>
      <c r="D100" s="15" t="inlineStr">
        <is>
          <t>19%</t>
        </is>
      </c>
      <c r="E100" s="16" t="inlineStr"/>
      <c r="F100" s="16" t="inlineStr"/>
      <c r="G100" s="16" t="inlineStr"/>
      <c r="H100" s="16" t="inlineStr">
        <is>
          <r>
            <rPr>
              <rFont val="Calibri"/>
              <b val="1"/>
              <sz val="10"/>
            </rPr>
            <t>Junior:</t>
          </r>
          <r>
            <rPr>
              <rFont val="Calibri"/>
              <sz val="10"/>
            </rPr>
            <t xml:space="preserve"> mostly know-how</t>
          </r>
        </is>
      </c>
    </row>
    <row r="101" ht="15" customHeight="1">
      <c r="A101" s="13" t="inlineStr">
        <is>
          <t>Specialist · research scientist</t>
        </is>
      </c>
      <c r="B101" s="15" t="inlineStr">
        <is>
          <t>56%</t>
        </is>
      </c>
      <c r="C101" s="15" t="inlineStr">
        <is>
          <t>28%</t>
        </is>
      </c>
      <c r="D101" s="15" t="inlineStr">
        <is>
          <t>16%</t>
        </is>
      </c>
      <c r="E101" s="16" t="inlineStr"/>
      <c r="F101" s="16" t="inlineStr"/>
      <c r="G101" s="16" t="inlineStr"/>
      <c r="H101" s="16" t="inlineStr">
        <is>
          <r>
            <rPr>
              <rFont val="Calibri"/>
              <b val="1"/>
              <sz val="10"/>
            </rPr>
            <t>Expert:</t>
          </r>
          <r>
            <rPr>
              <rFont val="Calibri"/>
              <sz val="10"/>
            </rPr>
            <t xml:space="preserve"> know-how and problem solving</t>
          </r>
        </is>
      </c>
    </row>
    <row r="102" ht="15" customHeight="1">
      <c r="A102" s="13" t="inlineStr">
        <is>
          <t>'Level' profile · staff functions</t>
        </is>
      </c>
      <c r="B102" s="15" t="inlineStr">
        <is>
          <t>50%</t>
        </is>
      </c>
      <c r="C102" s="15" t="inlineStr">
        <is>
          <t>25%</t>
        </is>
      </c>
      <c r="D102" s="15" t="inlineStr">
        <is>
          <t>25%</t>
        </is>
      </c>
      <c r="E102" s="16" t="inlineStr"/>
      <c r="F102" s="16" t="inlineStr"/>
      <c r="G102" s="16" t="inlineStr"/>
      <c r="H102" s="16" t="inlineStr">
        <is>
          <r>
            <rPr>
              <rFont val="Calibri"/>
              <b val="1"/>
              <sz val="10"/>
            </rPr>
            <t>Professional:</t>
          </r>
          <r>
            <rPr>
              <rFont val="Calibri"/>
              <sz val="10"/>
            </rPr>
            <t xml:space="preserve"> balanced</t>
          </r>
        </is>
      </c>
    </row>
    <row r="103" ht="15" customHeight="1">
      <c r="A103" s="13" t="inlineStr">
        <is>
          <t>Supervisory / line manager</t>
        </is>
      </c>
      <c r="B103" s="15" t="inlineStr">
        <is>
          <t>47%</t>
        </is>
      </c>
      <c r="C103" s="15" t="inlineStr">
        <is>
          <t>21%</t>
        </is>
      </c>
      <c r="D103" s="15" t="inlineStr">
        <is>
          <t>32%</t>
        </is>
      </c>
      <c r="E103" s="16" t="inlineStr"/>
      <c r="F103" s="16" t="inlineStr"/>
      <c r="G103" s="16" t="inlineStr"/>
      <c r="H103" s="16" t="inlineStr">
        <is>
          <r>
            <rPr>
              <rFont val="Calibri"/>
              <b val="1"/>
              <sz val="10"/>
            </rPr>
            <t>Manager:</t>
          </r>
          <r>
            <rPr>
              <rFont val="Calibri"/>
              <sz val="10"/>
            </rPr>
            <t xml:space="preserve"> accountability rises to a third</t>
          </r>
        </is>
      </c>
    </row>
    <row r="104" ht="15" customHeight="1"/>
    <row r="105" ht="41" customHeight="1">
      <c r="A105" s="11" t="inlineStr">
        <is>
          <r>
            <rPr>
              <rFont val="Calibri"/>
              <b val="1"/>
              <i val="1"/>
              <color rgb="00595959"/>
              <sz val="10"/>
            </rPr>
            <t>Sources:</t>
          </r>
          <r>
            <rPr>
              <rFont val="Calibri"/>
              <i val="1"/>
              <color rgb="00595959"/>
              <sz val="10"/>
            </rPr>
            <t xml:space="preserve"> S46, S47 Canada TBS Hay evaluations · S48, S50 Hay typical profiles. S06 Hay short profile · 'Level' profile. Type-of-work shift: Basis: S06 Hay short profile — A-type delivery jobs weight accountability, P-type thinking jobs weight problem solving, L-type are balanced. The ±5 size is an IRIS design rule, kept small so the market defaults stay in control.</t>
          </r>
        </is>
      </c>
    </row>
    <row r="106" ht="20" customHeight="1">
      <c r="A106" s="6" t="inlineStr">
        <is>
          <t>3. Experience &amp; Qualification — why it can be kept low</t>
        </is>
      </c>
    </row>
    <row r="107" ht="15" customHeight="1">
      <c r="A107" s="12" t="inlineStr">
        <is>
          <t>Method or study</t>
        </is>
      </c>
      <c r="B107" s="211" t="n"/>
      <c r="C107" s="12" t="inlineStr">
        <is>
          <t>What it says</t>
        </is>
      </c>
      <c r="D107" s="212" t="n"/>
      <c r="E107" s="212" t="n"/>
      <c r="F107" s="211" t="n"/>
      <c r="G107" s="12" t="inlineStr">
        <is>
          <t>Source</t>
        </is>
      </c>
      <c r="H107" s="211" t="n"/>
    </row>
    <row r="108" ht="41" customHeight="1">
      <c r="A108" s="13" t="inlineStr">
        <is>
          <t>Korn Ferry Hay</t>
        </is>
      </c>
      <c r="B108" s="211" t="n"/>
      <c r="C108" s="16" t="inlineStr">
        <is>
          <r>
            <rPr>
              <rFont val="Calibri"/>
              <b val="1"/>
              <sz val="10"/>
            </rPr>
            <t>Experience sits inside Know-How:</t>
          </r>
          <r>
            <rPr>
              <rFont val="Calibri"/>
              <sz val="10"/>
            </rPr>
            <t xml:space="preserve"> 'the sum total of every kind of knowledge and skill, however acquired' — no separate experience factor</t>
          </r>
        </is>
      </c>
      <c r="D108" s="212" t="n"/>
      <c r="E108" s="212" t="n"/>
      <c r="F108" s="211" t="n"/>
      <c r="G108" s="16" t="inlineStr">
        <is>
          <t>S05, S46, S49 · Canada TBS Executive Group plan; Lincolnshire CC Hay guide</t>
        </is>
      </c>
      <c r="H108" s="211" t="n"/>
    </row>
    <row r="109" ht="54" customHeight="1">
      <c r="A109" s="13" t="inlineStr">
        <is>
          <t>Mercer IPE</t>
        </is>
      </c>
      <c r="B109" s="211" t="n"/>
      <c r="C109" s="16" t="inlineStr">
        <is>
          <r>
            <rPr>
              <rFont val="Calibri"/>
              <b val="1"/>
              <sz val="10"/>
            </rPr>
            <t>Five factors:</t>
          </r>
          <r>
            <rPr>
              <rFont val="Calibri"/>
              <sz val="10"/>
            </rPr>
            <t xml:space="preserve"> Impact, Communication, Innovation, Knowledge, Risk. Knowledge 'may be acquired through formal education and/or work experience' — no separate experience factor</t>
          </r>
        </is>
      </c>
      <c r="D109" s="212" t="n"/>
      <c r="E109" s="212" t="n"/>
      <c r="F109" s="211" t="n"/>
      <c r="G109" s="16" t="inlineStr">
        <is>
          <t>S04, S52 · mercer.com/en-in · IPE factor sheet · third-party copy</t>
        </is>
      </c>
      <c r="H109" s="211" t="n"/>
    </row>
    <row r="110" ht="54" customHeight="1">
      <c r="A110" s="13" t="inlineStr">
        <is>
          <t>WTW Global Grading System</t>
        </is>
      </c>
      <c r="B110" s="211" t="n"/>
      <c r="C110" s="16" t="inlineStr">
        <is>
          <r>
            <rPr>
              <rFont val="Calibri"/>
              <b val="1"/>
              <sz val="10"/>
            </rPr>
            <t>Seven factors:</t>
          </r>
          <r>
            <rPr>
              <rFont val="Calibri"/>
              <sz val="10"/>
            </rPr>
            <t xml:space="preserve"> functional knowledge, business expertise, leadership, problem solving, nature of impact, area of impact, interpersonal skills — experience appears only in grade descriptors</t>
          </r>
        </is>
      </c>
      <c r="D110" s="212" t="n"/>
      <c r="E110" s="212" t="n"/>
      <c r="F110" s="211" t="n"/>
      <c r="G110" s="16" t="inlineStr">
        <is>
          <t>S07 · WTW report to the School Teachers' Review Body, p. 19 · assets.publishing.service.gov.uk</t>
        </is>
      </c>
      <c r="H110" s="211" t="n"/>
    </row>
    <row r="111" ht="28" customHeight="1">
      <c r="A111" s="13" t="inlineStr">
        <is>
          <t>Public point-factor plans above</t>
        </is>
      </c>
      <c r="B111" s="211" t="n"/>
      <c r="C111" s="16" t="inlineStr">
        <is>
          <t>Knowledge factors rate what the job requires, not the person's years; none scores tenure</t>
        </is>
      </c>
      <c r="D111" s="212" t="n"/>
      <c r="E111" s="212" t="n"/>
      <c r="F111" s="211" t="n"/>
      <c r="G111" s="16" t="inlineStr">
        <is>
          <t>S53–S57 · NHS, PSC/NJC, GLPC, SJC, OPM</t>
        </is>
      </c>
      <c r="H111" s="211" t="n"/>
    </row>
    <row r="112" ht="28" customHeight="1">
      <c r="A112" s="13" t="inlineStr">
        <is>
          <t>McKinsey, 2022</t>
        </is>
      </c>
      <c r="B112" s="211" t="n"/>
      <c r="C112" s="16" t="inlineStr">
        <is>
          <t>Hiring for skills is 'more than two times more predictive than hiring for work experience'</t>
        </is>
      </c>
      <c r="D112" s="212" t="n"/>
      <c r="E112" s="212" t="n"/>
      <c r="F112" s="211" t="n"/>
      <c r="G112" s="16" t="inlineStr">
        <is>
          <t>S58 · mckinsey.com — Taking a skills-based approach</t>
        </is>
      </c>
      <c r="H112" s="211" t="n"/>
    </row>
    <row r="113" ht="28" customHeight="1">
      <c r="A113" s="13" t="inlineStr">
        <is>
          <t>Deloitte Human Capital Trends, 2023</t>
        </is>
      </c>
      <c r="B113" s="211" t="n"/>
      <c r="C113" s="16" t="inlineStr">
        <is>
          <t>Promote and deploy on skills 'versus tenure, job history, or network'</t>
        </is>
      </c>
      <c r="D113" s="212" t="n"/>
      <c r="E113" s="212" t="n"/>
      <c r="F113" s="211" t="n"/>
      <c r="G113" s="16" t="inlineStr">
        <is>
          <t>S59 · deloitte.com/us/en/insights</t>
        </is>
      </c>
      <c r="H113" s="211" t="n"/>
    </row>
    <row r="114" ht="28" customHeight="1">
      <c r="A114" s="13" t="inlineStr">
        <is>
          <t>World Economic Forum, 2024</t>
        </is>
      </c>
      <c r="B114" s="211" t="n"/>
      <c r="C114" s="16" t="inlineStr">
        <is>
          <t>Rethink 'educational achievement and previous experience as proxies'</t>
        </is>
      </c>
      <c r="D114" s="212" t="n"/>
      <c r="E114" s="212" t="n"/>
      <c r="F114" s="211" t="n"/>
      <c r="G114" s="16" t="inlineStr">
        <is>
          <t>S60 · weforum.org — skills-first</t>
        </is>
      </c>
      <c r="H114" s="211" t="n"/>
    </row>
    <row r="115" ht="41" customHeight="1">
      <c r="A115" s="13" t="inlineStr">
        <is>
          <t>EY Future of Pay, India 2026</t>
        </is>
      </c>
      <c r="B115" s="211" t="n"/>
      <c r="C115" s="16" t="inlineStr">
        <is>
          <t>India pay moving 'away from tenure-based increases towards skills-led and performance-driven frameworks'</t>
        </is>
      </c>
      <c r="D115" s="212" t="n"/>
      <c r="E115" s="212" t="n"/>
      <c r="F115" s="211" t="n"/>
      <c r="G115" s="16" t="inlineStr">
        <is>
          <t>S61 · peoplematters.in, Feb 2026</t>
        </is>
      </c>
      <c r="H115" s="211" t="n"/>
    </row>
    <row r="116" ht="15" customHeight="1"/>
    <row r="117" ht="20" customHeight="1">
      <c r="A117" s="6" t="inlineStr">
        <is>
          <t>4. Business Impact — how the methods measure it</t>
        </is>
      </c>
    </row>
    <row r="118" ht="15" customHeight="1">
      <c r="A118" s="12" t="inlineStr">
        <is>
          <t>Method</t>
        </is>
      </c>
      <c r="B118" s="211" t="n"/>
      <c r="C118" s="12" t="inlineStr">
        <is>
          <t>How impact is measured</t>
        </is>
      </c>
      <c r="D118" s="212" t="n"/>
      <c r="E118" s="212" t="n"/>
      <c r="F118" s="212" t="n"/>
      <c r="G118" s="211" t="n"/>
      <c r="H118" s="12" t="inlineStr">
        <is>
          <t>Source</t>
        </is>
      </c>
    </row>
    <row r="119" ht="41" customHeight="1">
      <c r="A119" s="13" t="inlineStr">
        <is>
          <t>Korn Ferry Hay</t>
        </is>
      </c>
      <c r="B119" s="211" t="n"/>
      <c r="C119" s="16" t="inlineStr">
        <is>
          <t>Accountability = freedom to act + area / magnitude + nature of impact · remote → contributory → shared → prime; its share rises with seniority</t>
        </is>
      </c>
      <c r="D119" s="212" t="n"/>
      <c r="E119" s="212" t="n"/>
      <c r="F119" s="212" t="n"/>
      <c r="G119" s="211" t="n"/>
      <c r="H119" s="16" t="inlineStr">
        <is>
          <t>S05, S46</t>
        </is>
      </c>
    </row>
    <row r="120" ht="41" customHeight="1">
      <c r="A120" s="13" t="inlineStr">
        <is>
          <t>Mercer IPE</t>
        </is>
      </c>
      <c r="B120" s="211" t="n"/>
      <c r="C120" s="16" t="inlineStr">
        <is>
          <t>Impact = depth and breadth of influence on the organisation, scaled by organisation size; contribution rated limited → some → direct → significant → major</t>
        </is>
      </c>
      <c r="D120" s="212" t="n"/>
      <c r="E120" s="212" t="n"/>
      <c r="F120" s="212" t="n"/>
      <c r="G120" s="211" t="n"/>
      <c r="H120" s="16" t="inlineStr">
        <is>
          <t>S04, S52</t>
        </is>
      </c>
    </row>
    <row r="121" ht="28" customHeight="1">
      <c r="A121" s="13" t="inlineStr">
        <is>
          <t>WTW GGS</t>
        </is>
      </c>
      <c r="B121" s="211" t="n"/>
      <c r="C121" s="16" t="inlineStr">
        <is>
          <r>
            <rPr>
              <rFont val="Calibri"/>
              <b val="1"/>
              <sz val="10"/>
            </rPr>
            <t>Two impact factors:</t>
          </r>
          <r>
            <rPr>
              <rFont val="Calibri"/>
              <sz val="10"/>
            </rPr>
            <t xml:space="preserve"> nature of impact · how the job affects the business and area of impact · which part of the organisation</t>
          </r>
        </is>
      </c>
      <c r="D121" s="212" t="n"/>
      <c r="E121" s="212" t="n"/>
      <c r="F121" s="212" t="n"/>
      <c r="G121" s="211" t="n"/>
      <c r="H121" s="16" t="inlineStr">
        <is>
          <t>S07</t>
        </is>
      </c>
    </row>
    <row r="122" ht="28" customHeight="1">
      <c r="A122" s="13" t="inlineStr">
        <is>
          <t>Public point-factor plans</t>
        </is>
      </c>
      <c r="B122" s="211" t="n"/>
      <c r="C122" s="16" t="inlineStr">
        <is>
          <t>A separate financial / consequences factor carries 7–10% of points · mean 6.7%, OPM none</t>
        </is>
      </c>
      <c r="D122" s="212" t="n"/>
      <c r="E122" s="212" t="n"/>
      <c r="F122" s="212" t="n"/>
      <c r="G122" s="211" t="n"/>
      <c r="H122" s="16" t="inlineStr">
        <is>
          <t>S53–S57</t>
        </is>
      </c>
    </row>
    <row r="123" ht="15" customHeight="1"/>
    <row r="124" ht="20" customHeight="1">
      <c r="A124" s="6" t="inlineStr">
        <is>
          <t>5. IRIS defaults against the benchmark</t>
        </is>
      </c>
    </row>
    <row r="125" ht="67" customHeight="1">
      <c r="A125" s="11" t="inlineStr">
        <is>
          <r>
            <rPr>
              <rFont val="Calibri"/>
              <b val="1"/>
              <i val="1"/>
              <color rgb="00595959"/>
              <sz val="10"/>
            </rPr>
            <t>How IRIS sets its defaults:</t>
          </r>
          <r>
            <rPr>
              <rFont val="Calibri"/>
              <i val="1"/>
              <color rgb="00595959"/>
              <sz val="10"/>
            </rPr>
            <t xml:space="preserve"> each role group is the average of Hay, Mercer IPE and the public plans. Checks: the share of each factor across all IRIS roles is set against the plans' range; the slope by level follows the Hay progression — know-how falls and accountability rises as roles become more senior; Experience &amp; Qualification is a leadership decision held at 10% in Bands A–B and 5% in Bands C–E, which the methods support because none of them scores experience on its own; Business Impact is the nature-of-impact part of Hay's accountability and Mercer's impact, 6–9%, in line with the plans' financial factor; the type of work then moves a weight by ±5 in each department.</t>
          </r>
        </is>
      </c>
    </row>
    <row r="126" ht="41" customHeight="1">
      <c r="A126" s="12" t="inlineStr">
        <is>
          <t>Factor</t>
        </is>
      </c>
      <c r="B126" s="12" t="inlineStr">
        <is>
          <t>IRIS, average of 47 scored roles</t>
        </is>
      </c>
      <c r="C126" s="12" t="inlineStr">
        <is>
          <t>Plans' average</t>
        </is>
      </c>
      <c r="D126" s="12" t="inlineStr">
        <is>
          <t>Plans' range</t>
        </is>
      </c>
      <c r="E126" s="12" t="inlineStr">
        <is>
          <t>Result</t>
        </is>
      </c>
      <c r="F126" s="240" t="inlineStr"/>
      <c r="G126" s="240" t="inlineStr"/>
      <c r="H126" s="12" t="inlineStr">
        <is>
          <t>Why</t>
        </is>
      </c>
    </row>
    <row r="127" ht="28" customHeight="1">
      <c r="A127" s="13" t="inlineStr">
        <is>
          <t>Complexity &amp; Expertise</t>
        </is>
      </c>
      <c r="B127" s="15" t="inlineStr">
        <is>
          <t>50.8%</t>
        </is>
      </c>
      <c r="C127" s="15" t="inlineStr">
        <is>
          <t>42.8%</t>
        </is>
      </c>
      <c r="D127" s="15" t="inlineStr">
        <is>
          <t>38–52%</t>
        </is>
      </c>
      <c r="E127" s="15" t="inlineStr">
        <is>
          <t>Inside</t>
        </is>
      </c>
      <c r="F127" s="16" t="inlineStr"/>
      <c r="G127" s="16" t="inlineStr"/>
      <c r="H127" s="16" t="inlineStr">
        <is>
          <t>The job's knowledge and problem solving — the largest share, as in every plan</t>
        </is>
      </c>
    </row>
    <row r="128" ht="15" customHeight="1">
      <c r="A128" s="13" t="inlineStr">
        <is>
          <t>Autonomy &amp; Decision</t>
        </is>
      </c>
      <c r="B128" s="15" t="inlineStr">
        <is>
          <t>17.2%</t>
        </is>
      </c>
      <c r="C128" s="15" t="inlineStr">
        <is>
          <t>14.9%</t>
        </is>
      </c>
      <c r="D128" s="15" t="inlineStr">
        <is>
          <t>7–30%</t>
        </is>
      </c>
      <c r="E128" s="15" t="inlineStr">
        <is>
          <t>Inside</t>
        </is>
      </c>
      <c r="F128" s="16" t="inlineStr"/>
      <c r="G128" s="16" t="inlineStr"/>
      <c r="H128" s="16" t="inlineStr">
        <is>
          <t>Close to the plans' average</t>
        </is>
      </c>
    </row>
    <row r="129" ht="15" customHeight="1">
      <c r="A129" s="13" t="inlineStr">
        <is>
          <t>Accountability &amp; Impact</t>
        </is>
      </c>
      <c r="B129" s="15" t="inlineStr">
        <is>
          <t>7.8%</t>
        </is>
      </c>
      <c r="C129" s="15" t="inlineStr">
        <is>
          <t>15.1%</t>
        </is>
      </c>
      <c r="D129" s="15" t="inlineStr">
        <is>
          <t>6–20%</t>
        </is>
      </c>
      <c r="E129" s="15" t="inlineStr">
        <is>
          <t>Inside</t>
        </is>
      </c>
      <c r="F129" s="16" t="inlineStr"/>
      <c r="G129" s="16" t="inlineStr"/>
      <c r="H129" s="16" t="inlineStr">
        <is>
          <t>Close to the plans' average; rises with level</t>
        </is>
      </c>
    </row>
    <row r="130" ht="41" customHeight="1">
      <c r="A130" s="13" t="inlineStr">
        <is>
          <t>Leadership &amp; Strategy</t>
        </is>
      </c>
      <c r="B130" s="15" t="inlineStr">
        <is>
          <t>5.3%</t>
        </is>
      </c>
      <c r="C130" s="15" t="inlineStr">
        <is>
          <t>20.6%</t>
        </is>
      </c>
      <c r="D130" s="15" t="inlineStr">
        <is>
          <t>8–30%</t>
        </is>
      </c>
      <c r="E130" s="15" t="inlineStr">
        <is>
          <t>Below</t>
        </is>
      </c>
      <c r="F130" s="16" t="inlineStr"/>
      <c r="G130" s="16" t="inlineStr"/>
      <c r="H130" s="16" t="inlineStr">
        <is>
          <t>IRIS counts people leadership only, so individual contributors score 0–10%; managers and leaders 20–25%, inside the range</t>
        </is>
      </c>
    </row>
    <row r="131" ht="28" customHeight="1">
      <c r="A131" s="13" t="inlineStr">
        <is>
          <t>Business Impact</t>
        </is>
      </c>
      <c r="B131" s="15" t="inlineStr">
        <is>
          <t>7.1%</t>
        </is>
      </c>
      <c r="C131" s="15" t="inlineStr">
        <is>
          <t>6.7%</t>
        </is>
      </c>
      <c r="D131" s="15" t="inlineStr">
        <is>
          <t>0–10%</t>
        </is>
      </c>
      <c r="E131" s="15" t="inlineStr">
        <is>
          <t>Inside</t>
        </is>
      </c>
      <c r="F131" s="16" t="inlineStr"/>
      <c r="G131" s="16" t="inlineStr"/>
      <c r="H131" s="16" t="inlineStr">
        <is>
          <t>The nature-of-impact part of accountability, as in Hay and Mercer IPE; in line with the plans' financial factor</t>
        </is>
      </c>
    </row>
    <row r="132" ht="41" customHeight="1">
      <c r="A132" s="13" t="inlineStr">
        <is>
          <t>Experience &amp; Qualification</t>
        </is>
      </c>
      <c r="B132" s="15" t="inlineStr">
        <is>
          <t>11.7%</t>
        </is>
      </c>
      <c r="C132" s="15" t="inlineStr">
        <is>
          <t>—</t>
        </is>
      </c>
      <c r="D132" s="15" t="inlineStr">
        <is>
          <t>not a separate factor</t>
        </is>
      </c>
      <c r="E132" s="15" t="inlineStr">
        <is>
          <t>Policy</t>
        </is>
      </c>
      <c r="F132" s="16" t="inlineStr"/>
      <c r="G132" s="16" t="inlineStr"/>
      <c r="H132" s="16" t="inlineStr">
        <is>
          <r>
            <rPr>
              <rFont val="Calibri"/>
              <b val="1"/>
              <sz val="10"/>
            </rPr>
            <t>Leadership decision:</t>
          </r>
          <r>
            <rPr>
              <rFont val="Calibri"/>
              <sz val="10"/>
            </rPr>
            <t xml:space="preserve"> 10% in Bands A–B, 5% in Bands C–E — the lowest that still separates a fresher from an experienced hire</t>
          </r>
        </is>
      </c>
    </row>
    <row r="133" ht="15" customHeight="1"/>
    <row r="134" ht="15" customHeight="1">
      <c r="A134" s="11" t="inlineStr">
        <is>
          <t>The default weights by role group are on sheet 1c and the Weightage Matrix; each department's row there can be changed by its leaders.</t>
        </is>
      </c>
    </row>
    <row r="135" ht="28" customHeight="1">
      <c r="A135" s="12" t="inlineStr">
        <is>
          <t>Role group</t>
        </is>
      </c>
      <c r="B135" s="12" t="inlineStr">
        <is>
          <t>Complexity</t>
        </is>
      </c>
      <c r="C135" s="12" t="inlineStr">
        <is>
          <t>Autonomy</t>
        </is>
      </c>
      <c r="D135" s="12" t="inlineStr">
        <is>
          <t>Accountability</t>
        </is>
      </c>
      <c r="E135" s="12" t="inlineStr">
        <is>
          <t>Leadership</t>
        </is>
      </c>
      <c r="F135" s="12" t="inlineStr">
        <is>
          <t>Experience</t>
        </is>
      </c>
      <c r="G135" s="12" t="inlineStr">
        <is>
          <t>Business impact</t>
        </is>
      </c>
      <c r="H135" s="12" t="inlineStr">
        <is>
          <t>Why</t>
        </is>
      </c>
    </row>
    <row r="136" ht="80" customHeight="1">
      <c r="A136" s="13" t="inlineStr">
        <is>
          <t>Band A</t>
        </is>
      </c>
      <c r="B136" s="15" t="inlineStr">
        <is>
          <t>59%</t>
        </is>
      </c>
      <c r="C136" s="15" t="inlineStr">
        <is>
          <t>16%</t>
        </is>
      </c>
      <c r="D136" s="15" t="inlineStr">
        <is>
          <t>9%</t>
        </is>
      </c>
      <c r="E136" s="15" t="inlineStr">
        <is>
          <t>0%</t>
        </is>
      </c>
      <c r="F136" s="15" t="inlineStr">
        <is>
          <t>10%</t>
        </is>
      </c>
      <c r="G136" s="15" t="inlineStr">
        <is>
          <t>6%</t>
        </is>
      </c>
      <c r="H136" s="16" t="inlineStr">
        <is>
          <r>
            <rPr>
              <rFont val="Calibri"/>
              <b val="1"/>
              <sz val="10"/>
            </rPr>
            <t>Junior work is judged on the work itself:</t>
          </r>
          <r>
            <rPr>
              <rFont val="Calibri"/>
              <sz val="10"/>
            </rPr>
            <t xml:space="preserve"> Hay puts know-how at 73% for clerical jobs and Mercer IPE knowledge plus innovation at 61%; leadership is not expected. Sources: S46–S51 Korn Ferry Hay evaluations · S04, S52 Mercer IPE · S53–S57 NHS, UK NJC/PSC, GLPC, SJC and US OPM point-factor plans.</t>
          </r>
        </is>
      </c>
    </row>
    <row r="137" ht="67" customHeight="1">
      <c r="A137" s="13" t="inlineStr">
        <is>
          <t>Band B · IC / POD Lead</t>
        </is>
      </c>
      <c r="B137" s="15" t="inlineStr">
        <is>
          <t>51%</t>
        </is>
      </c>
      <c r="C137" s="15" t="inlineStr">
        <is>
          <t>17%</t>
        </is>
      </c>
      <c r="D137" s="15" t="inlineStr">
        <is>
          <t>10%</t>
        </is>
      </c>
      <c r="E137" s="15" t="inlineStr">
        <is>
          <t>5%</t>
        </is>
      </c>
      <c r="F137" s="15" t="inlineStr">
        <is>
          <t>10%</t>
        </is>
      </c>
      <c r="G137" s="15" t="inlineStr">
        <is>
          <t>7%</t>
        </is>
      </c>
      <c r="H137" s="16" t="inlineStr">
        <is>
          <r>
            <rPr>
              <rFont val="Calibri"/>
              <b val="1"/>
              <sz val="10"/>
            </rPr>
            <t>Professional and expert work:</t>
          </r>
          <r>
            <rPr>
              <rFont val="Calibri"/>
              <sz val="10"/>
            </rPr>
            <t xml:space="preserve"> the knowledge and problem solving the job needs lead, as in Hay's professional profile and Mercer IPE. Sources: S46–S51 Korn Ferry Hay evaluations · S04, S52 Mercer IPE · S53–S57 NHS, UK NJC/PSC, GLPC, SJC and US OPM point-factor plans.</t>
          </r>
        </is>
      </c>
    </row>
    <row r="138" ht="67" customHeight="1">
      <c r="A138" s="13" t="inlineStr">
        <is>
          <t>Band B · People Manager</t>
        </is>
      </c>
      <c r="B138" s="15" t="inlineStr">
        <is>
          <t>37%</t>
        </is>
      </c>
      <c r="C138" s="15" t="inlineStr">
        <is>
          <t>18%</t>
        </is>
      </c>
      <c r="D138" s="15" t="inlineStr">
        <is>
          <t>11%</t>
        </is>
      </c>
      <c r="E138" s="15" t="inlineStr">
        <is>
          <t>15%</t>
        </is>
      </c>
      <c r="F138" s="15" t="inlineStr">
        <is>
          <t>10%</t>
        </is>
      </c>
      <c r="G138" s="15" t="inlineStr">
        <is>
          <t>9%</t>
        </is>
      </c>
      <c r="H138" s="16" t="inlineStr">
        <is>
          <r>
            <rPr>
              <rFont val="Calibri"/>
              <b val="1"/>
              <sz val="10"/>
            </rPr>
            <t>Results come through a team:</t>
          </r>
          <r>
            <rPr>
              <rFont val="Calibri"/>
              <sz val="10"/>
            </rPr>
            <t xml:space="preserve"> leadership 15%, autonomy and accountability rise, as in Hay's supervisory profile, accountability 32%. Sources: S46–S51 Korn Ferry Hay evaluations · S04, S52 Mercer IPE · S53–S57 NHS, UK NJC/PSC, GLPC, SJC and US OPM point-factor plans.</t>
          </r>
        </is>
      </c>
    </row>
    <row r="139" ht="54" customHeight="1">
      <c r="A139" s="13" t="inlineStr">
        <is>
          <t>Band C · Principal specialist</t>
        </is>
      </c>
      <c r="B139" s="15" t="inlineStr">
        <is>
          <t>54%</t>
        </is>
      </c>
      <c r="C139" s="15" t="inlineStr">
        <is>
          <t>18%</t>
        </is>
      </c>
      <c r="D139" s="15" t="inlineStr">
        <is>
          <t>10%</t>
        </is>
      </c>
      <c r="E139" s="15" t="inlineStr">
        <is>
          <t>5%</t>
        </is>
      </c>
      <c r="F139" s="15" t="inlineStr">
        <is>
          <t>5%</t>
        </is>
      </c>
      <c r="G139" s="15" t="inlineStr">
        <is>
          <t>8%</t>
        </is>
      </c>
      <c r="H139" s="16" t="inlineStr">
        <is>
          <r>
            <rPr>
              <rFont val="Calibri"/>
              <b val="1"/>
              <sz val="10"/>
            </rPr>
            <t>Principal authority:</t>
          </r>
          <r>
            <rPr>
              <rFont val="Calibri"/>
              <sz val="10"/>
            </rPr>
            <t xml:space="preserve"> expertise still leads, as in Hay's 'level' profile 50 / 25 / 25; experience 5%. Sources: S46–S51 Korn Ferry Hay evaluations · S04, S52 Mercer IPE · S53–S57 NHS, UK NJC/PSC, GLPC, SJC and US OPM point-factor plans.</t>
          </r>
        </is>
      </c>
    </row>
    <row r="140" ht="67" customHeight="1">
      <c r="A140" s="13" t="inlineStr">
        <is>
          <t>Band C · Head / manager</t>
        </is>
      </c>
      <c r="B140" s="15" t="inlineStr">
        <is>
          <t>43%</t>
        </is>
      </c>
      <c r="C140" s="15" t="inlineStr">
        <is>
          <t>18%</t>
        </is>
      </c>
      <c r="D140" s="15" t="inlineStr">
        <is>
          <t>11%</t>
        </is>
      </c>
      <c r="E140" s="15" t="inlineStr">
        <is>
          <t>15%</t>
        </is>
      </c>
      <c r="F140" s="15" t="inlineStr">
        <is>
          <t>5%</t>
        </is>
      </c>
      <c r="G140" s="15" t="inlineStr">
        <is>
          <t>8%</t>
        </is>
      </c>
      <c r="H140" s="16" t="inlineStr">
        <is>
          <t>Heads answer for a function through managers, as in Hay's manager and EX-1 evaluations: leadership 15%, accountability and impact rise. Sources: S46–S51 Korn Ferry Hay evaluations · S04, S52 Mercer IPE · S53–S57 NHS, UK NJC/PSC, GLPC, SJC and US OPM point-factor plans.</t>
        </is>
      </c>
    </row>
    <row r="141" ht="67" customHeight="1">
      <c r="A141" s="13" t="inlineStr">
        <is>
          <t>Bands D–E</t>
        </is>
      </c>
      <c r="B141" s="15" t="inlineStr">
        <is>
          <t>37%</t>
        </is>
      </c>
      <c r="C141" s="15" t="inlineStr">
        <is>
          <t>19%</t>
        </is>
      </c>
      <c r="D141" s="15" t="inlineStr">
        <is>
          <t>11%</t>
        </is>
      </c>
      <c r="E141" s="15" t="inlineStr">
        <is>
          <t>20%</t>
        </is>
      </c>
      <c r="F141" s="15" t="inlineStr">
        <is>
          <t>5%</t>
        </is>
      </c>
      <c r="G141" s="15" t="inlineStr">
        <is>
          <t>8%</t>
        </is>
      </c>
      <c r="H141" s="16" t="inlineStr">
        <is>
          <t>Business and enterprise leaders, as in Hay's EX-2 and EX-3 evaluations: leadership 20%, autonomy, accountability and impact 38%. Sources: S46–S51 Korn Ferry Hay evaluations · S04, S52 Mercer IPE · S53–S57 NHS, UK NJC/PSC, GLPC, SJC and US OPM point-factor plans.</t>
        </is>
      </c>
    </row>
    <row r="142" ht="54" customHeight="1">
      <c r="A142" s="13" t="inlineStr">
        <is>
          <t>Player-Coach · B+</t>
        </is>
      </c>
      <c r="B142" s="15" t="inlineStr">
        <is>
          <t>44%</t>
        </is>
      </c>
      <c r="C142" s="15" t="inlineStr">
        <is>
          <t>18%</t>
        </is>
      </c>
      <c r="D142" s="15" t="inlineStr">
        <is>
          <t>10%</t>
        </is>
      </c>
      <c r="E142" s="15" t="inlineStr">
        <is>
          <t>10%</t>
        </is>
      </c>
      <c r="F142" s="15" t="inlineStr">
        <is>
          <t>10%</t>
        </is>
      </c>
      <c r="G142" s="15" t="inlineStr">
        <is>
          <t>8%</t>
        </is>
      </c>
      <c r="H142" s="16" t="inlineStr">
        <is>
          <r>
            <rPr>
              <rFont val="Calibri"/>
              <b val="1"/>
              <sz val="10"/>
            </rPr>
            <t>Half expert, half leader:</t>
          </r>
          <r>
            <rPr>
              <rFont val="Calibri"/>
              <sz val="10"/>
            </rPr>
            <t xml:space="preserve"> between the Band B expert and manager rows. Sources: S46–S51 Korn Ferry Hay evaluations · S04, S52 Mercer IPE · S53–S57 NHS, UK NJC/PSC, GLPC, SJC and US OPM point-factor plans.</t>
          </r>
        </is>
      </c>
    </row>
    <row r="143" ht="54" customHeight="1">
      <c r="A143" s="13" t="inlineStr">
        <is>
          <t>Player-Coach · C+</t>
        </is>
      </c>
      <c r="B143" s="15" t="inlineStr">
        <is>
          <t>38%</t>
        </is>
      </c>
      <c r="C143" s="15" t="inlineStr">
        <is>
          <t>18%</t>
        </is>
      </c>
      <c r="D143" s="15" t="inlineStr">
        <is>
          <t>11%</t>
        </is>
      </c>
      <c r="E143" s="15" t="inlineStr">
        <is>
          <t>20%</t>
        </is>
      </c>
      <c r="F143" s="15" t="inlineStr">
        <is>
          <t>5%</t>
        </is>
      </c>
      <c r="G143" s="15" t="inlineStr">
        <is>
          <t>8%</t>
        </is>
      </c>
      <c r="H143" s="16" t="inlineStr">
        <is>
          <r>
            <rPr>
              <rFont val="Calibri"/>
              <b val="1"/>
              <sz val="10"/>
            </rPr>
            <t>Leads a function and still delivers personally:</t>
          </r>
          <r>
            <rPr>
              <rFont val="Calibri"/>
              <sz val="10"/>
            </rPr>
            <t xml:space="preserve"> between the Band C head and Bands D–E rows. Sources: S46–S51 Korn Ferry Hay evaluations · S04, S52 Mercer IPE · S53–S57 NHS, UK NJC/PSC, GLPC, SJC and US OPM point-factor plans.</t>
          </r>
        </is>
      </c>
    </row>
    <row r="144" ht="15" customHeight="1"/>
    <row r="145" ht="20" customHeight="1">
      <c r="A145" s="6" t="inlineStr">
        <is>
          <t>6. Titles — no Director, no Fellow</t>
        </is>
      </c>
    </row>
    <row r="146" ht="15" customHeight="1">
      <c r="A146" s="12" t="inlineStr">
        <is>
          <t>Decision</t>
        </is>
      </c>
      <c r="B146" s="211" t="n"/>
      <c r="C146" s="12" t="inlineStr">
        <is>
          <t>Why</t>
        </is>
      </c>
      <c r="D146" s="212" t="n"/>
      <c r="E146" s="212" t="n"/>
      <c r="F146" s="211" t="n"/>
      <c r="G146" s="12" t="inlineStr">
        <is>
          <t>Source</t>
        </is>
      </c>
      <c r="H146" s="211" t="n"/>
    </row>
    <row r="147" ht="119" customHeight="1">
      <c r="A147" s="13" t="inlineStr">
        <is>
          <t>No 'Director' title</t>
        </is>
      </c>
      <c r="B147" s="211" t="n"/>
      <c r="C147" s="16" t="inlineStr">
        <is>
          <t>IRIS is a listed company. Under the Companies Act 2013, section 2, clause 34, 'director' means a director appointed to the Board; Indian listed IT companies use Associate Vice President and Vice President for senior employees to avoid confusion with the Board and with KMP disclosures. D1 is therefore 'Associate Vice President / Business Head'; market titles show 'Head of Function / AGM' and 'Senior Head / General Manager' where surveys say Director.</t>
        </is>
      </c>
      <c r="D147" s="212" t="n"/>
      <c r="E147" s="212" t="n"/>
      <c r="F147" s="211" t="n"/>
      <c r="G147" s="16" t="inlineStr">
        <is>
          <t>S63 iPleaders, Companies Act 2013 section 2, clause 34 · S64 Kaanoon practitioner Q&amp;A.</t>
        </is>
      </c>
      <c r="H147" s="211" t="n"/>
    </row>
    <row r="148" ht="145" customHeight="1">
      <c r="A148" s="13" t="inlineStr">
        <is>
          <t>No 'Fellow' title — two options for the heads</t>
        </is>
      </c>
      <c r="B148" s="211" t="n"/>
      <c r="C148" s="16" t="inlineStr">
        <is>
          <t>The top individual-contributor step at D1 has two market options. Option A, Chief Specialist, with discipline forms such as Chief Architect and Chief Consultant, is a recognised senior title in India and marks the step above Principal, where Indian IT ladders such as Infosys stop before AVP. Option B, Distinguished Principal, with forms such as Distinguished Architect and Distinguished Engineer, is the global big-tech standard. Until the heads decide, both are shown. The step is rare and set by leadership decision.</t>
        </is>
      </c>
      <c r="D148" s="212" t="n"/>
      <c r="E148" s="212" t="n"/>
      <c r="F148" s="211" t="n"/>
      <c r="G148" s="16" t="inlineStr">
        <is>
          <r>
            <rPr>
              <rFont val="Calibri"/>
              <b val="1"/>
              <sz val="10"/>
            </rPr>
            <t>Option A:</t>
          </r>
          <r>
            <rPr>
              <rFont val="Calibri"/>
              <sz val="10"/>
            </rPr>
            <t xml:space="preserve"> S72 PayScale India tracks 'Chief Architect, IT' as a late-career role · S33 Infosys tops its architect track at Principal Technology Architect before AVP. Option B: S65 Wipro Distinguished Member of Technical Staff · S66 Salesforce Distinguished Engineer · S67 LeadDev · S32 Google, Microsoft, Amazon levels.</t>
          </r>
        </is>
      </c>
      <c r="H148" s="211" t="n"/>
    </row>
    <row r="149" ht="15" customHeight="1"/>
    <row r="150" ht="20" customHeight="1">
      <c r="A150" s="6" t="inlineStr">
        <is>
          <t>7. Limits of the benchmark</t>
        </is>
      </c>
    </row>
    <row r="151" ht="15" customHeight="1">
      <c r="A151" s="209" t="inlineStr">
        <is>
          <t>• Vendor methods — Hay, Mercer IPE, WTW, Radford — keep their weights proprietary; their structure is public, their points are not.</t>
        </is>
      </c>
    </row>
    <row r="152" ht="15" customHeight="1">
      <c r="A152" s="209" t="inlineStr">
        <is>
          <t>• The plans are public-sector schemes with one weight set for every job; IRIS varies weights by level, following Hay's published direction.</t>
        </is>
      </c>
    </row>
    <row r="153" ht="41" customHeight="1">
      <c r="A153" s="209" t="inlineStr">
        <is>
          <t>• Mapping each plan's factors to the six IRIS factors is a judgement, shown above for every plan. The UK local-government figures are the Police Staff Council version; the NJC's own table is not public. The Hay typical profiles come from a secondary source; the Canada evaluations are primary. The Mercer IPE manual is a third-party copy and its level rows are illustrative ratings.</t>
        </is>
      </c>
    </row>
    <row r="154" ht="15" customHeight="1">
      <c r="A154" s="209" t="inlineStr">
        <is>
          <r>
            <rPr>
              <rFont val="Calibri"/>
              <sz val="10"/>
            </rPr>
            <t xml:space="preserve">• </t>
          </r>
          <r>
            <rPr>
              <rFont val="Calibri"/>
              <b val="1"/>
              <sz val="10"/>
            </rPr>
            <t>The calibration panel tests the weights on its anchor roles:</t>
          </r>
          <r>
            <rPr>
              <rFont val="Calibri"/>
              <sz val="10"/>
            </rPr>
            <t xml:space="preserve"> if two raters and the model agree within one level for 80% of anchors, the weights are confirmed.</t>
          </r>
        </is>
      </c>
    </row>
    <row r="155" ht="15" customHeight="1">
      <c r="A155" s="11" t="inlineStr">
        <is>
          <r>
            <rPr>
              <rFont val="Calibri"/>
              <b val="1"/>
              <i val="1"/>
              <color rgb="00595959"/>
              <sz val="10"/>
            </rPr>
            <t>Full links:</t>
          </r>
          <r>
            <rPr>
              <rFont val="Calibri"/>
              <i val="1"/>
              <color rgb="00595959"/>
              <sz val="10"/>
            </rPr>
            <t xml:space="preserve"> source register, HR Super Master sheet 11 and Framework Master M16.</t>
          </r>
        </is>
      </c>
    </row>
  </sheetData>
  <mergeCells count="98">
    <mergeCell ref="A77:H77"/>
    <mergeCell ref="A107:B107"/>
    <mergeCell ref="A6:H6"/>
    <mergeCell ref="C46:H46"/>
    <mergeCell ref="G147:H147"/>
    <mergeCell ref="A66:H66"/>
    <mergeCell ref="C48:H48"/>
    <mergeCell ref="B90:H90"/>
    <mergeCell ref="C107:F107"/>
    <mergeCell ref="A3:H3"/>
    <mergeCell ref="G148:H148"/>
    <mergeCell ref="A95:H95"/>
    <mergeCell ref="G108:H108"/>
    <mergeCell ref="G114:H114"/>
    <mergeCell ref="A5:H5"/>
    <mergeCell ref="A150:H150"/>
    <mergeCell ref="G110:H110"/>
    <mergeCell ref="A97:H97"/>
    <mergeCell ref="A109:B109"/>
    <mergeCell ref="A106:H106"/>
    <mergeCell ref="G113:H113"/>
    <mergeCell ref="A134:H134"/>
    <mergeCell ref="A96:H96"/>
    <mergeCell ref="A152:H152"/>
    <mergeCell ref="A111:B111"/>
    <mergeCell ref="A48:B48"/>
    <mergeCell ref="A67:H67"/>
    <mergeCell ref="A51:H51"/>
    <mergeCell ref="A45:B45"/>
    <mergeCell ref="C43:H43"/>
    <mergeCell ref="B89:H89"/>
    <mergeCell ref="C111:F111"/>
    <mergeCell ref="A124:H124"/>
    <mergeCell ref="G112:H112"/>
    <mergeCell ref="A46:B46"/>
    <mergeCell ref="C118:G118"/>
    <mergeCell ref="A2:H2"/>
    <mergeCell ref="C147:F147"/>
    <mergeCell ref="A42:H42"/>
    <mergeCell ref="A151:H151"/>
    <mergeCell ref="C146:F146"/>
    <mergeCell ref="B88:H88"/>
    <mergeCell ref="A125:H125"/>
    <mergeCell ref="A115:B115"/>
    <mergeCell ref="C148:F148"/>
    <mergeCell ref="C110:F110"/>
    <mergeCell ref="G115:H115"/>
    <mergeCell ref="A49:B49"/>
    <mergeCell ref="B92:H92"/>
    <mergeCell ref="A119:B119"/>
    <mergeCell ref="A153:H153"/>
    <mergeCell ref="C121:G121"/>
    <mergeCell ref="A41:H41"/>
    <mergeCell ref="C108:F108"/>
    <mergeCell ref="A120:B120"/>
    <mergeCell ref="A145:H145"/>
    <mergeCell ref="A154:H154"/>
    <mergeCell ref="A113:B113"/>
    <mergeCell ref="C113:F113"/>
    <mergeCell ref="A76:H76"/>
    <mergeCell ref="C112:F112"/>
    <mergeCell ref="C109:F109"/>
    <mergeCell ref="C122:G122"/>
    <mergeCell ref="A53:H53"/>
    <mergeCell ref="A147:B147"/>
    <mergeCell ref="C114:F114"/>
    <mergeCell ref="A43:B43"/>
    <mergeCell ref="C45:H45"/>
    <mergeCell ref="A68:H68"/>
    <mergeCell ref="A117:H117"/>
    <mergeCell ref="C47:H47"/>
    <mergeCell ref="A148:B148"/>
    <mergeCell ref="C44:H44"/>
    <mergeCell ref="G107:H107"/>
    <mergeCell ref="A1:H1"/>
    <mergeCell ref="A110:B110"/>
    <mergeCell ref="A146:B146"/>
    <mergeCell ref="A78:H78"/>
    <mergeCell ref="A108:B108"/>
    <mergeCell ref="B91:H91"/>
    <mergeCell ref="G146:H146"/>
    <mergeCell ref="A118:B118"/>
    <mergeCell ref="B93:H93"/>
    <mergeCell ref="A105:H105"/>
    <mergeCell ref="A47:B47"/>
    <mergeCell ref="C120:G120"/>
    <mergeCell ref="C49:H49"/>
    <mergeCell ref="C119:G119"/>
    <mergeCell ref="A122:B122"/>
    <mergeCell ref="G109:H109"/>
    <mergeCell ref="A112:B112"/>
    <mergeCell ref="A121:B121"/>
    <mergeCell ref="A52:H52"/>
    <mergeCell ref="C115:F115"/>
    <mergeCell ref="A44:B44"/>
    <mergeCell ref="A155:H155"/>
    <mergeCell ref="G111:H111"/>
    <mergeCell ref="A114:B114"/>
  </mergeCell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BV55"/>
  <sheetViews>
    <sheetView showGridLines="0"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16" customWidth="1" min="4" max="4"/>
    <col width="7" customWidth="1" min="5" max="5"/>
    <col width="7" customWidth="1" min="6" max="6"/>
    <col width="12" customWidth="1" min="7" max="7"/>
    <col width="20" customWidth="1" min="8" max="8"/>
    <col width="26" customWidth="1" min="9" max="9"/>
    <col width="18" customWidth="1" min="10" max="10"/>
    <col width="24" customWidth="1" min="11" max="11"/>
    <col width="12" customWidth="1" min="12" max="12"/>
    <col width="8" customWidth="1" min="13" max="13"/>
    <col width="16" customWidth="1" min="14" max="14"/>
    <col width="6" customWidth="1" min="15" max="15"/>
    <col width="11" customWidth="1" min="16" max="16"/>
    <col width="10" customWidth="1" min="17" max="17"/>
    <col width="64" customWidth="1" min="18" max="18"/>
    <col width="46" customWidth="1" min="19" max="19"/>
    <col width="30" customWidth="1" min="20" max="20"/>
    <col width="44" customWidth="1" min="21" max="21"/>
    <col width="44" customWidth="1" min="22" max="22"/>
    <col width="60" customWidth="1" min="23" max="23"/>
    <col width="64" customWidth="1" min="24" max="24"/>
    <col width="30" customWidth="1" min="25" max="25"/>
    <col width="10" customWidth="1" min="26" max="26"/>
    <col width="12"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9" customWidth="1" min="44" max="44"/>
    <col width="8" customWidth="1" min="45" max="45"/>
    <col width="44" customWidth="1" min="46" max="46"/>
    <col width="42" customWidth="1" min="47" max="47"/>
    <col width="52" customWidth="1" min="48" max="48"/>
    <col width="58" customWidth="1" min="49" max="49"/>
    <col width="58" customWidth="1" min="50" max="50"/>
    <col width="58" customWidth="1" min="51" max="51"/>
    <col width="58" customWidth="1" min="52" max="52"/>
    <col width="58" customWidth="1" min="53" max="53"/>
    <col width="58" customWidth="1" min="54" max="54"/>
    <col width="34" customWidth="1" min="55" max="55"/>
    <col width="36" customWidth="1" min="56" max="56"/>
    <col width="46" customWidth="1" min="57" max="57"/>
    <col width="9" customWidth="1" min="58" max="58"/>
    <col width="30" customWidth="1" min="59" max="59"/>
    <col width="22" customWidth="1" min="60" max="60"/>
    <col width="11" customWidth="1" min="61" max="61"/>
    <col width="10" customWidth="1" min="62" max="62"/>
    <col width="10" customWidth="1" min="63" max="63"/>
    <col width="10" customWidth="1" min="64" max="64"/>
    <col width="8" customWidth="1" min="65" max="65"/>
    <col width="11" customWidth="1" min="66" max="66"/>
    <col width="26" customWidth="1" min="67" max="67"/>
    <col width="10" customWidth="1" min="68" max="68"/>
    <col width="9" customWidth="1" min="69" max="69"/>
    <col width="20" customWidth="1" min="70" max="70"/>
    <col width="9" customWidth="1" min="71" max="71"/>
    <col width="13" customWidth="1" min="72" max="72"/>
    <col width="11" customWidth="1" min="73" max="73"/>
    <col hidden="1" width="6" customWidth="1" min="74" max="74"/>
  </cols>
  <sheetData>
    <row r="1" ht="34" customHeight="1">
      <c r="A1" s="1" t="inlineStr">
        <is>
          <t>Talent Mapping — role, weightage, score → level, and the justification for every rating</t>
        </is>
      </c>
      <c r="AA1" s="242" t="inlineStr">
        <is>
          <t>◂ Contents</t>
        </is>
      </c>
    </row>
    <row r="2" ht="30" customHeight="1">
      <c r="A2" s="3" t="inlineStr">
        <is>
          <r>
            <rPr>
              <rFont val="Calibri"/>
              <b val="1"/>
              <i val="1"/>
              <color rgb="00404040"/>
              <sz val="10"/>
            </rPr>
            <t>Sheet 2 · Read left to right:</t>
          </r>
          <r>
            <rPr>
              <rFont val="Calibri"/>
              <i val="1"/>
              <color rgb="00404040"/>
              <sz val="10"/>
            </rPr>
            <t xml:space="preserve"> the person → their role before and after → what the role does · responsibilities and competencies required → six ratings × weights = points → the score and the level it points to → any rule that changed the level → why each rating was given · starting point, evidence, market standard → the data used. Ratings use the ladder scale: A1 = 1 … E2 = 12. Weights come live from the Weightage Matrix; points, score and indicated level recalculate when a leader edits it. Managers can overwrite the Business Impact rating, in yellow. Pay columns are left blank for HR.</t>
          </r>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H4" s="65" t="inlineStr">
        <is>
          <t>Level up</t>
        </is>
      </c>
      <c r="I4" s="66" t="inlineStr">
        <is>
          <t>Level down — pay &amp; title protected</t>
        </is>
      </c>
      <c r="J4" s="67" t="inlineStr">
        <is>
          <t>Newly mapped</t>
        </is>
      </c>
      <c r="K4" s="68" t="inlineStr">
        <is>
          <t>Player-Coach · B+ · C+</t>
        </is>
      </c>
      <c r="L4" s="69" t="inlineStr">
        <is>
          <t>RED = critical input needed · could change or confirm the level</t>
        </is>
      </c>
      <c r="P4" s="71" t="inlineStr">
        <is>
          <t>YELLOW = to complete in validation</t>
        </is>
      </c>
    </row>
    <row r="5" ht="32" customHeight="1">
      <c r="A5" s="73" t="inlineStr">
        <is>
          <t>PERSON</t>
        </is>
      </c>
      <c r="H5" s="74" t="inlineStr">
        <is>
          <t>ROLE — BEFORE → AFTER</t>
        </is>
      </c>
      <c r="R5" s="76" t="inlineStr">
        <is>
          <t>ROLE PROFILE — what they do · role-holders' survey themes + catalogue</t>
        </is>
      </c>
      <c r="S5" s="77" t="inlineStr">
        <is>
          <t>BUSINESS IMPACT — what the person's role means for the business</t>
        </is>
      </c>
      <c r="U5" s="79" t="inlineStr">
        <is>
          <t>RECRUITMENT — REPLACEMENT PROFILE · to hire a like-for-like replacement</t>
        </is>
      </c>
      <c r="Y5" s="81" t="inlineStr">
        <is>
          <t>WEIGHTAGE — rating × weight = points · weights live from the Weightage Matrix</t>
        </is>
      </c>
      <c r="AT5" s="83" t="inlineStr">
        <is>
          <t>HOW THE SCORE BECOMES THE LEVEL</t>
        </is>
      </c>
      <c r="AW5" s="85" t="inlineStr">
        <is>
          <t>JUSTIFICATION FOR EACH RATING — start point, evidence, market standard</t>
        </is>
      </c>
      <c r="BC5" s="87" t="inlineStr">
        <is>
          <t>DATA SOURCES, INPUTS NEEDED &amp; MARKET STANDARD</t>
        </is>
      </c>
      <c r="BI5" s="89" t="inlineStr">
        <is>
          <t>PAY — set later from the pay survey · left blank</t>
        </is>
      </c>
      <c r="BN5" s="73" t="inlineStr">
        <is>
          <t>VALIDATION — manager &amp; HR</t>
        </is>
      </c>
    </row>
    <row r="6" ht="58" customHeight="1">
      <c r="A6" s="91" t="inlineStr">
        <is>
          <t>Emp ID</t>
        </is>
      </c>
      <c r="B6" s="92" t="inlineStr">
        <is>
          <t>Employee name</t>
        </is>
      </c>
      <c r="C6" s="92" t="inlineStr">
        <is>
          <t>Department</t>
        </is>
      </c>
      <c r="D6" s="92" t="inlineStr">
        <is>
          <t>Reporting manager</t>
        </is>
      </c>
      <c r="E6" s="92" t="inlineStr">
        <is>
          <t>Total exp. · yrs</t>
        </is>
      </c>
      <c r="F6" s="92" t="inlineStr">
        <is>
          <t>Exp. at IRIS · yrs</t>
        </is>
      </c>
      <c r="G6" s="92" t="inlineStr">
        <is>
          <t>Qualification</t>
        </is>
      </c>
      <c r="H6" s="93" t="inlineStr">
        <is>
          <t>Current designation</t>
        </is>
      </c>
      <c r="I6" s="12" t="inlineStr">
        <is>
          <t>Final designation</t>
        </is>
      </c>
      <c r="J6" s="12" t="inlineStr">
        <is>
          <t>Job family</t>
        </is>
      </c>
      <c r="K6" s="12" t="inlineStr">
        <is>
          <t>Sub-family · what they do</t>
        </is>
      </c>
      <c r="L6" s="12" t="inlineStr">
        <is>
          <t>Current level</t>
        </is>
      </c>
      <c r="M6" s="12" t="inlineStr">
        <is>
          <t>FINAL LEVEL</t>
        </is>
      </c>
      <c r="N6" s="12" t="inlineStr">
        <is>
          <t>Level title</t>
        </is>
      </c>
      <c r="O6" s="12" t="inlineStr">
        <is>
          <t>Band</t>
        </is>
      </c>
      <c r="P6" s="12" t="inlineStr">
        <is>
          <t>Track</t>
        </is>
      </c>
      <c r="Q6" s="12" t="inlineStr">
        <is>
          <t>Change vs current</t>
        </is>
      </c>
      <c r="R6" s="94" t="inlineStr">
        <is>
          <t>Role profile — what they do, responsibilities &amp; competencies required</t>
        </is>
      </c>
      <c r="S6" s="95" t="inlineStr">
        <is>
          <t>Business impact — from survey and data</t>
        </is>
      </c>
      <c r="T6" s="96" t="inlineStr">
        <is>
          <t>Business impact — from manager / head · to complete</t>
        </is>
      </c>
      <c r="U6" s="97" t="inlineStr">
        <is>
          <t>Replacement — what they do · simple</t>
        </is>
      </c>
      <c r="V6" s="98" t="inlineStr">
        <is>
          <t>Hire equivalent · external market</t>
        </is>
      </c>
      <c r="W6" s="98" t="inlineStr">
        <is>
          <t>Competencies &amp; skill level to hire for</t>
        </is>
      </c>
      <c r="X6" s="98" t="inlineStr">
        <is>
          <t>Interview questions for the perfect fit</t>
        </is>
      </c>
      <c r="Y6" s="99" t="inlineStr">
        <is>
          <t>Weight row — Weightage Matrix</t>
        </is>
      </c>
      <c r="Z6" s="100" t="inlineStr">
        <is>
          <t>Complexity rating</t>
        </is>
      </c>
      <c r="AA6" s="100" t="inlineStr">
        <is>
          <t>Complexity weight</t>
        </is>
      </c>
      <c r="AB6" s="100" t="inlineStr">
        <is>
          <t>Complexity points</t>
        </is>
      </c>
      <c r="AC6" s="100" t="inlineStr">
        <is>
          <t>Autonomy rating</t>
        </is>
      </c>
      <c r="AD6" s="100" t="inlineStr">
        <is>
          <t>Autonomy weight</t>
        </is>
      </c>
      <c r="AE6" s="100" t="inlineStr">
        <is>
          <t>Autonomy points</t>
        </is>
      </c>
      <c r="AF6" s="100" t="inlineStr">
        <is>
          <t>Accountab. rating</t>
        </is>
      </c>
      <c r="AG6" s="100" t="inlineStr">
        <is>
          <t>Accountab. weight</t>
        </is>
      </c>
      <c r="AH6" s="100" t="inlineStr">
        <is>
          <t>Accountab. points</t>
        </is>
      </c>
      <c r="AI6" s="100" t="inlineStr">
        <is>
          <t>Leadership rating</t>
        </is>
      </c>
      <c r="AJ6" s="100" t="inlineStr">
        <is>
          <t>Leadership weight</t>
        </is>
      </c>
      <c r="AK6" s="100" t="inlineStr">
        <is>
          <t>Leadership points</t>
        </is>
      </c>
      <c r="AL6" s="100" t="inlineStr">
        <is>
          <t>Exp + Qual rating</t>
        </is>
      </c>
      <c r="AM6" s="100" t="inlineStr">
        <is>
          <t>Exp + Qual weight</t>
        </is>
      </c>
      <c r="AN6" s="100" t="inlineStr">
        <is>
          <t>Exp + Qual points</t>
        </is>
      </c>
      <c r="AO6" s="100" t="inlineStr">
        <is>
          <t>Bus. Impact rating</t>
        </is>
      </c>
      <c r="AP6" s="100" t="inlineStr">
        <is>
          <t>Bus. Impact weight</t>
        </is>
      </c>
      <c r="AQ6" s="100" t="inlineStr">
        <is>
          <t>Bus. Impact points</t>
        </is>
      </c>
      <c r="AR6" s="100" t="inlineStr">
        <is>
          <t>WEIGHTED SCORE = Σ points</t>
        </is>
      </c>
      <c r="AS6" s="100" t="inlineStr">
        <is>
          <t>Level the score indicates</t>
        </is>
      </c>
      <c r="AT6" s="101" t="inlineStr">
        <is>
          <t>Why these weights</t>
        </is>
      </c>
      <c r="AU6" s="102" t="inlineStr">
        <is>
          <t>Calculation</t>
        </is>
      </c>
      <c r="AV6" s="102" t="inlineStr">
        <is>
          <t>Gates, limits &amp; Player-Coach transition steps applied — with the numbers</t>
        </is>
      </c>
      <c r="AW6" s="103" t="inlineStr">
        <is>
          <t>Complexity &amp; Expertise — justification</t>
        </is>
      </c>
      <c r="AX6" s="104" t="inlineStr">
        <is>
          <t>Autonomy &amp; Decision — justification</t>
        </is>
      </c>
      <c r="AY6" s="104" t="inlineStr">
        <is>
          <t>Accountability &amp; Impact — justification</t>
        </is>
      </c>
      <c r="AZ6" s="104" t="inlineStr">
        <is>
          <t>Leadership &amp; Strategy — justification</t>
        </is>
      </c>
      <c r="BA6" s="104" t="inlineStr">
        <is>
          <t>Experience &amp; Qualification — justification</t>
        </is>
      </c>
      <c r="BB6" s="104" t="inlineStr">
        <is>
          <t>Business Impact — justification</t>
        </is>
      </c>
      <c r="BC6" s="105" t="inlineStr">
        <is>
          <t>ADDITIONAL INPUTS NEEDED — what, and who provides it</t>
        </is>
      </c>
      <c r="BD6" s="106" t="inlineStr">
        <is>
          <t>Data used for this person</t>
        </is>
      </c>
      <c r="BE6" s="106" t="inlineStr">
        <is>
          <t>Market standard for this role and level</t>
        </is>
      </c>
      <c r="BF6" s="106" t="inlineStr">
        <is>
          <t>Confidence</t>
        </is>
      </c>
      <c r="BG6" s="106" t="inlineStr">
        <is>
          <t>Points to confirm</t>
        </is>
      </c>
      <c r="BH6" s="106" t="inlineStr">
        <is>
          <t>Player-Coach / calibration flag</t>
        </is>
      </c>
      <c r="BI6" s="107" t="inlineStr">
        <is>
          <t>Current fixed pay · annual CTC</t>
        </is>
      </c>
      <c r="BJ6" s="108" t="inlineStr">
        <is>
          <t>Proposed range — minimum</t>
        </is>
      </c>
      <c r="BK6" s="108" t="inlineStr">
        <is>
          <t>Proposed range — midpoint</t>
        </is>
      </c>
      <c r="BL6" s="108" t="inlineStr">
        <is>
          <t>Proposed range — maximum</t>
        </is>
      </c>
      <c r="BM6" s="108" t="inlineStr">
        <is>
          <t>Compa-ratio</t>
        </is>
      </c>
      <c r="BN6" s="91" t="inlineStr">
        <is>
          <t>Manager validation</t>
        </is>
      </c>
      <c r="BO6" s="92" t="inlineStr">
        <is>
          <t>Manager comment / proposed change</t>
        </is>
      </c>
      <c r="BP6" s="92" t="inlineStr">
        <is>
          <t>HR decision</t>
        </is>
      </c>
      <c r="BQ6" s="92" t="inlineStr">
        <is>
          <t>Approved level</t>
        </is>
      </c>
      <c r="BR6" s="92" t="inlineStr">
        <is>
          <t>Approved designation</t>
        </is>
      </c>
      <c r="BS6" s="92" t="inlineStr">
        <is>
          <t>Pay / title protection · Y/N</t>
        </is>
      </c>
      <c r="BT6" s="92" t="inlineStr">
        <is>
          <t>Reviewer</t>
        </is>
      </c>
      <c r="BU6" s="92" t="inlineStr">
        <is>
          <t>Decision date</t>
        </is>
      </c>
      <c r="BV6" s="92" t="inlineStr">
        <is>
          <t>Bus. Impact — model start</t>
        </is>
      </c>
    </row>
    <row r="7" ht="340" customHeight="1">
      <c r="A7" s="109" t="inlineStr">
        <is>
          <t>IRIS1326</t>
        </is>
      </c>
      <c r="B7" s="110" t="inlineStr">
        <is>
          <t>Sujit Acharya</t>
        </is>
      </c>
      <c r="C7" s="111" t="inlineStr">
        <is>
          <t>Administration</t>
        </is>
      </c>
      <c r="D7" s="111" t="inlineStr">
        <is>
          <t>Sudhakar Sawant</t>
        </is>
      </c>
      <c r="E7" s="112" t="n">
        <v>21.7</v>
      </c>
      <c r="F7" s="112" t="n">
        <v>13.5</v>
      </c>
      <c r="G7" s="111" t="inlineStr">
        <is>
          <t>B.Com</t>
        </is>
      </c>
      <c r="H7" s="113" t="inlineStr">
        <is>
          <t>Manager Administration</t>
        </is>
      </c>
      <c r="I7" s="114" t="inlineStr">
        <is>
          <t>Manager – Administration</t>
        </is>
      </c>
      <c r="J7" s="114" t="inlineStr">
        <is>
          <t>Administration, Legal &amp; Secretarial</t>
        </is>
      </c>
      <c r="K7" s="114" t="inlineStr">
        <is>
          <t>Administration &amp; Facilities</t>
        </is>
      </c>
      <c r="L7" s="115" t="inlineStr">
        <is>
          <t>Not in current mapping files</t>
        </is>
      </c>
      <c r="M7" s="116" t="inlineStr">
        <is>
          <t>B2</t>
        </is>
      </c>
      <c r="N7" s="21" t="inlineStr">
        <is>
          <t>Manager</t>
        </is>
      </c>
      <c r="O7" s="23" t="inlineStr">
        <is>
          <t>B</t>
        </is>
      </c>
      <c r="P7" s="114" t="inlineStr">
        <is>
          <t>People Manager</t>
        </is>
      </c>
      <c r="Q7" s="117" t="inlineStr">
        <is>
          <t>● Newly mapped</t>
        </is>
      </c>
      <c r="R7" s="118" t="inlineStr">
        <is>
          <r>
            <rPr>
              <rFont val="Calibri"/>
              <b val="1"/>
              <sz val="10"/>
            </rPr>
            <t>WHAT THE ROLE DOES:</t>
          </r>
          <r>
            <rPr>
              <rFont val="Calibri"/>
              <sz val="10"/>
            </rPr>
            <t xml:space="preserve"> Manages travel, facilities, office administration and vendors. At B2: deep domain expertise, or one team.
</t>
          </r>
          <r>
            <rPr>
              <rFont val="Calibri"/>
              <b val="1"/>
              <sz val="10"/>
            </rPr>
            <t>KEY RESPONSIBILITIES:</t>
          </r>
          <r>
            <rPr>
              <rFont val="Calibri"/>
              <sz val="10"/>
            </rPr>
            <t xml:space="preserve"> Manages travel, facilities, office administration and vendors; Hardest problems in the domain; One team or a client portfolio
</t>
          </r>
          <r>
            <rPr>
              <rFont val="Calibri"/>
              <b val="1"/>
              <sz val="10"/>
            </rPr>
            <t>DELIVERS:</t>
          </r>
          <r>
            <rPr>
              <rFont val="Calibri"/>
              <sz val="10"/>
            </rPr>
            <t xml:space="preserve"> One team or a client portfolio
</t>
          </r>
          <r>
            <rPr>
              <rFont val="Calibri"/>
              <b val="1"/>
              <sz val="10"/>
            </rPr>
            <t>DECIDES ALONE:</t>
          </r>
          <r>
            <rPr>
              <rFont val="Calibri"/>
              <sz val="10"/>
            </rPr>
            <t xml:space="preserve"> Allocates people and sets team priorities
</t>
          </r>
          <r>
            <rPr>
              <rFont val="Calibri"/>
              <b val="1"/>
              <sz val="10"/>
            </rPr>
            <t>SKILLS &amp; KNOWLEDGE · role-holders:</t>
          </r>
          <r>
            <rPr>
              <rFont val="Calibri"/>
              <sz val="10"/>
            </rPr>
            <t xml:space="preserve"> Administration
COMPETENCIES REQUIRED — must-have ★: Regulatory &amp; BFSI Domain · Stakeholder &amp; Client Management
</t>
          </r>
          <r>
            <rPr>
              <rFont val="Calibri"/>
              <b val="1"/>
              <sz val="10"/>
            </rPr>
            <t>OTHER FUNCTIONAL COMPETENCIES:</t>
          </r>
          <r>
            <rPr>
              <rFont val="Calibri"/>
              <sz val="10"/>
            </rPr>
            <t xml:space="preserve"> Process Improvement &amp; Quality Mindset · Advanced Excel &amp; Productivity Tools · Communication &amp; Presentation · Time, Priority &amp; Self-Management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Domain certifications · optional
</t>
          </r>
          <r>
            <rPr>
              <rFont val="Calibri"/>
              <b val="1"/>
              <sz val="10"/>
            </rPr>
            <t>SOURCE:</t>
          </r>
          <r>
            <rPr>
              <rFont val="Calibri"/>
              <sz val="10"/>
            </rPr>
            <t xml:space="preserve"> Framework only · fewer than 3 answered — 1 holder, 1 answered the survey; sub-family 2 answered; catalogue RC-002</t>
          </r>
        </is>
      </c>
      <c r="S7"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5 direct reports.
Manager talent mapping — Latest rating: Not rated · manager · 9-Box Grid placement: Not placed · manager.</t>
          </r>
        </is>
      </c>
      <c r="T7" s="120" t="n"/>
      <c r="U7" s="121" t="inlineStr">
        <is>
          <r>
            <rPr>
              <rFont val="Calibri"/>
              <sz val="10"/>
            </rPr>
            <t xml:space="preserve">Manager – Administration in Administration · Corporate, B2 — People Manager.
</t>
          </r>
          <r>
            <rPr>
              <rFont val="Calibri"/>
              <b val="1"/>
              <sz val="10"/>
            </rPr>
            <t>The work:</t>
          </r>
          <r>
            <rPr>
              <rFont val="Calibri"/>
              <sz val="10"/>
            </rPr>
            <t xml:space="preserve"> Manages travel, facilities, office administration and vendors.
At this level the role owns deep domain expertise, or one team.
</t>
          </r>
          <r>
            <rPr>
              <rFont val="Calibri"/>
              <b val="1"/>
              <sz val="10"/>
            </rPr>
            <t>Key responsibilities:</t>
          </r>
          <r>
            <rPr>
              <rFont val="Calibri"/>
              <sz val="10"/>
            </rPr>
            <t xml:space="preserve"> Manages travel, facilities, office administration and vendors; Hardest problems in the domain; One team or a client portfolio.
Leads 5 direct reports.</t>
          </r>
        </is>
      </c>
      <c r="V7" s="122"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ICSI · CS / LLB for secretarial &amp; legal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IRIS Vs Competitor Benchmark — corporate services ladder – Manager
</t>
          </r>
          <r>
            <rPr>
              <rFont val="Calibri"/>
              <b val="1"/>
              <sz val="10"/>
            </rPr>
            <t>Credentials:</t>
          </r>
          <r>
            <rPr>
              <rFont val="Calibri"/>
              <sz val="10"/>
            </rPr>
            <t xml:space="preserve"> Domain certifications · optional
</t>
          </r>
          <r>
            <rPr>
              <rFont val="Calibri"/>
              <b val="1"/>
              <sz val="10"/>
            </rPr>
            <t>Must already know:</t>
          </r>
          <r>
            <rPr>
              <rFont val="Calibri"/>
              <sz val="10"/>
            </rPr>
            <t xml:space="preserve"> Companies Act / statutory filings; vendor contracts</t>
          </r>
        </is>
      </c>
      <c r="W7" s="122" t="inlineStr">
        <is>
          <r>
            <rPr>
              <rFont val="Calibri"/>
              <sz val="10"/>
            </rPr>
            <t xml:space="preserve">FUNCTIONAL — skill level 4 of 5 · Advanced
 ★ Regulatory &amp; BFSI Domain: Interprets new regulation; advises clients and product
 ★ Stakeholder &amp; Client Management: Owns key relationships; resolves escalations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Communication &amp; Presentation:</t>
          </r>
          <r>
            <rPr>
              <rFont val="Calibri"/>
              <sz val="10"/>
            </rPr>
            <t xml:space="preserve"> Presents to senior stakeholders; shapes messaging
 • </t>
          </r>
          <r>
            <rPr>
              <rFont val="Calibri"/>
              <b val="1"/>
              <sz val="10"/>
            </rPr>
            <t>Time, Priority &amp; Self-Management:</t>
          </r>
          <r>
            <rPr>
              <rFont val="Calibri"/>
              <sz val="10"/>
            </rPr>
            <t xml:space="preserve"> Plans team capacity and peak-season loads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Administration
★ = must-have for the family. Scale: 1 Awareness · 2 Working · 3 Practitioner · 4 Advanced · 5 Expert.</t>
          </r>
        </is>
      </c>
      <c r="X7" s="122" t="inlineStr">
        <is>
          <r>
            <rPr>
              <rFont val="Calibri"/>
              <sz val="10"/>
            </rPr>
            <t xml:space="preserve">Draft — generated from the framework; hiring-manager review pending · HR Super Master, sheet T5.
1. [Regulatory &amp; BFSI Domain · level 4] Tell me about recent work that shows this: "Interprets new regulation; advises clients and product". What exactly did you do, how, and what was the result? Assess with: Domain interview.
2. [Stakeholder &amp; Client Management · level 4] Tell me about recent work that shows this: "Owns key relationships; resolves escalations". What exactly did you do, how, and what was the result? Assess with: Role play / behavioural interview.
3. [Process Improvement &amp; Quality Mindset · level 4] Give an example that shows you can do this: "Redesigns team processes; reduces error rates measurably". Assess with: Work sample / case.
4. [Advanced Excel &amp; Productivity Tools · level 4] Give an example that shows you can do this: "Builds templates and automation used by the team". Assess with: Practical test.
5. [Communication &amp; Presentation · level 4] Give an example that shows you can do this: "Presents to senior stakeholders; shapes messaging". Assess with: Presentation / writing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7" s="123" t="inlineStr">
        <is>
          <t>Corporate · Administration · Band B · People Manager</t>
        </is>
      </c>
      <c r="Z7" s="124" t="n">
        <v>4</v>
      </c>
      <c r="AA7" s="125">
        <f>IFERROR(INDEX(WM_C,MATCH($Y7,WM_KEY,0)),"")</f>
        <v>0.32</v>
      </c>
      <c r="AB7" s="126">
        <f>IF(Z7="","",Z7*AA7)</f>
        <v>1.28</v>
      </c>
      <c r="AC7" s="124" t="n">
        <v>4</v>
      </c>
      <c r="AD7" s="125">
        <f>IFERROR(INDEX(WM_AU,MATCH($Y7,WM_KEY,0)),"")</f>
        <v>0.18</v>
      </c>
      <c r="AE7" s="126">
        <f>IF(AC7="","",AC7*AD7)</f>
        <v>0.72</v>
      </c>
      <c r="AF7" s="124" t="n">
        <v>4</v>
      </c>
      <c r="AG7" s="125">
        <f>IFERROR(INDEX(WM_AC,MATCH($Y7,WM_KEY,0)),"")</f>
        <v>0.11</v>
      </c>
      <c r="AH7" s="126">
        <f>IF(AF7="","",AF7*AG7)</f>
        <v>0.44</v>
      </c>
      <c r="AI7" s="124" t="n">
        <v>3.5</v>
      </c>
      <c r="AJ7" s="125">
        <f>IFERROR(INDEX(WM_L,MATCH($Y7,WM_KEY,0)),"")</f>
        <v>0.15</v>
      </c>
      <c r="AK7" s="126">
        <f>IF(AI7="","",AI7*AJ7)</f>
        <v>0.525</v>
      </c>
      <c r="AL7" s="124" t="n">
        <v>10</v>
      </c>
      <c r="AM7" s="125">
        <f>IFERROR(INDEX(WM_E,MATCH($Y7,WM_KEY,0)),"")</f>
        <v>0.15</v>
      </c>
      <c r="AN7" s="126">
        <f>IF(AL7="","",AL7*AM7)</f>
        <v>1.5</v>
      </c>
      <c r="AO7" s="127" t="n">
        <v>4</v>
      </c>
      <c r="AP7" s="125">
        <f>IFERROR(INDEX(WM_BI,MATCH($Y7,WM_KEY,0)),"")</f>
        <v>0.09</v>
      </c>
      <c r="AQ7" s="126">
        <f>IF(AO7="","",AO7*AP7)</f>
        <v>0.36</v>
      </c>
      <c r="AR7" s="126">
        <f>IF(COUNT(AB7,AE7,AH7,AK7,AN7,AQ7)&lt;6,"",SUM(AB7,AE7,AH7,AK7,AN7,AQ7))</f>
        <v>4.825</v>
      </c>
      <c r="AS7" s="128" t="str">
        <f>IF(AR7="","",INDEX({"A1","A2","A3","B1","B2","B3","C1","C2","D1","D2","E1","E2"},MAX(1,MIN(12,ROUND(AR7,0)))))</f>
        <v>B2</v>
      </c>
      <c r="AT7" s="129" t="inlineStr">
        <is>
          <r>
            <rPr>
              <rFont val="Calibri"/>
              <b val="1"/>
              <sz val="10"/>
            </rPr>
            <t>Weights:</t>
          </r>
          <r>
            <rPr>
              <rFont val="Calibri"/>
              <sz val="10"/>
            </rPr>
            <t xml:space="preserve"> Complexity 32% · Autonomy 18% · Leadership 15% · Experience 15% · Accountability 11%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7" s="130" t="inlineStr">
        <is>
          <r>
            <rPr>
              <rFont val="Calibri"/>
              <b val="1"/>
              <sz val="10"/>
            </rPr>
            <t>At build:</t>
          </r>
          <r>
            <rPr>
              <rFont val="Calibri"/>
              <sz val="10"/>
            </rPr>
            <t xml:space="preserve"> Complexity 1.28 + Autonomy 0.72 + Accountability 0.44 + Leadership 0.53 + Experience 1.50 + Business impact 0.36
= 4.83 points → nearest level 5 = B2
</t>
          </r>
          <r>
            <rPr>
              <rFont val="Calibri"/>
              <b val="1"/>
              <sz val="10"/>
            </rPr>
            <t>Final level:</t>
          </r>
          <r>
            <rPr>
              <rFont val="Calibri"/>
              <sz val="10"/>
            </rPr>
            <t xml:space="preserve"> B2 · same as the score</t>
          </r>
        </is>
      </c>
      <c r="AV7" s="130" t="inlineStr">
        <is>
          <r>
            <rPr>
              <rFont val="Calibri"/>
              <b val="1"/>
              <sz val="10"/>
            </rPr>
            <t>No rule applied:</t>
          </r>
          <r>
            <rPr>
              <rFont val="Calibri"/>
              <sz val="10"/>
            </rPr>
            <t xml:space="preserve"> the score decides.</t>
          </r>
        </is>
      </c>
      <c r="AW7" s="131"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Runs travel, facilities, vendor contracts, billing and procurement; negotiates routine rates within policy → moved down 1
</t>
          </r>
          <r>
            <rPr>
              <rFont val="Calibri"/>
              <b val="1"/>
              <sz val="10"/>
            </rPr>
            <t>Market:</t>
          </r>
          <r>
            <rPr>
              <rFont val="Calibri"/>
              <sz val="10"/>
            </rPr>
            <t xml:space="preserve"> B1 = Domain specialist work</t>
          </r>
        </is>
      </c>
      <c r="AX7" s="132"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Selects from approved vendors, negotiates routine rates, schedules maintenance within delegated authority → moved down 1
</t>
          </r>
          <r>
            <rPr>
              <rFont val="Calibri"/>
              <b val="1"/>
              <sz val="10"/>
            </rPr>
            <t>Market:</t>
          </r>
          <r>
            <rPr>
              <rFont val="Calibri"/>
              <sz val="10"/>
            </rPr>
            <t xml:space="preserve"> B1 = Technical / QC / client calls for the domain</t>
          </r>
        </is>
      </c>
      <c r="AY7" s="132" t="inlineStr">
        <is>
          <r>
            <rPr>
              <rFont val="Calibri"/>
              <sz val="10"/>
            </rPr>
            <t xml:space="preserve">Rated 4 of 12
</t>
          </r>
          <r>
            <rPr>
              <rFont val="Calibri"/>
              <b val="1"/>
              <sz val="10"/>
            </rPr>
            <t>Start:</t>
          </r>
          <r>
            <rPr>
              <rFont val="Calibri"/>
              <sz val="10"/>
            </rPr>
            <t xml:space="preserve"> 4.5 · manager / senior specialist title; 5 direct reports
</t>
          </r>
          <r>
            <rPr>
              <rFont val="Calibri"/>
              <b val="1"/>
              <sz val="10"/>
            </rPr>
            <t>Evidence reads like B1:</t>
          </r>
          <r>
            <rPr>
              <rFont val="Calibri"/>
              <sz val="10"/>
            </rPr>
            <t xml:space="preserve"> Owns admin area: cost, quality, timeliness of travel, vendor services, maintenance, procurement → moved down 0.5
</t>
          </r>
          <r>
            <rPr>
              <rFont val="Calibri"/>
              <b val="1"/>
              <sz val="10"/>
            </rPr>
            <t>Market:</t>
          </r>
          <r>
            <rPr>
              <rFont val="Calibri"/>
              <sz val="10"/>
            </rPr>
            <t xml:space="preserve"> B1 = A domain or a small team</t>
          </r>
        </is>
      </c>
      <c r="AZ7" s="132" t="inlineStr">
        <is>
          <r>
            <rPr>
              <rFont val="Calibri"/>
              <sz val="10"/>
            </rPr>
            <t xml:space="preserve">Rated 3.5 of 12 · between A3 and B1
</t>
          </r>
          <r>
            <rPr>
              <rFont val="Calibri"/>
              <b val="1"/>
              <sz val="10"/>
            </rPr>
            <t>Start:</t>
          </r>
          <r>
            <rPr>
              <rFont val="Calibri"/>
              <sz val="10"/>
            </rPr>
            <t xml:space="preserve"> 4.0
</t>
          </r>
          <r>
            <rPr>
              <rFont val="Calibri"/>
              <b val="1"/>
              <sz val="10"/>
            </rPr>
            <t>Evidence reads like A3:</t>
          </r>
          <r>
            <rPr>
              <rFont val="Calibri"/>
              <sz val="10"/>
            </rPr>
            <t xml:space="preserve"> HR shows 5 reports, but text describes no allocation, review or coaching → moved down 0.5
</t>
          </r>
          <r>
            <rPr>
              <rFont val="Calibri"/>
              <b val="1"/>
              <sz val="10"/>
            </rPr>
            <t>Team:</t>
          </r>
          <r>
            <rPr>
              <rFont val="Calibri"/>
              <sz val="10"/>
            </rPr>
            <t xml:space="preserve"> 5 direct reports · People Manager
</t>
          </r>
          <r>
            <rPr>
              <rFont val="Calibri"/>
              <b val="1"/>
              <sz val="10"/>
            </rPr>
            <t>Market:</t>
          </r>
          <r>
            <rPr>
              <rFont val="Calibri"/>
              <sz val="10"/>
            </rPr>
            <t xml:space="preserve"> A3 = Not scored in Band A · B1 = IC: mentors and reviews · People: hands-on team lead of 3–5</t>
          </r>
        </is>
      </c>
      <c r="BA7" s="132" t="inlineStr">
        <is>
          <r>
            <rPr>
              <rFont val="Calibri"/>
              <sz val="10"/>
            </rPr>
            <t xml:space="preserve">Rated 10 of 12
</t>
          </r>
          <r>
            <rPr>
              <rFont val="Calibri"/>
              <b val="1"/>
              <sz val="10"/>
            </rPr>
            <t>Experience:</t>
          </r>
          <r>
            <rPr>
              <rFont val="Calibri"/>
              <sz val="10"/>
            </rPr>
            <t xml:space="preserve"> 21.7 yrs total · 8.2 before IRIS + 13.5 at IRIS = 10.2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B2 roles typically have 6–10 yrs · IRIS guide 6–9</t>
          </r>
        </is>
      </c>
      <c r="BB7"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7" s="133" t="inlineStr"/>
      <c r="BD7" s="134" t="inlineStr">
        <is>
          <t>✓ HRIS: 21.7 yrs, B.Com, 5 direct reports
✓ Survey: 20 of 20 questions answered
✗ KRAs: none on file
✓ Manager mapping: rating, 9-box
✗ Job description: not on file</t>
        </is>
      </c>
      <c r="BE7" s="134"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corporate services ladder: Manager
</t>
          </r>
          <r>
            <rPr>
              <rFont val="Calibri"/>
              <b val="1"/>
              <sz val="10"/>
            </rPr>
            <t>Typical experience:</t>
          </r>
          <r>
            <rPr>
              <rFont val="Calibri"/>
              <sz val="10"/>
            </rPr>
            <t xml:space="preserve"> 6–10 yrs · IRIS guide 6–9
</t>
          </r>
          <r>
            <rPr>
              <rFont val="Calibri"/>
              <b val="1"/>
              <sz val="10"/>
            </rPr>
            <t>Standard:</t>
          </r>
          <r>
            <rPr>
              <rFont val="Calibri"/>
              <sz val="10"/>
            </rPr>
            <t xml:space="preserve"> ICSI; Companies Act 2013</t>
          </r>
        </is>
      </c>
      <c r="BF7" s="134" t="inlineStr">
        <is>
          <t>High</t>
        </is>
      </c>
      <c r="BG7" s="134" t="inlineStr"/>
      <c r="BH7" s="134" t="inlineStr"/>
      <c r="BI7" s="135" t="n"/>
      <c r="BJ7" s="136" t="n"/>
      <c r="BK7" s="136" t="n"/>
      <c r="BL7" s="136" t="n"/>
      <c r="BM7" s="136" t="n"/>
      <c r="BN7" s="137" t="n"/>
      <c r="BO7" s="120" t="n"/>
      <c r="BP7" s="120" t="n"/>
      <c r="BQ7" s="120" t="n"/>
      <c r="BR7" s="120" t="n"/>
      <c r="BS7" s="120" t="n"/>
      <c r="BT7" s="120" t="n"/>
      <c r="BU7" s="120" t="n"/>
      <c r="BV7" s="120" t="n">
        <v>4</v>
      </c>
    </row>
    <row r="8" ht="340" customHeight="1">
      <c r="A8" s="109" t="inlineStr">
        <is>
          <t>IRIS2431</t>
        </is>
      </c>
      <c r="B8" s="110" t="inlineStr">
        <is>
          <t>Ashish Pawar</t>
        </is>
      </c>
      <c r="C8" s="111" t="inlineStr">
        <is>
          <t>Administration</t>
        </is>
      </c>
      <c r="D8" s="111" t="inlineStr">
        <is>
          <t>Sujit Acharya</t>
        </is>
      </c>
      <c r="E8" s="112" t="n">
        <v>13.2</v>
      </c>
      <c r="F8" s="112" t="n">
        <v>1</v>
      </c>
      <c r="G8" s="111" t="inlineStr">
        <is>
          <t>BA</t>
        </is>
      </c>
      <c r="H8" s="138" t="inlineStr">
        <is>
          <t>Executive Administration</t>
        </is>
      </c>
      <c r="I8" s="115" t="inlineStr">
        <is>
          <t>Senior Administration Executive</t>
        </is>
      </c>
      <c r="J8" s="114" t="inlineStr">
        <is>
          <t>Administration, Legal &amp; Secretarial</t>
        </is>
      </c>
      <c r="K8" s="114" t="inlineStr">
        <is>
          <t>Administration &amp; Facilities</t>
        </is>
      </c>
      <c r="L8" s="115" t="inlineStr">
        <is>
          <t>Not in current mapping files</t>
        </is>
      </c>
      <c r="M8" s="116" t="inlineStr">
        <is>
          <t>A3</t>
        </is>
      </c>
      <c r="N8" s="139" t="inlineStr">
        <is>
          <t>Senior Associate</t>
        </is>
      </c>
      <c r="O8" s="26" t="inlineStr">
        <is>
          <t>A</t>
        </is>
      </c>
      <c r="P8" s="114" t="inlineStr">
        <is>
          <t>IC</t>
        </is>
      </c>
      <c r="Q8" s="117" t="inlineStr">
        <is>
          <t>● Newly mapped</t>
        </is>
      </c>
      <c r="R8" s="118" t="inlineStr">
        <is>
          <r>
            <rPr>
              <rFont val="Calibri"/>
              <b val="1"/>
              <sz val="10"/>
            </rPr>
            <t>WHAT THE ROLE DOES:</t>
          </r>
          <r>
            <rPr>
              <rFont val="Calibri"/>
              <sz val="10"/>
            </rPr>
            <t xml:space="preserve"> Manages travel, facilities, office administration and vendors. At A3: varied work; reviews juniors; go-to for a process.
</t>
          </r>
          <r>
            <rPr>
              <rFont val="Calibri"/>
              <b val="1"/>
              <sz val="10"/>
            </rPr>
            <t>KEY RESPONSIBILITIES:</t>
          </r>
          <r>
            <rPr>
              <rFont val="Calibri"/>
              <sz val="10"/>
            </rPr>
            <t xml:space="preserve"> Manages travel, facilities, office administration and vendors;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t>
          </r>
          <r>
            <rPr>
              <rFont val="Calibri"/>
              <b val="1"/>
              <sz val="10"/>
            </rPr>
            <t>SKILLS &amp; KNOWLEDGE · role-holders:</t>
          </r>
          <r>
            <rPr>
              <rFont val="Calibri"/>
              <sz val="10"/>
            </rPr>
            <t xml:space="preserve"> Administration
COMPETENCIES REQUIRED — must-have ★: Regulatory &amp; BFSI Domain · Stakeholder &amp; Client Management
</t>
          </r>
          <r>
            <rPr>
              <rFont val="Calibri"/>
              <b val="1"/>
              <sz val="10"/>
            </rPr>
            <t>OTHER FUNCTIONAL COMPETENCIES:</t>
          </r>
          <r>
            <rPr>
              <rFont val="Calibri"/>
              <sz val="10"/>
            </rPr>
            <t xml:space="preserve"> Process Improvement &amp; Quality Mindset · Advanced Excel &amp; Productivity Tools · Communication &amp; Presentation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Domain certifications · optional
</t>
          </r>
          <r>
            <rPr>
              <rFont val="Calibri"/>
              <b val="1"/>
              <sz val="10"/>
            </rPr>
            <t>SOURCE:</t>
          </r>
          <r>
            <rPr>
              <rFont val="Calibri"/>
              <sz val="10"/>
            </rPr>
            <t xml:space="preserve"> Framework only · fewer than 3 answered — 4 holders, 1 answered the survey; sub-family 2 answered; catalogue RC-001</t>
          </r>
        </is>
      </c>
      <c r="S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Manager talent mapping — Latest rating: Not rated · manager · 9-Box Grid placement: Not placed · manager.</t>
          </r>
        </is>
      </c>
      <c r="T8" s="120" t="n"/>
      <c r="U8" s="121" t="inlineStr">
        <is>
          <r>
            <rPr>
              <rFont val="Calibri"/>
              <sz val="10"/>
            </rPr>
            <t xml:space="preserve">Senior Administration Executive in Administration · Corporate, A3 — IC.
</t>
          </r>
          <r>
            <rPr>
              <rFont val="Calibri"/>
              <b val="1"/>
              <sz val="10"/>
            </rPr>
            <t>The work:</t>
          </r>
          <r>
            <rPr>
              <rFont val="Calibri"/>
              <sz val="10"/>
            </rPr>
            <t xml:space="preserve"> Manages travel, facilities, office administration and vendors.
At this level the role owns varied work; reviews juniors; go-to for a process.
</t>
          </r>
          <r>
            <rPr>
              <rFont val="Calibri"/>
              <b val="1"/>
              <sz val="10"/>
            </rPr>
            <t>Key responsibilities:</t>
          </r>
          <r>
            <rPr>
              <rFont val="Calibri"/>
              <sz val="10"/>
            </rPr>
            <t xml:space="preserve"> Manages travel, facilities, office administration and vendors; Varied and non-standard work; handles exceptions; A module / process, or work with client or regulatory consequences.</t>
          </r>
        </is>
      </c>
      <c r="V8" s="122" t="inlineStr">
        <is>
          <r>
            <rPr>
              <rFont val="Calibri"/>
              <b val="1"/>
              <sz val="10"/>
            </rPr>
            <t>Hire as:</t>
          </r>
          <r>
            <rPr>
              <rFont val="Calibri"/>
              <sz val="10"/>
            </rPr>
            <t xml:space="preserve"> Admin / Secretarial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ICSI · CS / LLB for secretarial &amp; legal
</t>
          </r>
          <r>
            <rPr>
              <rFont val="Calibri"/>
              <b val="1"/>
              <sz val="10"/>
            </rPr>
            <t>Equivalent titles at peers:</t>
          </r>
          <r>
            <rPr>
              <rFont val="Calibri"/>
              <sz val="10"/>
            </rPr>
            <t xml:space="preserve"> IRIS Vs Competitor Benchmark — corporate services ladder – Senior Executive
</t>
          </r>
          <r>
            <rPr>
              <rFont val="Calibri"/>
              <b val="1"/>
              <sz val="10"/>
            </rPr>
            <t>Credentials:</t>
          </r>
          <r>
            <rPr>
              <rFont val="Calibri"/>
              <sz val="10"/>
            </rPr>
            <t xml:space="preserve"> Domain certifications · optional
</t>
          </r>
          <r>
            <rPr>
              <rFont val="Calibri"/>
              <b val="1"/>
              <sz val="10"/>
            </rPr>
            <t>Must already know:</t>
          </r>
          <r>
            <rPr>
              <rFont val="Calibri"/>
              <sz val="10"/>
            </rPr>
            <t xml:space="preserve"> Companies Act / statutory filings; vendor contracts</t>
          </r>
        </is>
      </c>
      <c r="W8" s="122" t="inlineStr">
        <is>
          <r>
            <rPr>
              <rFont val="Calibri"/>
              <sz val="10"/>
            </rPr>
            <t xml:space="preserve">FUNCTIONAL — skill level 3 of 5 · Practitioner
 ★ Regulatory &amp; BFSI Domain: Knows the relevant regulators, returns and rules
 ★ Stakeholder &amp; Client Management: Manages client communication and expectations for own work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Communication &amp; Presentation:</t>
          </r>
          <r>
            <rPr>
              <rFont val="Calibri"/>
              <sz val="10"/>
            </rPr>
            <t xml:space="preserve"> Writes and presents clearly to clients and teams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Administration
★ = must-have for the family. Scale: 1 Awareness · 2 Working · 3 Practitioner · 4 Advanced · 5 Expert.</t>
          </r>
        </is>
      </c>
      <c r="X8" s="122" t="inlineStr">
        <is>
          <r>
            <rPr>
              <rFont val="Calibri"/>
              <sz val="10"/>
            </rPr>
            <t xml:space="preserve">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8" s="123" t="inlineStr">
        <is>
          <t>Corporate · Administration · Band A · Early career</t>
        </is>
      </c>
      <c r="Z8" s="124" t="n">
        <v>2</v>
      </c>
      <c r="AA8" s="125">
        <f>IFERROR(INDEX(WM_C,MATCH($Y8,WM_KEY,0)),"")</f>
        <v>0.54</v>
      </c>
      <c r="AB8" s="126">
        <f>IF(Z8="","",Z8*AA8)</f>
        <v>1.08</v>
      </c>
      <c r="AC8" s="124" t="n">
        <v>2</v>
      </c>
      <c r="AD8" s="125">
        <f>IFERROR(INDEX(WM_AU,MATCH($Y8,WM_KEY,0)),"")</f>
        <v>0.16</v>
      </c>
      <c r="AE8" s="126">
        <f>IF(AC8="","",AC8*AD8)</f>
        <v>0.32</v>
      </c>
      <c r="AF8" s="124" t="n">
        <v>2</v>
      </c>
      <c r="AG8" s="125">
        <f>IFERROR(INDEX(WM_AC,MATCH($Y8,WM_KEY,0)),"")</f>
        <v>0.09</v>
      </c>
      <c r="AH8" s="126">
        <f>IF(AF8="","",AF8*AG8)</f>
        <v>0.18</v>
      </c>
      <c r="AI8" s="124" t="n">
        <v>1</v>
      </c>
      <c r="AJ8" s="125">
        <f>IFERROR(INDEX(WM_L,MATCH($Y8,WM_KEY,0)),"")</f>
        <v>0</v>
      </c>
      <c r="AK8" s="126">
        <f>IF(AI8="","",AI8*AJ8)</f>
        <v>0</v>
      </c>
      <c r="AL8" s="124" t="n">
        <v>7.5</v>
      </c>
      <c r="AM8" s="125">
        <f>IFERROR(INDEX(WM_E,MATCH($Y8,WM_KEY,0)),"")</f>
        <v>0.15</v>
      </c>
      <c r="AN8" s="126">
        <f>IF(AL8="","",AL8*AM8)</f>
        <v>1.125</v>
      </c>
      <c r="AO8" s="127" t="n">
        <v>2</v>
      </c>
      <c r="AP8" s="125">
        <f>IFERROR(INDEX(WM_BI,MATCH($Y8,WM_KEY,0)),"")</f>
        <v>0.06</v>
      </c>
      <c r="AQ8" s="126">
        <f>IF(AO8="","",AO8*AP8)</f>
        <v>0.12</v>
      </c>
      <c r="AR8" s="126">
        <f>IF(COUNT(AB8,AE8,AH8,AK8,AN8,AQ8)&lt;6,"",SUM(AB8,AE8,AH8,AK8,AN8,AQ8))</f>
        <v>2.825</v>
      </c>
      <c r="AS8" s="128" t="str">
        <f>IF(AR8="","",INDEX({"A1","A2","A3","B1","B2","B3","C1","C2","D1","D2","E1","E2"},MAX(1,MIN(12,ROUND(AR8,0)))))</f>
        <v>A3</v>
      </c>
      <c r="AT8" s="129" t="inlineStr">
        <is>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8" s="130" t="inlineStr">
        <is>
          <r>
            <rPr>
              <rFont val="Calibri"/>
              <b val="1"/>
              <sz val="10"/>
            </rPr>
            <t>At build:</t>
          </r>
          <r>
            <rPr>
              <rFont val="Calibri"/>
              <sz val="10"/>
            </rPr>
            <t xml:space="preserve"> Complexity 1.08 + Autonomy 0.32 + Accountability 0.18 + Leadership 0.00 + Experience 1.12 + Business impact 0.12
= 2.83 points → nearest level 3 = A3
</t>
          </r>
          <r>
            <rPr>
              <rFont val="Calibri"/>
              <b val="1"/>
              <sz val="10"/>
            </rPr>
            <t>Final level:</t>
          </r>
          <r>
            <rPr>
              <rFont val="Calibri"/>
              <sz val="10"/>
            </rPr>
            <t xml:space="preserve"> A3 · same as the score</t>
          </r>
        </is>
      </c>
      <c r="AV8" s="130" t="inlineStr">
        <is>
          <r>
            <rPr>
              <rFont val="Calibri"/>
              <b val="1"/>
              <sz val="10"/>
            </rPr>
            <t>No rule applied:</t>
          </r>
          <r>
            <rPr>
              <rFont val="Calibri"/>
              <sz val="10"/>
            </rPr>
            <t xml:space="preserve"> the score decides.</t>
          </r>
        </is>
      </c>
      <c r="AW8"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Market:</t>
          </r>
          <r>
            <rPr>
              <rFont val="Calibri"/>
              <sz val="10"/>
            </rPr>
            <t xml:space="preserve"> A2 = Standard work of the discipline</t>
          </r>
        </is>
      </c>
      <c r="AX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States 'routine decisions' only → matches the start
</t>
          </r>
          <r>
            <rPr>
              <rFont val="Calibri"/>
              <b val="1"/>
              <sz val="10"/>
            </rPr>
            <t>Market:</t>
          </r>
          <r>
            <rPr>
              <rFont val="Calibri"/>
              <sz val="10"/>
            </rPr>
            <t xml:space="preserve"> A2 = Chooses own approach within standards</t>
          </r>
        </is>
      </c>
      <c r="AY8"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admin support and vendor coordination; errors cause delays or extra cost → matches the start
</t>
          </r>
          <r>
            <rPr>
              <rFont val="Calibri"/>
              <b val="1"/>
              <sz val="10"/>
            </rPr>
            <t>Market:</t>
          </r>
          <r>
            <rPr>
              <rFont val="Calibri"/>
              <sz val="10"/>
            </rPr>
            <t xml:space="preserve"> A2 = Own deliverables · accuracy, TAT</t>
          </r>
        </is>
      </c>
      <c r="AZ8"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8" s="132" t="inlineStr">
        <is>
          <r>
            <rPr>
              <rFont val="Calibri"/>
              <sz val="10"/>
            </rPr>
            <t xml:space="preserve">Rated 7.5 of 12 · between C1 and C2
</t>
          </r>
          <r>
            <rPr>
              <rFont val="Calibri"/>
              <b val="1"/>
              <sz val="10"/>
            </rPr>
            <t>Experience:</t>
          </r>
          <r>
            <rPr>
              <rFont val="Calibri"/>
              <sz val="10"/>
            </rPr>
            <t xml:space="preserve"> 13.2 yrs total · 12.2 before IRIS + 1.0 at IRIS = 7.5 on the experience scale
</t>
          </r>
          <r>
            <rPr>
              <rFont val="Calibri"/>
              <b val="1"/>
              <sz val="10"/>
            </rPr>
            <t>Qualification:</t>
          </r>
          <r>
            <rPr>
              <rFont val="Calibri"/>
              <sz val="10"/>
            </rPr>
            <t xml:space="preserve"> BA · graduate → no change
</t>
          </r>
          <r>
            <rPr>
              <rFont val="Calibri"/>
              <b val="1"/>
              <sz val="10"/>
            </rPr>
            <t>Market:</t>
          </r>
          <r>
            <rPr>
              <rFont val="Calibri"/>
              <sz val="10"/>
            </rPr>
            <t xml:space="preserve"> A3 roles typically have 2–5 yrs · IRIS guide 2–4</t>
          </r>
        </is>
      </c>
      <c r="BB8"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8" s="133" t="inlineStr"/>
      <c r="BD8" s="134" t="inlineStr">
        <is>
          <t>✓ HRIS: 13.2 yrs, BA, 0 direct reports
✓ Survey: 19 of 20 questions answered
✗ KRAs: none on file
✓ Manager mapping: rating, 9-box
✗ Job description: not on file</t>
        </is>
      </c>
      <c r="BE8" s="134" t="inlineStr">
        <is>
          <r>
            <rPr>
              <rFont val="Calibri"/>
              <b val="1"/>
              <sz val="10"/>
            </rPr>
            <t>Market level:</t>
          </r>
          <r>
            <rPr>
              <rFont val="Calibri"/>
              <sz val="10"/>
            </rPr>
            <t xml:space="preserve"> P2 · SFIA 3 Apply
</t>
          </r>
          <r>
            <rPr>
              <rFont val="Calibri"/>
              <b val="1"/>
              <sz val="10"/>
            </rPr>
            <t>Typical title:</t>
          </r>
          <r>
            <rPr>
              <rFont val="Calibri"/>
              <sz val="10"/>
            </rPr>
            <t xml:space="preserve"> Admin / Secretarial Executive
</t>
          </r>
          <r>
            <rPr>
              <rFont val="Calibri"/>
              <b val="1"/>
              <sz val="10"/>
            </rPr>
            <t>At peers:</t>
          </r>
          <r>
            <rPr>
              <rFont val="Calibri"/>
              <sz val="10"/>
            </rPr>
            <t xml:space="preserve"> IRIS Vs Competitor Benchmark — corporate services ladder: Senior Executive
</t>
          </r>
          <r>
            <rPr>
              <rFont val="Calibri"/>
              <b val="1"/>
              <sz val="10"/>
            </rPr>
            <t>Typical experience:</t>
          </r>
          <r>
            <rPr>
              <rFont val="Calibri"/>
              <sz val="10"/>
            </rPr>
            <t xml:space="preserve"> 2–5 yrs · IRIS guide 2–4
</t>
          </r>
          <r>
            <rPr>
              <rFont val="Calibri"/>
              <b val="1"/>
              <sz val="10"/>
            </rPr>
            <t>Standard:</t>
          </r>
          <r>
            <rPr>
              <rFont val="Calibri"/>
              <sz val="10"/>
            </rPr>
            <t xml:space="preserve"> ICSI; Companies Act 2013</t>
          </r>
        </is>
      </c>
      <c r="BF8" s="134" t="inlineStr">
        <is>
          <t>Medium</t>
        </is>
      </c>
      <c r="BG8" s="134" t="inlineStr">
        <is>
          <t>• 13.2 yrs of experience in a role that reads as Band A work — a career-path question for the manager: can the role be widened · Specialist, B1 or is it correctly sized?</t>
        </is>
      </c>
      <c r="BH8" s="134" t="inlineStr"/>
      <c r="BI8" s="135" t="n"/>
      <c r="BJ8" s="136" t="n"/>
      <c r="BK8" s="136" t="n"/>
      <c r="BL8" s="136" t="n"/>
      <c r="BM8" s="136" t="n"/>
      <c r="BN8" s="137" t="n"/>
      <c r="BO8" s="120" t="n"/>
      <c r="BP8" s="120" t="n"/>
      <c r="BQ8" s="120" t="n"/>
      <c r="BR8" s="120" t="n"/>
      <c r="BS8" s="120" t="n"/>
      <c r="BT8" s="120" t="n"/>
      <c r="BU8" s="120" t="n"/>
      <c r="BV8" s="120" t="n">
        <v>2</v>
      </c>
    </row>
    <row r="9" ht="340" customHeight="1">
      <c r="A9" s="109" t="inlineStr">
        <is>
          <t>IRIS0020</t>
        </is>
      </c>
      <c r="B9" s="110" t="inlineStr">
        <is>
          <t>Mangesh Kosty</t>
        </is>
      </c>
      <c r="C9" s="111" t="inlineStr">
        <is>
          <t>Administration</t>
        </is>
      </c>
      <c r="D9" s="111" t="inlineStr">
        <is>
          <t>Sujit Acharya</t>
        </is>
      </c>
      <c r="E9" s="112" t="n">
        <v>21.7</v>
      </c>
      <c r="F9" s="112" t="n">
        <v>21.7</v>
      </c>
      <c r="G9" s="111" t="inlineStr">
        <is>
          <t>Undergraduate</t>
        </is>
      </c>
      <c r="H9" s="138" t="inlineStr">
        <is>
          <t>Executive Administration</t>
        </is>
      </c>
      <c r="I9" s="115" t="inlineStr">
        <is>
          <t>Senior Administration Executive</t>
        </is>
      </c>
      <c r="J9" s="114" t="inlineStr">
        <is>
          <t>Administration, Legal &amp; Secretarial</t>
        </is>
      </c>
      <c r="K9" s="114" t="inlineStr">
        <is>
          <t>Administration &amp; Facilities</t>
        </is>
      </c>
      <c r="L9" s="115" t="inlineStr">
        <is>
          <t>Not in current mapping files</t>
        </is>
      </c>
      <c r="M9" s="116" t="inlineStr">
        <is>
          <t>A3</t>
        </is>
      </c>
      <c r="N9" s="139" t="inlineStr">
        <is>
          <t>Senior Associate</t>
        </is>
      </c>
      <c r="O9" s="26" t="inlineStr">
        <is>
          <t>A</t>
        </is>
      </c>
      <c r="P9" s="114" t="inlineStr">
        <is>
          <t>IC</t>
        </is>
      </c>
      <c r="Q9" s="117" t="inlineStr">
        <is>
          <t>● Newly mapped</t>
        </is>
      </c>
      <c r="R9" s="118" t="inlineStr">
        <is>
          <r>
            <rPr>
              <rFont val="Calibri"/>
              <b val="1"/>
              <sz val="10"/>
            </rPr>
            <t>WHAT THE ROLE DOES:</t>
          </r>
          <r>
            <rPr>
              <rFont val="Calibri"/>
              <sz val="10"/>
            </rPr>
            <t xml:space="preserve"> Manages travel, facilities, office administration and vendors. At A3: varied work; reviews juniors; go-to for a process.
</t>
          </r>
          <r>
            <rPr>
              <rFont val="Calibri"/>
              <b val="1"/>
              <sz val="10"/>
            </rPr>
            <t>KEY RESPONSIBILITIES:</t>
          </r>
          <r>
            <rPr>
              <rFont val="Calibri"/>
              <sz val="10"/>
            </rPr>
            <t xml:space="preserve"> Manages travel, facilities, office administration and vendors;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t>
          </r>
          <r>
            <rPr>
              <rFont val="Calibri"/>
              <b val="1"/>
              <sz val="10"/>
            </rPr>
            <t>SKILLS &amp; KNOWLEDGE · role-holders:</t>
          </r>
          <r>
            <rPr>
              <rFont val="Calibri"/>
              <sz val="10"/>
            </rPr>
            <t xml:space="preserve"> Administration
COMPETENCIES REQUIRED — must-have ★: Regulatory &amp; BFSI Domain · Stakeholder &amp; Client Management
</t>
          </r>
          <r>
            <rPr>
              <rFont val="Calibri"/>
              <b val="1"/>
              <sz val="10"/>
            </rPr>
            <t>OTHER FUNCTIONAL COMPETENCIES:</t>
          </r>
          <r>
            <rPr>
              <rFont val="Calibri"/>
              <sz val="10"/>
            </rPr>
            <t xml:space="preserve"> Process Improvement &amp; Quality Mindset · Advanced Excel &amp; Productivity Tools · Communication &amp; Presentation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Domain certifications · optional
</t>
          </r>
          <r>
            <rPr>
              <rFont val="Calibri"/>
              <b val="1"/>
              <sz val="10"/>
            </rPr>
            <t>SOURCE:</t>
          </r>
          <r>
            <rPr>
              <rFont val="Calibri"/>
              <sz val="10"/>
            </rPr>
            <t xml:space="preserve"> Framework only · fewer than 3 answered — 4 holders, 1 answered the survey; sub-family 2 answered; catalogue RC-001</t>
          </r>
        </is>
      </c>
      <c r="S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Manager talent mapping — Latest rating: Not rated · manager · 9-Box Grid placement: Not placed · manager.</t>
          </r>
        </is>
      </c>
      <c r="T9" s="120" t="n"/>
      <c r="U9" s="121" t="inlineStr">
        <is>
          <r>
            <rPr>
              <rFont val="Calibri"/>
              <sz val="10"/>
            </rPr>
            <t xml:space="preserve">Senior Administration Executive in Administration · Corporate, A3 — IC.
</t>
          </r>
          <r>
            <rPr>
              <rFont val="Calibri"/>
              <b val="1"/>
              <sz val="10"/>
            </rPr>
            <t>The work:</t>
          </r>
          <r>
            <rPr>
              <rFont val="Calibri"/>
              <sz val="10"/>
            </rPr>
            <t xml:space="preserve"> Manages travel, facilities, office administration and vendors.
At this level the role owns varied work; reviews juniors; go-to for a process.
</t>
          </r>
          <r>
            <rPr>
              <rFont val="Calibri"/>
              <b val="1"/>
              <sz val="10"/>
            </rPr>
            <t>Key responsibilities:</t>
          </r>
          <r>
            <rPr>
              <rFont val="Calibri"/>
              <sz val="10"/>
            </rPr>
            <t xml:space="preserve"> Manages travel, facilities, office administration and vendors; Varied and non-standard work; handles exceptions; A module / process, or work with client or regulatory consequences.</t>
          </r>
        </is>
      </c>
      <c r="V9" s="122" t="inlineStr">
        <is>
          <r>
            <rPr>
              <rFont val="Calibri"/>
              <b val="1"/>
              <sz val="10"/>
            </rPr>
            <t>Hire as:</t>
          </r>
          <r>
            <rPr>
              <rFont val="Calibri"/>
              <sz val="10"/>
            </rPr>
            <t xml:space="preserve"> Admin / Secretarial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ICSI · CS / LLB for secretarial &amp; legal
</t>
          </r>
          <r>
            <rPr>
              <rFont val="Calibri"/>
              <b val="1"/>
              <sz val="10"/>
            </rPr>
            <t>Equivalent titles at peers:</t>
          </r>
          <r>
            <rPr>
              <rFont val="Calibri"/>
              <sz val="10"/>
            </rPr>
            <t xml:space="preserve"> IRIS Vs Competitor Benchmark — corporate services ladder – Senior Executive
</t>
          </r>
          <r>
            <rPr>
              <rFont val="Calibri"/>
              <b val="1"/>
              <sz val="10"/>
            </rPr>
            <t>Credentials:</t>
          </r>
          <r>
            <rPr>
              <rFont val="Calibri"/>
              <sz val="10"/>
            </rPr>
            <t xml:space="preserve"> Domain certifications · optional
</t>
          </r>
          <r>
            <rPr>
              <rFont val="Calibri"/>
              <b val="1"/>
              <sz val="10"/>
            </rPr>
            <t>Must already know:</t>
          </r>
          <r>
            <rPr>
              <rFont val="Calibri"/>
              <sz val="10"/>
            </rPr>
            <t xml:space="preserve"> Companies Act / statutory filings; vendor contracts</t>
          </r>
        </is>
      </c>
      <c r="W9" s="122" t="inlineStr">
        <is>
          <r>
            <rPr>
              <rFont val="Calibri"/>
              <sz val="10"/>
            </rPr>
            <t xml:space="preserve">FUNCTIONAL — skill level 3 of 5 · Practitioner
 ★ Regulatory &amp; BFSI Domain: Knows the relevant regulators, returns and rules
 ★ Stakeholder &amp; Client Management: Manages client communication and expectations for own work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Communication &amp; Presentation:</t>
          </r>
          <r>
            <rPr>
              <rFont val="Calibri"/>
              <sz val="10"/>
            </rPr>
            <t xml:space="preserve"> Writes and presents clearly to clients and teams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Administration
★ = must-have for the family. Scale: 1 Awareness · 2 Working · 3 Practitioner · 4 Advanced · 5 Expert.</t>
          </r>
        </is>
      </c>
      <c r="X9" s="122" t="inlineStr">
        <is>
          <r>
            <rPr>
              <rFont val="Calibri"/>
              <sz val="10"/>
            </rPr>
            <t xml:space="preserve">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9" s="123" t="inlineStr">
        <is>
          <t>Corporate · Administration · Band A · Early career</t>
        </is>
      </c>
      <c r="Z9" s="124" t="n">
        <v>2</v>
      </c>
      <c r="AA9" s="125">
        <f>IFERROR(INDEX(WM_C,MATCH($Y9,WM_KEY,0)),"")</f>
        <v>0.54</v>
      </c>
      <c r="AB9" s="126">
        <f>IF(Z9="","",Z9*AA9)</f>
        <v>1.08</v>
      </c>
      <c r="AC9" s="124" t="n">
        <v>2</v>
      </c>
      <c r="AD9" s="125">
        <f>IFERROR(INDEX(WM_AU,MATCH($Y9,WM_KEY,0)),"")</f>
        <v>0.16</v>
      </c>
      <c r="AE9" s="126">
        <f>IF(AC9="","",AC9*AD9)</f>
        <v>0.32</v>
      </c>
      <c r="AF9" s="124" t="n">
        <v>2</v>
      </c>
      <c r="AG9" s="125">
        <f>IFERROR(INDEX(WM_AC,MATCH($Y9,WM_KEY,0)),"")</f>
        <v>0.09</v>
      </c>
      <c r="AH9" s="126">
        <f>IF(AF9="","",AF9*AG9)</f>
        <v>0.18</v>
      </c>
      <c r="AI9" s="124" t="n">
        <v>1</v>
      </c>
      <c r="AJ9" s="125">
        <f>IFERROR(INDEX(WM_L,MATCH($Y9,WM_KEY,0)),"")</f>
        <v>0</v>
      </c>
      <c r="AK9" s="126">
        <f>IF(AI9="","",AI9*AJ9)</f>
        <v>0</v>
      </c>
      <c r="AL9" s="124" t="n">
        <v>9.5</v>
      </c>
      <c r="AM9" s="125">
        <f>IFERROR(INDEX(WM_E,MATCH($Y9,WM_KEY,0)),"")</f>
        <v>0.15</v>
      </c>
      <c r="AN9" s="126">
        <f>IF(AL9="","",AL9*AM9)</f>
        <v>1.425</v>
      </c>
      <c r="AO9" s="127" t="n">
        <v>2</v>
      </c>
      <c r="AP9" s="125">
        <f>IFERROR(INDEX(WM_BI,MATCH($Y9,WM_KEY,0)),"")</f>
        <v>0.06</v>
      </c>
      <c r="AQ9" s="126">
        <f>IF(AO9="","",AO9*AP9)</f>
        <v>0.12</v>
      </c>
      <c r="AR9" s="126">
        <f>IF(COUNT(AB9,AE9,AH9,AK9,AN9,AQ9)&lt;6,"",SUM(AB9,AE9,AH9,AK9,AN9,AQ9))</f>
        <v>3.125</v>
      </c>
      <c r="AS9" s="128" t="str">
        <f>IF(AR9="","",INDEX({"A1","A2","A3","B1","B2","B3","C1","C2","D1","D2","E1","E2"},MAX(1,MIN(12,ROUND(AR9,0)))))</f>
        <v>A3</v>
      </c>
      <c r="AT9" s="129" t="inlineStr">
        <is>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9" s="130" t="inlineStr">
        <is>
          <r>
            <rPr>
              <rFont val="Calibri"/>
              <b val="1"/>
              <sz val="10"/>
            </rPr>
            <t>At build:</t>
          </r>
          <r>
            <rPr>
              <rFont val="Calibri"/>
              <sz val="10"/>
            </rPr>
            <t xml:space="preserve"> Complexity 1.08 + Autonomy 0.32 + Accountability 0.18 + Leadership 0.00 + Experience 1.43 + Business impact 0.12
= 3.12 points → nearest level 3 = A3
</t>
          </r>
          <r>
            <rPr>
              <rFont val="Calibri"/>
              <b val="1"/>
              <sz val="10"/>
            </rPr>
            <t>Final level:</t>
          </r>
          <r>
            <rPr>
              <rFont val="Calibri"/>
              <sz val="10"/>
            </rPr>
            <t xml:space="preserve"> A3 · same as the score</t>
          </r>
        </is>
      </c>
      <c r="AV9" s="130" t="inlineStr">
        <is>
          <r>
            <rPr>
              <rFont val="Calibri"/>
              <b val="1"/>
              <sz val="10"/>
            </rPr>
            <t>No rule applied:</t>
          </r>
          <r>
            <rPr>
              <rFont val="Calibri"/>
              <sz val="10"/>
            </rPr>
            <t xml:space="preserve"> the score decides.</t>
          </r>
        </is>
      </c>
      <c r="AW9" s="140"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Standard work of the discipline</t>
          </r>
        </is>
      </c>
      <c r="AX9" s="141"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Chooses own approach within standards</t>
          </r>
        </is>
      </c>
      <c r="AY9" s="141"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Own deliverables · accuracy, TAT</t>
          </r>
        </is>
      </c>
      <c r="AZ9" s="141" t="inlineStr">
        <is>
          <r>
            <rPr>
              <rFont val="Calibri"/>
              <color rgb="009C0006"/>
              <sz val="10"/>
            </rPr>
            <t xml:space="preserve">Rated 1 of 12 — not counted: the weight is 0% at this level
</t>
          </r>
          <r>
            <rPr>
              <rFont val="Calibri"/>
              <b val="1"/>
              <color rgb="009C0006"/>
              <sz val="10"/>
            </rPr>
            <t>Start:</t>
          </r>
          <r>
            <rPr>
              <rFont val="Calibri"/>
              <color rgb="009C0006"/>
              <sz val="10"/>
            </rPr>
            <t xml:space="preserve"> 1.0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A1 = Not scored in Band A</t>
          </r>
        </is>
      </c>
      <c r="BA9" s="132" t="inlineStr">
        <is>
          <r>
            <rPr>
              <rFont val="Calibri"/>
              <sz val="10"/>
            </rPr>
            <t xml:space="preserve">Rated 9.5 of 12 · between D1 and D2
</t>
          </r>
          <r>
            <rPr>
              <rFont val="Calibri"/>
              <b val="1"/>
              <sz val="10"/>
            </rPr>
            <t>Experience:</t>
          </r>
          <r>
            <rPr>
              <rFont val="Calibri"/>
              <sz val="10"/>
            </rPr>
            <t xml:space="preserve"> 21.7 yrs total · 21.7 at IRIS; none recorded before IRIS = 10.2 on the experience scale
</t>
          </r>
          <r>
            <rPr>
              <rFont val="Calibri"/>
              <b val="1"/>
              <sz val="10"/>
            </rPr>
            <t>Note:</t>
          </r>
          <r>
            <rPr>
              <rFont val="Calibri"/>
              <sz val="10"/>
            </rPr>
            <t xml:space="preserve"> the record looks incomplete, so this is a minimum · HR to confirm
</t>
          </r>
          <r>
            <rPr>
              <rFont val="Calibri"/>
              <b val="1"/>
              <sz val="10"/>
            </rPr>
            <t>Qualification:</t>
          </r>
          <r>
            <rPr>
              <rFont val="Calibri"/>
              <sz val="10"/>
            </rPr>
            <t xml:space="preserve"> Undergraduate · below graduate → −0.5
</t>
          </r>
          <r>
            <rPr>
              <rFont val="Calibri"/>
              <b val="1"/>
              <sz val="10"/>
            </rPr>
            <t>Market:</t>
          </r>
          <r>
            <rPr>
              <rFont val="Calibri"/>
              <sz val="10"/>
            </rPr>
            <t xml:space="preserve"> A3 roles typically have 2–5 yrs · IRIS guide 2–4</t>
          </r>
        </is>
      </c>
      <c r="BB9"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9" s="142" t="inlineStr">
        <is>
          <t>• Survey response or KRAs describing the work · nothing on file — Employee + manager
• Correct the experience record — HR</t>
        </is>
      </c>
      <c r="BD9" s="134" t="inlineStr">
        <is>
          <t>✓ HRIS: 21.7 yrs, Undergraduate, 0 direct reports
✗ Survey: no response
✗ KRAs: none on file
✓ Manager mapping: rating, 9-box
✗ Job description: not on file</t>
        </is>
      </c>
      <c r="BE9" s="134" t="inlineStr">
        <is>
          <r>
            <rPr>
              <rFont val="Calibri"/>
              <b val="1"/>
              <sz val="10"/>
            </rPr>
            <t>Market level:</t>
          </r>
          <r>
            <rPr>
              <rFont val="Calibri"/>
              <sz val="10"/>
            </rPr>
            <t xml:space="preserve"> P2 · SFIA 3 Apply
</t>
          </r>
          <r>
            <rPr>
              <rFont val="Calibri"/>
              <b val="1"/>
              <sz val="10"/>
            </rPr>
            <t>Typical title:</t>
          </r>
          <r>
            <rPr>
              <rFont val="Calibri"/>
              <sz val="10"/>
            </rPr>
            <t xml:space="preserve"> Admin / Secretarial Executive
</t>
          </r>
          <r>
            <rPr>
              <rFont val="Calibri"/>
              <b val="1"/>
              <sz val="10"/>
            </rPr>
            <t>At peers:</t>
          </r>
          <r>
            <rPr>
              <rFont val="Calibri"/>
              <sz val="10"/>
            </rPr>
            <t xml:space="preserve"> IRIS Vs Competitor Benchmark — corporate services ladder: Senior Executive
</t>
          </r>
          <r>
            <rPr>
              <rFont val="Calibri"/>
              <b val="1"/>
              <sz val="10"/>
            </rPr>
            <t>Typical experience:</t>
          </r>
          <r>
            <rPr>
              <rFont val="Calibri"/>
              <sz val="10"/>
            </rPr>
            <t xml:space="preserve"> 2–5 yrs · IRIS guide 2–4
</t>
          </r>
          <r>
            <rPr>
              <rFont val="Calibri"/>
              <b val="1"/>
              <sz val="10"/>
            </rPr>
            <t>Standard:</t>
          </r>
          <r>
            <rPr>
              <rFont val="Calibri"/>
              <sz val="10"/>
            </rPr>
            <t xml:space="preserve"> ICSI; Companies Act 2013</t>
          </r>
        </is>
      </c>
      <c r="BF9" s="134" t="inlineStr">
        <is>
          <t>Low</t>
        </is>
      </c>
      <c r="BG9" s="134" t="inlineStr">
        <is>
          <t>• Experience on record · 21.7 yrs looks incomplete — experience before IRIS appears to be missing; HR to confirm
• No survey answers or KRA — the role factors rest on designation and reporting lines only</t>
        </is>
      </c>
      <c r="BH9" s="134" t="inlineStr"/>
      <c r="BI9" s="135" t="n"/>
      <c r="BJ9" s="136" t="n"/>
      <c r="BK9" s="136" t="n"/>
      <c r="BL9" s="136" t="n"/>
      <c r="BM9" s="136" t="n"/>
      <c r="BN9" s="137" t="n"/>
      <c r="BO9" s="120" t="n"/>
      <c r="BP9" s="120" t="n"/>
      <c r="BQ9" s="120" t="n"/>
      <c r="BR9" s="120" t="n"/>
      <c r="BS9" s="120" t="n"/>
      <c r="BT9" s="120" t="n"/>
      <c r="BU9" s="120" t="n"/>
      <c r="BV9" s="120" t="n">
        <v>2</v>
      </c>
    </row>
    <row r="10" ht="340" customHeight="1">
      <c r="A10" s="109" t="inlineStr">
        <is>
          <t>IRIS0021</t>
        </is>
      </c>
      <c r="B10" s="110" t="inlineStr">
        <is>
          <t>Rajesh Khurambe</t>
        </is>
      </c>
      <c r="C10" s="111" t="inlineStr">
        <is>
          <t>Administration</t>
        </is>
      </c>
      <c r="D10" s="111" t="inlineStr">
        <is>
          <t>Sujit Acharya</t>
        </is>
      </c>
      <c r="E10" s="112" t="n">
        <v>21.7</v>
      </c>
      <c r="F10" s="112" t="n">
        <v>21.7</v>
      </c>
      <c r="G10" s="111" t="inlineStr">
        <is>
          <t>Undergraduate</t>
        </is>
      </c>
      <c r="H10" s="138" t="inlineStr">
        <is>
          <t>Executive Administration</t>
        </is>
      </c>
      <c r="I10" s="115" t="inlineStr">
        <is>
          <t>Senior Administration Executive</t>
        </is>
      </c>
      <c r="J10" s="114" t="inlineStr">
        <is>
          <t>Administration, Legal &amp; Secretarial</t>
        </is>
      </c>
      <c r="K10" s="114" t="inlineStr">
        <is>
          <t>Administration &amp; Facilities</t>
        </is>
      </c>
      <c r="L10" s="115" t="inlineStr">
        <is>
          <t>Not in current mapping files</t>
        </is>
      </c>
      <c r="M10" s="116" t="inlineStr">
        <is>
          <t>A3</t>
        </is>
      </c>
      <c r="N10" s="139" t="inlineStr">
        <is>
          <t>Senior Associate</t>
        </is>
      </c>
      <c r="O10" s="26" t="inlineStr">
        <is>
          <t>A</t>
        </is>
      </c>
      <c r="P10" s="114" t="inlineStr">
        <is>
          <t>IC</t>
        </is>
      </c>
      <c r="Q10" s="117" t="inlineStr">
        <is>
          <t>● Newly mapped</t>
        </is>
      </c>
      <c r="R10" s="118" t="inlineStr">
        <is>
          <r>
            <rPr>
              <rFont val="Calibri"/>
              <b val="1"/>
              <sz val="10"/>
            </rPr>
            <t>WHAT THE ROLE DOES:</t>
          </r>
          <r>
            <rPr>
              <rFont val="Calibri"/>
              <sz val="10"/>
            </rPr>
            <t xml:space="preserve"> Manages travel, facilities, office administration and vendors. At A3: varied work; reviews juniors; go-to for a process.
</t>
          </r>
          <r>
            <rPr>
              <rFont val="Calibri"/>
              <b val="1"/>
              <sz val="10"/>
            </rPr>
            <t>KEY RESPONSIBILITIES:</t>
          </r>
          <r>
            <rPr>
              <rFont val="Calibri"/>
              <sz val="10"/>
            </rPr>
            <t xml:space="preserve"> Manages travel, facilities, office administration and vendors;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t>
          </r>
          <r>
            <rPr>
              <rFont val="Calibri"/>
              <b val="1"/>
              <sz val="10"/>
            </rPr>
            <t>SKILLS &amp; KNOWLEDGE · role-holders:</t>
          </r>
          <r>
            <rPr>
              <rFont val="Calibri"/>
              <sz val="10"/>
            </rPr>
            <t xml:space="preserve"> Administration
COMPETENCIES REQUIRED — must-have ★: Regulatory &amp; BFSI Domain · Stakeholder &amp; Client Management
</t>
          </r>
          <r>
            <rPr>
              <rFont val="Calibri"/>
              <b val="1"/>
              <sz val="10"/>
            </rPr>
            <t>OTHER FUNCTIONAL COMPETENCIES:</t>
          </r>
          <r>
            <rPr>
              <rFont val="Calibri"/>
              <sz val="10"/>
            </rPr>
            <t xml:space="preserve"> Process Improvement &amp; Quality Mindset · Advanced Excel &amp; Productivity Tools · Communication &amp; Presentation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Domain certifications · optional
</t>
          </r>
          <r>
            <rPr>
              <rFont val="Calibri"/>
              <b val="1"/>
              <sz val="10"/>
            </rPr>
            <t>SOURCE:</t>
          </r>
          <r>
            <rPr>
              <rFont val="Calibri"/>
              <sz val="10"/>
            </rPr>
            <t xml:space="preserve"> Framework only · fewer than 3 answered — 4 holders, 1 answered the survey; sub-family 2 answered; catalogue RC-001</t>
          </r>
        </is>
      </c>
      <c r="S1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Manager talent mapping — Latest rating: Not rated · manager · 9-Box Grid placement: Not placed · manager.</t>
          </r>
        </is>
      </c>
      <c r="T10" s="120" t="n"/>
      <c r="U10" s="121" t="inlineStr">
        <is>
          <r>
            <rPr>
              <rFont val="Calibri"/>
              <sz val="10"/>
            </rPr>
            <t xml:space="preserve">Senior Administration Executive in Administration · Corporate, A3 — IC.
</t>
          </r>
          <r>
            <rPr>
              <rFont val="Calibri"/>
              <b val="1"/>
              <sz val="10"/>
            </rPr>
            <t>The work:</t>
          </r>
          <r>
            <rPr>
              <rFont val="Calibri"/>
              <sz val="10"/>
            </rPr>
            <t xml:space="preserve"> Manages travel, facilities, office administration and vendors.
At this level the role owns varied work; reviews juniors; go-to for a process.
</t>
          </r>
          <r>
            <rPr>
              <rFont val="Calibri"/>
              <b val="1"/>
              <sz val="10"/>
            </rPr>
            <t>Key responsibilities:</t>
          </r>
          <r>
            <rPr>
              <rFont val="Calibri"/>
              <sz val="10"/>
            </rPr>
            <t xml:space="preserve"> Manages travel, facilities, office administration and vendors; Varied and non-standard work; handles exceptions; A module / process, or work with client or regulatory consequences.</t>
          </r>
        </is>
      </c>
      <c r="V10" s="122" t="inlineStr">
        <is>
          <r>
            <rPr>
              <rFont val="Calibri"/>
              <b val="1"/>
              <sz val="10"/>
            </rPr>
            <t>Hire as:</t>
          </r>
          <r>
            <rPr>
              <rFont val="Calibri"/>
              <sz val="10"/>
            </rPr>
            <t xml:space="preserve"> Admin / Secretarial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ICSI · CS / LLB for secretarial &amp; legal
</t>
          </r>
          <r>
            <rPr>
              <rFont val="Calibri"/>
              <b val="1"/>
              <sz val="10"/>
            </rPr>
            <t>Equivalent titles at peers:</t>
          </r>
          <r>
            <rPr>
              <rFont val="Calibri"/>
              <sz val="10"/>
            </rPr>
            <t xml:space="preserve"> IRIS Vs Competitor Benchmark — corporate services ladder – Senior Executive
</t>
          </r>
          <r>
            <rPr>
              <rFont val="Calibri"/>
              <b val="1"/>
              <sz val="10"/>
            </rPr>
            <t>Credentials:</t>
          </r>
          <r>
            <rPr>
              <rFont val="Calibri"/>
              <sz val="10"/>
            </rPr>
            <t xml:space="preserve"> Domain certifications · optional
</t>
          </r>
          <r>
            <rPr>
              <rFont val="Calibri"/>
              <b val="1"/>
              <sz val="10"/>
            </rPr>
            <t>Must already know:</t>
          </r>
          <r>
            <rPr>
              <rFont val="Calibri"/>
              <sz val="10"/>
            </rPr>
            <t xml:space="preserve"> Companies Act / statutory filings; vendor contracts</t>
          </r>
        </is>
      </c>
      <c r="W10" s="122" t="inlineStr">
        <is>
          <r>
            <rPr>
              <rFont val="Calibri"/>
              <sz val="10"/>
            </rPr>
            <t xml:space="preserve">FUNCTIONAL — skill level 3 of 5 · Practitioner
 ★ Regulatory &amp; BFSI Domain: Knows the relevant regulators, returns and rules
 ★ Stakeholder &amp; Client Management: Manages client communication and expectations for own work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Communication &amp; Presentation:</t>
          </r>
          <r>
            <rPr>
              <rFont val="Calibri"/>
              <sz val="10"/>
            </rPr>
            <t xml:space="preserve"> Writes and presents clearly to clients and teams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Administration
★ = must-have for the family. Scale: 1 Awareness · 2 Working · 3 Practitioner · 4 Advanced · 5 Expert.</t>
          </r>
        </is>
      </c>
      <c r="X10" s="122" t="inlineStr">
        <is>
          <r>
            <rPr>
              <rFont val="Calibri"/>
              <sz val="10"/>
            </rPr>
            <t xml:space="preserve">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0" s="123" t="inlineStr">
        <is>
          <t>Corporate · Administration · Band A · Early career</t>
        </is>
      </c>
      <c r="Z10" s="124" t="n">
        <v>2</v>
      </c>
      <c r="AA10" s="125">
        <f>IFERROR(INDEX(WM_C,MATCH($Y10,WM_KEY,0)),"")</f>
        <v>0.54</v>
      </c>
      <c r="AB10" s="126">
        <f>IF(Z10="","",Z10*AA10)</f>
        <v>1.08</v>
      </c>
      <c r="AC10" s="124" t="n">
        <v>2</v>
      </c>
      <c r="AD10" s="125">
        <f>IFERROR(INDEX(WM_AU,MATCH($Y10,WM_KEY,0)),"")</f>
        <v>0.16</v>
      </c>
      <c r="AE10" s="126">
        <f>IF(AC10="","",AC10*AD10)</f>
        <v>0.32</v>
      </c>
      <c r="AF10" s="124" t="n">
        <v>2</v>
      </c>
      <c r="AG10" s="125">
        <f>IFERROR(INDEX(WM_AC,MATCH($Y10,WM_KEY,0)),"")</f>
        <v>0.09</v>
      </c>
      <c r="AH10" s="126">
        <f>IF(AF10="","",AF10*AG10)</f>
        <v>0.18</v>
      </c>
      <c r="AI10" s="124" t="n">
        <v>1</v>
      </c>
      <c r="AJ10" s="125">
        <f>IFERROR(INDEX(WM_L,MATCH($Y10,WM_KEY,0)),"")</f>
        <v>0</v>
      </c>
      <c r="AK10" s="126">
        <f>IF(AI10="","",AI10*AJ10)</f>
        <v>0</v>
      </c>
      <c r="AL10" s="124" t="n">
        <v>9.5</v>
      </c>
      <c r="AM10" s="125">
        <f>IFERROR(INDEX(WM_E,MATCH($Y10,WM_KEY,0)),"")</f>
        <v>0.15</v>
      </c>
      <c r="AN10" s="126">
        <f>IF(AL10="","",AL10*AM10)</f>
        <v>1.425</v>
      </c>
      <c r="AO10" s="127" t="n">
        <v>2</v>
      </c>
      <c r="AP10" s="125">
        <f>IFERROR(INDEX(WM_BI,MATCH($Y10,WM_KEY,0)),"")</f>
        <v>0.06</v>
      </c>
      <c r="AQ10" s="126">
        <f>IF(AO10="","",AO10*AP10)</f>
        <v>0.12</v>
      </c>
      <c r="AR10" s="126">
        <f>IF(COUNT(AB10,AE10,AH10,AK10,AN10,AQ10)&lt;6,"",SUM(AB10,AE10,AH10,AK10,AN10,AQ10))</f>
        <v>3.125</v>
      </c>
      <c r="AS10" s="128" t="str">
        <f>IF(AR10="","",INDEX({"A1","A2","A3","B1","B2","B3","C1","C2","D1","D2","E1","E2"},MAX(1,MIN(12,ROUND(AR10,0)))))</f>
        <v>A3</v>
      </c>
      <c r="AT10" s="129" t="inlineStr">
        <is>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10" s="130" t="inlineStr">
        <is>
          <r>
            <rPr>
              <rFont val="Calibri"/>
              <b val="1"/>
              <sz val="10"/>
            </rPr>
            <t>At build:</t>
          </r>
          <r>
            <rPr>
              <rFont val="Calibri"/>
              <sz val="10"/>
            </rPr>
            <t xml:space="preserve"> Complexity 1.08 + Autonomy 0.32 + Accountability 0.18 + Leadership 0.00 + Experience 1.43 + Business impact 0.12
= 3.12 points → nearest level 3 = A3
</t>
          </r>
          <r>
            <rPr>
              <rFont val="Calibri"/>
              <b val="1"/>
              <sz val="10"/>
            </rPr>
            <t>Final level:</t>
          </r>
          <r>
            <rPr>
              <rFont val="Calibri"/>
              <sz val="10"/>
            </rPr>
            <t xml:space="preserve"> A3 · same as the score</t>
          </r>
        </is>
      </c>
      <c r="AV10" s="130" t="inlineStr">
        <is>
          <r>
            <rPr>
              <rFont val="Calibri"/>
              <b val="1"/>
              <sz val="10"/>
            </rPr>
            <t>No rule applied:</t>
          </r>
          <r>
            <rPr>
              <rFont val="Calibri"/>
              <sz val="10"/>
            </rPr>
            <t xml:space="preserve"> the score decides.</t>
          </r>
        </is>
      </c>
      <c r="AW10" s="140"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Standard work of the discipline</t>
          </r>
        </is>
      </c>
      <c r="AX10" s="141"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Chooses own approach within standards</t>
          </r>
        </is>
      </c>
      <c r="AY10" s="141"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Own deliverables · accuracy, TAT</t>
          </r>
        </is>
      </c>
      <c r="AZ10" s="141" t="inlineStr">
        <is>
          <r>
            <rPr>
              <rFont val="Calibri"/>
              <color rgb="009C0006"/>
              <sz val="10"/>
            </rPr>
            <t xml:space="preserve">Rated 1 of 12 — not counted: the weight is 0% at this level
</t>
          </r>
          <r>
            <rPr>
              <rFont val="Calibri"/>
              <b val="1"/>
              <color rgb="009C0006"/>
              <sz val="10"/>
            </rPr>
            <t>Start:</t>
          </r>
          <r>
            <rPr>
              <rFont val="Calibri"/>
              <color rgb="009C0006"/>
              <sz val="10"/>
            </rPr>
            <t xml:space="preserve"> 1.0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A1 = Not scored in Band A</t>
          </r>
        </is>
      </c>
      <c r="BA10" s="132" t="inlineStr">
        <is>
          <r>
            <rPr>
              <rFont val="Calibri"/>
              <sz val="10"/>
            </rPr>
            <t xml:space="preserve">Rated 9.5 of 12 · between D1 and D2
</t>
          </r>
          <r>
            <rPr>
              <rFont val="Calibri"/>
              <b val="1"/>
              <sz val="10"/>
            </rPr>
            <t>Experience:</t>
          </r>
          <r>
            <rPr>
              <rFont val="Calibri"/>
              <sz val="10"/>
            </rPr>
            <t xml:space="preserve"> 21.7 yrs total · 21.7 at IRIS; none recorded before IRIS = 10.2 on the experience scale
</t>
          </r>
          <r>
            <rPr>
              <rFont val="Calibri"/>
              <b val="1"/>
              <sz val="10"/>
            </rPr>
            <t>Note:</t>
          </r>
          <r>
            <rPr>
              <rFont val="Calibri"/>
              <sz val="10"/>
            </rPr>
            <t xml:space="preserve"> the record looks incomplete, so this is a minimum · HR to confirm
</t>
          </r>
          <r>
            <rPr>
              <rFont val="Calibri"/>
              <b val="1"/>
              <sz val="10"/>
            </rPr>
            <t>Qualification:</t>
          </r>
          <r>
            <rPr>
              <rFont val="Calibri"/>
              <sz val="10"/>
            </rPr>
            <t xml:space="preserve"> Undergraduate · below graduate → −0.5
</t>
          </r>
          <r>
            <rPr>
              <rFont val="Calibri"/>
              <b val="1"/>
              <sz val="10"/>
            </rPr>
            <t>Market:</t>
          </r>
          <r>
            <rPr>
              <rFont val="Calibri"/>
              <sz val="10"/>
            </rPr>
            <t xml:space="preserve"> A3 roles typically have 2–5 yrs · IRIS guide 2–4</t>
          </r>
        </is>
      </c>
      <c r="BB10"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0" s="142" t="inlineStr">
        <is>
          <t>• Survey response or KRAs describing the work · nothing on file — Employee + manager
• Correct the experience record — HR</t>
        </is>
      </c>
      <c r="BD10" s="134" t="inlineStr">
        <is>
          <t>✓ HRIS: 21.7 yrs, Undergraduate, 0 direct reports
✗ Survey: no response
✗ KRAs: none on file
✓ Manager mapping: rating, 9-box
✗ Job description: not on file</t>
        </is>
      </c>
      <c r="BE10" s="134" t="inlineStr">
        <is>
          <r>
            <rPr>
              <rFont val="Calibri"/>
              <b val="1"/>
              <sz val="10"/>
            </rPr>
            <t>Market level:</t>
          </r>
          <r>
            <rPr>
              <rFont val="Calibri"/>
              <sz val="10"/>
            </rPr>
            <t xml:space="preserve"> P2 · SFIA 3 Apply
</t>
          </r>
          <r>
            <rPr>
              <rFont val="Calibri"/>
              <b val="1"/>
              <sz val="10"/>
            </rPr>
            <t>Typical title:</t>
          </r>
          <r>
            <rPr>
              <rFont val="Calibri"/>
              <sz val="10"/>
            </rPr>
            <t xml:space="preserve"> Admin / Secretarial Executive
</t>
          </r>
          <r>
            <rPr>
              <rFont val="Calibri"/>
              <b val="1"/>
              <sz val="10"/>
            </rPr>
            <t>At peers:</t>
          </r>
          <r>
            <rPr>
              <rFont val="Calibri"/>
              <sz val="10"/>
            </rPr>
            <t xml:space="preserve"> IRIS Vs Competitor Benchmark — corporate services ladder: Senior Executive
</t>
          </r>
          <r>
            <rPr>
              <rFont val="Calibri"/>
              <b val="1"/>
              <sz val="10"/>
            </rPr>
            <t>Typical experience:</t>
          </r>
          <r>
            <rPr>
              <rFont val="Calibri"/>
              <sz val="10"/>
            </rPr>
            <t xml:space="preserve"> 2–5 yrs · IRIS guide 2–4
</t>
          </r>
          <r>
            <rPr>
              <rFont val="Calibri"/>
              <b val="1"/>
              <sz val="10"/>
            </rPr>
            <t>Standard:</t>
          </r>
          <r>
            <rPr>
              <rFont val="Calibri"/>
              <sz val="10"/>
            </rPr>
            <t xml:space="preserve"> ICSI; Companies Act 2013</t>
          </r>
        </is>
      </c>
      <c r="BF10" s="134" t="inlineStr">
        <is>
          <t>Low</t>
        </is>
      </c>
      <c r="BG10" s="134" t="inlineStr">
        <is>
          <t>• Experience on record · 21.7 yrs looks incomplete — experience before IRIS appears to be missing; HR to confirm
• No survey answers or KRA — the role factors rest on designation and reporting lines only</t>
        </is>
      </c>
      <c r="BH10" s="134" t="inlineStr"/>
      <c r="BI10" s="135" t="n"/>
      <c r="BJ10" s="136" t="n"/>
      <c r="BK10" s="136" t="n"/>
      <c r="BL10" s="136" t="n"/>
      <c r="BM10" s="136" t="n"/>
      <c r="BN10" s="137" t="n"/>
      <c r="BO10" s="120" t="n"/>
      <c r="BP10" s="120" t="n"/>
      <c r="BQ10" s="120" t="n"/>
      <c r="BR10" s="120" t="n"/>
      <c r="BS10" s="120" t="n"/>
      <c r="BT10" s="120" t="n"/>
      <c r="BU10" s="120" t="n"/>
      <c r="BV10" s="120" t="n">
        <v>2</v>
      </c>
    </row>
    <row r="11" ht="340" customHeight="1">
      <c r="A11" s="109" t="inlineStr">
        <is>
          <t>IRIS1008</t>
        </is>
      </c>
      <c r="B11" s="110" t="inlineStr">
        <is>
          <t>Sunil Pawar</t>
        </is>
      </c>
      <c r="C11" s="111" t="inlineStr">
        <is>
          <t>Administration</t>
        </is>
      </c>
      <c r="D11" s="111" t="inlineStr">
        <is>
          <t>Sujit Acharya</t>
        </is>
      </c>
      <c r="E11" s="112" t="n">
        <v>14.9</v>
      </c>
      <c r="F11" s="112" t="n">
        <v>14.9</v>
      </c>
      <c r="G11" s="111" t="inlineStr">
        <is>
          <t>Undergraduate</t>
        </is>
      </c>
      <c r="H11" s="138" t="inlineStr">
        <is>
          <t>Executive Administration</t>
        </is>
      </c>
      <c r="I11" s="115" t="inlineStr">
        <is>
          <t>Senior Administration Executive</t>
        </is>
      </c>
      <c r="J11" s="114" t="inlineStr">
        <is>
          <t>Administration, Legal &amp; Secretarial</t>
        </is>
      </c>
      <c r="K11" s="114" t="inlineStr">
        <is>
          <t>Administration &amp; Facilities</t>
        </is>
      </c>
      <c r="L11" s="115" t="inlineStr">
        <is>
          <t>Not in current mapping files</t>
        </is>
      </c>
      <c r="M11" s="116" t="inlineStr">
        <is>
          <t>A3</t>
        </is>
      </c>
      <c r="N11" s="139" t="inlineStr">
        <is>
          <t>Senior Associate</t>
        </is>
      </c>
      <c r="O11" s="26" t="inlineStr">
        <is>
          <t>A</t>
        </is>
      </c>
      <c r="P11" s="114" t="inlineStr">
        <is>
          <t>IC</t>
        </is>
      </c>
      <c r="Q11" s="117" t="inlineStr">
        <is>
          <t>● Newly mapped</t>
        </is>
      </c>
      <c r="R11" s="118" t="inlineStr">
        <is>
          <r>
            <rPr>
              <rFont val="Calibri"/>
              <b val="1"/>
              <sz val="10"/>
            </rPr>
            <t>WHAT THE ROLE DOES:</t>
          </r>
          <r>
            <rPr>
              <rFont val="Calibri"/>
              <sz val="10"/>
            </rPr>
            <t xml:space="preserve"> Manages travel, facilities, office administration and vendors. At A3: varied work; reviews juniors; go-to for a process.
</t>
          </r>
          <r>
            <rPr>
              <rFont val="Calibri"/>
              <b val="1"/>
              <sz val="10"/>
            </rPr>
            <t>KEY RESPONSIBILITIES:</t>
          </r>
          <r>
            <rPr>
              <rFont val="Calibri"/>
              <sz val="10"/>
            </rPr>
            <t xml:space="preserve"> Manages travel, facilities, office administration and vendors;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t>
          </r>
          <r>
            <rPr>
              <rFont val="Calibri"/>
              <b val="1"/>
              <sz val="10"/>
            </rPr>
            <t>SKILLS &amp; KNOWLEDGE · role-holders:</t>
          </r>
          <r>
            <rPr>
              <rFont val="Calibri"/>
              <sz val="10"/>
            </rPr>
            <t xml:space="preserve"> Administration
COMPETENCIES REQUIRED — must-have ★: Regulatory &amp; BFSI Domain · Stakeholder &amp; Client Management
</t>
          </r>
          <r>
            <rPr>
              <rFont val="Calibri"/>
              <b val="1"/>
              <sz val="10"/>
            </rPr>
            <t>OTHER FUNCTIONAL COMPETENCIES:</t>
          </r>
          <r>
            <rPr>
              <rFont val="Calibri"/>
              <sz val="10"/>
            </rPr>
            <t xml:space="preserve"> Process Improvement &amp; Quality Mindset · Advanced Excel &amp; Productivity Tools · Communication &amp; Presentation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Domain certifications · optional
</t>
          </r>
          <r>
            <rPr>
              <rFont val="Calibri"/>
              <b val="1"/>
              <sz val="10"/>
            </rPr>
            <t>SOURCE:</t>
          </r>
          <r>
            <rPr>
              <rFont val="Calibri"/>
              <sz val="10"/>
            </rPr>
            <t xml:space="preserve"> Framework only · fewer than 3 answered — 4 holders, 1 answered the survey; sub-family 2 answered; catalogue RC-001</t>
          </r>
        </is>
      </c>
      <c r="S11"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Manager talent mapping — Latest rating: Not rated · manager · 9-Box Grid placement: Not placed · manager.</t>
          </r>
        </is>
      </c>
      <c r="T11" s="120" t="n"/>
      <c r="U11" s="121" t="inlineStr">
        <is>
          <r>
            <rPr>
              <rFont val="Calibri"/>
              <sz val="10"/>
            </rPr>
            <t xml:space="preserve">Senior Administration Executive in Administration · Corporate, A3 — IC.
</t>
          </r>
          <r>
            <rPr>
              <rFont val="Calibri"/>
              <b val="1"/>
              <sz val="10"/>
            </rPr>
            <t>The work:</t>
          </r>
          <r>
            <rPr>
              <rFont val="Calibri"/>
              <sz val="10"/>
            </rPr>
            <t xml:space="preserve"> Manages travel, facilities, office administration and vendors.
At this level the role owns varied work; reviews juniors; go-to for a process.
</t>
          </r>
          <r>
            <rPr>
              <rFont val="Calibri"/>
              <b val="1"/>
              <sz val="10"/>
            </rPr>
            <t>Key responsibilities:</t>
          </r>
          <r>
            <rPr>
              <rFont val="Calibri"/>
              <sz val="10"/>
            </rPr>
            <t xml:space="preserve"> Manages travel, facilities, office administration and vendors; Varied and non-standard work; handles exceptions; A module / process, or work with client or regulatory consequences.</t>
          </r>
        </is>
      </c>
      <c r="V11" s="122" t="inlineStr">
        <is>
          <r>
            <rPr>
              <rFont val="Calibri"/>
              <b val="1"/>
              <sz val="10"/>
            </rPr>
            <t>Hire as:</t>
          </r>
          <r>
            <rPr>
              <rFont val="Calibri"/>
              <sz val="10"/>
            </rPr>
            <t xml:space="preserve"> Admin / Secretarial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ICSI · CS / LLB for secretarial &amp; legal
</t>
          </r>
          <r>
            <rPr>
              <rFont val="Calibri"/>
              <b val="1"/>
              <sz val="10"/>
            </rPr>
            <t>Equivalent titles at peers:</t>
          </r>
          <r>
            <rPr>
              <rFont val="Calibri"/>
              <sz val="10"/>
            </rPr>
            <t xml:space="preserve"> IRIS Vs Competitor Benchmark — corporate services ladder – Senior Executive
</t>
          </r>
          <r>
            <rPr>
              <rFont val="Calibri"/>
              <b val="1"/>
              <sz val="10"/>
            </rPr>
            <t>Credentials:</t>
          </r>
          <r>
            <rPr>
              <rFont val="Calibri"/>
              <sz val="10"/>
            </rPr>
            <t xml:space="preserve"> Domain certifications · optional
</t>
          </r>
          <r>
            <rPr>
              <rFont val="Calibri"/>
              <b val="1"/>
              <sz val="10"/>
            </rPr>
            <t>Must already know:</t>
          </r>
          <r>
            <rPr>
              <rFont val="Calibri"/>
              <sz val="10"/>
            </rPr>
            <t xml:space="preserve"> Companies Act / statutory filings; vendor contracts</t>
          </r>
        </is>
      </c>
      <c r="W11" s="122" t="inlineStr">
        <is>
          <r>
            <rPr>
              <rFont val="Calibri"/>
              <sz val="10"/>
            </rPr>
            <t xml:space="preserve">FUNCTIONAL — skill level 3 of 5 · Practitioner
 ★ Regulatory &amp; BFSI Domain: Knows the relevant regulators, returns and rules
 ★ Stakeholder &amp; Client Management: Manages client communication and expectations for own work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Communication &amp; Presentation:</t>
          </r>
          <r>
            <rPr>
              <rFont val="Calibri"/>
              <sz val="10"/>
            </rPr>
            <t xml:space="preserve"> Writes and presents clearly to clients and teams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Administration
★ = must-have for the family. Scale: 1 Awareness · 2 Working · 3 Practitioner · 4 Advanced · 5 Expert.</t>
          </r>
        </is>
      </c>
      <c r="X11" s="122" t="inlineStr">
        <is>
          <r>
            <rPr>
              <rFont val="Calibri"/>
              <sz val="10"/>
            </rPr>
            <t xml:space="preserve">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 s="123" t="inlineStr">
        <is>
          <t>Corporate · Administration · Band A · Early career</t>
        </is>
      </c>
      <c r="Z11" s="124" t="n">
        <v>2</v>
      </c>
      <c r="AA11" s="125">
        <f>IFERROR(INDEX(WM_C,MATCH($Y11,WM_KEY,0)),"")</f>
        <v>0.54</v>
      </c>
      <c r="AB11" s="126">
        <f>IF(Z11="","",Z11*AA11)</f>
        <v>1.08</v>
      </c>
      <c r="AC11" s="124" t="n">
        <v>2</v>
      </c>
      <c r="AD11" s="125">
        <f>IFERROR(INDEX(WM_AU,MATCH($Y11,WM_KEY,0)),"")</f>
        <v>0.16</v>
      </c>
      <c r="AE11" s="126">
        <f>IF(AC11="","",AC11*AD11)</f>
        <v>0.32</v>
      </c>
      <c r="AF11" s="124" t="n">
        <v>2</v>
      </c>
      <c r="AG11" s="125">
        <f>IFERROR(INDEX(WM_AC,MATCH($Y11,WM_KEY,0)),"")</f>
        <v>0.09</v>
      </c>
      <c r="AH11" s="126">
        <f>IF(AF11="","",AF11*AG11)</f>
        <v>0.18</v>
      </c>
      <c r="AI11" s="124" t="n">
        <v>1</v>
      </c>
      <c r="AJ11" s="125">
        <f>IFERROR(INDEX(WM_L,MATCH($Y11,WM_KEY,0)),"")</f>
        <v>0</v>
      </c>
      <c r="AK11" s="126">
        <f>IF(AI11="","",AI11*AJ11)</f>
        <v>0</v>
      </c>
      <c r="AL11" s="124" t="n">
        <v>7.5</v>
      </c>
      <c r="AM11" s="125">
        <f>IFERROR(INDEX(WM_E,MATCH($Y11,WM_KEY,0)),"")</f>
        <v>0.15</v>
      </c>
      <c r="AN11" s="126">
        <f>IF(AL11="","",AL11*AM11)</f>
        <v>1.125</v>
      </c>
      <c r="AO11" s="127" t="n">
        <v>2</v>
      </c>
      <c r="AP11" s="125">
        <f>IFERROR(INDEX(WM_BI,MATCH($Y11,WM_KEY,0)),"")</f>
        <v>0.06</v>
      </c>
      <c r="AQ11" s="126">
        <f>IF(AO11="","",AO11*AP11)</f>
        <v>0.12</v>
      </c>
      <c r="AR11" s="126">
        <f>IF(COUNT(AB11,AE11,AH11,AK11,AN11,AQ11)&lt;6,"",SUM(AB11,AE11,AH11,AK11,AN11,AQ11))</f>
        <v>2.825</v>
      </c>
      <c r="AS11" s="128" t="str">
        <f>IF(AR11="","",INDEX({"A1","A2","A3","B1","B2","B3","C1","C2","D1","D2","E1","E2"},MAX(1,MIN(12,ROUND(AR11,0)))))</f>
        <v>A3</v>
      </c>
      <c r="AT11" s="129" t="inlineStr">
        <is>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11" s="130" t="inlineStr">
        <is>
          <r>
            <rPr>
              <rFont val="Calibri"/>
              <b val="1"/>
              <sz val="10"/>
            </rPr>
            <t>At build:</t>
          </r>
          <r>
            <rPr>
              <rFont val="Calibri"/>
              <sz val="10"/>
            </rPr>
            <t xml:space="preserve"> Complexity 1.08 + Autonomy 0.32 + Accountability 0.18 + Leadership 0.00 + Experience 1.12 + Business impact 0.12
= 2.83 points → nearest level 3 = A3
</t>
          </r>
          <r>
            <rPr>
              <rFont val="Calibri"/>
              <b val="1"/>
              <sz val="10"/>
            </rPr>
            <t>Final level:</t>
          </r>
          <r>
            <rPr>
              <rFont val="Calibri"/>
              <sz val="10"/>
            </rPr>
            <t xml:space="preserve"> A3 · same as the score</t>
          </r>
        </is>
      </c>
      <c r="AV11" s="130" t="inlineStr">
        <is>
          <r>
            <rPr>
              <rFont val="Calibri"/>
              <b val="1"/>
              <sz val="10"/>
            </rPr>
            <t>No rule applied:</t>
          </r>
          <r>
            <rPr>
              <rFont val="Calibri"/>
              <sz val="10"/>
            </rPr>
            <t xml:space="preserve"> the score decides.</t>
          </r>
        </is>
      </c>
      <c r="AW11" s="140"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Standard work of the discipline</t>
          </r>
        </is>
      </c>
      <c r="AX11" s="141"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Chooses own approach within standards</t>
          </r>
        </is>
      </c>
      <c r="AY11" s="141"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Own deliverables · accuracy, TAT</t>
          </r>
        </is>
      </c>
      <c r="AZ11" s="141" t="inlineStr">
        <is>
          <r>
            <rPr>
              <rFont val="Calibri"/>
              <color rgb="009C0006"/>
              <sz val="10"/>
            </rPr>
            <t xml:space="preserve">Rated 1 of 12 — not counted: the weight is 0% at this level
</t>
          </r>
          <r>
            <rPr>
              <rFont val="Calibri"/>
              <b val="1"/>
              <color rgb="009C0006"/>
              <sz val="10"/>
            </rPr>
            <t>Start:</t>
          </r>
          <r>
            <rPr>
              <rFont val="Calibri"/>
              <color rgb="009C0006"/>
              <sz val="10"/>
            </rPr>
            <t xml:space="preserve"> 1.0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A1 = Not scored in Band A</t>
          </r>
        </is>
      </c>
      <c r="BA11" s="132" t="inlineStr">
        <is>
          <r>
            <rPr>
              <rFont val="Calibri"/>
              <sz val="10"/>
            </rPr>
            <t xml:space="preserve">Rated 7.5 of 12 · between C1 and C2
</t>
          </r>
          <r>
            <rPr>
              <rFont val="Calibri"/>
              <b val="1"/>
              <sz val="10"/>
            </rPr>
            <t>Experience:</t>
          </r>
          <r>
            <rPr>
              <rFont val="Calibri"/>
              <sz val="10"/>
            </rPr>
            <t xml:space="preserve"> 14.9 yrs total · 14.9 at IRIS; none recorded before IRIS = 8.1 on the experience scale
</t>
          </r>
          <r>
            <rPr>
              <rFont val="Calibri"/>
              <b val="1"/>
              <sz val="10"/>
            </rPr>
            <t>Note:</t>
          </r>
          <r>
            <rPr>
              <rFont val="Calibri"/>
              <sz val="10"/>
            </rPr>
            <t xml:space="preserve"> the record looks incomplete, so this is a minimum · HR to confirm
</t>
          </r>
          <r>
            <rPr>
              <rFont val="Calibri"/>
              <b val="1"/>
              <sz val="10"/>
            </rPr>
            <t>Qualification:</t>
          </r>
          <r>
            <rPr>
              <rFont val="Calibri"/>
              <sz val="10"/>
            </rPr>
            <t xml:space="preserve"> Undergraduate · below graduate → −0.5
</t>
          </r>
          <r>
            <rPr>
              <rFont val="Calibri"/>
              <b val="1"/>
              <sz val="10"/>
            </rPr>
            <t>Market:</t>
          </r>
          <r>
            <rPr>
              <rFont val="Calibri"/>
              <sz val="10"/>
            </rPr>
            <t xml:space="preserve"> A3 roles typically have 2–5 yrs · IRIS guide 2–4</t>
          </r>
        </is>
      </c>
      <c r="BB11"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1" s="142" t="inlineStr">
        <is>
          <t>• Survey response or KRAs describing the work · nothing on file — Employee + manager
• Correct the experience record — HR</t>
        </is>
      </c>
      <c r="BD11" s="134" t="inlineStr">
        <is>
          <t>✓ HRIS: 14.9 yrs, Undergraduate, 0 direct reports
✗ Survey: no response
✗ KRAs: none on file
✓ Manager mapping: rating, 9-box
✗ Job description: not on file</t>
        </is>
      </c>
      <c r="BE11" s="134" t="inlineStr">
        <is>
          <r>
            <rPr>
              <rFont val="Calibri"/>
              <b val="1"/>
              <sz val="10"/>
            </rPr>
            <t>Market level:</t>
          </r>
          <r>
            <rPr>
              <rFont val="Calibri"/>
              <sz val="10"/>
            </rPr>
            <t xml:space="preserve"> P2 · SFIA 3 Apply
</t>
          </r>
          <r>
            <rPr>
              <rFont val="Calibri"/>
              <b val="1"/>
              <sz val="10"/>
            </rPr>
            <t>Typical title:</t>
          </r>
          <r>
            <rPr>
              <rFont val="Calibri"/>
              <sz val="10"/>
            </rPr>
            <t xml:space="preserve"> Admin / Secretarial Executive
</t>
          </r>
          <r>
            <rPr>
              <rFont val="Calibri"/>
              <b val="1"/>
              <sz val="10"/>
            </rPr>
            <t>At peers:</t>
          </r>
          <r>
            <rPr>
              <rFont val="Calibri"/>
              <sz val="10"/>
            </rPr>
            <t xml:space="preserve"> IRIS Vs Competitor Benchmark — corporate services ladder: Senior Executive
</t>
          </r>
          <r>
            <rPr>
              <rFont val="Calibri"/>
              <b val="1"/>
              <sz val="10"/>
            </rPr>
            <t>Typical experience:</t>
          </r>
          <r>
            <rPr>
              <rFont val="Calibri"/>
              <sz val="10"/>
            </rPr>
            <t xml:space="preserve"> 2–5 yrs · IRIS guide 2–4
</t>
          </r>
          <r>
            <rPr>
              <rFont val="Calibri"/>
              <b val="1"/>
              <sz val="10"/>
            </rPr>
            <t>Standard:</t>
          </r>
          <r>
            <rPr>
              <rFont val="Calibri"/>
              <sz val="10"/>
            </rPr>
            <t xml:space="preserve"> ICSI; Companies Act 2013</t>
          </r>
        </is>
      </c>
      <c r="BF11" s="134" t="inlineStr">
        <is>
          <t>Low</t>
        </is>
      </c>
      <c r="BG11" s="134" t="inlineStr">
        <is>
          <t>• Experience on record · 14.9 yrs looks incomplete — experience before IRIS appears to be missing; HR to confirm
• No survey answers or KRA — the role factors rest on designation and reporting lines only</t>
        </is>
      </c>
      <c r="BH11" s="134" t="inlineStr"/>
      <c r="BI11" s="135" t="n"/>
      <c r="BJ11" s="136" t="n"/>
      <c r="BK11" s="136" t="n"/>
      <c r="BL11" s="136" t="n"/>
      <c r="BM11" s="136" t="n"/>
      <c r="BN11" s="137" t="n"/>
      <c r="BO11" s="120" t="n"/>
      <c r="BP11" s="120" t="n"/>
      <c r="BQ11" s="120" t="n"/>
      <c r="BR11" s="120" t="n"/>
      <c r="BS11" s="120" t="n"/>
      <c r="BT11" s="120" t="n"/>
      <c r="BU11" s="120" t="n"/>
      <c r="BV11" s="120" t="n">
        <v>2</v>
      </c>
    </row>
    <row r="12" ht="249" customHeight="1">
      <c r="A12" s="109" t="inlineStr">
        <is>
          <t>IRISC291</t>
        </is>
      </c>
      <c r="B12" s="110" t="inlineStr">
        <is>
          <t>Ganesh Prabhakar Amrutsagar</t>
        </is>
      </c>
      <c r="C12" s="111" t="inlineStr">
        <is>
          <t>Administration</t>
        </is>
      </c>
      <c r="D12" s="111" t="inlineStr">
        <is>
          <t>Sujit Acharya</t>
        </is>
      </c>
      <c r="E12" s="112" t="n">
        <v>2.6</v>
      </c>
      <c r="F12" s="112" t="n">
        <v>2.6</v>
      </c>
      <c r="G12" s="111" t="inlineStr">
        <is>
          <t>Undergraduate</t>
        </is>
      </c>
      <c r="H12" s="138" t="inlineStr">
        <is>
          <t>Consultant</t>
        </is>
      </c>
      <c r="I12" s="115" t="inlineStr">
        <is>
          <t>Associate Consultant – Administration &amp; Facilities</t>
        </is>
      </c>
      <c r="J12" s="114" t="inlineStr">
        <is>
          <t>Administration, Legal &amp; Secretarial</t>
        </is>
      </c>
      <c r="K12" s="114" t="inlineStr">
        <is>
          <t>Administration &amp; Facilities</t>
        </is>
      </c>
      <c r="L12" s="114" t="inlineStr">
        <is>
          <t>—</t>
        </is>
      </c>
      <c r="M12" s="143" t="inlineStr">
        <is>
          <t>X1</t>
        </is>
      </c>
      <c r="N12" s="136" t="inlineStr">
        <is>
          <t>Associate Consultant</t>
        </is>
      </c>
      <c r="O12" s="45" t="inlineStr">
        <is>
          <t>X</t>
        </is>
      </c>
      <c r="P12" s="114" t="inlineStr">
        <is>
          <t>Consultant</t>
        </is>
      </c>
      <c r="Q12" s="144" t="inlineStr">
        <is>
          <t>• Same level</t>
        </is>
      </c>
      <c r="R12" s="118" t="inlineStr">
        <is>
          <r>
            <rPr>
              <rFont val="Calibri"/>
              <b val="1"/>
              <sz val="10"/>
            </rPr>
            <t>WHAT THE ROLE DOES:</t>
          </r>
          <r>
            <rPr>
              <rFont val="Calibri"/>
              <sz val="10"/>
            </rPr>
            <t xml:space="preserve"> Manages travel, facilities, office administration and vendors. At X1: defined deliverables under a statement of work · ≈ A2–A3.
</t>
          </r>
          <r>
            <rPr>
              <rFont val="Calibri"/>
              <b val="1"/>
              <sz val="10"/>
            </rPr>
            <t>KEY RESPONSIBILITIES:</t>
          </r>
          <r>
            <rPr>
              <rFont val="Calibri"/>
              <sz val="10"/>
            </rPr>
            <t xml:space="preserve"> Manages travel, facilities, office administration and vendors
</t>
          </r>
          <r>
            <rPr>
              <rFont val="Calibri"/>
              <b val="1"/>
              <sz val="10"/>
            </rPr>
            <t>DELIVERS:</t>
          </r>
          <r>
            <rPr>
              <rFont val="Calibri"/>
              <sz val="10"/>
            </rPr>
            <t xml:space="preserve"> Manages travel, facilities, office administration and vendors.
</t>
          </r>
          <r>
            <rPr>
              <rFont val="Calibri"/>
              <b val="1"/>
              <sz val="10"/>
            </rPr>
            <t>ACCOUNTABLE FOR:</t>
          </r>
          <r>
            <rPr>
              <rFont val="Calibri"/>
              <sz val="10"/>
            </rPr>
            <t xml:space="preserve"> Deliverables under the statement of work
</t>
          </r>
          <r>
            <rPr>
              <rFont val="Calibri"/>
              <b val="1"/>
              <sz val="10"/>
            </rPr>
            <t>DECIDES ALONE:</t>
          </r>
          <r>
            <rPr>
              <rFont val="Calibri"/>
              <sz val="10"/>
            </rPr>
            <t xml:space="preserve"> Within the statement of work
</t>
          </r>
          <r>
            <rPr>
              <rFont val="Calibri"/>
              <b val="1"/>
              <sz val="10"/>
            </rPr>
            <t>SKILLS &amp; KNOWLEDGE · role-holders:</t>
          </r>
          <r>
            <rPr>
              <rFont val="Calibri"/>
              <sz val="10"/>
            </rPr>
            <t xml:space="preserve"> Administration
COMPETENCIES REQUIRED — must-have ★: Regulatory &amp; BFSI Domain · Stakeholder &amp; Client Management
</t>
          </r>
          <r>
            <rPr>
              <rFont val="Calibri"/>
              <b val="1"/>
              <sz val="10"/>
            </rPr>
            <t>OTHER FUNCTIONAL COMPETENCIES:</t>
          </r>
          <r>
            <rPr>
              <rFont val="Calibri"/>
              <sz val="10"/>
            </rPr>
            <t xml:space="preserve"> Process Improvement &amp; Quality Mindset · Advanced Excel &amp; Productivity Tools · Communication &amp; Presentation · Time, Priority &amp; Self-Management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Domain certifications · optional
</t>
          </r>
          <r>
            <rPr>
              <rFont val="Calibri"/>
              <b val="1"/>
              <sz val="10"/>
            </rPr>
            <t>SOURCE:</t>
          </r>
          <r>
            <rPr>
              <rFont val="Calibri"/>
              <sz val="10"/>
            </rPr>
            <t xml:space="preserve"> Framework only · fewer than 3 answered — 1 holder, 0 answered the survey; sub-family 2 answered; catalogue RC-003</t>
          </r>
        </is>
      </c>
      <c r="S12" s="119" t="inlineStr">
        <is>
          <r>
            <rPr>
              <rFont val="Calibri"/>
              <b val="1"/>
              <sz val="10"/>
            </rPr>
            <t>What the role answers for:</t>
          </r>
          <r>
            <rPr>
              <rFont val="Calibri"/>
              <sz val="10"/>
            </rPr>
            <t xml:space="preserve"> —.
Manager talent mapping — Latest rating: Not rated · manager.</t>
          </r>
        </is>
      </c>
      <c r="T12" s="120" t="n"/>
      <c r="U12" s="121" t="inlineStr">
        <is>
          <r>
            <rPr>
              <rFont val="Calibri"/>
              <sz val="10"/>
            </rPr>
            <t xml:space="preserve">Associate Consultant – Administration &amp; Facilities in Administration · Corporate, X1 — Consultant.
</t>
          </r>
          <r>
            <rPr>
              <rFont val="Calibri"/>
              <b val="1"/>
              <sz val="10"/>
            </rPr>
            <t>The work:</t>
          </r>
          <r>
            <rPr>
              <rFont val="Calibri"/>
              <sz val="10"/>
            </rPr>
            <t xml:space="preserve"> Manages travel, facilities, office administration and vendors.
At this level the role owns defined deliverables under a statement of work · ≈ A2–A3.
</t>
          </r>
          <r>
            <rPr>
              <rFont val="Calibri"/>
              <b val="1"/>
              <sz val="10"/>
            </rPr>
            <t>Key responsibilities:</t>
          </r>
          <r>
            <rPr>
              <rFont val="Calibri"/>
              <sz val="10"/>
            </rPr>
            <t xml:space="preserve"> Manages travel, facilities, office administration and vendors.</t>
          </r>
        </is>
      </c>
      <c r="V12" s="122" t="inlineStr">
        <is>
          <r>
            <rPr>
              <rFont val="Calibri"/>
              <sz val="10"/>
            </rPr>
            <t xml:space="preserve">External consultant — hire under a statement of work, priced by rate card. Scope: Associate Consultant – Administration &amp; Facilities.
</t>
          </r>
          <r>
            <rPr>
              <rFont val="Calibri"/>
              <b val="1"/>
              <sz val="10"/>
            </rPr>
            <t>Skills:</t>
          </r>
          <r>
            <rPr>
              <rFont val="Calibri"/>
              <sz val="10"/>
            </rPr>
            <t xml:space="preserve"> Administration</t>
          </r>
        </is>
      </c>
      <c r="W12" s="122" t="inlineStr">
        <is>
          <r>
            <rPr>
              <rFont val="Calibri"/>
              <b val="1"/>
              <sz val="10"/>
            </rPr>
            <t>Consultant:</t>
          </r>
          <r>
            <rPr>
              <rFont val="Calibri"/>
              <sz val="10"/>
            </rPr>
            <t xml:space="preserve"> competencies are set by the statement of work.</t>
          </r>
        </is>
      </c>
      <c r="X12" s="122" t="inlineStr">
        <is>
          <r>
            <rPr>
              <rFont val="Calibri"/>
              <b val="1"/>
              <sz val="10"/>
            </rPr>
            <t>Consultant:</t>
          </r>
          <r>
            <rPr>
              <rFont val="Calibri"/>
              <sz val="10"/>
            </rPr>
            <t xml:space="preserve"> assess against the statement of work — deliverables, rate card and references.</t>
          </r>
        </is>
      </c>
      <c r="Y12" s="123" t="inlineStr">
        <is>
          <t>—</t>
        </is>
      </c>
      <c r="Z12" s="124" t="n"/>
      <c r="AA12" s="125" t="n"/>
      <c r="AB12" s="126" t="n"/>
      <c r="AC12" s="124" t="n"/>
      <c r="AD12" s="125" t="n"/>
      <c r="AE12" s="126" t="n"/>
      <c r="AF12" s="124" t="n"/>
      <c r="AG12" s="125" t="n"/>
      <c r="AH12" s="126" t="n"/>
      <c r="AI12" s="124" t="n"/>
      <c r="AJ12" s="125" t="n"/>
      <c r="AK12" s="126" t="n"/>
      <c r="AL12" s="124" t="n"/>
      <c r="AM12" s="125" t="n"/>
      <c r="AN12" s="126" t="n"/>
      <c r="AO12" s="127" t="n"/>
      <c r="AP12" s="125" t="n"/>
      <c r="AQ12" s="126" t="n"/>
      <c r="AR12" s="126" t="inlineStr"/>
      <c r="AS12" s="128" t="inlineStr"/>
      <c r="AT12" s="129" t="inlineStr">
        <is>
          <r>
            <rPr>
              <rFont val="Calibri"/>
              <b val="1"/>
              <sz val="10"/>
            </rPr>
            <t>Not scored:</t>
          </r>
          <r>
            <rPr>
              <rFont val="Calibri"/>
              <sz val="10"/>
            </rPr>
            <t xml:space="preserve"> consultants sit outside the career ladder · X1–X3, by the scope of their statement of work.</t>
          </r>
        </is>
      </c>
      <c r="AU12" s="130" t="inlineStr">
        <is>
          <r>
            <rPr>
              <rFont val="Calibri"/>
              <b val="1"/>
              <sz val="10"/>
            </rPr>
            <t>Not scored:</t>
          </r>
          <r>
            <rPr>
              <rFont val="Calibri"/>
              <sz val="10"/>
            </rPr>
            <t xml:space="preserve"> consultants sit outside the career ladder · X1–X3, by the scope of their statement of work.</t>
          </r>
        </is>
      </c>
      <c r="AV12" s="130" t="inlineStr">
        <is>
          <t>Consultants sit outside the career ladder, at X1–X3 by the scope of their statement of work.</t>
        </is>
      </c>
      <c r="AW12" s="131" t="inlineStr">
        <is>
          <r>
            <rPr>
              <rFont val="Calibri"/>
              <b val="1"/>
              <sz val="10"/>
            </rPr>
            <t>Not scored:</t>
          </r>
          <r>
            <rPr>
              <rFont val="Calibri"/>
              <sz val="10"/>
            </rPr>
            <t xml:space="preserve"> consultants sit outside the career ladder · X1–X3, by the scope of their statement of work.</t>
          </r>
        </is>
      </c>
      <c r="AX12" s="132" t="inlineStr">
        <is>
          <r>
            <rPr>
              <rFont val="Calibri"/>
              <b val="1"/>
              <sz val="10"/>
            </rPr>
            <t>Not scored:</t>
          </r>
          <r>
            <rPr>
              <rFont val="Calibri"/>
              <sz val="10"/>
            </rPr>
            <t xml:space="preserve"> consultants sit outside the career ladder · X1–X3, by the scope of their statement of work.</t>
          </r>
        </is>
      </c>
      <c r="AY12" s="132" t="inlineStr">
        <is>
          <r>
            <rPr>
              <rFont val="Calibri"/>
              <b val="1"/>
              <sz val="10"/>
            </rPr>
            <t>Not scored:</t>
          </r>
          <r>
            <rPr>
              <rFont val="Calibri"/>
              <sz val="10"/>
            </rPr>
            <t xml:space="preserve"> consultants sit outside the career ladder · X1–X3, by the scope of their statement of work.</t>
          </r>
        </is>
      </c>
      <c r="AZ12" s="132" t="inlineStr">
        <is>
          <r>
            <rPr>
              <rFont val="Calibri"/>
              <b val="1"/>
              <sz val="10"/>
            </rPr>
            <t>Not scored:</t>
          </r>
          <r>
            <rPr>
              <rFont val="Calibri"/>
              <sz val="10"/>
            </rPr>
            <t xml:space="preserve"> consultants sit outside the career ladder · X1–X3, by the scope of their statement of work.</t>
          </r>
        </is>
      </c>
      <c r="BA12" s="132" t="inlineStr">
        <is>
          <r>
            <rPr>
              <rFont val="Calibri"/>
              <b val="1"/>
              <sz val="10"/>
            </rPr>
            <t>Not scored:</t>
          </r>
          <r>
            <rPr>
              <rFont val="Calibri"/>
              <sz val="10"/>
            </rPr>
            <t xml:space="preserve"> consultants sit outside the career ladder · X1–X3, by the scope of their statement of work.</t>
          </r>
        </is>
      </c>
      <c r="BB12" s="132" t="inlineStr">
        <is>
          <r>
            <rPr>
              <rFont val="Calibri"/>
              <b val="1"/>
              <sz val="10"/>
            </rPr>
            <t>Not scored:</t>
          </r>
          <r>
            <rPr>
              <rFont val="Calibri"/>
              <sz val="10"/>
            </rPr>
            <t xml:space="preserve"> consultants sit outside the career ladder · X1–X3, by the scope of their statement of work.</t>
          </r>
        </is>
      </c>
      <c r="BC12" s="133" t="inlineStr"/>
      <c r="BD12" s="134" t="inlineStr">
        <is>
          <t>✓ HRIS: 2.6 yrs, Undergraduate, 0 direct reports
✗ Survey: no response
✗ KRAs: none on file
✓ Manager mapping: rating
✗ Job description: not on file</t>
        </is>
      </c>
      <c r="BE12" s="134" t="inlineStr">
        <is>
          <r>
            <rPr>
              <rFont val="Calibri"/>
              <b val="1"/>
              <sz val="10"/>
            </rPr>
            <t>Consultant:</t>
          </r>
          <r>
            <rPr>
              <rFont val="Calibri"/>
              <sz val="10"/>
            </rPr>
            <t xml:space="preserve"> priced by rate card under the statement of work.</t>
          </r>
        </is>
      </c>
      <c r="BF12" s="134" t="inlineStr">
        <is>
          <t>—</t>
        </is>
      </c>
      <c r="BG12" s="134" t="inlineStr"/>
      <c r="BH12" s="134" t="inlineStr"/>
      <c r="BI12" s="135" t="n"/>
      <c r="BJ12" s="136" t="n"/>
      <c r="BK12" s="136" t="n"/>
      <c r="BL12" s="136" t="n"/>
      <c r="BM12" s="136" t="n"/>
      <c r="BN12" s="137" t="n"/>
      <c r="BO12" s="120" t="n"/>
      <c r="BP12" s="120" t="n"/>
      <c r="BQ12" s="120" t="n"/>
      <c r="BR12" s="120" t="n"/>
      <c r="BS12" s="120" t="n"/>
      <c r="BT12" s="120" t="n"/>
      <c r="BU12" s="120" t="n"/>
      <c r="BV12" s="120" t="n"/>
    </row>
    <row r="13" ht="340" customHeight="1">
      <c r="A13" s="109" t="inlineStr">
        <is>
          <t>IRIS0919</t>
        </is>
      </c>
      <c r="B13" s="110" t="inlineStr">
        <is>
          <t>Vineet Kandoi</t>
        </is>
      </c>
      <c r="C13" s="111" t="inlineStr">
        <is>
          <t>Finance</t>
        </is>
      </c>
      <c r="D13" s="111" t="inlineStr">
        <is>
          <t>Balachandran K</t>
        </is>
      </c>
      <c r="E13" s="112" t="n">
        <v>15</v>
      </c>
      <c r="F13" s="112" t="n">
        <v>15</v>
      </c>
      <c r="G13" s="111" t="inlineStr">
        <is>
          <t>CA + Senior Management Program</t>
        </is>
      </c>
      <c r="H13" s="113" t="inlineStr">
        <is>
          <t>Chief Financial Officer</t>
        </is>
      </c>
      <c r="I13" s="114" t="inlineStr">
        <is>
          <t>Chief Financial Officer</t>
        </is>
      </c>
      <c r="J13" s="114" t="inlineStr">
        <is>
          <t>Executive Leadership</t>
        </is>
      </c>
      <c r="K13" s="114" t="inlineStr">
        <is>
          <t>Enterprise Leadership</t>
        </is>
      </c>
      <c r="L13" s="115" t="inlineStr">
        <is>
          <t>Not in current mapping files</t>
        </is>
      </c>
      <c r="M13" s="116" t="inlineStr">
        <is>
          <t>E1</t>
        </is>
      </c>
      <c r="N13" s="145" t="inlineStr">
        <is>
          <t>CXO / President</t>
        </is>
      </c>
      <c r="O13" s="42" t="inlineStr">
        <is>
          <t>E</t>
        </is>
      </c>
      <c r="P13" s="114" t="inlineStr">
        <is>
          <t>People Manager</t>
        </is>
      </c>
      <c r="Q13" s="117" t="inlineStr">
        <is>
          <t>● Newly mapped</t>
        </is>
      </c>
      <c r="R13" s="118" t="inlineStr">
        <is>
          <r>
            <rPr>
              <rFont val="Calibri"/>
              <b val="1"/>
              <sz val="10"/>
            </rPr>
            <t>WHAT THE ROLE DOES:</t>
          </r>
          <r>
            <rPr>
              <rFont val="Calibri"/>
              <sz val="10"/>
            </rPr>
            <t xml:space="preserve"> Sets enterprise strategy; leads the executive team. At E1: an enterprise-wide function.
</t>
          </r>
          <r>
            <rPr>
              <rFont val="Calibri"/>
              <b val="1"/>
              <sz val="10"/>
            </rPr>
            <t>KEY RESPONSIBILITIES:</t>
          </r>
          <r>
            <rPr>
              <rFont val="Calibri"/>
              <sz val="10"/>
            </rPr>
            <t xml:space="preserve"> Sets enterprise strategy; leads the executive team; Enterprise-level functional strategy; Enterprise-wide functional results
</t>
          </r>
          <r>
            <rPr>
              <rFont val="Calibri"/>
              <b val="1"/>
              <sz val="10"/>
            </rPr>
            <t>DELIVERS:</t>
          </r>
          <r>
            <rPr>
              <rFont val="Calibri"/>
              <sz val="10"/>
            </rPr>
            <t xml:space="preserve"> Enterprise-wide functional results
</t>
          </r>
          <r>
            <rPr>
              <rFont val="Calibri"/>
              <b val="1"/>
              <sz val="10"/>
            </rPr>
            <t>DECIDES ALONE:</t>
          </r>
          <r>
            <rPr>
              <rFont val="Calibri"/>
              <sz val="10"/>
            </rPr>
            <t xml:space="preserve"> Sets enterprise priorities for the function
</t>
          </r>
          <r>
            <rPr>
              <rFont val="Calibri"/>
              <b val="1"/>
              <sz val="10"/>
            </rPr>
            <t>SKILLS &amp; KNOWLEDGE · role-holders:</t>
          </r>
          <r>
            <rPr>
              <rFont val="Calibri"/>
              <sz val="10"/>
            </rPr>
            <t xml:space="preserve"> Management · Sales
COMPETENCIES REQUIRED — must-have ★: Strategic Thinking &amp; Business Acumen · People Leadership &amp; Mentoring
</t>
          </r>
          <r>
            <rPr>
              <rFont val="Calibri"/>
              <b val="1"/>
              <sz val="10"/>
            </rPr>
            <t>OTHER FUNCTIONAL COMPETENCIES:</t>
          </r>
          <r>
            <rPr>
              <rFont val="Calibri"/>
              <sz val="10"/>
            </rPr>
            <t xml:space="preserve"> Stakeholder &amp; Client Management · Product, Platform &amp; Domain Knowledge · Regulatory &amp; BFSI Domain · Communication &amp; Presentation
</t>
          </r>
          <r>
            <rPr>
              <rFont val="Calibri"/>
              <b val="1"/>
              <sz val="10"/>
            </rPr>
            <t>PROFICIENCY NEEDED AT THIS LEVEL:</t>
          </r>
          <r>
            <rPr>
              <rFont val="Calibri"/>
              <sz val="10"/>
            </rPr>
            <t xml:space="preserve"> Core 5 · Future-ready 5 · Functional 4 · Leadership 5
</t>
          </r>
          <r>
            <rPr>
              <rFont val="Calibri"/>
              <b val="1"/>
              <sz val="10"/>
            </rPr>
            <t>CREDENTIALS:</t>
          </r>
          <r>
            <rPr>
              <rFont val="Calibri"/>
              <sz val="10"/>
            </rPr>
            <t xml:space="preserve"> MBA / PGDM · preferred at C+
</t>
          </r>
          <r>
            <rPr>
              <rFont val="Calibri"/>
              <b val="1"/>
              <sz val="10"/>
            </rPr>
            <t>SOURCE:</t>
          </r>
          <r>
            <rPr>
              <rFont val="Calibri"/>
              <sz val="10"/>
            </rPr>
            <t xml:space="preserve"> Framework only · fewer than 3 answered — 4 holders, 0 answered the survey; sub-family 0 answered; catalogue RC-092</t>
          </r>
        </is>
      </c>
      <c r="S13" s="119" t="inlineStr">
        <is>
          <r>
            <rPr>
              <rFont val="Calibri"/>
              <b val="1"/>
              <sz val="10"/>
            </rPr>
            <t>What the role answers for:</t>
          </r>
          <r>
            <rPr>
              <rFont val="Calibri"/>
              <sz val="10"/>
            </rPr>
            <t xml:space="preserve"> Enterprise-wide functional results.
</t>
          </r>
          <r>
            <rPr>
              <rFont val="Calibri"/>
              <b val="1"/>
              <sz val="10"/>
            </rPr>
            <t>Accountability &amp; Impact rating:</t>
          </r>
          <r>
            <rPr>
              <rFont val="Calibri"/>
              <sz val="10"/>
            </rPr>
            <t xml:space="preserve"> 11 of 12 · E1-level impact.
Leads 2 direct reports.
Manager talent mapping — Latest rating: Not rated · manager · 9-Box Grid placement: Not placed · manager.</t>
          </r>
        </is>
      </c>
      <c r="T13" s="120" t="n"/>
      <c r="U13" s="121" t="inlineStr">
        <is>
          <r>
            <rPr>
              <rFont val="Calibri"/>
              <sz val="10"/>
            </rPr>
            <t xml:space="preserve">Chief Financial Officer in Finance · Corporate, E1 — People Manager.
</t>
          </r>
          <r>
            <rPr>
              <rFont val="Calibri"/>
              <b val="1"/>
              <sz val="10"/>
            </rPr>
            <t>The work:</t>
          </r>
          <r>
            <rPr>
              <rFont val="Calibri"/>
              <sz val="10"/>
            </rPr>
            <t xml:space="preserve"> Sets enterprise strategy; leads the executive team.
At this level the role owns an enterprise-wide function.
</t>
          </r>
          <r>
            <rPr>
              <rFont val="Calibri"/>
              <b val="1"/>
              <sz val="10"/>
            </rPr>
            <t>Key responsibilities:</t>
          </r>
          <r>
            <rPr>
              <rFont val="Calibri"/>
              <sz val="10"/>
            </rPr>
            <t xml:space="preserve"> Sets enterprise strategy; leads the executive team; Enterprise-level functional strategy; Enterprise-wide functional results.
Leads 2 direct reports.</t>
          </r>
        </is>
      </c>
      <c r="V13" s="122" t="inlineStr">
        <is>
          <r>
            <rPr>
              <rFont val="Calibri"/>
              <b val="1"/>
              <sz val="10"/>
            </rPr>
            <t>Hire as:</t>
          </r>
          <r>
            <rPr>
              <rFont val="Calibri"/>
              <sz val="10"/>
            </rPr>
            <t xml:space="preserve"> CXO · functional chief — IRIS E1 CXO / President · People Manager
</t>
          </r>
          <r>
            <rPr>
              <rFont val="Calibri"/>
              <b val="1"/>
              <sz val="10"/>
            </rPr>
            <t>Market level:</t>
          </r>
          <r>
            <rPr>
              <rFont val="Calibri"/>
              <sz val="10"/>
            </rPr>
            <t xml:space="preserve"> E5 · SFIA 7
</t>
          </r>
          <r>
            <rPr>
              <rFont val="Calibri"/>
              <b val="1"/>
              <sz val="10"/>
            </rPr>
            <t>Experience:</t>
          </r>
          <r>
            <rPr>
              <rFont val="Calibri"/>
              <sz val="10"/>
            </rPr>
            <t xml:space="preserve"> 20+ yrs · Education: Postgraduate / professional qualification
</t>
          </r>
          <r>
            <rPr>
              <rFont val="Calibri"/>
              <b val="1"/>
              <sz val="10"/>
            </rPr>
            <t>Team size at this level:</t>
          </r>
          <r>
            <rPr>
              <rFont val="Calibri"/>
              <sz val="10"/>
            </rPr>
            <t xml:space="preserve"> 5–8 function heads
</t>
          </r>
          <r>
            <rPr>
              <rFont val="Calibri"/>
              <b val="1"/>
              <sz val="10"/>
            </rPr>
            <t>Equivalent titles at peers:</t>
          </r>
          <r>
            <rPr>
              <rFont val="Calibri"/>
              <sz val="10"/>
            </rPr>
            <t xml:space="preserve"> IRIS Vs Market Benchmark — Aon Radford / Mercer executive codes – E5 C-level · functional · IRIS Vs Competitor Benchmark — regtech / SaaS executive titles – CTO · CFO · CRO · CCO · COO
</t>
          </r>
          <r>
            <rPr>
              <rFont val="Calibri"/>
              <b val="1"/>
              <sz val="10"/>
            </rPr>
            <t>Credentials:</t>
          </r>
          <r>
            <rPr>
              <rFont val="Calibri"/>
              <sz val="10"/>
            </rPr>
            <t xml:space="preserve"> MBA / PGDM · preferred at C+
</t>
          </r>
          <r>
            <rPr>
              <rFont val="Calibri"/>
              <b val="1"/>
              <sz val="10"/>
            </rPr>
            <t>Must already know:</t>
          </r>
          <r>
            <rPr>
              <rFont val="Calibri"/>
              <sz val="10"/>
            </rPr>
            <t xml:space="preserve"> Governance, risk and regulatory accountability</t>
          </r>
        </is>
      </c>
      <c r="W13" s="122" t="inlineStr">
        <is>
          <r>
            <rPr>
              <rFont val="Calibri"/>
              <sz val="10"/>
            </rPr>
            <t xml:space="preserve">FUNCTIONAL — skill level 4 of 5 · Advanced
 ★ Strategic Thinking &amp; Business Acumen: Shapes strategy, pricing or investment choices
 ★ People Leadership &amp; Mentoring: Leads leaders; builds succession
 •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
CORE — skill level 5 of 5 · Expert
 •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
FUTURE-READY — skill level 5 of 5 · Expert
 • </t>
          </r>
          <r>
            <rPr>
              <rFont val="Calibri"/>
              <b val="1"/>
              <sz val="10"/>
            </rPr>
            <t>AI Literacy &amp; Augmentation:</t>
          </r>
          <r>
            <rPr>
              <rFont val="Calibri"/>
              <sz val="10"/>
            </rPr>
            <t xml:space="preserve"> Leads AI strategy and governance for a function or IRIS
 • </t>
          </r>
          <r>
            <rPr>
              <rFont val="Calibri"/>
              <b val="1"/>
              <sz val="10"/>
            </rPr>
            <t>Data Literacy &amp; Analytics:</t>
          </r>
          <r>
            <rPr>
              <rFont val="Calibri"/>
              <sz val="10"/>
            </rPr>
            <t xml:space="preserve"> Sets data strategy and data-driven decisions for a business
 • </t>
          </r>
          <r>
            <rPr>
              <rFont val="Calibri"/>
              <b val="1"/>
              <sz val="10"/>
            </rPr>
            <t>Digital Fluency &amp; Automation:</t>
          </r>
          <r>
            <rPr>
              <rFont val="Calibri"/>
              <sz val="10"/>
            </rPr>
            <t xml:space="preserve"> Drives digital transformation across a business
 • </t>
          </r>
          <r>
            <rPr>
              <rFont val="Calibri"/>
              <b val="1"/>
              <sz val="10"/>
            </rPr>
            <t>Innovation &amp; Continuous Improvement:</t>
          </r>
          <r>
            <rPr>
              <rFont val="Calibri"/>
              <sz val="10"/>
            </rPr>
            <t xml:space="preserve"> Creates new products, methods or business models
LEADERSHIP — skill level 5 of 5 · Expert
 •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
</t>
          </r>
          <r>
            <rPr>
              <rFont val="Calibri"/>
              <b val="1"/>
              <sz val="10"/>
            </rPr>
            <t>SKILLS · from role-holders and HRIS:</t>
          </r>
          <r>
            <rPr>
              <rFont val="Calibri"/>
              <sz val="10"/>
            </rPr>
            <t xml:space="preserve"> Management · Sales
★ = must-have for the family. Scale: 1 Awareness · 2 Working · 3 Practitioner · 4 Advanced · 5 Expert.</t>
          </r>
        </is>
      </c>
      <c r="X13" s="122" t="inlineStr">
        <is>
          <r>
            <rPr>
              <rFont val="Calibri"/>
              <sz val="10"/>
            </rPr>
            <t xml:space="preserve">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t>
          </r>
          <r>
            <rPr>
              <rFont val="Calibri"/>
              <b val="1"/>
              <sz val="10"/>
            </rPr>
            <t>Fit check:</t>
          </r>
          <r>
            <rPr>
              <rFont val="Calibri"/>
              <sz val="10"/>
            </rPr>
            <t xml:space="preserve"> Why this role, why IRIS · regulatory reporting / XBRL / regtech, and what would you change in your first 90 days?</t>
          </r>
        </is>
      </c>
      <c r="Y13" s="123" t="inlineStr">
        <is>
          <t>Corporate · Finance · Bands D–E · Leadership</t>
        </is>
      </c>
      <c r="Z13" s="124" t="n">
        <v>11</v>
      </c>
      <c r="AA13" s="125">
        <f>IFERROR(INDEX(WM_C,MATCH($Y13,WM_KEY,0)),"")</f>
        <v>0.37</v>
      </c>
      <c r="AB13" s="126">
        <f>IF(Z13="","",Z13*AA13)</f>
        <v>4.07</v>
      </c>
      <c r="AC13" s="124" t="n">
        <v>11</v>
      </c>
      <c r="AD13" s="125">
        <f>IFERROR(INDEX(WM_AU,MATCH($Y13,WM_KEY,0)),"")</f>
        <v>0.19</v>
      </c>
      <c r="AE13" s="126">
        <f>IF(AC13="","",AC13*AD13)</f>
        <v>2.09</v>
      </c>
      <c r="AF13" s="124" t="n">
        <v>11</v>
      </c>
      <c r="AG13" s="125">
        <f>IFERROR(INDEX(WM_AC,MATCH($Y13,WM_KEY,0)),"")</f>
        <v>0.11</v>
      </c>
      <c r="AH13" s="126">
        <f>IF(AF13="","",AF13*AG13)</f>
        <v>1.21</v>
      </c>
      <c r="AI13" s="124" t="n">
        <v>11</v>
      </c>
      <c r="AJ13" s="125">
        <f>IFERROR(INDEX(WM_L,MATCH($Y13,WM_KEY,0)),"")</f>
        <v>0.2</v>
      </c>
      <c r="AK13" s="126">
        <f>IF(AI13="","",AI13*AJ13)</f>
        <v>2.2</v>
      </c>
      <c r="AL13" s="124" t="n">
        <v>9</v>
      </c>
      <c r="AM13" s="125">
        <f>IFERROR(INDEX(WM_E,MATCH($Y13,WM_KEY,0)),"")</f>
        <v>0.05</v>
      </c>
      <c r="AN13" s="126">
        <f>IF(AL13="","",AL13*AM13)</f>
        <v>0.45</v>
      </c>
      <c r="AO13" s="127" t="n">
        <v>11</v>
      </c>
      <c r="AP13" s="125">
        <f>IFERROR(INDEX(WM_BI,MATCH($Y13,WM_KEY,0)),"")</f>
        <v>0.08</v>
      </c>
      <c r="AQ13" s="126">
        <f>IF(AO13="","",AO13*AP13)</f>
        <v>0.88</v>
      </c>
      <c r="AR13" s="126">
        <f>IF(COUNT(AB13,AE13,AH13,AK13,AN13,AQ13)&lt;6,"",SUM(AB13,AE13,AH13,AK13,AN13,AQ13))</f>
        <v>10.9</v>
      </c>
      <c r="AS13" s="128" t="str">
        <f>IF(AR13="","",INDEX({"A1","A2","A3","B1","B2","B3","C1","C2","D1","D2","E1","E2"},MAX(1,MIN(12,ROUND(AR13,0)))))</f>
        <v>E1</v>
      </c>
      <c r="AT13" s="129" t="inlineStr">
        <is>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t>
          </r>
        </is>
      </c>
      <c r="AU13" s="130" t="inlineStr">
        <is>
          <r>
            <rPr>
              <rFont val="Calibri"/>
              <b val="1"/>
              <sz val="10"/>
            </rPr>
            <t>At build:</t>
          </r>
          <r>
            <rPr>
              <rFont val="Calibri"/>
              <sz val="10"/>
            </rPr>
            <t xml:space="preserve"> Complexity 4.07 + Autonomy 2.09 + Accountability 1.21 + Leadership 2.20 + Experience 0.45 + Business impact 0.88
= 10.90 points → nearest level 11 = E1
</t>
          </r>
          <r>
            <rPr>
              <rFont val="Calibri"/>
              <b val="1"/>
              <sz val="10"/>
            </rPr>
            <t>Final level:</t>
          </r>
          <r>
            <rPr>
              <rFont val="Calibri"/>
              <sz val="10"/>
            </rPr>
            <t xml:space="preserve"> E1 · same as the score</t>
          </r>
        </is>
      </c>
      <c r="AV13" s="130" t="inlineStr">
        <is>
          <r>
            <rPr>
              <rFont val="Calibri"/>
              <b val="1"/>
              <sz val="10"/>
            </rPr>
            <t>No rule applied:</t>
          </r>
          <r>
            <rPr>
              <rFont val="Calibri"/>
              <sz val="10"/>
            </rPr>
            <t xml:space="preserve"> the score decides.</t>
          </r>
        </is>
      </c>
      <c r="AW13" s="140" t="inlineStr">
        <is>
          <r>
            <rPr>
              <rFont val="Calibri"/>
              <color rgb="009C0006"/>
              <sz val="10"/>
            </rPr>
            <t xml:space="preserve">Rated 11 of 12
</t>
          </r>
          <r>
            <rPr>
              <rFont val="Calibri"/>
              <b val="1"/>
              <color rgb="009C0006"/>
              <sz val="10"/>
            </rPr>
            <t>Start:</t>
          </r>
          <r>
            <rPr>
              <rFont val="Calibri"/>
              <color rgb="009C0006"/>
              <sz val="10"/>
            </rPr>
            <t xml:space="preserve"> 11.0 · CXO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E1 = Enterprise-level functional strategy</t>
          </r>
        </is>
      </c>
      <c r="AX13" s="141" t="inlineStr">
        <is>
          <r>
            <rPr>
              <rFont val="Calibri"/>
              <color rgb="009C0006"/>
              <sz val="10"/>
            </rPr>
            <t xml:space="preserve">Rated 11 of 12
</t>
          </r>
          <r>
            <rPr>
              <rFont val="Calibri"/>
              <b val="1"/>
              <color rgb="009C0006"/>
              <sz val="10"/>
            </rPr>
            <t>Start:</t>
          </r>
          <r>
            <rPr>
              <rFont val="Calibri"/>
              <color rgb="009C0006"/>
              <sz val="10"/>
            </rPr>
            <t xml:space="preserve"> 11.0 · CXO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E1 = Sets enterprise priorities for the function</t>
          </r>
        </is>
      </c>
      <c r="AY13" s="141" t="inlineStr">
        <is>
          <r>
            <rPr>
              <rFont val="Calibri"/>
              <color rgb="009C0006"/>
              <sz val="10"/>
            </rPr>
            <t xml:space="preserve">Rated 11 of 12
</t>
          </r>
          <r>
            <rPr>
              <rFont val="Calibri"/>
              <b val="1"/>
              <color rgb="009C0006"/>
              <sz val="10"/>
            </rPr>
            <t>Start:</t>
          </r>
          <r>
            <rPr>
              <rFont val="Calibri"/>
              <color rgb="009C0006"/>
              <sz val="10"/>
            </rPr>
            <t xml:space="preserve"> 11.0 · CXO title; 2 direct reports, 16 people in the organisation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E1 = Enterprise-wide functional results</t>
          </r>
        </is>
      </c>
      <c r="AZ13" s="141" t="inlineStr">
        <is>
          <r>
            <rPr>
              <rFont val="Calibri"/>
              <color rgb="009C0006"/>
              <sz val="10"/>
            </rPr>
            <t xml:space="preserve">Rated 11 of 12
</t>
          </r>
          <r>
            <rPr>
              <rFont val="Calibri"/>
              <b val="1"/>
              <color rgb="009C0006"/>
              <sz val="10"/>
            </rPr>
            <t>Start:</t>
          </r>
          <r>
            <rPr>
              <rFont val="Calibri"/>
              <color rgb="009C0006"/>
              <sz val="10"/>
            </rPr>
            <t xml:space="preserve"> 11.0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2 direct reports · People Manager
</t>
          </r>
          <r>
            <rPr>
              <rFont val="Calibri"/>
              <b val="1"/>
              <color rgb="009C0006"/>
              <sz val="10"/>
            </rPr>
            <t>Market:</t>
          </r>
          <r>
            <rPr>
              <rFont val="Calibri"/>
              <color rgb="009C0006"/>
              <sz val="10"/>
            </rPr>
            <t xml:space="preserve"> E1 = Shapes enterprise strategy</t>
          </r>
        </is>
      </c>
      <c r="BA13" s="132" t="inlineStr">
        <is>
          <r>
            <rPr>
              <rFont val="Calibri"/>
              <sz val="10"/>
            </rPr>
            <t xml:space="preserve">Rated 9 of 12
</t>
          </r>
          <r>
            <rPr>
              <rFont val="Calibri"/>
              <b val="1"/>
              <sz val="10"/>
            </rPr>
            <t>Experience:</t>
          </r>
          <r>
            <rPr>
              <rFont val="Calibri"/>
              <sz val="10"/>
            </rPr>
            <t xml:space="preserve"> 15.0 yrs total · 15.0 at IRIS; none recorded before IRIS = 8.2 on the experience scale
</t>
          </r>
          <r>
            <rPr>
              <rFont val="Calibri"/>
              <b val="1"/>
              <sz val="10"/>
            </rPr>
            <t>Qualification:</t>
          </r>
          <r>
            <rPr>
              <rFont val="Calibri"/>
              <sz val="10"/>
            </rPr>
            <t xml:space="preserve"> CA + Senior Management Program · professional, relevant to the work → +1.0</t>
          </r>
        </is>
      </c>
      <c r="BB13" s="132" t="inlineStr">
        <is>
          <r>
            <rPr>
              <rFont val="Calibri"/>
              <sz val="10"/>
            </rPr>
            <t xml:space="preserve">Rated 11 of 12 — a starting estimate.
</t>
          </r>
          <r>
            <rPr>
              <rFont val="Calibri"/>
              <b val="1"/>
              <sz val="10"/>
            </rPr>
            <t>Start:</t>
          </r>
          <r>
            <rPr>
              <rFont val="Calibri"/>
              <sz val="10"/>
            </rPr>
            <t xml:space="preserve"> 11,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E1 = Shapes company-wide results through a function</t>
          </r>
        </is>
      </c>
      <c r="BC13" s="142" t="inlineStr">
        <is>
          <t>• Survey response or KRAs describing the work · nothing on file — Employee + manager</t>
        </is>
      </c>
      <c r="BD13" s="134" t="inlineStr">
        <is>
          <t>✓ HRIS: 15.0 yrs, CA + Senior Management Program, 2 direct reports
✗ Survey: no response
✗ KRAs: none on file
✓ Manager mapping: rating, 9-box
✗ Job description: not on file</t>
        </is>
      </c>
      <c r="BE13" s="134" t="inlineStr">
        <is>
          <r>
            <rPr>
              <rFont val="Calibri"/>
              <b val="1"/>
              <sz val="10"/>
            </rPr>
            <t>Market level:</t>
          </r>
          <r>
            <rPr>
              <rFont val="Calibri"/>
              <sz val="10"/>
            </rPr>
            <t xml:space="preserve"> E5 · SFIA 7
</t>
          </r>
          <r>
            <rPr>
              <rFont val="Calibri"/>
              <b val="1"/>
              <sz val="10"/>
            </rPr>
            <t>Typical title:</t>
          </r>
          <r>
            <rPr>
              <rFont val="Calibri"/>
              <sz val="10"/>
            </rPr>
            <t xml:space="preserve"> CXO · functional chief
</t>
          </r>
          <r>
            <rPr>
              <rFont val="Calibri"/>
              <b val="1"/>
              <sz val="10"/>
            </rPr>
            <t>At peers:</t>
          </r>
          <r>
            <rPr>
              <rFont val="Calibri"/>
              <sz val="10"/>
            </rPr>
            <t xml:space="preserve"> IRIS Vs Market Benchmark — Aon Radford / Mercer executive codes: E5 C-level · functional · IRIS Vs Competitor Benchmark — regtech / SaaS executive titles: CTO · CFO · CRO · CCO · COO
</t>
          </r>
          <r>
            <rPr>
              <rFont val="Calibri"/>
              <b val="1"/>
              <sz val="10"/>
            </rPr>
            <t>Standard:</t>
          </r>
          <r>
            <rPr>
              <rFont val="Calibri"/>
              <sz val="10"/>
            </rPr>
            <t xml:space="preserve"> Aon Radford executive levels E1–E6; Mercer ET1–ET3</t>
          </r>
        </is>
      </c>
      <c r="BF13" s="134" t="inlineStr">
        <is>
          <t>Low</t>
        </is>
      </c>
      <c r="BG13" s="134" t="inlineStr">
        <is>
          <t>• 15.0 yrs on record normally fits C2–D1, but the reporting structure / mandate clearly shows the role → level kept; HR to confirm the experience on record
• No survey answers or KRA — the role factors rest on designation and reporting lines only</t>
        </is>
      </c>
      <c r="BH13" s="134" t="inlineStr"/>
      <c r="BI13" s="135" t="n"/>
      <c r="BJ13" s="136" t="n"/>
      <c r="BK13" s="136" t="n"/>
      <c r="BL13" s="136" t="n"/>
      <c r="BM13" s="136" t="n"/>
      <c r="BN13" s="137" t="n"/>
      <c r="BO13" s="120" t="n"/>
      <c r="BP13" s="120" t="n"/>
      <c r="BQ13" s="120" t="n"/>
      <c r="BR13" s="120" t="n"/>
      <c r="BS13" s="120" t="n"/>
      <c r="BT13" s="120" t="n"/>
      <c r="BU13" s="120" t="n"/>
      <c r="BV13" s="120" t="n">
        <v>11</v>
      </c>
    </row>
    <row r="14" ht="340" customHeight="1">
      <c r="A14" s="109" t="inlineStr">
        <is>
          <t>IRIS1918</t>
        </is>
      </c>
      <c r="B14" s="110" t="inlineStr">
        <is>
          <t>Nishant Gupta</t>
        </is>
      </c>
      <c r="C14" s="111" t="inlineStr">
        <is>
          <t>Finance</t>
        </is>
      </c>
      <c r="D14" s="111" t="inlineStr">
        <is>
          <t>Vineet Kandoi</t>
        </is>
      </c>
      <c r="E14" s="112" t="n">
        <v>7.3</v>
      </c>
      <c r="F14" s="112" t="n">
        <v>5.3</v>
      </c>
      <c r="G14" s="111" t="inlineStr">
        <is>
          <t>CA</t>
        </is>
      </c>
      <c r="H14" s="138" t="inlineStr">
        <is>
          <t>Head Finance &amp; Accounts</t>
        </is>
      </c>
      <c r="I14" s="115" t="inlineStr">
        <is>
          <t>Associate Head – Finance &amp; Accounts</t>
        </is>
      </c>
      <c r="J14" s="114" t="inlineStr">
        <is>
          <t>Finance &amp; Accounts</t>
        </is>
      </c>
      <c r="K14" s="114" t="inlineStr">
        <is>
          <t>Finance Leadership</t>
        </is>
      </c>
      <c r="L14" s="115" t="inlineStr">
        <is>
          <t>Not in current mapping files</t>
        </is>
      </c>
      <c r="M14" s="116" t="inlineStr">
        <is>
          <t>C1</t>
        </is>
      </c>
      <c r="N14" s="146" t="inlineStr">
        <is>
          <t>Associate Head</t>
        </is>
      </c>
      <c r="O14" s="33" t="inlineStr">
        <is>
          <t>C</t>
        </is>
      </c>
      <c r="P14" s="114" t="inlineStr">
        <is>
          <t>People Manager</t>
        </is>
      </c>
      <c r="Q14" s="117" t="inlineStr">
        <is>
          <t>● Newly mapped</t>
        </is>
      </c>
      <c r="R14" s="118" t="inlineStr">
        <is>
          <r>
            <rPr>
              <rFont val="Calibri"/>
              <b val="1"/>
              <sz val="10"/>
            </rPr>
            <t>WHAT THE ROLE DOES:</t>
          </r>
          <r>
            <rPr>
              <rFont val="Calibri"/>
              <sz val="10"/>
            </rPr>
            <t xml:space="preserve"> Leads the finance &amp; accounts function. At C1: a sub-function, or principal authority across products.
</t>
          </r>
          <r>
            <rPr>
              <rFont val="Calibri"/>
              <b val="1"/>
              <sz val="10"/>
            </rPr>
            <t>KEY RESPONSIBILITIES:</t>
          </r>
          <r>
            <rPr>
              <rFont val="Calibri"/>
              <sz val="10"/>
            </rPr>
            <t xml:space="preserve"> Leads the finance &amp; accounts function; Ambiguous, cross-product problems; Sub-function results or domain quality across products
</t>
          </r>
          <r>
            <rPr>
              <rFont val="Calibri"/>
              <b val="1"/>
              <sz val="10"/>
            </rPr>
            <t>DELIVERS:</t>
          </r>
          <r>
            <rPr>
              <rFont val="Calibri"/>
              <sz val="10"/>
            </rPr>
            <t xml:space="preserve"> Sub-function results or domain quality across products
</t>
          </r>
          <r>
            <rPr>
              <rFont val="Calibri"/>
              <b val="1"/>
              <sz val="10"/>
            </rPr>
            <t>DECIDES ALONE:</t>
          </r>
          <r>
            <rPr>
              <rFont val="Calibri"/>
              <sz val="10"/>
            </rPr>
            <t xml:space="preserve"> Sets direction for a sub-function or domain
</t>
          </r>
          <r>
            <rPr>
              <rFont val="Calibri"/>
              <b val="1"/>
              <sz val="10"/>
            </rPr>
            <t>SKILLS &amp; KNOWLEDGE · role-holders:</t>
          </r>
          <r>
            <rPr>
              <rFont val="Calibri"/>
              <sz val="10"/>
            </rPr>
            <t xml:space="preserve"> Accounting
COMPETENCIES REQUIRED — must-have ★: Accounting &amp; Reporting Standards · IFRS/US GAAP · Advanced Excel &amp; Productivity Tools
</t>
          </r>
          <r>
            <rPr>
              <rFont val="Calibri"/>
              <b val="1"/>
              <sz val="10"/>
            </rPr>
            <t>OTHER FUNCTIONAL COMPETENCIES:</t>
          </r>
          <r>
            <rPr>
              <rFont val="Calibri"/>
              <sz val="10"/>
            </rPr>
            <t xml:space="preserve"> Regulatory &amp; BFSI Domain · Data Analytics, BI &amp; Visualisation · Process Improvement &amp; Quality Mindset · Strategic Thinking &amp; Business Acumen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CA / CMA / ACCA / CFA / IFRS certificate; MOS Excel · optional
</t>
          </r>
          <r>
            <rPr>
              <rFont val="Calibri"/>
              <b val="1"/>
              <sz val="10"/>
            </rPr>
            <t>SOURCE:</t>
          </r>
          <r>
            <rPr>
              <rFont val="Calibri"/>
              <sz val="10"/>
            </rPr>
            <t xml:space="preserve"> Framework only · fewer than 3 answered — 2 holders, 0 answered the survey; sub-family 0 answered; catalogue RC-097</t>
          </r>
        </is>
      </c>
      <c r="S14" s="119"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6.5 of 12 · B3-level impact.
Leads 3 direct reports.
Manager talent mapping — Latest rating: Not rated · manager · 9-Box Grid placement: Not placed · manager.</t>
          </r>
        </is>
      </c>
      <c r="T14" s="120" t="n"/>
      <c r="U14" s="121" t="inlineStr">
        <is>
          <r>
            <rPr>
              <rFont val="Calibri"/>
              <sz val="10"/>
            </rPr>
            <t xml:space="preserve">Associate Head – Finance &amp; Accounts in Finance · Corporate, C1 — People Manager.
</t>
          </r>
          <r>
            <rPr>
              <rFont val="Calibri"/>
              <b val="1"/>
              <sz val="10"/>
            </rPr>
            <t>The work:</t>
          </r>
          <r>
            <rPr>
              <rFont val="Calibri"/>
              <sz val="10"/>
            </rPr>
            <t xml:space="preserve"> Leads the finance &amp; accounts function.
At this level the role owns a sub-function, or principal authority across products.
</t>
          </r>
          <r>
            <rPr>
              <rFont val="Calibri"/>
              <b val="1"/>
              <sz val="10"/>
            </rPr>
            <t>Key responsibilities:</t>
          </r>
          <r>
            <rPr>
              <rFont val="Calibri"/>
              <sz val="10"/>
            </rPr>
            <t xml:space="preserve"> Leads the finance &amp; accounts function; Ambiguous, cross-product problems; Sub-function results or domain quality across products.
Leads 3 direct reports.</t>
          </r>
        </is>
      </c>
      <c r="V14" s="122" t="inlineStr">
        <is>
          <r>
            <rPr>
              <rFont val="Calibri"/>
              <b val="1"/>
              <sz val="10"/>
            </rPr>
            <t>Hire as:</t>
          </r>
          <r>
            <rPr>
              <rFont val="Calibri"/>
              <sz val="10"/>
            </rPr>
            <t xml:space="preserve"> Head of Function / AGM — IRIS C1 Associate Head · People Manager
</t>
          </r>
          <r>
            <rPr>
              <rFont val="Calibri"/>
              <b val="1"/>
              <sz val="10"/>
            </rPr>
            <t>Market level:</t>
          </r>
          <r>
            <rPr>
              <rFont val="Calibri"/>
              <sz val="10"/>
            </rPr>
            <t xml:space="preserve"> P6 / M5 · SFIA 5–6
</t>
          </r>
          <r>
            <rPr>
              <rFont val="Calibri"/>
              <b val="1"/>
              <sz val="10"/>
            </rPr>
            <t>Experience:</t>
          </r>
          <r>
            <rPr>
              <rFont val="Calibri"/>
              <sz val="10"/>
            </rPr>
            <t xml:space="preserve"> 10–14 yrs · Education: B.Com / M.Com / CA / CMA
</t>
          </r>
          <r>
            <rPr>
              <rFont val="Calibri"/>
              <b val="1"/>
              <sz val="10"/>
            </rPr>
            <t>Team size at this level:</t>
          </r>
          <r>
            <rPr>
              <rFont val="Calibri"/>
              <sz val="10"/>
            </rPr>
            <t xml:space="preserve"> 5–8, mostly managers
</t>
          </r>
          <r>
            <rPr>
              <rFont val="Calibri"/>
              <b val="1"/>
              <sz val="10"/>
            </rPr>
            <t>Equivalent titles at peers:</t>
          </r>
          <r>
            <rPr>
              <rFont val="Calibri"/>
              <sz val="10"/>
            </rPr>
            <t xml:space="preserve"> Atlassian company-wide P-levels – P60 Accountant · Principal · IRIS Vs Competitor Benchmark — finance ladder – Associate Director Finance
</t>
          </r>
          <r>
            <rPr>
              <rFont val="Calibri"/>
              <b val="1"/>
              <sz val="10"/>
            </rPr>
            <t>Credentials:</t>
          </r>
          <r>
            <rPr>
              <rFont val="Calibri"/>
              <sz val="10"/>
            </rPr>
            <t xml:space="preserve"> CA / CMA / ACCA / CFA / IFRS certificate; MOS Excel · optional
</t>
          </r>
          <r>
            <rPr>
              <rFont val="Calibri"/>
              <b val="1"/>
              <sz val="10"/>
            </rPr>
            <t>Must already know:</t>
          </r>
          <r>
            <rPr>
              <rFont val="Calibri"/>
              <sz val="10"/>
            </rPr>
            <t xml:space="preserve"> Statutory compliance · GST, TDS, audit</t>
          </r>
        </is>
      </c>
      <c r="W14" s="122" t="inlineStr">
        <is>
          <r>
            <rPr>
              <rFont val="Calibri"/>
              <sz val="10"/>
            </rPr>
            <t xml:space="preserve">FUNCTIONAL — skill level 4 of 5 · Advanced
 ★ Accounting &amp; Reporting Standards · IFRS/US GAAP: Advises on complex disclosures and standards changes
 ★ Advanced Excel &amp; Productivity Tools: Builds templates and automation used by the team
 • </t>
          </r>
          <r>
            <rPr>
              <rFont val="Calibri"/>
              <b val="1"/>
              <sz val="10"/>
            </rPr>
            <t>Regulatory &amp; BFSI Domain:</t>
          </r>
          <r>
            <rPr>
              <rFont val="Calibri"/>
              <sz val="10"/>
            </rPr>
            <t xml:space="preserve"> Interprets new regulation; advises clients and product
 • </t>
          </r>
          <r>
            <rPr>
              <rFont val="Calibri"/>
              <b val="1"/>
              <sz val="10"/>
            </rPr>
            <t>Data Analytics, BI &amp; Visualisation:</t>
          </r>
          <r>
            <rPr>
              <rFont val="Calibri"/>
              <sz val="10"/>
            </rPr>
            <t xml:space="preserve"> Defines metrics and analytics approach for a business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Accounting
★ = must-have for the family. Scale: 1 Awareness · 2 Working · 3 Practitioner · 4 Advanced · 5 Expert.</t>
          </r>
        </is>
      </c>
      <c r="X14" s="122" t="inlineStr">
        <is>
          <r>
            <rPr>
              <rFont val="Calibri"/>
              <sz val="10"/>
            </rPr>
            <t xml:space="preserve">Draft — generated from the framework; hiring-manager review pending · HR Super Master, sheet T5.
1. [Accounting &amp; Reporting Standards · IFRS/US GAAP · level 4] Tell me about recent work that shows this: "Advises on complex disclosures and standards changes". What exactly did you do, how, and what was the result? Assess with: Accounting test.
2. [Advanced Excel &amp; Productivity Tools · level 4] Tell me about recent work that shows this: "Builds templates and automation used by the team". What exactly did you do, how, and what was the result? Assess with: Practical test.
3. [Regulatory &amp; BFSI Domain · level 4] Give an example that shows you can do this: "Interprets new regulation; advises clients and product". Assess with: Domain interview.
4. [Data Analytics, BI &amp; Visualisation · level 4] Give an example that shows you can do this: "Defines metrics and analytics approach for a business". Assess with: Data case / practical.
5. [Process Improvement &amp; Quality Mindset · level 4] Give an example that shows you can do this: "Redesigns team processes; reduces error rates measurably". Assess with: Work sample / case.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14" s="123" t="inlineStr">
        <is>
          <t>Corporate · Finance · Band C · Head / Manager</t>
        </is>
      </c>
      <c r="Z14" s="124" t="n">
        <v>8</v>
      </c>
      <c r="AA14" s="125">
        <f>IFERROR(INDEX(WM_C,MATCH($Y14,WM_KEY,0)),"")</f>
        <v>0.38</v>
      </c>
      <c r="AB14" s="126">
        <f>IF(Z14="","",Z14*AA14)</f>
        <v>3.04</v>
      </c>
      <c r="AC14" s="124" t="n">
        <v>8</v>
      </c>
      <c r="AD14" s="125">
        <f>IFERROR(INDEX(WM_AU,MATCH($Y14,WM_KEY,0)),"")</f>
        <v>0.18</v>
      </c>
      <c r="AE14" s="126">
        <f>IF(AC14="","",AC14*AD14)</f>
        <v>1.44</v>
      </c>
      <c r="AF14" s="124" t="n">
        <v>6.5</v>
      </c>
      <c r="AG14" s="125">
        <f>IFERROR(INDEX(WM_AC,MATCH($Y14,WM_KEY,0)),"")</f>
        <v>0.11</v>
      </c>
      <c r="AH14" s="126">
        <f>IF(AF14="","",AF14*AG14)</f>
        <v>0.715</v>
      </c>
      <c r="AI14" s="124" t="n">
        <v>7</v>
      </c>
      <c r="AJ14" s="125">
        <f>IFERROR(INDEX(WM_L,MATCH($Y14,WM_KEY,0)),"")</f>
        <v>0.15</v>
      </c>
      <c r="AK14" s="126">
        <f>IF(AI14="","",AI14*AJ14)</f>
        <v>1.05</v>
      </c>
      <c r="AL14" s="124" t="n">
        <v>6</v>
      </c>
      <c r="AM14" s="125">
        <f>IFERROR(INDEX(WM_E,MATCH($Y14,WM_KEY,0)),"")</f>
        <v>0.1</v>
      </c>
      <c r="AN14" s="126">
        <f>IF(AL14="","",AL14*AM14)</f>
        <v>0.6</v>
      </c>
      <c r="AO14" s="127" t="n">
        <v>6.5</v>
      </c>
      <c r="AP14" s="125">
        <f>IFERROR(INDEX(WM_BI,MATCH($Y14,WM_KEY,0)),"")</f>
        <v>0.08</v>
      </c>
      <c r="AQ14" s="126">
        <f>IF(AO14="","",AO14*AP14)</f>
        <v>0.52</v>
      </c>
      <c r="AR14" s="126">
        <f>IF(COUNT(AB14,AE14,AH14,AK14,AN14,AQ14)&lt;6,"",SUM(AB14,AE14,AH14,AK14,AN14,AQ14))</f>
        <v>7.365</v>
      </c>
      <c r="AS14" s="128" t="str">
        <f>IF(AR14="","",INDEX({"A1","A2","A3","B1","B2","B3","C1","C2","D1","D2","E1","E2"},MAX(1,MIN(12,ROUND(AR14,0)))))</f>
        <v>C1</v>
      </c>
      <c r="AT14" s="129" t="inlineStr">
        <is>
          <r>
            <rPr>
              <rFont val="Calibri"/>
              <b val="1"/>
              <sz val="10"/>
            </rPr>
            <t>Weights:</t>
          </r>
          <r>
            <rPr>
              <rFont val="Calibri"/>
              <sz val="10"/>
            </rPr>
            <t xml:space="preserve"> Complexity 38% · Autonomy 18% · Leadership 15% · Accountability 11% · Experience 10% · Business impact 8%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14" s="130" t="inlineStr">
        <is>
          <r>
            <rPr>
              <rFont val="Calibri"/>
              <b val="1"/>
              <sz val="10"/>
            </rPr>
            <t>At build:</t>
          </r>
          <r>
            <rPr>
              <rFont val="Calibri"/>
              <sz val="10"/>
            </rPr>
            <t xml:space="preserve"> Complexity 3.04 + Autonomy 1.44 + Accountability 0.71 + Leadership 1.05 + Experience 0.60 + Business impact 0.52
= 7.37 points → nearest level 7 = C1
</t>
          </r>
          <r>
            <rPr>
              <rFont val="Calibri"/>
              <b val="1"/>
              <sz val="10"/>
            </rPr>
            <t>Final level:</t>
          </r>
          <r>
            <rPr>
              <rFont val="Calibri"/>
              <sz val="10"/>
            </rPr>
            <t xml:space="preserve"> C1 · same as the score</t>
          </r>
        </is>
      </c>
      <c r="AV14" s="130" t="inlineStr">
        <is>
          <r>
            <rPr>
              <rFont val="Calibri"/>
              <b val="1"/>
              <sz val="10"/>
            </rPr>
            <t>No rule applied:</t>
          </r>
          <r>
            <rPr>
              <rFont val="Calibri"/>
              <sz val="10"/>
            </rPr>
            <t xml:space="preserve"> the score decides.</t>
          </r>
        </is>
      </c>
      <c r="AW14" s="140"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Function-wide or company-wide problems; creates methods and standards</t>
          </r>
        </is>
      </c>
      <c r="AX14" s="141"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Sets direction for a function</t>
          </r>
        </is>
      </c>
      <c r="AY14" s="141" t="inlineStr">
        <is>
          <r>
            <rPr>
              <rFont val="Calibri"/>
              <color rgb="009C0006"/>
              <sz val="10"/>
            </rPr>
            <t xml:space="preserve">Rated 6.5 of 12 · between B3 and C1
</t>
          </r>
          <r>
            <rPr>
              <rFont val="Calibri"/>
              <b val="1"/>
              <color rgb="009C0006"/>
              <sz val="10"/>
            </rPr>
            <t>Start:</t>
          </r>
          <r>
            <rPr>
              <rFont val="Calibri"/>
              <color rgb="009C0006"/>
              <sz val="10"/>
            </rPr>
            <t xml:space="preserve"> 6.5 · head-of-function title; 3 direct reports, 8 people below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B3 = Several teams or a practice · C1 = Sub-function results or domain quality across products</t>
          </r>
        </is>
      </c>
      <c r="AZ14" s="141" t="inlineStr">
        <is>
          <r>
            <rPr>
              <rFont val="Calibri"/>
              <color rgb="009C0006"/>
              <sz val="10"/>
            </rPr>
            <t xml:space="preserve">Rated 7 of 12
</t>
          </r>
          <r>
            <rPr>
              <rFont val="Calibri"/>
              <b val="1"/>
              <color rgb="009C0006"/>
              <sz val="10"/>
            </rPr>
            <t>Start:</t>
          </r>
          <r>
            <rPr>
              <rFont val="Calibri"/>
              <color rgb="009C0006"/>
              <sz val="10"/>
            </rPr>
            <t xml:space="preserve"> 7.0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3 direct reports · People Manager
</t>
          </r>
          <r>
            <rPr>
              <rFont val="Calibri"/>
              <b val="1"/>
              <color rgb="009C0006"/>
              <sz val="10"/>
            </rPr>
            <t>Market:</t>
          </r>
          <r>
            <rPr>
              <rFont val="Calibri"/>
              <color rgb="009C0006"/>
              <sz val="10"/>
            </rPr>
            <t xml:space="preserve"> C1 = Leads managers or a community of practice</t>
          </r>
        </is>
      </c>
      <c r="BA14" s="132" t="inlineStr">
        <is>
          <r>
            <rPr>
              <rFont val="Calibri"/>
              <sz val="10"/>
            </rPr>
            <t xml:space="preserve">Rated 6 of 12
</t>
          </r>
          <r>
            <rPr>
              <rFont val="Calibri"/>
              <b val="1"/>
              <sz val="10"/>
            </rPr>
            <t>Experience:</t>
          </r>
          <r>
            <rPr>
              <rFont val="Calibri"/>
              <sz val="10"/>
            </rPr>
            <t xml:space="preserve"> 7.3 yrs total · 2.0 before IRIS + 5.3 at IRIS = 4.9 on the experience scale
</t>
          </r>
          <r>
            <rPr>
              <rFont val="Calibri"/>
              <b val="1"/>
              <sz val="10"/>
            </rPr>
            <t>Qualification:</t>
          </r>
          <r>
            <rPr>
              <rFont val="Calibri"/>
              <sz val="10"/>
            </rPr>
            <t xml:space="preserve"> CA · professional, relevant to the work → +1.0
</t>
          </r>
          <r>
            <rPr>
              <rFont val="Calibri"/>
              <b val="1"/>
              <sz val="10"/>
            </rPr>
            <t>Market:</t>
          </r>
          <r>
            <rPr>
              <rFont val="Calibri"/>
              <sz val="10"/>
            </rPr>
            <t xml:space="preserve"> C1 roles typically have 12–17 yrs · IRIS guide 10–14</t>
          </r>
        </is>
      </c>
      <c r="BB14" s="132" t="inlineStr">
        <is>
          <r>
            <rPr>
              <rFont val="Calibri"/>
              <sz val="10"/>
            </rPr>
            <t xml:space="preserve">Rated 6.5 of 12 — a starting estimate.
</t>
          </r>
          <r>
            <rPr>
              <rFont val="Calibri"/>
              <b val="1"/>
              <sz val="10"/>
            </rPr>
            <t>Start:</t>
          </r>
          <r>
            <rPr>
              <rFont val="Calibri"/>
              <sz val="10"/>
            </rPr>
            <t xml:space="preserve"> 6.5,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 · C1 = Changes results across a sub-function or across products</t>
          </r>
        </is>
      </c>
      <c r="BC14" s="142" t="inlineStr">
        <is>
          <t>• Survey response or KRAs describing the work · nothing on file — Employee + manager</t>
        </is>
      </c>
      <c r="BD14" s="134" t="inlineStr">
        <is>
          <t>✓ HRIS: 7.3 yrs, CA, 3 direct reports
✗ Survey: no response
✗ KRAs: none on file
✓ Manager mapping: rating, 9-box
✗ Job description: not on file</t>
        </is>
      </c>
      <c r="BE14" s="134" t="inlineStr">
        <is>
          <r>
            <rPr>
              <rFont val="Calibri"/>
              <b val="1"/>
              <sz val="10"/>
            </rPr>
            <t>Market level:</t>
          </r>
          <r>
            <rPr>
              <rFont val="Calibri"/>
              <sz val="10"/>
            </rPr>
            <t xml:space="preserve"> P6 / M5 · SFIA 5–6
</t>
          </r>
          <r>
            <rPr>
              <rFont val="Calibri"/>
              <b val="1"/>
              <sz val="10"/>
            </rPr>
            <t>Typical title:</t>
          </r>
          <r>
            <rPr>
              <rFont val="Calibri"/>
              <sz val="10"/>
            </rPr>
            <t xml:space="preserve"> Head of Function / AGM
</t>
          </r>
          <r>
            <rPr>
              <rFont val="Calibri"/>
              <b val="1"/>
              <sz val="10"/>
            </rPr>
            <t>At peers:</t>
          </r>
          <r>
            <rPr>
              <rFont val="Calibri"/>
              <sz val="10"/>
            </rPr>
            <t xml:space="preserve"> Atlassian company-wide P-levels – P60 Accountant · Principal · IRIS Vs Competitor Benchmark — finance ladder: Associate Director Finance
</t>
          </r>
          <r>
            <rPr>
              <rFont val="Calibri"/>
              <b val="1"/>
              <sz val="10"/>
            </rPr>
            <t>Typical experience:</t>
          </r>
          <r>
            <rPr>
              <rFont val="Calibri"/>
              <sz val="10"/>
            </rPr>
            <t xml:space="preserve"> 12–17 yrs · IRIS guide 10–14
</t>
          </r>
          <r>
            <rPr>
              <rFont val="Calibri"/>
              <b val="1"/>
              <sz val="10"/>
            </rPr>
            <t>Standard:</t>
          </r>
          <r>
            <rPr>
              <rFont val="Calibri"/>
              <sz val="10"/>
            </rPr>
            <t xml:space="preserve"> IMA Management Accounting Competency Framework; ICAI / CA</t>
          </r>
        </is>
      </c>
      <c r="BF14" s="134" t="inlineStr">
        <is>
          <t>Low</t>
        </is>
      </c>
      <c r="BG14" s="134" t="inlineStr">
        <is>
          <t>• 7.3 yrs on record normally fits B2, but the reporting structure / mandate clearly shows the role → level kept; HR to confirm the experience on record
• No survey answers or KRA — the role factors rest on designation and reporting lines only</t>
        </is>
      </c>
      <c r="BH14" s="134" t="inlineStr"/>
      <c r="BI14" s="135" t="n"/>
      <c r="BJ14" s="136" t="n"/>
      <c r="BK14" s="136" t="n"/>
      <c r="BL14" s="136" t="n"/>
      <c r="BM14" s="136" t="n"/>
      <c r="BN14" s="137" t="n"/>
      <c r="BO14" s="120" t="n"/>
      <c r="BP14" s="120" t="n"/>
      <c r="BQ14" s="120" t="n"/>
      <c r="BR14" s="120" t="n"/>
      <c r="BS14" s="120" t="n"/>
      <c r="BT14" s="120" t="n"/>
      <c r="BU14" s="120" t="n"/>
      <c r="BV14" s="120" t="n">
        <v>6.5</v>
      </c>
    </row>
    <row r="15" ht="340" customHeight="1">
      <c r="A15" s="109" t="inlineStr">
        <is>
          <t>IRIS0006</t>
        </is>
      </c>
      <c r="B15" s="110" t="inlineStr">
        <is>
          <t>Sudhakar Sawant</t>
        </is>
      </c>
      <c r="C15" s="111" t="inlineStr">
        <is>
          <t>Finance</t>
        </is>
      </c>
      <c r="D15" s="111" t="inlineStr">
        <is>
          <t>Vineet Kandoi</t>
        </is>
      </c>
      <c r="E15" s="112" t="n">
        <v>28.3</v>
      </c>
      <c r="F15" s="112" t="n">
        <v>22.1</v>
      </c>
      <c r="G15" s="111" t="inlineStr">
        <is>
          <t>B.Com</t>
        </is>
      </c>
      <c r="H15" s="138" t="inlineStr">
        <is>
          <t>Head – Admin &amp; Internal Audit</t>
        </is>
      </c>
      <c r="I15" s="115" t="inlineStr">
        <is>
          <t>Associate Head – Admin &amp; Internal Audit</t>
        </is>
      </c>
      <c r="J15" s="114" t="inlineStr">
        <is>
          <t>Finance &amp; Accounts</t>
        </is>
      </c>
      <c r="K15" s="114" t="inlineStr">
        <is>
          <t>Finance Leadership</t>
        </is>
      </c>
      <c r="L15" s="115" t="inlineStr">
        <is>
          <t>Not in current mapping files</t>
        </is>
      </c>
      <c r="M15" s="116" t="inlineStr">
        <is>
          <t>C1</t>
        </is>
      </c>
      <c r="N15" s="146" t="inlineStr">
        <is>
          <t>Associate Head</t>
        </is>
      </c>
      <c r="O15" s="33" t="inlineStr">
        <is>
          <t>C</t>
        </is>
      </c>
      <c r="P15" s="114" t="inlineStr">
        <is>
          <t>People Manager</t>
        </is>
      </c>
      <c r="Q15" s="117" t="inlineStr">
        <is>
          <t>● Newly mapped</t>
        </is>
      </c>
      <c r="R15" s="118" t="inlineStr">
        <is>
          <r>
            <rPr>
              <rFont val="Calibri"/>
              <b val="1"/>
              <sz val="10"/>
            </rPr>
            <t>WHAT THE ROLE DOES:</t>
          </r>
          <r>
            <rPr>
              <rFont val="Calibri"/>
              <sz val="10"/>
            </rPr>
            <t xml:space="preserve"> Leads the finance &amp; accounts function. At C1: a sub-function, or principal authority across products.
</t>
          </r>
          <r>
            <rPr>
              <rFont val="Calibri"/>
              <b val="1"/>
              <sz val="10"/>
            </rPr>
            <t>KEY RESPONSIBILITIES:</t>
          </r>
          <r>
            <rPr>
              <rFont val="Calibri"/>
              <sz val="10"/>
            </rPr>
            <t xml:space="preserve"> Leads the finance &amp; accounts function; Ambiguous, cross-product problems; Sub-function results or domain quality across products
</t>
          </r>
          <r>
            <rPr>
              <rFont val="Calibri"/>
              <b val="1"/>
              <sz val="10"/>
            </rPr>
            <t>DELIVERS:</t>
          </r>
          <r>
            <rPr>
              <rFont val="Calibri"/>
              <sz val="10"/>
            </rPr>
            <t xml:space="preserve"> Sub-function results or domain quality across products
</t>
          </r>
          <r>
            <rPr>
              <rFont val="Calibri"/>
              <b val="1"/>
              <sz val="10"/>
            </rPr>
            <t>DECIDES ALONE:</t>
          </r>
          <r>
            <rPr>
              <rFont val="Calibri"/>
              <sz val="10"/>
            </rPr>
            <t xml:space="preserve"> Sets direction for a sub-function or domain
</t>
          </r>
          <r>
            <rPr>
              <rFont val="Calibri"/>
              <b val="1"/>
              <sz val="10"/>
            </rPr>
            <t>SKILLS &amp; KNOWLEDGE · role-holders:</t>
          </r>
          <r>
            <rPr>
              <rFont val="Calibri"/>
              <sz val="10"/>
            </rPr>
            <t xml:space="preserve"> Accounting
COMPETENCIES REQUIRED — must-have ★: Accounting &amp; Reporting Standards · IFRS/US GAAP · Advanced Excel &amp; Productivity Tools
</t>
          </r>
          <r>
            <rPr>
              <rFont val="Calibri"/>
              <b val="1"/>
              <sz val="10"/>
            </rPr>
            <t>OTHER FUNCTIONAL COMPETENCIES:</t>
          </r>
          <r>
            <rPr>
              <rFont val="Calibri"/>
              <sz val="10"/>
            </rPr>
            <t xml:space="preserve"> Regulatory &amp; BFSI Domain · Data Analytics, BI &amp; Visualisation · Process Improvement &amp; Quality Mindset · Strategic Thinking &amp; Business Acumen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CA / CMA / ACCA / CFA / IFRS certificate; MOS Excel · optional
</t>
          </r>
          <r>
            <rPr>
              <rFont val="Calibri"/>
              <b val="1"/>
              <sz val="10"/>
            </rPr>
            <t>SOURCE:</t>
          </r>
          <r>
            <rPr>
              <rFont val="Calibri"/>
              <sz val="10"/>
            </rPr>
            <t xml:space="preserve"> Framework only · fewer than 3 answered — 2 holders, 0 answered the survey; sub-family 0 answered; catalogue RC-097</t>
          </r>
        </is>
      </c>
      <c r="S15" s="119"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6 of 12 · B3-level impact.
Leads 1 direct report.
Manager talent mapping — Latest rating: Not rated · manager · 9-Box Grid placement: Not placed · manager.</t>
          </r>
        </is>
      </c>
      <c r="T15" s="120" t="n"/>
      <c r="U15" s="121" t="inlineStr">
        <is>
          <r>
            <rPr>
              <rFont val="Calibri"/>
              <sz val="10"/>
            </rPr>
            <t xml:space="preserve">Associate Head – Admin &amp; Internal Audit in Finance · Corporate, C1 — People Manager.
</t>
          </r>
          <r>
            <rPr>
              <rFont val="Calibri"/>
              <b val="1"/>
              <sz val="10"/>
            </rPr>
            <t>The work:</t>
          </r>
          <r>
            <rPr>
              <rFont val="Calibri"/>
              <sz val="10"/>
            </rPr>
            <t xml:space="preserve"> Leads the finance &amp; accounts function.
At this level the role owns a sub-function, or principal authority across products.
</t>
          </r>
          <r>
            <rPr>
              <rFont val="Calibri"/>
              <b val="1"/>
              <sz val="10"/>
            </rPr>
            <t>Key responsibilities:</t>
          </r>
          <r>
            <rPr>
              <rFont val="Calibri"/>
              <sz val="10"/>
            </rPr>
            <t xml:space="preserve"> Leads the finance &amp; accounts function; Ambiguous, cross-product problems; Sub-function results or domain quality across products.
Leads 1 direct report.</t>
          </r>
        </is>
      </c>
      <c r="V15" s="122" t="inlineStr">
        <is>
          <r>
            <rPr>
              <rFont val="Calibri"/>
              <b val="1"/>
              <sz val="10"/>
            </rPr>
            <t>Hire as:</t>
          </r>
          <r>
            <rPr>
              <rFont val="Calibri"/>
              <sz val="10"/>
            </rPr>
            <t xml:space="preserve"> Head of Function / AGM — IRIS C1 Associate Head · People Manager
</t>
          </r>
          <r>
            <rPr>
              <rFont val="Calibri"/>
              <b val="1"/>
              <sz val="10"/>
            </rPr>
            <t>Market level:</t>
          </r>
          <r>
            <rPr>
              <rFont val="Calibri"/>
              <sz val="10"/>
            </rPr>
            <t xml:space="preserve"> P6 / M5 · SFIA 5–6
</t>
          </r>
          <r>
            <rPr>
              <rFont val="Calibri"/>
              <b val="1"/>
              <sz val="10"/>
            </rPr>
            <t>Experience:</t>
          </r>
          <r>
            <rPr>
              <rFont val="Calibri"/>
              <sz val="10"/>
            </rPr>
            <t xml:space="preserve"> 10–14 yrs · Education: B.Com / M.Com / CA / CMA
</t>
          </r>
          <r>
            <rPr>
              <rFont val="Calibri"/>
              <b val="1"/>
              <sz val="10"/>
            </rPr>
            <t>Team size at this level:</t>
          </r>
          <r>
            <rPr>
              <rFont val="Calibri"/>
              <sz val="10"/>
            </rPr>
            <t xml:space="preserve"> 5–8, mostly managers
</t>
          </r>
          <r>
            <rPr>
              <rFont val="Calibri"/>
              <b val="1"/>
              <sz val="10"/>
            </rPr>
            <t>Equivalent titles at peers:</t>
          </r>
          <r>
            <rPr>
              <rFont val="Calibri"/>
              <sz val="10"/>
            </rPr>
            <t xml:space="preserve"> Atlassian company-wide P-levels – P60 Accountant · Principal · IRIS Vs Competitor Benchmark — finance ladder – Associate Director Finance
</t>
          </r>
          <r>
            <rPr>
              <rFont val="Calibri"/>
              <b val="1"/>
              <sz val="10"/>
            </rPr>
            <t>Credentials:</t>
          </r>
          <r>
            <rPr>
              <rFont val="Calibri"/>
              <sz val="10"/>
            </rPr>
            <t xml:space="preserve"> CA / CMA / ACCA / CFA / IFRS certificate; MOS Excel · optional
</t>
          </r>
          <r>
            <rPr>
              <rFont val="Calibri"/>
              <b val="1"/>
              <sz val="10"/>
            </rPr>
            <t>Must already know:</t>
          </r>
          <r>
            <rPr>
              <rFont val="Calibri"/>
              <sz val="10"/>
            </rPr>
            <t xml:space="preserve"> Statutory compliance · GST, TDS, audit</t>
          </r>
        </is>
      </c>
      <c r="W15" s="122" t="inlineStr">
        <is>
          <r>
            <rPr>
              <rFont val="Calibri"/>
              <sz val="10"/>
            </rPr>
            <t xml:space="preserve">FUNCTIONAL — skill level 4 of 5 · Advanced
 ★ Accounting &amp; Reporting Standards · IFRS/US GAAP: Advises on complex disclosures and standards changes
 ★ Advanced Excel &amp; Productivity Tools: Builds templates and automation used by the team
 • </t>
          </r>
          <r>
            <rPr>
              <rFont val="Calibri"/>
              <b val="1"/>
              <sz val="10"/>
            </rPr>
            <t>Regulatory &amp; BFSI Domain:</t>
          </r>
          <r>
            <rPr>
              <rFont val="Calibri"/>
              <sz val="10"/>
            </rPr>
            <t xml:space="preserve"> Interprets new regulation; advises clients and product
 • </t>
          </r>
          <r>
            <rPr>
              <rFont val="Calibri"/>
              <b val="1"/>
              <sz val="10"/>
            </rPr>
            <t>Data Analytics, BI &amp; Visualisation:</t>
          </r>
          <r>
            <rPr>
              <rFont val="Calibri"/>
              <sz val="10"/>
            </rPr>
            <t xml:space="preserve"> Defines metrics and analytics approach for a business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Accounting
★ = must-have for the family. Scale: 1 Awareness · 2 Working · 3 Practitioner · 4 Advanced · 5 Expert.</t>
          </r>
        </is>
      </c>
      <c r="X15" s="122" t="inlineStr">
        <is>
          <r>
            <rPr>
              <rFont val="Calibri"/>
              <sz val="10"/>
            </rPr>
            <t xml:space="preserve">Draft — generated from the framework; hiring-manager review pending · HR Super Master, sheet T5.
1. [Accounting &amp; Reporting Standards · IFRS/US GAAP · level 4] Tell me about recent work that shows this: "Advises on complex disclosures and standards changes". What exactly did you do, how, and what was the result? Assess with: Accounting test.
2. [Advanced Excel &amp; Productivity Tools · level 4] Tell me about recent work that shows this: "Builds templates and automation used by the team". What exactly did you do, how, and what was the result? Assess with: Practical test.
3. [Regulatory &amp; BFSI Domain · level 4] Give an example that shows you can do this: "Interprets new regulation; advises clients and product". Assess with: Domain interview.
4. [Data Analytics, BI &amp; Visualisation · level 4] Give an example that shows you can do this: "Defines metrics and analytics approach for a business". Assess with: Data case / practical.
5. [Process Improvement &amp; Quality Mindset · level 4] Give an example that shows you can do this: "Redesigns team processes; reduces error rates measurably". Assess with: Work sample / case.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15" s="123" t="inlineStr">
        <is>
          <t>Corporate · Finance · Band C · Head / Manager</t>
        </is>
      </c>
      <c r="Z15" s="124" t="n">
        <v>8</v>
      </c>
      <c r="AA15" s="125">
        <f>IFERROR(INDEX(WM_C,MATCH($Y15,WM_KEY,0)),"")</f>
        <v>0.38</v>
      </c>
      <c r="AB15" s="126">
        <f>IF(Z15="","",Z15*AA15)</f>
        <v>3.04</v>
      </c>
      <c r="AC15" s="124" t="n">
        <v>8</v>
      </c>
      <c r="AD15" s="125">
        <f>IFERROR(INDEX(WM_AU,MATCH($Y15,WM_KEY,0)),"")</f>
        <v>0.18</v>
      </c>
      <c r="AE15" s="126">
        <f>IF(AC15="","",AC15*AD15)</f>
        <v>1.44</v>
      </c>
      <c r="AF15" s="124" t="n">
        <v>6</v>
      </c>
      <c r="AG15" s="125">
        <f>IFERROR(INDEX(WM_AC,MATCH($Y15,WM_KEY,0)),"")</f>
        <v>0.11</v>
      </c>
      <c r="AH15" s="126">
        <f>IF(AF15="","",AF15*AG15)</f>
        <v>0.66</v>
      </c>
      <c r="AI15" s="124" t="n">
        <v>7</v>
      </c>
      <c r="AJ15" s="125">
        <f>IFERROR(INDEX(WM_L,MATCH($Y15,WM_KEY,0)),"")</f>
        <v>0.15</v>
      </c>
      <c r="AK15" s="126">
        <f>IF(AI15="","",AI15*AJ15)</f>
        <v>1.05</v>
      </c>
      <c r="AL15" s="124" t="n">
        <v>12</v>
      </c>
      <c r="AM15" s="125">
        <f>IFERROR(INDEX(WM_E,MATCH($Y15,WM_KEY,0)),"")</f>
        <v>0.1</v>
      </c>
      <c r="AN15" s="126">
        <f>IF(AL15="","",AL15*AM15)</f>
        <v>1.2</v>
      </c>
      <c r="AO15" s="127" t="n">
        <v>6</v>
      </c>
      <c r="AP15" s="125">
        <f>IFERROR(INDEX(WM_BI,MATCH($Y15,WM_KEY,0)),"")</f>
        <v>0.08</v>
      </c>
      <c r="AQ15" s="126">
        <f>IF(AO15="","",AO15*AP15)</f>
        <v>0.48</v>
      </c>
      <c r="AR15" s="126">
        <f>IF(COUNT(AB15,AE15,AH15,AK15,AN15,AQ15)&lt;6,"",SUM(AB15,AE15,AH15,AK15,AN15,AQ15))</f>
        <v>7.87</v>
      </c>
      <c r="AS15" s="128" t="str">
        <f>IF(AR15="","",INDEX({"A1","A2","A3","B1","B2","B3","C1","C2","D1","D2","E1","E2"},MAX(1,MIN(12,ROUND(AR15,0)))))</f>
        <v>C2</v>
      </c>
      <c r="AT15" s="129" t="inlineStr">
        <is>
          <r>
            <rPr>
              <rFont val="Calibri"/>
              <b val="1"/>
              <sz val="10"/>
            </rPr>
            <t>Weights:</t>
          </r>
          <r>
            <rPr>
              <rFont val="Calibri"/>
              <sz val="10"/>
            </rPr>
            <t xml:space="preserve"> Complexity 38% · Autonomy 18% · Leadership 15% · Accountability 11% · Experience 10% · Business impact 8%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15" s="130" t="inlineStr">
        <is>
          <r>
            <rPr>
              <rFont val="Calibri"/>
              <b val="1"/>
              <sz val="10"/>
            </rPr>
            <t>At build:</t>
          </r>
          <r>
            <rPr>
              <rFont val="Calibri"/>
              <sz val="10"/>
            </rPr>
            <t xml:space="preserve"> Complexity 3.04 + Autonomy 1.44 + Accountability 0.66 + Leadership 1.05 + Experience 1.20 + Business impact 0.48
= 7.87 points → nearest level 8 = C2
</t>
          </r>
          <r>
            <rPr>
              <rFont val="Calibri"/>
              <b val="1"/>
              <sz val="10"/>
            </rPr>
            <t>Final level:</t>
          </r>
          <r>
            <rPr>
              <rFont val="Calibri"/>
              <sz val="10"/>
            </rPr>
            <t xml:space="preserve"> C1 · a rule applied: see the next column</t>
          </r>
        </is>
      </c>
      <c r="AV15" s="130" t="inlineStr">
        <is>
          <r>
            <rPr>
              <rFont val="Calibri"/>
              <sz val="10"/>
            </rPr>
            <t xml:space="preserve">• </t>
          </r>
          <r>
            <rPr>
              <rFont val="Calibri"/>
              <b val="1"/>
              <sz val="10"/>
            </rPr>
            <t>Held at C1 instead of C2:</t>
          </r>
          <r>
            <rPr>
              <rFont val="Calibri"/>
              <sz val="10"/>
            </rPr>
            <t xml:space="preserve"> C2 needs a whole function or a company-wide discipline, and the org chart does not show this yet.
</t>
          </r>
          <r>
            <rPr>
              <rFont val="Calibri"/>
              <b val="1"/>
              <sz val="10"/>
            </rPr>
            <t>Final level:</t>
          </r>
          <r>
            <rPr>
              <rFont val="Calibri"/>
              <sz val="10"/>
            </rPr>
            <t xml:space="preserve"> C1.</t>
          </r>
        </is>
      </c>
      <c r="AW15" s="140"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Function-wide or company-wide problems; creates methods and standards</t>
          </r>
        </is>
      </c>
      <c r="AX15" s="141"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Sets direction for a function</t>
          </r>
        </is>
      </c>
      <c r="AY15" s="141" t="inlineStr">
        <is>
          <r>
            <rPr>
              <rFont val="Calibri"/>
              <color rgb="009C0006"/>
              <sz val="10"/>
            </rPr>
            <t xml:space="preserve">Rated 6 of 12
</t>
          </r>
          <r>
            <rPr>
              <rFont val="Calibri"/>
              <b val="1"/>
              <color rgb="009C0006"/>
              <sz val="10"/>
            </rPr>
            <t>Start:</t>
          </r>
          <r>
            <rPr>
              <rFont val="Calibri"/>
              <color rgb="009C0006"/>
              <sz val="10"/>
            </rPr>
            <t xml:space="preserve"> 5.8 · head-of-function title; 1 direct report, 6 people below, 1 of them leads a team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B3 = Several teams or a practice</t>
          </r>
        </is>
      </c>
      <c r="AZ15" s="141" t="inlineStr">
        <is>
          <r>
            <rPr>
              <rFont val="Calibri"/>
              <color rgb="009C0006"/>
              <sz val="10"/>
            </rPr>
            <t xml:space="preserve">Rated 7 of 12
</t>
          </r>
          <r>
            <rPr>
              <rFont val="Calibri"/>
              <b val="1"/>
              <color rgb="009C0006"/>
              <sz val="10"/>
            </rPr>
            <t>Start:</t>
          </r>
          <r>
            <rPr>
              <rFont val="Calibri"/>
              <color rgb="009C0006"/>
              <sz val="10"/>
            </rPr>
            <t xml:space="preserve"> 7.0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1 direct report · People Manager
</t>
          </r>
          <r>
            <rPr>
              <rFont val="Calibri"/>
              <b val="1"/>
              <color rgb="009C0006"/>
              <sz val="10"/>
            </rPr>
            <t>Market:</t>
          </r>
          <r>
            <rPr>
              <rFont val="Calibri"/>
              <color rgb="009C0006"/>
              <sz val="10"/>
            </rPr>
            <t xml:space="preserve"> C1 = Leads managers or a community of practice</t>
          </r>
        </is>
      </c>
      <c r="BA15" s="132" t="inlineStr">
        <is>
          <r>
            <rPr>
              <rFont val="Calibri"/>
              <sz val="10"/>
            </rPr>
            <t xml:space="preserve">Rated 12 of 12
</t>
          </r>
          <r>
            <rPr>
              <rFont val="Calibri"/>
              <b val="1"/>
              <sz val="10"/>
            </rPr>
            <t>Experience:</t>
          </r>
          <r>
            <rPr>
              <rFont val="Calibri"/>
              <sz val="10"/>
            </rPr>
            <t xml:space="preserve"> 28.3 yrs total · 6.2 before IRIS + 22.1 at IRIS = 12.0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C1 roles typically have 12–17 yrs · IRIS guide 10–14</t>
          </r>
        </is>
      </c>
      <c r="BB15" s="132" t="inlineStr">
        <is>
          <r>
            <rPr>
              <rFont val="Calibri"/>
              <sz val="10"/>
            </rPr>
            <t xml:space="preserve">Rated 6 of 12 — a starting estimate.
</t>
          </r>
          <r>
            <rPr>
              <rFont val="Calibri"/>
              <b val="1"/>
              <sz val="10"/>
            </rPr>
            <t>Start:</t>
          </r>
          <r>
            <rPr>
              <rFont val="Calibri"/>
              <sz val="10"/>
            </rPr>
            <t xml:space="preserve"> 6,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t>
          </r>
        </is>
      </c>
      <c r="BC15" s="142" t="inlineStr">
        <is>
          <t>• Survey response or KRAs describing the work · nothing on file — Employee + manager
• Confirm structure behind the senior title · org chart — Business head</t>
        </is>
      </c>
      <c r="BD15" s="134" t="inlineStr">
        <is>
          <t>✓ HRIS: 28.3 yrs, B.Com, 1 direct report
✗ Survey: no response
✗ KRAs: none on file
✓ Manager mapping: rating, 9-box
✗ Job description: not on file</t>
        </is>
      </c>
      <c r="BE15" s="134" t="inlineStr">
        <is>
          <r>
            <rPr>
              <rFont val="Calibri"/>
              <b val="1"/>
              <sz val="10"/>
            </rPr>
            <t>Market level:</t>
          </r>
          <r>
            <rPr>
              <rFont val="Calibri"/>
              <sz val="10"/>
            </rPr>
            <t xml:space="preserve"> P6 / M5 · SFIA 5–6
</t>
          </r>
          <r>
            <rPr>
              <rFont val="Calibri"/>
              <b val="1"/>
              <sz val="10"/>
            </rPr>
            <t>Typical title:</t>
          </r>
          <r>
            <rPr>
              <rFont val="Calibri"/>
              <sz val="10"/>
            </rPr>
            <t xml:space="preserve"> Head of Function / AGM
</t>
          </r>
          <r>
            <rPr>
              <rFont val="Calibri"/>
              <b val="1"/>
              <sz val="10"/>
            </rPr>
            <t>At peers:</t>
          </r>
          <r>
            <rPr>
              <rFont val="Calibri"/>
              <sz val="10"/>
            </rPr>
            <t xml:space="preserve"> Atlassian company-wide P-levels – P60 Accountant · Principal · IRIS Vs Competitor Benchmark — finance ladder: Associate Director Finance
</t>
          </r>
          <r>
            <rPr>
              <rFont val="Calibri"/>
              <b val="1"/>
              <sz val="10"/>
            </rPr>
            <t>Typical experience:</t>
          </r>
          <r>
            <rPr>
              <rFont val="Calibri"/>
              <sz val="10"/>
            </rPr>
            <t xml:space="preserve"> 12–17 yrs · IRIS guide 10–14
</t>
          </r>
          <r>
            <rPr>
              <rFont val="Calibri"/>
              <b val="1"/>
              <sz val="10"/>
            </rPr>
            <t>Standard:</t>
          </r>
          <r>
            <rPr>
              <rFont val="Calibri"/>
              <sz val="10"/>
            </rPr>
            <t xml:space="preserve"> IMA Management Accounting Competency Framework; ICAI / CA</t>
          </r>
        </is>
      </c>
      <c r="BF15" s="134" t="inlineStr">
        <is>
          <t>Low</t>
        </is>
      </c>
      <c r="BG15" s="134" t="inlineStr">
        <is>
          <t>• No survey answers or KRA — the role factors rest on designation and reporting lines only</t>
        </is>
      </c>
      <c r="BH15" s="134" t="inlineStr"/>
      <c r="BI15" s="135" t="n"/>
      <c r="BJ15" s="136" t="n"/>
      <c r="BK15" s="136" t="n"/>
      <c r="BL15" s="136" t="n"/>
      <c r="BM15" s="136" t="n"/>
      <c r="BN15" s="137" t="n"/>
      <c r="BO15" s="120" t="n"/>
      <c r="BP15" s="120" t="n"/>
      <c r="BQ15" s="120" t="n"/>
      <c r="BR15" s="120" t="n"/>
      <c r="BS15" s="120" t="n"/>
      <c r="BT15" s="120" t="n"/>
      <c r="BU15" s="120" t="n"/>
      <c r="BV15" s="120" t="n">
        <v>6</v>
      </c>
    </row>
    <row r="16" ht="340" customHeight="1">
      <c r="A16" s="109" t="inlineStr">
        <is>
          <t>IRIS1508</t>
        </is>
      </c>
      <c r="B16" s="110" t="inlineStr">
        <is>
          <t>Winny Nair</t>
        </is>
      </c>
      <c r="C16" s="111" t="inlineStr">
        <is>
          <t>Finance</t>
        </is>
      </c>
      <c r="D16" s="111" t="inlineStr">
        <is>
          <t>Nishant Gupta</t>
        </is>
      </c>
      <c r="E16" s="112" t="n">
        <v>19.9</v>
      </c>
      <c r="F16" s="112" t="n">
        <v>11.7</v>
      </c>
      <c r="G16" s="111" t="inlineStr">
        <is>
          <t>PGDM</t>
        </is>
      </c>
      <c r="H16" s="138" t="inlineStr">
        <is>
          <t>Manager - Finance and Accounts</t>
        </is>
      </c>
      <c r="I16" s="115" t="inlineStr">
        <is>
          <t>Senior Finance Specialist – POD Lead</t>
        </is>
      </c>
      <c r="J16" s="114" t="inlineStr">
        <is>
          <t>Finance &amp; Accounts</t>
        </is>
      </c>
      <c r="K16" s="114" t="inlineStr">
        <is>
          <t>Financial Reporting, Compliance &amp; Audit</t>
        </is>
      </c>
      <c r="L16" s="115" t="inlineStr">
        <is>
          <t>Not in current mapping files</t>
        </is>
      </c>
      <c r="M16" s="116" t="inlineStr">
        <is>
          <t>B2</t>
        </is>
      </c>
      <c r="N16" s="21" t="inlineStr">
        <is>
          <t>Senior Specialist · POD Lead</t>
        </is>
      </c>
      <c r="O16" s="23" t="inlineStr">
        <is>
          <t>B</t>
        </is>
      </c>
      <c r="P16" s="114" t="inlineStr">
        <is>
          <t>POD Lead</t>
        </is>
      </c>
      <c r="Q16" s="117" t="inlineStr">
        <is>
          <t>● Newly mapped</t>
        </is>
      </c>
      <c r="R16" s="118" t="inlineStr">
        <is>
          <r>
            <rPr>
              <rFont val="Calibri"/>
              <b val="1"/>
              <sz val="10"/>
            </rPr>
            <t>WHAT THE ROLE DOES:</t>
          </r>
          <r>
            <rPr>
              <rFont val="Calibri"/>
              <sz val="10"/>
            </rPr>
            <t xml:space="preserve"> Prepares financial statements, subsidiary closings, statutory compliance, budgets and audits. At B2: deep domain expertise, or one team.
</t>
          </r>
          <r>
            <rPr>
              <rFont val="Calibri"/>
              <b val="1"/>
              <sz val="10"/>
            </rPr>
            <t>Common themes in sub-family holders, all levels' answers:</t>
          </r>
          <r>
            <rPr>
              <rFont val="Calibri"/>
              <sz val="10"/>
            </rPr>
            <t xml:space="preserve"> financial · company · business · reason · management
</t>
          </r>
          <r>
            <rPr>
              <rFont val="Calibri"/>
              <b val="1"/>
              <sz val="10"/>
            </rPr>
            <t>KEY RESPONSIBILITIES:</t>
          </r>
          <r>
            <rPr>
              <rFont val="Calibri"/>
              <sz val="10"/>
            </rPr>
            <t xml:space="preserve"> Prepares financial statements, subsidiary closings, statutory compliance, budgets and audits; Hardest problems in the domain; One team or a client portfolio
</t>
          </r>
          <r>
            <rPr>
              <rFont val="Calibri"/>
              <b val="1"/>
              <sz val="10"/>
            </rPr>
            <t>Common themes in sub-family holders, all levels' answers:</t>
          </r>
          <r>
            <rPr>
              <rFont val="Calibri"/>
              <sz val="10"/>
            </rPr>
            <t xml:space="preserve"> order · approval · business · sales · invoice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financial statements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book · subsidiary · report · order
</t>
          </r>
          <r>
            <rPr>
              <rFont val="Calibri"/>
              <b val="1"/>
              <sz val="10"/>
            </rPr>
            <t>DECIDES ALONE:</t>
          </r>
          <r>
            <rPr>
              <rFont val="Calibri"/>
              <sz val="10"/>
            </rPr>
            <t xml:space="preserve"> Allocates people and sets team priorities
</t>
          </r>
          <r>
            <rPr>
              <rFont val="Calibri"/>
              <b val="1"/>
              <sz val="10"/>
            </rPr>
            <t>SKILLS &amp; KNOWLEDGE · role-holders:</t>
          </r>
          <r>
            <rPr>
              <rFont val="Calibri"/>
              <sz val="10"/>
            </rPr>
            <t xml:space="preserve"> accounting · finance · MS office · Excel
</t>
          </r>
          <r>
            <rPr>
              <rFont val="Calibri"/>
              <b val="1"/>
              <sz val="10"/>
            </rPr>
            <t>TOOLS &amp; SYSTEMS:</t>
          </r>
          <r>
            <rPr>
              <rFont val="Calibri"/>
              <sz val="10"/>
            </rPr>
            <t xml:space="preserve"> Excel · ERP
COMPETENCIES REQUIRED — must-have ★: Accounting &amp; Reporting Standards · IFRS/US GAAP · Advanced Excel &amp; Productivity Tools
</t>
          </r>
          <r>
            <rPr>
              <rFont val="Calibri"/>
              <b val="1"/>
              <sz val="10"/>
            </rPr>
            <t>OTHER FUNCTIONAL COMPETENCIES:</t>
          </r>
          <r>
            <rPr>
              <rFont val="Calibri"/>
              <sz val="10"/>
            </rPr>
            <t xml:space="preserve"> Regulatory &amp; BFSI Domain · Data Analytics, BI &amp; Visualisation · Process Improvement &amp; Quality Mindset · Strategic Thinking &amp; Business Acumen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CA / CMA / ACCA / CFA / IFRS certificate; MOS Excel · optional
</t>
          </r>
          <r>
            <rPr>
              <rFont val="Calibri"/>
              <b val="1"/>
              <sz val="10"/>
            </rPr>
            <t>SOURCE:</t>
          </r>
          <r>
            <rPr>
              <rFont val="Calibri"/>
              <sz val="10"/>
            </rPr>
            <t xml:space="preserve"> Framework + sub-family themes · 3+ answered — 1 holder, 1 answered the survey; sub-family 4 answered; catalogue RC-099</t>
          </r>
        </is>
      </c>
      <c r="S16"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1 direct report.
Manager talent mapping — Latest rating: Not rated · manager · 9-Box Grid placement: Not placed · manager.</t>
          </r>
        </is>
      </c>
      <c r="T16" s="120" t="n"/>
      <c r="U16" s="121" t="inlineStr">
        <is>
          <r>
            <rPr>
              <rFont val="Calibri"/>
              <sz val="10"/>
            </rPr>
            <t xml:space="preserve">Senior Finance Specialist – POD Lead in Finance · Corporate, B2 — POD Lead.
</t>
          </r>
          <r>
            <rPr>
              <rFont val="Calibri"/>
              <b val="1"/>
              <sz val="10"/>
            </rPr>
            <t>The work:</t>
          </r>
          <r>
            <rPr>
              <rFont val="Calibri"/>
              <sz val="10"/>
            </rPr>
            <t xml:space="preserve"> Prepares financial statements, subsidiary closings, statutory compliance, budgets and audits.
At this level the role owns deep domain expertise, or one team.
</t>
          </r>
          <r>
            <rPr>
              <rFont val="Calibri"/>
              <b val="1"/>
              <sz val="10"/>
            </rPr>
            <t>Key responsibilities:</t>
          </r>
          <r>
            <rPr>
              <rFont val="Calibri"/>
              <sz val="10"/>
            </rPr>
            <t xml:space="preserve"> Prepares financial statements, subsidiary closings, statutory compliance, budgets and audits; Hardest problems in the domain; One team or a client portfolio.
</t>
          </r>
          <r>
            <rPr>
              <rFont val="Calibri"/>
              <b val="1"/>
              <sz val="10"/>
            </rPr>
            <t>Holders describe it with:</t>
          </r>
          <r>
            <rPr>
              <rFont val="Calibri"/>
              <sz val="10"/>
            </rPr>
            <t xml:space="preserve"> order · approval · business · sales · invoice.
Leads 1 direct report.</t>
          </r>
        </is>
      </c>
      <c r="V16" s="122" t="inlineStr">
        <is>
          <r>
            <rPr>
              <rFont val="Calibri"/>
              <b val="1"/>
              <sz val="10"/>
            </rPr>
            <t>Hire as:</t>
          </r>
          <r>
            <rPr>
              <rFont val="Calibri"/>
              <sz val="10"/>
            </rPr>
            <t xml:space="preserve"> Finance Specialist / Asst. Manager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B.Com / M.Com / CA / CMA
</t>
          </r>
          <r>
            <rPr>
              <rFont val="Calibri"/>
              <b val="1"/>
              <sz val="10"/>
            </rPr>
            <t>Equivalent titles at peers:</t>
          </r>
          <r>
            <rPr>
              <rFont val="Calibri"/>
              <sz val="10"/>
            </rPr>
            <t xml:space="preserve"> Atlassian company-wide P-levels – P50 Senior · Toppan Merrill – Senior Financial Analyst · IRIS Vs Competitor Benchmark — finance ladder – Finance Manager
</t>
          </r>
          <r>
            <rPr>
              <rFont val="Calibri"/>
              <b val="1"/>
              <sz val="10"/>
            </rPr>
            <t>Credentials:</t>
          </r>
          <r>
            <rPr>
              <rFont val="Calibri"/>
              <sz val="10"/>
            </rPr>
            <t xml:space="preserve"> CA / CMA / ACCA / CFA / IFRS certificate; MOS Excel · optional
</t>
          </r>
          <r>
            <rPr>
              <rFont val="Calibri"/>
              <b val="1"/>
              <sz val="10"/>
            </rPr>
            <t>Must already know:</t>
          </r>
          <r>
            <rPr>
              <rFont val="Calibri"/>
              <sz val="10"/>
            </rPr>
            <t xml:space="preserve"> Statutory compliance · GST, TDS, audit</t>
          </r>
        </is>
      </c>
      <c r="W16" s="122" t="inlineStr">
        <is>
          <r>
            <rPr>
              <rFont val="Calibri"/>
              <sz val="10"/>
            </rPr>
            <t xml:space="preserve">FUNCTIONAL — skill level 4 of 5 · Advanced
 ★ Accounting &amp; Reporting Standards · IFRS/US GAAP: Advises on complex disclosures and standards changes
 ★ Advanced Excel &amp; Productivity Tools: Builds templates and automation used by the team
 • </t>
          </r>
          <r>
            <rPr>
              <rFont val="Calibri"/>
              <b val="1"/>
              <sz val="10"/>
            </rPr>
            <t>Regulatory &amp; BFSI Domain:</t>
          </r>
          <r>
            <rPr>
              <rFont val="Calibri"/>
              <sz val="10"/>
            </rPr>
            <t xml:space="preserve"> Interprets new regulation; advises clients and product
 • </t>
          </r>
          <r>
            <rPr>
              <rFont val="Calibri"/>
              <b val="1"/>
              <sz val="10"/>
            </rPr>
            <t>Data Analytics, BI &amp; Visualisation:</t>
          </r>
          <r>
            <rPr>
              <rFont val="Calibri"/>
              <sz val="10"/>
            </rPr>
            <t xml:space="preserve"> Defines metrics and analytics approach for a business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accounting · finance · MS office · Excel
</t>
          </r>
          <r>
            <rPr>
              <rFont val="Calibri"/>
              <b val="1"/>
              <sz val="10"/>
            </rPr>
            <t>TOOLS:</t>
          </r>
          <r>
            <rPr>
              <rFont val="Calibri"/>
              <sz val="10"/>
            </rPr>
            <t xml:space="preserve"> Excel · ERP
★ = must-have for the family. Scale: 1 Awareness · 2 Working · 3 Practitioner · 4 Advanced · 5 Expert.</t>
          </r>
        </is>
      </c>
      <c r="X16" s="122" t="inlineStr">
        <is>
          <r>
            <rPr>
              <rFont val="Calibri"/>
              <sz val="10"/>
            </rPr>
            <t xml:space="preserve">Draft — generated from the framework; hiring-manager review pending · HR Super Master, sheet T5.
1. [Accounting &amp; Reporting Standards · IFRS/US GAAP · level 4] Tell me about recent work that shows this: "Advises on complex disclosures and standards changes". What exactly did you do, how, and what was the result? Assess with: Accounting test.
2. [Advanced Excel &amp; Productivity Tools · level 4] Tell me about recent work that shows this: "Builds templates and automation used by the team". What exactly did you do, how, and what was the result? Assess with: Practical test.
3. [Regulatory &amp; BFSI Domain · level 4] Give an example that shows you can do this: "Interprets new regulation; advises clients and product". Assess with: Domain interview.
4. [Data Analytics, BI &amp; Visualisation · level 4] Give an example that shows you can do this: "Defines metrics and analytics approach for a business". Assess with: Data case / practical.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6" s="123" t="inlineStr">
        <is>
          <t>Corporate · Finance · Band B · Expert / POD Lead</t>
        </is>
      </c>
      <c r="Z16" s="124" t="n">
        <v>5</v>
      </c>
      <c r="AA16" s="125">
        <f>IFERROR(INDEX(WM_C,MATCH($Y16,WM_KEY,0)),"")</f>
        <v>0.46</v>
      </c>
      <c r="AB16" s="126">
        <f>IF(Z16="","",Z16*AA16)</f>
        <v>2.3</v>
      </c>
      <c r="AC16" s="124" t="n">
        <v>4</v>
      </c>
      <c r="AD16" s="125">
        <f>IFERROR(INDEX(WM_AU,MATCH($Y16,WM_KEY,0)),"")</f>
        <v>0.17</v>
      </c>
      <c r="AE16" s="126">
        <f>IF(AC16="","",AC16*AD16)</f>
        <v>0.68</v>
      </c>
      <c r="AF16" s="124" t="n">
        <v>4.5</v>
      </c>
      <c r="AG16" s="125">
        <f>IFERROR(INDEX(WM_AC,MATCH($Y16,WM_KEY,0)),"")</f>
        <v>0.1</v>
      </c>
      <c r="AH16" s="126">
        <f>IF(AF16="","",AF16*AG16)</f>
        <v>0.45</v>
      </c>
      <c r="AI16" s="124" t="n">
        <v>3.5</v>
      </c>
      <c r="AJ16" s="125">
        <f>IFERROR(INDEX(WM_L,MATCH($Y16,WM_KEY,0)),"")</f>
        <v>0.05</v>
      </c>
      <c r="AK16" s="126">
        <f>IF(AI16="","",AI16*AJ16)</f>
        <v>0.175</v>
      </c>
      <c r="AL16" s="124" t="n">
        <v>10</v>
      </c>
      <c r="AM16" s="125">
        <f>IFERROR(INDEX(WM_E,MATCH($Y16,WM_KEY,0)),"")</f>
        <v>0.15</v>
      </c>
      <c r="AN16" s="126">
        <f>IF(AL16="","",AL16*AM16)</f>
        <v>1.5</v>
      </c>
      <c r="AO16" s="127" t="n">
        <v>4.5</v>
      </c>
      <c r="AP16" s="125">
        <f>IFERROR(INDEX(WM_BI,MATCH($Y16,WM_KEY,0)),"")</f>
        <v>0.07</v>
      </c>
      <c r="AQ16" s="126">
        <f>IF(AO16="","",AO16*AP16)</f>
        <v>0.315</v>
      </c>
      <c r="AR16" s="126">
        <f>IF(COUNT(AB16,AE16,AH16,AK16,AN16,AQ16)&lt;6,"",SUM(AB16,AE16,AH16,AK16,AN16,AQ16))</f>
        <v>5.42</v>
      </c>
      <c r="AS16" s="128" t="str">
        <f>IF(AR16="","",INDEX({"A1","A2","A3","B1","B2","B3","C1","C2","D1","D2","E1","E2"},MAX(1,MIN(12,ROUND(AR16,0)))))</f>
        <v>B2</v>
      </c>
      <c r="AT16" s="129" t="inlineStr">
        <is>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16" s="130" t="inlineStr">
        <is>
          <r>
            <rPr>
              <rFont val="Calibri"/>
              <b val="1"/>
              <sz val="10"/>
            </rPr>
            <t>At build:</t>
          </r>
          <r>
            <rPr>
              <rFont val="Calibri"/>
              <sz val="10"/>
            </rPr>
            <t xml:space="preserve"> Complexity 2.30 + Autonomy 0.68 + Accountability 0.45 + Leadership 0.18 + Experience 1.50 + Business impact 0.32
= 5.42 points → nearest level 5 = B2
</t>
          </r>
          <r>
            <rPr>
              <rFont val="Calibri"/>
              <b val="1"/>
              <sz val="10"/>
            </rPr>
            <t>Final level:</t>
          </r>
          <r>
            <rPr>
              <rFont val="Calibri"/>
              <sz val="10"/>
            </rPr>
            <t xml:space="preserve"> B2 · same as the score</t>
          </r>
        </is>
      </c>
      <c r="AV16" s="130" t="inlineStr">
        <is>
          <r>
            <rPr>
              <rFont val="Calibri"/>
              <b val="1"/>
              <sz val="10"/>
            </rPr>
            <t>No rule applied:</t>
          </r>
          <r>
            <rPr>
              <rFont val="Calibri"/>
              <sz val="10"/>
            </rPr>
            <t xml:space="preserve"> the score decides.</t>
          </r>
        </is>
      </c>
      <c r="AW16" s="131"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Spans statutory compliance, subsidiary book closing, audits, banking, forex hedging and regulatory notices → matches the start
</t>
          </r>
          <r>
            <rPr>
              <rFont val="Calibri"/>
              <b val="1"/>
              <sz val="10"/>
            </rPr>
            <t>Market:</t>
          </r>
          <r>
            <rPr>
              <rFont val="Calibri"/>
              <sz val="10"/>
            </rPr>
            <t xml:space="preserve"> B2 = Hardest problems in the domain</t>
          </r>
        </is>
      </c>
      <c r="AX16" s="132"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States decides 'Nothing' independently, though approves entries and executes forex hedging → moved down 1
</t>
          </r>
          <r>
            <rPr>
              <rFont val="Calibri"/>
              <b val="1"/>
              <sz val="10"/>
            </rPr>
            <t>Market:</t>
          </r>
          <r>
            <rPr>
              <rFont val="Calibri"/>
              <sz val="10"/>
            </rPr>
            <t xml:space="preserve"> B1 = Technical / QC / client calls for the domain</t>
          </r>
        </is>
      </c>
      <c r="AY16" s="132" t="inlineStr">
        <is>
          <r>
            <rPr>
              <rFont val="Calibri"/>
              <sz val="10"/>
            </rPr>
            <t xml:space="preserve">Rated 4.5 of 12 · between B1 and B2
</t>
          </r>
          <r>
            <rPr>
              <rFont val="Calibri"/>
              <b val="1"/>
              <sz val="10"/>
            </rPr>
            <t>Start:</t>
          </r>
          <r>
            <rPr>
              <rFont val="Calibri"/>
              <sz val="10"/>
            </rPr>
            <t xml:space="preserve"> 4.2 · manager / senior specialist title; 1 direct report, 5 people below, 1 of them leads a team
</t>
          </r>
          <r>
            <rPr>
              <rFont val="Calibri"/>
              <b val="1"/>
              <sz val="10"/>
            </rPr>
            <t>Evidence reads like B2:</t>
          </r>
          <r>
            <rPr>
              <rFont val="Calibri"/>
              <sz val="10"/>
            </rPr>
            <t xml:space="preserve"> own survey / KRA answers · summarised by the rater; not quoted → moved up 0.2
</t>
          </r>
          <r>
            <rPr>
              <rFont val="Calibri"/>
              <b val="1"/>
              <sz val="10"/>
            </rPr>
            <t>Market:</t>
          </r>
          <r>
            <rPr>
              <rFont val="Calibri"/>
              <sz val="10"/>
            </rPr>
            <t xml:space="preserve"> B1 = A domain or a small team · B2 = One team or a client portfolio</t>
          </r>
        </is>
      </c>
      <c r="AZ16" s="132" t="inlineStr">
        <is>
          <r>
            <rPr>
              <rFont val="Calibri"/>
              <sz val="10"/>
            </rPr>
            <t xml:space="preserve">Rated 3.5 of 12 · between A3 and B1
</t>
          </r>
          <r>
            <rPr>
              <rFont val="Calibri"/>
              <b val="1"/>
              <sz val="10"/>
            </rPr>
            <t>Start:</t>
          </r>
          <r>
            <rPr>
              <rFont val="Calibri"/>
              <sz val="10"/>
            </rPr>
            <t xml:space="preserve"> 4.0
</t>
          </r>
          <r>
            <rPr>
              <rFont val="Calibri"/>
              <b val="1"/>
              <sz val="10"/>
            </rPr>
            <t>Evidence reads like A3:</t>
          </r>
          <r>
            <rPr>
              <rFont val="Calibri"/>
              <sz val="10"/>
            </rPr>
            <t xml:space="preserve"> Approves entries and gets work done through others; 1 direct report → moved down 0.5
</t>
          </r>
          <r>
            <rPr>
              <rFont val="Calibri"/>
              <b val="1"/>
              <sz val="10"/>
            </rPr>
            <t>Team:</t>
          </r>
          <r>
            <rPr>
              <rFont val="Calibri"/>
              <sz val="10"/>
            </rPr>
            <t xml:space="preserve"> 1 direct report · POD Lead
</t>
          </r>
          <r>
            <rPr>
              <rFont val="Calibri"/>
              <b val="1"/>
              <sz val="10"/>
            </rPr>
            <t>Market:</t>
          </r>
          <r>
            <rPr>
              <rFont val="Calibri"/>
              <sz val="10"/>
            </rPr>
            <t xml:space="preserve"> A3 = Not scored in Band A · B1 = IC: mentors and reviews · People: hands-on team lead of 3–5</t>
          </r>
        </is>
      </c>
      <c r="BA16" s="132" t="inlineStr">
        <is>
          <r>
            <rPr>
              <rFont val="Calibri"/>
              <sz val="10"/>
            </rPr>
            <t xml:space="preserve">Rated 10 of 12
</t>
          </r>
          <r>
            <rPr>
              <rFont val="Calibri"/>
              <b val="1"/>
              <sz val="10"/>
            </rPr>
            <t>Experience:</t>
          </r>
          <r>
            <rPr>
              <rFont val="Calibri"/>
              <sz val="10"/>
            </rPr>
            <t xml:space="preserve"> 19.9 yrs total · 8.2 before IRIS + 11.7 at IRIS = 9.7 on the experience scale
</t>
          </r>
          <r>
            <rPr>
              <rFont val="Calibri"/>
              <b val="1"/>
              <sz val="10"/>
            </rPr>
            <t>Qualification:</t>
          </r>
          <r>
            <rPr>
              <rFont val="Calibri"/>
              <sz val="10"/>
            </rPr>
            <t xml:space="preserve"> PGDM · postgraduate, relevant to the work → +0.5
</t>
          </r>
          <r>
            <rPr>
              <rFont val="Calibri"/>
              <b val="1"/>
              <sz val="10"/>
            </rPr>
            <t>Market:</t>
          </r>
          <r>
            <rPr>
              <rFont val="Calibri"/>
              <sz val="10"/>
            </rPr>
            <t xml:space="preserve"> B2 roles typically have 6–10 yrs · IRIS guide 6–9</t>
          </r>
        </is>
      </c>
      <c r="BB16" s="132" t="inlineStr">
        <is>
          <r>
            <rPr>
              <rFont val="Calibri"/>
              <sz val="10"/>
            </rPr>
            <t xml:space="preserve">Rated 4.5 of 12 — a starting estimate.
</t>
          </r>
          <r>
            <rPr>
              <rFont val="Calibri"/>
              <b val="1"/>
              <sz val="10"/>
            </rPr>
            <t>Start:</t>
          </r>
          <r>
            <rPr>
              <rFont val="Calibri"/>
              <sz val="10"/>
            </rPr>
            <t xml:space="preserve"> 4.5,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16" s="133" t="inlineStr"/>
      <c r="BD16" s="134" t="inlineStr">
        <is>
          <t>✓ HRIS: 19.9 yrs, PGDM, 1 direct report
✓ Survey: 19 of 20 questions answered
✗ KRAs: none on file
✓ Manager mapping: rating, 9-box
✗ Job description: not on file</t>
        </is>
      </c>
      <c r="BE16" s="134" t="inlineStr">
        <is>
          <r>
            <rPr>
              <rFont val="Calibri"/>
              <b val="1"/>
              <sz val="10"/>
            </rPr>
            <t>Market level:</t>
          </r>
          <r>
            <rPr>
              <rFont val="Calibri"/>
              <sz val="10"/>
            </rPr>
            <t xml:space="preserve"> P4 / M3 · SFIA 4–5
</t>
          </r>
          <r>
            <rPr>
              <rFont val="Calibri"/>
              <b val="1"/>
              <sz val="10"/>
            </rPr>
            <t>Typical title:</t>
          </r>
          <r>
            <rPr>
              <rFont val="Calibri"/>
              <sz val="10"/>
            </rPr>
            <t xml:space="preserve"> Finance Specialist / Asst. Manager
</t>
          </r>
          <r>
            <rPr>
              <rFont val="Calibri"/>
              <b val="1"/>
              <sz val="10"/>
            </rPr>
            <t>At peers:</t>
          </r>
          <r>
            <rPr>
              <rFont val="Calibri"/>
              <sz val="10"/>
            </rPr>
            <t xml:space="preserve"> Atlassian company-wide P-levels – P50 Senior · Toppan Merrill – Senior Financial Analyst · IRIS Vs Competitor Benchmark — finance ladder: Finance Manager
</t>
          </r>
          <r>
            <rPr>
              <rFont val="Calibri"/>
              <b val="1"/>
              <sz val="10"/>
            </rPr>
            <t>Typical experience:</t>
          </r>
          <r>
            <rPr>
              <rFont val="Calibri"/>
              <sz val="10"/>
            </rPr>
            <t xml:space="preserve"> 6–10 yrs · IRIS guide 6–9
</t>
          </r>
          <r>
            <rPr>
              <rFont val="Calibri"/>
              <b val="1"/>
              <sz val="10"/>
            </rPr>
            <t>Standard:</t>
          </r>
          <r>
            <rPr>
              <rFont val="Calibri"/>
              <sz val="10"/>
            </rPr>
            <t xml:space="preserve"> IMA Management Accounting Competency Framework; ICAI / CA</t>
          </r>
        </is>
      </c>
      <c r="BF16" s="134" t="inlineStr">
        <is>
          <t>Medium</t>
        </is>
      </c>
      <c r="BG16" s="134" t="inlineStr"/>
      <c r="BH16" s="134" t="inlineStr"/>
      <c r="BI16" s="135" t="n"/>
      <c r="BJ16" s="136" t="n"/>
      <c r="BK16" s="136" t="n"/>
      <c r="BL16" s="136" t="n"/>
      <c r="BM16" s="136" t="n"/>
      <c r="BN16" s="137" t="n"/>
      <c r="BO16" s="120" t="n"/>
      <c r="BP16" s="120" t="n"/>
      <c r="BQ16" s="120" t="n"/>
      <c r="BR16" s="120" t="n"/>
      <c r="BS16" s="120" t="n"/>
      <c r="BT16" s="120" t="n"/>
      <c r="BU16" s="120" t="n"/>
      <c r="BV16" s="120" t="n">
        <v>4.5</v>
      </c>
    </row>
    <row r="17" ht="340" customHeight="1">
      <c r="A17" s="109" t="inlineStr">
        <is>
          <t>IRIS1724</t>
        </is>
      </c>
      <c r="B17" s="110" t="inlineStr">
        <is>
          <t>Anita Chavan</t>
        </is>
      </c>
      <c r="C17" s="111" t="inlineStr">
        <is>
          <t>Finance</t>
        </is>
      </c>
      <c r="D17" s="111" t="inlineStr">
        <is>
          <t>Shreya Singh</t>
        </is>
      </c>
      <c r="E17" s="112" t="n">
        <v>20.6</v>
      </c>
      <c r="F17" s="112" t="n">
        <v>8.300000000000001</v>
      </c>
      <c r="G17" s="111" t="inlineStr">
        <is>
          <t>B.Com</t>
        </is>
      </c>
      <c r="H17" s="138" t="inlineStr">
        <is>
          <t>Senior Executive Accounts</t>
        </is>
      </c>
      <c r="I17" s="115" t="inlineStr">
        <is>
          <t>Accounts Specialist – POD Lead</t>
        </is>
      </c>
      <c r="J17" s="114" t="inlineStr">
        <is>
          <t>Finance &amp; Accounts</t>
        </is>
      </c>
      <c r="K17" s="114" t="inlineStr">
        <is>
          <t>Accounting &amp; Transaction Processing</t>
        </is>
      </c>
      <c r="L17" s="115" t="inlineStr">
        <is>
          <t>Not in current mapping files</t>
        </is>
      </c>
      <c r="M17" s="116" t="inlineStr">
        <is>
          <t>B1</t>
        </is>
      </c>
      <c r="N17" s="21" t="inlineStr">
        <is>
          <t>Specialist · POD Lead</t>
        </is>
      </c>
      <c r="O17" s="23" t="inlineStr">
        <is>
          <t>B</t>
        </is>
      </c>
      <c r="P17" s="114" t="inlineStr">
        <is>
          <t>POD Lead</t>
        </is>
      </c>
      <c r="Q17" s="117" t="inlineStr">
        <is>
          <t>● Newly mapped</t>
        </is>
      </c>
      <c r="R17" s="118" t="inlineStr">
        <is>
          <r>
            <rPr>
              <rFont val="Calibri"/>
              <b val="1"/>
              <sz val="10"/>
            </rPr>
            <t>WHAT THE ROLE DOES:</t>
          </r>
          <r>
            <rPr>
              <rFont val="Calibri"/>
              <sz val="10"/>
            </rPr>
            <t xml:space="preserve"> Processes payments, entries and reconciliations. At B1: a domain / module, or a small team.
</t>
          </r>
          <r>
            <rPr>
              <rFont val="Calibri"/>
              <b val="1"/>
              <sz val="10"/>
            </rPr>
            <t>Common themes in sub-family holders, all levels' answers:</t>
          </r>
          <r>
            <rPr>
              <rFont val="Calibri"/>
              <sz val="10"/>
            </rPr>
            <t xml:space="preserve"> compliance · reporting · bank
</t>
          </r>
          <r>
            <rPr>
              <rFont val="Calibri"/>
              <b val="1"/>
              <sz val="10"/>
            </rPr>
            <t>KEY RESPONSIBILITIES:</t>
          </r>
          <r>
            <rPr>
              <rFont val="Calibri"/>
              <sz val="10"/>
            </rPr>
            <t xml:space="preserve"> Processes payments, entries and reconciliations; Domain specialist work; A domain or a small team
</t>
          </r>
          <r>
            <rPr>
              <rFont val="Calibri"/>
              <b val="1"/>
              <sz val="10"/>
            </rPr>
            <t>Common themes in sub-family holders, all levels' answers:</t>
          </r>
          <r>
            <rPr>
              <rFont val="Calibri"/>
              <sz val="10"/>
            </rPr>
            <t xml:space="preserve"> bank · employee · compliance · gst · sales · creation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timely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bank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compliance
</t>
          </r>
          <r>
            <rPr>
              <rFont val="Calibri"/>
              <b val="1"/>
              <sz val="10"/>
            </rPr>
            <t>SKILLS &amp; KNOWLEDGE · role-holders:</t>
          </r>
          <r>
            <rPr>
              <rFont val="Calibri"/>
              <sz val="10"/>
            </rPr>
            <t xml:space="preserve"> accounting
COMPETENCIES REQUIRED — must-have ★: Accounting &amp; Reporting Standards · IFRS/US GAAP · Advanced Excel &amp; Productivity Tools
</t>
          </r>
          <r>
            <rPr>
              <rFont val="Calibri"/>
              <b val="1"/>
              <sz val="10"/>
            </rPr>
            <t>OTHER FUNCTIONAL COMPETENCIES:</t>
          </r>
          <r>
            <rPr>
              <rFont val="Calibri"/>
              <sz val="10"/>
            </rPr>
            <t xml:space="preserve"> Regulatory &amp; BFSI Domain · Data Analytics, BI &amp; Visualisation · Process Improvement &amp; Quality Mindset · Strategic Thinking &amp; Business Acumen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CA / CMA / ACCA / CFA / IFRS certificate; MOS Excel · optional
</t>
          </r>
          <r>
            <rPr>
              <rFont val="Calibri"/>
              <b val="1"/>
              <sz val="10"/>
            </rPr>
            <t>SOURCE:</t>
          </r>
          <r>
            <rPr>
              <rFont val="Calibri"/>
              <sz val="10"/>
            </rPr>
            <t xml:space="preserve"> Framework + sub-family themes · 3+ answered — 2 holders, 2 answered the survey; sub-family 4 answered; catalogue RC-096</t>
          </r>
        </is>
      </c>
      <c r="S17"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t>
          </r>
          <r>
            <rPr>
              <rFont val="Calibri"/>
              <b val="1"/>
              <sz val="10"/>
            </rPr>
            <t>If the work is missed · role-holders' themes:</t>
          </r>
          <r>
            <rPr>
              <rFont val="Calibri"/>
              <sz val="10"/>
            </rPr>
            <t xml:space="preserve"> delayed.
Manager talent mapping — Latest rating: Not rated · manager · 9-Box Grid placement: Not placed · manager.</t>
          </r>
        </is>
      </c>
      <c r="T17" s="120" t="n"/>
      <c r="U17" s="121" t="inlineStr">
        <is>
          <r>
            <rPr>
              <rFont val="Calibri"/>
              <sz val="10"/>
            </rPr>
            <t xml:space="preserve">Accounts Specialist – POD Lead in Finance · Corporate, B1 — POD Lead.
</t>
          </r>
          <r>
            <rPr>
              <rFont val="Calibri"/>
              <b val="1"/>
              <sz val="10"/>
            </rPr>
            <t>The work:</t>
          </r>
          <r>
            <rPr>
              <rFont val="Calibri"/>
              <sz val="10"/>
            </rPr>
            <t xml:space="preserve"> Processes payments, entries and reconciliations.
At this level the role owns a domain / module, or a small team.
</t>
          </r>
          <r>
            <rPr>
              <rFont val="Calibri"/>
              <b val="1"/>
              <sz val="10"/>
            </rPr>
            <t>Key responsibilities:</t>
          </r>
          <r>
            <rPr>
              <rFont val="Calibri"/>
              <sz val="10"/>
            </rPr>
            <t xml:space="preserve"> Processes payments, entries and reconciliations; Domain specialist work; A domain or a small team.
</t>
          </r>
          <r>
            <rPr>
              <rFont val="Calibri"/>
              <b val="1"/>
              <sz val="10"/>
            </rPr>
            <t>Holders describe it with:</t>
          </r>
          <r>
            <rPr>
              <rFont val="Calibri"/>
              <sz val="10"/>
            </rPr>
            <t xml:space="preserve"> bank · employee · compliance · gst · sales · creation.
Leads 1 direct report.</t>
          </r>
        </is>
      </c>
      <c r="V17" s="122" t="inlineStr">
        <is>
          <r>
            <rPr>
              <rFont val="Calibri"/>
              <b val="1"/>
              <sz val="10"/>
            </rPr>
            <t>Hire as:</t>
          </r>
          <r>
            <rPr>
              <rFont val="Calibri"/>
              <sz val="10"/>
            </rPr>
            <t xml:space="preserve"> Senior Accountant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Toppan Merrill – Senior Accountant · IRIS Vs Competitor Benchmark — finance ladder – Finance Specialist / Asst. Manager
</t>
          </r>
          <r>
            <rPr>
              <rFont val="Calibri"/>
              <b val="1"/>
              <sz val="10"/>
            </rPr>
            <t>Credentials:</t>
          </r>
          <r>
            <rPr>
              <rFont val="Calibri"/>
              <sz val="10"/>
            </rPr>
            <t xml:space="preserve"> CA / CMA / ACCA / CFA / IFRS certificate; MOS Excel · optional
</t>
          </r>
          <r>
            <rPr>
              <rFont val="Calibri"/>
              <b val="1"/>
              <sz val="10"/>
            </rPr>
            <t>Must already know:</t>
          </r>
          <r>
            <rPr>
              <rFont val="Calibri"/>
              <sz val="10"/>
            </rPr>
            <t xml:space="preserve"> Statutory compliance · GST, TDS, audit</t>
          </r>
        </is>
      </c>
      <c r="W17" s="122" t="inlineStr">
        <is>
          <r>
            <rPr>
              <rFont val="Calibri"/>
              <sz val="10"/>
            </rPr>
            <t xml:space="preserve">FUNCTIONAL — skill level 3 of 5 · Practitioner
 ★ Accounting &amp; Reporting Standards · IFRS/US GAAP: Applies IFRS / US GAAP / Ind AS correctly
 ★ Advanced Excel &amp; Productivity Tools: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accounting
★ = must-have for the family. Scale: 1 Awareness · 2 Working · 3 Practitioner · 4 Advanced · 5 Expert.</t>
          </r>
        </is>
      </c>
      <c r="X17" s="122" t="inlineStr">
        <is>
          <r>
            <rPr>
              <rFont val="Calibri"/>
              <sz val="10"/>
            </rPr>
            <t xml:space="preserve">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7" s="123" t="inlineStr">
        <is>
          <t>Corporate · Finance · Band B · Expert / POD Lead</t>
        </is>
      </c>
      <c r="Z17" s="124" t="n">
        <v>3</v>
      </c>
      <c r="AA17" s="125">
        <f>IFERROR(INDEX(WM_C,MATCH($Y17,WM_KEY,0)),"")</f>
        <v>0.46</v>
      </c>
      <c r="AB17" s="126">
        <f>IF(Z17="","",Z17*AA17)</f>
        <v>1.38</v>
      </c>
      <c r="AC17" s="124" t="n">
        <v>2.5</v>
      </c>
      <c r="AD17" s="125">
        <f>IFERROR(INDEX(WM_AU,MATCH($Y17,WM_KEY,0)),"")</f>
        <v>0.17</v>
      </c>
      <c r="AE17" s="126">
        <f>IF(AC17="","",AC17*AD17)</f>
        <v>0.425</v>
      </c>
      <c r="AF17" s="124" t="n">
        <v>3</v>
      </c>
      <c r="AG17" s="125">
        <f>IFERROR(INDEX(WM_AC,MATCH($Y17,WM_KEY,0)),"")</f>
        <v>0.1</v>
      </c>
      <c r="AH17" s="126">
        <f>IF(AF17="","",AF17*AG17)</f>
        <v>0.3</v>
      </c>
      <c r="AI17" s="124" t="n">
        <v>2.5</v>
      </c>
      <c r="AJ17" s="125">
        <f>IFERROR(INDEX(WM_L,MATCH($Y17,WM_KEY,0)),"")</f>
        <v>0.05</v>
      </c>
      <c r="AK17" s="126">
        <f>IF(AI17="","",AI17*AJ17)</f>
        <v>0.125</v>
      </c>
      <c r="AL17" s="124" t="n">
        <v>10</v>
      </c>
      <c r="AM17" s="125">
        <f>IFERROR(INDEX(WM_E,MATCH($Y17,WM_KEY,0)),"")</f>
        <v>0.15</v>
      </c>
      <c r="AN17" s="126">
        <f>IF(AL17="","",AL17*AM17)</f>
        <v>1.5</v>
      </c>
      <c r="AO17" s="127" t="n">
        <v>3</v>
      </c>
      <c r="AP17" s="125">
        <f>IFERROR(INDEX(WM_BI,MATCH($Y17,WM_KEY,0)),"")</f>
        <v>0.07</v>
      </c>
      <c r="AQ17" s="126">
        <f>IF(AO17="","",AO17*AP17)</f>
        <v>0.21</v>
      </c>
      <c r="AR17" s="126">
        <f>IF(COUNT(AB17,AE17,AH17,AK17,AN17,AQ17)&lt;6,"",SUM(AB17,AE17,AH17,AK17,AN17,AQ17))</f>
        <v>3.94</v>
      </c>
      <c r="AS17" s="128" t="str">
        <f>IF(AR17="","",INDEX({"A1","A2","A3","B1","B2","B3","C1","C2","D1","D2","E1","E2"},MAX(1,MIN(12,ROUND(AR17,0)))))</f>
        <v>B1</v>
      </c>
      <c r="AT17" s="129" t="inlineStr">
        <is>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17" s="130" t="inlineStr">
        <is>
          <r>
            <rPr>
              <rFont val="Calibri"/>
              <b val="1"/>
              <sz val="10"/>
            </rPr>
            <t>At build:</t>
          </r>
          <r>
            <rPr>
              <rFont val="Calibri"/>
              <sz val="10"/>
            </rPr>
            <t xml:space="preserve"> Complexity 1.38 + Autonomy 0.43 + Accountability 0.30 + Leadership 0.12 + Experience 1.50 + Business impact 0.21
= 3.94 points → nearest level 4 = B1
</t>
          </r>
          <r>
            <rPr>
              <rFont val="Calibri"/>
              <b val="1"/>
              <sz val="10"/>
            </rPr>
            <t>Final level:</t>
          </r>
          <r>
            <rPr>
              <rFont val="Calibri"/>
              <sz val="10"/>
            </rPr>
            <t xml:space="preserve"> B1 · same as the score</t>
          </r>
        </is>
      </c>
      <c r="AV17" s="130" t="inlineStr">
        <is>
          <r>
            <rPr>
              <rFont val="Calibri"/>
              <b val="1"/>
              <sz val="10"/>
            </rPr>
            <t>No rule applied:</t>
          </r>
          <r>
            <rPr>
              <rFont val="Calibri"/>
              <sz val="10"/>
            </rPr>
            <t xml:space="preserve"> the score decides.</t>
          </r>
        </is>
      </c>
      <c r="AW17"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Bank payments, TDS and GST compliance, reimbursements, ledger reconciliations, audit and reporting → matches the start
</t>
          </r>
          <r>
            <rPr>
              <rFont val="Calibri"/>
              <b val="1"/>
              <sz val="10"/>
            </rPr>
            <t>Market:</t>
          </r>
          <r>
            <rPr>
              <rFont val="Calibri"/>
              <sz val="10"/>
            </rPr>
            <t xml:space="preserve"> A3 = Varied and non-standard work; handles exceptions</t>
          </r>
        </is>
      </c>
      <c r="AX17"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within compliance activities; routine → moved down 0.5
</t>
          </r>
          <r>
            <rPr>
              <rFont val="Calibri"/>
              <b val="1"/>
              <sz val="10"/>
            </rPr>
            <t>Market:</t>
          </r>
          <r>
            <rPr>
              <rFont val="Calibri"/>
              <sz val="10"/>
            </rPr>
            <t xml:space="preserve"> A2 = Chooses own approach within standards · A3 = Technical / QC / client calls on own work</t>
          </r>
        </is>
      </c>
      <c r="AY17" s="132" t="inlineStr">
        <is>
          <r>
            <rPr>
              <rFont val="Calibri"/>
              <sz val="10"/>
            </rPr>
            <t xml:space="preserve">Rated 3 of 12
</t>
          </r>
          <r>
            <rPr>
              <rFont val="Calibri"/>
              <b val="1"/>
              <sz val="10"/>
            </rPr>
            <t>Start:</t>
          </r>
          <r>
            <rPr>
              <rFont val="Calibri"/>
              <sz val="10"/>
            </rPr>
            <t xml:space="preserve"> 3.5 · senior practitioner title; 1 direct report
</t>
          </r>
          <r>
            <rPr>
              <rFont val="Calibri"/>
              <b val="1"/>
              <sz val="10"/>
            </rPr>
            <t>Evidence reads like A3:</t>
          </r>
          <r>
            <rPr>
              <rFont val="Calibri"/>
              <sz val="10"/>
            </rPr>
            <t xml:space="preserve"> Timely statutory and bank payments; delays bring penalties or interest → moved down 0.5
</t>
          </r>
          <r>
            <rPr>
              <rFont val="Calibri"/>
              <b val="1"/>
              <sz val="10"/>
            </rPr>
            <t>Market:</t>
          </r>
          <r>
            <rPr>
              <rFont val="Calibri"/>
              <sz val="10"/>
            </rPr>
            <t xml:space="preserve"> A3 = A module / process, or work with client or regulatory consequences</t>
          </r>
        </is>
      </c>
      <c r="AZ17" s="132" t="inlineStr">
        <is>
          <r>
            <rPr>
              <rFont val="Calibri"/>
              <sz val="10"/>
            </rPr>
            <t xml:space="preserve">Rated 2.5 of 12 · between A2 and A3
</t>
          </r>
          <r>
            <rPr>
              <rFont val="Calibri"/>
              <b val="1"/>
              <sz val="10"/>
            </rPr>
            <t>Start:</t>
          </r>
          <r>
            <rPr>
              <rFont val="Calibri"/>
              <sz val="10"/>
            </rPr>
            <t xml:space="preserve"> 3.5
</t>
          </r>
          <r>
            <rPr>
              <rFont val="Calibri"/>
              <b val="1"/>
              <sz val="10"/>
            </rPr>
            <t>Evidence reads like A1:</t>
          </r>
          <r>
            <rPr>
              <rFont val="Calibri"/>
              <sz val="10"/>
            </rPr>
            <t xml:space="preserve"> No guidance of others described despite 1 direct report → moved down 1
</t>
          </r>
          <r>
            <rPr>
              <rFont val="Calibri"/>
              <b val="1"/>
              <sz val="10"/>
            </rPr>
            <t>Team:</t>
          </r>
          <r>
            <rPr>
              <rFont val="Calibri"/>
              <sz val="10"/>
            </rPr>
            <t xml:space="preserve"> 1 direct report · POD Lead
</t>
          </r>
          <r>
            <rPr>
              <rFont val="Calibri"/>
              <b val="1"/>
              <sz val="10"/>
            </rPr>
            <t>Market:</t>
          </r>
          <r>
            <rPr>
              <rFont val="Calibri"/>
              <sz val="10"/>
            </rPr>
            <t xml:space="preserve"> A2–A3 = Not scored in Band A</t>
          </r>
        </is>
      </c>
      <c r="BA17" s="132" t="inlineStr">
        <is>
          <r>
            <rPr>
              <rFont val="Calibri"/>
              <sz val="10"/>
            </rPr>
            <t xml:space="preserve">Rated 10 of 12
</t>
          </r>
          <r>
            <rPr>
              <rFont val="Calibri"/>
              <b val="1"/>
              <sz val="10"/>
            </rPr>
            <t>Experience:</t>
          </r>
          <r>
            <rPr>
              <rFont val="Calibri"/>
              <sz val="10"/>
            </rPr>
            <t xml:space="preserve"> 20.6 yrs total · 12.3 before IRIS + 8.3 at IRIS = 9.9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B1 roles typically have 4–8 yrs · IRIS guide 4–7</t>
          </r>
        </is>
      </c>
      <c r="BB17"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7" s="133" t="inlineStr"/>
      <c r="BD17" s="134" t="inlineStr">
        <is>
          <t>✓ HRIS: 20.6 yrs, B.Com, 1 direct report
✓ Survey: 20 of 20 questions answered
✗ KRAs: none on file
✓ Manager mapping: rating, 9-box
✗ Job description: not on file</t>
        </is>
      </c>
      <c r="BE17"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Accountant
</t>
          </r>
          <r>
            <rPr>
              <rFont val="Calibri"/>
              <b val="1"/>
              <sz val="10"/>
            </rPr>
            <t>At peers:</t>
          </r>
          <r>
            <rPr>
              <rFont val="Calibri"/>
              <sz val="10"/>
            </rPr>
            <t xml:space="preserve"> Toppan Merrill – Senior Accountant · IRIS Vs Competitor Benchmark — finance ladder: Finance Specialist / Asst. Manager
</t>
          </r>
          <r>
            <rPr>
              <rFont val="Calibri"/>
              <b val="1"/>
              <sz val="10"/>
            </rPr>
            <t>Typical experience:</t>
          </r>
          <r>
            <rPr>
              <rFont val="Calibri"/>
              <sz val="10"/>
            </rPr>
            <t xml:space="preserve"> 4–8 yrs · IRIS guide 4–7
</t>
          </r>
          <r>
            <rPr>
              <rFont val="Calibri"/>
              <b val="1"/>
              <sz val="10"/>
            </rPr>
            <t>Standard:</t>
          </r>
          <r>
            <rPr>
              <rFont val="Calibri"/>
              <sz val="10"/>
            </rPr>
            <t xml:space="preserve"> IMA Management Accounting Competency Framework; ICAI / CA</t>
          </r>
        </is>
      </c>
      <c r="BF17" s="134" t="inlineStr">
        <is>
          <t>Medium</t>
        </is>
      </c>
      <c r="BG17" s="134" t="inlineStr"/>
      <c r="BH17" s="134" t="inlineStr"/>
      <c r="BI17" s="135" t="n"/>
      <c r="BJ17" s="136" t="n"/>
      <c r="BK17" s="136" t="n"/>
      <c r="BL17" s="136" t="n"/>
      <c r="BM17" s="136" t="n"/>
      <c r="BN17" s="137" t="n"/>
      <c r="BO17" s="120" t="n"/>
      <c r="BP17" s="120" t="n"/>
      <c r="BQ17" s="120" t="n"/>
      <c r="BR17" s="120" t="n"/>
      <c r="BS17" s="120" t="n"/>
      <c r="BT17" s="120" t="n"/>
      <c r="BU17" s="120" t="n"/>
      <c r="BV17" s="120" t="n">
        <v>3</v>
      </c>
    </row>
    <row r="18" ht="340" customHeight="1">
      <c r="A18" s="109" t="inlineStr">
        <is>
          <t>IRIS1557</t>
        </is>
      </c>
      <c r="B18" s="110" t="inlineStr">
        <is>
          <t>Gaurangee Gaurav Tawde</t>
        </is>
      </c>
      <c r="C18" s="111" t="inlineStr">
        <is>
          <t>Finance</t>
        </is>
      </c>
      <c r="D18" s="111" t="inlineStr">
        <is>
          <t>Shreya Singh</t>
        </is>
      </c>
      <c r="E18" s="112" t="n">
        <v>20.1</v>
      </c>
      <c r="F18" s="112" t="n">
        <v>11.1</v>
      </c>
      <c r="G18" s="111" t="inlineStr">
        <is>
          <t>PGDM</t>
        </is>
      </c>
      <c r="H18" s="138" t="inlineStr">
        <is>
          <t>Senior Executive Accounts</t>
        </is>
      </c>
      <c r="I18" s="115" t="inlineStr">
        <is>
          <t>Accounts Specialist – POD Lead</t>
        </is>
      </c>
      <c r="J18" s="114" t="inlineStr">
        <is>
          <t>Finance &amp; Accounts</t>
        </is>
      </c>
      <c r="K18" s="114" t="inlineStr">
        <is>
          <t>Accounting &amp; Transaction Processing</t>
        </is>
      </c>
      <c r="L18" s="115" t="inlineStr">
        <is>
          <t>Not in current mapping files</t>
        </is>
      </c>
      <c r="M18" s="116" t="inlineStr">
        <is>
          <t>B1</t>
        </is>
      </c>
      <c r="N18" s="21" t="inlineStr">
        <is>
          <t>Specialist · POD Lead</t>
        </is>
      </c>
      <c r="O18" s="23" t="inlineStr">
        <is>
          <t>B</t>
        </is>
      </c>
      <c r="P18" s="114" t="inlineStr">
        <is>
          <t>POD Lead</t>
        </is>
      </c>
      <c r="Q18" s="117" t="inlineStr">
        <is>
          <t>● Newly mapped</t>
        </is>
      </c>
      <c r="R18" s="118" t="inlineStr">
        <is>
          <r>
            <rPr>
              <rFont val="Calibri"/>
              <b val="1"/>
              <sz val="10"/>
            </rPr>
            <t>WHAT THE ROLE DOES:</t>
          </r>
          <r>
            <rPr>
              <rFont val="Calibri"/>
              <sz val="10"/>
            </rPr>
            <t xml:space="preserve"> Processes payments, entries and reconciliations. At B1: a domain / module, or a small team.
</t>
          </r>
          <r>
            <rPr>
              <rFont val="Calibri"/>
              <b val="1"/>
              <sz val="10"/>
            </rPr>
            <t>Common themes in sub-family holders, all levels' answers:</t>
          </r>
          <r>
            <rPr>
              <rFont val="Calibri"/>
              <sz val="10"/>
            </rPr>
            <t xml:space="preserve"> compliance · reporting · bank
</t>
          </r>
          <r>
            <rPr>
              <rFont val="Calibri"/>
              <b val="1"/>
              <sz val="10"/>
            </rPr>
            <t>KEY RESPONSIBILITIES:</t>
          </r>
          <r>
            <rPr>
              <rFont val="Calibri"/>
              <sz val="10"/>
            </rPr>
            <t xml:space="preserve"> Processes payments, entries and reconciliations; Domain specialist work; A domain or a small team
</t>
          </r>
          <r>
            <rPr>
              <rFont val="Calibri"/>
              <b val="1"/>
              <sz val="10"/>
            </rPr>
            <t>Common themes in sub-family holders, all levels' answers:</t>
          </r>
          <r>
            <rPr>
              <rFont val="Calibri"/>
              <sz val="10"/>
            </rPr>
            <t xml:space="preserve"> bank · employee · compliance · gst · sales · creation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timely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bank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compliance
</t>
          </r>
          <r>
            <rPr>
              <rFont val="Calibri"/>
              <b val="1"/>
              <sz val="10"/>
            </rPr>
            <t>SKILLS &amp; KNOWLEDGE · role-holders:</t>
          </r>
          <r>
            <rPr>
              <rFont val="Calibri"/>
              <sz val="10"/>
            </rPr>
            <t xml:space="preserve"> accounting
COMPETENCIES REQUIRED — must-have ★: Accounting &amp; Reporting Standards · IFRS/US GAAP · Advanced Excel &amp; Productivity Tools
</t>
          </r>
          <r>
            <rPr>
              <rFont val="Calibri"/>
              <b val="1"/>
              <sz val="10"/>
            </rPr>
            <t>OTHER FUNCTIONAL COMPETENCIES:</t>
          </r>
          <r>
            <rPr>
              <rFont val="Calibri"/>
              <sz val="10"/>
            </rPr>
            <t xml:space="preserve"> Regulatory &amp; BFSI Domain · Data Analytics, BI &amp; Visualisation · Process Improvement &amp; Quality Mindset · Strategic Thinking &amp; Business Acumen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CA / CMA / ACCA / CFA / IFRS certificate; MOS Excel · optional
</t>
          </r>
          <r>
            <rPr>
              <rFont val="Calibri"/>
              <b val="1"/>
              <sz val="10"/>
            </rPr>
            <t>SOURCE:</t>
          </r>
          <r>
            <rPr>
              <rFont val="Calibri"/>
              <sz val="10"/>
            </rPr>
            <t xml:space="preserve"> Framework + sub-family themes · 3+ answered — 2 holders, 2 answered the survey; sub-family 4 answered; catalogue RC-096</t>
          </r>
        </is>
      </c>
      <c r="S18"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t>
          </r>
          <r>
            <rPr>
              <rFont val="Calibri"/>
              <b val="1"/>
              <sz val="10"/>
            </rPr>
            <t>If the work is missed · role-holders' themes:</t>
          </r>
          <r>
            <rPr>
              <rFont val="Calibri"/>
              <sz val="10"/>
            </rPr>
            <t xml:space="preserve"> delayed.
Manager talent mapping — Latest rating: Not rated · manager · 9-Box Grid placement: Not placed · manager.</t>
          </r>
        </is>
      </c>
      <c r="T18" s="120" t="n"/>
      <c r="U18" s="121" t="inlineStr">
        <is>
          <r>
            <rPr>
              <rFont val="Calibri"/>
              <sz val="10"/>
            </rPr>
            <t xml:space="preserve">Accounts Specialist – POD Lead in Finance · Corporate, B1 — POD Lead.
</t>
          </r>
          <r>
            <rPr>
              <rFont val="Calibri"/>
              <b val="1"/>
              <sz val="10"/>
            </rPr>
            <t>The work:</t>
          </r>
          <r>
            <rPr>
              <rFont val="Calibri"/>
              <sz val="10"/>
            </rPr>
            <t xml:space="preserve"> Processes payments, entries and reconciliations.
At this level the role owns a domain / module, or a small team.
</t>
          </r>
          <r>
            <rPr>
              <rFont val="Calibri"/>
              <b val="1"/>
              <sz val="10"/>
            </rPr>
            <t>Key responsibilities:</t>
          </r>
          <r>
            <rPr>
              <rFont val="Calibri"/>
              <sz val="10"/>
            </rPr>
            <t xml:space="preserve"> Processes payments, entries and reconciliations; Domain specialist work; A domain or a small team.
</t>
          </r>
          <r>
            <rPr>
              <rFont val="Calibri"/>
              <b val="1"/>
              <sz val="10"/>
            </rPr>
            <t>Holders describe it with:</t>
          </r>
          <r>
            <rPr>
              <rFont val="Calibri"/>
              <sz val="10"/>
            </rPr>
            <t xml:space="preserve"> bank · employee · compliance · gst · sales · creation.
Leads 1 direct report.</t>
          </r>
        </is>
      </c>
      <c r="V18" s="122" t="inlineStr">
        <is>
          <r>
            <rPr>
              <rFont val="Calibri"/>
              <b val="1"/>
              <sz val="10"/>
            </rPr>
            <t>Hire as:</t>
          </r>
          <r>
            <rPr>
              <rFont val="Calibri"/>
              <sz val="10"/>
            </rPr>
            <t xml:space="preserve"> Senior Accountant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Toppan Merrill – Senior Accountant · IRIS Vs Competitor Benchmark — finance ladder – Finance Specialist / Asst. Manager
</t>
          </r>
          <r>
            <rPr>
              <rFont val="Calibri"/>
              <b val="1"/>
              <sz val="10"/>
            </rPr>
            <t>Credentials:</t>
          </r>
          <r>
            <rPr>
              <rFont val="Calibri"/>
              <sz val="10"/>
            </rPr>
            <t xml:space="preserve"> CA / CMA / ACCA / CFA / IFRS certificate; MOS Excel · optional
</t>
          </r>
          <r>
            <rPr>
              <rFont val="Calibri"/>
              <b val="1"/>
              <sz val="10"/>
            </rPr>
            <t>Must already know:</t>
          </r>
          <r>
            <rPr>
              <rFont val="Calibri"/>
              <sz val="10"/>
            </rPr>
            <t xml:space="preserve"> Statutory compliance · GST, TDS, audit</t>
          </r>
        </is>
      </c>
      <c r="W18" s="122" t="inlineStr">
        <is>
          <r>
            <rPr>
              <rFont val="Calibri"/>
              <sz val="10"/>
            </rPr>
            <t xml:space="preserve">FUNCTIONAL — skill level 3 of 5 · Practitioner
 ★ Accounting &amp; Reporting Standards · IFRS/US GAAP: Applies IFRS / US GAAP / Ind AS correctly
 ★ Advanced Excel &amp; Productivity Tools: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accounting
★ = must-have for the family. Scale: 1 Awareness · 2 Working · 3 Practitioner · 4 Advanced · 5 Expert.</t>
          </r>
        </is>
      </c>
      <c r="X18" s="122" t="inlineStr">
        <is>
          <r>
            <rPr>
              <rFont val="Calibri"/>
              <sz val="10"/>
            </rPr>
            <t xml:space="preserve">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8" s="123" t="inlineStr">
        <is>
          <t>Corporate · Finance · Band B · Expert / POD Lead</t>
        </is>
      </c>
      <c r="Z18" s="124" t="n">
        <v>3</v>
      </c>
      <c r="AA18" s="125">
        <f>IFERROR(INDEX(WM_C,MATCH($Y18,WM_KEY,0)),"")</f>
        <v>0.46</v>
      </c>
      <c r="AB18" s="126">
        <f>IF(Z18="","",Z18*AA18)</f>
        <v>1.38</v>
      </c>
      <c r="AC18" s="124" t="n">
        <v>2.5</v>
      </c>
      <c r="AD18" s="125">
        <f>IFERROR(INDEX(WM_AU,MATCH($Y18,WM_KEY,0)),"")</f>
        <v>0.17</v>
      </c>
      <c r="AE18" s="126">
        <f>IF(AC18="","",AC18*AD18)</f>
        <v>0.425</v>
      </c>
      <c r="AF18" s="124" t="n">
        <v>3</v>
      </c>
      <c r="AG18" s="125">
        <f>IFERROR(INDEX(WM_AC,MATCH($Y18,WM_KEY,0)),"")</f>
        <v>0.1</v>
      </c>
      <c r="AH18" s="126">
        <f>IF(AF18="","",AF18*AG18)</f>
        <v>0.3</v>
      </c>
      <c r="AI18" s="124" t="n">
        <v>2.5</v>
      </c>
      <c r="AJ18" s="125">
        <f>IFERROR(INDEX(WM_L,MATCH($Y18,WM_KEY,0)),"")</f>
        <v>0.05</v>
      </c>
      <c r="AK18" s="126">
        <f>IF(AI18="","",AI18*AJ18)</f>
        <v>0.125</v>
      </c>
      <c r="AL18" s="124" t="n">
        <v>10</v>
      </c>
      <c r="AM18" s="125">
        <f>IFERROR(INDEX(WM_E,MATCH($Y18,WM_KEY,0)),"")</f>
        <v>0.15</v>
      </c>
      <c r="AN18" s="126">
        <f>IF(AL18="","",AL18*AM18)</f>
        <v>1.5</v>
      </c>
      <c r="AO18" s="127" t="n">
        <v>3</v>
      </c>
      <c r="AP18" s="125">
        <f>IFERROR(INDEX(WM_BI,MATCH($Y18,WM_KEY,0)),"")</f>
        <v>0.07</v>
      </c>
      <c r="AQ18" s="126">
        <f>IF(AO18="","",AO18*AP18)</f>
        <v>0.21</v>
      </c>
      <c r="AR18" s="126">
        <f>IF(COUNT(AB18,AE18,AH18,AK18,AN18,AQ18)&lt;6,"",SUM(AB18,AE18,AH18,AK18,AN18,AQ18))</f>
        <v>3.94</v>
      </c>
      <c r="AS18" s="128" t="str">
        <f>IF(AR18="","",INDEX({"A1","A2","A3","B1","B2","B3","C1","C2","D1","D2","E1","E2"},MAX(1,MIN(12,ROUND(AR18,0)))))</f>
        <v>B1</v>
      </c>
      <c r="AT18" s="129" t="inlineStr">
        <is>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18" s="130" t="inlineStr">
        <is>
          <r>
            <rPr>
              <rFont val="Calibri"/>
              <b val="1"/>
              <sz val="10"/>
            </rPr>
            <t>At build:</t>
          </r>
          <r>
            <rPr>
              <rFont val="Calibri"/>
              <sz val="10"/>
            </rPr>
            <t xml:space="preserve"> Complexity 1.38 + Autonomy 0.43 + Accountability 0.30 + Leadership 0.12 + Experience 1.50 + Business impact 0.21
= 3.94 points → nearest level 4 = B1
</t>
          </r>
          <r>
            <rPr>
              <rFont val="Calibri"/>
              <b val="1"/>
              <sz val="10"/>
            </rPr>
            <t>Final level:</t>
          </r>
          <r>
            <rPr>
              <rFont val="Calibri"/>
              <sz val="10"/>
            </rPr>
            <t xml:space="preserve"> B1 · same as the score</t>
          </r>
        </is>
      </c>
      <c r="AV18" s="130" t="inlineStr">
        <is>
          <r>
            <rPr>
              <rFont val="Calibri"/>
              <b val="1"/>
              <sz val="10"/>
            </rPr>
            <t>No rule applied:</t>
          </r>
          <r>
            <rPr>
              <rFont val="Calibri"/>
              <sz val="10"/>
            </rPr>
            <t xml:space="preserve"> the score decides.</t>
          </r>
        </is>
      </c>
      <c r="AW18"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GST compliance, bank guarantees, Softex settlement, forward contract booking, audit coordination, MIS → matches the start
</t>
          </r>
          <r>
            <rPr>
              <rFont val="Calibri"/>
              <b val="1"/>
              <sz val="10"/>
            </rPr>
            <t>Market:</t>
          </r>
          <r>
            <rPr>
              <rFont val="Calibri"/>
              <sz val="10"/>
            </rPr>
            <t xml:space="preserve"> A3 = Varied and non-standard work; handles exceptions</t>
          </r>
        </is>
      </c>
      <c r="AX18"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within compliance work; nothing broader stated → moved down 0.5
</t>
          </r>
          <r>
            <rPr>
              <rFont val="Calibri"/>
              <b val="1"/>
              <sz val="10"/>
            </rPr>
            <t>Market:</t>
          </r>
          <r>
            <rPr>
              <rFont val="Calibri"/>
              <sz val="10"/>
            </rPr>
            <t xml:space="preserve"> A2 = Chooses own approach within standards · A3 = Technical / QC / client calls on own work</t>
          </r>
        </is>
      </c>
      <c r="AY18" s="132" t="inlineStr">
        <is>
          <r>
            <rPr>
              <rFont val="Calibri"/>
              <sz val="10"/>
            </rPr>
            <t xml:space="preserve">Rated 3 of 12
</t>
          </r>
          <r>
            <rPr>
              <rFont val="Calibri"/>
              <b val="1"/>
              <sz val="10"/>
            </rPr>
            <t>Start:</t>
          </r>
          <r>
            <rPr>
              <rFont val="Calibri"/>
              <sz val="10"/>
            </rPr>
            <t xml:space="preserve"> 3.5 · senior practitioner title; 1 direct report
</t>
          </r>
          <r>
            <rPr>
              <rFont val="Calibri"/>
              <b val="1"/>
              <sz val="10"/>
            </rPr>
            <t>Evidence reads like A3:</t>
          </r>
          <r>
            <rPr>
              <rFont val="Calibri"/>
              <sz val="10"/>
            </rPr>
            <t xml:space="preserve"> GST, bank guarantee and Softex compliance; late filing fees if missed → moved down 0.5
</t>
          </r>
          <r>
            <rPr>
              <rFont val="Calibri"/>
              <b val="1"/>
              <sz val="10"/>
            </rPr>
            <t>Market:</t>
          </r>
          <r>
            <rPr>
              <rFont val="Calibri"/>
              <sz val="10"/>
            </rPr>
            <t xml:space="preserve"> A3 = A module / process, or work with client or regulatory consequences</t>
          </r>
        </is>
      </c>
      <c r="AZ18" s="132" t="inlineStr">
        <is>
          <r>
            <rPr>
              <rFont val="Calibri"/>
              <sz val="10"/>
            </rPr>
            <t xml:space="preserve">Rated 2.5 of 12 · between A2 and A3
</t>
          </r>
          <r>
            <rPr>
              <rFont val="Calibri"/>
              <b val="1"/>
              <sz val="10"/>
            </rPr>
            <t>Start:</t>
          </r>
          <r>
            <rPr>
              <rFont val="Calibri"/>
              <sz val="10"/>
            </rPr>
            <t xml:space="preserve"> 3.5
</t>
          </r>
          <r>
            <rPr>
              <rFont val="Calibri"/>
              <b val="1"/>
              <sz val="10"/>
            </rPr>
            <t>Evidence reads like A1:</t>
          </r>
          <r>
            <rPr>
              <rFont val="Calibri"/>
              <sz val="10"/>
            </rPr>
            <t xml:space="preserve"> No guidance of others described despite 1 direct report → moved down 1
</t>
          </r>
          <r>
            <rPr>
              <rFont val="Calibri"/>
              <b val="1"/>
              <sz val="10"/>
            </rPr>
            <t>Team:</t>
          </r>
          <r>
            <rPr>
              <rFont val="Calibri"/>
              <sz val="10"/>
            </rPr>
            <t xml:space="preserve"> 1 direct report · POD Lead
</t>
          </r>
          <r>
            <rPr>
              <rFont val="Calibri"/>
              <b val="1"/>
              <sz val="10"/>
            </rPr>
            <t>Market:</t>
          </r>
          <r>
            <rPr>
              <rFont val="Calibri"/>
              <sz val="10"/>
            </rPr>
            <t xml:space="preserve"> A2–A3 = Not scored in Band A</t>
          </r>
        </is>
      </c>
      <c r="BA18" s="132" t="inlineStr">
        <is>
          <r>
            <rPr>
              <rFont val="Calibri"/>
              <sz val="10"/>
            </rPr>
            <t xml:space="preserve">Rated 10 of 12
</t>
          </r>
          <r>
            <rPr>
              <rFont val="Calibri"/>
              <b val="1"/>
              <sz val="10"/>
            </rPr>
            <t>Experience:</t>
          </r>
          <r>
            <rPr>
              <rFont val="Calibri"/>
              <sz val="10"/>
            </rPr>
            <t xml:space="preserve"> 20.1 yrs total · 9.0 before IRIS + 11.1 at IRIS = 9.7 on the experience scale
</t>
          </r>
          <r>
            <rPr>
              <rFont val="Calibri"/>
              <b val="1"/>
              <sz val="10"/>
            </rPr>
            <t>Qualification:</t>
          </r>
          <r>
            <rPr>
              <rFont val="Calibri"/>
              <sz val="10"/>
            </rPr>
            <t xml:space="preserve"> PGDM · postgraduate, relevant to the work → +0.5
</t>
          </r>
          <r>
            <rPr>
              <rFont val="Calibri"/>
              <b val="1"/>
              <sz val="10"/>
            </rPr>
            <t>Market:</t>
          </r>
          <r>
            <rPr>
              <rFont val="Calibri"/>
              <sz val="10"/>
            </rPr>
            <t xml:space="preserve"> B1 roles typically have 4–8 yrs · IRIS guide 4–7</t>
          </r>
        </is>
      </c>
      <c r="BB18"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8" s="133" t="inlineStr"/>
      <c r="BD18" s="134" t="inlineStr">
        <is>
          <t>✓ HRIS: 20.1 yrs, PGDM, 1 direct report
✓ Survey: 20 of 20 questions answered
✗ KRAs: none on file
✓ Manager mapping: rating, 9-box
✗ Job description: not on file</t>
        </is>
      </c>
      <c r="BE18"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Accountant
</t>
          </r>
          <r>
            <rPr>
              <rFont val="Calibri"/>
              <b val="1"/>
              <sz val="10"/>
            </rPr>
            <t>At peers:</t>
          </r>
          <r>
            <rPr>
              <rFont val="Calibri"/>
              <sz val="10"/>
            </rPr>
            <t xml:space="preserve"> Toppan Merrill – Senior Accountant · IRIS Vs Competitor Benchmark — finance ladder: Finance Specialist / Asst. Manager
</t>
          </r>
          <r>
            <rPr>
              <rFont val="Calibri"/>
              <b val="1"/>
              <sz val="10"/>
            </rPr>
            <t>Typical experience:</t>
          </r>
          <r>
            <rPr>
              <rFont val="Calibri"/>
              <sz val="10"/>
            </rPr>
            <t xml:space="preserve"> 4–8 yrs · IRIS guide 4–7
</t>
          </r>
          <r>
            <rPr>
              <rFont val="Calibri"/>
              <b val="1"/>
              <sz val="10"/>
            </rPr>
            <t>Standard:</t>
          </r>
          <r>
            <rPr>
              <rFont val="Calibri"/>
              <sz val="10"/>
            </rPr>
            <t xml:space="preserve"> IMA Management Accounting Competency Framework; ICAI / CA</t>
          </r>
        </is>
      </c>
      <c r="BF18" s="134" t="inlineStr">
        <is>
          <t>Medium</t>
        </is>
      </c>
      <c r="BG18" s="134" t="inlineStr"/>
      <c r="BH18" s="134" t="inlineStr"/>
      <c r="BI18" s="135" t="n"/>
      <c r="BJ18" s="136" t="n"/>
      <c r="BK18" s="136" t="n"/>
      <c r="BL18" s="136" t="n"/>
      <c r="BM18" s="136" t="n"/>
      <c r="BN18" s="137" t="n"/>
      <c r="BO18" s="120" t="n"/>
      <c r="BP18" s="120" t="n"/>
      <c r="BQ18" s="120" t="n"/>
      <c r="BR18" s="120" t="n"/>
      <c r="BS18" s="120" t="n"/>
      <c r="BT18" s="120" t="n"/>
      <c r="BU18" s="120" t="n"/>
      <c r="BV18" s="120" t="n">
        <v>3</v>
      </c>
    </row>
    <row r="19" ht="340" customHeight="1">
      <c r="A19" s="109" t="inlineStr">
        <is>
          <t>IRIS2547</t>
        </is>
      </c>
      <c r="B19" s="110" t="inlineStr">
        <is>
          <t>Lalit Choudhary</t>
        </is>
      </c>
      <c r="C19" s="111" t="inlineStr">
        <is>
          <t>Finance</t>
        </is>
      </c>
      <c r="D19" s="111" t="inlineStr">
        <is>
          <t>Nishant Gupta</t>
        </is>
      </c>
      <c r="E19" s="112" t="n">
        <v>4.8</v>
      </c>
      <c r="F19" s="112" t="n">
        <v>0.2</v>
      </c>
      <c r="G19" s="111" t="inlineStr">
        <is>
          <t>CA</t>
        </is>
      </c>
      <c r="H19" s="138" t="inlineStr">
        <is>
          <t>Assistant Manager - Finance and Accounts</t>
        </is>
      </c>
      <c r="I19" s="115" t="inlineStr">
        <is>
          <t>Finance Specialist</t>
        </is>
      </c>
      <c r="J19" s="114" t="inlineStr">
        <is>
          <t>Finance &amp; Accounts</t>
        </is>
      </c>
      <c r="K19" s="114" t="inlineStr">
        <is>
          <t>Financial Reporting, Compliance &amp; Audit</t>
        </is>
      </c>
      <c r="L19" s="115" t="inlineStr">
        <is>
          <t>Not in current mapping files</t>
        </is>
      </c>
      <c r="M19" s="116" t="inlineStr">
        <is>
          <t>B1</t>
        </is>
      </c>
      <c r="N19" s="21" t="inlineStr">
        <is>
          <t>Specialist</t>
        </is>
      </c>
      <c r="O19" s="23" t="inlineStr">
        <is>
          <t>B</t>
        </is>
      </c>
      <c r="P19" s="114" t="inlineStr">
        <is>
          <t>IC</t>
        </is>
      </c>
      <c r="Q19" s="117" t="inlineStr">
        <is>
          <t>● Newly mapped</t>
        </is>
      </c>
      <c r="R19" s="118" t="inlineStr">
        <is>
          <r>
            <rPr>
              <rFont val="Calibri"/>
              <b val="1"/>
              <sz val="10"/>
            </rPr>
            <t>WHAT THE ROLE DOES:</t>
          </r>
          <r>
            <rPr>
              <rFont val="Calibri"/>
              <sz val="10"/>
            </rPr>
            <t xml:space="preserve"> Prepares financial statements, subsidiary closings, statutory compliance, budgets and audits. At B1: a domain / module, or a small team.
</t>
          </r>
          <r>
            <rPr>
              <rFont val="Calibri"/>
              <b val="1"/>
              <sz val="10"/>
            </rPr>
            <t>Common themes in role-holders' answers:</t>
          </r>
          <r>
            <rPr>
              <rFont val="Calibri"/>
              <sz val="10"/>
            </rPr>
            <t xml:space="preserve"> business · financial · reason · management
</t>
          </r>
          <r>
            <rPr>
              <rFont val="Calibri"/>
              <b val="1"/>
              <sz val="10"/>
            </rPr>
            <t>KEY RESPONSIBILITIES:</t>
          </r>
          <r>
            <rPr>
              <rFont val="Calibri"/>
              <sz val="10"/>
            </rPr>
            <t xml:space="preserve"> Prepares financial statements, subsidiary closings, statutory compliance, budgets and audits; Domain specialist work; A domain or a small team
</t>
          </r>
          <r>
            <rPr>
              <rFont val="Calibri"/>
              <b val="1"/>
              <sz val="10"/>
            </rPr>
            <t>Common themes in role-holders' answers:</t>
          </r>
          <r>
            <rPr>
              <rFont val="Calibri"/>
              <sz val="10"/>
            </rPr>
            <t xml:space="preserve"> order · business · sales · invoice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financial statements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order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accounting · Finance
</t>
          </r>
          <r>
            <rPr>
              <rFont val="Calibri"/>
              <b val="1"/>
              <sz val="10"/>
            </rPr>
            <t>TOOLS &amp; SYSTEMS:</t>
          </r>
          <r>
            <rPr>
              <rFont val="Calibri"/>
              <sz val="10"/>
            </rPr>
            <t xml:space="preserve"> ERP
COMPETENCIES REQUIRED — must-have ★: Accounting &amp; Reporting Standards · IFRS/US GAAP · Advanced Excel &amp; Productivity Tools
</t>
          </r>
          <r>
            <rPr>
              <rFont val="Calibri"/>
              <b val="1"/>
              <sz val="10"/>
            </rPr>
            <t>OTHER FUNCTIONAL COMPETENCIES:</t>
          </r>
          <r>
            <rPr>
              <rFont val="Calibri"/>
              <sz val="10"/>
            </rPr>
            <t xml:space="preserve"> Regulatory &amp; BFSI Domain · Data Analytics, BI &amp; Visualisation · Process Improvement &amp; Quality Mindset · Strategic Thinking &amp; Business Acumen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CA / CMA / ACCA / CFA / IFRS certificate; MOS Excel · optional
</t>
          </r>
          <r>
            <rPr>
              <rFont val="Calibri"/>
              <b val="1"/>
              <sz val="10"/>
            </rPr>
            <t>SOURCE:</t>
          </r>
          <r>
            <rPr>
              <rFont val="Calibri"/>
              <sz val="10"/>
            </rPr>
            <t xml:space="preserve"> Framework + role-holders' themes · 3+ answered — 3 holders, 3 answered the survey; sub-family 4 answered; catalogue RC-098</t>
          </r>
        </is>
      </c>
      <c r="S19"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Manager talent mapping — Latest rating: Not rated · manager · 9-Box Grid placement: Not placed · manager.</t>
          </r>
        </is>
      </c>
      <c r="T19" s="120" t="n"/>
      <c r="U19" s="121" t="inlineStr">
        <is>
          <r>
            <rPr>
              <rFont val="Calibri"/>
              <sz val="10"/>
            </rPr>
            <t xml:space="preserve">Finance Specialist in Finance · Corporate, B1 — IC.
</t>
          </r>
          <r>
            <rPr>
              <rFont val="Calibri"/>
              <b val="1"/>
              <sz val="10"/>
            </rPr>
            <t>The work:</t>
          </r>
          <r>
            <rPr>
              <rFont val="Calibri"/>
              <sz val="10"/>
            </rPr>
            <t xml:space="preserve"> Prepares financial statements, subsidiary closings, statutory compliance, budgets and audits.
At this level the role owns a domain / module, or a small team.
</t>
          </r>
          <r>
            <rPr>
              <rFont val="Calibri"/>
              <b val="1"/>
              <sz val="10"/>
            </rPr>
            <t>Key responsibilities:</t>
          </r>
          <r>
            <rPr>
              <rFont val="Calibri"/>
              <sz val="10"/>
            </rPr>
            <t xml:space="preserve"> Prepares financial statements, subsidiary closings, statutory compliance, budgets and audits; Domain specialist work; A domain or a small team.
</t>
          </r>
          <r>
            <rPr>
              <rFont val="Calibri"/>
              <b val="1"/>
              <sz val="10"/>
            </rPr>
            <t>Holders describe it with:</t>
          </r>
          <r>
            <rPr>
              <rFont val="Calibri"/>
              <sz val="10"/>
            </rPr>
            <t xml:space="preserve"> order · business · sales · invoice.</t>
          </r>
        </is>
      </c>
      <c r="V19" s="122" t="inlineStr">
        <is>
          <r>
            <rPr>
              <rFont val="Calibri"/>
              <b val="1"/>
              <sz val="10"/>
            </rPr>
            <t>Hire as:</t>
          </r>
          <r>
            <rPr>
              <rFont val="Calibri"/>
              <sz val="10"/>
            </rPr>
            <t xml:space="preserve"> Senior Accountant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Toppan Merrill – Senior Accountant · IRIS Vs Competitor Benchmark — finance ladder – Finance Specialist / Asst. Manager
</t>
          </r>
          <r>
            <rPr>
              <rFont val="Calibri"/>
              <b val="1"/>
              <sz val="10"/>
            </rPr>
            <t>Credentials:</t>
          </r>
          <r>
            <rPr>
              <rFont val="Calibri"/>
              <sz val="10"/>
            </rPr>
            <t xml:space="preserve"> CA / CMA / ACCA / CFA / IFRS certificate; MOS Excel · optional
</t>
          </r>
          <r>
            <rPr>
              <rFont val="Calibri"/>
              <b val="1"/>
              <sz val="10"/>
            </rPr>
            <t>Must already know:</t>
          </r>
          <r>
            <rPr>
              <rFont val="Calibri"/>
              <sz val="10"/>
            </rPr>
            <t xml:space="preserve"> Statutory compliance · GST, TDS, audit</t>
          </r>
        </is>
      </c>
      <c r="W19" s="122" t="inlineStr">
        <is>
          <r>
            <rPr>
              <rFont val="Calibri"/>
              <sz val="10"/>
            </rPr>
            <t xml:space="preserve">FUNCTIONAL — skill level 3 of 5 · Practitioner
 ★ Accounting &amp; Reporting Standards · IFRS/US GAAP: Applies IFRS / US GAAP / Ind AS correctly
 ★ Advanced Excel &amp; Productivity Tools: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accounting · Finance
</t>
          </r>
          <r>
            <rPr>
              <rFont val="Calibri"/>
              <b val="1"/>
              <sz val="10"/>
            </rPr>
            <t>TOOLS:</t>
          </r>
          <r>
            <rPr>
              <rFont val="Calibri"/>
              <sz val="10"/>
            </rPr>
            <t xml:space="preserve"> ERP
★ = must-have for the family. Scale: 1 Awareness · 2 Working · 3 Practitioner · 4 Advanced · 5 Expert.</t>
          </r>
        </is>
      </c>
      <c r="X19" s="122" t="inlineStr">
        <is>
          <r>
            <rPr>
              <rFont val="Calibri"/>
              <sz val="10"/>
            </rPr>
            <t xml:space="preserve">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9" s="123" t="inlineStr">
        <is>
          <t>Corporate · Finance · Band B · Expert / POD Lead</t>
        </is>
      </c>
      <c r="Z19" s="124" t="n">
        <v>4</v>
      </c>
      <c r="AA19" s="125">
        <f>IFERROR(INDEX(WM_C,MATCH($Y19,WM_KEY,0)),"")</f>
        <v>0.46</v>
      </c>
      <c r="AB19" s="126">
        <f>IF(Z19="","",Z19*AA19)</f>
        <v>1.84</v>
      </c>
      <c r="AC19" s="124" t="n">
        <v>3</v>
      </c>
      <c r="AD19" s="125">
        <f>IFERROR(INDEX(WM_AU,MATCH($Y19,WM_KEY,0)),"")</f>
        <v>0.17</v>
      </c>
      <c r="AE19" s="126">
        <f>IF(AC19="","",AC19*AD19)</f>
        <v>0.51</v>
      </c>
      <c r="AF19" s="124" t="n">
        <v>3.5</v>
      </c>
      <c r="AG19" s="125">
        <f>IFERROR(INDEX(WM_AC,MATCH($Y19,WM_KEY,0)),"")</f>
        <v>0.1</v>
      </c>
      <c r="AH19" s="126">
        <f>IF(AF19="","",AF19*AG19)</f>
        <v>0.35</v>
      </c>
      <c r="AI19" s="124" t="n">
        <v>2</v>
      </c>
      <c r="AJ19" s="125">
        <f>IFERROR(INDEX(WM_L,MATCH($Y19,WM_KEY,0)),"")</f>
        <v>0.05</v>
      </c>
      <c r="AK19" s="126">
        <f>IF(AI19="","",AI19*AJ19)</f>
        <v>0.1</v>
      </c>
      <c r="AL19" s="124" t="n">
        <v>4.5</v>
      </c>
      <c r="AM19" s="125">
        <f>IFERROR(INDEX(WM_E,MATCH($Y19,WM_KEY,0)),"")</f>
        <v>0.15</v>
      </c>
      <c r="AN19" s="126">
        <f>IF(AL19="","",AL19*AM19)</f>
        <v>0.675</v>
      </c>
      <c r="AO19" s="127" t="n">
        <v>3.5</v>
      </c>
      <c r="AP19" s="125">
        <f>IFERROR(INDEX(WM_BI,MATCH($Y19,WM_KEY,0)),"")</f>
        <v>0.07</v>
      </c>
      <c r="AQ19" s="126">
        <f>IF(AO19="","",AO19*AP19)</f>
        <v>0.245</v>
      </c>
      <c r="AR19" s="126">
        <f>IF(COUNT(AB19,AE19,AH19,AK19,AN19,AQ19)&lt;6,"",SUM(AB19,AE19,AH19,AK19,AN19,AQ19))</f>
        <v>3.72</v>
      </c>
      <c r="AS19" s="128" t="str">
        <f>IF(AR19="","",INDEX({"A1","A2","A3","B1","B2","B3","C1","C2","D1","D2","E1","E2"},MAX(1,MIN(12,ROUND(AR19,0)))))</f>
        <v>B1</v>
      </c>
      <c r="AT19" s="129" t="inlineStr">
        <is>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19" s="130" t="inlineStr">
        <is>
          <r>
            <rPr>
              <rFont val="Calibri"/>
              <b val="1"/>
              <sz val="10"/>
            </rPr>
            <t>At build:</t>
          </r>
          <r>
            <rPr>
              <rFont val="Calibri"/>
              <sz val="10"/>
            </rPr>
            <t xml:space="preserve"> Complexity 1.84 + Autonomy 0.51 + Accountability 0.35 + Leadership 0.10 + Experience 0.67 + Business impact 0.25
= 3.72 points → nearest level 4 = B1
</t>
          </r>
          <r>
            <rPr>
              <rFont val="Calibri"/>
              <b val="1"/>
              <sz val="10"/>
            </rPr>
            <t>Final level:</t>
          </r>
          <r>
            <rPr>
              <rFont val="Calibri"/>
              <sz val="10"/>
            </rPr>
            <t xml:space="preserve"> B1 · same as the score</t>
          </r>
        </is>
      </c>
      <c r="AV19" s="130" t="inlineStr">
        <is>
          <r>
            <rPr>
              <rFont val="Calibri"/>
              <b val="1"/>
              <sz val="10"/>
            </rPr>
            <t>No rule applied:</t>
          </r>
          <r>
            <rPr>
              <rFont val="Calibri"/>
              <sz val="10"/>
            </rPr>
            <t xml:space="preserve"> the score decides.</t>
          </r>
        </is>
      </c>
      <c r="AW19" s="131"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Expense variance analysis, subsidiary and consolidated financial statements, budget preparation, GST/MSME compliance → matches the start
</t>
          </r>
          <r>
            <rPr>
              <rFont val="Calibri"/>
              <b val="1"/>
              <sz val="10"/>
            </rPr>
            <t>Market:</t>
          </r>
          <r>
            <rPr>
              <rFont val="Calibri"/>
              <sz val="10"/>
            </rPr>
            <t xml:space="preserve"> B1 = Domain specialist work</t>
          </r>
        </is>
      </c>
      <c r="AX19" s="132" t="inlineStr">
        <is>
          <r>
            <rPr>
              <rFont val="Calibri"/>
              <sz val="10"/>
            </rPr>
            <t xml:space="preserve">Rated 3 of 12
</t>
          </r>
          <r>
            <rPr>
              <rFont val="Calibri"/>
              <b val="1"/>
              <sz val="10"/>
            </rPr>
            <t>Start:</t>
          </r>
          <r>
            <rPr>
              <rFont val="Calibri"/>
              <sz val="10"/>
            </rPr>
            <t xml:space="preserve"> 4.0 · lead / specialist title
</t>
          </r>
          <r>
            <rPr>
              <rFont val="Calibri"/>
              <b val="1"/>
              <sz val="10"/>
            </rPr>
            <t>Evidence reads like A2:</t>
          </r>
          <r>
            <rPr>
              <rFont val="Calibri"/>
              <sz val="10"/>
            </rPr>
            <t xml:space="preserve"> Independent decisions limited to how expenses are analysed → moved down 1
</t>
          </r>
          <r>
            <rPr>
              <rFont val="Calibri"/>
              <b val="1"/>
              <sz val="10"/>
            </rPr>
            <t>Market:</t>
          </r>
          <r>
            <rPr>
              <rFont val="Calibri"/>
              <sz val="10"/>
            </rPr>
            <t xml:space="preserve"> A3 = Technical / QC / client calls on own work</t>
          </r>
        </is>
      </c>
      <c r="AY19"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Owns expense analysis and the Ideal Business order book feeding financials → moved down 0.5
</t>
          </r>
          <r>
            <rPr>
              <rFont val="Calibri"/>
              <b val="1"/>
              <sz val="10"/>
            </rPr>
            <t>Market:</t>
          </r>
          <r>
            <rPr>
              <rFont val="Calibri"/>
              <sz val="10"/>
            </rPr>
            <t xml:space="preserve"> A3 = A module / process, or work with client or regulatory consequences · B1 = A domain or a small team</t>
          </r>
        </is>
      </c>
      <c r="AZ19" s="132" t="inlineStr">
        <is>
          <r>
            <rPr>
              <rFont val="Calibri"/>
              <sz val="10"/>
            </rPr>
            <t xml:space="preserve">Rated 2 of 12
</t>
          </r>
          <r>
            <rPr>
              <rFont val="Calibri"/>
              <b val="1"/>
              <sz val="10"/>
            </rPr>
            <t>Start:</t>
          </r>
          <r>
            <rPr>
              <rFont val="Calibri"/>
              <sz val="10"/>
            </rPr>
            <t xml:space="preserve"> 3.0 · individual contributor, so influence only
</t>
          </r>
          <r>
            <rPr>
              <rFont val="Calibri"/>
              <b val="1"/>
              <sz val="10"/>
            </rPr>
            <t>Evidence reads like A1:</t>
          </r>
          <r>
            <rPr>
              <rFont val="Calibri"/>
              <sz val="10"/>
            </rPr>
            <t xml:space="preserve"> No guidance or leadership of others described → moved down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9" s="132" t="inlineStr">
        <is>
          <r>
            <rPr>
              <rFont val="Calibri"/>
              <sz val="10"/>
            </rPr>
            <t xml:space="preserve">Rated 4.5 of 12 · between B1 and B2
</t>
          </r>
          <r>
            <rPr>
              <rFont val="Calibri"/>
              <b val="1"/>
              <sz val="10"/>
            </rPr>
            <t>Experience:</t>
          </r>
          <r>
            <rPr>
              <rFont val="Calibri"/>
              <sz val="10"/>
            </rPr>
            <t xml:space="preserve"> 4.8 yrs total · 4.6 before IRIS + 0.2 at IRIS = 3.7 on the experience scale
</t>
          </r>
          <r>
            <rPr>
              <rFont val="Calibri"/>
              <b val="1"/>
              <sz val="10"/>
            </rPr>
            <t>Qualification:</t>
          </r>
          <r>
            <rPr>
              <rFont val="Calibri"/>
              <sz val="10"/>
            </rPr>
            <t xml:space="preserve"> CA · professional, relevant to the work → +1.0
</t>
          </r>
          <r>
            <rPr>
              <rFont val="Calibri"/>
              <b val="1"/>
              <sz val="10"/>
            </rPr>
            <t>Market:</t>
          </r>
          <r>
            <rPr>
              <rFont val="Calibri"/>
              <sz val="10"/>
            </rPr>
            <t xml:space="preserve"> B1 roles typically have 4–8 yrs · IRIS guide 4–7</t>
          </r>
        </is>
      </c>
      <c r="BB19" s="132"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9" s="133" t="inlineStr"/>
      <c r="BD19" s="134" t="inlineStr">
        <is>
          <t>✓ HRIS: 4.8 yrs, CA, 0 direct reports
✓ Survey: 19 of 20 questions answered
✗ KRAs: none on file
✓ Manager mapping: rating, 9-box
✗ Job description: not on file</t>
        </is>
      </c>
      <c r="BE19"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Accountant
</t>
          </r>
          <r>
            <rPr>
              <rFont val="Calibri"/>
              <b val="1"/>
              <sz val="10"/>
            </rPr>
            <t>At peers:</t>
          </r>
          <r>
            <rPr>
              <rFont val="Calibri"/>
              <sz val="10"/>
            </rPr>
            <t xml:space="preserve"> Toppan Merrill – Senior Accountant · IRIS Vs Competitor Benchmark — finance ladder: Finance Specialist / Asst. Manager
</t>
          </r>
          <r>
            <rPr>
              <rFont val="Calibri"/>
              <b val="1"/>
              <sz val="10"/>
            </rPr>
            <t>Typical experience:</t>
          </r>
          <r>
            <rPr>
              <rFont val="Calibri"/>
              <sz val="10"/>
            </rPr>
            <t xml:space="preserve"> 4–8 yrs · IRIS guide 4–7
</t>
          </r>
          <r>
            <rPr>
              <rFont val="Calibri"/>
              <b val="1"/>
              <sz val="10"/>
            </rPr>
            <t>Standard:</t>
          </r>
          <r>
            <rPr>
              <rFont val="Calibri"/>
              <sz val="10"/>
            </rPr>
            <t xml:space="preserve"> IMA Management Accounting Competency Framework; ICAI / CA</t>
          </r>
        </is>
      </c>
      <c r="BF19" s="134" t="inlineStr">
        <is>
          <t>Medium</t>
        </is>
      </c>
      <c r="BG19" s="134" t="inlineStr"/>
      <c r="BH19" s="134" t="inlineStr"/>
      <c r="BI19" s="135" t="n"/>
      <c r="BJ19" s="136" t="n"/>
      <c r="BK19" s="136" t="n"/>
      <c r="BL19" s="136" t="n"/>
      <c r="BM19" s="136" t="n"/>
      <c r="BN19" s="137" t="n"/>
      <c r="BO19" s="120" t="n"/>
      <c r="BP19" s="120" t="n"/>
      <c r="BQ19" s="120" t="n"/>
      <c r="BR19" s="120" t="n"/>
      <c r="BS19" s="120" t="n"/>
      <c r="BT19" s="120" t="n"/>
      <c r="BU19" s="120" t="n"/>
      <c r="BV19" s="120" t="n">
        <v>3.5</v>
      </c>
    </row>
    <row r="20" ht="340" customHeight="1">
      <c r="A20" s="109" t="inlineStr">
        <is>
          <t>IRIS2561</t>
        </is>
      </c>
      <c r="B20" s="110" t="inlineStr">
        <is>
          <t>Radhika Karnani</t>
        </is>
      </c>
      <c r="C20" s="111" t="inlineStr">
        <is>
          <t>Finance</t>
        </is>
      </c>
      <c r="D20" s="111" t="inlineStr">
        <is>
          <t>Nishant Gupta</t>
        </is>
      </c>
      <c r="E20" s="147" t="inlineStr">
        <is>
          <t>Not provided · HRIS</t>
        </is>
      </c>
      <c r="F20" s="112" t="n">
        <v>0.1</v>
      </c>
      <c r="G20" s="111" t="inlineStr">
        <is>
          <t>CA</t>
        </is>
      </c>
      <c r="H20" s="138" t="inlineStr">
        <is>
          <t>Assistant Manager - Finance and Accounts</t>
        </is>
      </c>
      <c r="I20" s="115" t="inlineStr">
        <is>
          <t>Finance Specialist</t>
        </is>
      </c>
      <c r="J20" s="114" t="inlineStr">
        <is>
          <t>Finance &amp; Accounts</t>
        </is>
      </c>
      <c r="K20" s="114" t="inlineStr">
        <is>
          <t>Financial Reporting, Compliance &amp; Audit</t>
        </is>
      </c>
      <c r="L20" s="115" t="inlineStr">
        <is>
          <t>Not in current mapping files</t>
        </is>
      </c>
      <c r="M20" s="116" t="inlineStr">
        <is>
          <t>B1</t>
        </is>
      </c>
      <c r="N20" s="21" t="inlineStr">
        <is>
          <t>Specialist</t>
        </is>
      </c>
      <c r="O20" s="23" t="inlineStr">
        <is>
          <t>B</t>
        </is>
      </c>
      <c r="P20" s="114" t="inlineStr">
        <is>
          <t>IC</t>
        </is>
      </c>
      <c r="Q20" s="117" t="inlineStr">
        <is>
          <t>● Newly mapped</t>
        </is>
      </c>
      <c r="R20" s="118" t="inlineStr">
        <is>
          <r>
            <rPr>
              <rFont val="Calibri"/>
              <b val="1"/>
              <sz val="10"/>
            </rPr>
            <t>WHAT THE ROLE DOES:</t>
          </r>
          <r>
            <rPr>
              <rFont val="Calibri"/>
              <sz val="10"/>
            </rPr>
            <t xml:space="preserve"> Prepares financial statements, subsidiary closings, statutory compliance, budgets and audits. At B1: a domain / module, or a small team.
</t>
          </r>
          <r>
            <rPr>
              <rFont val="Calibri"/>
              <b val="1"/>
              <sz val="10"/>
            </rPr>
            <t>Common themes in role-holders' answers:</t>
          </r>
          <r>
            <rPr>
              <rFont val="Calibri"/>
              <sz val="10"/>
            </rPr>
            <t xml:space="preserve"> business · financial · reason · management
</t>
          </r>
          <r>
            <rPr>
              <rFont val="Calibri"/>
              <b val="1"/>
              <sz val="10"/>
            </rPr>
            <t>KEY RESPONSIBILITIES:</t>
          </r>
          <r>
            <rPr>
              <rFont val="Calibri"/>
              <sz val="10"/>
            </rPr>
            <t xml:space="preserve"> Prepares financial statements, subsidiary closings, statutory compliance, budgets and audits; Domain specialist work; A domain or a small team
</t>
          </r>
          <r>
            <rPr>
              <rFont val="Calibri"/>
              <b val="1"/>
              <sz val="10"/>
            </rPr>
            <t>Common themes in role-holders' answers:</t>
          </r>
          <r>
            <rPr>
              <rFont val="Calibri"/>
              <sz val="10"/>
            </rPr>
            <t xml:space="preserve"> order · business · sales · invoice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financial statements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order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accounting · Finance
</t>
          </r>
          <r>
            <rPr>
              <rFont val="Calibri"/>
              <b val="1"/>
              <sz val="10"/>
            </rPr>
            <t>TOOLS &amp; SYSTEMS:</t>
          </r>
          <r>
            <rPr>
              <rFont val="Calibri"/>
              <sz val="10"/>
            </rPr>
            <t xml:space="preserve"> ERP
COMPETENCIES REQUIRED — must-have ★: Accounting &amp; Reporting Standards · IFRS/US GAAP · Advanced Excel &amp; Productivity Tools
</t>
          </r>
          <r>
            <rPr>
              <rFont val="Calibri"/>
              <b val="1"/>
              <sz val="10"/>
            </rPr>
            <t>OTHER FUNCTIONAL COMPETENCIES:</t>
          </r>
          <r>
            <rPr>
              <rFont val="Calibri"/>
              <sz val="10"/>
            </rPr>
            <t xml:space="preserve"> Regulatory &amp; BFSI Domain · Data Analytics, BI &amp; Visualisation · Process Improvement &amp; Quality Mindset · Strategic Thinking &amp; Business Acumen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CA / CMA / ACCA / CFA / IFRS certificate; MOS Excel · optional
</t>
          </r>
          <r>
            <rPr>
              <rFont val="Calibri"/>
              <b val="1"/>
              <sz val="10"/>
            </rPr>
            <t>SOURCE:</t>
          </r>
          <r>
            <rPr>
              <rFont val="Calibri"/>
              <sz val="10"/>
            </rPr>
            <t xml:space="preserve"> Framework + role-holders' themes · 3+ answered — 3 holders, 3 answered the survey; sub-family 4 answered; catalogue RC-098</t>
          </r>
        </is>
      </c>
      <c r="S20"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Manager talent mapping — Latest rating: Not rated · manager · 9-Box Grid placement: Not placed · manager.</t>
          </r>
        </is>
      </c>
      <c r="T20" s="120" t="n"/>
      <c r="U20" s="121" t="inlineStr">
        <is>
          <r>
            <rPr>
              <rFont val="Calibri"/>
              <sz val="10"/>
            </rPr>
            <t xml:space="preserve">Finance Specialist in Finance · Corporate, B1 — IC.
</t>
          </r>
          <r>
            <rPr>
              <rFont val="Calibri"/>
              <b val="1"/>
              <sz val="10"/>
            </rPr>
            <t>The work:</t>
          </r>
          <r>
            <rPr>
              <rFont val="Calibri"/>
              <sz val="10"/>
            </rPr>
            <t xml:space="preserve"> Prepares financial statements, subsidiary closings, statutory compliance, budgets and audits.
At this level the role owns a domain / module, or a small team.
</t>
          </r>
          <r>
            <rPr>
              <rFont val="Calibri"/>
              <b val="1"/>
              <sz val="10"/>
            </rPr>
            <t>Key responsibilities:</t>
          </r>
          <r>
            <rPr>
              <rFont val="Calibri"/>
              <sz val="10"/>
            </rPr>
            <t xml:space="preserve"> Prepares financial statements, subsidiary closings, statutory compliance, budgets and audits; Domain specialist work; A domain or a small team.
</t>
          </r>
          <r>
            <rPr>
              <rFont val="Calibri"/>
              <b val="1"/>
              <sz val="10"/>
            </rPr>
            <t>Holders describe it with:</t>
          </r>
          <r>
            <rPr>
              <rFont val="Calibri"/>
              <sz val="10"/>
            </rPr>
            <t xml:space="preserve"> order · business · sales · invoice.</t>
          </r>
        </is>
      </c>
      <c r="V20" s="122" t="inlineStr">
        <is>
          <r>
            <rPr>
              <rFont val="Calibri"/>
              <b val="1"/>
              <sz val="10"/>
            </rPr>
            <t>Hire as:</t>
          </r>
          <r>
            <rPr>
              <rFont val="Calibri"/>
              <sz val="10"/>
            </rPr>
            <t xml:space="preserve"> Senior Accountant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Toppan Merrill – Senior Accountant · IRIS Vs Competitor Benchmark — finance ladder – Finance Specialist / Asst. Manager
</t>
          </r>
          <r>
            <rPr>
              <rFont val="Calibri"/>
              <b val="1"/>
              <sz val="10"/>
            </rPr>
            <t>Credentials:</t>
          </r>
          <r>
            <rPr>
              <rFont val="Calibri"/>
              <sz val="10"/>
            </rPr>
            <t xml:space="preserve"> CA / CMA / ACCA / CFA / IFRS certificate; MOS Excel · optional
</t>
          </r>
          <r>
            <rPr>
              <rFont val="Calibri"/>
              <b val="1"/>
              <sz val="10"/>
            </rPr>
            <t>Must already know:</t>
          </r>
          <r>
            <rPr>
              <rFont val="Calibri"/>
              <sz val="10"/>
            </rPr>
            <t xml:space="preserve"> Statutory compliance · GST, TDS, audit</t>
          </r>
        </is>
      </c>
      <c r="W20" s="122" t="inlineStr">
        <is>
          <r>
            <rPr>
              <rFont val="Calibri"/>
              <sz val="10"/>
            </rPr>
            <t xml:space="preserve">FUNCTIONAL — skill level 3 of 5 · Practitioner
 ★ Accounting &amp; Reporting Standards · IFRS/US GAAP: Applies IFRS / US GAAP / Ind AS correctly
 ★ Advanced Excel &amp; Productivity Tools: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accounting · Finance
</t>
          </r>
          <r>
            <rPr>
              <rFont val="Calibri"/>
              <b val="1"/>
              <sz val="10"/>
            </rPr>
            <t>TOOLS:</t>
          </r>
          <r>
            <rPr>
              <rFont val="Calibri"/>
              <sz val="10"/>
            </rPr>
            <t xml:space="preserve"> ERP
★ = must-have for the family. Scale: 1 Awareness · 2 Working · 3 Practitioner · 4 Advanced · 5 Expert.</t>
          </r>
        </is>
      </c>
      <c r="X20" s="122" t="inlineStr">
        <is>
          <r>
            <rPr>
              <rFont val="Calibri"/>
              <sz val="10"/>
            </rPr>
            <t xml:space="preserve">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0" s="123" t="inlineStr">
        <is>
          <t>Corporate · Finance · Band B · Expert / POD Lead</t>
        </is>
      </c>
      <c r="Z20" s="124" t="n">
        <v>4</v>
      </c>
      <c r="AA20" s="125">
        <f>IFERROR(INDEX(WM_C,MATCH($Y20,WM_KEY,0)),"")</f>
        <v>0.46</v>
      </c>
      <c r="AB20" s="126">
        <f>IF(Z20="","",Z20*AA20)</f>
        <v>1.84</v>
      </c>
      <c r="AC20" s="124" t="n">
        <v>3</v>
      </c>
      <c r="AD20" s="125">
        <f>IFERROR(INDEX(WM_AU,MATCH($Y20,WM_KEY,0)),"")</f>
        <v>0.17</v>
      </c>
      <c r="AE20" s="126">
        <f>IF(AC20="","",AC20*AD20)</f>
        <v>0.51</v>
      </c>
      <c r="AF20" s="124" t="n">
        <v>3.5</v>
      </c>
      <c r="AG20" s="125">
        <f>IFERROR(INDEX(WM_AC,MATCH($Y20,WM_KEY,0)),"")</f>
        <v>0.1</v>
      </c>
      <c r="AH20" s="126">
        <f>IF(AF20="","",AF20*AG20)</f>
        <v>0.35</v>
      </c>
      <c r="AI20" s="124" t="n">
        <v>2.5</v>
      </c>
      <c r="AJ20" s="125">
        <f>IFERROR(INDEX(WM_L,MATCH($Y20,WM_KEY,0)),"")</f>
        <v>0.05</v>
      </c>
      <c r="AK20" s="126">
        <f>IF(AI20="","",AI20*AJ20)</f>
        <v>0.125</v>
      </c>
      <c r="AL20" s="124" t="n">
        <v>5</v>
      </c>
      <c r="AM20" s="125">
        <f>IFERROR(INDEX(WM_E,MATCH($Y20,WM_KEY,0)),"")</f>
        <v>0.15</v>
      </c>
      <c r="AN20" s="126">
        <f>IF(AL20="","",AL20*AM20)</f>
        <v>0.75</v>
      </c>
      <c r="AO20" s="127" t="n">
        <v>3.5</v>
      </c>
      <c r="AP20" s="125">
        <f>IFERROR(INDEX(WM_BI,MATCH($Y20,WM_KEY,0)),"")</f>
        <v>0.07</v>
      </c>
      <c r="AQ20" s="126">
        <f>IF(AO20="","",AO20*AP20)</f>
        <v>0.245</v>
      </c>
      <c r="AR20" s="126">
        <f>IF(COUNT(AB20,AE20,AH20,AK20,AN20,AQ20)&lt;6,"",SUM(AB20,AE20,AH20,AK20,AN20,AQ20))</f>
        <v>3.82</v>
      </c>
      <c r="AS20" s="128" t="str">
        <f>IF(AR20="","",INDEX({"A1","A2","A3","B1","B2","B3","C1","C2","D1","D2","E1","E2"},MAX(1,MIN(12,ROUND(AR20,0)))))</f>
        <v>B1</v>
      </c>
      <c r="AT20" s="129" t="inlineStr">
        <is>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20" s="130" t="inlineStr">
        <is>
          <r>
            <rPr>
              <rFont val="Calibri"/>
              <b val="1"/>
              <sz val="10"/>
            </rPr>
            <t>At build:</t>
          </r>
          <r>
            <rPr>
              <rFont val="Calibri"/>
              <sz val="10"/>
            </rPr>
            <t xml:space="preserve"> Complexity 1.84 + Autonomy 0.51 + Accountability 0.35 + Leadership 0.12 + Experience 0.75 + Business impact 0.25
= 3.82 points → nearest level 4 = B1
</t>
          </r>
          <r>
            <rPr>
              <rFont val="Calibri"/>
              <b val="1"/>
              <sz val="10"/>
            </rPr>
            <t>Final level:</t>
          </r>
          <r>
            <rPr>
              <rFont val="Calibri"/>
              <sz val="10"/>
            </rPr>
            <t xml:space="preserve"> B1 · same as the score</t>
          </r>
        </is>
      </c>
      <c r="AV20" s="130" t="inlineStr">
        <is>
          <r>
            <rPr>
              <rFont val="Calibri"/>
              <sz val="10"/>
            </rPr>
            <t xml:space="preserve">•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B1.</t>
          </r>
        </is>
      </c>
      <c r="AW20" s="131"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own survey / KRA answers · summarised by the rater; not quoted → matches the start
</t>
          </r>
          <r>
            <rPr>
              <rFont val="Calibri"/>
              <b val="1"/>
              <sz val="10"/>
            </rPr>
            <t>Market:</t>
          </r>
          <r>
            <rPr>
              <rFont val="Calibri"/>
              <sz val="10"/>
            </rPr>
            <t xml:space="preserve"> B1 = Domain specialist work</t>
          </r>
        </is>
      </c>
      <c r="AX20" s="132" t="inlineStr">
        <is>
          <r>
            <rPr>
              <rFont val="Calibri"/>
              <sz val="10"/>
            </rPr>
            <t xml:space="preserve">Rated 3 of 12
</t>
          </r>
          <r>
            <rPr>
              <rFont val="Calibri"/>
              <b val="1"/>
              <sz val="10"/>
            </rPr>
            <t>Start:</t>
          </r>
          <r>
            <rPr>
              <rFont val="Calibri"/>
              <sz val="10"/>
            </rPr>
            <t xml:space="preserve"> 4.0 · lead / specialist title
</t>
          </r>
          <r>
            <rPr>
              <rFont val="Calibri"/>
              <b val="1"/>
              <sz val="10"/>
            </rPr>
            <t>Evidence reads like A2:</t>
          </r>
          <r>
            <rPr>
              <rFont val="Calibri"/>
              <sz val="10"/>
            </rPr>
            <t xml:space="preserve"> Only 'process improvement' named as an independent decision → moved down 1
</t>
          </r>
          <r>
            <rPr>
              <rFont val="Calibri"/>
              <b val="1"/>
              <sz val="10"/>
            </rPr>
            <t>Market:</t>
          </r>
          <r>
            <rPr>
              <rFont val="Calibri"/>
              <sz val="10"/>
            </rPr>
            <t xml:space="preserve"> A3 = Technical / QC / client calls on own work</t>
          </r>
        </is>
      </c>
      <c r="AY20"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own survey / KRA answers · summarised by the rater; not quoted → moved down 0.5
</t>
          </r>
          <r>
            <rPr>
              <rFont val="Calibri"/>
              <b val="1"/>
              <sz val="10"/>
            </rPr>
            <t>Market:</t>
          </r>
          <r>
            <rPr>
              <rFont val="Calibri"/>
              <sz val="10"/>
            </rPr>
            <t xml:space="preserve"> A3 = A module / process, or work with client or regulatory consequences · B1 = A domain or a small team</t>
          </r>
        </is>
      </c>
      <c r="AZ20" s="132" t="inlineStr">
        <is>
          <r>
            <rPr>
              <rFont val="Calibri"/>
              <sz val="10"/>
            </rPr>
            <t xml:space="preserve">Rated 2.5 of 12 · between A2 and A3
</t>
          </r>
          <r>
            <rPr>
              <rFont val="Calibri"/>
              <b val="1"/>
              <sz val="10"/>
            </rPr>
            <t>Start:</t>
          </r>
          <r>
            <rPr>
              <rFont val="Calibri"/>
              <sz val="10"/>
            </rPr>
            <t xml:space="preserve"> 3.0 · individual contributor, so influence only
</t>
          </r>
          <r>
            <rPr>
              <rFont val="Calibri"/>
              <b val="1"/>
              <sz val="10"/>
            </rPr>
            <t>Evidence reads like A2:</t>
          </r>
          <r>
            <rPr>
              <rFont val="Calibri"/>
              <sz val="10"/>
            </rPr>
            <t xml:space="preserve"> Reviews sales orders and invoices prepared by others; no guiding role stated → moved down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20" s="132" t="inlineStr">
        <is>
          <r>
            <rPr>
              <rFont val="Calibri"/>
              <sz val="10"/>
            </rPr>
            <t xml:space="preserve">Rated 5 of 12
</t>
          </r>
          <r>
            <rPr>
              <rFont val="Calibri"/>
              <b val="1"/>
              <sz val="10"/>
            </rPr>
            <t>Experience:</t>
          </r>
          <r>
            <rPr>
              <rFont val="Calibri"/>
              <sz val="10"/>
            </rPr>
            <t xml:space="preserve"> not on record · input needed from HR, so set at the role's own level: it neither helps nor hurts
</t>
          </r>
          <r>
            <rPr>
              <rFont val="Calibri"/>
              <b val="1"/>
              <sz val="10"/>
            </rPr>
            <t>Qualification:</t>
          </r>
          <r>
            <rPr>
              <rFont val="Calibri"/>
              <sz val="10"/>
            </rPr>
            <t xml:space="preserve"> CA · professional, relevant to the work → +1.0
</t>
          </r>
          <r>
            <rPr>
              <rFont val="Calibri"/>
              <b val="1"/>
              <sz val="10"/>
            </rPr>
            <t>Market:</t>
          </r>
          <r>
            <rPr>
              <rFont val="Calibri"/>
              <sz val="10"/>
            </rPr>
            <t xml:space="preserve"> B1 roles typically have 4–8 yrs · IRIS guide 4–7</t>
          </r>
        </is>
      </c>
      <c r="BB20" s="132"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20" s="142" t="inlineStr">
        <is>
          <t>• Total experience · outside + at IRIS — HR — HRIS
• Confirm prior experience · provisional placement — HR</t>
        </is>
      </c>
      <c r="BD20" s="134" t="inlineStr">
        <is>
          <t>✗ HRIS: experience missing, CA, 0 direct reports
✓ Survey: 19 of 20 questions answered
✗ KRAs: none on file
✓ Manager mapping: rating, 9-box
✗ Job description: not on file</t>
        </is>
      </c>
      <c r="BE20"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Accountant
</t>
          </r>
          <r>
            <rPr>
              <rFont val="Calibri"/>
              <b val="1"/>
              <sz val="10"/>
            </rPr>
            <t>At peers:</t>
          </r>
          <r>
            <rPr>
              <rFont val="Calibri"/>
              <sz val="10"/>
            </rPr>
            <t xml:space="preserve"> Toppan Merrill – Senior Accountant · IRIS Vs Competitor Benchmark — finance ladder: Finance Specialist / Asst. Manager
</t>
          </r>
          <r>
            <rPr>
              <rFont val="Calibri"/>
              <b val="1"/>
              <sz val="10"/>
            </rPr>
            <t>Typical experience:</t>
          </r>
          <r>
            <rPr>
              <rFont val="Calibri"/>
              <sz val="10"/>
            </rPr>
            <t xml:space="preserve"> 4–8 yrs · IRIS guide 4–7
</t>
          </r>
          <r>
            <rPr>
              <rFont val="Calibri"/>
              <b val="1"/>
              <sz val="10"/>
            </rPr>
            <t>Standard:</t>
          </r>
          <r>
            <rPr>
              <rFont val="Calibri"/>
              <sz val="10"/>
            </rPr>
            <t xml:space="preserve"> IMA Management Accounting Competency Framework; ICAI / CA</t>
          </r>
        </is>
      </c>
      <c r="BF20" s="134" t="inlineStr">
        <is>
          <t>Low</t>
        </is>
      </c>
      <c r="BG20" s="134" t="inlineStr">
        <is>
          <t>• Total experience is not on record · new joiner — level is provisional until HR adds it</t>
        </is>
      </c>
      <c r="BH20" s="134" t="inlineStr"/>
      <c r="BI20" s="135" t="n"/>
      <c r="BJ20" s="136" t="n"/>
      <c r="BK20" s="136" t="n"/>
      <c r="BL20" s="136" t="n"/>
      <c r="BM20" s="136" t="n"/>
      <c r="BN20" s="137" t="n"/>
      <c r="BO20" s="120" t="n"/>
      <c r="BP20" s="120" t="n"/>
      <c r="BQ20" s="120" t="n"/>
      <c r="BR20" s="120" t="n"/>
      <c r="BS20" s="120" t="n"/>
      <c r="BT20" s="120" t="n"/>
      <c r="BU20" s="120" t="n"/>
      <c r="BV20" s="120" t="n">
        <v>3.5</v>
      </c>
    </row>
    <row r="21" ht="340" customHeight="1">
      <c r="A21" s="109" t="inlineStr">
        <is>
          <t>IRIS2214</t>
        </is>
      </c>
      <c r="B21" s="110" t="inlineStr">
        <is>
          <t>Shreya Singh</t>
        </is>
      </c>
      <c r="C21" s="111" t="inlineStr">
        <is>
          <t>Finance</t>
        </is>
      </c>
      <c r="D21" s="111" t="inlineStr">
        <is>
          <t>Winny Nair</t>
        </is>
      </c>
      <c r="E21" s="112" t="n">
        <v>6.1</v>
      </c>
      <c r="F21" s="112" t="n">
        <v>2.8</v>
      </c>
      <c r="G21" s="111" t="inlineStr">
        <is>
          <t>B.Com</t>
        </is>
      </c>
      <c r="H21" s="138" t="inlineStr">
        <is>
          <t>Assistant Manager - Finance and Accounts</t>
        </is>
      </c>
      <c r="I21" s="115" t="inlineStr">
        <is>
          <t>Finance Specialist – POD Lead</t>
        </is>
      </c>
      <c r="J21" s="114" t="inlineStr">
        <is>
          <t>Finance &amp; Accounts</t>
        </is>
      </c>
      <c r="K21" s="114" t="inlineStr">
        <is>
          <t>Financial Reporting, Compliance &amp; Audit</t>
        </is>
      </c>
      <c r="L21" s="115" t="inlineStr">
        <is>
          <t>Not in current mapping files</t>
        </is>
      </c>
      <c r="M21" s="116" t="inlineStr">
        <is>
          <t>B1</t>
        </is>
      </c>
      <c r="N21" s="21" t="inlineStr">
        <is>
          <t>Specialist · POD Lead</t>
        </is>
      </c>
      <c r="O21" s="23" t="inlineStr">
        <is>
          <t>B</t>
        </is>
      </c>
      <c r="P21" s="114" t="inlineStr">
        <is>
          <t>POD Lead</t>
        </is>
      </c>
      <c r="Q21" s="117" t="inlineStr">
        <is>
          <t>● Newly mapped</t>
        </is>
      </c>
      <c r="R21" s="118" t="inlineStr">
        <is>
          <r>
            <rPr>
              <rFont val="Calibri"/>
              <b val="1"/>
              <sz val="10"/>
            </rPr>
            <t>WHAT THE ROLE DOES:</t>
          </r>
          <r>
            <rPr>
              <rFont val="Calibri"/>
              <sz val="10"/>
            </rPr>
            <t xml:space="preserve"> Prepares financial statements, subsidiary closings, statutory compliance, budgets and audits. At B1: a domain / module, or a small team.
</t>
          </r>
          <r>
            <rPr>
              <rFont val="Calibri"/>
              <b val="1"/>
              <sz val="10"/>
            </rPr>
            <t>Common themes in role-holders' answers:</t>
          </r>
          <r>
            <rPr>
              <rFont val="Calibri"/>
              <sz val="10"/>
            </rPr>
            <t xml:space="preserve"> business · financial · reason · management
</t>
          </r>
          <r>
            <rPr>
              <rFont val="Calibri"/>
              <b val="1"/>
              <sz val="10"/>
            </rPr>
            <t>KEY RESPONSIBILITIES:</t>
          </r>
          <r>
            <rPr>
              <rFont val="Calibri"/>
              <sz val="10"/>
            </rPr>
            <t xml:space="preserve"> Prepares financial statements, subsidiary closings, statutory compliance, budgets and audits; Domain specialist work; A domain or a small team
</t>
          </r>
          <r>
            <rPr>
              <rFont val="Calibri"/>
              <b val="1"/>
              <sz val="10"/>
            </rPr>
            <t>Common themes in role-holders' answers:</t>
          </r>
          <r>
            <rPr>
              <rFont val="Calibri"/>
              <sz val="10"/>
            </rPr>
            <t xml:space="preserve"> order · business · sales · invoice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financial statements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order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accounting · Finance
</t>
          </r>
          <r>
            <rPr>
              <rFont val="Calibri"/>
              <b val="1"/>
              <sz val="10"/>
            </rPr>
            <t>TOOLS &amp; SYSTEMS:</t>
          </r>
          <r>
            <rPr>
              <rFont val="Calibri"/>
              <sz val="10"/>
            </rPr>
            <t xml:space="preserve"> ERP
COMPETENCIES REQUIRED — must-have ★: Accounting &amp; Reporting Standards · IFRS/US GAAP · Advanced Excel &amp; Productivity Tools
</t>
          </r>
          <r>
            <rPr>
              <rFont val="Calibri"/>
              <b val="1"/>
              <sz val="10"/>
            </rPr>
            <t>OTHER FUNCTIONAL COMPETENCIES:</t>
          </r>
          <r>
            <rPr>
              <rFont val="Calibri"/>
              <sz val="10"/>
            </rPr>
            <t xml:space="preserve"> Regulatory &amp; BFSI Domain · Data Analytics, BI &amp; Visualisation · Process Improvement &amp; Quality Mindset · Strategic Thinking &amp; Business Acumen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CA / CMA / ACCA / CFA / IFRS certificate; MOS Excel · optional
</t>
          </r>
          <r>
            <rPr>
              <rFont val="Calibri"/>
              <b val="1"/>
              <sz val="10"/>
            </rPr>
            <t>SOURCE:</t>
          </r>
          <r>
            <rPr>
              <rFont val="Calibri"/>
              <sz val="10"/>
            </rPr>
            <t xml:space="preserve"> Framework + role-holders' themes · 3+ answered — 3 holders, 3 answered the survey; sub-family 4 answered; catalogue RC-098</t>
          </r>
        </is>
      </c>
      <c r="S21"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2 direct reports.
Manager talent mapping — Latest rating: Not rated · manager · 9-Box Grid placement: Not placed · manager.</t>
          </r>
        </is>
      </c>
      <c r="T21" s="120" t="n"/>
      <c r="U21" s="121" t="inlineStr">
        <is>
          <r>
            <rPr>
              <rFont val="Calibri"/>
              <sz val="10"/>
            </rPr>
            <t xml:space="preserve">Finance Specialist – POD Lead in Finance · Corporate, B1 — POD Lead.
</t>
          </r>
          <r>
            <rPr>
              <rFont val="Calibri"/>
              <b val="1"/>
              <sz val="10"/>
            </rPr>
            <t>The work:</t>
          </r>
          <r>
            <rPr>
              <rFont val="Calibri"/>
              <sz val="10"/>
            </rPr>
            <t xml:space="preserve"> Prepares financial statements, subsidiary closings, statutory compliance, budgets and audits.
At this level the role owns a domain / module, or a small team.
</t>
          </r>
          <r>
            <rPr>
              <rFont val="Calibri"/>
              <b val="1"/>
              <sz val="10"/>
            </rPr>
            <t>Key responsibilities:</t>
          </r>
          <r>
            <rPr>
              <rFont val="Calibri"/>
              <sz val="10"/>
            </rPr>
            <t xml:space="preserve"> Prepares financial statements, subsidiary closings, statutory compliance, budgets and audits; Domain specialist work; A domain or a small team.
</t>
          </r>
          <r>
            <rPr>
              <rFont val="Calibri"/>
              <b val="1"/>
              <sz val="10"/>
            </rPr>
            <t>Holders describe it with:</t>
          </r>
          <r>
            <rPr>
              <rFont val="Calibri"/>
              <sz val="10"/>
            </rPr>
            <t xml:space="preserve"> order · business · sales · invoice.
Leads 2 direct reports.</t>
          </r>
        </is>
      </c>
      <c r="V21" s="122" t="inlineStr">
        <is>
          <r>
            <rPr>
              <rFont val="Calibri"/>
              <b val="1"/>
              <sz val="10"/>
            </rPr>
            <t>Hire as:</t>
          </r>
          <r>
            <rPr>
              <rFont val="Calibri"/>
              <sz val="10"/>
            </rPr>
            <t xml:space="preserve"> Senior Accountant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Toppan Merrill – Senior Accountant · IRIS Vs Competitor Benchmark — finance ladder – Finance Specialist / Asst. Manager
</t>
          </r>
          <r>
            <rPr>
              <rFont val="Calibri"/>
              <b val="1"/>
              <sz val="10"/>
            </rPr>
            <t>Credentials:</t>
          </r>
          <r>
            <rPr>
              <rFont val="Calibri"/>
              <sz val="10"/>
            </rPr>
            <t xml:space="preserve"> CA / CMA / ACCA / CFA / IFRS certificate; MOS Excel · optional
</t>
          </r>
          <r>
            <rPr>
              <rFont val="Calibri"/>
              <b val="1"/>
              <sz val="10"/>
            </rPr>
            <t>Must already know:</t>
          </r>
          <r>
            <rPr>
              <rFont val="Calibri"/>
              <sz val="10"/>
            </rPr>
            <t xml:space="preserve"> Statutory compliance · GST, TDS, audit</t>
          </r>
        </is>
      </c>
      <c r="W21" s="122" t="inlineStr">
        <is>
          <r>
            <rPr>
              <rFont val="Calibri"/>
              <sz val="10"/>
            </rPr>
            <t xml:space="preserve">FUNCTIONAL — skill level 3 of 5 · Practitioner
 ★ Accounting &amp; Reporting Standards · IFRS/US GAAP: Applies IFRS / US GAAP / Ind AS correctly
 ★ Advanced Excel &amp; Productivity Tools: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accounting · Finance
</t>
          </r>
          <r>
            <rPr>
              <rFont val="Calibri"/>
              <b val="1"/>
              <sz val="10"/>
            </rPr>
            <t>TOOLS:</t>
          </r>
          <r>
            <rPr>
              <rFont val="Calibri"/>
              <sz val="10"/>
            </rPr>
            <t xml:space="preserve"> ERP
★ = must-have for the family. Scale: 1 Awareness · 2 Working · 3 Practitioner · 4 Advanced · 5 Expert.</t>
          </r>
        </is>
      </c>
      <c r="X21" s="122" t="inlineStr">
        <is>
          <r>
            <rPr>
              <rFont val="Calibri"/>
              <sz val="10"/>
            </rPr>
            <t xml:space="preserve">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1" s="123" t="inlineStr">
        <is>
          <t>Corporate · Finance · Band B · Expert / POD Lead</t>
        </is>
      </c>
      <c r="Z21" s="124" t="n">
        <v>4</v>
      </c>
      <c r="AA21" s="125">
        <f>IFERROR(INDEX(WM_C,MATCH($Y21,WM_KEY,0)),"")</f>
        <v>0.46</v>
      </c>
      <c r="AB21" s="126">
        <f>IF(Z21="","",Z21*AA21)</f>
        <v>1.84</v>
      </c>
      <c r="AC21" s="124" t="n">
        <v>3.5</v>
      </c>
      <c r="AD21" s="125">
        <f>IFERROR(INDEX(WM_AU,MATCH($Y21,WM_KEY,0)),"")</f>
        <v>0.17</v>
      </c>
      <c r="AE21" s="126">
        <f>IF(AC21="","",AC21*AD21)</f>
        <v>0.595</v>
      </c>
      <c r="AF21" s="124" t="n">
        <v>4</v>
      </c>
      <c r="AG21" s="125">
        <f>IFERROR(INDEX(WM_AC,MATCH($Y21,WM_KEY,0)),"")</f>
        <v>0.1</v>
      </c>
      <c r="AH21" s="126">
        <f>IF(AF21="","",AF21*AG21)</f>
        <v>0.4</v>
      </c>
      <c r="AI21" s="124" t="n">
        <v>3.5</v>
      </c>
      <c r="AJ21" s="125">
        <f>IFERROR(INDEX(WM_L,MATCH($Y21,WM_KEY,0)),"")</f>
        <v>0.05</v>
      </c>
      <c r="AK21" s="126">
        <f>IF(AI21="","",AI21*AJ21)</f>
        <v>0.175</v>
      </c>
      <c r="AL21" s="124" t="n">
        <v>4.5</v>
      </c>
      <c r="AM21" s="125">
        <f>IFERROR(INDEX(WM_E,MATCH($Y21,WM_KEY,0)),"")</f>
        <v>0.15</v>
      </c>
      <c r="AN21" s="126">
        <f>IF(AL21="","",AL21*AM21)</f>
        <v>0.675</v>
      </c>
      <c r="AO21" s="127" t="n">
        <v>4</v>
      </c>
      <c r="AP21" s="125">
        <f>IFERROR(INDEX(WM_BI,MATCH($Y21,WM_KEY,0)),"")</f>
        <v>0.07</v>
      </c>
      <c r="AQ21" s="126">
        <f>IF(AO21="","",AO21*AP21)</f>
        <v>0.28</v>
      </c>
      <c r="AR21" s="126">
        <f>IF(COUNT(AB21,AE21,AH21,AK21,AN21,AQ21)&lt;6,"",SUM(AB21,AE21,AH21,AK21,AN21,AQ21))</f>
        <v>3.965</v>
      </c>
      <c r="AS21" s="128" t="str">
        <f>IF(AR21="","",INDEX({"A1","A2","A3","B1","B2","B3","C1","C2","D1","D2","E1","E2"},MAX(1,MIN(12,ROUND(AR21,0)))))</f>
        <v>B1</v>
      </c>
      <c r="AT21" s="129" t="inlineStr">
        <is>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21" s="130" t="inlineStr">
        <is>
          <r>
            <rPr>
              <rFont val="Calibri"/>
              <b val="1"/>
              <sz val="10"/>
            </rPr>
            <t>At build:</t>
          </r>
          <r>
            <rPr>
              <rFont val="Calibri"/>
              <sz val="10"/>
            </rPr>
            <t xml:space="preserve"> Complexity 1.84 + Autonomy 0.60 + Accountability 0.40 + Leadership 0.18 + Experience 0.67 + Business impact 0.28
= 3.97 points → nearest level 4 = B1
</t>
          </r>
          <r>
            <rPr>
              <rFont val="Calibri"/>
              <b val="1"/>
              <sz val="10"/>
            </rPr>
            <t>Final level:</t>
          </r>
          <r>
            <rPr>
              <rFont val="Calibri"/>
              <sz val="10"/>
            </rPr>
            <t xml:space="preserve"> B1 · same as the score</t>
          </r>
        </is>
      </c>
      <c r="AV21" s="130" t="inlineStr">
        <is>
          <r>
            <rPr>
              <rFont val="Calibri"/>
              <b val="1"/>
              <sz val="10"/>
            </rPr>
            <t>No rule applied:</t>
          </r>
          <r>
            <rPr>
              <rFont val="Calibri"/>
              <sz val="10"/>
            </rPr>
            <t xml:space="preserve"> the score decides.</t>
          </r>
        </is>
      </c>
      <c r="AW21" s="131"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Revenue report, standalone financial statements, statutory auditor queries, ERP phase 2 development, DM tool → matches the start
</t>
          </r>
          <r>
            <rPr>
              <rFont val="Calibri"/>
              <b val="1"/>
              <sz val="10"/>
            </rPr>
            <t>Market:</t>
          </r>
          <r>
            <rPr>
              <rFont val="Calibri"/>
              <sz val="10"/>
            </rPr>
            <t xml:space="preserve"> B1 = Domain specialist work</t>
          </r>
        </is>
      </c>
      <c r="AX21"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Decides sales order renewals; approves sales orders and invoices → moved down 0.5
</t>
          </r>
          <r>
            <rPr>
              <rFont val="Calibri"/>
              <b val="1"/>
              <sz val="10"/>
            </rPr>
            <t>Market:</t>
          </r>
          <r>
            <rPr>
              <rFont val="Calibri"/>
              <sz val="10"/>
            </rPr>
            <t xml:space="preserve"> A3 = Technical / QC / client calls on own work · B1 = Technical / QC / client calls for the domain</t>
          </r>
        </is>
      </c>
      <c r="AY21" s="132" t="inlineStr">
        <is>
          <r>
            <rPr>
              <rFont val="Calibri"/>
              <sz val="10"/>
            </rPr>
            <t xml:space="preserve">Rated 4 of 12
</t>
          </r>
          <r>
            <rPr>
              <rFont val="Calibri"/>
              <b val="1"/>
              <sz val="10"/>
            </rPr>
            <t>Start:</t>
          </r>
          <r>
            <rPr>
              <rFont val="Calibri"/>
              <sz val="10"/>
            </rPr>
            <t xml:space="preserve"> 4.0 · lead / specialist title; 2 direct reports, 4 people below
</t>
          </r>
          <r>
            <rPr>
              <rFont val="Calibri"/>
              <b val="1"/>
              <sz val="10"/>
            </rPr>
            <t>Evidence reads like B1:</t>
          </r>
          <r>
            <rPr>
              <rFont val="Calibri"/>
              <sz val="10"/>
            </rPr>
            <t xml:space="preserve"> own survey / KRA answers · summarised by the rater; not quoted → matches the start
</t>
          </r>
          <r>
            <rPr>
              <rFont val="Calibri"/>
              <b val="1"/>
              <sz val="10"/>
            </rPr>
            <t>Market:</t>
          </r>
          <r>
            <rPr>
              <rFont val="Calibri"/>
              <sz val="10"/>
            </rPr>
            <t xml:space="preserve"> B1 = A domain or a small team</t>
          </r>
        </is>
      </c>
      <c r="AZ21" s="132" t="inlineStr">
        <is>
          <r>
            <rPr>
              <rFont val="Calibri"/>
              <sz val="10"/>
            </rPr>
            <t xml:space="preserve">Rated 3.5 of 12 · between A3 and B1
</t>
          </r>
          <r>
            <rPr>
              <rFont val="Calibri"/>
              <b val="1"/>
              <sz val="10"/>
            </rPr>
            <t>Start:</t>
          </r>
          <r>
            <rPr>
              <rFont val="Calibri"/>
              <sz val="10"/>
            </rPr>
            <t xml:space="preserve"> 4.0
</t>
          </r>
          <r>
            <rPr>
              <rFont val="Calibri"/>
              <b val="1"/>
              <sz val="10"/>
            </rPr>
            <t>Evidence reads like A3:</t>
          </r>
          <r>
            <rPr>
              <rFont val="Calibri"/>
              <sz val="10"/>
            </rPr>
            <t xml:space="preserve"> Approves entries made by others; 2 direct reports → moved down 0.5
</t>
          </r>
          <r>
            <rPr>
              <rFont val="Calibri"/>
              <b val="1"/>
              <sz val="10"/>
            </rPr>
            <t>Team:</t>
          </r>
          <r>
            <rPr>
              <rFont val="Calibri"/>
              <sz val="10"/>
            </rPr>
            <t xml:space="preserve"> 2 direct reports · POD Lead
</t>
          </r>
          <r>
            <rPr>
              <rFont val="Calibri"/>
              <b val="1"/>
              <sz val="10"/>
            </rPr>
            <t>Market:</t>
          </r>
          <r>
            <rPr>
              <rFont val="Calibri"/>
              <sz val="10"/>
            </rPr>
            <t xml:space="preserve"> A3 = Not scored in Band A · B1 = IC: mentors and reviews · People: hands-on team lead of 3–5</t>
          </r>
        </is>
      </c>
      <c r="BA21" s="132" t="inlineStr">
        <is>
          <r>
            <rPr>
              <rFont val="Calibri"/>
              <sz val="10"/>
            </rPr>
            <t xml:space="preserve">Rated 4.5 of 12 · between B1 and B2
</t>
          </r>
          <r>
            <rPr>
              <rFont val="Calibri"/>
              <b val="1"/>
              <sz val="10"/>
            </rPr>
            <t>Experience:</t>
          </r>
          <r>
            <rPr>
              <rFont val="Calibri"/>
              <sz val="10"/>
            </rPr>
            <t xml:space="preserve"> 6.1 yrs total · 3.3 before IRIS + 2.8 at IRIS = 4.3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B1 roles typically have 4–8 yrs · IRIS guide 4–7</t>
          </r>
        </is>
      </c>
      <c r="BB21"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21" s="133" t="inlineStr"/>
      <c r="BD21" s="134" t="inlineStr">
        <is>
          <t>✓ HRIS: 6.1 yrs, B.Com, 2 direct reports
✓ Survey: 20 of 20 questions answered
✗ KRAs: none on file
✓ Manager mapping: rating, 9-box
✗ Job description: not on file</t>
        </is>
      </c>
      <c r="BE21"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Accountant
</t>
          </r>
          <r>
            <rPr>
              <rFont val="Calibri"/>
              <b val="1"/>
              <sz val="10"/>
            </rPr>
            <t>At peers:</t>
          </r>
          <r>
            <rPr>
              <rFont val="Calibri"/>
              <sz val="10"/>
            </rPr>
            <t xml:space="preserve"> Toppan Merrill – Senior Accountant · IRIS Vs Competitor Benchmark — finance ladder: Finance Specialist / Asst. Manager
</t>
          </r>
          <r>
            <rPr>
              <rFont val="Calibri"/>
              <b val="1"/>
              <sz val="10"/>
            </rPr>
            <t>Typical experience:</t>
          </r>
          <r>
            <rPr>
              <rFont val="Calibri"/>
              <sz val="10"/>
            </rPr>
            <t xml:space="preserve"> 4–8 yrs · IRIS guide 4–7
</t>
          </r>
          <r>
            <rPr>
              <rFont val="Calibri"/>
              <b val="1"/>
              <sz val="10"/>
            </rPr>
            <t>Standard:</t>
          </r>
          <r>
            <rPr>
              <rFont val="Calibri"/>
              <sz val="10"/>
            </rPr>
            <t xml:space="preserve"> IMA Management Accounting Competency Framework; ICAI / CA</t>
          </r>
        </is>
      </c>
      <c r="BF21" s="134" t="inlineStr">
        <is>
          <t>High</t>
        </is>
      </c>
      <c r="BG21" s="134" t="inlineStr"/>
      <c r="BH21" s="134" t="inlineStr"/>
      <c r="BI21" s="135" t="n"/>
      <c r="BJ21" s="136" t="n"/>
      <c r="BK21" s="136" t="n"/>
      <c r="BL21" s="136" t="n"/>
      <c r="BM21" s="136" t="n"/>
      <c r="BN21" s="137" t="n"/>
      <c r="BO21" s="120" t="n"/>
      <c r="BP21" s="120" t="n"/>
      <c r="BQ21" s="120" t="n"/>
      <c r="BR21" s="120" t="n"/>
      <c r="BS21" s="120" t="n"/>
      <c r="BT21" s="120" t="n"/>
      <c r="BU21" s="120" t="n"/>
      <c r="BV21" s="120" t="n">
        <v>4</v>
      </c>
    </row>
    <row r="22" ht="340" customHeight="1">
      <c r="A22" s="109" t="inlineStr">
        <is>
          <t>IRIS2217</t>
        </is>
      </c>
      <c r="B22" s="110" t="inlineStr">
        <is>
          <t>Bhushan Kashid</t>
        </is>
      </c>
      <c r="C22" s="111" t="inlineStr">
        <is>
          <t>Finance</t>
        </is>
      </c>
      <c r="D22" s="111" t="inlineStr">
        <is>
          <t>Anita Chavan</t>
        </is>
      </c>
      <c r="E22" s="112" t="n">
        <v>8.699999999999999</v>
      </c>
      <c r="F22" s="112" t="n">
        <v>2.7</v>
      </c>
      <c r="G22" s="111" t="inlineStr">
        <is>
          <t>B.Com</t>
        </is>
      </c>
      <c r="H22" s="138" t="inlineStr">
        <is>
          <t>Executive Accounts</t>
        </is>
      </c>
      <c r="I22" s="115" t="inlineStr">
        <is>
          <t>Senior Accounts Executive</t>
        </is>
      </c>
      <c r="J22" s="114" t="inlineStr">
        <is>
          <t>Finance &amp; Accounts</t>
        </is>
      </c>
      <c r="K22" s="114" t="inlineStr">
        <is>
          <t>Accounting &amp; Transaction Processing</t>
        </is>
      </c>
      <c r="L22" s="115" t="inlineStr">
        <is>
          <t>Not in current mapping files</t>
        </is>
      </c>
      <c r="M22" s="116" t="inlineStr">
        <is>
          <t>A3</t>
        </is>
      </c>
      <c r="N22" s="139" t="inlineStr">
        <is>
          <t>Senior Associate</t>
        </is>
      </c>
      <c r="O22" s="26" t="inlineStr">
        <is>
          <t>A</t>
        </is>
      </c>
      <c r="P22" s="114" t="inlineStr">
        <is>
          <t>IC</t>
        </is>
      </c>
      <c r="Q22" s="117" t="inlineStr">
        <is>
          <t>● Newly mapped</t>
        </is>
      </c>
      <c r="R22" s="118" t="inlineStr">
        <is>
          <r>
            <rPr>
              <rFont val="Calibri"/>
              <b val="1"/>
              <sz val="10"/>
            </rPr>
            <t>WHAT THE ROLE DOES:</t>
          </r>
          <r>
            <rPr>
              <rFont val="Calibri"/>
              <sz val="10"/>
            </rPr>
            <t xml:space="preserve"> Processes payments, entries and reconciliations. At A3: varied work; reviews juniors; go-to for a process.
</t>
          </r>
          <r>
            <rPr>
              <rFont val="Calibri"/>
              <b val="1"/>
              <sz val="10"/>
            </rPr>
            <t>Common themes in sub-family holders, all levels' answers:</t>
          </r>
          <r>
            <rPr>
              <rFont val="Calibri"/>
              <sz val="10"/>
            </rPr>
            <t xml:space="preserve"> compliance · reporting · bank
</t>
          </r>
          <r>
            <rPr>
              <rFont val="Calibri"/>
              <b val="1"/>
              <sz val="10"/>
            </rPr>
            <t>KEY RESPONSIBILITIES:</t>
          </r>
          <r>
            <rPr>
              <rFont val="Calibri"/>
              <sz val="10"/>
            </rPr>
            <t xml:space="preserve"> Processes payments, entries and reconciliations; Varied and non-standard work; handles exceptions; A module / process, or work with client or regulatory consequences
</t>
          </r>
          <r>
            <rPr>
              <rFont val="Calibri"/>
              <b val="1"/>
              <sz val="10"/>
            </rPr>
            <t>Common themes in sub-family holders, all levels' answers:</t>
          </r>
          <r>
            <rPr>
              <rFont val="Calibri"/>
              <sz val="10"/>
            </rPr>
            <t xml:space="preserve"> bank · employee · compliance · gst · sales · creation
</t>
          </r>
          <r>
            <rPr>
              <rFont val="Calibri"/>
              <b val="1"/>
              <sz val="10"/>
            </rPr>
            <t>DELIVERS:</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timely
</t>
          </r>
          <r>
            <rPr>
              <rFont val="Calibri"/>
              <b val="1"/>
              <sz val="10"/>
            </rPr>
            <t>ACCOUNTABLE FOR:</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bank
</t>
          </r>
          <r>
            <rPr>
              <rFont val="Calibri"/>
              <b val="1"/>
              <sz val="10"/>
            </rPr>
            <t>DECIDES ALONE:</t>
          </r>
          <r>
            <rPr>
              <rFont val="Calibri"/>
              <sz val="10"/>
            </rPr>
            <t xml:space="preserve"> Technical / QC / client calls on own work
</t>
          </r>
          <r>
            <rPr>
              <rFont val="Calibri"/>
              <b val="1"/>
              <sz val="10"/>
            </rPr>
            <t>Common themes in sub-family holders, all levels' answers:</t>
          </r>
          <r>
            <rPr>
              <rFont val="Calibri"/>
              <sz val="10"/>
            </rPr>
            <t xml:space="preserve"> compliance
</t>
          </r>
          <r>
            <rPr>
              <rFont val="Calibri"/>
              <b val="1"/>
              <sz val="10"/>
            </rPr>
            <t>SKILLS &amp; KNOWLEDGE · role-holders:</t>
          </r>
          <r>
            <rPr>
              <rFont val="Calibri"/>
              <sz val="10"/>
            </rPr>
            <t xml:space="preserve"> accounting
COMPETENCIES REQUIRED — must-have ★: Accounting &amp; Reporting Standards · IFRS/US GAAP · Advanced Excel &amp; Productivity Tools
</t>
          </r>
          <r>
            <rPr>
              <rFont val="Calibri"/>
              <b val="1"/>
              <sz val="10"/>
            </rPr>
            <t>OTHER FUNCTIONAL COMPETENCIES:</t>
          </r>
          <r>
            <rPr>
              <rFont val="Calibri"/>
              <sz val="10"/>
            </rPr>
            <t xml:space="preserve"> Regulatory &amp; BFSI Domain · Data Analytics, BI &amp; Visualisation · Process Improvement &amp; Quality Mindset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CA / CMA / ACCA / CFA / IFRS certificate; MOS Excel · optional
</t>
          </r>
          <r>
            <rPr>
              <rFont val="Calibri"/>
              <b val="1"/>
              <sz val="10"/>
            </rPr>
            <t>SOURCE:</t>
          </r>
          <r>
            <rPr>
              <rFont val="Calibri"/>
              <sz val="10"/>
            </rPr>
            <t xml:space="preserve"> Framework + sub-family themes · 3+ answered — 2 holders, 2 answered the survey; sub-family 4 answered; catalogue RC-095</t>
          </r>
        </is>
      </c>
      <c r="S22"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delayed.
Manager talent mapping — Latest rating: Not rated · manager · 9-Box Grid placement: Not placed · manager.</t>
          </r>
        </is>
      </c>
      <c r="T22" s="120" t="n"/>
      <c r="U22" s="121" t="inlineStr">
        <is>
          <r>
            <rPr>
              <rFont val="Calibri"/>
              <sz val="10"/>
            </rPr>
            <t xml:space="preserve">Senior Accounts Executive in Finance · Corporate, A3 — IC.
</t>
          </r>
          <r>
            <rPr>
              <rFont val="Calibri"/>
              <b val="1"/>
              <sz val="10"/>
            </rPr>
            <t>The work:</t>
          </r>
          <r>
            <rPr>
              <rFont val="Calibri"/>
              <sz val="10"/>
            </rPr>
            <t xml:space="preserve"> Processes payments, entries and reconciliations.
At this level the role owns varied work; reviews juniors; go-to for a process.
</t>
          </r>
          <r>
            <rPr>
              <rFont val="Calibri"/>
              <b val="1"/>
              <sz val="10"/>
            </rPr>
            <t>Key responsibilities:</t>
          </r>
          <r>
            <rPr>
              <rFont val="Calibri"/>
              <sz val="10"/>
            </rPr>
            <t xml:space="preserve"> Processes payments, entries and reconciliations; Varied and non-standard work; handles exceptions; A module / process, or work with client or regulatory consequences.
</t>
          </r>
          <r>
            <rPr>
              <rFont val="Calibri"/>
              <b val="1"/>
              <sz val="10"/>
            </rPr>
            <t>Holders describe it with:</t>
          </r>
          <r>
            <rPr>
              <rFont val="Calibri"/>
              <sz val="10"/>
            </rPr>
            <t xml:space="preserve"> bank · employee · compliance · gst · sales · creation.</t>
          </r>
        </is>
      </c>
      <c r="V22" s="122" t="inlineStr">
        <is>
          <r>
            <rPr>
              <rFont val="Calibri"/>
              <b val="1"/>
              <sz val="10"/>
            </rPr>
            <t>Hire as:</t>
          </r>
          <r>
            <rPr>
              <rFont val="Calibri"/>
              <sz val="10"/>
            </rPr>
            <t xml:space="preserve"> Accounts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Atlassian company-wide P-levels – P40 · IRIS Vs Competitor Benchmark — finance ladder – Senior Accountant
</t>
          </r>
          <r>
            <rPr>
              <rFont val="Calibri"/>
              <b val="1"/>
              <sz val="10"/>
            </rPr>
            <t>Credentials:</t>
          </r>
          <r>
            <rPr>
              <rFont val="Calibri"/>
              <sz val="10"/>
            </rPr>
            <t xml:space="preserve"> CA / CMA / ACCA / CFA / IFRS certificate; MOS Excel · optional
</t>
          </r>
          <r>
            <rPr>
              <rFont val="Calibri"/>
              <b val="1"/>
              <sz val="10"/>
            </rPr>
            <t>Must already know:</t>
          </r>
          <r>
            <rPr>
              <rFont val="Calibri"/>
              <sz val="10"/>
            </rPr>
            <t xml:space="preserve"> Statutory compliance · GST, TDS, audit</t>
          </r>
        </is>
      </c>
      <c r="W22" s="122" t="inlineStr">
        <is>
          <r>
            <rPr>
              <rFont val="Calibri"/>
              <sz val="10"/>
            </rPr>
            <t xml:space="preserve">FUNCTIONAL — skill level 3 of 5 · Practitioner
 ★ Accounting &amp; Reporting Standards · IFRS/US GAAP: Applies IFRS / US GAAP / Ind AS correctly
 ★ Advanced Excel &amp; Productivity Tools: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accounting
★ = must-have for the family. Scale: 1 Awareness · 2 Working · 3 Practitioner · 4 Advanced · 5 Expert.</t>
          </r>
        </is>
      </c>
      <c r="X22" s="122" t="inlineStr">
        <is>
          <r>
            <rPr>
              <rFont val="Calibri"/>
              <sz val="10"/>
            </rPr>
            <t xml:space="preserve">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2" s="123" t="inlineStr">
        <is>
          <t>Corporate · Finance · Band A · Early career</t>
        </is>
      </c>
      <c r="Z22" s="124" t="n">
        <v>2</v>
      </c>
      <c r="AA22" s="125">
        <f>IFERROR(INDEX(WM_C,MATCH($Y22,WM_KEY,0)),"")</f>
        <v>0.54</v>
      </c>
      <c r="AB22" s="126">
        <f>IF(Z22="","",Z22*AA22)</f>
        <v>1.08</v>
      </c>
      <c r="AC22" s="124" t="n">
        <v>2</v>
      </c>
      <c r="AD22" s="125">
        <f>IFERROR(INDEX(WM_AU,MATCH($Y22,WM_KEY,0)),"")</f>
        <v>0.16</v>
      </c>
      <c r="AE22" s="126">
        <f>IF(AC22="","",AC22*AD22)</f>
        <v>0.32</v>
      </c>
      <c r="AF22" s="124" t="n">
        <v>2</v>
      </c>
      <c r="AG22" s="125">
        <f>IFERROR(INDEX(WM_AC,MATCH($Y22,WM_KEY,0)),"")</f>
        <v>0.09</v>
      </c>
      <c r="AH22" s="126">
        <f>IF(AF22="","",AF22*AG22)</f>
        <v>0.18</v>
      </c>
      <c r="AI22" s="124" t="n">
        <v>1</v>
      </c>
      <c r="AJ22" s="125">
        <f>IFERROR(INDEX(WM_L,MATCH($Y22,WM_KEY,0)),"")</f>
        <v>0</v>
      </c>
      <c r="AK22" s="126">
        <f>IF(AI22="","",AI22*AJ22)</f>
        <v>0</v>
      </c>
      <c r="AL22" s="124" t="n">
        <v>5.5</v>
      </c>
      <c r="AM22" s="125">
        <f>IFERROR(INDEX(WM_E,MATCH($Y22,WM_KEY,0)),"")</f>
        <v>0.15</v>
      </c>
      <c r="AN22" s="126">
        <f>IF(AL22="","",AL22*AM22)</f>
        <v>0.825</v>
      </c>
      <c r="AO22" s="127" t="n">
        <v>2</v>
      </c>
      <c r="AP22" s="125">
        <f>IFERROR(INDEX(WM_BI,MATCH($Y22,WM_KEY,0)),"")</f>
        <v>0.06</v>
      </c>
      <c r="AQ22" s="126">
        <f>IF(AO22="","",AO22*AP22)</f>
        <v>0.12</v>
      </c>
      <c r="AR22" s="126">
        <f>IF(COUNT(AB22,AE22,AH22,AK22,AN22,AQ22)&lt;6,"",SUM(AB22,AE22,AH22,AK22,AN22,AQ22))</f>
        <v>2.525</v>
      </c>
      <c r="AS22" s="128" t="str">
        <f>IF(AR22="","",INDEX({"A1","A2","A3","B1","B2","B3","C1","C2","D1","D2","E1","E2"},MAX(1,MIN(12,ROUND(AR22,0)))))</f>
        <v>A3</v>
      </c>
      <c r="AT22" s="129" t="inlineStr">
        <is>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22" s="130" t="inlineStr">
        <is>
          <r>
            <rPr>
              <rFont val="Calibri"/>
              <b val="1"/>
              <sz val="10"/>
            </rPr>
            <t>At build:</t>
          </r>
          <r>
            <rPr>
              <rFont val="Calibri"/>
              <sz val="10"/>
            </rPr>
            <t xml:space="preserve"> Complexity 1.08 + Autonomy 0.32 + Accountability 0.18 + Leadership 0.00 + Experience 0.82 + Business impact 0.12
= 2.52 points → nearest level 3 = A3
</t>
          </r>
          <r>
            <rPr>
              <rFont val="Calibri"/>
              <b val="1"/>
              <sz val="10"/>
            </rPr>
            <t>Final level:</t>
          </r>
          <r>
            <rPr>
              <rFont val="Calibri"/>
              <sz val="10"/>
            </rPr>
            <t xml:space="preserve"> A3 · same as the score</t>
          </r>
        </is>
      </c>
      <c r="AV22" s="130" t="inlineStr">
        <is>
          <r>
            <rPr>
              <rFont val="Calibri"/>
              <b val="1"/>
              <sz val="10"/>
            </rPr>
            <t>No rule applied:</t>
          </r>
          <r>
            <rPr>
              <rFont val="Calibri"/>
              <sz val="10"/>
            </rPr>
            <t xml:space="preserve"> the score decides.</t>
          </r>
        </is>
      </c>
      <c r="AW22"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Invoice verification and booking, payment processing, vendor reconciliation, supplier creation → matches the start
</t>
          </r>
          <r>
            <rPr>
              <rFont val="Calibri"/>
              <b val="1"/>
              <sz val="10"/>
            </rPr>
            <t>Market:</t>
          </r>
          <r>
            <rPr>
              <rFont val="Calibri"/>
              <sz val="10"/>
            </rPr>
            <t xml:space="preserve"> A2 = Standard work of the discipline</t>
          </r>
        </is>
      </c>
      <c r="AX2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purchase booking; queries anomalies rather than deciding them → matches the start
</t>
          </r>
          <r>
            <rPr>
              <rFont val="Calibri"/>
              <b val="1"/>
              <sz val="10"/>
            </rPr>
            <t>Market:</t>
          </r>
          <r>
            <rPr>
              <rFont val="Calibri"/>
              <sz val="10"/>
            </rPr>
            <t xml:space="preserve"> A2 = Chooses own approach within standards</t>
          </r>
        </is>
      </c>
      <c r="AY22"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Accuracy of own invoice bookings, payment entries and reconciliations → matches the start
</t>
          </r>
          <r>
            <rPr>
              <rFont val="Calibri"/>
              <b val="1"/>
              <sz val="10"/>
            </rPr>
            <t>Market:</t>
          </r>
          <r>
            <rPr>
              <rFont val="Calibri"/>
              <sz val="10"/>
            </rPr>
            <t xml:space="preserve"> A2 = Own deliverables · accuracy, TAT</t>
          </r>
        </is>
      </c>
      <c r="AZ22"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2" s="132" t="inlineStr">
        <is>
          <r>
            <rPr>
              <rFont val="Calibri"/>
              <sz val="10"/>
            </rPr>
            <t xml:space="preserve">Rated 5.5 of 12 · between B2 and B3
</t>
          </r>
          <r>
            <rPr>
              <rFont val="Calibri"/>
              <b val="1"/>
              <sz val="10"/>
            </rPr>
            <t>Experience:</t>
          </r>
          <r>
            <rPr>
              <rFont val="Calibri"/>
              <sz val="10"/>
            </rPr>
            <t xml:space="preserve"> 8.7 yrs total · 6.0 before IRIS + 2.7 at IRIS = 5.5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2"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2" s="133" t="inlineStr"/>
      <c r="BD22" s="134" t="inlineStr">
        <is>
          <t>✓ HRIS: 8.7 yrs, B.Com, 0 direct reports
✓ Survey: 19 of 20 questions answered
✗ KRAs: none on file
✓ Manager mapping: rating, 9-box
✗ Job description: not on file</t>
        </is>
      </c>
      <c r="BE22" s="134" t="inlineStr">
        <is>
          <r>
            <rPr>
              <rFont val="Calibri"/>
              <b val="1"/>
              <sz val="10"/>
            </rPr>
            <t>Market level:</t>
          </r>
          <r>
            <rPr>
              <rFont val="Calibri"/>
              <sz val="10"/>
            </rPr>
            <t xml:space="preserve"> P2 · SFIA 3 Apply
</t>
          </r>
          <r>
            <rPr>
              <rFont val="Calibri"/>
              <b val="1"/>
              <sz val="10"/>
            </rPr>
            <t>Typical title:</t>
          </r>
          <r>
            <rPr>
              <rFont val="Calibri"/>
              <sz val="10"/>
            </rPr>
            <t xml:space="preserve"> Accounts Executive
</t>
          </r>
          <r>
            <rPr>
              <rFont val="Calibri"/>
              <b val="1"/>
              <sz val="10"/>
            </rPr>
            <t>At peers:</t>
          </r>
          <r>
            <rPr>
              <rFont val="Calibri"/>
              <sz val="10"/>
            </rPr>
            <t xml:space="preserve"> Atlassian company-wide P-levels – P40 · IRIS Vs Competitor Benchmark — finance ladder: Senior Accountant
</t>
          </r>
          <r>
            <rPr>
              <rFont val="Calibri"/>
              <b val="1"/>
              <sz val="10"/>
            </rPr>
            <t>Typical experience:</t>
          </r>
          <r>
            <rPr>
              <rFont val="Calibri"/>
              <sz val="10"/>
            </rPr>
            <t xml:space="preserve"> 2–5 yrs · IRIS guide 2–4
</t>
          </r>
          <r>
            <rPr>
              <rFont val="Calibri"/>
              <b val="1"/>
              <sz val="10"/>
            </rPr>
            <t>Standard:</t>
          </r>
          <r>
            <rPr>
              <rFont val="Calibri"/>
              <sz val="10"/>
            </rPr>
            <t xml:space="preserve"> IMA Management Accounting Competency Framework; ICAI / CA</t>
          </r>
        </is>
      </c>
      <c r="BF22" s="134" t="inlineStr">
        <is>
          <t>High</t>
        </is>
      </c>
      <c r="BG22" s="134" t="inlineStr">
        <is>
          <r>
            <rPr>
              <rFont val="Calibri"/>
              <sz val="10"/>
            </rPr>
            <t xml:space="preserve">• 8.7 yrs of experience in a role that reads as Band A work — a career-path question for the manager: can the role be widened · Specialist, B1 or is it correctly sized?
• </t>
          </r>
          <r>
            <rPr>
              <rFont val="Calibri"/>
              <b val="1"/>
              <sz val="10"/>
            </rPr>
            <t>Close call:</t>
          </r>
          <r>
            <rPr>
              <rFont val="Calibri"/>
              <sz val="10"/>
            </rPr>
            <t xml:space="preserve"> score 2.52 is within 0.05 of a rounding point and the score decided the level — calibrate against peers before confirming</t>
          </r>
        </is>
      </c>
      <c r="BH22" s="148" t="inlineStr">
        <is>
          <t>Close call</t>
        </is>
      </c>
      <c r="BI22" s="135" t="n"/>
      <c r="BJ22" s="136" t="n"/>
      <c r="BK22" s="136" t="n"/>
      <c r="BL22" s="136" t="n"/>
      <c r="BM22" s="136" t="n"/>
      <c r="BN22" s="137" t="n"/>
      <c r="BO22" s="120" t="n"/>
      <c r="BP22" s="120" t="n"/>
      <c r="BQ22" s="120" t="n"/>
      <c r="BR22" s="120" t="n"/>
      <c r="BS22" s="120" t="n"/>
      <c r="BT22" s="120" t="n"/>
      <c r="BU22" s="120" t="n"/>
      <c r="BV22" s="120" t="n">
        <v>2</v>
      </c>
    </row>
    <row r="23" ht="340" customHeight="1">
      <c r="A23" s="109" t="inlineStr">
        <is>
          <t>IRIS2062</t>
        </is>
      </c>
      <c r="B23" s="110" t="inlineStr">
        <is>
          <t>Riddhi Narkar</t>
        </is>
      </c>
      <c r="C23" s="111" t="inlineStr">
        <is>
          <t>Finance</t>
        </is>
      </c>
      <c r="D23" s="111" t="inlineStr">
        <is>
          <t>Gaurangee Gaurav Tawde</t>
        </is>
      </c>
      <c r="E23" s="112" t="n">
        <v>9.800000000000001</v>
      </c>
      <c r="F23" s="112" t="n">
        <v>4</v>
      </c>
      <c r="G23" s="111" t="inlineStr">
        <is>
          <t>B.Com</t>
        </is>
      </c>
      <c r="H23" s="138" t="inlineStr">
        <is>
          <t>Executive Accounts</t>
        </is>
      </c>
      <c r="I23" s="115" t="inlineStr">
        <is>
          <t>Senior Accounts Executive</t>
        </is>
      </c>
      <c r="J23" s="114" t="inlineStr">
        <is>
          <t>Finance &amp; Accounts</t>
        </is>
      </c>
      <c r="K23" s="114" t="inlineStr">
        <is>
          <t>Accounting &amp; Transaction Processing</t>
        </is>
      </c>
      <c r="L23" s="115" t="inlineStr">
        <is>
          <t>Not in current mapping files</t>
        </is>
      </c>
      <c r="M23" s="116" t="inlineStr">
        <is>
          <t>A3</t>
        </is>
      </c>
      <c r="N23" s="139" t="inlineStr">
        <is>
          <t>Senior Associate</t>
        </is>
      </c>
      <c r="O23" s="26" t="inlineStr">
        <is>
          <t>A</t>
        </is>
      </c>
      <c r="P23" s="114" t="inlineStr">
        <is>
          <t>IC</t>
        </is>
      </c>
      <c r="Q23" s="117" t="inlineStr">
        <is>
          <t>● Newly mapped</t>
        </is>
      </c>
      <c r="R23" s="118" t="inlineStr">
        <is>
          <r>
            <rPr>
              <rFont val="Calibri"/>
              <b val="1"/>
              <sz val="10"/>
            </rPr>
            <t>WHAT THE ROLE DOES:</t>
          </r>
          <r>
            <rPr>
              <rFont val="Calibri"/>
              <sz val="10"/>
            </rPr>
            <t xml:space="preserve"> Processes payments, entries and reconciliations. At A3: varied work; reviews juniors; go-to for a process.
</t>
          </r>
          <r>
            <rPr>
              <rFont val="Calibri"/>
              <b val="1"/>
              <sz val="10"/>
            </rPr>
            <t>Common themes in sub-family holders, all levels' answers:</t>
          </r>
          <r>
            <rPr>
              <rFont val="Calibri"/>
              <sz val="10"/>
            </rPr>
            <t xml:space="preserve"> compliance · reporting · bank
</t>
          </r>
          <r>
            <rPr>
              <rFont val="Calibri"/>
              <b val="1"/>
              <sz val="10"/>
            </rPr>
            <t>KEY RESPONSIBILITIES:</t>
          </r>
          <r>
            <rPr>
              <rFont val="Calibri"/>
              <sz val="10"/>
            </rPr>
            <t xml:space="preserve"> Processes payments, entries and reconciliations; Varied and non-standard work; handles exceptions; A module / process, or work with client or regulatory consequences
</t>
          </r>
          <r>
            <rPr>
              <rFont val="Calibri"/>
              <b val="1"/>
              <sz val="10"/>
            </rPr>
            <t>Common themes in sub-family holders, all levels' answers:</t>
          </r>
          <r>
            <rPr>
              <rFont val="Calibri"/>
              <sz val="10"/>
            </rPr>
            <t xml:space="preserve"> bank · employee · compliance · gst · sales · creation
</t>
          </r>
          <r>
            <rPr>
              <rFont val="Calibri"/>
              <b val="1"/>
              <sz val="10"/>
            </rPr>
            <t>DELIVERS:</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timely
</t>
          </r>
          <r>
            <rPr>
              <rFont val="Calibri"/>
              <b val="1"/>
              <sz val="10"/>
            </rPr>
            <t>ACCOUNTABLE FOR:</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bank
</t>
          </r>
          <r>
            <rPr>
              <rFont val="Calibri"/>
              <b val="1"/>
              <sz val="10"/>
            </rPr>
            <t>DECIDES ALONE:</t>
          </r>
          <r>
            <rPr>
              <rFont val="Calibri"/>
              <sz val="10"/>
            </rPr>
            <t xml:space="preserve"> Technical / QC / client calls on own work
</t>
          </r>
          <r>
            <rPr>
              <rFont val="Calibri"/>
              <b val="1"/>
              <sz val="10"/>
            </rPr>
            <t>Common themes in sub-family holders, all levels' answers:</t>
          </r>
          <r>
            <rPr>
              <rFont val="Calibri"/>
              <sz val="10"/>
            </rPr>
            <t xml:space="preserve"> compliance
</t>
          </r>
          <r>
            <rPr>
              <rFont val="Calibri"/>
              <b val="1"/>
              <sz val="10"/>
            </rPr>
            <t>SKILLS &amp; KNOWLEDGE · role-holders:</t>
          </r>
          <r>
            <rPr>
              <rFont val="Calibri"/>
              <sz val="10"/>
            </rPr>
            <t xml:space="preserve"> accounting
COMPETENCIES REQUIRED — must-have ★: Accounting &amp; Reporting Standards · IFRS/US GAAP · Advanced Excel &amp; Productivity Tools
</t>
          </r>
          <r>
            <rPr>
              <rFont val="Calibri"/>
              <b val="1"/>
              <sz val="10"/>
            </rPr>
            <t>OTHER FUNCTIONAL COMPETENCIES:</t>
          </r>
          <r>
            <rPr>
              <rFont val="Calibri"/>
              <sz val="10"/>
            </rPr>
            <t xml:space="preserve"> Regulatory &amp; BFSI Domain · Data Analytics, BI &amp; Visualisation · Process Improvement &amp; Quality Mindset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CA / CMA / ACCA / CFA / IFRS certificate; MOS Excel · optional
</t>
          </r>
          <r>
            <rPr>
              <rFont val="Calibri"/>
              <b val="1"/>
              <sz val="10"/>
            </rPr>
            <t>SOURCE:</t>
          </r>
          <r>
            <rPr>
              <rFont val="Calibri"/>
              <sz val="10"/>
            </rPr>
            <t xml:space="preserve"> Framework + sub-family themes · 3+ answered — 2 holders, 2 answered the survey; sub-family 4 answered; catalogue RC-095</t>
          </r>
        </is>
      </c>
      <c r="S23"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delayed.
Manager talent mapping — Latest rating: Not rated · manager · 9-Box Grid placement: Not placed · manager.</t>
          </r>
        </is>
      </c>
      <c r="T23" s="120" t="n"/>
      <c r="U23" s="121" t="inlineStr">
        <is>
          <r>
            <rPr>
              <rFont val="Calibri"/>
              <sz val="10"/>
            </rPr>
            <t xml:space="preserve">Senior Accounts Executive in Finance · Corporate, A3 — IC.
</t>
          </r>
          <r>
            <rPr>
              <rFont val="Calibri"/>
              <b val="1"/>
              <sz val="10"/>
            </rPr>
            <t>The work:</t>
          </r>
          <r>
            <rPr>
              <rFont val="Calibri"/>
              <sz val="10"/>
            </rPr>
            <t xml:space="preserve"> Processes payments, entries and reconciliations.
At this level the role owns varied work; reviews juniors; go-to for a process.
</t>
          </r>
          <r>
            <rPr>
              <rFont val="Calibri"/>
              <b val="1"/>
              <sz val="10"/>
            </rPr>
            <t>Key responsibilities:</t>
          </r>
          <r>
            <rPr>
              <rFont val="Calibri"/>
              <sz val="10"/>
            </rPr>
            <t xml:space="preserve"> Processes payments, entries and reconciliations; Varied and non-standard work; handles exceptions; A module / process, or work with client or regulatory consequences.
</t>
          </r>
          <r>
            <rPr>
              <rFont val="Calibri"/>
              <b val="1"/>
              <sz val="10"/>
            </rPr>
            <t>Holders describe it with:</t>
          </r>
          <r>
            <rPr>
              <rFont val="Calibri"/>
              <sz val="10"/>
            </rPr>
            <t xml:space="preserve"> bank · employee · compliance · gst · sales · creation.</t>
          </r>
        </is>
      </c>
      <c r="V23" s="122" t="inlineStr">
        <is>
          <r>
            <rPr>
              <rFont val="Calibri"/>
              <b val="1"/>
              <sz val="10"/>
            </rPr>
            <t>Hire as:</t>
          </r>
          <r>
            <rPr>
              <rFont val="Calibri"/>
              <sz val="10"/>
            </rPr>
            <t xml:space="preserve"> Accounts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Atlassian company-wide P-levels – P40 · IRIS Vs Competitor Benchmark — finance ladder – Senior Accountant
</t>
          </r>
          <r>
            <rPr>
              <rFont val="Calibri"/>
              <b val="1"/>
              <sz val="10"/>
            </rPr>
            <t>Credentials:</t>
          </r>
          <r>
            <rPr>
              <rFont val="Calibri"/>
              <sz val="10"/>
            </rPr>
            <t xml:space="preserve"> CA / CMA / ACCA / CFA / IFRS certificate; MOS Excel · optional
</t>
          </r>
          <r>
            <rPr>
              <rFont val="Calibri"/>
              <b val="1"/>
              <sz val="10"/>
            </rPr>
            <t>Must already know:</t>
          </r>
          <r>
            <rPr>
              <rFont val="Calibri"/>
              <sz val="10"/>
            </rPr>
            <t xml:space="preserve"> Statutory compliance · GST, TDS, audit</t>
          </r>
        </is>
      </c>
      <c r="W23" s="122" t="inlineStr">
        <is>
          <r>
            <rPr>
              <rFont val="Calibri"/>
              <sz val="10"/>
            </rPr>
            <t xml:space="preserve">FUNCTIONAL — skill level 3 of 5 · Practitioner
 ★ Accounting &amp; Reporting Standards · IFRS/US GAAP: Applies IFRS / US GAAP / Ind AS correctly
 ★ Advanced Excel &amp; Productivity Tools: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accounting
★ = must-have for the family. Scale: 1 Awareness · 2 Working · 3 Practitioner · 4 Advanced · 5 Expert.</t>
          </r>
        </is>
      </c>
      <c r="X23" s="122" t="inlineStr">
        <is>
          <r>
            <rPr>
              <rFont val="Calibri"/>
              <sz val="10"/>
            </rPr>
            <t xml:space="preserve">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3" s="123" t="inlineStr">
        <is>
          <t>Corporate · Finance · Band A · Early career</t>
        </is>
      </c>
      <c r="Z23" s="124" t="n">
        <v>2</v>
      </c>
      <c r="AA23" s="125">
        <f>IFERROR(INDEX(WM_C,MATCH($Y23,WM_KEY,0)),"")</f>
        <v>0.54</v>
      </c>
      <c r="AB23" s="126">
        <f>IF(Z23="","",Z23*AA23)</f>
        <v>1.08</v>
      </c>
      <c r="AC23" s="124" t="n">
        <v>1.5</v>
      </c>
      <c r="AD23" s="125">
        <f>IFERROR(INDEX(WM_AU,MATCH($Y23,WM_KEY,0)),"")</f>
        <v>0.16</v>
      </c>
      <c r="AE23" s="126">
        <f>IF(AC23="","",AC23*AD23)</f>
        <v>0.24</v>
      </c>
      <c r="AF23" s="124" t="n">
        <v>2</v>
      </c>
      <c r="AG23" s="125">
        <f>IFERROR(INDEX(WM_AC,MATCH($Y23,WM_KEY,0)),"")</f>
        <v>0.09</v>
      </c>
      <c r="AH23" s="126">
        <f>IF(AF23="","",AF23*AG23)</f>
        <v>0.18</v>
      </c>
      <c r="AI23" s="124" t="n">
        <v>1</v>
      </c>
      <c r="AJ23" s="125">
        <f>IFERROR(INDEX(WM_L,MATCH($Y23,WM_KEY,0)),"")</f>
        <v>0</v>
      </c>
      <c r="AK23" s="126">
        <f>IF(AI23="","",AI23*AJ23)</f>
        <v>0</v>
      </c>
      <c r="AL23" s="124" t="n">
        <v>6</v>
      </c>
      <c r="AM23" s="125">
        <f>IFERROR(INDEX(WM_E,MATCH($Y23,WM_KEY,0)),"")</f>
        <v>0.15</v>
      </c>
      <c r="AN23" s="126">
        <f>IF(AL23="","",AL23*AM23)</f>
        <v>0.9</v>
      </c>
      <c r="AO23" s="127" t="n">
        <v>2</v>
      </c>
      <c r="AP23" s="125">
        <f>IFERROR(INDEX(WM_BI,MATCH($Y23,WM_KEY,0)),"")</f>
        <v>0.06</v>
      </c>
      <c r="AQ23" s="126">
        <f>IF(AO23="","",AO23*AP23)</f>
        <v>0.12</v>
      </c>
      <c r="AR23" s="126">
        <f>IF(COUNT(AB23,AE23,AH23,AK23,AN23,AQ23)&lt;6,"",SUM(AB23,AE23,AH23,AK23,AN23,AQ23))</f>
        <v>2.52</v>
      </c>
      <c r="AS23" s="128" t="str">
        <f>IF(AR23="","",INDEX({"A1","A2","A3","B1","B2","B3","C1","C2","D1","D2","E1","E2"},MAX(1,MIN(12,ROUND(AR23,0)))))</f>
        <v>A3</v>
      </c>
      <c r="AT23" s="129" t="inlineStr">
        <is>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23" s="130" t="inlineStr">
        <is>
          <r>
            <rPr>
              <rFont val="Calibri"/>
              <b val="1"/>
              <sz val="10"/>
            </rPr>
            <t>At build:</t>
          </r>
          <r>
            <rPr>
              <rFont val="Calibri"/>
              <sz val="10"/>
            </rPr>
            <t xml:space="preserve"> Complexity 1.08 + Autonomy 0.24 + Accountability 0.18 + Leadership 0.00 + Experience 0.90 + Business impact 0.12
= 2.52 points → nearest level 3 = A3
</t>
          </r>
          <r>
            <rPr>
              <rFont val="Calibri"/>
              <b val="1"/>
              <sz val="10"/>
            </rPr>
            <t>Final level:</t>
          </r>
          <r>
            <rPr>
              <rFont val="Calibri"/>
              <sz val="10"/>
            </rPr>
            <t xml:space="preserve"> A3 · same as the score</t>
          </r>
        </is>
      </c>
      <c r="AV23" s="130" t="inlineStr">
        <is>
          <r>
            <rPr>
              <rFont val="Calibri"/>
              <b val="1"/>
              <sz val="10"/>
            </rPr>
            <t>No rule applied:</t>
          </r>
          <r>
            <rPr>
              <rFont val="Calibri"/>
              <sz val="10"/>
            </rPr>
            <t xml:space="preserve"> the score decides.</t>
          </r>
        </is>
      </c>
      <c r="AW23"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Creates sales orders and invoices, records daily bank transactions, fixed asset data → matches the start
</t>
          </r>
          <r>
            <rPr>
              <rFont val="Calibri"/>
              <b val="1"/>
              <sz val="10"/>
            </rPr>
            <t>Market:</t>
          </r>
          <r>
            <rPr>
              <rFont val="Calibri"/>
              <sz val="10"/>
            </rPr>
            <t xml:space="preserve"> A2 = Standard work of the discipline</t>
          </r>
        </is>
      </c>
      <c r="AX23" s="132" t="inlineStr">
        <is>
          <r>
            <rPr>
              <rFont val="Calibri"/>
              <sz val="10"/>
            </rPr>
            <t xml:space="preserve">Rated 1.5 of 12 · between A1 and A2
</t>
          </r>
          <r>
            <rPr>
              <rFont val="Calibri"/>
              <b val="1"/>
              <sz val="10"/>
            </rPr>
            <t>Start:</t>
          </r>
          <r>
            <rPr>
              <rFont val="Calibri"/>
              <sz val="10"/>
            </rPr>
            <t xml:space="preserve"> 2.0 · practitioner title
</t>
          </r>
          <r>
            <rPr>
              <rFont val="Calibri"/>
              <b val="1"/>
              <sz val="10"/>
            </rPr>
            <t>Evidence reads like A1:</t>
          </r>
          <r>
            <rPr>
              <rFont val="Calibri"/>
              <sz val="10"/>
            </rPr>
            <t xml:space="preserve"> States 'No freedom' to decide independently → moved down 0.5
</t>
          </r>
          <r>
            <rPr>
              <rFont val="Calibri"/>
              <b val="1"/>
              <sz val="10"/>
            </rPr>
            <t>Market:</t>
          </r>
          <r>
            <rPr>
              <rFont val="Calibri"/>
              <sz val="10"/>
            </rPr>
            <t xml:space="preserve"> A1 = Needs approval / close guidance · A2 = Chooses own approach within standards</t>
          </r>
        </is>
      </c>
      <c r="AY2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Entry-level accuracy and reports feeding the revenue report → matches the start
</t>
          </r>
          <r>
            <rPr>
              <rFont val="Calibri"/>
              <b val="1"/>
              <sz val="10"/>
            </rPr>
            <t>Market:</t>
          </r>
          <r>
            <rPr>
              <rFont val="Calibri"/>
              <sz val="10"/>
            </rPr>
            <t xml:space="preserve"> A2 = Own deliverables · accuracy, TAT</t>
          </r>
        </is>
      </c>
      <c r="AZ23"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3" s="132" t="inlineStr">
        <is>
          <r>
            <rPr>
              <rFont val="Calibri"/>
              <sz val="10"/>
            </rPr>
            <t xml:space="preserve">Rated 6 of 12
</t>
          </r>
          <r>
            <rPr>
              <rFont val="Calibri"/>
              <b val="1"/>
              <sz val="10"/>
            </rPr>
            <t>Experience:</t>
          </r>
          <r>
            <rPr>
              <rFont val="Calibri"/>
              <sz val="10"/>
            </rPr>
            <t xml:space="preserve"> 9.8 yrs total · 5.8 before IRIS + 4.0 at IRIS = 5.9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3"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3" s="133" t="inlineStr"/>
      <c r="BD23" s="134" t="inlineStr">
        <is>
          <t>✓ HRIS: 9.8 yrs, B.Com, 0 direct reports
✓ Survey: 19 of 20 questions answered
✗ KRAs: none on file
✓ Manager mapping: rating, 9-box
✗ Job description: not on file</t>
        </is>
      </c>
      <c r="BE23" s="134" t="inlineStr">
        <is>
          <r>
            <rPr>
              <rFont val="Calibri"/>
              <b val="1"/>
              <sz val="10"/>
            </rPr>
            <t>Market level:</t>
          </r>
          <r>
            <rPr>
              <rFont val="Calibri"/>
              <sz val="10"/>
            </rPr>
            <t xml:space="preserve"> P2 · SFIA 3 Apply
</t>
          </r>
          <r>
            <rPr>
              <rFont val="Calibri"/>
              <b val="1"/>
              <sz val="10"/>
            </rPr>
            <t>Typical title:</t>
          </r>
          <r>
            <rPr>
              <rFont val="Calibri"/>
              <sz val="10"/>
            </rPr>
            <t xml:space="preserve"> Accounts Executive
</t>
          </r>
          <r>
            <rPr>
              <rFont val="Calibri"/>
              <b val="1"/>
              <sz val="10"/>
            </rPr>
            <t>At peers:</t>
          </r>
          <r>
            <rPr>
              <rFont val="Calibri"/>
              <sz val="10"/>
            </rPr>
            <t xml:space="preserve"> Atlassian company-wide P-levels – P40 · IRIS Vs Competitor Benchmark — finance ladder: Senior Accountant
</t>
          </r>
          <r>
            <rPr>
              <rFont val="Calibri"/>
              <b val="1"/>
              <sz val="10"/>
            </rPr>
            <t>Typical experience:</t>
          </r>
          <r>
            <rPr>
              <rFont val="Calibri"/>
              <sz val="10"/>
            </rPr>
            <t xml:space="preserve"> 2–5 yrs · IRIS guide 2–4
</t>
          </r>
          <r>
            <rPr>
              <rFont val="Calibri"/>
              <b val="1"/>
              <sz val="10"/>
            </rPr>
            <t>Standard:</t>
          </r>
          <r>
            <rPr>
              <rFont val="Calibri"/>
              <sz val="10"/>
            </rPr>
            <t xml:space="preserve"> IMA Management Accounting Competency Framework; ICAI / CA</t>
          </r>
        </is>
      </c>
      <c r="BF23" s="134" t="inlineStr">
        <is>
          <t>High</t>
        </is>
      </c>
      <c r="BG23" s="134" t="inlineStr">
        <is>
          <r>
            <rPr>
              <rFont val="Calibri"/>
              <sz val="10"/>
            </rPr>
            <t xml:space="preserve">• 9.8 yrs of experience in a role that reads as Band A work — a career-path question for the manager: can the role be widened · Specialist, B1 or is it correctly sized?
• </t>
          </r>
          <r>
            <rPr>
              <rFont val="Calibri"/>
              <b val="1"/>
              <sz val="10"/>
            </rPr>
            <t>Close call:</t>
          </r>
          <r>
            <rPr>
              <rFont val="Calibri"/>
              <sz val="10"/>
            </rPr>
            <t xml:space="preserve"> score 2.52 is within 0.05 of a rounding point and the score decided the level — calibrate against peers before confirming</t>
          </r>
        </is>
      </c>
      <c r="BH23" s="148" t="inlineStr">
        <is>
          <t>Close call</t>
        </is>
      </c>
      <c r="BI23" s="135" t="n"/>
      <c r="BJ23" s="136" t="n"/>
      <c r="BK23" s="136" t="n"/>
      <c r="BL23" s="136" t="n"/>
      <c r="BM23" s="136" t="n"/>
      <c r="BN23" s="137" t="n"/>
      <c r="BO23" s="120" t="n"/>
      <c r="BP23" s="120" t="n"/>
      <c r="BQ23" s="120" t="n"/>
      <c r="BR23" s="120" t="n"/>
      <c r="BS23" s="120" t="n"/>
      <c r="BT23" s="120" t="n"/>
      <c r="BU23" s="120" t="n"/>
      <c r="BV23" s="120" t="n">
        <v>2</v>
      </c>
    </row>
    <row r="24" ht="340" customHeight="1">
      <c r="A24" s="109" t="inlineStr">
        <is>
          <t>IRIS2533</t>
        </is>
      </c>
      <c r="B24" s="110" t="inlineStr">
        <is>
          <t>Shweta Jha</t>
        </is>
      </c>
      <c r="C24" s="111" t="inlineStr">
        <is>
          <t>HR</t>
        </is>
      </c>
      <c r="D24" s="111" t="inlineStr">
        <is>
          <t>Deepta Rangarajan</t>
        </is>
      </c>
      <c r="E24" s="112" t="n">
        <v>18.2</v>
      </c>
      <c r="F24" s="112" t="n">
        <v>0.3</v>
      </c>
      <c r="G24" s="111" t="inlineStr">
        <is>
          <t>MBA</t>
        </is>
      </c>
      <c r="H24" s="138" t="inlineStr">
        <is>
          <t>Vice President - Human Resource</t>
        </is>
      </c>
      <c r="I24" s="115" t="inlineStr">
        <is>
          <t>Vice President – Human Resources</t>
        </is>
      </c>
      <c r="J24" s="114" t="inlineStr">
        <is>
          <t>Human Resources</t>
        </is>
      </c>
      <c r="K24" s="114" t="inlineStr">
        <is>
          <t>HR Leadership</t>
        </is>
      </c>
      <c r="L24" s="115" t="inlineStr">
        <is>
          <t>Not in current mapping files</t>
        </is>
      </c>
      <c r="M24" s="116" t="inlineStr">
        <is>
          <t>D2</t>
        </is>
      </c>
      <c r="N24" s="149" t="inlineStr">
        <is>
          <t>Vice President</t>
        </is>
      </c>
      <c r="O24" s="39" t="inlineStr">
        <is>
          <t>D</t>
        </is>
      </c>
      <c r="P24" s="114" t="inlineStr">
        <is>
          <t>People Manager</t>
        </is>
      </c>
      <c r="Q24" s="117" t="inlineStr">
        <is>
          <t>● Newly mapped</t>
        </is>
      </c>
      <c r="R24" s="118" t="inlineStr">
        <is>
          <r>
            <rPr>
              <rFont val="Calibri"/>
              <b val="1"/>
              <sz val="10"/>
            </rPr>
            <t>WHAT THE ROLE DOES:</t>
          </r>
          <r>
            <rPr>
              <rFont val="Calibri"/>
              <sz val="10"/>
            </rPr>
            <t xml:space="preserve"> Leads the human resources function. At D2: several business lines or an executive-scope enterprise function.
</t>
          </r>
          <r>
            <rPr>
              <rFont val="Calibri"/>
              <b val="1"/>
              <sz val="10"/>
            </rPr>
            <t>KEY RESPONSIBILITIES:</t>
          </r>
          <r>
            <rPr>
              <rFont val="Calibri"/>
              <sz val="10"/>
            </rPr>
            <t xml:space="preserve"> Leads the human resources function; Portfolio-level strategic, financial and regulatory trade-offs; Multi-business results
</t>
          </r>
          <r>
            <rPr>
              <rFont val="Calibri"/>
              <b val="1"/>
              <sz val="10"/>
            </rPr>
            <t>DELIVERS:</t>
          </r>
          <r>
            <rPr>
              <rFont val="Calibri"/>
              <sz val="10"/>
            </rPr>
            <t xml:space="preserve"> Multi-business results
</t>
          </r>
          <r>
            <rPr>
              <rFont val="Calibri"/>
              <b val="1"/>
              <sz val="10"/>
            </rPr>
            <t>DECIDES ALONE:</t>
          </r>
          <r>
            <rPr>
              <rFont val="Calibri"/>
              <sz val="10"/>
            </rPr>
            <t xml:space="preserve"> Sets direction across business lines
COMPETENCIES REQUIRED — must-have ★: Stakeholder &amp; Client Management · Communication &amp; Presentation
</t>
          </r>
          <r>
            <rPr>
              <rFont val="Calibri"/>
              <b val="1"/>
              <sz val="10"/>
            </rPr>
            <t>OTHER FUNCTIONAL COMPETENCIES:</t>
          </r>
          <r>
            <rPr>
              <rFont val="Calibri"/>
              <sz val="10"/>
            </rPr>
            <t xml:space="preserve"> Data Analytics, BI &amp; Visualisation · Process Improvement &amp; Quality Mindset · People Leadership &amp; Mentoring · Advanced Excel &amp; Productivity Tools
</t>
          </r>
          <r>
            <rPr>
              <rFont val="Calibri"/>
              <b val="1"/>
              <sz val="10"/>
            </rPr>
            <t>PROFICIENCY NEEDED AT THIS LEVEL:</t>
          </r>
          <r>
            <rPr>
              <rFont val="Calibri"/>
              <sz val="10"/>
            </rPr>
            <t xml:space="preserve"> Core 5 · Future-ready 4 · Functional 4 · Leadership 5
</t>
          </r>
          <r>
            <rPr>
              <rFont val="Calibri"/>
              <b val="1"/>
              <sz val="10"/>
            </rPr>
            <t>SOURCE:</t>
          </r>
          <r>
            <rPr>
              <rFont val="Calibri"/>
              <sz val="10"/>
            </rPr>
            <t xml:space="preserve"> Framework only · fewer than 3 answered — 1 holder, 0 answered the survey; sub-family 0 answered; catalogue RC-100</t>
          </r>
        </is>
      </c>
      <c r="S24" s="119" t="inlineStr">
        <is>
          <r>
            <rPr>
              <rFont val="Calibri"/>
              <b val="1"/>
              <sz val="10"/>
            </rPr>
            <t>What the role answers for:</t>
          </r>
          <r>
            <rPr>
              <rFont val="Calibri"/>
              <sz val="10"/>
            </rPr>
            <t xml:space="preserve"> Multi-business results.
</t>
          </r>
          <r>
            <rPr>
              <rFont val="Calibri"/>
              <b val="1"/>
              <sz val="10"/>
            </rPr>
            <t>Accountability &amp; Impact rating:</t>
          </r>
          <r>
            <rPr>
              <rFont val="Calibri"/>
              <sz val="10"/>
            </rPr>
            <t xml:space="preserve"> 10 of 12 · D2-level impact.
Leads 6 direct reports.
Manager talent mapping — Latest rating: Not rated · manager · 9-Box Grid placement: Not placed · manager.</t>
          </r>
        </is>
      </c>
      <c r="T24" s="120" t="n"/>
      <c r="U24" s="121" t="inlineStr">
        <is>
          <r>
            <rPr>
              <rFont val="Calibri"/>
              <sz val="10"/>
            </rPr>
            <t xml:space="preserve">Vice President – Human Resources in HR · Corporate, D2 — People Manager.
</t>
          </r>
          <r>
            <rPr>
              <rFont val="Calibri"/>
              <b val="1"/>
              <sz val="10"/>
            </rPr>
            <t>The work:</t>
          </r>
          <r>
            <rPr>
              <rFont val="Calibri"/>
              <sz val="10"/>
            </rPr>
            <t xml:space="preserve"> Leads the human resources function.
At this level the role owns several business lines or an executive-scope enterprise function.
</t>
          </r>
          <r>
            <rPr>
              <rFont val="Calibri"/>
              <b val="1"/>
              <sz val="10"/>
            </rPr>
            <t>Key responsibilities:</t>
          </r>
          <r>
            <rPr>
              <rFont val="Calibri"/>
              <sz val="10"/>
            </rPr>
            <t xml:space="preserve"> Leads the human resources function; Portfolio-level strategic, financial and regulatory trade-offs; Multi-business results.
Leads 6 direct reports.</t>
          </r>
        </is>
      </c>
      <c r="V24" s="122" t="inlineStr">
        <is>
          <r>
            <rPr>
              <rFont val="Calibri"/>
              <b val="1"/>
              <sz val="10"/>
            </rPr>
            <t>Hire as:</t>
          </r>
          <r>
            <rPr>
              <rFont val="Calibri"/>
              <sz val="10"/>
            </rPr>
            <t xml:space="preserve"> Vice President / Senior Vice President / Senior Vice President — IRIS D2 Vice President · People Manager
</t>
          </r>
          <r>
            <rPr>
              <rFont val="Calibri"/>
              <b val="1"/>
              <sz val="10"/>
            </rPr>
            <t>Market level:</t>
          </r>
          <r>
            <rPr>
              <rFont val="Calibri"/>
              <sz val="10"/>
            </rPr>
            <t xml:space="preserve"> E3–E4 · SFIA 7 Set strategy
</t>
          </r>
          <r>
            <rPr>
              <rFont val="Calibri"/>
              <b val="1"/>
              <sz val="10"/>
            </rPr>
            <t>Experience:</t>
          </r>
          <r>
            <rPr>
              <rFont val="Calibri"/>
              <sz val="10"/>
            </rPr>
            <t xml:space="preserve"> 18–24 yrs · Education: MBA / PGDM · HR or MA / MSW
</t>
          </r>
          <r>
            <rPr>
              <rFont val="Calibri"/>
              <b val="1"/>
              <sz val="10"/>
            </rPr>
            <t>Team size at this level:</t>
          </r>
          <r>
            <rPr>
              <rFont val="Calibri"/>
              <sz val="10"/>
            </rPr>
            <t xml:space="preserve"> 5–8 AVPs / heads
</t>
          </r>
          <r>
            <rPr>
              <rFont val="Calibri"/>
              <b val="1"/>
              <sz val="10"/>
            </rPr>
            <t>Equivalent titles at peers:</t>
          </r>
          <r>
            <rPr>
              <rFont val="Calibri"/>
              <sz val="10"/>
            </rPr>
            <t xml:space="preserve"> IRIS Vs Competitor Benchmark — HR ladder – VP HR
</t>
          </r>
          <r>
            <rPr>
              <rFont val="Calibri"/>
              <b val="1"/>
              <sz val="10"/>
            </rPr>
            <t>Must already know:</t>
          </r>
          <r>
            <rPr>
              <rFont val="Calibri"/>
              <sz val="10"/>
            </rPr>
            <t xml:space="preserve"> Labour law, POSH, data privacy</t>
          </r>
        </is>
      </c>
      <c r="W24" s="122" t="inlineStr">
        <is>
          <r>
            <rPr>
              <rFont val="Calibri"/>
              <sz val="10"/>
            </rPr>
            <t xml:space="preserve">FUNCTIONAL — skill level 4 of 5 · Advanced
 ★ Stakeholder &amp; Client Management: Owns key relationships; resolves escalations
 ★ Communication &amp; Presentation: Presents to senior stakeholders; shapes messaging
 • </t>
          </r>
          <r>
            <rPr>
              <rFont val="Calibri"/>
              <b val="1"/>
              <sz val="10"/>
            </rPr>
            <t>Data Analytics, BI &amp; Visualisation:</t>
          </r>
          <r>
            <rPr>
              <rFont val="Calibri"/>
              <sz val="10"/>
            </rPr>
            <t xml:space="preserve"> Defines metrics and analytics approach for a business
 • </t>
          </r>
          <r>
            <rPr>
              <rFont val="Calibri"/>
              <b val="1"/>
              <sz val="10"/>
            </rPr>
            <t>Process Improvement &amp; Quality Mindset:</t>
          </r>
          <r>
            <rPr>
              <rFont val="Calibri"/>
              <sz val="10"/>
            </rPr>
            <t xml:space="preserve"> Redesigns team processes; reduces error rates measurably
 • </t>
          </r>
          <r>
            <rPr>
              <rFont val="Calibri"/>
              <b val="1"/>
              <sz val="10"/>
            </rPr>
            <t>People Leadership &amp; Mentoring:</t>
          </r>
          <r>
            <rPr>
              <rFont val="Calibri"/>
              <sz val="10"/>
            </rPr>
            <t xml:space="preserve"> Leads leaders; builds succession
 • </t>
          </r>
          <r>
            <rPr>
              <rFont val="Calibri"/>
              <b val="1"/>
              <sz val="10"/>
            </rPr>
            <t>Advanced Excel &amp; Productivity Tools:</t>
          </r>
          <r>
            <rPr>
              <rFont val="Calibri"/>
              <sz val="10"/>
            </rPr>
            <t xml:space="preserve"> Builds templates and automation used by the team
CORE — skill level 5 of 5 · Expert
 •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5 of 5 · Expert
 •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
★ = must-have for the family. Scale: 1 Awareness · 2 Working · 3 Practitioner · 4 Advanced · 5 Expert.</t>
          </r>
        </is>
      </c>
      <c r="X24" s="122" t="inlineStr">
        <is>
          <r>
            <rPr>
              <rFont val="Calibri"/>
              <sz val="10"/>
            </rPr>
            <t xml:space="preserve">Draft — generated from the framework; hiring-manager review pending · HR Super Master, sheet T5.
1. [Stakeholder &amp; Client Management · level 4] Tell me about recent work that shows this: "Owns key relationships; resolves escalations". What exactly did you do, how, and what was the result? Assess with: Role play / behavioural interview.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[Process Improvement &amp; Quality Mindset · level 4] Give an example that shows you can do this: "Redesigns team processes; reduces error rates measurably". Assess with: Work sample / case.
5. [People Leadership &amp; Mentoring · level 4] Give an example that shows you can do this: "Leads leaders; builds succession". Assess with: Behavioural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t>
          </r>
          <r>
            <rPr>
              <rFont val="Calibri"/>
              <b val="1"/>
              <sz val="10"/>
            </rPr>
            <t>Fit check:</t>
          </r>
          <r>
            <rPr>
              <rFont val="Calibri"/>
              <sz val="10"/>
            </rPr>
            <t xml:space="preserve"> Why this role, why IRIS · regulatory reporting / XBRL / regtech, and what would you change in your first 90 days?</t>
          </r>
        </is>
      </c>
      <c r="Y24" s="123" t="inlineStr">
        <is>
          <t>Corporate · HR · Bands D–E · Leadership</t>
        </is>
      </c>
      <c r="Z24" s="124" t="n">
        <v>10</v>
      </c>
      <c r="AA24" s="125">
        <f>IFERROR(INDEX(WM_C,MATCH($Y24,WM_KEY,0)),"")</f>
        <v>0.37</v>
      </c>
      <c r="AB24" s="126">
        <f>IF(Z24="","",Z24*AA24)</f>
        <v>3.7</v>
      </c>
      <c r="AC24" s="124" t="n">
        <v>10</v>
      </c>
      <c r="AD24" s="125">
        <f>IFERROR(INDEX(WM_AU,MATCH($Y24,WM_KEY,0)),"")</f>
        <v>0.19</v>
      </c>
      <c r="AE24" s="126">
        <f>IF(AC24="","",AC24*AD24)</f>
        <v>1.9</v>
      </c>
      <c r="AF24" s="124" t="n">
        <v>10</v>
      </c>
      <c r="AG24" s="125">
        <f>IFERROR(INDEX(WM_AC,MATCH($Y24,WM_KEY,0)),"")</f>
        <v>0.11</v>
      </c>
      <c r="AH24" s="126">
        <f>IF(AF24="","",AF24*AG24)</f>
        <v>1.1</v>
      </c>
      <c r="AI24" s="124" t="n">
        <v>10</v>
      </c>
      <c r="AJ24" s="125">
        <f>IFERROR(INDEX(WM_L,MATCH($Y24,WM_KEY,0)),"")</f>
        <v>0.2</v>
      </c>
      <c r="AK24" s="126">
        <f>IF(AI24="","",AI24*AJ24)</f>
        <v>2</v>
      </c>
      <c r="AL24" s="124" t="n">
        <v>9.5</v>
      </c>
      <c r="AM24" s="125">
        <f>IFERROR(INDEX(WM_E,MATCH($Y24,WM_KEY,0)),"")</f>
        <v>0.05</v>
      </c>
      <c r="AN24" s="126">
        <f>IF(AL24="","",AL24*AM24)</f>
        <v>0.475</v>
      </c>
      <c r="AO24" s="127" t="n">
        <v>10</v>
      </c>
      <c r="AP24" s="125">
        <f>IFERROR(INDEX(WM_BI,MATCH($Y24,WM_KEY,0)),"")</f>
        <v>0.08</v>
      </c>
      <c r="AQ24" s="126">
        <f>IF(AO24="","",AO24*AP24)</f>
        <v>0.8</v>
      </c>
      <c r="AR24" s="126">
        <f>IF(COUNT(AB24,AE24,AH24,AK24,AN24,AQ24)&lt;6,"",SUM(AB24,AE24,AH24,AK24,AN24,AQ24))</f>
        <v>9.975</v>
      </c>
      <c r="AS24" s="128" t="str">
        <f>IF(AR24="","",INDEX({"A1","A2","A3","B1","B2","B3","C1","C2","D1","D2","E1","E2"},MAX(1,MIN(12,ROUND(AR24,0)))))</f>
        <v>D2</v>
      </c>
      <c r="AT24" s="129" t="inlineStr">
        <is>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t>
          </r>
        </is>
      </c>
      <c r="AU24" s="130" t="inlineStr">
        <is>
          <r>
            <rPr>
              <rFont val="Calibri"/>
              <b val="1"/>
              <sz val="10"/>
            </rPr>
            <t>At build:</t>
          </r>
          <r>
            <rPr>
              <rFont val="Calibri"/>
              <sz val="10"/>
            </rPr>
            <t xml:space="preserve"> Complexity 3.70 + Autonomy 1.90 + Accountability 1.10 + Leadership 2.00 + Experience 0.48 + Business impact 0.80
= 9.97 points → nearest level 10 = D2
</t>
          </r>
          <r>
            <rPr>
              <rFont val="Calibri"/>
              <b val="1"/>
              <sz val="10"/>
            </rPr>
            <t>Final level:</t>
          </r>
          <r>
            <rPr>
              <rFont val="Calibri"/>
              <sz val="10"/>
            </rPr>
            <t xml:space="preserve"> D2 · same as the score</t>
          </r>
        </is>
      </c>
      <c r="AV24" s="130" t="inlineStr">
        <is>
          <r>
            <rPr>
              <rFont val="Calibri"/>
              <b val="1"/>
              <sz val="10"/>
            </rPr>
            <t>No rule applied:</t>
          </r>
          <r>
            <rPr>
              <rFont val="Calibri"/>
              <sz val="10"/>
            </rPr>
            <t xml:space="preserve"> the score decides.</t>
          </r>
        </is>
      </c>
      <c r="AW24" s="140" t="inlineStr">
        <is>
          <r>
            <rPr>
              <rFont val="Calibri"/>
              <color rgb="009C0006"/>
              <sz val="10"/>
            </rPr>
            <t xml:space="preserve">Rated 10 of 12
</t>
          </r>
          <r>
            <rPr>
              <rFont val="Calibri"/>
              <b val="1"/>
              <color rgb="009C0006"/>
              <sz val="10"/>
            </rPr>
            <t>Start:</t>
          </r>
          <r>
            <rPr>
              <rFont val="Calibri"/>
              <color rgb="009C0006"/>
              <sz val="10"/>
            </rPr>
            <t xml:space="preserve"> 10.0 · vice president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D2 = Portfolio-level strategic, financial and regulatory trade-offs</t>
          </r>
        </is>
      </c>
      <c r="AX24" s="141" t="inlineStr">
        <is>
          <r>
            <rPr>
              <rFont val="Calibri"/>
              <color rgb="009C0006"/>
              <sz val="10"/>
            </rPr>
            <t xml:space="preserve">Rated 10 of 12
</t>
          </r>
          <r>
            <rPr>
              <rFont val="Calibri"/>
              <b val="1"/>
              <color rgb="009C0006"/>
              <sz val="10"/>
            </rPr>
            <t>Start:</t>
          </r>
          <r>
            <rPr>
              <rFont val="Calibri"/>
              <color rgb="009C0006"/>
              <sz val="10"/>
            </rPr>
            <t xml:space="preserve"> 10.0 · vice president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D2 = Sets direction across business lines</t>
          </r>
        </is>
      </c>
      <c r="AY24" s="141" t="inlineStr">
        <is>
          <r>
            <rPr>
              <rFont val="Calibri"/>
              <color rgb="009C0006"/>
              <sz val="10"/>
            </rPr>
            <t xml:space="preserve">Rated 10 of 12
</t>
          </r>
          <r>
            <rPr>
              <rFont val="Calibri"/>
              <b val="1"/>
              <color rgb="009C0006"/>
              <sz val="10"/>
            </rPr>
            <t>Start:</t>
          </r>
          <r>
            <rPr>
              <rFont val="Calibri"/>
              <color rgb="009C0006"/>
              <sz val="10"/>
            </rPr>
            <t xml:space="preserve"> 10.0 · vice president title; 6 direct reports, 7 people in the organisation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D2 = Multi-business results</t>
          </r>
        </is>
      </c>
      <c r="AZ24" s="141" t="inlineStr">
        <is>
          <r>
            <rPr>
              <rFont val="Calibri"/>
              <color rgb="009C0006"/>
              <sz val="10"/>
            </rPr>
            <t xml:space="preserve">Rated 10 of 12
</t>
          </r>
          <r>
            <rPr>
              <rFont val="Calibri"/>
              <b val="1"/>
              <color rgb="009C0006"/>
              <sz val="10"/>
            </rPr>
            <t>Start:</t>
          </r>
          <r>
            <rPr>
              <rFont val="Calibri"/>
              <color rgb="009C0006"/>
              <sz val="10"/>
            </rPr>
            <t xml:space="preserve"> 10.0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6 direct reports · People Manager
</t>
          </r>
          <r>
            <rPr>
              <rFont val="Calibri"/>
              <b val="1"/>
              <color rgb="009C0006"/>
              <sz val="10"/>
            </rPr>
            <t>Market:</t>
          </r>
          <r>
            <rPr>
              <rFont val="Calibri"/>
              <color rgb="009C0006"/>
              <sz val="10"/>
            </rPr>
            <t xml:space="preserve"> D2 = Builds the leadership team across businesses</t>
          </r>
        </is>
      </c>
      <c r="BA24" s="132" t="inlineStr">
        <is>
          <r>
            <rPr>
              <rFont val="Calibri"/>
              <sz val="10"/>
            </rPr>
            <t xml:space="preserve">Rated 9.5 of 12 · between D1 and D2
</t>
          </r>
          <r>
            <rPr>
              <rFont val="Calibri"/>
              <b val="1"/>
              <sz val="10"/>
            </rPr>
            <t>Experience:</t>
          </r>
          <r>
            <rPr>
              <rFont val="Calibri"/>
              <sz val="10"/>
            </rPr>
            <t xml:space="preserve"> 18.2 yrs total · 17.9 before IRIS + 0.3 at IRIS = 9.2 on the experience scale
</t>
          </r>
          <r>
            <rPr>
              <rFont val="Calibri"/>
              <b val="1"/>
              <sz val="10"/>
            </rPr>
            <t>Qualification:</t>
          </r>
          <r>
            <rPr>
              <rFont val="Calibri"/>
              <sz val="10"/>
            </rPr>
            <t xml:space="preserve"> MBA · postgraduate, relevant to the work → +0.5</t>
          </r>
        </is>
      </c>
      <c r="BB24" s="132" t="inlineStr">
        <is>
          <r>
            <rPr>
              <rFont val="Calibri"/>
              <sz val="10"/>
            </rPr>
            <t xml:space="preserve">Rated 10 of 12 — a starting estimate.
</t>
          </r>
          <r>
            <rPr>
              <rFont val="Calibri"/>
              <b val="1"/>
              <sz val="10"/>
            </rPr>
            <t>Start:</t>
          </r>
          <r>
            <rPr>
              <rFont val="Calibri"/>
              <sz val="10"/>
            </rPr>
            <t xml:space="preserve"> 10,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D2 = Owns the results of several business lines</t>
          </r>
        </is>
      </c>
      <c r="BC24" s="142" t="inlineStr">
        <is>
          <t>• Survey response or KRAs describing the work · nothing on file — Employee + manager</t>
        </is>
      </c>
      <c r="BD24" s="134" t="inlineStr">
        <is>
          <t>✓ HRIS: 18.2 yrs, MBA, 6 direct reports
✗ Survey: no response
✗ KRAs: none on file
✓ Manager mapping: rating, 9-box
✗ Job description: not on file</t>
        </is>
      </c>
      <c r="BE24" s="134" t="inlineStr">
        <is>
          <r>
            <rPr>
              <rFont val="Calibri"/>
              <b val="1"/>
              <sz val="10"/>
            </rPr>
            <t>Market level:</t>
          </r>
          <r>
            <rPr>
              <rFont val="Calibri"/>
              <sz val="10"/>
            </rPr>
            <t xml:space="preserve"> E3–E4 · SFIA 7 Set strategy
</t>
          </r>
          <r>
            <rPr>
              <rFont val="Calibri"/>
              <b val="1"/>
              <sz val="10"/>
            </rPr>
            <t>Typical title:</t>
          </r>
          <r>
            <rPr>
              <rFont val="Calibri"/>
              <sz val="10"/>
            </rPr>
            <t xml:space="preserve"> Vice President / Senior Vice President / Senior Vice President
</t>
          </r>
          <r>
            <rPr>
              <rFont val="Calibri"/>
              <b val="1"/>
              <sz val="10"/>
            </rPr>
            <t>At peers:</t>
          </r>
          <r>
            <rPr>
              <rFont val="Calibri"/>
              <sz val="10"/>
            </rPr>
            <t xml:space="preserve"> IRIS Vs Competitor Benchmark — HR ladder: VP HR
</t>
          </r>
          <r>
            <rPr>
              <rFont val="Calibri"/>
              <b val="1"/>
              <sz val="10"/>
            </rPr>
            <t>Standard:</t>
          </r>
          <r>
            <rPr>
              <rFont val="Calibri"/>
              <sz val="10"/>
            </rPr>
            <t xml:space="preserve"> SHRM BASK; CIPD Profession Map</t>
          </r>
        </is>
      </c>
      <c r="BF24" s="134" t="inlineStr">
        <is>
          <t>Low</t>
        </is>
      </c>
      <c r="BG24" s="134" t="inlineStr">
        <is>
          <t>• No survey answers or KRA — the role factors rest on designation and reporting lines only</t>
        </is>
      </c>
      <c r="BH24" s="134" t="inlineStr"/>
      <c r="BI24" s="135" t="n"/>
      <c r="BJ24" s="136" t="n"/>
      <c r="BK24" s="136" t="n"/>
      <c r="BL24" s="136" t="n"/>
      <c r="BM24" s="136" t="n"/>
      <c r="BN24" s="137" t="n"/>
      <c r="BO24" s="120" t="n"/>
      <c r="BP24" s="120" t="n"/>
      <c r="BQ24" s="120" t="n"/>
      <c r="BR24" s="120" t="n"/>
      <c r="BS24" s="120" t="n"/>
      <c r="BT24" s="120" t="n"/>
      <c r="BU24" s="120" t="n"/>
      <c r="BV24" s="120" t="n">
        <v>10</v>
      </c>
    </row>
    <row r="25" ht="340" customHeight="1">
      <c r="A25" s="109" t="inlineStr">
        <is>
          <t>IRIS2556</t>
        </is>
      </c>
      <c r="B25" s="110" t="inlineStr">
        <is>
          <t>Mohammed Hanzala Shaikh</t>
        </is>
      </c>
      <c r="C25" s="111" t="inlineStr">
        <is>
          <t>HR</t>
        </is>
      </c>
      <c r="D25" s="111" t="inlineStr">
        <is>
          <t>Shweta Jha</t>
        </is>
      </c>
      <c r="E25" s="112" t="n">
        <v>6.7</v>
      </c>
      <c r="F25" s="112" t="n">
        <v>0.1</v>
      </c>
      <c r="G25" s="111" t="inlineStr">
        <is>
          <t>BMS</t>
        </is>
      </c>
      <c r="H25" s="138" t="inlineStr">
        <is>
          <t>Lead HR Transformation</t>
        </is>
      </c>
      <c r="I25" s="115" t="inlineStr">
        <is>
          <t>Lead HR Specialist – Transformation &amp; OD</t>
        </is>
      </c>
      <c r="J25" s="114" t="inlineStr">
        <is>
          <t>Human Resources</t>
        </is>
      </c>
      <c r="K25" s="114" t="inlineStr">
        <is>
          <t>HR Transformation &amp; OD</t>
        </is>
      </c>
      <c r="L25" s="115" t="inlineStr">
        <is>
          <t>Not in current mapping files</t>
        </is>
      </c>
      <c r="M25" s="116" t="inlineStr">
        <is>
          <t>B3</t>
        </is>
      </c>
      <c r="N25" s="21" t="inlineStr">
        <is>
          <t>Lead Specialist</t>
        </is>
      </c>
      <c r="O25" s="23" t="inlineStr">
        <is>
          <t>B</t>
        </is>
      </c>
      <c r="P25" s="114" t="inlineStr">
        <is>
          <t>IC</t>
        </is>
      </c>
      <c r="Q25" s="117" t="inlineStr">
        <is>
          <t>● Newly mapped</t>
        </is>
      </c>
      <c r="R25" s="118" t="inlineStr">
        <is>
          <r>
            <rPr>
              <rFont val="Calibri"/>
              <b val="1"/>
              <sz val="10"/>
            </rPr>
            <t>WHAT THE ROLE DOES:</t>
          </r>
          <r>
            <rPr>
              <rFont val="Calibri"/>
              <sz val="10"/>
            </rPr>
            <t xml:space="preserve"> Designs HR transformation, capability and OD programmes. At B3: a practice, or several teams through team leads.
</t>
          </r>
          <r>
            <rPr>
              <rFont val="Calibri"/>
              <b val="1"/>
              <sz val="10"/>
            </rPr>
            <t>KEY RESPONSIBILITIES:</t>
          </r>
          <r>
            <rPr>
              <rFont val="Calibri"/>
              <sz val="10"/>
            </rPr>
            <t xml:space="preserve"> Designs HR transformation, capability and OD programmes; Sets standards for a practice; cross-team problems; Several teams or a practice
</t>
          </r>
          <r>
            <rPr>
              <rFont val="Calibri"/>
              <b val="1"/>
              <sz val="10"/>
            </rPr>
            <t>DELIVERS:</t>
          </r>
          <r>
            <rPr>
              <rFont val="Calibri"/>
              <sz val="10"/>
            </rPr>
            <t xml:space="preserve"> Several teams or a practice
</t>
          </r>
          <r>
            <rPr>
              <rFont val="Calibri"/>
              <b val="1"/>
              <sz val="10"/>
            </rPr>
            <t>DECIDES ALONE:</t>
          </r>
          <r>
            <rPr>
              <rFont val="Calibri"/>
              <sz val="10"/>
            </rPr>
            <t xml:space="preserve"> Commercial / strategic calls for the unit
COMPETENCIES REQUIRED — must-have ★: Stakeholder &amp; Client Management · Communication &amp; Presentation
</t>
          </r>
          <r>
            <rPr>
              <rFont val="Calibri"/>
              <b val="1"/>
              <sz val="10"/>
            </rPr>
            <t>OTHER FUNCTIONAL COMPETENCIES:</t>
          </r>
          <r>
            <rPr>
              <rFont val="Calibri"/>
              <sz val="10"/>
            </rPr>
            <t xml:space="preserve"> Data Analytics, BI &amp; Visualisation · Process Improvement &amp; Quality Mindset · People Leadership &amp; Mentoring · Advanced Excel &amp; Productivity Tools
</t>
          </r>
          <r>
            <rPr>
              <rFont val="Calibri"/>
              <b val="1"/>
              <sz val="10"/>
            </rPr>
            <t>PROFICIENCY NEEDED AT THIS LEVEL:</t>
          </r>
          <r>
            <rPr>
              <rFont val="Calibri"/>
              <sz val="10"/>
            </rPr>
            <t xml:space="preserve"> Core 4 · Future-ready 3 · Functional 4 · Leadership 3
</t>
          </r>
          <r>
            <rPr>
              <rFont val="Calibri"/>
              <b val="1"/>
              <sz val="10"/>
            </rPr>
            <t>SOURCE:</t>
          </r>
          <r>
            <rPr>
              <rFont val="Calibri"/>
              <sz val="10"/>
            </rPr>
            <t xml:space="preserve"> Framework only · fewer than 3 answered — 1 holder, 0 answered the survey; sub-family 0 answered; catalogue RC-103</t>
          </r>
        </is>
      </c>
      <c r="S25" s="119"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6 of 12 · B3-level impact.
Manager talent mapping — Latest rating: Not rated · manager · 9-Box Grid placement: Not placed · manager.</t>
          </r>
        </is>
      </c>
      <c r="T25" s="120" t="n"/>
      <c r="U25" s="121" t="inlineStr">
        <is>
          <r>
            <rPr>
              <rFont val="Calibri"/>
              <sz val="10"/>
            </rPr>
            <t xml:space="preserve">Lead HR Specialist – Transformation &amp; OD in HR · Corporate, B3 — IC.
</t>
          </r>
          <r>
            <rPr>
              <rFont val="Calibri"/>
              <b val="1"/>
              <sz val="10"/>
            </rPr>
            <t>The work:</t>
          </r>
          <r>
            <rPr>
              <rFont val="Calibri"/>
              <sz val="10"/>
            </rPr>
            <t xml:space="preserve"> Designs HR transformation, capability and OD programmes.
At this level the role owns a practice, or several teams through team leads.
</t>
          </r>
          <r>
            <rPr>
              <rFont val="Calibri"/>
              <b val="1"/>
              <sz val="10"/>
            </rPr>
            <t>Key responsibilities:</t>
          </r>
          <r>
            <rPr>
              <rFont val="Calibri"/>
              <sz val="10"/>
            </rPr>
            <t xml:space="preserve"> Designs HR transformation, capability and OD programmes; Sets standards for a practice; cross-team problems; Several teams or a practice.</t>
          </r>
        </is>
      </c>
      <c r="V25" s="122" t="inlineStr">
        <is>
          <r>
            <rPr>
              <rFont val="Calibri"/>
              <b val="1"/>
              <sz val="10"/>
            </rPr>
            <t>Hire as:</t>
          </r>
          <r>
            <rPr>
              <rFont val="Calibri"/>
              <sz val="10"/>
            </rPr>
            <t xml:space="preserve"> HR Specialist / HRBP — IRIS B3 Lead Specialist · IC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MBA / PGDM · HR or MA / MSW
</t>
          </r>
          <r>
            <rPr>
              <rFont val="Calibri"/>
              <b val="1"/>
              <sz val="10"/>
            </rPr>
            <t>Equivalent titles at peers:</t>
          </r>
          <r>
            <rPr>
              <rFont val="Calibri"/>
              <sz val="10"/>
            </rPr>
            <t xml:space="preserve"> IRIS Vs Competitor Benchmark — HR ladder – Senior HR Manager · SHRM-SCP
</t>
          </r>
          <r>
            <rPr>
              <rFont val="Calibri"/>
              <b val="1"/>
              <sz val="10"/>
            </rPr>
            <t>Must already know:</t>
          </r>
          <r>
            <rPr>
              <rFont val="Calibri"/>
              <sz val="10"/>
            </rPr>
            <t xml:space="preserve"> Labour law, POSH, data privacy</t>
          </r>
        </is>
      </c>
      <c r="W25" s="122" t="inlineStr">
        <is>
          <r>
            <rPr>
              <rFont val="Calibri"/>
              <sz val="10"/>
            </rPr>
            <t xml:space="preserve">FUNCTIONAL — skill level 4 of 5 · Advanced
 ★ Stakeholder &amp; Client Management: Owns key relationships; resolves escalations
 ★ Communication &amp; Presentation: Presents to senior stakeholders; shapes messaging
 • </t>
          </r>
          <r>
            <rPr>
              <rFont val="Calibri"/>
              <b val="1"/>
              <sz val="10"/>
            </rPr>
            <t>Data Analytics, BI &amp; Visualisation:</t>
          </r>
          <r>
            <rPr>
              <rFont val="Calibri"/>
              <sz val="10"/>
            </rPr>
            <t xml:space="preserve"> Defines metrics and analytics approach for a business
 • </t>
          </r>
          <r>
            <rPr>
              <rFont val="Calibri"/>
              <b val="1"/>
              <sz val="10"/>
            </rPr>
            <t>Process Improvement &amp; Quality Mindset:</t>
          </r>
          <r>
            <rPr>
              <rFont val="Calibri"/>
              <sz val="10"/>
            </rPr>
            <t xml:space="preserve"> Redesigns team processes; reduces error rates measurably
 • </t>
          </r>
          <r>
            <rPr>
              <rFont val="Calibri"/>
              <b val="1"/>
              <sz val="10"/>
            </rPr>
            <t>People Leadership &amp; Mentoring:</t>
          </r>
          <r>
            <rPr>
              <rFont val="Calibri"/>
              <sz val="10"/>
            </rPr>
            <t xml:space="preserve"> Leads leaders; builds succession
 • </t>
          </r>
          <r>
            <rPr>
              <rFont val="Calibri"/>
              <b val="1"/>
              <sz val="10"/>
            </rPr>
            <t>Advanced Excel &amp; Productivity Tools:</t>
          </r>
          <r>
            <rPr>
              <rFont val="Calibri"/>
              <sz val="10"/>
            </rPr>
            <t xml:space="preserve"> Builds templates and automation used by the team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 = must-have for the family. Scale: 1 Awareness · 2 Working · 3 Practitioner · 4 Advanced · 5 Expert.</t>
          </r>
        </is>
      </c>
      <c r="X25" s="122" t="inlineStr">
        <is>
          <r>
            <rPr>
              <rFont val="Calibri"/>
              <sz val="10"/>
            </rPr>
            <t xml:space="preserve">Draft — generated from the framework; hiring-manager review pending · HR Super Master, sheet T5.
1. [Stakeholder &amp; Client Management · level 4] Tell me about recent work that shows this: "Owns key relationships; resolves escalations". What exactly did you do, how, and what was the result? Assess with: Role play / behavioural interview.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[Process Improvement &amp; Quality Mindset · level 4] Give an example that shows you can do this: "Redesigns team processes; reduces error rates measurably". Assess with: Work sample / case.
5. [People Leadership &amp; Mentoring · level 4] Give an example that shows you can do this: "Leads leaders; builds succession". Assess with: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25" s="123" t="inlineStr">
        <is>
          <t>Corporate · HR · Band B · Expert / POD Lead</t>
        </is>
      </c>
      <c r="Z25" s="124" t="n">
        <v>6</v>
      </c>
      <c r="AA25" s="125">
        <f>IFERROR(INDEX(WM_C,MATCH($Y25,WM_KEY,0)),"")</f>
        <v>0.46</v>
      </c>
      <c r="AB25" s="126">
        <f>IF(Z25="","",Z25*AA25)</f>
        <v>2.76</v>
      </c>
      <c r="AC25" s="124" t="n">
        <v>6</v>
      </c>
      <c r="AD25" s="125">
        <f>IFERROR(INDEX(WM_AU,MATCH($Y25,WM_KEY,0)),"")</f>
        <v>0.17</v>
      </c>
      <c r="AE25" s="126">
        <f>IF(AC25="","",AC25*AD25)</f>
        <v>1.02</v>
      </c>
      <c r="AF25" s="124" t="n">
        <v>6</v>
      </c>
      <c r="AG25" s="125">
        <f>IFERROR(INDEX(WM_AC,MATCH($Y25,WM_KEY,0)),"")</f>
        <v>0.1</v>
      </c>
      <c r="AH25" s="126">
        <f>IF(AF25="","",AF25*AG25)</f>
        <v>0.6</v>
      </c>
      <c r="AI25" s="124" t="n">
        <v>5</v>
      </c>
      <c r="AJ25" s="125">
        <f>IFERROR(INDEX(WM_L,MATCH($Y25,WM_KEY,0)),"")</f>
        <v>0.05</v>
      </c>
      <c r="AK25" s="126">
        <f>IF(AI25="","",AI25*AJ25)</f>
        <v>0.25</v>
      </c>
      <c r="AL25" s="124" t="n">
        <v>4.5</v>
      </c>
      <c r="AM25" s="125">
        <f>IFERROR(INDEX(WM_E,MATCH($Y25,WM_KEY,0)),"")</f>
        <v>0.15</v>
      </c>
      <c r="AN25" s="126">
        <f>IF(AL25="","",AL25*AM25)</f>
        <v>0.675</v>
      </c>
      <c r="AO25" s="127" t="n">
        <v>6</v>
      </c>
      <c r="AP25" s="125">
        <f>IFERROR(INDEX(WM_BI,MATCH($Y25,WM_KEY,0)),"")</f>
        <v>0.07</v>
      </c>
      <c r="AQ25" s="126">
        <f>IF(AO25="","",AO25*AP25)</f>
        <v>0.42</v>
      </c>
      <c r="AR25" s="126">
        <f>IF(COUNT(AB25,AE25,AH25,AK25,AN25,AQ25)&lt;6,"",SUM(AB25,AE25,AH25,AK25,AN25,AQ25))</f>
        <v>5.725</v>
      </c>
      <c r="AS25" s="128" t="str">
        <f>IF(AR25="","",INDEX({"A1","A2","A3","B1","B2","B3","C1","C2","D1","D2","E1","E2"},MAX(1,MIN(12,ROUND(AR25,0)))))</f>
        <v>B3</v>
      </c>
      <c r="AT25" s="129" t="inlineStr">
        <is>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25" s="130" t="inlineStr">
        <is>
          <r>
            <rPr>
              <rFont val="Calibri"/>
              <b val="1"/>
              <sz val="10"/>
            </rPr>
            <t>At build:</t>
          </r>
          <r>
            <rPr>
              <rFont val="Calibri"/>
              <sz val="10"/>
            </rPr>
            <t xml:space="preserve"> Complexity 2.76 + Autonomy 1.02 + Accountability 0.60 + Leadership 0.25 + Experience 0.67 + Business impact 0.42
= 5.73 points → nearest level 6 = B3
</t>
          </r>
          <r>
            <rPr>
              <rFont val="Calibri"/>
              <b val="1"/>
              <sz val="10"/>
            </rPr>
            <t>Final level:</t>
          </r>
          <r>
            <rPr>
              <rFont val="Calibri"/>
              <sz val="10"/>
            </rPr>
            <t xml:space="preserve"> B3 · same as the score</t>
          </r>
        </is>
      </c>
      <c r="AV25" s="130" t="inlineStr">
        <is>
          <r>
            <rPr>
              <rFont val="Calibri"/>
              <b val="1"/>
              <sz val="10"/>
            </rPr>
            <t>No rule applied:</t>
          </r>
          <r>
            <rPr>
              <rFont val="Calibri"/>
              <sz val="10"/>
            </rPr>
            <t xml:space="preserve"> the score decides.</t>
          </r>
        </is>
      </c>
      <c r="AW25" s="140" t="inlineStr">
        <is>
          <r>
            <rPr>
              <rFont val="Calibri"/>
              <color rgb="009C0006"/>
              <sz val="10"/>
            </rPr>
            <t xml:space="preserve">Rated 6 of 12
</t>
          </r>
          <r>
            <rPr>
              <rFont val="Calibri"/>
              <b val="1"/>
              <color rgb="009C0006"/>
              <sz val="10"/>
            </rPr>
            <t>Validated:</t>
          </r>
          <r>
            <rPr>
              <rFont val="Calibri"/>
              <color rgb="009C0006"/>
              <sz val="10"/>
            </rPr>
            <t xml:space="preserve"> 5.0 → 6 · Designs the enterprise-wide job architecture, role mapping and restructuring for all six businesses — a domain owned end to end · B3 standard · Role scope as defined by the HR transformation programme; calibration panel to confirm · 2026-10-08.
Before validation — Start: 5.0 · manager / senior specialist title
Before validation — Evidence: no survey answers or KRAs on file → rating stays at the start
</t>
          </r>
          <r>
            <rPr>
              <rFont val="Calibri"/>
              <b val="1"/>
              <color rgb="009C0006"/>
              <sz val="10"/>
            </rPr>
            <t>Market:</t>
          </r>
          <r>
            <rPr>
              <rFont val="Calibri"/>
              <color rgb="009C0006"/>
              <sz val="10"/>
            </rPr>
            <t xml:space="preserve"> B3 = Sets standards for a practice; cross-team problems</t>
          </r>
        </is>
      </c>
      <c r="AX25" s="141" t="inlineStr">
        <is>
          <r>
            <rPr>
              <rFont val="Calibri"/>
              <color rgb="009C0006"/>
              <sz val="10"/>
            </rPr>
            <t xml:space="preserve">Rated 6 of 12
</t>
          </r>
          <r>
            <rPr>
              <rFont val="Calibri"/>
              <b val="1"/>
              <color rgb="009C0006"/>
              <sz val="10"/>
            </rPr>
            <t>Validated:</t>
          </r>
          <r>
            <rPr>
              <rFont val="Calibri"/>
              <color rgb="009C0006"/>
              <sz val="10"/>
            </rPr>
            <t xml:space="preserve"> 5.0 → 6 · Sets method and design for five concurrent workstreams · job architecture, role mapping, restructuring, L&amp;D, AI enablement reporting to the executive sponsor · Role scope; calibration panel to confirm · 2026-10-08.
Before validation — Start: 5.0 · manager / senior specialist title
Before validation — Evidence: no survey answers or KRAs on file → rating stays at the start
</t>
          </r>
          <r>
            <rPr>
              <rFont val="Calibri"/>
              <b val="1"/>
              <color rgb="009C0006"/>
              <sz val="10"/>
            </rPr>
            <t>Market:</t>
          </r>
          <r>
            <rPr>
              <rFont val="Calibri"/>
              <color rgb="009C0006"/>
              <sz val="10"/>
            </rPr>
            <t xml:space="preserve"> B3 = Commercial / strategic calls for the unit</t>
          </r>
        </is>
      </c>
      <c r="AY25" s="141" t="inlineStr">
        <is>
          <r>
            <rPr>
              <rFont val="Calibri"/>
              <color rgb="009C0006"/>
              <sz val="10"/>
            </rPr>
            <t xml:space="preserve">Rated 6 of 12
</t>
          </r>
          <r>
            <rPr>
              <rFont val="Calibri"/>
              <b val="1"/>
              <color rgb="009C0006"/>
              <sz val="10"/>
            </rPr>
            <t>Validated:</t>
          </r>
          <r>
            <rPr>
              <rFont val="Calibri"/>
              <color rgb="009C0006"/>
              <sz val="10"/>
            </rPr>
            <t xml:space="preserve"> 5.0 → 6 · Accountable for the placement, title and career framework of every person at IRIS — enterprise impact through others · Role scope; calibration panel to confirm · 2026-10-08.
Before validation — Start: 5.0 · manager / senior specialist title
Before validation — Evidence: no survey answers or KRAs on file → rating stays at the start
</t>
          </r>
          <r>
            <rPr>
              <rFont val="Calibri"/>
              <b val="1"/>
              <color rgb="009C0006"/>
              <sz val="10"/>
            </rPr>
            <t>Market:</t>
          </r>
          <r>
            <rPr>
              <rFont val="Calibri"/>
              <color rgb="009C0006"/>
              <sz val="10"/>
            </rPr>
            <t xml:space="preserve"> B3 = Several teams or a practice</t>
          </r>
        </is>
      </c>
      <c r="AZ25" s="141" t="inlineStr">
        <is>
          <r>
            <rPr>
              <rFont val="Calibri"/>
              <color rgb="009C0006"/>
              <sz val="10"/>
            </rPr>
            <t xml:space="preserve">Rated 5 of 12
</t>
          </r>
          <r>
            <rPr>
              <rFont val="Calibri"/>
              <b val="1"/>
              <color rgb="009C0006"/>
              <sz val="10"/>
            </rPr>
            <t>Validated:</t>
          </r>
          <r>
            <rPr>
              <rFont val="Calibri"/>
              <color rgb="009C0006"/>
              <sz val="10"/>
            </rPr>
            <t xml:space="preserve"> 4.0 → 5 · Shapes enterprise org-design and talent strategy with the executive sponsor and leads cross-business workstreams without formal reports · B2 standard for an IC · Role scope; calibration panel to confirm · 2026-10-08.
Before validation — Start: 4.0 · individual contributor, so influence only
Before validation — Evidence: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B2 = IC: guides others in the domain · People: manages a team of 6+</t>
          </r>
        </is>
      </c>
      <c r="BA25" s="132" t="inlineStr">
        <is>
          <r>
            <rPr>
              <rFont val="Calibri"/>
              <sz val="10"/>
            </rPr>
            <t xml:space="preserve">Rated 4.5 of 12 · between B1 and B2
</t>
          </r>
          <r>
            <rPr>
              <rFont val="Calibri"/>
              <b val="1"/>
              <sz val="10"/>
            </rPr>
            <t>Validated:</t>
          </r>
          <r>
            <rPr>
              <rFont val="Calibri"/>
              <sz val="10"/>
            </rPr>
            <t xml:space="preserve"> 5.0 → 4.5 · 6.7 yrs total fits B2 on the experience scale; BMS graduate — the same rating as peers with 6–7 yrs and a graduate degree · Experience scale M6 · 2026-10-08.
</t>
          </r>
          <r>
            <rPr>
              <rFont val="Calibri"/>
              <b val="1"/>
              <sz val="10"/>
            </rPr>
            <t>Experience now on record:</t>
          </r>
          <r>
            <rPr>
              <rFont val="Calibri"/>
              <sz val="10"/>
            </rPr>
            <t xml:space="preserve"> 6.7 yrs; qualification: BMS
</t>
          </r>
          <r>
            <rPr>
              <rFont val="Calibri"/>
              <b val="1"/>
              <sz val="10"/>
            </rPr>
            <t>Market:</t>
          </r>
          <r>
            <rPr>
              <rFont val="Calibri"/>
              <sz val="10"/>
            </rPr>
            <t xml:space="preserve"> B3 roles typically have 8–13 yrs · IRIS guide 8–12</t>
          </r>
        </is>
      </c>
      <c r="BB25" s="132" t="inlineStr">
        <is>
          <r>
            <rPr>
              <rFont val="Calibri"/>
              <sz val="10"/>
            </rPr>
            <t xml:space="preserve">Rated 6 of 12 — a starting estimate.
</t>
          </r>
          <r>
            <rPr>
              <rFont val="Calibri"/>
              <b val="1"/>
              <sz val="10"/>
            </rPr>
            <t>Start:</t>
          </r>
          <r>
            <rPr>
              <rFont val="Calibri"/>
              <sz val="10"/>
            </rPr>
            <t xml:space="preserve"> 6,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t>
          </r>
        </is>
      </c>
      <c r="BC25" s="142" t="inlineStr">
        <is>
          <t>• Survey response or KRAs describing the work · nothing on file — Employee + manager</t>
        </is>
      </c>
      <c r="BD25" s="134" t="inlineStr">
        <is>
          <t>✓ HRIS: 6.7 yrs, BMS, 0 direct reports
✗ Survey: no response
✗ KRAs: none on file
✓ Manager mapping: rating, 9-box
✗ Job description: not on file
✓ Validated inputs: Total Experience · yrs: Not provided · HRIS → 6.7 · Working since February 2020 · 6.7 yrs to October 2026: full-time roles at Deloitte · USI, Capita and Holcim plus freelance HR consulting; HRIS record was blank · Stated by the role holder · Hanzala; HR to update the HRIS record · 2026-10-08; Decision status: Provisional — experience to be confirmed by HR → Confirmed · Experience now on record — provisional hold lifted · Stated by the role holder; HR to confirm · 2026-10-08; Complexity &amp; Expertise: 5.0 → 6 · Designs the enterprise-wide job architecture, role mapping and restructuring for all six businesses — a domain owned end to end · B3 standard · Role scope as defined by the HR transformation programme; calibration panel to confirm · 2026-10-08; Autonomy &amp; Decision: 5.0 → 6 · Sets method and design for five concurrent workstreams · job architecture, role mapping, restructuring, L&amp;D, AI enablement reporting to the executive sponsor · Role scope; calibration panel to confirm · 2026-10-08; Accountability &amp; Impact: 5.0 → 6 · Accountable for the placement, title and career framework of every person at IRIS — enterprise impact through others · Role scope; calibration panel to confirm · 2026-10-08; Leadership &amp; Strategy: 4.0 → 5 · Shapes enterprise org-design and talent strategy with the executive sponsor and leads cross-business workstreams without formal reports · B2 standard for an IC · Role scope; calibration panel to confirm · 2026-10-08; Proposed Designation: Senior HR Specialist → Lead HR Specialist – Transformation &amp; OD · Title rule N1 at B3 · IC: level marker 'Lead' + role noun; keeps the current 'Lead HR Transformation' meaning · Title rules N1–N5 · 2026-10-08; Points to confirm: Total experience is not on record · new joiner — level is provisional until HR adds it. | No survey answers or KRA — the role factors rest on designation and reporting lines only. → Ratings for Complexity, Autonomy, Accountability and Leadership set from the stated role scope · validated inputs — calibration panel to confirm | Self-placement: the role holder designed the model, so the executive sponsor approves this level · Governance V2–V3 · 2026-10-08; Experience &amp; Qualification: 5.0 → 4.5 · 6.7 yrs total fits B2 on the experience scale; BMS graduate — the same rating as peers with 6–7 yrs and a graduate degree · Experience scale M6 · 2026-10-08</t>
        </is>
      </c>
      <c r="BE25" s="134" t="inlineStr">
        <is>
          <r>
            <rPr>
              <rFont val="Calibri"/>
              <b val="1"/>
              <sz val="10"/>
            </rPr>
            <t>Market level:</t>
          </r>
          <r>
            <rPr>
              <rFont val="Calibri"/>
              <sz val="10"/>
            </rPr>
            <t xml:space="preserve"> P5 / M4 · SFIA 5 Ensure, advise
</t>
          </r>
          <r>
            <rPr>
              <rFont val="Calibri"/>
              <b val="1"/>
              <sz val="10"/>
            </rPr>
            <t>Typical title:</t>
          </r>
          <r>
            <rPr>
              <rFont val="Calibri"/>
              <sz val="10"/>
            </rPr>
            <t xml:space="preserve"> HR Specialist / HRBP
</t>
          </r>
          <r>
            <rPr>
              <rFont val="Calibri"/>
              <b val="1"/>
              <sz val="10"/>
            </rPr>
            <t>At peers:</t>
          </r>
          <r>
            <rPr>
              <rFont val="Calibri"/>
              <sz val="10"/>
            </rPr>
            <t xml:space="preserve"> IRIS Vs Competitor Benchmark — HR ladder: Senior HR Manager · SHRM-SCP
</t>
          </r>
          <r>
            <rPr>
              <rFont val="Calibri"/>
              <b val="1"/>
              <sz val="10"/>
            </rPr>
            <t>Typical experience:</t>
          </r>
          <r>
            <rPr>
              <rFont val="Calibri"/>
              <sz val="10"/>
            </rPr>
            <t xml:space="preserve"> 8–13 yrs · IRIS guide 8–12
</t>
          </r>
          <r>
            <rPr>
              <rFont val="Calibri"/>
              <b val="1"/>
              <sz val="10"/>
            </rPr>
            <t>Standard:</t>
          </r>
          <r>
            <rPr>
              <rFont val="Calibri"/>
              <sz val="10"/>
            </rPr>
            <t xml:space="preserve"> SHRM BASK; CIPD Profession Map</t>
          </r>
        </is>
      </c>
      <c r="BF25" s="134" t="inlineStr">
        <is>
          <t>Low</t>
        </is>
      </c>
      <c r="BG25" s="134" t="inlineStr">
        <is>
          <r>
            <rPr>
              <rFont val="Calibri"/>
              <sz val="10"/>
            </rPr>
            <t xml:space="preserve">• Ratings for Complexity, Autonomy, Accountability and Leadership set from the stated role scope · validated inputs — calibration panel to confirm
• </t>
          </r>
          <r>
            <rPr>
              <rFont val="Calibri"/>
              <b val="1"/>
              <sz val="10"/>
            </rPr>
            <t>Self-placement:</t>
          </r>
          <r>
            <rPr>
              <rFont val="Calibri"/>
              <sz val="10"/>
            </rPr>
            <t xml:space="preserve"> the role holder designed the model, so the executive sponsor approves this level</t>
          </r>
        </is>
      </c>
      <c r="BH25" s="134" t="inlineStr"/>
      <c r="BI25" s="135" t="n"/>
      <c r="BJ25" s="136" t="n"/>
      <c r="BK25" s="136" t="n"/>
      <c r="BL25" s="136" t="n"/>
      <c r="BM25" s="136" t="n"/>
      <c r="BN25" s="137" t="n"/>
      <c r="BO25" s="120" t="n"/>
      <c r="BP25" s="120" t="n"/>
      <c r="BQ25" s="120" t="n"/>
      <c r="BR25" s="120" t="n"/>
      <c r="BS25" s="120" t="n"/>
      <c r="BT25" s="120" t="n"/>
      <c r="BU25" s="120" t="n"/>
      <c r="BV25" s="120" t="n">
        <v>6</v>
      </c>
    </row>
    <row r="26" ht="340" customHeight="1">
      <c r="A26" s="109" t="inlineStr">
        <is>
          <t>IRIS2557</t>
        </is>
      </c>
      <c r="B26" s="110" t="inlineStr">
        <is>
          <t>Simran Kaur Raina</t>
        </is>
      </c>
      <c r="C26" s="111" t="inlineStr">
        <is>
          <t>HR</t>
        </is>
      </c>
      <c r="D26" s="111" t="inlineStr">
        <is>
          <t>Shweta Jha</t>
        </is>
      </c>
      <c r="E26" s="147" t="inlineStr">
        <is>
          <t>Not provided · HRIS</t>
        </is>
      </c>
      <c r="F26" s="112" t="n">
        <v>0.1</v>
      </c>
      <c r="G26" s="111" t="inlineStr">
        <is>
          <t>PGDM</t>
        </is>
      </c>
      <c r="H26" s="138" t="inlineStr">
        <is>
          <t>Manager- Talent Acquisition</t>
        </is>
      </c>
      <c r="I26" s="115" t="inlineStr">
        <is>
          <t>Senior Talent Acquisition Specialist</t>
        </is>
      </c>
      <c r="J26" s="114" t="inlineStr">
        <is>
          <t>Human Resources</t>
        </is>
      </c>
      <c r="K26" s="114" t="inlineStr">
        <is>
          <t>Talent Acquisition</t>
        </is>
      </c>
      <c r="L26" s="115" t="inlineStr">
        <is>
          <t>Not in current mapping files</t>
        </is>
      </c>
      <c r="M26" s="116" t="inlineStr">
        <is>
          <t>B2</t>
        </is>
      </c>
      <c r="N26" s="21" t="inlineStr">
        <is>
          <t>Senior Specialist</t>
        </is>
      </c>
      <c r="O26" s="23" t="inlineStr">
        <is>
          <t>B</t>
        </is>
      </c>
      <c r="P26" s="114" t="inlineStr">
        <is>
          <t>IC</t>
        </is>
      </c>
      <c r="Q26" s="117" t="inlineStr">
        <is>
          <t>● Newly mapped</t>
        </is>
      </c>
      <c r="R26" s="118" t="inlineStr">
        <is>
          <r>
            <rPr>
              <rFont val="Calibri"/>
              <b val="1"/>
              <sz val="10"/>
            </rPr>
            <t>WHAT THE ROLE DOES:</t>
          </r>
          <r>
            <rPr>
              <rFont val="Calibri"/>
              <sz val="10"/>
            </rPr>
            <t xml:space="preserve"> Sources, screens and hires talent. At B2: deep domain expertise, or one team.
</t>
          </r>
          <r>
            <rPr>
              <rFont val="Calibri"/>
              <b val="1"/>
              <sz val="10"/>
            </rPr>
            <t>Common themes in sub-family holders, all levels' answers:</t>
          </r>
          <r>
            <rPr>
              <rFont val="Calibri"/>
              <sz val="10"/>
            </rPr>
            <t xml:space="preserve"> hiring · right · stakeholders · talent · end recruitment · requirements
</t>
          </r>
          <r>
            <rPr>
              <rFont val="Calibri"/>
              <b val="1"/>
              <sz val="10"/>
            </rPr>
            <t>KEY RESPONSIBILITIES:</t>
          </r>
          <r>
            <rPr>
              <rFont val="Calibri"/>
              <sz val="10"/>
            </rPr>
            <t xml:space="preserve"> Sources, screens and hires talent; Hardest problems in the domain; One team or a client portfolio
</t>
          </r>
          <r>
            <rPr>
              <rFont val="Calibri"/>
              <b val="1"/>
              <sz val="10"/>
            </rPr>
            <t>Common themes in sub-family holders, all levels' answers:</t>
          </r>
          <r>
            <rPr>
              <rFont val="Calibri"/>
              <sz val="10"/>
            </rPr>
            <t xml:space="preserve"> end end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hiring
</t>
          </r>
          <r>
            <rPr>
              <rFont val="Calibri"/>
              <b val="1"/>
              <sz val="10"/>
            </rPr>
            <t>ACCOUNTABLE FOR:</t>
          </r>
          <r>
            <rPr>
              <rFont val="Calibri"/>
              <sz val="10"/>
            </rPr>
            <t xml:space="preserve"> One team or a client portfolio
</t>
          </r>
          <r>
            <rPr>
              <rFont val="Calibri"/>
              <b val="1"/>
              <sz val="10"/>
            </rPr>
            <t>DECIDES ALONE:</t>
          </r>
          <r>
            <rPr>
              <rFont val="Calibri"/>
              <sz val="10"/>
            </rPr>
            <t xml:space="preserve"> Allocates people and sets team priorities
</t>
          </r>
          <r>
            <rPr>
              <rFont val="Calibri"/>
              <b val="1"/>
              <sz val="10"/>
            </rPr>
            <t>SKILLS &amp; KNOWLEDGE · role-holders:</t>
          </r>
          <r>
            <rPr>
              <rFont val="Calibri"/>
              <sz val="10"/>
            </rPr>
            <t xml:space="preserve"> HR · Stakeholder Management
</t>
          </r>
          <r>
            <rPr>
              <rFont val="Calibri"/>
              <b val="1"/>
              <sz val="10"/>
            </rPr>
            <t>TOOLS &amp; SYSTEMS:</t>
          </r>
          <r>
            <rPr>
              <rFont val="Calibri"/>
              <sz val="10"/>
            </rPr>
            <t xml:space="preserve"> Naukri · Keka Hiro
COMPETENCIES REQUIRED — must-have ★: Stakeholder &amp; Client Management · Communication &amp; Presentation
</t>
          </r>
          <r>
            <rPr>
              <rFont val="Calibri"/>
              <b val="1"/>
              <sz val="10"/>
            </rPr>
            <t>OTHER FUNCTIONAL COMPETENCIES:</t>
          </r>
          <r>
            <rPr>
              <rFont val="Calibri"/>
              <sz val="10"/>
            </rPr>
            <t xml:space="preserve"> Data Analytics, BI &amp; Visualisation · Process Improvement &amp; Quality Mindset · People Leadership &amp; Mentoring · Advanced Excel &amp; Productivity Tools
</t>
          </r>
          <r>
            <rPr>
              <rFont val="Calibri"/>
              <b val="1"/>
              <sz val="10"/>
            </rPr>
            <t>PROFICIENCY NEEDED AT THIS LEVEL:</t>
          </r>
          <r>
            <rPr>
              <rFont val="Calibri"/>
              <sz val="10"/>
            </rPr>
            <t xml:space="preserve"> Core 3 · Future-ready 3 · Functional 4 · Leadership 2
</t>
          </r>
          <r>
            <rPr>
              <rFont val="Calibri"/>
              <b val="1"/>
              <sz val="10"/>
            </rPr>
            <t>SOURCE:</t>
          </r>
          <r>
            <rPr>
              <rFont val="Calibri"/>
              <sz val="10"/>
            </rPr>
            <t xml:space="preserve"> Framework + sub-family themes · 3+ answered — 1 holder, 1 answered the survey; sub-family 3 answered; catalogue RC-105</t>
          </r>
        </is>
      </c>
      <c r="S26"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t>
          </r>
          <r>
            <rPr>
              <rFont val="Calibri"/>
              <b val="1"/>
              <sz val="10"/>
            </rPr>
            <t>If the work is missed · role-holders' themes:</t>
          </r>
          <r>
            <rPr>
              <rFont val="Calibri"/>
              <sz val="10"/>
            </rPr>
            <t xml:space="preserve"> business.
Manager talent mapping — Latest rating: Not rated · manager · 9-Box Grid placement: Not placed · manager.</t>
          </r>
        </is>
      </c>
      <c r="T26" s="120" t="n"/>
      <c r="U26" s="121" t="inlineStr">
        <is>
          <r>
            <rPr>
              <rFont val="Calibri"/>
              <sz val="10"/>
            </rPr>
            <t xml:space="preserve">Senior Talent Acquisition Specialist in HR · Corporate, B2 — IC.
</t>
          </r>
          <r>
            <rPr>
              <rFont val="Calibri"/>
              <b val="1"/>
              <sz val="10"/>
            </rPr>
            <t>The work:</t>
          </r>
          <r>
            <rPr>
              <rFont val="Calibri"/>
              <sz val="10"/>
            </rPr>
            <t xml:space="preserve"> Sources, screens and hires talent.
At this level the role owns deep domain expertise, or one team.
</t>
          </r>
          <r>
            <rPr>
              <rFont val="Calibri"/>
              <b val="1"/>
              <sz val="10"/>
            </rPr>
            <t>Key responsibilities:</t>
          </r>
          <r>
            <rPr>
              <rFont val="Calibri"/>
              <sz val="10"/>
            </rPr>
            <t xml:space="preserve"> Sources, screens and hires talent; Hardest problems in the domain; One team or a client portfolio.
</t>
          </r>
          <r>
            <rPr>
              <rFont val="Calibri"/>
              <b val="1"/>
              <sz val="10"/>
            </rPr>
            <t>Holders describe it with:</t>
          </r>
          <r>
            <rPr>
              <rFont val="Calibri"/>
              <sz val="10"/>
            </rPr>
            <t xml:space="preserve"> end end.</t>
          </r>
        </is>
      </c>
      <c r="V26" s="122" t="inlineStr">
        <is>
          <r>
            <rPr>
              <rFont val="Calibri"/>
              <b val="1"/>
              <sz val="10"/>
            </rPr>
            <t>Hire as:</t>
          </r>
          <r>
            <rPr>
              <rFont val="Calibri"/>
              <sz val="10"/>
            </rPr>
            <t xml:space="preserve"> HR Specialist / HRBP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MBA / PGDM · HR or MA / MSW
</t>
          </r>
          <r>
            <rPr>
              <rFont val="Calibri"/>
              <b val="1"/>
              <sz val="10"/>
            </rPr>
            <t>Equivalent titles at peers:</t>
          </r>
          <r>
            <rPr>
              <rFont val="Calibri"/>
              <sz val="10"/>
            </rPr>
            <t xml:space="preserve"> IRIS Vs Competitor Benchmark — HR ladder – HR Manager / Senior HRBP
</t>
          </r>
          <r>
            <rPr>
              <rFont val="Calibri"/>
              <b val="1"/>
              <sz val="10"/>
            </rPr>
            <t>Must already know:</t>
          </r>
          <r>
            <rPr>
              <rFont val="Calibri"/>
              <sz val="10"/>
            </rPr>
            <t xml:space="preserve"> Labour law, POSH, data privacy</t>
          </r>
        </is>
      </c>
      <c r="W26" s="122" t="inlineStr">
        <is>
          <r>
            <rPr>
              <rFont val="Calibri"/>
              <sz val="10"/>
            </rPr>
            <t xml:space="preserve">FUNCTIONAL — skill level 4 of 5 · Advanced
 ★ Stakeholder &amp; Client Management: Owns key relationships; resolves escalations
 ★ Communication &amp; Presentation: Presents to senior stakeholders; shapes messaging
 • </t>
          </r>
          <r>
            <rPr>
              <rFont val="Calibri"/>
              <b val="1"/>
              <sz val="10"/>
            </rPr>
            <t>Data Analytics, BI &amp; Visualisation:</t>
          </r>
          <r>
            <rPr>
              <rFont val="Calibri"/>
              <sz val="10"/>
            </rPr>
            <t xml:space="preserve"> Defines metrics and analytics approach for a business
 • </t>
          </r>
          <r>
            <rPr>
              <rFont val="Calibri"/>
              <b val="1"/>
              <sz val="10"/>
            </rPr>
            <t>Process Improvement &amp; Quality Mindset:</t>
          </r>
          <r>
            <rPr>
              <rFont val="Calibri"/>
              <sz val="10"/>
            </rPr>
            <t xml:space="preserve"> Redesigns team processes; reduces error rates measurably
 • </t>
          </r>
          <r>
            <rPr>
              <rFont val="Calibri"/>
              <b val="1"/>
              <sz val="10"/>
            </rPr>
            <t>People Leadership &amp; Mentoring:</t>
          </r>
          <r>
            <rPr>
              <rFont val="Calibri"/>
              <sz val="10"/>
            </rPr>
            <t xml:space="preserve"> Leads leaders; builds succession
 • </t>
          </r>
          <r>
            <rPr>
              <rFont val="Calibri"/>
              <b val="1"/>
              <sz val="10"/>
            </rPr>
            <t>Advanced Excel &amp; Productivity Tools:</t>
          </r>
          <r>
            <rPr>
              <rFont val="Calibri"/>
              <sz val="10"/>
            </rPr>
            <t xml:space="preserve"> Builds templates and automation used by the team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HR · Stakeholder Management
</t>
          </r>
          <r>
            <rPr>
              <rFont val="Calibri"/>
              <b val="1"/>
              <sz val="10"/>
            </rPr>
            <t>TOOLS:</t>
          </r>
          <r>
            <rPr>
              <rFont val="Calibri"/>
              <sz val="10"/>
            </rPr>
            <t xml:space="preserve"> Naukri · Keka Hiro
★ = must-have for the family. Scale: 1 Awareness · 2 Working · 3 Practitioner · 4 Advanced · 5 Expert.</t>
          </r>
        </is>
      </c>
      <c r="X26" s="122" t="inlineStr">
        <is>
          <r>
            <rPr>
              <rFont val="Calibri"/>
              <sz val="10"/>
            </rPr>
            <t xml:space="preserve">Draft — generated from the framework; hiring-manager review pending · HR Super Master, sheet T5.
1. [Stakeholder &amp; Client Management · level 4] Tell me about recent work that shows this: "Owns key relationships; resolves escalations". What exactly did you do, how, and what was the result? Assess with: Role play / behavioural interview.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[Process Improvement &amp; Quality Mindset · level 4] Give an example that shows you can do this: "Redesigns team processes; reduces error rates measurably". Assess with: Work sample / case.
5. [People Leadership &amp; Mentoring · level 4] Give an example that shows you can do this: "Leads leaders; builds succession".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6" s="123" t="inlineStr">
        <is>
          <t>Corporate · HR · Band B · Expert / POD Lead</t>
        </is>
      </c>
      <c r="Z26" s="124" t="n">
        <v>4.5</v>
      </c>
      <c r="AA26" s="125">
        <f>IFERROR(INDEX(WM_C,MATCH($Y26,WM_KEY,0)),"")</f>
        <v>0.46</v>
      </c>
      <c r="AB26" s="126">
        <f>IF(Z26="","",Z26*AA26)</f>
        <v>2.07</v>
      </c>
      <c r="AC26" s="124" t="n">
        <v>4.5</v>
      </c>
      <c r="AD26" s="125">
        <f>IFERROR(INDEX(WM_AU,MATCH($Y26,WM_KEY,0)),"")</f>
        <v>0.17</v>
      </c>
      <c r="AE26" s="126">
        <f>IF(AC26="","",AC26*AD26)</f>
        <v>0.765</v>
      </c>
      <c r="AF26" s="124" t="n">
        <v>4.5</v>
      </c>
      <c r="AG26" s="125">
        <f>IFERROR(INDEX(WM_AC,MATCH($Y26,WM_KEY,0)),"")</f>
        <v>0.1</v>
      </c>
      <c r="AH26" s="126">
        <f>IF(AF26="","",AF26*AG26)</f>
        <v>0.45</v>
      </c>
      <c r="AI26" s="124" t="n">
        <v>3.5</v>
      </c>
      <c r="AJ26" s="125">
        <f>IFERROR(INDEX(WM_L,MATCH($Y26,WM_KEY,0)),"")</f>
        <v>0.05</v>
      </c>
      <c r="AK26" s="126">
        <f>IF(AI26="","",AI26*AJ26)</f>
        <v>0.175</v>
      </c>
      <c r="AL26" s="124" t="n">
        <v>5</v>
      </c>
      <c r="AM26" s="125">
        <f>IFERROR(INDEX(WM_E,MATCH($Y26,WM_KEY,0)),"")</f>
        <v>0.15</v>
      </c>
      <c r="AN26" s="126">
        <f>IF(AL26="","",AL26*AM26)</f>
        <v>0.75</v>
      </c>
      <c r="AO26" s="127" t="n">
        <v>4.5</v>
      </c>
      <c r="AP26" s="125">
        <f>IFERROR(INDEX(WM_BI,MATCH($Y26,WM_KEY,0)),"")</f>
        <v>0.07</v>
      </c>
      <c r="AQ26" s="126">
        <f>IF(AO26="","",AO26*AP26)</f>
        <v>0.315</v>
      </c>
      <c r="AR26" s="126">
        <f>IF(COUNT(AB26,AE26,AH26,AK26,AN26,AQ26)&lt;6,"",SUM(AB26,AE26,AH26,AK26,AN26,AQ26))</f>
        <v>4.525</v>
      </c>
      <c r="AS26" s="128" t="str">
        <f>IF(AR26="","",INDEX({"A1","A2","A3","B1","B2","B3","C1","C2","D1","D2","E1","E2"},MAX(1,MIN(12,ROUND(AR26,0)))))</f>
        <v>B2</v>
      </c>
      <c r="AT26" s="129" t="inlineStr">
        <is>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26" s="130" t="inlineStr">
        <is>
          <r>
            <rPr>
              <rFont val="Calibri"/>
              <b val="1"/>
              <sz val="10"/>
            </rPr>
            <t>At build:</t>
          </r>
          <r>
            <rPr>
              <rFont val="Calibri"/>
              <sz val="10"/>
            </rPr>
            <t xml:space="preserve"> Complexity 2.07 + Autonomy 0.77 + Accountability 0.45 + Leadership 0.18 + Experience 0.75 + Business impact 0.32
= 4.53 points → nearest level 5 = B2
</t>
          </r>
          <r>
            <rPr>
              <rFont val="Calibri"/>
              <b val="1"/>
              <sz val="10"/>
            </rPr>
            <t>Final level:</t>
          </r>
          <r>
            <rPr>
              <rFont val="Calibri"/>
              <sz val="10"/>
            </rPr>
            <t xml:space="preserve"> B2 · same as the score</t>
          </r>
        </is>
      </c>
      <c r="AV26" s="130" t="inlineStr">
        <is>
          <r>
            <rPr>
              <rFont val="Calibri"/>
              <sz val="10"/>
            </rPr>
            <t xml:space="preserve">•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B2.</t>
          </r>
        </is>
      </c>
      <c r="AW26"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Cold-calling and sourcing via job portals; offer rollout → moved down 0.5
</t>
          </r>
          <r>
            <rPr>
              <rFont val="Calibri"/>
              <b val="1"/>
              <sz val="10"/>
            </rPr>
            <t>Market:</t>
          </r>
          <r>
            <rPr>
              <rFont val="Calibri"/>
              <sz val="10"/>
            </rPr>
            <t xml:space="preserve"> B1 = Domain specialist work · B2 = Hardest problems in the domain</t>
          </r>
        </is>
      </c>
      <c r="AX26"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Decides source of hiring only → moved down 0.5
</t>
          </r>
          <r>
            <rPr>
              <rFont val="Calibri"/>
              <b val="1"/>
              <sz val="10"/>
            </rPr>
            <t>Market:</t>
          </r>
          <r>
            <rPr>
              <rFont val="Calibri"/>
              <sz val="10"/>
            </rPr>
            <t xml:space="preserve"> B1 = Technical / QC / client calls for the domain · B2 = Allocates people and sets team priorities</t>
          </r>
        </is>
      </c>
      <c r="AY26"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Keeping the ATS accurate and up to date → moved down 0.5
</t>
          </r>
          <r>
            <rPr>
              <rFont val="Calibri"/>
              <b val="1"/>
              <sz val="10"/>
            </rPr>
            <t>Market:</t>
          </r>
          <r>
            <rPr>
              <rFont val="Calibri"/>
              <sz val="10"/>
            </rPr>
            <t xml:space="preserve"> B1 = A domain or a small team · B2 = One team or a client portfolio</t>
          </r>
        </is>
      </c>
      <c r="AZ26" s="132" t="inlineStr">
        <is>
          <r>
            <rPr>
              <rFont val="Calibri"/>
              <sz val="10"/>
            </rPr>
            <t xml:space="preserve">Rated 3.5 of 12 · between A3 and B1
</t>
          </r>
          <r>
            <rPr>
              <rFont val="Calibri"/>
              <b val="1"/>
              <sz val="10"/>
            </rPr>
            <t>Start:</t>
          </r>
          <r>
            <rPr>
              <rFont val="Calibri"/>
              <sz val="10"/>
            </rPr>
            <t xml:space="preserve"> 4.0 · individual contributor, so influence only
</t>
          </r>
          <r>
            <rPr>
              <rFont val="Calibri"/>
              <b val="1"/>
              <sz val="10"/>
            </rPr>
            <t>Evidence reads like A1:</t>
          </r>
          <r>
            <rPr>
              <rFont val="Calibri"/>
              <sz val="10"/>
            </rPr>
            <t xml:space="preserve"> No team or guidance of others described; 0 reports → moved down 0.5
</t>
          </r>
          <r>
            <rPr>
              <rFont val="Calibri"/>
              <b val="1"/>
              <sz val="10"/>
            </rPr>
            <t>Team:</t>
          </r>
          <r>
            <rPr>
              <rFont val="Calibri"/>
              <sz val="10"/>
            </rPr>
            <t xml:space="preserve"> 0 direct reports · IC
</t>
          </r>
          <r>
            <rPr>
              <rFont val="Calibri"/>
              <b val="1"/>
              <sz val="10"/>
            </rPr>
            <t>Market:</t>
          </r>
          <r>
            <rPr>
              <rFont val="Calibri"/>
              <sz val="10"/>
            </rPr>
            <t xml:space="preserve"> A3 = Not scored in Band A · B1 = IC: mentors and reviews · People: hands-on team lead of 3–5</t>
          </r>
        </is>
      </c>
      <c r="BA26" s="132" t="inlineStr">
        <is>
          <r>
            <rPr>
              <rFont val="Calibri"/>
              <sz val="10"/>
            </rPr>
            <t xml:space="preserve">Rated 5 of 12
</t>
          </r>
          <r>
            <rPr>
              <rFont val="Calibri"/>
              <b val="1"/>
              <sz val="10"/>
            </rPr>
            <t>Experience:</t>
          </r>
          <r>
            <rPr>
              <rFont val="Calibri"/>
              <sz val="10"/>
            </rPr>
            <t xml:space="preserve"> not on record · input needed from HR, so set at the role's own level: it neither helps nor hurts
</t>
          </r>
          <r>
            <rPr>
              <rFont val="Calibri"/>
              <b val="1"/>
              <sz val="10"/>
            </rPr>
            <t>Qualification:</t>
          </r>
          <r>
            <rPr>
              <rFont val="Calibri"/>
              <sz val="10"/>
            </rPr>
            <t xml:space="preserve"> PGDM · postgraduate, relevant to the work → +0.5
</t>
          </r>
          <r>
            <rPr>
              <rFont val="Calibri"/>
              <b val="1"/>
              <sz val="10"/>
            </rPr>
            <t>Market:</t>
          </r>
          <r>
            <rPr>
              <rFont val="Calibri"/>
              <sz val="10"/>
            </rPr>
            <t xml:space="preserve"> B2 roles typically have 6–10 yrs · IRIS guide 6–9</t>
          </r>
        </is>
      </c>
      <c r="BB26" s="132" t="inlineStr">
        <is>
          <r>
            <rPr>
              <rFont val="Calibri"/>
              <sz val="10"/>
            </rPr>
            <t xml:space="preserve">Rated 4.5 of 12 — a starting estimate.
</t>
          </r>
          <r>
            <rPr>
              <rFont val="Calibri"/>
              <b val="1"/>
              <sz val="10"/>
            </rPr>
            <t>Start:</t>
          </r>
          <r>
            <rPr>
              <rFont val="Calibri"/>
              <sz val="10"/>
            </rPr>
            <t xml:space="preserve"> 4.5,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26" s="142" t="inlineStr">
        <is>
          <t>• Total experience · outside + at IRIS — HR — HRIS
• Confirm prior experience · provisional placement — HR</t>
        </is>
      </c>
      <c r="BD26" s="134" t="inlineStr">
        <is>
          <t>✗ HRIS: experience missing, PGDM, 0 direct reports
✓ Survey: 14 of 20 questions answered
✗ KRAs: none on file
✓ Manager mapping: rating, 9-box
✗ Job description: not on file</t>
        </is>
      </c>
      <c r="BE26" s="134" t="inlineStr">
        <is>
          <r>
            <rPr>
              <rFont val="Calibri"/>
              <b val="1"/>
              <sz val="10"/>
            </rPr>
            <t>Market level:</t>
          </r>
          <r>
            <rPr>
              <rFont val="Calibri"/>
              <sz val="10"/>
            </rPr>
            <t xml:space="preserve"> P4 / M3 · SFIA 4–5
</t>
          </r>
          <r>
            <rPr>
              <rFont val="Calibri"/>
              <b val="1"/>
              <sz val="10"/>
            </rPr>
            <t>Typical title:</t>
          </r>
          <r>
            <rPr>
              <rFont val="Calibri"/>
              <sz val="10"/>
            </rPr>
            <t xml:space="preserve"> HR Specialist / HRBP
</t>
          </r>
          <r>
            <rPr>
              <rFont val="Calibri"/>
              <b val="1"/>
              <sz val="10"/>
            </rPr>
            <t>At peers:</t>
          </r>
          <r>
            <rPr>
              <rFont val="Calibri"/>
              <sz val="10"/>
            </rPr>
            <t xml:space="preserve"> IRIS Vs Competitor Benchmark — HR ladder: HR Manager / Senior HRBP
</t>
          </r>
          <r>
            <rPr>
              <rFont val="Calibri"/>
              <b val="1"/>
              <sz val="10"/>
            </rPr>
            <t>Typical experience:</t>
          </r>
          <r>
            <rPr>
              <rFont val="Calibri"/>
              <sz val="10"/>
            </rPr>
            <t xml:space="preserve"> 6–10 yrs · IRIS guide 6–9
</t>
          </r>
          <r>
            <rPr>
              <rFont val="Calibri"/>
              <b val="1"/>
              <sz val="10"/>
            </rPr>
            <t>Standard:</t>
          </r>
          <r>
            <rPr>
              <rFont val="Calibri"/>
              <sz val="10"/>
            </rPr>
            <t xml:space="preserve"> SHRM BASK; CIPD Profession Map</t>
          </r>
        </is>
      </c>
      <c r="BF26" s="134" t="inlineStr">
        <is>
          <t>Low</t>
        </is>
      </c>
      <c r="BG26" s="134" t="inlineStr">
        <is>
          <t>• Total experience is not on record · new joiner — level is provisional until HR adds it
• Work described is smaller than the current designation suggests — manager to confirm the actual role</t>
        </is>
      </c>
      <c r="BH26" s="134" t="inlineStr"/>
      <c r="BI26" s="135" t="n"/>
      <c r="BJ26" s="136" t="n"/>
      <c r="BK26" s="136" t="n"/>
      <c r="BL26" s="136" t="n"/>
      <c r="BM26" s="136" t="n"/>
      <c r="BN26" s="137" t="n"/>
      <c r="BO26" s="120" t="n"/>
      <c r="BP26" s="120" t="n"/>
      <c r="BQ26" s="120" t="n"/>
      <c r="BR26" s="120" t="n"/>
      <c r="BS26" s="120" t="n"/>
      <c r="BT26" s="120" t="n"/>
      <c r="BU26" s="120" t="n"/>
      <c r="BV26" s="120" t="n">
        <v>4.5</v>
      </c>
    </row>
    <row r="27" ht="340" customHeight="1">
      <c r="A27" s="109" t="inlineStr">
        <is>
          <t>IRIS0204</t>
        </is>
      </c>
      <c r="B27" s="110" t="inlineStr">
        <is>
          <t>Chandrakumar Moopanar</t>
        </is>
      </c>
      <c r="C27" s="111" t="inlineStr">
        <is>
          <t>HR</t>
        </is>
      </c>
      <c r="D27" s="111" t="inlineStr">
        <is>
          <t>Shweta Jha</t>
        </is>
      </c>
      <c r="E27" s="112" t="n">
        <v>19.3</v>
      </c>
      <c r="F27" s="112" t="n">
        <v>18.3</v>
      </c>
      <c r="G27" s="111" t="inlineStr">
        <is>
          <t>B.Com</t>
        </is>
      </c>
      <c r="H27" s="138" t="inlineStr">
        <is>
          <t>HRIS &amp; Payroll Specialist</t>
        </is>
      </c>
      <c r="I27" s="115" t="inlineStr">
        <is>
          <t>HR Specialist</t>
        </is>
      </c>
      <c r="J27" s="114" t="inlineStr">
        <is>
          <t>Human Resources</t>
        </is>
      </c>
      <c r="K27" s="114" t="inlineStr">
        <is>
          <t>HR Operations &amp; Payroll</t>
        </is>
      </c>
      <c r="L27" s="115" t="inlineStr">
        <is>
          <t>Not in current mapping files</t>
        </is>
      </c>
      <c r="M27" s="116" t="inlineStr">
        <is>
          <t>B1</t>
        </is>
      </c>
      <c r="N27" s="21" t="inlineStr">
        <is>
          <t>Specialist</t>
        </is>
      </c>
      <c r="O27" s="23" t="inlineStr">
        <is>
          <t>B</t>
        </is>
      </c>
      <c r="P27" s="114" t="inlineStr">
        <is>
          <t>IC</t>
        </is>
      </c>
      <c r="Q27" s="117" t="inlineStr">
        <is>
          <t>● Newly mapped</t>
        </is>
      </c>
      <c r="R27" s="118" t="inlineStr">
        <is>
          <r>
            <rPr>
              <rFont val="Calibri"/>
              <b val="1"/>
              <sz val="10"/>
            </rPr>
            <t>WHAT THE ROLE DOES:</t>
          </r>
          <r>
            <rPr>
              <rFont val="Calibri"/>
              <sz val="10"/>
            </rPr>
            <t xml:space="preserve"> Runs payroll, HRIS, onboarding, engagement and exits. At B1: a domain / module, or a small team.
</t>
          </r>
          <r>
            <rPr>
              <rFont val="Calibri"/>
              <b val="1"/>
              <sz val="10"/>
            </rPr>
            <t>Common themes in sub-family holders, all levels' answers:</t>
          </r>
          <r>
            <rPr>
              <rFont val="Calibri"/>
              <sz val="10"/>
            </rPr>
            <t xml:space="preserve"> employees
</t>
          </r>
          <r>
            <rPr>
              <rFont val="Calibri"/>
              <b val="1"/>
              <sz val="10"/>
            </rPr>
            <t>KEY RESPONSIBILITIES:</t>
          </r>
          <r>
            <rPr>
              <rFont val="Calibri"/>
              <sz val="10"/>
            </rPr>
            <t xml:space="preserve"> Runs payroll, HRIS, onboarding, engagement and exits; Domain specialist work; A domain or a small team
</t>
          </r>
          <r>
            <rPr>
              <rFont val="Calibri"/>
              <b val="1"/>
              <sz val="10"/>
            </rPr>
            <t>Common themes in sub-family holders, all levels' answers:</t>
          </r>
          <r>
            <rPr>
              <rFont val="Calibri"/>
              <sz val="10"/>
            </rPr>
            <t xml:space="preserve"> employee · onboarding · support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experience · onboarding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onboarding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engagement · employee · activities
</t>
          </r>
          <r>
            <rPr>
              <rFont val="Calibri"/>
              <b val="1"/>
              <sz val="10"/>
            </rPr>
            <t>SKILLS &amp; KNOWLEDGE · role-holders:</t>
          </r>
          <r>
            <rPr>
              <rFont val="Calibri"/>
              <sz val="10"/>
            </rPr>
            <t xml:space="preserve"> HR
</t>
          </r>
          <r>
            <rPr>
              <rFont val="Calibri"/>
              <b val="1"/>
              <sz val="10"/>
            </rPr>
            <t>TOOLS &amp; SYSTEMS:</t>
          </r>
          <r>
            <rPr>
              <rFont val="Calibri"/>
              <sz val="10"/>
            </rPr>
            <t xml:space="preserve"> MS Excel · Keka · Ongrid
COMPETENCIES REQUIRED — must-have ★: Stakeholder &amp; Client Management · Communication &amp; Presentation
</t>
          </r>
          <r>
            <rPr>
              <rFont val="Calibri"/>
              <b val="1"/>
              <sz val="10"/>
            </rPr>
            <t>OTHER FUNCTIONAL COMPETENCIES:</t>
          </r>
          <r>
            <rPr>
              <rFont val="Calibri"/>
              <sz val="10"/>
            </rPr>
            <t xml:space="preserve"> Data Analytics, BI &amp; Visualisation · Process Improvement &amp; Quality Mindset · People Leadership &amp; Mentoring · Advanced Excel &amp; Productivity Tools
</t>
          </r>
          <r>
            <rPr>
              <rFont val="Calibri"/>
              <b val="1"/>
              <sz val="10"/>
            </rPr>
            <t>PROFICIENCY NEEDED AT THIS LEVEL:</t>
          </r>
          <r>
            <rPr>
              <rFont val="Calibri"/>
              <sz val="10"/>
            </rPr>
            <t xml:space="preserve"> Core 3 · Future-ready 3 · Functional 3 · Leadership 1
</t>
          </r>
          <r>
            <rPr>
              <rFont val="Calibri"/>
              <b val="1"/>
              <sz val="10"/>
            </rPr>
            <t>SOURCE:</t>
          </r>
          <r>
            <rPr>
              <rFont val="Calibri"/>
              <sz val="10"/>
            </rPr>
            <t xml:space="preserve"> Framework + sub-family themes · 3+ answered — 2 holders, 2 answered the survey; sub-family 3 answered; catalogue RC-102</t>
          </r>
        </is>
      </c>
      <c r="S27"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compliance · employee.
Manager talent mapping — Latest rating: Not rated · manager · 9-Box Grid placement: Not placed · manager.</t>
          </r>
        </is>
      </c>
      <c r="T27" s="120" t="n"/>
      <c r="U27" s="121" t="inlineStr">
        <is>
          <r>
            <rPr>
              <rFont val="Calibri"/>
              <sz val="10"/>
            </rPr>
            <t xml:space="preserve">HR Specialist in HR · Corporate, B1 — IC.
</t>
          </r>
          <r>
            <rPr>
              <rFont val="Calibri"/>
              <b val="1"/>
              <sz val="10"/>
            </rPr>
            <t>The work:</t>
          </r>
          <r>
            <rPr>
              <rFont val="Calibri"/>
              <sz val="10"/>
            </rPr>
            <t xml:space="preserve"> Runs payroll, HRIS, onboarding, engagement and exits.
At this level the role owns a domain / module, or a small team.
</t>
          </r>
          <r>
            <rPr>
              <rFont val="Calibri"/>
              <b val="1"/>
              <sz val="10"/>
            </rPr>
            <t>Key responsibilities:</t>
          </r>
          <r>
            <rPr>
              <rFont val="Calibri"/>
              <sz val="10"/>
            </rPr>
            <t xml:space="preserve"> Runs payroll, HRIS, onboarding, engagement and exits; Domain specialist work; A domain or a small team.
</t>
          </r>
          <r>
            <rPr>
              <rFont val="Calibri"/>
              <b val="1"/>
              <sz val="10"/>
            </rPr>
            <t>Holders describe it with:</t>
          </r>
          <r>
            <rPr>
              <rFont val="Calibri"/>
              <sz val="10"/>
            </rPr>
            <t xml:space="preserve"> employee · onboarding · support.</t>
          </r>
        </is>
      </c>
      <c r="V27" s="122" t="inlineStr">
        <is>
          <r>
            <rPr>
              <rFont val="Calibri"/>
              <b val="1"/>
              <sz val="10"/>
            </rPr>
            <t>Hire as:</t>
          </r>
          <r>
            <rPr>
              <rFont val="Calibri"/>
              <sz val="10"/>
            </rPr>
            <t xml:space="preserve"> Senior HR Executive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MBA / PGDM · HR or MA / MSW
</t>
          </r>
          <r>
            <rPr>
              <rFont val="Calibri"/>
              <b val="1"/>
              <sz val="10"/>
            </rPr>
            <t>Equivalent titles at peers:</t>
          </r>
          <r>
            <rPr>
              <rFont val="Calibri"/>
              <sz val="10"/>
            </rPr>
            <t xml:space="preserve"> IRIS Vs Competitor Benchmark — HR ladder – HR Specialist / HRBP
</t>
          </r>
          <r>
            <rPr>
              <rFont val="Calibri"/>
              <b val="1"/>
              <sz val="10"/>
            </rPr>
            <t>Must already know:</t>
          </r>
          <r>
            <rPr>
              <rFont val="Calibri"/>
              <sz val="10"/>
            </rPr>
            <t xml:space="preserve"> Labour law, POSH, data privacy</t>
          </r>
        </is>
      </c>
      <c r="W27" s="122" t="inlineStr">
        <is>
          <r>
            <rPr>
              <rFont val="Calibri"/>
              <sz val="10"/>
            </rPr>
            <t xml:space="preserve">FUNCTIONAL — skill level 3 of 5 · Practitioner
 ★ Stakeholder &amp; Client Management: Manages client communication and expectations for own work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People Leadership &amp; Mentoring:</t>
          </r>
          <r>
            <rPr>
              <rFont val="Calibri"/>
              <sz val="10"/>
            </rPr>
            <t xml:space="preserve"> Coaches and allocates work
 • </t>
          </r>
          <r>
            <rPr>
              <rFont val="Calibri"/>
              <b val="1"/>
              <sz val="10"/>
            </rPr>
            <t>Advanced Excel &amp; Productivity Tools:</t>
          </r>
          <r>
            <rPr>
              <rFont val="Calibri"/>
              <sz val="10"/>
            </rPr>
            <t xml:space="preserve"> Uses advanced Excel, Word, HTML and conversion tools fluently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HR
</t>
          </r>
          <r>
            <rPr>
              <rFont val="Calibri"/>
              <b val="1"/>
              <sz val="10"/>
            </rPr>
            <t>TOOLS:</t>
          </r>
          <r>
            <rPr>
              <rFont val="Calibri"/>
              <sz val="10"/>
            </rPr>
            <t xml:space="preserve"> MS Excel · Keka · Ongrid
★ = must-have for the family. Scale: 1 Awareness · 2 Working · 3 Practitioner · 4 Advanced · 5 Expert.</t>
          </r>
        </is>
      </c>
      <c r="X27" s="122" t="inlineStr">
        <is>
          <r>
            <rPr>
              <rFont val="Calibri"/>
              <sz val="10"/>
            </rPr>
            <t xml:space="preserve">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7" s="123" t="inlineStr">
        <is>
          <t>Corporate · HR · Band B · Expert / POD Lead</t>
        </is>
      </c>
      <c r="Z27" s="124" t="n">
        <v>3.5</v>
      </c>
      <c r="AA27" s="125">
        <f>IFERROR(INDEX(WM_C,MATCH($Y27,WM_KEY,0)),"")</f>
        <v>0.46</v>
      </c>
      <c r="AB27" s="126">
        <f>IF(Z27="","",Z27*AA27)</f>
        <v>1.61</v>
      </c>
      <c r="AC27" s="124" t="n">
        <v>3</v>
      </c>
      <c r="AD27" s="125">
        <f>IFERROR(INDEX(WM_AU,MATCH($Y27,WM_KEY,0)),"")</f>
        <v>0.17</v>
      </c>
      <c r="AE27" s="126">
        <f>IF(AC27="","",AC27*AD27)</f>
        <v>0.51</v>
      </c>
      <c r="AF27" s="124" t="n">
        <v>3.5</v>
      </c>
      <c r="AG27" s="125">
        <f>IFERROR(INDEX(WM_AC,MATCH($Y27,WM_KEY,0)),"")</f>
        <v>0.1</v>
      </c>
      <c r="AH27" s="126">
        <f>IF(AF27="","",AF27*AG27)</f>
        <v>0.35</v>
      </c>
      <c r="AI27" s="124" t="n">
        <v>2</v>
      </c>
      <c r="AJ27" s="125">
        <f>IFERROR(INDEX(WM_L,MATCH($Y27,WM_KEY,0)),"")</f>
        <v>0.05</v>
      </c>
      <c r="AK27" s="126">
        <f>IF(AI27="","",AI27*AJ27)</f>
        <v>0.1</v>
      </c>
      <c r="AL27" s="124" t="n">
        <v>9.5</v>
      </c>
      <c r="AM27" s="125">
        <f>IFERROR(INDEX(WM_E,MATCH($Y27,WM_KEY,0)),"")</f>
        <v>0.15</v>
      </c>
      <c r="AN27" s="126">
        <f>IF(AL27="","",AL27*AM27)</f>
        <v>1.425</v>
      </c>
      <c r="AO27" s="127" t="n">
        <v>3.5</v>
      </c>
      <c r="AP27" s="125">
        <f>IFERROR(INDEX(WM_BI,MATCH($Y27,WM_KEY,0)),"")</f>
        <v>0.07</v>
      </c>
      <c r="AQ27" s="126">
        <f>IF(AO27="","",AO27*AP27)</f>
        <v>0.245</v>
      </c>
      <c r="AR27" s="126">
        <f>IF(COUNT(AB27,AE27,AH27,AK27,AN27,AQ27)&lt;6,"",SUM(AB27,AE27,AH27,AK27,AN27,AQ27))</f>
        <v>4.24</v>
      </c>
      <c r="AS27" s="128" t="str">
        <f>IF(AR27="","",INDEX({"A1","A2","A3","B1","B2","B3","C1","C2","D1","D2","E1","E2"},MAX(1,MIN(12,ROUND(AR27,0)))))</f>
        <v>B1</v>
      </c>
      <c r="AT27" s="129" t="inlineStr">
        <is>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27" s="130" t="inlineStr">
        <is>
          <r>
            <rPr>
              <rFont val="Calibri"/>
              <b val="1"/>
              <sz val="10"/>
            </rPr>
            <t>At build:</t>
          </r>
          <r>
            <rPr>
              <rFont val="Calibri"/>
              <sz val="10"/>
            </rPr>
            <t xml:space="preserve"> Complexity 1.61 + Autonomy 0.51 + Accountability 0.35 + Leadership 0.10 + Experience 1.43 + Business impact 0.25
= 4.24 points → nearest level 4 = B1
</t>
          </r>
          <r>
            <rPr>
              <rFont val="Calibri"/>
              <b val="1"/>
              <sz val="10"/>
            </rPr>
            <t>Final level:</t>
          </r>
          <r>
            <rPr>
              <rFont val="Calibri"/>
              <sz val="10"/>
            </rPr>
            <t xml:space="preserve"> B1 · same as the score</t>
          </r>
        </is>
      </c>
      <c r="AV27" s="130" t="inlineStr">
        <is>
          <r>
            <rPr>
              <rFont val="Calibri"/>
              <b val="1"/>
              <sz val="10"/>
            </rPr>
            <t>No rule applied:</t>
          </r>
          <r>
            <rPr>
              <rFont val="Calibri"/>
              <sz val="10"/>
            </rPr>
            <t xml:space="preserve"> the score decides.</t>
          </r>
        </is>
      </c>
      <c r="AW27" s="131"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Monthly payroll plus TDS, PF, ESIC, PT, LWF compliance and quarterly filings → moved down 0.5
</t>
          </r>
          <r>
            <rPr>
              <rFont val="Calibri"/>
              <b val="1"/>
              <sz val="10"/>
            </rPr>
            <t>Market:</t>
          </r>
          <r>
            <rPr>
              <rFont val="Calibri"/>
              <sz val="10"/>
            </rPr>
            <t xml:space="preserve"> A3 = Varied and non-standard work; handles exceptions · B1 = Domain specialist work</t>
          </r>
        </is>
      </c>
      <c r="AX27" s="132" t="inlineStr">
        <is>
          <r>
            <rPr>
              <rFont val="Calibri"/>
              <sz val="10"/>
            </rPr>
            <t xml:space="preserve">Rated 3 of 12
</t>
          </r>
          <r>
            <rPr>
              <rFont val="Calibri"/>
              <b val="1"/>
              <sz val="10"/>
            </rPr>
            <t>Start:</t>
          </r>
          <r>
            <rPr>
              <rFont val="Calibri"/>
              <sz val="10"/>
            </rPr>
            <t xml:space="preserve"> 4.0 · lead / specialist title
</t>
          </r>
          <r>
            <rPr>
              <rFont val="Calibri"/>
              <b val="1"/>
              <sz val="10"/>
            </rPr>
            <t>Evidence reads like A2:</t>
          </r>
          <r>
            <rPr>
              <rFont val="Calibri"/>
              <sz val="10"/>
            </rPr>
            <t xml:space="preserve"> Only 'multiple reports' named as independent decisions → moved down 1
</t>
          </r>
          <r>
            <rPr>
              <rFont val="Calibri"/>
              <b val="1"/>
              <sz val="10"/>
            </rPr>
            <t>Market:</t>
          </r>
          <r>
            <rPr>
              <rFont val="Calibri"/>
              <sz val="10"/>
            </rPr>
            <t xml:space="preserve"> A3 = Technical / QC / client calls on own work</t>
          </r>
        </is>
      </c>
      <c r="AY27"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Monthly salary and statutory compliance; payroll misses are compliance-critical → moved down 0.5
</t>
          </r>
          <r>
            <rPr>
              <rFont val="Calibri"/>
              <b val="1"/>
              <sz val="10"/>
            </rPr>
            <t>Market:</t>
          </r>
          <r>
            <rPr>
              <rFont val="Calibri"/>
              <sz val="10"/>
            </rPr>
            <t xml:space="preserve"> A3 = A module / process, or work with client or regulatory consequences · B1 = A domain or a small team</t>
          </r>
        </is>
      </c>
      <c r="AZ27" s="132" t="inlineStr">
        <is>
          <r>
            <rPr>
              <rFont val="Calibri"/>
              <sz val="10"/>
            </rPr>
            <t xml:space="preserve">Rated 2 of 12
</t>
          </r>
          <r>
            <rPr>
              <rFont val="Calibri"/>
              <b val="1"/>
              <sz val="10"/>
            </rPr>
            <t>Start:</t>
          </r>
          <r>
            <rPr>
              <rFont val="Calibri"/>
              <sz val="10"/>
            </rPr>
            <t xml:space="preserve"> 3.0 · individual contributor, so influence only
</t>
          </r>
          <r>
            <rPr>
              <rFont val="Calibri"/>
              <b val="1"/>
              <sz val="10"/>
            </rPr>
            <t>Evidence reads like A1:</t>
          </r>
          <r>
            <rPr>
              <rFont val="Calibri"/>
              <sz val="10"/>
            </rPr>
            <t xml:space="preserve"> No guidance or leadership of others described → moved down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27" s="132" t="inlineStr">
        <is>
          <r>
            <rPr>
              <rFont val="Calibri"/>
              <sz val="10"/>
            </rPr>
            <t xml:space="preserve">Rated 9.5 of 12 · between D1 and D2
</t>
          </r>
          <r>
            <rPr>
              <rFont val="Calibri"/>
              <b val="1"/>
              <sz val="10"/>
            </rPr>
            <t>Experience:</t>
          </r>
          <r>
            <rPr>
              <rFont val="Calibri"/>
              <sz val="10"/>
            </rPr>
            <t xml:space="preserve"> 19.3 yrs total · 1.0 before IRIS + 18.3 at IRIS = 9.5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B1 roles typically have 4–8 yrs · IRIS guide 4–7</t>
          </r>
        </is>
      </c>
      <c r="BB27" s="132"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27" s="133" t="inlineStr"/>
      <c r="BD27" s="134" t="inlineStr">
        <is>
          <t>✓ HRIS: 19.3 yrs, B.Com, 0 direct reports
✓ Survey: 16 of 20 questions answered
✗ KRAs: none on file
✓ Manager mapping: rating, 9-box
✗ Job description: not on file</t>
        </is>
      </c>
      <c r="BE27"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HR Executive
</t>
          </r>
          <r>
            <rPr>
              <rFont val="Calibri"/>
              <b val="1"/>
              <sz val="10"/>
            </rPr>
            <t>At peers:</t>
          </r>
          <r>
            <rPr>
              <rFont val="Calibri"/>
              <sz val="10"/>
            </rPr>
            <t xml:space="preserve"> IRIS Vs Competitor Benchmark — HR ladder: HR Specialist / HRBP
</t>
          </r>
          <r>
            <rPr>
              <rFont val="Calibri"/>
              <b val="1"/>
              <sz val="10"/>
            </rPr>
            <t>Typical experience:</t>
          </r>
          <r>
            <rPr>
              <rFont val="Calibri"/>
              <sz val="10"/>
            </rPr>
            <t xml:space="preserve"> 4–8 yrs · IRIS guide 4–7
</t>
          </r>
          <r>
            <rPr>
              <rFont val="Calibri"/>
              <b val="1"/>
              <sz val="10"/>
            </rPr>
            <t>Standard:</t>
          </r>
          <r>
            <rPr>
              <rFont val="Calibri"/>
              <sz val="10"/>
            </rPr>
            <t xml:space="preserve"> SHRM BASK; CIPD Profession Map</t>
          </r>
        </is>
      </c>
      <c r="BF27" s="134" t="inlineStr">
        <is>
          <t>Medium</t>
        </is>
      </c>
      <c r="BG27" s="134" t="inlineStr"/>
      <c r="BH27" s="134" t="inlineStr"/>
      <c r="BI27" s="135" t="n"/>
      <c r="BJ27" s="136" t="n"/>
      <c r="BK27" s="136" t="n"/>
      <c r="BL27" s="136" t="n"/>
      <c r="BM27" s="136" t="n"/>
      <c r="BN27" s="137" t="n"/>
      <c r="BO27" s="120" t="n"/>
      <c r="BP27" s="120" t="n"/>
      <c r="BQ27" s="120" t="n"/>
      <c r="BR27" s="120" t="n"/>
      <c r="BS27" s="120" t="n"/>
      <c r="BT27" s="120" t="n"/>
      <c r="BU27" s="120" t="n"/>
      <c r="BV27" s="120" t="n">
        <v>3.5</v>
      </c>
    </row>
    <row r="28" ht="340" customHeight="1">
      <c r="A28" s="109" t="inlineStr">
        <is>
          <t>IRIS2152</t>
        </is>
      </c>
      <c r="B28" s="110" t="inlineStr">
        <is>
          <t>Nikitha Nair</t>
        </is>
      </c>
      <c r="C28" s="111" t="inlineStr">
        <is>
          <t>HR</t>
        </is>
      </c>
      <c r="D28" s="111" t="inlineStr">
        <is>
          <t>Shweta Jha</t>
        </is>
      </c>
      <c r="E28" s="112" t="n">
        <v>4.2</v>
      </c>
      <c r="F28" s="112" t="n">
        <v>3.2</v>
      </c>
      <c r="G28" s="111" t="inlineStr">
        <is>
          <t>MBA</t>
        </is>
      </c>
      <c r="H28" s="138" t="inlineStr">
        <is>
          <t>Employee Experience Specialist</t>
        </is>
      </c>
      <c r="I28" s="115" t="inlineStr">
        <is>
          <t>HR Specialist – POD Lead</t>
        </is>
      </c>
      <c r="J28" s="114" t="inlineStr">
        <is>
          <t>Human Resources</t>
        </is>
      </c>
      <c r="K28" s="114" t="inlineStr">
        <is>
          <t>HR Operations &amp; Payroll</t>
        </is>
      </c>
      <c r="L28" s="115" t="inlineStr">
        <is>
          <t>Not in current mapping files</t>
        </is>
      </c>
      <c r="M28" s="116" t="inlineStr">
        <is>
          <t>B1</t>
        </is>
      </c>
      <c r="N28" s="21" t="inlineStr">
        <is>
          <t>Specialist · POD Lead</t>
        </is>
      </c>
      <c r="O28" s="23" t="inlineStr">
        <is>
          <t>B</t>
        </is>
      </c>
      <c r="P28" s="114" t="inlineStr">
        <is>
          <t>POD Lead</t>
        </is>
      </c>
      <c r="Q28" s="117" t="inlineStr">
        <is>
          <t>● Newly mapped</t>
        </is>
      </c>
      <c r="R28" s="118" t="inlineStr">
        <is>
          <r>
            <rPr>
              <rFont val="Calibri"/>
              <b val="1"/>
              <sz val="10"/>
            </rPr>
            <t>WHAT THE ROLE DOES:</t>
          </r>
          <r>
            <rPr>
              <rFont val="Calibri"/>
              <sz val="10"/>
            </rPr>
            <t xml:space="preserve"> Runs payroll, HRIS, onboarding, engagement and exits. At B1: a domain / module, or a small team.
</t>
          </r>
          <r>
            <rPr>
              <rFont val="Calibri"/>
              <b val="1"/>
              <sz val="10"/>
            </rPr>
            <t>Common themes in sub-family holders, all levels' answers:</t>
          </r>
          <r>
            <rPr>
              <rFont val="Calibri"/>
              <sz val="10"/>
            </rPr>
            <t xml:space="preserve"> employees
</t>
          </r>
          <r>
            <rPr>
              <rFont val="Calibri"/>
              <b val="1"/>
              <sz val="10"/>
            </rPr>
            <t>KEY RESPONSIBILITIES:</t>
          </r>
          <r>
            <rPr>
              <rFont val="Calibri"/>
              <sz val="10"/>
            </rPr>
            <t xml:space="preserve"> Runs payroll, HRIS, onboarding, engagement and exits; Domain specialist work; A domain or a small team
</t>
          </r>
          <r>
            <rPr>
              <rFont val="Calibri"/>
              <b val="1"/>
              <sz val="10"/>
            </rPr>
            <t>Common themes in sub-family holders, all levels' answers:</t>
          </r>
          <r>
            <rPr>
              <rFont val="Calibri"/>
              <sz val="10"/>
            </rPr>
            <t xml:space="preserve"> employee · onboarding · support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experience · onboarding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onboarding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engagement · employee · activities
</t>
          </r>
          <r>
            <rPr>
              <rFont val="Calibri"/>
              <b val="1"/>
              <sz val="10"/>
            </rPr>
            <t>SKILLS &amp; KNOWLEDGE · role-holders:</t>
          </r>
          <r>
            <rPr>
              <rFont val="Calibri"/>
              <sz val="10"/>
            </rPr>
            <t xml:space="preserve"> HR
</t>
          </r>
          <r>
            <rPr>
              <rFont val="Calibri"/>
              <b val="1"/>
              <sz val="10"/>
            </rPr>
            <t>TOOLS &amp; SYSTEMS:</t>
          </r>
          <r>
            <rPr>
              <rFont val="Calibri"/>
              <sz val="10"/>
            </rPr>
            <t xml:space="preserve"> MS Excel · Keka · Ongrid
COMPETENCIES REQUIRED — must-have ★: Stakeholder &amp; Client Management · Communication &amp; Presentation
</t>
          </r>
          <r>
            <rPr>
              <rFont val="Calibri"/>
              <b val="1"/>
              <sz val="10"/>
            </rPr>
            <t>OTHER FUNCTIONAL COMPETENCIES:</t>
          </r>
          <r>
            <rPr>
              <rFont val="Calibri"/>
              <sz val="10"/>
            </rPr>
            <t xml:space="preserve"> Data Analytics, BI &amp; Visualisation · Process Improvement &amp; Quality Mindset · People Leadership &amp; Mentoring · Advanced Excel &amp; Productivity Tools
</t>
          </r>
          <r>
            <rPr>
              <rFont val="Calibri"/>
              <b val="1"/>
              <sz val="10"/>
            </rPr>
            <t>PROFICIENCY NEEDED AT THIS LEVEL:</t>
          </r>
          <r>
            <rPr>
              <rFont val="Calibri"/>
              <sz val="10"/>
            </rPr>
            <t xml:space="preserve"> Core 3 · Future-ready 3 · Functional 3 · Leadership 1
</t>
          </r>
          <r>
            <rPr>
              <rFont val="Calibri"/>
              <b val="1"/>
              <sz val="10"/>
            </rPr>
            <t>SOURCE:</t>
          </r>
          <r>
            <rPr>
              <rFont val="Calibri"/>
              <sz val="10"/>
            </rPr>
            <t xml:space="preserve"> Framework + sub-family themes · 3+ answered — 2 holders, 2 answered the survey; sub-family 3 answered; catalogue RC-102</t>
          </r>
        </is>
      </c>
      <c r="S28"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1 direct report.
</t>
          </r>
          <r>
            <rPr>
              <rFont val="Calibri"/>
              <b val="1"/>
              <sz val="10"/>
            </rPr>
            <t>If the work is missed · role-holders' themes:</t>
          </r>
          <r>
            <rPr>
              <rFont val="Calibri"/>
              <sz val="10"/>
            </rPr>
            <t xml:space="preserve"> compliance · employee.
Manager talent mapping — Latest rating: Not rated · manager · 9-Box Grid placement: Not placed · manager.</t>
          </r>
        </is>
      </c>
      <c r="T28" s="120" t="n"/>
      <c r="U28" s="121" t="inlineStr">
        <is>
          <r>
            <rPr>
              <rFont val="Calibri"/>
              <sz val="10"/>
            </rPr>
            <t xml:space="preserve">HR Specialist – POD Lead in HR · Corporate, B1 — POD Lead.
</t>
          </r>
          <r>
            <rPr>
              <rFont val="Calibri"/>
              <b val="1"/>
              <sz val="10"/>
            </rPr>
            <t>The work:</t>
          </r>
          <r>
            <rPr>
              <rFont val="Calibri"/>
              <sz val="10"/>
            </rPr>
            <t xml:space="preserve"> Runs payroll, HRIS, onboarding, engagement and exits.
At this level the role owns a domain / module, or a small team.
</t>
          </r>
          <r>
            <rPr>
              <rFont val="Calibri"/>
              <b val="1"/>
              <sz val="10"/>
            </rPr>
            <t>Key responsibilities:</t>
          </r>
          <r>
            <rPr>
              <rFont val="Calibri"/>
              <sz val="10"/>
            </rPr>
            <t xml:space="preserve"> Runs payroll, HRIS, onboarding, engagement and exits; Domain specialist work; A domain or a small team.
</t>
          </r>
          <r>
            <rPr>
              <rFont val="Calibri"/>
              <b val="1"/>
              <sz val="10"/>
            </rPr>
            <t>Holders describe it with:</t>
          </r>
          <r>
            <rPr>
              <rFont val="Calibri"/>
              <sz val="10"/>
            </rPr>
            <t xml:space="preserve"> employee · onboarding · support.
Leads 1 direct report.</t>
          </r>
        </is>
      </c>
      <c r="V28" s="122" t="inlineStr">
        <is>
          <r>
            <rPr>
              <rFont val="Calibri"/>
              <b val="1"/>
              <sz val="10"/>
            </rPr>
            <t>Hire as:</t>
          </r>
          <r>
            <rPr>
              <rFont val="Calibri"/>
              <sz val="10"/>
            </rPr>
            <t xml:space="preserve"> Senior HR Executive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MBA / PGDM · HR or MA / MSW
</t>
          </r>
          <r>
            <rPr>
              <rFont val="Calibri"/>
              <b val="1"/>
              <sz val="10"/>
            </rPr>
            <t>Equivalent titles at peers:</t>
          </r>
          <r>
            <rPr>
              <rFont val="Calibri"/>
              <sz val="10"/>
            </rPr>
            <t xml:space="preserve"> IRIS Vs Competitor Benchmark — HR ladder – HR Specialist / HRBP
</t>
          </r>
          <r>
            <rPr>
              <rFont val="Calibri"/>
              <b val="1"/>
              <sz val="10"/>
            </rPr>
            <t>Must already know:</t>
          </r>
          <r>
            <rPr>
              <rFont val="Calibri"/>
              <sz val="10"/>
            </rPr>
            <t xml:space="preserve"> Labour law, POSH, data privacy</t>
          </r>
        </is>
      </c>
      <c r="W28" s="122" t="inlineStr">
        <is>
          <r>
            <rPr>
              <rFont val="Calibri"/>
              <sz val="10"/>
            </rPr>
            <t xml:space="preserve">FUNCTIONAL — skill level 3 of 5 · Practitioner
 ★ Stakeholder &amp; Client Management: Manages client communication and expectations for own work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People Leadership &amp; Mentoring:</t>
          </r>
          <r>
            <rPr>
              <rFont val="Calibri"/>
              <sz val="10"/>
            </rPr>
            <t xml:space="preserve"> Coaches and allocates work
 • </t>
          </r>
          <r>
            <rPr>
              <rFont val="Calibri"/>
              <b val="1"/>
              <sz val="10"/>
            </rPr>
            <t>Advanced Excel &amp; Productivity Tools:</t>
          </r>
          <r>
            <rPr>
              <rFont val="Calibri"/>
              <sz val="10"/>
            </rPr>
            <t xml:space="preserve"> Uses advanced Excel, Word, HTML and conversion tools fluently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HR
</t>
          </r>
          <r>
            <rPr>
              <rFont val="Calibri"/>
              <b val="1"/>
              <sz val="10"/>
            </rPr>
            <t>TOOLS:</t>
          </r>
          <r>
            <rPr>
              <rFont val="Calibri"/>
              <sz val="10"/>
            </rPr>
            <t xml:space="preserve"> MS Excel · Keka · Ongrid
★ = must-have for the family. Scale: 1 Awareness · 2 Working · 3 Practitioner · 4 Advanced · 5 Expert.</t>
          </r>
        </is>
      </c>
      <c r="X28" s="122" t="inlineStr">
        <is>
          <r>
            <rPr>
              <rFont val="Calibri"/>
              <sz val="10"/>
            </rPr>
            <t xml:space="preserve">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28" s="123" t="inlineStr">
        <is>
          <t>Corporate · HR · Band B · Expert / POD Lead</t>
        </is>
      </c>
      <c r="Z28" s="124" t="n">
        <v>3.5</v>
      </c>
      <c r="AA28" s="125">
        <f>IFERROR(INDEX(WM_C,MATCH($Y28,WM_KEY,0)),"")</f>
        <v>0.46</v>
      </c>
      <c r="AB28" s="126">
        <f>IF(Z28="","",Z28*AA28)</f>
        <v>1.61</v>
      </c>
      <c r="AC28" s="124" t="n">
        <v>3.5</v>
      </c>
      <c r="AD28" s="125">
        <f>IFERROR(INDEX(WM_AU,MATCH($Y28,WM_KEY,0)),"")</f>
        <v>0.17</v>
      </c>
      <c r="AE28" s="126">
        <f>IF(AC28="","",AC28*AD28)</f>
        <v>0.595</v>
      </c>
      <c r="AF28" s="124" t="n">
        <v>3.5</v>
      </c>
      <c r="AG28" s="125">
        <f>IFERROR(INDEX(WM_AC,MATCH($Y28,WM_KEY,0)),"")</f>
        <v>0.1</v>
      </c>
      <c r="AH28" s="126">
        <f>IF(AF28="","",AF28*AG28)</f>
        <v>0.35</v>
      </c>
      <c r="AI28" s="124" t="n">
        <v>3</v>
      </c>
      <c r="AJ28" s="125">
        <f>IFERROR(INDEX(WM_L,MATCH($Y28,WM_KEY,0)),"")</f>
        <v>0.05</v>
      </c>
      <c r="AK28" s="126">
        <f>IF(AI28="","",AI28*AJ28)</f>
        <v>0.15</v>
      </c>
      <c r="AL28" s="124" t="n">
        <v>4</v>
      </c>
      <c r="AM28" s="125">
        <f>IFERROR(INDEX(WM_E,MATCH($Y28,WM_KEY,0)),"")</f>
        <v>0.15</v>
      </c>
      <c r="AN28" s="126">
        <f>IF(AL28="","",AL28*AM28)</f>
        <v>0.6</v>
      </c>
      <c r="AO28" s="127" t="n">
        <v>3.5</v>
      </c>
      <c r="AP28" s="125">
        <f>IFERROR(INDEX(WM_BI,MATCH($Y28,WM_KEY,0)),"")</f>
        <v>0.07</v>
      </c>
      <c r="AQ28" s="126">
        <f>IF(AO28="","",AO28*AP28)</f>
        <v>0.245</v>
      </c>
      <c r="AR28" s="126">
        <f>IF(COUNT(AB28,AE28,AH28,AK28,AN28,AQ28)&lt;6,"",SUM(AB28,AE28,AH28,AK28,AN28,AQ28))</f>
        <v>3.55</v>
      </c>
      <c r="AS28" s="128" t="str">
        <f>IF(AR28="","",INDEX({"A1","A2","A3","B1","B2","B3","C1","C2","D1","D2","E1","E2"},MAX(1,MIN(12,ROUND(AR28,0)))))</f>
        <v>B1</v>
      </c>
      <c r="AT28" s="129" t="inlineStr">
        <is>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28" s="130" t="inlineStr">
        <is>
          <r>
            <rPr>
              <rFont val="Calibri"/>
              <b val="1"/>
              <sz val="10"/>
            </rPr>
            <t>At build:</t>
          </r>
          <r>
            <rPr>
              <rFont val="Calibri"/>
              <sz val="10"/>
            </rPr>
            <t xml:space="preserve"> Complexity 1.61 + Autonomy 0.60 + Accountability 0.35 + Leadership 0.15 + Experience 0.60 + Business impact 0.25
= 3.55 points → nearest level 4 = B1
</t>
          </r>
          <r>
            <rPr>
              <rFont val="Calibri"/>
              <b val="1"/>
              <sz val="10"/>
            </rPr>
            <t>Final level:</t>
          </r>
          <r>
            <rPr>
              <rFont val="Calibri"/>
              <sz val="10"/>
            </rPr>
            <t xml:space="preserve"> B1 · same as the score</t>
          </r>
        </is>
      </c>
      <c r="AV28" s="130" t="inlineStr">
        <is>
          <r>
            <rPr>
              <rFont val="Calibri"/>
              <b val="1"/>
              <sz val="10"/>
            </rPr>
            <t>No rule applied:</t>
          </r>
          <r>
            <rPr>
              <rFont val="Calibri"/>
              <sz val="10"/>
            </rPr>
            <t xml:space="preserve"> the score decides.</t>
          </r>
        </is>
      </c>
      <c r="AW28" s="131"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Onboarding, exits, grievance management, medical insurance, letters, performance management support → moved down 0.5
</t>
          </r>
          <r>
            <rPr>
              <rFont val="Calibri"/>
              <b val="1"/>
              <sz val="10"/>
            </rPr>
            <t>Market:</t>
          </r>
          <r>
            <rPr>
              <rFont val="Calibri"/>
              <sz val="10"/>
            </rPr>
            <t xml:space="preserve"> A3 = Varied and non-standard work; handles exceptions · B1 = Domain specialist work</t>
          </r>
        </is>
      </c>
      <c r="AX28"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Decides employee connects, communications and engagement activities → moved down 0.5
</t>
          </r>
          <r>
            <rPr>
              <rFont val="Calibri"/>
              <b val="1"/>
              <sz val="10"/>
            </rPr>
            <t>Market:</t>
          </r>
          <r>
            <rPr>
              <rFont val="Calibri"/>
              <sz val="10"/>
            </rPr>
            <t xml:space="preserve"> A3 = Technical / QC / client calls on own work · B1 = Technical / QC / client calls for the domain</t>
          </r>
        </is>
      </c>
      <c r="AY28" s="132" t="inlineStr">
        <is>
          <r>
            <rPr>
              <rFont val="Calibri"/>
              <sz val="10"/>
            </rPr>
            <t xml:space="preserve">Rated 3.5 of 12 · between A3 and B1
</t>
          </r>
          <r>
            <rPr>
              <rFont val="Calibri"/>
              <b val="1"/>
              <sz val="10"/>
            </rPr>
            <t>Start:</t>
          </r>
          <r>
            <rPr>
              <rFont val="Calibri"/>
              <sz val="10"/>
            </rPr>
            <t xml:space="preserve"> 3.8 · lead / specialist title; 1 direct report
</t>
          </r>
          <r>
            <rPr>
              <rFont val="Calibri"/>
              <b val="1"/>
              <sz val="10"/>
            </rPr>
            <t>Evidence reads like A3:</t>
          </r>
          <r>
            <rPr>
              <rFont val="Calibri"/>
              <sz val="10"/>
            </rPr>
            <t xml:space="preserve"> Employee experience from onboarding through exit, including grievances → moved down 0.2
</t>
          </r>
          <r>
            <rPr>
              <rFont val="Calibri"/>
              <b val="1"/>
              <sz val="10"/>
            </rPr>
            <t>Market:</t>
          </r>
          <r>
            <rPr>
              <rFont val="Calibri"/>
              <sz val="10"/>
            </rPr>
            <t xml:space="preserve"> A3 = A module / process, or work with client or regulatory consequences · B1 = A domain or a small team</t>
          </r>
        </is>
      </c>
      <c r="AZ28" s="132" t="inlineStr">
        <is>
          <r>
            <rPr>
              <rFont val="Calibri"/>
              <sz val="10"/>
            </rPr>
            <t xml:space="preserve">Rated 3 of 12
</t>
          </r>
          <r>
            <rPr>
              <rFont val="Calibri"/>
              <b val="1"/>
              <sz val="10"/>
            </rPr>
            <t>Start:</t>
          </r>
          <r>
            <rPr>
              <rFont val="Calibri"/>
              <sz val="10"/>
            </rPr>
            <t xml:space="preserve"> 3.5
</t>
          </r>
          <r>
            <rPr>
              <rFont val="Calibri"/>
              <b val="1"/>
              <sz val="10"/>
            </rPr>
            <t>Evidence reads like A2:</t>
          </r>
          <r>
            <rPr>
              <rFont val="Calibri"/>
              <sz val="10"/>
            </rPr>
            <t xml:space="preserve"> Coordinates stakeholders; no guidance of others described; 1 direct report → moved down 0.5
</t>
          </r>
          <r>
            <rPr>
              <rFont val="Calibri"/>
              <b val="1"/>
              <sz val="10"/>
            </rPr>
            <t>Team:</t>
          </r>
          <r>
            <rPr>
              <rFont val="Calibri"/>
              <sz val="10"/>
            </rPr>
            <t xml:space="preserve"> 1 direct report · POD Lead
</t>
          </r>
          <r>
            <rPr>
              <rFont val="Calibri"/>
              <b val="1"/>
              <sz val="10"/>
            </rPr>
            <t>Market:</t>
          </r>
          <r>
            <rPr>
              <rFont val="Calibri"/>
              <sz val="10"/>
            </rPr>
            <t xml:space="preserve"> A3 = Not scored in Band A</t>
          </r>
        </is>
      </c>
      <c r="BA28" s="132" t="inlineStr">
        <is>
          <r>
            <rPr>
              <rFont val="Calibri"/>
              <sz val="10"/>
            </rPr>
            <t xml:space="preserve">Rated 4 of 12
</t>
          </r>
          <r>
            <rPr>
              <rFont val="Calibri"/>
              <b val="1"/>
              <sz val="10"/>
            </rPr>
            <t>Experience:</t>
          </r>
          <r>
            <rPr>
              <rFont val="Calibri"/>
              <sz val="10"/>
            </rPr>
            <t xml:space="preserve"> 4.2 yrs total · 1.0 before IRIS + 3.2 at IRIS = 3.5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B1 roles typically have 4–8 yrs · IRIS guide 4–7</t>
          </r>
        </is>
      </c>
      <c r="BB28" s="132"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28" s="133" t="inlineStr"/>
      <c r="BD28" s="134" t="inlineStr">
        <is>
          <t>✓ HRIS: 4.2 yrs, MBA, 1 direct report
✓ Survey: 20 of 20 questions answered
✗ KRAs: none on file
✓ Manager mapping: rating, 9-box
✗ Job description: not on file</t>
        </is>
      </c>
      <c r="BE28"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HR Executive
</t>
          </r>
          <r>
            <rPr>
              <rFont val="Calibri"/>
              <b val="1"/>
              <sz val="10"/>
            </rPr>
            <t>At peers:</t>
          </r>
          <r>
            <rPr>
              <rFont val="Calibri"/>
              <sz val="10"/>
            </rPr>
            <t xml:space="preserve"> IRIS Vs Competitor Benchmark — HR ladder: HR Specialist / HRBP
</t>
          </r>
          <r>
            <rPr>
              <rFont val="Calibri"/>
              <b val="1"/>
              <sz val="10"/>
            </rPr>
            <t>Typical experience:</t>
          </r>
          <r>
            <rPr>
              <rFont val="Calibri"/>
              <sz val="10"/>
            </rPr>
            <t xml:space="preserve"> 4–8 yrs · IRIS guide 4–7
</t>
          </r>
          <r>
            <rPr>
              <rFont val="Calibri"/>
              <b val="1"/>
              <sz val="10"/>
            </rPr>
            <t>Standard:</t>
          </r>
          <r>
            <rPr>
              <rFont val="Calibri"/>
              <sz val="10"/>
            </rPr>
            <t xml:space="preserve"> SHRM BASK; CIPD Profession Map</t>
          </r>
        </is>
      </c>
      <c r="BF28" s="134" t="inlineStr">
        <is>
          <t>Medium</t>
        </is>
      </c>
      <c r="BG28" s="134" t="inlineStr"/>
      <c r="BH28" s="134" t="inlineStr"/>
      <c r="BI28" s="135" t="n"/>
      <c r="BJ28" s="136" t="n"/>
      <c r="BK28" s="136" t="n"/>
      <c r="BL28" s="136" t="n"/>
      <c r="BM28" s="136" t="n"/>
      <c r="BN28" s="137" t="n"/>
      <c r="BO28" s="120" t="n"/>
      <c r="BP28" s="120" t="n"/>
      <c r="BQ28" s="120" t="n"/>
      <c r="BR28" s="120" t="n"/>
      <c r="BS28" s="120" t="n"/>
      <c r="BT28" s="120" t="n"/>
      <c r="BU28" s="120" t="n"/>
      <c r="BV28" s="120" t="n">
        <v>3.5</v>
      </c>
    </row>
    <row r="29" ht="340" customHeight="1">
      <c r="A29" s="109" t="inlineStr">
        <is>
          <t>IRIS2402</t>
        </is>
      </c>
      <c r="B29" s="110" t="inlineStr">
        <is>
          <t>Renuka Badhoria</t>
        </is>
      </c>
      <c r="C29" s="111" t="inlineStr">
        <is>
          <t>HR</t>
        </is>
      </c>
      <c r="D29" s="111" t="inlineStr">
        <is>
          <t>Shweta Jha</t>
        </is>
      </c>
      <c r="E29" s="112" t="n">
        <v>3.4</v>
      </c>
      <c r="F29" s="112" t="n">
        <v>1.2</v>
      </c>
      <c r="G29" s="111" t="inlineStr">
        <is>
          <t>MBA PGDM</t>
        </is>
      </c>
      <c r="H29" s="138" t="inlineStr">
        <is>
          <t>Talent Acquisition Specialist</t>
        </is>
      </c>
      <c r="I29" s="115" t="inlineStr">
        <is>
          <t>Senior Talent Acquisition Executive</t>
        </is>
      </c>
      <c r="J29" s="114" t="inlineStr">
        <is>
          <t>Human Resources</t>
        </is>
      </c>
      <c r="K29" s="114" t="inlineStr">
        <is>
          <t>Talent Acquisition</t>
        </is>
      </c>
      <c r="L29" s="115" t="inlineStr">
        <is>
          <t>Not in current mapping files</t>
        </is>
      </c>
      <c r="M29" s="116" t="inlineStr">
        <is>
          <t>A3</t>
        </is>
      </c>
      <c r="N29" s="139" t="inlineStr">
        <is>
          <t>Senior Associate</t>
        </is>
      </c>
      <c r="O29" s="26" t="inlineStr">
        <is>
          <t>A</t>
        </is>
      </c>
      <c r="P29" s="114" t="inlineStr">
        <is>
          <t>IC</t>
        </is>
      </c>
      <c r="Q29" s="117" t="inlineStr">
        <is>
          <t>● Newly mapped</t>
        </is>
      </c>
      <c r="R29" s="118" t="inlineStr">
        <is>
          <r>
            <rPr>
              <rFont val="Calibri"/>
              <b val="1"/>
              <sz val="10"/>
            </rPr>
            <t>WHAT THE ROLE DOES:</t>
          </r>
          <r>
            <rPr>
              <rFont val="Calibri"/>
              <sz val="10"/>
            </rPr>
            <t xml:space="preserve"> Sources, screens and hires talent. At A3: varied work; reviews juniors; go-to for a process.
</t>
          </r>
          <r>
            <rPr>
              <rFont val="Calibri"/>
              <b val="1"/>
              <sz val="10"/>
            </rPr>
            <t>Common themes in sub-family holders, all levels' answers:</t>
          </r>
          <r>
            <rPr>
              <rFont val="Calibri"/>
              <sz val="10"/>
            </rPr>
            <t xml:space="preserve"> hiring · right · stakeholders · talent · end recruitment · requirements
</t>
          </r>
          <r>
            <rPr>
              <rFont val="Calibri"/>
              <b val="1"/>
              <sz val="10"/>
            </rPr>
            <t>KEY RESPONSIBILITIES:</t>
          </r>
          <r>
            <rPr>
              <rFont val="Calibri"/>
              <sz val="10"/>
            </rPr>
            <t xml:space="preserve"> Sources, screens and hires talent; Varied and non-standard work; handles exceptions; A module / process, or work with client or regulatory consequences
</t>
          </r>
          <r>
            <rPr>
              <rFont val="Calibri"/>
              <b val="1"/>
              <sz val="10"/>
            </rPr>
            <t>Common themes in sub-family holders, all levels' answers:</t>
          </r>
          <r>
            <rPr>
              <rFont val="Calibri"/>
              <sz val="10"/>
            </rPr>
            <t xml:space="preserve"> end end
</t>
          </r>
          <r>
            <rPr>
              <rFont val="Calibri"/>
              <b val="1"/>
              <sz val="10"/>
            </rPr>
            <t>DELIVERS:</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hiring
</t>
          </r>
          <r>
            <rPr>
              <rFont val="Calibri"/>
              <b val="1"/>
              <sz val="10"/>
            </rPr>
            <t>ACCOUNTABLE FOR:</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t>
          </r>
          <r>
            <rPr>
              <rFont val="Calibri"/>
              <b val="1"/>
              <sz val="10"/>
            </rPr>
            <t>SKILLS &amp; KNOWLEDGE · role-holders:</t>
          </r>
          <r>
            <rPr>
              <rFont val="Calibri"/>
              <sz val="10"/>
            </rPr>
            <t xml:space="preserve"> HR · Stakeholder Management
</t>
          </r>
          <r>
            <rPr>
              <rFont val="Calibri"/>
              <b val="1"/>
              <sz val="10"/>
            </rPr>
            <t>TOOLS &amp; SYSTEMS:</t>
          </r>
          <r>
            <rPr>
              <rFont val="Calibri"/>
              <sz val="10"/>
            </rPr>
            <t xml:space="preserve"> Naukri · Keka Hiro
COMPETENCIES REQUIRED — must-have ★: Stakeholder &amp; Client Management · Communication &amp; Presentation
</t>
          </r>
          <r>
            <rPr>
              <rFont val="Calibri"/>
              <b val="1"/>
              <sz val="10"/>
            </rPr>
            <t>OTHER FUNCTIONAL COMPETENCIES:</t>
          </r>
          <r>
            <rPr>
              <rFont val="Calibri"/>
              <sz val="10"/>
            </rPr>
            <t xml:space="preserve"> Data Analytics, BI &amp; Visualisation · Process Improvement &amp; Quality Mindset · People Leadership &amp; Mentoring · Advanced Excel &amp; Productivity Tools
</t>
          </r>
          <r>
            <rPr>
              <rFont val="Calibri"/>
              <b val="1"/>
              <sz val="10"/>
            </rPr>
            <t>PROFICIENCY NEEDED AT THIS LEVEL:</t>
          </r>
          <r>
            <rPr>
              <rFont val="Calibri"/>
              <sz val="10"/>
            </rPr>
            <t xml:space="preserve"> Core 2 · Future-ready 2 · Functional 3 · Leadership —
</t>
          </r>
          <r>
            <rPr>
              <rFont val="Calibri"/>
              <b val="1"/>
              <sz val="10"/>
            </rPr>
            <t>SOURCE:</t>
          </r>
          <r>
            <rPr>
              <rFont val="Calibri"/>
              <sz val="10"/>
            </rPr>
            <t xml:space="preserve"> Framework + sub-family themes · 3+ answered — 2 holders, 2 answered the survey; sub-family 3 answered; catalogue RC-104</t>
          </r>
        </is>
      </c>
      <c r="S2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business.
Manager talent mapping — Latest rating: Not rated · manager · 9-Box Grid placement: Not placed · manager.</t>
          </r>
        </is>
      </c>
      <c r="T29" s="120" t="n"/>
      <c r="U29" s="121" t="inlineStr">
        <is>
          <r>
            <rPr>
              <rFont val="Calibri"/>
              <sz val="10"/>
            </rPr>
            <t xml:space="preserve">Senior Talent Acquisition Executive in HR · Corporate, A3 — IC.
</t>
          </r>
          <r>
            <rPr>
              <rFont val="Calibri"/>
              <b val="1"/>
              <sz val="10"/>
            </rPr>
            <t>The work:</t>
          </r>
          <r>
            <rPr>
              <rFont val="Calibri"/>
              <sz val="10"/>
            </rPr>
            <t xml:space="preserve"> Sources, screens and hires talent.
At this level the role owns varied work; reviews juniors; go-to for a process.
</t>
          </r>
          <r>
            <rPr>
              <rFont val="Calibri"/>
              <b val="1"/>
              <sz val="10"/>
            </rPr>
            <t>Key responsibilities:</t>
          </r>
          <r>
            <rPr>
              <rFont val="Calibri"/>
              <sz val="10"/>
            </rPr>
            <t xml:space="preserve"> Sources, screens and hires talent; Varied and non-standard work; handles exceptions; A module / process, or work with client or regulatory consequences.
</t>
          </r>
          <r>
            <rPr>
              <rFont val="Calibri"/>
              <b val="1"/>
              <sz val="10"/>
            </rPr>
            <t>Holders describe it with:</t>
          </r>
          <r>
            <rPr>
              <rFont val="Calibri"/>
              <sz val="10"/>
            </rPr>
            <t xml:space="preserve"> end end.</t>
          </r>
        </is>
      </c>
      <c r="V29" s="122" t="inlineStr">
        <is>
          <r>
            <rPr>
              <rFont val="Calibri"/>
              <b val="1"/>
              <sz val="10"/>
            </rPr>
            <t>Hire as:</t>
          </r>
          <r>
            <rPr>
              <rFont val="Calibri"/>
              <sz val="10"/>
            </rPr>
            <t xml:space="preserve"> HR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MBA / PGDM · HR or MA / MSW
</t>
          </r>
          <r>
            <rPr>
              <rFont val="Calibri"/>
              <b val="1"/>
              <sz val="10"/>
            </rPr>
            <t>Equivalent titles at peers:</t>
          </r>
          <r>
            <rPr>
              <rFont val="Calibri"/>
              <sz val="10"/>
            </rPr>
            <t xml:space="preserve"> IRIS Vs Competitor Benchmark — HR ladder – Senior HR Executive · SHRM-CP
</t>
          </r>
          <r>
            <rPr>
              <rFont val="Calibri"/>
              <b val="1"/>
              <sz val="10"/>
            </rPr>
            <t>Must already know:</t>
          </r>
          <r>
            <rPr>
              <rFont val="Calibri"/>
              <sz val="10"/>
            </rPr>
            <t xml:space="preserve"> Labour law, POSH, data privacy</t>
          </r>
        </is>
      </c>
      <c r="W29" s="122" t="inlineStr">
        <is>
          <r>
            <rPr>
              <rFont val="Calibri"/>
              <sz val="10"/>
            </rPr>
            <t xml:space="preserve">FUNCTIONAL — skill level 3 of 5 · Practitioner
 ★ Stakeholder &amp; Client Management: Manages client communication and expectations for own work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People Leadership &amp; Mentoring:</t>
          </r>
          <r>
            <rPr>
              <rFont val="Calibri"/>
              <sz val="10"/>
            </rPr>
            <t xml:space="preserve"> Coaches and allocates work
 • </t>
          </r>
          <r>
            <rPr>
              <rFont val="Calibri"/>
              <b val="1"/>
              <sz val="10"/>
            </rPr>
            <t>Advanced Excel &amp; Productivity Tools:</t>
          </r>
          <r>
            <rPr>
              <rFont val="Calibri"/>
              <sz val="10"/>
            </rPr>
            <t xml:space="preserve"> Uses advanced Excel, Word, HTML and conversion tools fluently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HR · Stakeholder Management
</t>
          </r>
          <r>
            <rPr>
              <rFont val="Calibri"/>
              <b val="1"/>
              <sz val="10"/>
            </rPr>
            <t>TOOLS:</t>
          </r>
          <r>
            <rPr>
              <rFont val="Calibri"/>
              <sz val="10"/>
            </rPr>
            <t xml:space="preserve"> Naukri · Keka Hiro
★ = must-have for the family. Scale: 1 Awareness · 2 Working · 3 Practitioner · 4 Advanced · 5 Expert.</t>
          </r>
        </is>
      </c>
      <c r="X29" s="122" t="inlineStr">
        <is>
          <r>
            <rPr>
              <rFont val="Calibri"/>
              <sz val="10"/>
            </rPr>
            <t xml:space="preserve">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9" s="123" t="inlineStr">
        <is>
          <t>Corporate · HR · Band A · Early career</t>
        </is>
      </c>
      <c r="Z29" s="124" t="n">
        <v>3</v>
      </c>
      <c r="AA29" s="125">
        <f>IFERROR(INDEX(WM_C,MATCH($Y29,WM_KEY,0)),"")</f>
        <v>0.54</v>
      </c>
      <c r="AB29" s="126">
        <f>IF(Z29="","",Z29*AA29)</f>
        <v>1.62</v>
      </c>
      <c r="AC29" s="124" t="n">
        <v>3</v>
      </c>
      <c r="AD29" s="125">
        <f>IFERROR(INDEX(WM_AU,MATCH($Y29,WM_KEY,0)),"")</f>
        <v>0.16</v>
      </c>
      <c r="AE29" s="126">
        <f>IF(AC29="","",AC29*AD29)</f>
        <v>0.48</v>
      </c>
      <c r="AF29" s="124" t="n">
        <v>3.5</v>
      </c>
      <c r="AG29" s="125">
        <f>IFERROR(INDEX(WM_AC,MATCH($Y29,WM_KEY,0)),"")</f>
        <v>0.09</v>
      </c>
      <c r="AH29" s="126">
        <f>IF(AF29="","",AF29*AG29)</f>
        <v>0.315</v>
      </c>
      <c r="AI29" s="124" t="n">
        <v>2</v>
      </c>
      <c r="AJ29" s="125">
        <f>IFERROR(INDEX(WM_L,MATCH($Y29,WM_KEY,0)),"")</f>
        <v>0</v>
      </c>
      <c r="AK29" s="126">
        <f>IF(AI29="","",AI29*AJ29)</f>
        <v>0</v>
      </c>
      <c r="AL29" s="124" t="n">
        <v>3.5</v>
      </c>
      <c r="AM29" s="125">
        <f>IFERROR(INDEX(WM_E,MATCH($Y29,WM_KEY,0)),"")</f>
        <v>0.15</v>
      </c>
      <c r="AN29" s="126">
        <f>IF(AL29="","",AL29*AM29)</f>
        <v>0.525</v>
      </c>
      <c r="AO29" s="127" t="n">
        <v>3.5</v>
      </c>
      <c r="AP29" s="125">
        <f>IFERROR(INDEX(WM_BI,MATCH($Y29,WM_KEY,0)),"")</f>
        <v>0.06</v>
      </c>
      <c r="AQ29" s="126">
        <f>IF(AO29="","",AO29*AP29)</f>
        <v>0.21</v>
      </c>
      <c r="AR29" s="126">
        <f>IF(COUNT(AB29,AE29,AH29,AK29,AN29,AQ29)&lt;6,"",SUM(AB29,AE29,AH29,AK29,AN29,AQ29))</f>
        <v>3.15</v>
      </c>
      <c r="AS29" s="128" t="str">
        <f>IF(AR29="","",INDEX({"A1","A2","A3","B1","B2","B3","C1","C2","D1","D2","E1","E2"},MAX(1,MIN(12,ROUND(AR29,0)))))</f>
        <v>A3</v>
      </c>
      <c r="AT29" s="129" t="inlineStr">
        <is>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29" s="130" t="inlineStr">
        <is>
          <r>
            <rPr>
              <rFont val="Calibri"/>
              <b val="1"/>
              <sz val="10"/>
            </rPr>
            <t>At build:</t>
          </r>
          <r>
            <rPr>
              <rFont val="Calibri"/>
              <sz val="10"/>
            </rPr>
            <t xml:space="preserve"> Complexity 1.62 + Autonomy 0.48 + Accountability 0.32 + Leadership 0.00 + Experience 0.53 + Business impact 0.21
= 3.15 points → nearest level 3 = A3
</t>
          </r>
          <r>
            <rPr>
              <rFont val="Calibri"/>
              <b val="1"/>
              <sz val="10"/>
            </rPr>
            <t>Final level:</t>
          </r>
          <r>
            <rPr>
              <rFont val="Calibri"/>
              <sz val="10"/>
            </rPr>
            <t xml:space="preserve"> A3 · same as the score</t>
          </r>
        </is>
      </c>
      <c r="AV29" s="130" t="inlineStr">
        <is>
          <r>
            <rPr>
              <rFont val="Calibri"/>
              <b val="1"/>
              <sz val="10"/>
            </rPr>
            <t>No rule applied:</t>
          </r>
          <r>
            <rPr>
              <rFont val="Calibri"/>
              <sz val="10"/>
            </rPr>
            <t xml:space="preserve"> the score decides.</t>
          </r>
        </is>
      </c>
      <c r="AW29" s="131" t="inlineStr">
        <is>
          <r>
            <rPr>
              <rFont val="Calibri"/>
              <sz val="10"/>
            </rPr>
            <t xml:space="preserve">Rated 3 of 12
</t>
          </r>
          <r>
            <rPr>
              <rFont val="Calibri"/>
              <b val="1"/>
              <sz val="10"/>
            </rPr>
            <t>Start:</t>
          </r>
          <r>
            <rPr>
              <rFont val="Calibri"/>
              <sz val="10"/>
            </rPr>
            <t xml:space="preserve"> 4.0 · lead / specialist title
</t>
          </r>
          <r>
            <rPr>
              <rFont val="Calibri"/>
              <b val="1"/>
              <sz val="10"/>
            </rPr>
            <t>Evidence reads like A2:</t>
          </r>
          <r>
            <rPr>
              <rFont val="Calibri"/>
              <sz val="10"/>
            </rPr>
            <t xml:space="preserve"> End-to-end recruitment: requirement gathering, role market research, multi-channel sourcing → moved down 1
</t>
          </r>
          <r>
            <rPr>
              <rFont val="Calibri"/>
              <b val="1"/>
              <sz val="10"/>
            </rPr>
            <t>Market:</t>
          </r>
          <r>
            <rPr>
              <rFont val="Calibri"/>
              <sz val="10"/>
            </rPr>
            <t xml:space="preserve"> A3 = Varied and non-standard work; handles exceptions</t>
          </r>
        </is>
      </c>
      <c r="AX29" s="132" t="inlineStr">
        <is>
          <r>
            <rPr>
              <rFont val="Calibri"/>
              <sz val="10"/>
            </rPr>
            <t xml:space="preserve">Rated 3 of 12
</t>
          </r>
          <r>
            <rPr>
              <rFont val="Calibri"/>
              <b val="1"/>
              <sz val="10"/>
            </rPr>
            <t>Start:</t>
          </r>
          <r>
            <rPr>
              <rFont val="Calibri"/>
              <sz val="10"/>
            </rPr>
            <t xml:space="preserve"> 4.0 · lead / specialist title
</t>
          </r>
          <r>
            <rPr>
              <rFont val="Calibri"/>
              <b val="1"/>
              <sz val="10"/>
            </rPr>
            <t>Evidence reads like A2:</t>
          </r>
          <r>
            <rPr>
              <rFont val="Calibri"/>
              <sz val="10"/>
            </rPr>
            <t xml:space="preserve"> Chooses sourcing channels; nothing broader stated → moved down 1
</t>
          </r>
          <r>
            <rPr>
              <rFont val="Calibri"/>
              <b val="1"/>
              <sz val="10"/>
            </rPr>
            <t>Market:</t>
          </r>
          <r>
            <rPr>
              <rFont val="Calibri"/>
              <sz val="10"/>
            </rPr>
            <t xml:space="preserve"> A3 = Technical / QC / client calls on own work</t>
          </r>
        </is>
      </c>
      <c r="AY29" s="132"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Filling critical positions by hiring managers' deadlines; hiring numbers → moved down 0.5
</t>
          </r>
          <r>
            <rPr>
              <rFont val="Calibri"/>
              <b val="1"/>
              <sz val="10"/>
            </rPr>
            <t>Market:</t>
          </r>
          <r>
            <rPr>
              <rFont val="Calibri"/>
              <sz val="10"/>
            </rPr>
            <t xml:space="preserve"> A3 = A module / process, or work with client or regulatory consequences · B1 = A domain or a small team</t>
          </r>
        </is>
      </c>
      <c r="AZ29" s="132" t="inlineStr">
        <is>
          <r>
            <rPr>
              <rFont val="Calibri"/>
              <sz val="10"/>
            </rPr>
            <t xml:space="preserve">Rated 2 of 12 — not counted: the weight is 0% at this level
</t>
          </r>
          <r>
            <rPr>
              <rFont val="Calibri"/>
              <b val="1"/>
              <sz val="10"/>
            </rPr>
            <t>Start:</t>
          </r>
          <r>
            <rPr>
              <rFont val="Calibri"/>
              <sz val="10"/>
            </rPr>
            <t xml:space="preserve"> 3.0 · individual contributor, so influence only
</t>
          </r>
          <r>
            <rPr>
              <rFont val="Calibri"/>
              <b val="1"/>
              <sz val="10"/>
            </rPr>
            <t>Evidence reads like A1:</t>
          </r>
          <r>
            <rPr>
              <rFont val="Calibri"/>
              <sz val="10"/>
            </rPr>
            <t xml:space="preserve"> No guidance or leadership of others described → moved down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29" s="132" t="inlineStr">
        <is>
          <r>
            <rPr>
              <rFont val="Calibri"/>
              <sz val="10"/>
            </rPr>
            <t xml:space="preserve">Rated 3.5 of 12 · between A3 and B1
</t>
          </r>
          <r>
            <rPr>
              <rFont val="Calibri"/>
              <b val="1"/>
              <sz val="10"/>
            </rPr>
            <t>Experience:</t>
          </r>
          <r>
            <rPr>
              <rFont val="Calibri"/>
              <sz val="10"/>
            </rPr>
            <t xml:space="preserve"> 3.4 yrs total · 2.2 before IRIS + 1.2 at IRIS = 3.2 on the experience scale
</t>
          </r>
          <r>
            <rPr>
              <rFont val="Calibri"/>
              <b val="1"/>
              <sz val="10"/>
            </rPr>
            <t>Qualification:</t>
          </r>
          <r>
            <rPr>
              <rFont val="Calibri"/>
              <sz val="10"/>
            </rPr>
            <t xml:space="preserve"> MBA PGDM · postgraduate, relevant to the work → +0.5
</t>
          </r>
          <r>
            <rPr>
              <rFont val="Calibri"/>
              <b val="1"/>
              <sz val="10"/>
            </rPr>
            <t>Market:</t>
          </r>
          <r>
            <rPr>
              <rFont val="Calibri"/>
              <sz val="10"/>
            </rPr>
            <t xml:space="preserve"> A3 roles typically have 2–5 yrs · IRIS guide 2–4</t>
          </r>
        </is>
      </c>
      <c r="BB29" s="132"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29" s="133" t="inlineStr"/>
      <c r="BD29" s="134" t="inlineStr">
        <is>
          <t>✓ HRIS: 3.4 yrs, MBA PGDM, 0 direct reports
✓ Survey: 19 of 20 questions answered
✗ KRAs: none on file
✓ Manager mapping: rating, 9-box
✗ Job description: not on file</t>
        </is>
      </c>
      <c r="BE29" s="134" t="inlineStr">
        <is>
          <r>
            <rPr>
              <rFont val="Calibri"/>
              <b val="1"/>
              <sz val="10"/>
            </rPr>
            <t>Market level:</t>
          </r>
          <r>
            <rPr>
              <rFont val="Calibri"/>
              <sz val="10"/>
            </rPr>
            <t xml:space="preserve"> P2 · SFIA 3 Apply
</t>
          </r>
          <r>
            <rPr>
              <rFont val="Calibri"/>
              <b val="1"/>
              <sz val="10"/>
            </rPr>
            <t>Typical title:</t>
          </r>
          <r>
            <rPr>
              <rFont val="Calibri"/>
              <sz val="10"/>
            </rPr>
            <t xml:space="preserve"> HR Executive
</t>
          </r>
          <r>
            <rPr>
              <rFont val="Calibri"/>
              <b val="1"/>
              <sz val="10"/>
            </rPr>
            <t>At peers:</t>
          </r>
          <r>
            <rPr>
              <rFont val="Calibri"/>
              <sz val="10"/>
            </rPr>
            <t xml:space="preserve"> IRIS Vs Competitor Benchmark — HR ladder: Senior HR Executive · SHRM-CP
</t>
          </r>
          <r>
            <rPr>
              <rFont val="Calibri"/>
              <b val="1"/>
              <sz val="10"/>
            </rPr>
            <t>Typical experience:</t>
          </r>
          <r>
            <rPr>
              <rFont val="Calibri"/>
              <sz val="10"/>
            </rPr>
            <t xml:space="preserve"> 2–5 yrs · IRIS guide 2–4
</t>
          </r>
          <r>
            <rPr>
              <rFont val="Calibri"/>
              <b val="1"/>
              <sz val="10"/>
            </rPr>
            <t>Standard:</t>
          </r>
          <r>
            <rPr>
              <rFont val="Calibri"/>
              <sz val="10"/>
            </rPr>
            <t xml:space="preserve"> SHRM BASK; CIPD Profession Map</t>
          </r>
        </is>
      </c>
      <c r="BF29" s="134" t="inlineStr">
        <is>
          <t>High</t>
        </is>
      </c>
      <c r="BG29" s="134" t="inlineStr"/>
      <c r="BH29" s="134" t="inlineStr"/>
      <c r="BI29" s="135" t="n"/>
      <c r="BJ29" s="136" t="n"/>
      <c r="BK29" s="136" t="n"/>
      <c r="BL29" s="136" t="n"/>
      <c r="BM29" s="136" t="n"/>
      <c r="BN29" s="137" t="n"/>
      <c r="BO29" s="120" t="n"/>
      <c r="BP29" s="120" t="n"/>
      <c r="BQ29" s="120" t="n"/>
      <c r="BR29" s="120" t="n"/>
      <c r="BS29" s="120" t="n"/>
      <c r="BT29" s="120" t="n"/>
      <c r="BU29" s="120" t="n"/>
      <c r="BV29" s="120" t="n">
        <v>3.5</v>
      </c>
    </row>
    <row r="30" ht="340" customHeight="1">
      <c r="A30" s="109" t="inlineStr">
        <is>
          <t>IRIS2245</t>
        </is>
      </c>
      <c r="B30" s="110" t="inlineStr">
        <is>
          <t>Shruti Gawas</t>
        </is>
      </c>
      <c r="C30" s="111" t="inlineStr">
        <is>
          <t>HR</t>
        </is>
      </c>
      <c r="D30" s="111" t="inlineStr">
        <is>
          <t>Shweta Jha</t>
        </is>
      </c>
      <c r="E30" s="112" t="n">
        <v>3.6</v>
      </c>
      <c r="F30" s="112" t="n">
        <v>2.4</v>
      </c>
      <c r="G30" s="111" t="inlineStr">
        <is>
          <t>MBA</t>
        </is>
      </c>
      <c r="H30" s="138" t="inlineStr">
        <is>
          <t>Senior Executive - Talent Acquisition</t>
        </is>
      </c>
      <c r="I30" s="115" t="inlineStr">
        <is>
          <t>Senior Talent Acquisition Executive</t>
        </is>
      </c>
      <c r="J30" s="114" t="inlineStr">
        <is>
          <t>Human Resources</t>
        </is>
      </c>
      <c r="K30" s="114" t="inlineStr">
        <is>
          <t>Talent Acquisition</t>
        </is>
      </c>
      <c r="L30" s="115" t="inlineStr">
        <is>
          <t>Not in current mapping files</t>
        </is>
      </c>
      <c r="M30" s="116" t="inlineStr">
        <is>
          <t>A3</t>
        </is>
      </c>
      <c r="N30" s="139" t="inlineStr">
        <is>
          <t>Senior Associate</t>
        </is>
      </c>
      <c r="O30" s="26" t="inlineStr">
        <is>
          <t>A</t>
        </is>
      </c>
      <c r="P30" s="114" t="inlineStr">
        <is>
          <t>IC</t>
        </is>
      </c>
      <c r="Q30" s="117" t="inlineStr">
        <is>
          <t>● Newly mapped</t>
        </is>
      </c>
      <c r="R30" s="118" t="inlineStr">
        <is>
          <r>
            <rPr>
              <rFont val="Calibri"/>
              <b val="1"/>
              <sz val="10"/>
            </rPr>
            <t>WHAT THE ROLE DOES:</t>
          </r>
          <r>
            <rPr>
              <rFont val="Calibri"/>
              <sz val="10"/>
            </rPr>
            <t xml:space="preserve"> Sources, screens and hires talent. At A3: varied work; reviews juniors; go-to for a process.
</t>
          </r>
          <r>
            <rPr>
              <rFont val="Calibri"/>
              <b val="1"/>
              <sz val="10"/>
            </rPr>
            <t>Common themes in sub-family holders, all levels' answers:</t>
          </r>
          <r>
            <rPr>
              <rFont val="Calibri"/>
              <sz val="10"/>
            </rPr>
            <t xml:space="preserve"> hiring · right · stakeholders · talent · end recruitment · requirements
</t>
          </r>
          <r>
            <rPr>
              <rFont val="Calibri"/>
              <b val="1"/>
              <sz val="10"/>
            </rPr>
            <t>KEY RESPONSIBILITIES:</t>
          </r>
          <r>
            <rPr>
              <rFont val="Calibri"/>
              <sz val="10"/>
            </rPr>
            <t xml:space="preserve"> Sources, screens and hires talent; Varied and non-standard work; handles exceptions; A module / process, or work with client or regulatory consequences
</t>
          </r>
          <r>
            <rPr>
              <rFont val="Calibri"/>
              <b val="1"/>
              <sz val="10"/>
            </rPr>
            <t>Common themes in sub-family holders, all levels' answers:</t>
          </r>
          <r>
            <rPr>
              <rFont val="Calibri"/>
              <sz val="10"/>
            </rPr>
            <t xml:space="preserve"> end end
</t>
          </r>
          <r>
            <rPr>
              <rFont val="Calibri"/>
              <b val="1"/>
              <sz val="10"/>
            </rPr>
            <t>DELIVERS:</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hiring
</t>
          </r>
          <r>
            <rPr>
              <rFont val="Calibri"/>
              <b val="1"/>
              <sz val="10"/>
            </rPr>
            <t>ACCOUNTABLE FOR:</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t>
          </r>
          <r>
            <rPr>
              <rFont val="Calibri"/>
              <b val="1"/>
              <sz val="10"/>
            </rPr>
            <t>SKILLS &amp; KNOWLEDGE · role-holders:</t>
          </r>
          <r>
            <rPr>
              <rFont val="Calibri"/>
              <sz val="10"/>
            </rPr>
            <t xml:space="preserve"> HR · Stakeholder Management
</t>
          </r>
          <r>
            <rPr>
              <rFont val="Calibri"/>
              <b val="1"/>
              <sz val="10"/>
            </rPr>
            <t>TOOLS &amp; SYSTEMS:</t>
          </r>
          <r>
            <rPr>
              <rFont val="Calibri"/>
              <sz val="10"/>
            </rPr>
            <t xml:space="preserve"> Naukri · Keka Hiro
COMPETENCIES REQUIRED — must-have ★: Stakeholder &amp; Client Management · Communication &amp; Presentation
</t>
          </r>
          <r>
            <rPr>
              <rFont val="Calibri"/>
              <b val="1"/>
              <sz val="10"/>
            </rPr>
            <t>OTHER FUNCTIONAL COMPETENCIES:</t>
          </r>
          <r>
            <rPr>
              <rFont val="Calibri"/>
              <sz val="10"/>
            </rPr>
            <t xml:space="preserve"> Data Analytics, BI &amp; Visualisation · Process Improvement &amp; Quality Mindset · People Leadership &amp; Mentoring · Advanced Excel &amp; Productivity Tools
</t>
          </r>
          <r>
            <rPr>
              <rFont val="Calibri"/>
              <b val="1"/>
              <sz val="10"/>
            </rPr>
            <t>PROFICIENCY NEEDED AT THIS LEVEL:</t>
          </r>
          <r>
            <rPr>
              <rFont val="Calibri"/>
              <sz val="10"/>
            </rPr>
            <t xml:space="preserve"> Core 2 · Future-ready 2 · Functional 3 · Leadership —
</t>
          </r>
          <r>
            <rPr>
              <rFont val="Calibri"/>
              <b val="1"/>
              <sz val="10"/>
            </rPr>
            <t>SOURCE:</t>
          </r>
          <r>
            <rPr>
              <rFont val="Calibri"/>
              <sz val="10"/>
            </rPr>
            <t xml:space="preserve"> Framework + sub-family themes · 3+ answered — 2 holders, 2 answered the survey; sub-family 3 answered; catalogue RC-104</t>
          </r>
        </is>
      </c>
      <c r="S3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business.
Manager talent mapping — Latest rating: Not rated · manager · 9-Box Grid placement: Not placed · manager.</t>
          </r>
        </is>
      </c>
      <c r="T30" s="120" t="n"/>
      <c r="U30" s="121" t="inlineStr">
        <is>
          <r>
            <rPr>
              <rFont val="Calibri"/>
              <sz val="10"/>
            </rPr>
            <t xml:space="preserve">Senior Talent Acquisition Executive in HR · Corporate, A3 — IC.
</t>
          </r>
          <r>
            <rPr>
              <rFont val="Calibri"/>
              <b val="1"/>
              <sz val="10"/>
            </rPr>
            <t>The work:</t>
          </r>
          <r>
            <rPr>
              <rFont val="Calibri"/>
              <sz val="10"/>
            </rPr>
            <t xml:space="preserve"> Sources, screens and hires talent.
At this level the role owns varied work; reviews juniors; go-to for a process.
</t>
          </r>
          <r>
            <rPr>
              <rFont val="Calibri"/>
              <b val="1"/>
              <sz val="10"/>
            </rPr>
            <t>Key responsibilities:</t>
          </r>
          <r>
            <rPr>
              <rFont val="Calibri"/>
              <sz val="10"/>
            </rPr>
            <t xml:space="preserve"> Sources, screens and hires talent; Varied and non-standard work; handles exceptions; A module / process, or work with client or regulatory consequences.
</t>
          </r>
          <r>
            <rPr>
              <rFont val="Calibri"/>
              <b val="1"/>
              <sz val="10"/>
            </rPr>
            <t>Holders describe it with:</t>
          </r>
          <r>
            <rPr>
              <rFont val="Calibri"/>
              <sz val="10"/>
            </rPr>
            <t xml:space="preserve"> end end.</t>
          </r>
        </is>
      </c>
      <c r="V30" s="122" t="inlineStr">
        <is>
          <r>
            <rPr>
              <rFont val="Calibri"/>
              <b val="1"/>
              <sz val="10"/>
            </rPr>
            <t>Hire as:</t>
          </r>
          <r>
            <rPr>
              <rFont val="Calibri"/>
              <sz val="10"/>
            </rPr>
            <t xml:space="preserve"> HR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MBA / PGDM · HR or MA / MSW
</t>
          </r>
          <r>
            <rPr>
              <rFont val="Calibri"/>
              <b val="1"/>
              <sz val="10"/>
            </rPr>
            <t>Equivalent titles at peers:</t>
          </r>
          <r>
            <rPr>
              <rFont val="Calibri"/>
              <sz val="10"/>
            </rPr>
            <t xml:space="preserve"> IRIS Vs Competitor Benchmark — HR ladder – Senior HR Executive · SHRM-CP
</t>
          </r>
          <r>
            <rPr>
              <rFont val="Calibri"/>
              <b val="1"/>
              <sz val="10"/>
            </rPr>
            <t>Must already know:</t>
          </r>
          <r>
            <rPr>
              <rFont val="Calibri"/>
              <sz val="10"/>
            </rPr>
            <t xml:space="preserve"> Labour law, POSH, data privacy</t>
          </r>
        </is>
      </c>
      <c r="W30" s="122" t="inlineStr">
        <is>
          <r>
            <rPr>
              <rFont val="Calibri"/>
              <sz val="10"/>
            </rPr>
            <t xml:space="preserve">FUNCTIONAL — skill level 3 of 5 · Practitioner
 ★ Stakeholder &amp; Client Management: Manages client communication and expectations for own work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People Leadership &amp; Mentoring:</t>
          </r>
          <r>
            <rPr>
              <rFont val="Calibri"/>
              <sz val="10"/>
            </rPr>
            <t xml:space="preserve"> Coaches and allocates work
 • </t>
          </r>
          <r>
            <rPr>
              <rFont val="Calibri"/>
              <b val="1"/>
              <sz val="10"/>
            </rPr>
            <t>Advanced Excel &amp; Productivity Tools:</t>
          </r>
          <r>
            <rPr>
              <rFont val="Calibri"/>
              <sz val="10"/>
            </rPr>
            <t xml:space="preserve"> Uses advanced Excel, Word, HTML and conversion tools fluently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HR · Stakeholder Management
</t>
          </r>
          <r>
            <rPr>
              <rFont val="Calibri"/>
              <b val="1"/>
              <sz val="10"/>
            </rPr>
            <t>TOOLS:</t>
          </r>
          <r>
            <rPr>
              <rFont val="Calibri"/>
              <sz val="10"/>
            </rPr>
            <t xml:space="preserve"> Naukri · Keka Hiro
★ = must-have for the family. Scale: 1 Awareness · 2 Working · 3 Practitioner · 4 Advanced · 5 Expert.</t>
          </r>
        </is>
      </c>
      <c r="X30" s="122" t="inlineStr">
        <is>
          <r>
            <rPr>
              <rFont val="Calibri"/>
              <sz val="10"/>
            </rPr>
            <t xml:space="preserve">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0" s="123" t="inlineStr">
        <is>
          <t>Corporate · HR · Band A · Early career</t>
        </is>
      </c>
      <c r="Z30" s="124" t="n">
        <v>3</v>
      </c>
      <c r="AA30" s="125">
        <f>IFERROR(INDEX(WM_C,MATCH($Y30,WM_KEY,0)),"")</f>
        <v>0.54</v>
      </c>
      <c r="AB30" s="126">
        <f>IF(Z30="","",Z30*AA30)</f>
        <v>1.62</v>
      </c>
      <c r="AC30" s="124" t="n">
        <v>3</v>
      </c>
      <c r="AD30" s="125">
        <f>IFERROR(INDEX(WM_AU,MATCH($Y30,WM_KEY,0)),"")</f>
        <v>0.16</v>
      </c>
      <c r="AE30" s="126">
        <f>IF(AC30="","",AC30*AD30)</f>
        <v>0.48</v>
      </c>
      <c r="AF30" s="124" t="n">
        <v>3</v>
      </c>
      <c r="AG30" s="125">
        <f>IFERROR(INDEX(WM_AC,MATCH($Y30,WM_KEY,0)),"")</f>
        <v>0.09</v>
      </c>
      <c r="AH30" s="126">
        <f>IF(AF30="","",AF30*AG30)</f>
        <v>0.27</v>
      </c>
      <c r="AI30" s="124" t="n">
        <v>1.5</v>
      </c>
      <c r="AJ30" s="125">
        <f>IFERROR(INDEX(WM_L,MATCH($Y30,WM_KEY,0)),"")</f>
        <v>0</v>
      </c>
      <c r="AK30" s="126">
        <f>IF(AI30="","",AI30*AJ30)</f>
        <v>0</v>
      </c>
      <c r="AL30" s="124" t="n">
        <v>3.5</v>
      </c>
      <c r="AM30" s="125">
        <f>IFERROR(INDEX(WM_E,MATCH($Y30,WM_KEY,0)),"")</f>
        <v>0.15</v>
      </c>
      <c r="AN30" s="126">
        <f>IF(AL30="","",AL30*AM30)</f>
        <v>0.525</v>
      </c>
      <c r="AO30" s="127" t="n">
        <v>3</v>
      </c>
      <c r="AP30" s="125">
        <f>IFERROR(INDEX(WM_BI,MATCH($Y30,WM_KEY,0)),"")</f>
        <v>0.06</v>
      </c>
      <c r="AQ30" s="126">
        <f>IF(AO30="","",AO30*AP30)</f>
        <v>0.18</v>
      </c>
      <c r="AR30" s="126">
        <f>IF(COUNT(AB30,AE30,AH30,AK30,AN30,AQ30)&lt;6,"",SUM(AB30,AE30,AH30,AK30,AN30,AQ30))</f>
        <v>3.075</v>
      </c>
      <c r="AS30" s="128" t="str">
        <f>IF(AR30="","",INDEX({"A1","A2","A3","B1","B2","B3","C1","C2","D1","D2","E1","E2"},MAX(1,MIN(12,ROUND(AR30,0)))))</f>
        <v>A3</v>
      </c>
      <c r="AT30" s="129" t="inlineStr">
        <is>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30" s="130" t="inlineStr">
        <is>
          <r>
            <rPr>
              <rFont val="Calibri"/>
              <b val="1"/>
              <sz val="10"/>
            </rPr>
            <t>At build:</t>
          </r>
          <r>
            <rPr>
              <rFont val="Calibri"/>
              <sz val="10"/>
            </rPr>
            <t xml:space="preserve"> Complexity 1.62 + Autonomy 0.48 + Accountability 0.27 + Leadership 0.00 + Experience 0.53 + Business impact 0.18
= 3.08 points → nearest level 3 = A3
</t>
          </r>
          <r>
            <rPr>
              <rFont val="Calibri"/>
              <b val="1"/>
              <sz val="10"/>
            </rPr>
            <t>Final level:</t>
          </r>
          <r>
            <rPr>
              <rFont val="Calibri"/>
              <sz val="10"/>
            </rPr>
            <t xml:space="preserve"> A3 · same as the score</t>
          </r>
        </is>
      </c>
      <c r="AV30" s="130" t="inlineStr">
        <is>
          <r>
            <rPr>
              <rFont val="Calibri"/>
              <b val="1"/>
              <sz val="10"/>
            </rPr>
            <t>No rule applied:</t>
          </r>
          <r>
            <rPr>
              <rFont val="Calibri"/>
              <sz val="10"/>
            </rPr>
            <t xml:space="preserve"> the score decides.</t>
          </r>
        </is>
      </c>
      <c r="AW30"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End-to-end hiring including interviewing, salary negotiation, niche roles, talent market mapping → matches the start
</t>
          </r>
          <r>
            <rPr>
              <rFont val="Calibri"/>
              <b val="1"/>
              <sz val="10"/>
            </rPr>
            <t>Market:</t>
          </r>
          <r>
            <rPr>
              <rFont val="Calibri"/>
              <sz val="10"/>
            </rPr>
            <t xml:space="preserve"> A3 = Varied and non-standard work; handles exceptions</t>
          </r>
        </is>
      </c>
      <c r="AX30"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sourcing and pipeline management; negotiates salaries → matches the start
</t>
          </r>
          <r>
            <rPr>
              <rFont val="Calibri"/>
              <b val="1"/>
              <sz val="10"/>
            </rPr>
            <t>Market:</t>
          </r>
          <r>
            <rPr>
              <rFont val="Calibri"/>
              <sz val="10"/>
            </rPr>
            <t xml:space="preserve"> A3 = Technical / QC / client calls on own work</t>
          </r>
        </is>
      </c>
      <c r="AY30"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own survey / KRA answers · summarised by the rater; not quoted → matches the start
</t>
          </r>
          <r>
            <rPr>
              <rFont val="Calibri"/>
              <b val="1"/>
              <sz val="10"/>
            </rPr>
            <t>Market:</t>
          </r>
          <r>
            <rPr>
              <rFont val="Calibri"/>
              <sz val="10"/>
            </rPr>
            <t xml:space="preserve"> A3 = A module / process, or work with client or regulatory consequences</t>
          </r>
        </is>
      </c>
      <c r="AZ30"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Partners with stakeholders; no guidance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30" s="132" t="inlineStr">
        <is>
          <r>
            <rPr>
              <rFont val="Calibri"/>
              <sz val="10"/>
            </rPr>
            <t xml:space="preserve">Rated 3.5 of 12 · between A3 and B1
</t>
          </r>
          <r>
            <rPr>
              <rFont val="Calibri"/>
              <b val="1"/>
              <sz val="10"/>
            </rPr>
            <t>Experience:</t>
          </r>
          <r>
            <rPr>
              <rFont val="Calibri"/>
              <sz val="10"/>
            </rPr>
            <t xml:space="preserve"> 3.6 yrs total · 1.2 before IRIS + 2.4 at IRIS = 3.2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A3 roles typically have 2–5 yrs · IRIS guide 2–4</t>
          </r>
        </is>
      </c>
      <c r="BB30"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30" s="133" t="inlineStr"/>
      <c r="BD30" s="134" t="inlineStr">
        <is>
          <t>✓ HRIS: 3.6 yrs, MBA, 0 direct reports
✓ Survey: 19 of 20 questions answered
✗ KRAs: none on file
✓ Manager mapping: rating, 9-box
✗ Job description: not on file</t>
        </is>
      </c>
      <c r="BE30" s="134" t="inlineStr">
        <is>
          <r>
            <rPr>
              <rFont val="Calibri"/>
              <b val="1"/>
              <sz val="10"/>
            </rPr>
            <t>Market level:</t>
          </r>
          <r>
            <rPr>
              <rFont val="Calibri"/>
              <sz val="10"/>
            </rPr>
            <t xml:space="preserve"> P2 · SFIA 3 Apply
</t>
          </r>
          <r>
            <rPr>
              <rFont val="Calibri"/>
              <b val="1"/>
              <sz val="10"/>
            </rPr>
            <t>Typical title:</t>
          </r>
          <r>
            <rPr>
              <rFont val="Calibri"/>
              <sz val="10"/>
            </rPr>
            <t xml:space="preserve"> HR Executive
</t>
          </r>
          <r>
            <rPr>
              <rFont val="Calibri"/>
              <b val="1"/>
              <sz val="10"/>
            </rPr>
            <t>At peers:</t>
          </r>
          <r>
            <rPr>
              <rFont val="Calibri"/>
              <sz val="10"/>
            </rPr>
            <t xml:space="preserve"> IRIS Vs Competitor Benchmark — HR ladder: Senior HR Executive · SHRM-CP
</t>
          </r>
          <r>
            <rPr>
              <rFont val="Calibri"/>
              <b val="1"/>
              <sz val="10"/>
            </rPr>
            <t>Typical experience:</t>
          </r>
          <r>
            <rPr>
              <rFont val="Calibri"/>
              <sz val="10"/>
            </rPr>
            <t xml:space="preserve"> 2–5 yrs · IRIS guide 2–4
</t>
          </r>
          <r>
            <rPr>
              <rFont val="Calibri"/>
              <b val="1"/>
              <sz val="10"/>
            </rPr>
            <t>Standard:</t>
          </r>
          <r>
            <rPr>
              <rFont val="Calibri"/>
              <sz val="10"/>
            </rPr>
            <t xml:space="preserve"> SHRM BASK; CIPD Profession Map</t>
          </r>
        </is>
      </c>
      <c r="BF30" s="134" t="inlineStr">
        <is>
          <t>High</t>
        </is>
      </c>
      <c r="BG30" s="134" t="inlineStr"/>
      <c r="BH30" s="134" t="inlineStr"/>
      <c r="BI30" s="135" t="n"/>
      <c r="BJ30" s="136" t="n"/>
      <c r="BK30" s="136" t="n"/>
      <c r="BL30" s="136" t="n"/>
      <c r="BM30" s="136" t="n"/>
      <c r="BN30" s="137" t="n"/>
      <c r="BO30" s="120" t="n"/>
      <c r="BP30" s="120" t="n"/>
      <c r="BQ30" s="120" t="n"/>
      <c r="BR30" s="120" t="n"/>
      <c r="BS30" s="120" t="n"/>
      <c r="BT30" s="120" t="n"/>
      <c r="BU30" s="120" t="n"/>
      <c r="BV30" s="120" t="n">
        <v>3</v>
      </c>
    </row>
    <row r="31" ht="340" customHeight="1">
      <c r="A31" s="109" t="inlineStr">
        <is>
          <t>IRIS2558</t>
        </is>
      </c>
      <c r="B31" s="110" t="inlineStr">
        <is>
          <t>Blossom Dsouza</t>
        </is>
      </c>
      <c r="C31" s="111" t="inlineStr">
        <is>
          <t>HR</t>
        </is>
      </c>
      <c r="D31" s="111" t="inlineStr">
        <is>
          <t>Nikitha Nair</t>
        </is>
      </c>
      <c r="E31" s="112" t="n">
        <v>0.9</v>
      </c>
      <c r="F31" s="112" t="n">
        <v>0.1</v>
      </c>
      <c r="G31" s="111" t="inlineStr">
        <is>
          <t>Bachelors</t>
        </is>
      </c>
      <c r="H31" s="138" t="inlineStr">
        <is>
          <t>Executive -HR</t>
        </is>
      </c>
      <c r="I31" s="115" t="inlineStr">
        <is>
          <t>HR Executive</t>
        </is>
      </c>
      <c r="J31" s="114" t="inlineStr">
        <is>
          <t>Human Resources</t>
        </is>
      </c>
      <c r="K31" s="114" t="inlineStr">
        <is>
          <t>HR Operations &amp; Payroll</t>
        </is>
      </c>
      <c r="L31" s="115" t="inlineStr">
        <is>
          <t>Not in current mapping files</t>
        </is>
      </c>
      <c r="M31" s="116" t="inlineStr">
        <is>
          <t>A2</t>
        </is>
      </c>
      <c r="N31" s="139" t="inlineStr">
        <is>
          <t>Associate</t>
        </is>
      </c>
      <c r="O31" s="26" t="inlineStr">
        <is>
          <t>A</t>
        </is>
      </c>
      <c r="P31" s="114" t="inlineStr">
        <is>
          <t>IC</t>
        </is>
      </c>
      <c r="Q31" s="117" t="inlineStr">
        <is>
          <t>● Newly mapped</t>
        </is>
      </c>
      <c r="R31" s="118" t="inlineStr">
        <is>
          <r>
            <rPr>
              <rFont val="Calibri"/>
              <b val="1"/>
              <sz val="10"/>
            </rPr>
            <t>WHAT THE ROLE DOES:</t>
          </r>
          <r>
            <rPr>
              <rFont val="Calibri"/>
              <sz val="10"/>
            </rPr>
            <t xml:space="preserve"> Runs payroll, HRIS, onboarding, engagement and exits. At A2: standard work delivered independently.
</t>
          </r>
          <r>
            <rPr>
              <rFont val="Calibri"/>
              <b val="1"/>
              <sz val="10"/>
            </rPr>
            <t>Common themes in sub-family holders, all levels' answers:</t>
          </r>
          <r>
            <rPr>
              <rFont val="Calibri"/>
              <sz val="10"/>
            </rPr>
            <t xml:space="preserve"> employees
</t>
          </r>
          <r>
            <rPr>
              <rFont val="Calibri"/>
              <b val="1"/>
              <sz val="10"/>
            </rPr>
            <t>KEY RESPONSIBILITIES:</t>
          </r>
          <r>
            <rPr>
              <rFont val="Calibri"/>
              <sz val="10"/>
            </rPr>
            <t xml:space="preserve"> Runs payroll, HRIS, onboarding, engagement and exits; Standard work of the discipline; Own deliverables · accuracy, TAT
</t>
          </r>
          <r>
            <rPr>
              <rFont val="Calibri"/>
              <b val="1"/>
              <sz val="10"/>
            </rPr>
            <t>Common themes in sub-family holders, all levels' answers:</t>
          </r>
          <r>
            <rPr>
              <rFont val="Calibri"/>
              <sz val="10"/>
            </rPr>
            <t xml:space="preserve"> employee · onboarding · support
</t>
          </r>
          <r>
            <rPr>
              <rFont val="Calibri"/>
              <b val="1"/>
              <sz val="10"/>
            </rPr>
            <t>DELIVERS:</t>
          </r>
          <r>
            <rPr>
              <rFont val="Calibri"/>
              <sz val="10"/>
            </rPr>
            <t xml:space="preserve"> Own deliverables · accuracy, TAT
</t>
          </r>
          <r>
            <rPr>
              <rFont val="Calibri"/>
              <b val="1"/>
              <sz val="10"/>
            </rPr>
            <t>Common themes in sub-family holders, all levels' answers:</t>
          </r>
          <r>
            <rPr>
              <rFont val="Calibri"/>
              <sz val="10"/>
            </rPr>
            <t xml:space="preserve"> experience · onboarding
</t>
          </r>
          <r>
            <rPr>
              <rFont val="Calibri"/>
              <b val="1"/>
              <sz val="10"/>
            </rPr>
            <t>ACCOUNTABLE FOR:</t>
          </r>
          <r>
            <rPr>
              <rFont val="Calibri"/>
              <sz val="10"/>
            </rPr>
            <t xml:space="preserve"> Own deliverables · accuracy, TAT
</t>
          </r>
          <r>
            <rPr>
              <rFont val="Calibri"/>
              <b val="1"/>
              <sz val="10"/>
            </rPr>
            <t>Common themes in sub-family holders, all levels' answers:</t>
          </r>
          <r>
            <rPr>
              <rFont val="Calibri"/>
              <sz val="10"/>
            </rPr>
            <t xml:space="preserve"> onboarding
</t>
          </r>
          <r>
            <rPr>
              <rFont val="Calibri"/>
              <b val="1"/>
              <sz val="10"/>
            </rPr>
            <t>DECIDES ALONE:</t>
          </r>
          <r>
            <rPr>
              <rFont val="Calibri"/>
              <sz val="10"/>
            </rPr>
            <t xml:space="preserve"> Chooses own approach within standards
</t>
          </r>
          <r>
            <rPr>
              <rFont val="Calibri"/>
              <b val="1"/>
              <sz val="10"/>
            </rPr>
            <t>Common themes in sub-family holders, all levels' answers:</t>
          </r>
          <r>
            <rPr>
              <rFont val="Calibri"/>
              <sz val="10"/>
            </rPr>
            <t xml:space="preserve"> engagement · employee · activities
</t>
          </r>
          <r>
            <rPr>
              <rFont val="Calibri"/>
              <b val="1"/>
              <sz val="10"/>
            </rPr>
            <t>SKILLS &amp; KNOWLEDGE · role-holders:</t>
          </r>
          <r>
            <rPr>
              <rFont val="Calibri"/>
              <sz val="10"/>
            </rPr>
            <t xml:space="preserve"> HR
</t>
          </r>
          <r>
            <rPr>
              <rFont val="Calibri"/>
              <b val="1"/>
              <sz val="10"/>
            </rPr>
            <t>TOOLS &amp; SYSTEMS:</t>
          </r>
          <r>
            <rPr>
              <rFont val="Calibri"/>
              <sz val="10"/>
            </rPr>
            <t xml:space="preserve"> MS Excel · Keka · Ongrid
COMPETENCIES REQUIRED — must-have ★: Stakeholder &amp; Client Management · Communication &amp; Presentation
</t>
          </r>
          <r>
            <rPr>
              <rFont val="Calibri"/>
              <b val="1"/>
              <sz val="10"/>
            </rPr>
            <t>OTHER FUNCTIONAL COMPETENCIES:</t>
          </r>
          <r>
            <rPr>
              <rFont val="Calibri"/>
              <sz val="10"/>
            </rPr>
            <t xml:space="preserve"> Data Analytics, BI &amp; Visualisation · Process Improvement &amp; Quality Mindset · People Leadership &amp; Mentoring · Advanced Excel &amp; Productivity Tools
</t>
          </r>
          <r>
            <rPr>
              <rFont val="Calibri"/>
              <b val="1"/>
              <sz val="10"/>
            </rPr>
            <t>PROFICIENCY NEEDED AT THIS LEVEL:</t>
          </r>
          <r>
            <rPr>
              <rFont val="Calibri"/>
              <sz val="10"/>
            </rPr>
            <t xml:space="preserve"> Core 2 · Future-ready 2 · Functional 2 · Leadership —
</t>
          </r>
          <r>
            <rPr>
              <rFont val="Calibri"/>
              <b val="1"/>
              <sz val="10"/>
            </rPr>
            <t>SOURCE:</t>
          </r>
          <r>
            <rPr>
              <rFont val="Calibri"/>
              <sz val="10"/>
            </rPr>
            <t xml:space="preserve"> Framework + sub-family themes · 3+ answered — 1 holder, 1 answered the survey; sub-family 3 answered; catalogue RC-101</t>
          </r>
        </is>
      </c>
      <c r="S31" s="119"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compliance · employee.
Manager talent mapping — Latest rating: Not rated · manager · 9-Box Grid placement: Not placed · manager.</t>
          </r>
        </is>
      </c>
      <c r="T31" s="120" t="n"/>
      <c r="U31" s="121" t="inlineStr">
        <is>
          <r>
            <rPr>
              <rFont val="Calibri"/>
              <sz val="10"/>
            </rPr>
            <t xml:space="preserve">HR Executive in HR · Corporate, A2 — IC.
</t>
          </r>
          <r>
            <rPr>
              <rFont val="Calibri"/>
              <b val="1"/>
              <sz val="10"/>
            </rPr>
            <t>The work:</t>
          </r>
          <r>
            <rPr>
              <rFont val="Calibri"/>
              <sz val="10"/>
            </rPr>
            <t xml:space="preserve"> Runs payroll, HRIS, onboarding, engagement and exits.
At this level the role owns standard work delivered independently.
</t>
          </r>
          <r>
            <rPr>
              <rFont val="Calibri"/>
              <b val="1"/>
              <sz val="10"/>
            </rPr>
            <t>Key responsibilities:</t>
          </r>
          <r>
            <rPr>
              <rFont val="Calibri"/>
              <sz val="10"/>
            </rPr>
            <t xml:space="preserve"> Runs payroll, HRIS, onboarding, engagement and exits; Standard work of the discipline; Own deliverables · accuracy, TAT.
</t>
          </r>
          <r>
            <rPr>
              <rFont val="Calibri"/>
              <b val="1"/>
              <sz val="10"/>
            </rPr>
            <t>Holders describe it with:</t>
          </r>
          <r>
            <rPr>
              <rFont val="Calibri"/>
              <sz val="10"/>
            </rPr>
            <t xml:space="preserve"> employee · onboarding · support.</t>
          </r>
        </is>
      </c>
      <c r="V31" s="122" t="inlineStr">
        <is>
          <r>
            <rPr>
              <rFont val="Calibri"/>
              <b val="1"/>
              <sz val="10"/>
            </rPr>
            <t>Hire as:</t>
          </r>
          <r>
            <rPr>
              <rFont val="Calibri"/>
              <sz val="10"/>
            </rPr>
            <t xml:space="preserve"> HR Associate / HR Executive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MBA / PGDM · HR or MA / MSW
</t>
          </r>
          <r>
            <rPr>
              <rFont val="Calibri"/>
              <b val="1"/>
              <sz val="10"/>
            </rPr>
            <t>Equivalent titles at peers:</t>
          </r>
          <r>
            <rPr>
              <rFont val="Calibri"/>
              <sz val="10"/>
            </rPr>
            <t xml:space="preserve"> IRIS Vs Competitor Benchmark — HR ladder – HR Executive
</t>
          </r>
          <r>
            <rPr>
              <rFont val="Calibri"/>
              <b val="1"/>
              <sz val="10"/>
            </rPr>
            <t>Must already know:</t>
          </r>
          <r>
            <rPr>
              <rFont val="Calibri"/>
              <sz val="10"/>
            </rPr>
            <t xml:space="preserve"> Labour law, POSH, data privacy</t>
          </r>
        </is>
      </c>
      <c r="W31" s="122" t="inlineStr">
        <is>
          <r>
            <rPr>
              <rFont val="Calibri"/>
              <sz val="10"/>
            </rPr>
            <t xml:space="preserve">FUNCTIONAL — skill level 2 of 5 · Working
 ★ Stakeholder &amp; Client Management: Manages client communication and expectations for own work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People Leadership &amp; Mentoring:</t>
          </r>
          <r>
            <rPr>
              <rFont val="Calibri"/>
              <sz val="10"/>
            </rPr>
            <t xml:space="preserve"> Coaches and allocates work
 • </t>
          </r>
          <r>
            <rPr>
              <rFont val="Calibri"/>
              <b val="1"/>
              <sz val="10"/>
            </rPr>
            <t>Advanced Excel &amp; Productivity Tools:</t>
          </r>
          <r>
            <rPr>
              <rFont val="Calibri"/>
              <sz val="10"/>
            </rPr>
            <t xml:space="preserve"> Uses advanced Excel, Word, HTML and conversion tools fluently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HR
</t>
          </r>
          <r>
            <rPr>
              <rFont val="Calibri"/>
              <b val="1"/>
              <sz val="10"/>
            </rPr>
            <t>TOOLS:</t>
          </r>
          <r>
            <rPr>
              <rFont val="Calibri"/>
              <sz val="10"/>
            </rPr>
            <t xml:space="preserve"> MS Excel · Keka · Ongrid
★ = must-have for the family. Scale: 1 Awareness · 2 Working · 3 Practitioner · 4 Advanced · 5 Expert.</t>
          </r>
        </is>
      </c>
      <c r="X31" s="122" t="inlineStr">
        <is>
          <r>
            <rPr>
              <rFont val="Calibri"/>
              <sz val="10"/>
            </rPr>
            <t xml:space="preserve">Draft — generated from the framework; hiring-manager review pending · HR Super Master, sheet T5.
1. [Stakeholder &amp; Client Management · level 2] Tell me about recent work that shows this: "Manages client communication and expectations for own work". What exactly did you do, how, and what was the result? Assess with: Role play / behavioural interview.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[Process Improvement &amp; Quality Mindset · level 2] Give an example that shows you can do this: "Delivers right-first-time; improves own checklists". Assess with: Work sample / case.
5. [People Leadership &amp; Mentoring · level 2] Give an example that shows you can do this: "Coaches and allocates work".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1" s="123" t="inlineStr">
        <is>
          <t>Corporate · HR · Band A · Early career</t>
        </is>
      </c>
      <c r="Z31" s="124" t="n">
        <v>2</v>
      </c>
      <c r="AA31" s="125">
        <f>IFERROR(INDEX(WM_C,MATCH($Y31,WM_KEY,0)),"")</f>
        <v>0.54</v>
      </c>
      <c r="AB31" s="126">
        <f>IF(Z31="","",Z31*AA31)</f>
        <v>1.08</v>
      </c>
      <c r="AC31" s="124" t="n">
        <v>2</v>
      </c>
      <c r="AD31" s="125">
        <f>IFERROR(INDEX(WM_AU,MATCH($Y31,WM_KEY,0)),"")</f>
        <v>0.16</v>
      </c>
      <c r="AE31" s="126">
        <f>IF(AC31="","",AC31*AD31)</f>
        <v>0.32</v>
      </c>
      <c r="AF31" s="124" t="n">
        <v>2</v>
      </c>
      <c r="AG31" s="125">
        <f>IFERROR(INDEX(WM_AC,MATCH($Y31,WM_KEY,0)),"")</f>
        <v>0.09</v>
      </c>
      <c r="AH31" s="126">
        <f>IF(AF31="","",AF31*AG31)</f>
        <v>0.18</v>
      </c>
      <c r="AI31" s="124" t="n">
        <v>1</v>
      </c>
      <c r="AJ31" s="125">
        <f>IFERROR(INDEX(WM_L,MATCH($Y31,WM_KEY,0)),"")</f>
        <v>0</v>
      </c>
      <c r="AK31" s="126">
        <f>IF(AI31="","",AI31*AJ31)</f>
        <v>0</v>
      </c>
      <c r="AL31" s="124" t="n">
        <v>2</v>
      </c>
      <c r="AM31" s="125">
        <f>IFERROR(INDEX(WM_E,MATCH($Y31,WM_KEY,0)),"")</f>
        <v>0.15</v>
      </c>
      <c r="AN31" s="126">
        <f>IF(AL31="","",AL31*AM31)</f>
        <v>0.3</v>
      </c>
      <c r="AO31" s="127" t="n">
        <v>2</v>
      </c>
      <c r="AP31" s="125">
        <f>IFERROR(INDEX(WM_BI,MATCH($Y31,WM_KEY,0)),"")</f>
        <v>0.06</v>
      </c>
      <c r="AQ31" s="126">
        <f>IF(AO31="","",AO31*AP31)</f>
        <v>0.12</v>
      </c>
      <c r="AR31" s="126">
        <f>IF(COUNT(AB31,AE31,AH31,AK31,AN31,AQ31)&lt;6,"",SUM(AB31,AE31,AH31,AK31,AN31,AQ31))</f>
        <v>2</v>
      </c>
      <c r="AS31" s="128" t="str">
        <f>IF(AR31="","",INDEX({"A1","A2","A3","B1","B2","B3","C1","C2","D1","D2","E1","E2"},MAX(1,MIN(12,ROUND(AR31,0)))))</f>
        <v>A2</v>
      </c>
      <c r="AT31" s="129" t="inlineStr">
        <is>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31" s="130" t="inlineStr">
        <is>
          <r>
            <rPr>
              <rFont val="Calibri"/>
              <b val="1"/>
              <sz val="10"/>
            </rPr>
            <t>At build:</t>
          </r>
          <r>
            <rPr>
              <rFont val="Calibri"/>
              <sz val="10"/>
            </rPr>
            <t xml:space="preserve"> Complexity 1.08 + Autonomy 0.32 + Accountability 0.18 + Leadership 0.00 + Experience 0.30 + Business impact 0.12
= 2.00 points → nearest level 2 = A2
</t>
          </r>
          <r>
            <rPr>
              <rFont val="Calibri"/>
              <b val="1"/>
              <sz val="10"/>
            </rPr>
            <t>Final level:</t>
          </r>
          <r>
            <rPr>
              <rFont val="Calibri"/>
              <sz val="10"/>
            </rPr>
            <t xml:space="preserve"> A2 · same as the score</t>
          </r>
        </is>
      </c>
      <c r="AV31" s="130" t="inlineStr">
        <is>
          <r>
            <rPr>
              <rFont val="Calibri"/>
              <b val="1"/>
              <sz val="10"/>
            </rPr>
            <t>No rule applied:</t>
          </r>
          <r>
            <rPr>
              <rFont val="Calibri"/>
              <sz val="10"/>
            </rPr>
            <t xml:space="preserve"> the score decides.</t>
          </r>
        </is>
      </c>
      <c r="AW31"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Onboarding, exits, BGV coordination, HR ops trackers, engagement activities → matches the start
</t>
          </r>
          <r>
            <rPr>
              <rFont val="Calibri"/>
              <b val="1"/>
              <sz val="10"/>
            </rPr>
            <t>Market:</t>
          </r>
          <r>
            <rPr>
              <rFont val="Calibri"/>
              <sz val="10"/>
            </rPr>
            <t xml:space="preserve"> A2 = Standard work of the discipline</t>
          </r>
        </is>
      </c>
      <c r="AX3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engagement and onboarding activities; escalates when needed → matches the start
</t>
          </r>
          <r>
            <rPr>
              <rFont val="Calibri"/>
              <b val="1"/>
              <sz val="10"/>
            </rPr>
            <t>Market:</t>
          </r>
          <r>
            <rPr>
              <rFont val="Calibri"/>
              <sz val="10"/>
            </rPr>
            <t xml:space="preserve"> A2 = Chooses own approach within standards</t>
          </r>
        </is>
      </c>
      <c r="AY31"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onboarding work: accuracy and timeliness → matches the start
</t>
          </r>
          <r>
            <rPr>
              <rFont val="Calibri"/>
              <b val="1"/>
              <sz val="10"/>
            </rPr>
            <t>Market:</t>
          </r>
          <r>
            <rPr>
              <rFont val="Calibri"/>
              <sz val="10"/>
            </rPr>
            <t xml:space="preserve"> A2 = Own deliverables · accuracy, TAT</t>
          </r>
        </is>
      </c>
      <c r="AZ31"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31" s="132" t="inlineStr">
        <is>
          <r>
            <rPr>
              <rFont val="Calibri"/>
              <sz val="10"/>
            </rPr>
            <t xml:space="preserve">Rated 2 of 12
</t>
          </r>
          <r>
            <rPr>
              <rFont val="Calibri"/>
              <b val="1"/>
              <sz val="10"/>
            </rPr>
            <t>Experience:</t>
          </r>
          <r>
            <rPr>
              <rFont val="Calibri"/>
              <sz val="10"/>
            </rPr>
            <t xml:space="preserve"> 0.9 yrs total · 0.8 before IRIS + 0.1 at IRIS = 1.9 on the experience scale
</t>
          </r>
          <r>
            <rPr>
              <rFont val="Calibri"/>
              <b val="1"/>
              <sz val="10"/>
            </rPr>
            <t>Qualification:</t>
          </r>
          <r>
            <rPr>
              <rFont val="Calibri"/>
              <sz val="10"/>
            </rPr>
            <t xml:space="preserve"> Bachelors · graduate → no change
</t>
          </r>
          <r>
            <rPr>
              <rFont val="Calibri"/>
              <b val="1"/>
              <sz val="10"/>
            </rPr>
            <t>Market:</t>
          </r>
          <r>
            <rPr>
              <rFont val="Calibri"/>
              <sz val="10"/>
            </rPr>
            <t xml:space="preserve"> A2 roles typically have 0–3 yrs · IRIS guide 0–2</t>
          </r>
        </is>
      </c>
      <c r="BB31"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31" s="133" t="inlineStr"/>
      <c r="BD31" s="134" t="inlineStr">
        <is>
          <t>✓ HRIS: 0.9 yrs, Bachelors, 0 direct reports
✓ Survey: 19 of 20 questions answered
✗ KRAs: none on file
✓ Manager mapping: rating, 9-box
✗ Job description: not on file</t>
        </is>
      </c>
      <c r="BE31" s="134" t="inlineStr">
        <is>
          <r>
            <rPr>
              <rFont val="Calibri"/>
              <b val="1"/>
              <sz val="10"/>
            </rPr>
            <t>Market level:</t>
          </r>
          <r>
            <rPr>
              <rFont val="Calibri"/>
              <sz val="10"/>
            </rPr>
            <t xml:space="preserve"> P1–P2 · SFIA 2 Assist
</t>
          </r>
          <r>
            <rPr>
              <rFont val="Calibri"/>
              <b val="1"/>
              <sz val="10"/>
            </rPr>
            <t>Typical title:</t>
          </r>
          <r>
            <rPr>
              <rFont val="Calibri"/>
              <sz val="10"/>
            </rPr>
            <t xml:space="preserve"> HR Associate / HR Executive
</t>
          </r>
          <r>
            <rPr>
              <rFont val="Calibri"/>
              <b val="1"/>
              <sz val="10"/>
            </rPr>
            <t>At peers:</t>
          </r>
          <r>
            <rPr>
              <rFont val="Calibri"/>
              <sz val="10"/>
            </rPr>
            <t xml:space="preserve"> IRIS Vs Competitor Benchmark — HR ladder: HR Executive
</t>
          </r>
          <r>
            <rPr>
              <rFont val="Calibri"/>
              <b val="1"/>
              <sz val="10"/>
            </rPr>
            <t>Typical experience:</t>
          </r>
          <r>
            <rPr>
              <rFont val="Calibri"/>
              <sz val="10"/>
            </rPr>
            <t xml:space="preserve"> 0–3 yrs · IRIS guide 0–2
</t>
          </r>
          <r>
            <rPr>
              <rFont val="Calibri"/>
              <b val="1"/>
              <sz val="10"/>
            </rPr>
            <t>Standard:</t>
          </r>
          <r>
            <rPr>
              <rFont val="Calibri"/>
              <sz val="10"/>
            </rPr>
            <t xml:space="preserve"> SHRM BASK; CIPD Profession Map</t>
          </r>
        </is>
      </c>
      <c r="BF31" s="134" t="inlineStr">
        <is>
          <t>High</t>
        </is>
      </c>
      <c r="BG31" s="134" t="inlineStr"/>
      <c r="BH31" s="134" t="inlineStr"/>
      <c r="BI31" s="135" t="n"/>
      <c r="BJ31" s="136" t="n"/>
      <c r="BK31" s="136" t="n"/>
      <c r="BL31" s="136" t="n"/>
      <c r="BM31" s="136" t="n"/>
      <c r="BN31" s="137" t="n"/>
      <c r="BO31" s="120" t="n"/>
      <c r="BP31" s="120" t="n"/>
      <c r="BQ31" s="120" t="n"/>
      <c r="BR31" s="120" t="n"/>
      <c r="BS31" s="120" t="n"/>
      <c r="BT31" s="120" t="n"/>
      <c r="BU31" s="120" t="n"/>
      <c r="BV31" s="120" t="n">
        <v>2</v>
      </c>
    </row>
    <row r="32" ht="340" customHeight="1">
      <c r="A32" s="109" t="inlineStr">
        <is>
          <t>IRIS2103</t>
        </is>
      </c>
      <c r="B32" s="110" t="inlineStr">
        <is>
          <t>Mahesh Tilave</t>
        </is>
      </c>
      <c r="C32" s="111" t="inlineStr">
        <is>
          <t>IT &amp; Infrastructure</t>
        </is>
      </c>
      <c r="D32" s="111" t="inlineStr">
        <is>
          <t>P K X Thomas</t>
        </is>
      </c>
      <c r="E32" s="112" t="n">
        <v>20.6</v>
      </c>
      <c r="F32" s="112" t="n">
        <v>3.6</v>
      </c>
      <c r="G32" s="111" t="inlineStr">
        <is>
          <t>BA</t>
        </is>
      </c>
      <c r="H32" s="138" t="inlineStr">
        <is>
          <t>Team Lead – IT Infrastructure</t>
        </is>
      </c>
      <c r="I32" s="115" t="inlineStr">
        <is>
          <t>Senior IT Manager</t>
        </is>
      </c>
      <c r="J32" s="114" t="inlineStr">
        <is>
          <t>IT &amp; Infrastructure</t>
        </is>
      </c>
      <c r="K32" s="114" t="inlineStr">
        <is>
          <t>IT Infrastructure Leadership</t>
        </is>
      </c>
      <c r="L32" s="115" t="inlineStr">
        <is>
          <t>Not in current mapping files</t>
        </is>
      </c>
      <c r="M32" s="116" t="inlineStr">
        <is>
          <t>B2</t>
        </is>
      </c>
      <c r="N32" s="21" t="inlineStr">
        <is>
          <t>Manager</t>
        </is>
      </c>
      <c r="O32" s="23" t="inlineStr">
        <is>
          <t>B</t>
        </is>
      </c>
      <c r="P32" s="114" t="inlineStr">
        <is>
          <t>People Manager</t>
        </is>
      </c>
      <c r="Q32" s="117" t="inlineStr">
        <is>
          <t>● Newly mapped</t>
        </is>
      </c>
      <c r="R32" s="118" t="inlineStr">
        <is>
          <r>
            <rPr>
              <rFont val="Calibri"/>
              <b val="1"/>
              <sz val="10"/>
            </rPr>
            <t>WHAT THE ROLE DOES:</t>
          </r>
          <r>
            <rPr>
              <rFont val="Calibri"/>
              <sz val="10"/>
            </rPr>
            <t xml:space="preserve"> Leads infrastructure operations, ISO governance and IT vendors. At B2: deep domain expertise, or one team.
</t>
          </r>
          <r>
            <rPr>
              <rFont val="Calibri"/>
              <b val="1"/>
              <sz val="10"/>
            </rPr>
            <t>KEY RESPONSIBILITIES:</t>
          </r>
          <r>
            <rPr>
              <rFont val="Calibri"/>
              <sz val="10"/>
            </rPr>
            <t xml:space="preserve"> Leads infrastructure operations, ISO governance and IT vendors; Hardest problems in the domain; One team or a client portfolio
</t>
          </r>
          <r>
            <rPr>
              <rFont val="Calibri"/>
              <b val="1"/>
              <sz val="10"/>
            </rPr>
            <t>DELIVERS:</t>
          </r>
          <r>
            <rPr>
              <rFont val="Calibri"/>
              <sz val="10"/>
            </rPr>
            <t xml:space="preserve"> One team or a client portfolio
</t>
          </r>
          <r>
            <rPr>
              <rFont val="Calibri"/>
              <b val="1"/>
              <sz val="10"/>
            </rPr>
            <t>DECIDES ALONE:</t>
          </r>
          <r>
            <rPr>
              <rFont val="Calibri"/>
              <sz val="10"/>
            </rPr>
            <t xml:space="preserve"> Allocates people and sets team priorities
COMPETENCIES REQUIRED — must-have ★: Cybersecurity &amp; Infrastructure · Cloud, DevOps &amp; CI/CD
</t>
          </r>
          <r>
            <rPr>
              <rFont val="Calibri"/>
              <b val="1"/>
              <sz val="10"/>
            </rPr>
            <t>OTHER FUNCTIONAL COMPETENCIES:</t>
          </r>
          <r>
            <rPr>
              <rFont val="Calibri"/>
              <sz val="10"/>
            </rPr>
            <t xml:space="preserve"> Process Improvement &amp; Quality Mindset · Stakeholder &amp; Client Management · Time, Priority &amp; Self-Management · AI, GenAI &amp; Prompt Engineering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Microsoft / CCNA / ISO 27001 / ITIL; AWS / Azure / Kubernetes certifications
</t>
          </r>
          <r>
            <rPr>
              <rFont val="Calibri"/>
              <b val="1"/>
              <sz val="10"/>
            </rPr>
            <t>SOURCE:</t>
          </r>
          <r>
            <rPr>
              <rFont val="Calibri"/>
              <sz val="10"/>
            </rPr>
            <t xml:space="preserve"> Framework only · fewer than 3 answered — 1 holder, 1 answered the survey; sub-family 1 answered; catalogue RC-107</t>
          </r>
        </is>
      </c>
      <c r="S32"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7 direct reports.
Manager talent mapping — Latest rating: Not rated · manager · 9-Box Grid placement: Not placed · manager.</t>
          </r>
        </is>
      </c>
      <c r="T32" s="120" t="n"/>
      <c r="U32" s="121" t="inlineStr">
        <is>
          <r>
            <rPr>
              <rFont val="Calibri"/>
              <sz val="10"/>
            </rPr>
            <t xml:space="preserve">Senior IT Manager in IT &amp; Infrastructure · Corporate, B2 — People Manager.
</t>
          </r>
          <r>
            <rPr>
              <rFont val="Calibri"/>
              <b val="1"/>
              <sz val="10"/>
            </rPr>
            <t>The work:</t>
          </r>
          <r>
            <rPr>
              <rFont val="Calibri"/>
              <sz val="10"/>
            </rPr>
            <t xml:space="preserve"> Leads infrastructure operations, ISO governance and IT vendors.
At this level the role owns deep domain expertise, or one team.
</t>
          </r>
          <r>
            <rPr>
              <rFont val="Calibri"/>
              <b val="1"/>
              <sz val="10"/>
            </rPr>
            <t>Key responsibilities:</t>
          </r>
          <r>
            <rPr>
              <rFont val="Calibri"/>
              <sz val="10"/>
            </rPr>
            <t xml:space="preserve"> Leads infrastructure operations, ISO governance and IT vendors; Hardest problems in the domain; One team or a client portfolio.
Leads 7 direct reports.</t>
          </r>
        </is>
      </c>
      <c r="V32" s="122" t="inlineStr">
        <is>
          <r>
            <rPr>
              <rFont val="Calibri"/>
              <b val="1"/>
              <sz val="10"/>
            </rPr>
            <t>Hire as:</t>
          </r>
          <r>
            <rPr>
              <rFont val="Calibri"/>
              <sz val="10"/>
            </rPr>
            <t xml:space="preserve"> Senior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BE / B.Sc / diploma + certifications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Atlassian company-wide P-levels – P50 Senior · IRIS Vs Competitor Benchmark — infrastructure ladder – Infrastructure Lead
</t>
          </r>
          <r>
            <rPr>
              <rFont val="Calibri"/>
              <b val="1"/>
              <sz val="10"/>
            </rPr>
            <t>Credentials:</t>
          </r>
          <r>
            <rPr>
              <rFont val="Calibri"/>
              <sz val="10"/>
            </rPr>
            <t xml:space="preserve"> Microsoft / CCNA / ISO 27001 / ITIL; AWS / Azure / Kubernetes certifications
</t>
          </r>
          <r>
            <rPr>
              <rFont val="Calibri"/>
              <b val="1"/>
              <sz val="10"/>
            </rPr>
            <t>Must already know:</t>
          </r>
          <r>
            <rPr>
              <rFont val="Calibri"/>
              <sz val="10"/>
            </rPr>
            <t xml:space="preserve"> ISO 27001 / InfoSec controls</t>
          </r>
        </is>
      </c>
      <c r="W32" s="122" t="inlineStr">
        <is>
          <r>
            <rPr>
              <rFont val="Calibri"/>
              <sz val="10"/>
            </rPr>
            <t xml:space="preserve">FUNCTIONAL — skill level 4 of 5 · Advanced
 ★ Cybersecurity &amp; Infrastructure: Designs secure infrastructure; leads audits and incident response
 ★ Cloud, DevOps &amp; CI/CD: Designs platform, monitoring and release strategy
 • </t>
          </r>
          <r>
            <rPr>
              <rFont val="Calibri"/>
              <b val="1"/>
              <sz val="10"/>
            </rPr>
            <t>Process Improvement &amp; Quality Mindset:</t>
          </r>
          <r>
            <rPr>
              <rFont val="Calibri"/>
              <sz val="10"/>
            </rPr>
            <t xml:space="preserve"> Redesigns team processes; reduces error rates measurably
 • </t>
          </r>
          <r>
            <rPr>
              <rFont val="Calibri"/>
              <b val="1"/>
              <sz val="10"/>
            </rPr>
            <t>Stakeholder &amp; Client Management:</t>
          </r>
          <r>
            <rPr>
              <rFont val="Calibri"/>
              <sz val="10"/>
            </rPr>
            <t xml:space="preserve"> Owns key relationships; resolves escalations
 • </t>
          </r>
          <r>
            <rPr>
              <rFont val="Calibri"/>
              <b val="1"/>
              <sz val="10"/>
            </rPr>
            <t>Time, Priority &amp; Self-Management:</t>
          </r>
          <r>
            <rPr>
              <rFont val="Calibri"/>
              <sz val="10"/>
            </rPr>
            <t xml:space="preserve"> Plans team capacity and peak-season loads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 = must-have for the family. Scale: 1 Awareness · 2 Working · 3 Practitioner · 4 Advanced · 5 Expert.</t>
          </r>
        </is>
      </c>
      <c r="X32" s="122" t="inlineStr">
        <is>
          <r>
            <rPr>
              <rFont val="Calibri"/>
              <sz val="10"/>
            </rPr>
            <t xml:space="preserve">Draft — generated from the framework; hiring-manager review pending · HR Super Master, sheet T5.
1. [Cybersecurity &amp; Infrastructure · level 4] Tell me about recent work that shows this: "Designs secure infrastructure; leads audits and incident response". What exactly did you do, how, and what was the result? Assess with: Practical task.
2. [Cloud, DevOps &amp; CI/CD · level 4] Tell me about recent work that shows this: "Designs platform, monitoring and release strategy". What exactly did you do, how, and what was the result? Assess with: Practical task.
3. [Process Improvement &amp; Quality Mindset · level 4] Give an example that shows you can do this: "Redesigns team processes; reduces error rates measurably". Assess with: Work sample / case.
4. [Stakeholder &amp; Client Management · level 4] Give an example that shows you can do this: "Owns key relationships; resolves escalations". Assess with: Role play / behavioural interview.
5. [Time, Priority &amp; Self-Management · level 4] Give an example that shows you can do this: "Plans team capacity and peak-season loads".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32" s="123" t="inlineStr">
        <is>
          <t>Corporate · IT &amp; Infrastructure · Band B · People Manager</t>
        </is>
      </c>
      <c r="Z32" s="124" t="n">
        <v>4</v>
      </c>
      <c r="AA32" s="125">
        <f>IFERROR(INDEX(WM_C,MATCH($Y32,WM_KEY,0)),"")</f>
        <v>0.42</v>
      </c>
      <c r="AB32" s="126">
        <f>IF(Z32="","",Z32*AA32)</f>
        <v>1.68</v>
      </c>
      <c r="AC32" s="124" t="n">
        <v>4.5</v>
      </c>
      <c r="AD32" s="125">
        <f>IFERROR(INDEX(WM_AU,MATCH($Y32,WM_KEY,0)),"")</f>
        <v>0.18</v>
      </c>
      <c r="AE32" s="126">
        <f>IF(AC32="","",AC32*AD32)</f>
        <v>0.81</v>
      </c>
      <c r="AF32" s="124" t="n">
        <v>5.5</v>
      </c>
      <c r="AG32" s="125">
        <f>IFERROR(INDEX(WM_AC,MATCH($Y32,WM_KEY,0)),"")</f>
        <v>0.06</v>
      </c>
      <c r="AH32" s="126">
        <f>IF(AF32="","",AF32*AG32)</f>
        <v>0.33</v>
      </c>
      <c r="AI32" s="124" t="n">
        <v>5.5</v>
      </c>
      <c r="AJ32" s="125">
        <f>IFERROR(INDEX(WM_L,MATCH($Y32,WM_KEY,0)),"")</f>
        <v>0.15</v>
      </c>
      <c r="AK32" s="126">
        <f>IF(AI32="","",AI32*AJ32)</f>
        <v>0.825</v>
      </c>
      <c r="AL32" s="124" t="n">
        <v>10</v>
      </c>
      <c r="AM32" s="125">
        <f>IFERROR(INDEX(WM_E,MATCH($Y32,WM_KEY,0)),"")</f>
        <v>0.1</v>
      </c>
      <c r="AN32" s="126">
        <f>IF(AL32="","",AL32*AM32)</f>
        <v>1</v>
      </c>
      <c r="AO32" s="127" t="n">
        <v>5.5</v>
      </c>
      <c r="AP32" s="125">
        <f>IFERROR(INDEX(WM_BI,MATCH($Y32,WM_KEY,0)),"")</f>
        <v>0.09</v>
      </c>
      <c r="AQ32" s="126">
        <f>IF(AO32="","",AO32*AP32)</f>
        <v>0.495</v>
      </c>
      <c r="AR32" s="126">
        <f>IF(COUNT(AB32,AE32,AH32,AK32,AN32,AQ32)&lt;6,"",SUM(AB32,AE32,AH32,AK32,AN32,AQ32))</f>
        <v>5.14</v>
      </c>
      <c r="AS32" s="128" t="str">
        <f>IF(AR32="","",INDEX({"A1","A2","A3","B1","B2","B3","C1","C2","D1","D2","E1","E2"},MAX(1,MIN(12,ROUND(AR32,0)))))</f>
        <v>B2</v>
      </c>
      <c r="AT32" s="129"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2" s="130" t="inlineStr">
        <is>
          <r>
            <rPr>
              <rFont val="Calibri"/>
              <b val="1"/>
              <sz val="10"/>
            </rPr>
            <t>At build:</t>
          </r>
          <r>
            <rPr>
              <rFont val="Calibri"/>
              <sz val="10"/>
            </rPr>
            <t xml:space="preserve"> Complexity 1.68 + Autonomy 0.81 + Accountability 0.33 + Leadership 0.82 + Experience 1.00 + Business impact 0.49
= 5.14 points → nearest level 5 = B2
</t>
          </r>
          <r>
            <rPr>
              <rFont val="Calibri"/>
              <b val="1"/>
              <sz val="10"/>
            </rPr>
            <t>Final level:</t>
          </r>
          <r>
            <rPr>
              <rFont val="Calibri"/>
              <sz val="10"/>
            </rPr>
            <t xml:space="preserve"> B2 · same as the score</t>
          </r>
        </is>
      </c>
      <c r="AV32" s="130" t="inlineStr">
        <is>
          <r>
            <rPr>
              <rFont val="Calibri"/>
              <b val="1"/>
              <sz val="10"/>
            </rPr>
            <t>No rule applied:</t>
          </r>
          <r>
            <rPr>
              <rFont val="Calibri"/>
              <sz val="10"/>
            </rPr>
            <t xml:space="preserve"> the score decides.</t>
          </r>
        </is>
      </c>
      <c r="AW32" s="131"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Covers infrastructure, network, security, cloud, Exchange, ISO audits, vendors and project implementation; little detail → matches the start
</t>
          </r>
          <r>
            <rPr>
              <rFont val="Calibri"/>
              <b val="1"/>
              <sz val="10"/>
            </rPr>
            <t>Market:</t>
          </r>
          <r>
            <rPr>
              <rFont val="Calibri"/>
              <sz val="10"/>
            </rPr>
            <t xml:space="preserve"> B1 = Domain specialist work</t>
          </r>
        </is>
      </c>
      <c r="AX32" s="132" t="inlineStr">
        <is>
          <r>
            <rPr>
              <rFont val="Calibri"/>
              <sz val="10"/>
            </rPr>
            <t xml:space="preserve">Rated 4.5 of 12 · between B1 and B2
</t>
          </r>
          <r>
            <rPr>
              <rFont val="Calibri"/>
              <b val="1"/>
              <sz val="10"/>
            </rPr>
            <t>Start:</t>
          </r>
          <r>
            <rPr>
              <rFont val="Calibri"/>
              <sz val="10"/>
            </rPr>
            <t xml:space="preserve"> 5.0 · lead / specialist title; reporting lines show a bigger role: 7 direct reports, 13 people below, 1 of them leads a team
</t>
          </r>
          <r>
            <rPr>
              <rFont val="Calibri"/>
              <b val="1"/>
              <sz val="10"/>
            </rPr>
            <t>Evidence reads like B1:</t>
          </r>
          <r>
            <rPr>
              <rFont val="Calibri"/>
              <sz val="10"/>
            </rPr>
            <t xml:space="preserve"> Says decides independently only 'sometimes'; handles escalations, vendors and projects for the team → moved down 0.5
</t>
          </r>
          <r>
            <rPr>
              <rFont val="Calibri"/>
              <b val="1"/>
              <sz val="10"/>
            </rPr>
            <t>Market:</t>
          </r>
          <r>
            <rPr>
              <rFont val="Calibri"/>
              <sz val="10"/>
            </rPr>
            <t xml:space="preserve"> B1 = Technical / QC / client calls for the domain · B2 = Allocates people and sets team priorities</t>
          </r>
        </is>
      </c>
      <c r="AY32" s="132" t="inlineStr">
        <is>
          <r>
            <rPr>
              <rFont val="Calibri"/>
              <sz val="10"/>
            </rPr>
            <t xml:space="preserve">Rated 5.5 of 12 · between B2 and B3
</t>
          </r>
          <r>
            <rPr>
              <rFont val="Calibri"/>
              <b val="1"/>
              <sz val="10"/>
            </rPr>
            <t>Start:</t>
          </r>
          <r>
            <rPr>
              <rFont val="Calibri"/>
              <sz val="10"/>
            </rPr>
            <t xml:space="preserve"> 6.0 · lead / specialist title; 7 direct reports, 13 people below, 1 of them leads a team
</t>
          </r>
          <r>
            <rPr>
              <rFont val="Calibri"/>
              <b val="1"/>
              <sz val="10"/>
            </rPr>
            <t>Evidence reads like B2:</t>
          </r>
          <r>
            <rPr>
              <rFont val="Calibri"/>
              <sz val="10"/>
            </rPr>
            <t xml:space="preserve"> Infra uptime target of 99.99%, compliance and ISO audits, projects; team of seven → moved down 0.5
</t>
          </r>
          <r>
            <rPr>
              <rFont val="Calibri"/>
              <b val="1"/>
              <sz val="10"/>
            </rPr>
            <t>Market:</t>
          </r>
          <r>
            <rPr>
              <rFont val="Calibri"/>
              <sz val="10"/>
            </rPr>
            <t xml:space="preserve"> B2 = One team or a client portfolio · B3 = Several teams or a practice</t>
          </r>
        </is>
      </c>
      <c r="AZ32" s="132" t="inlineStr">
        <is>
          <r>
            <rPr>
              <rFont val="Calibri"/>
              <sz val="10"/>
            </rPr>
            <t xml:space="preserve">Rated 5.5 of 12 · between B2 and B3
</t>
          </r>
          <r>
            <rPr>
              <rFont val="Calibri"/>
              <b val="1"/>
              <sz val="10"/>
            </rPr>
            <t>Start:</t>
          </r>
          <r>
            <rPr>
              <rFont val="Calibri"/>
              <sz val="10"/>
            </rPr>
            <t xml:space="preserve"> 6.0
</t>
          </r>
          <r>
            <rPr>
              <rFont val="Calibri"/>
              <b val="1"/>
              <sz val="10"/>
            </rPr>
            <t>Evidence reads like B2:</t>
          </r>
          <r>
            <rPr>
              <rFont val="Calibri"/>
              <sz val="10"/>
            </rPr>
            <t xml:space="preserve"> Team management and training listed; 7 direct reports → moved down 0.5
</t>
          </r>
          <r>
            <rPr>
              <rFont val="Calibri"/>
              <b val="1"/>
              <sz val="10"/>
            </rPr>
            <t>Team:</t>
          </r>
          <r>
            <rPr>
              <rFont val="Calibri"/>
              <sz val="10"/>
            </rPr>
            <t xml:space="preserve"> 7 direct reports · People Manager
</t>
          </r>
          <r>
            <rPr>
              <rFont val="Calibri"/>
              <b val="1"/>
              <sz val="10"/>
            </rPr>
            <t>Market:</t>
          </r>
          <r>
            <rPr>
              <rFont val="Calibri"/>
              <sz val="10"/>
            </rPr>
            <t xml:space="preserve"> B2 = IC: guides others in the domain · People: manages a team of 6+ · B3 = IC: leads a practice · People: team leads / managers report in</t>
          </r>
        </is>
      </c>
      <c r="BA32" s="132" t="inlineStr">
        <is>
          <r>
            <rPr>
              <rFont val="Calibri"/>
              <sz val="10"/>
            </rPr>
            <t xml:space="preserve">Rated 10 of 12
</t>
          </r>
          <r>
            <rPr>
              <rFont val="Calibri"/>
              <b val="1"/>
              <sz val="10"/>
            </rPr>
            <t>Experience:</t>
          </r>
          <r>
            <rPr>
              <rFont val="Calibri"/>
              <sz val="10"/>
            </rPr>
            <t xml:space="preserve"> 20.6 yrs total · 17.0 before IRIS + 3.6 at IRIS = 9.9 on the experience scale
</t>
          </r>
          <r>
            <rPr>
              <rFont val="Calibri"/>
              <b val="1"/>
              <sz val="10"/>
            </rPr>
            <t>Qualification:</t>
          </r>
          <r>
            <rPr>
              <rFont val="Calibri"/>
              <sz val="10"/>
            </rPr>
            <t xml:space="preserve"> BA · graduate → no change
</t>
          </r>
          <r>
            <rPr>
              <rFont val="Calibri"/>
              <b val="1"/>
              <sz val="10"/>
            </rPr>
            <t>Market:</t>
          </r>
          <r>
            <rPr>
              <rFont val="Calibri"/>
              <sz val="10"/>
            </rPr>
            <t xml:space="preserve"> B2 roles typically have 6–10 yrs · IRIS guide 6–9</t>
          </r>
        </is>
      </c>
      <c r="BB32" s="132" t="inlineStr">
        <is>
          <r>
            <rPr>
              <rFont val="Calibri"/>
              <sz val="10"/>
            </rPr>
            <t xml:space="preserve">Rated 5.5 of 12 — a starting estimate.
</t>
          </r>
          <r>
            <rPr>
              <rFont val="Calibri"/>
              <b val="1"/>
              <sz val="10"/>
            </rPr>
            <t>Start:</t>
          </r>
          <r>
            <rPr>
              <rFont val="Calibri"/>
              <sz val="10"/>
            </rPr>
            <t xml:space="preserve"> 5.5,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32" s="142" t="inlineStr">
        <is>
          <t>• Confirm the reporting line — Manager</t>
        </is>
      </c>
      <c r="BD32" s="134" t="inlineStr">
        <is>
          <t>✓ HRIS: 20.6 yrs, BA, 7 direct reports
✓ Survey: 20 of 20 questions answered
✗ KRAs: none on file
✓ Manager mapping: rating, 9-box
✗ Job description: not on file</t>
        </is>
      </c>
      <c r="BE32" s="134"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Atlassian company-wide P-levels – P50 Senior · IRIS Vs Competitor Benchmark — infrastructure ladder: Infrastructure Lead
</t>
          </r>
          <r>
            <rPr>
              <rFont val="Calibri"/>
              <b val="1"/>
              <sz val="10"/>
            </rPr>
            <t>Typical experience:</t>
          </r>
          <r>
            <rPr>
              <rFont val="Calibri"/>
              <sz val="10"/>
            </rPr>
            <t xml:space="preserve"> 6–10 yrs · IRIS guide 6–9
</t>
          </r>
          <r>
            <rPr>
              <rFont val="Calibri"/>
              <b val="1"/>
              <sz val="10"/>
            </rPr>
            <t>Standard:</t>
          </r>
          <r>
            <rPr>
              <rFont val="Calibri"/>
              <sz val="10"/>
            </rPr>
            <t xml:space="preserve"> ITIL 4; ISO/IEC 27001:2022</t>
          </r>
        </is>
      </c>
      <c r="BF32" s="134" t="inlineStr">
        <is>
          <t>Medium</t>
        </is>
      </c>
      <c r="BG32" s="134" t="inlineStr">
        <is>
          <t>• Reporting lines show a much bigger role than the designation suggests — confirm the mandate; the designation may need to change</t>
        </is>
      </c>
      <c r="BH32" s="134" t="inlineStr"/>
      <c r="BI32" s="135" t="n"/>
      <c r="BJ32" s="136" t="n"/>
      <c r="BK32" s="136" t="n"/>
      <c r="BL32" s="136" t="n"/>
      <c r="BM32" s="136" t="n"/>
      <c r="BN32" s="137" t="n"/>
      <c r="BO32" s="120" t="n"/>
      <c r="BP32" s="120" t="n"/>
      <c r="BQ32" s="120" t="n"/>
      <c r="BR32" s="120" t="n"/>
      <c r="BS32" s="120" t="n"/>
      <c r="BT32" s="120" t="n"/>
      <c r="BU32" s="120" t="n"/>
      <c r="BV32" s="120" t="n">
        <v>5.5</v>
      </c>
    </row>
    <row r="33" ht="340" customHeight="1">
      <c r="A33" s="109" t="inlineStr">
        <is>
          <t>IRIS0265</t>
        </is>
      </c>
      <c r="B33" s="110" t="inlineStr">
        <is>
          <t>Rajit Kumar Sahu</t>
        </is>
      </c>
      <c r="C33" s="111" t="inlineStr">
        <is>
          <t>IT &amp; Infrastructure</t>
        </is>
      </c>
      <c r="D33" s="111" t="inlineStr">
        <is>
          <t>Mahesh Tilave</t>
        </is>
      </c>
      <c r="E33" s="112" t="n">
        <v>19</v>
      </c>
      <c r="F33" s="112" t="n">
        <v>17.6</v>
      </c>
      <c r="G33" s="111" t="inlineStr">
        <is>
          <t>BA</t>
        </is>
      </c>
      <c r="H33" s="138" t="inlineStr">
        <is>
          <t>System Administrator</t>
        </is>
      </c>
      <c r="I33" s="115" t="inlineStr">
        <is>
          <t>Infrastructure Specialist</t>
        </is>
      </c>
      <c r="J33" s="114" t="inlineStr">
        <is>
          <t>IT &amp; Infrastructure</t>
        </is>
      </c>
      <c r="K33" s="114" t="inlineStr">
        <is>
          <t>Infrastructure &amp; Cloud Operations</t>
        </is>
      </c>
      <c r="L33" s="115" t="inlineStr">
        <is>
          <t>Not in current mapping files</t>
        </is>
      </c>
      <c r="M33" s="116" t="inlineStr">
        <is>
          <t>B1</t>
        </is>
      </c>
      <c r="N33" s="21" t="inlineStr">
        <is>
          <t>Specialist</t>
        </is>
      </c>
      <c r="O33" s="23" t="inlineStr">
        <is>
          <t>B</t>
        </is>
      </c>
      <c r="P33" s="114" t="inlineStr">
        <is>
          <t>IC</t>
        </is>
      </c>
      <c r="Q33" s="117" t="inlineStr">
        <is>
          <t>● Newly mapped</t>
        </is>
      </c>
      <c r="R33" s="118" t="inlineStr">
        <is>
          <r>
            <rPr>
              <rFont val="Calibri"/>
              <b val="1"/>
              <sz val="10"/>
            </rPr>
            <t>WHAT THE ROLE DOES:</t>
          </r>
          <r>
            <rPr>
              <rFont val="Calibri"/>
              <sz val="10"/>
            </rPr>
            <t xml:space="preserve"> Runs servers, AD/DNS, network, cloud, hosting, backup and DR. At B1: a domain / module, or a small team.
</t>
          </r>
          <r>
            <rPr>
              <rFont val="Calibri"/>
              <b val="1"/>
              <sz val="10"/>
            </rPr>
            <t>Common themes in sub-family holders, all levels' answers:</t>
          </r>
          <r>
            <rPr>
              <rFont val="Calibri"/>
              <sz val="10"/>
            </rPr>
            <t xml:space="preserve"> support · infra · services · secure · availability · windows
</t>
          </r>
          <r>
            <rPr>
              <rFont val="Calibri"/>
              <b val="1"/>
              <sz val="10"/>
            </rPr>
            <t>KEY RESPONSIBILITIES:</t>
          </r>
          <r>
            <rPr>
              <rFont val="Calibri"/>
              <sz val="10"/>
            </rPr>
            <t xml:space="preserve"> Runs servers, AD/DNS, network, cloud, hosting, backup and DR; Domain specialist work; A domain or a small team
</t>
          </r>
          <r>
            <rPr>
              <rFont val="Calibri"/>
              <b val="1"/>
              <sz val="10"/>
            </rPr>
            <t>Common themes in sub-family holders, all levels' answers:</t>
          </r>
          <r>
            <rPr>
              <rFont val="Calibri"/>
              <sz val="10"/>
            </rPr>
            <t xml:space="preserve"> management · server · cloud · administration · dns · incident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secure · system · infrastructure · server · support · availability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availability · security · accountable · am · performance · infrastructure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backup · tuning · incident · failed · performance · optimize
</t>
          </r>
          <r>
            <rPr>
              <rFont val="Calibri"/>
              <b val="1"/>
              <sz val="10"/>
            </rPr>
            <t>SKILLS &amp; KNOWLEDGE · role-holders:</t>
          </r>
          <r>
            <rPr>
              <rFont val="Calibri"/>
              <sz val="10"/>
            </rPr>
            <t xml:space="preserve"> Infra
</t>
          </r>
          <r>
            <rPr>
              <rFont val="Calibri"/>
              <b val="1"/>
              <sz val="10"/>
            </rPr>
            <t>TOOLS &amp; SYSTEMS:</t>
          </r>
          <r>
            <rPr>
              <rFont val="Calibri"/>
              <sz val="10"/>
            </rPr>
            <t xml:space="preserve"> AWS
COMPETENCIES REQUIRED — must-have ★: Cybersecurity &amp; Infrastructure · Cloud, DevOps &amp; CI/CD
</t>
          </r>
          <r>
            <rPr>
              <rFont val="Calibri"/>
              <b val="1"/>
              <sz val="10"/>
            </rPr>
            <t>OTHER FUNCTIONAL COMPETENCIES:</t>
          </r>
          <r>
            <rPr>
              <rFont val="Calibri"/>
              <sz val="10"/>
            </rPr>
            <t xml:space="preserve"> Process Improvement &amp; Quality Mindset · Stakeholder &amp; Client Management · Time, Priority &amp; Self-Management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Microsoft / CCNA / ISO 27001 / ITIL; AWS / Azure / Kubernetes certifications
</t>
          </r>
          <r>
            <rPr>
              <rFont val="Calibri"/>
              <b val="1"/>
              <sz val="10"/>
            </rPr>
            <t>SOURCE:</t>
          </r>
          <r>
            <rPr>
              <rFont val="Calibri"/>
              <sz val="10"/>
            </rPr>
            <t xml:space="preserve"> Framework + sub-family themes · 3+ answered — 2 holders, 2 answered the survey; sub-family 9 answered; catalogue RC-109</t>
          </r>
        </is>
      </c>
      <c r="S33"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business · data · loss · downtime.
Manager talent mapping — Latest rating: Not rated · manager · 9-Box Grid placement: Not placed · manager.</t>
          </r>
        </is>
      </c>
      <c r="T33" s="120" t="n"/>
      <c r="U33" s="121" t="inlineStr">
        <is>
          <r>
            <rPr>
              <rFont val="Calibri"/>
              <sz val="10"/>
            </rPr>
            <t xml:space="preserve">Infrastructure Specialist in IT &amp; Infrastructure · Corporate, B1 — IC.
</t>
          </r>
          <r>
            <rPr>
              <rFont val="Calibri"/>
              <b val="1"/>
              <sz val="10"/>
            </rPr>
            <t>The work:</t>
          </r>
          <r>
            <rPr>
              <rFont val="Calibri"/>
              <sz val="10"/>
            </rPr>
            <t xml:space="preserve"> Runs servers, AD/DNS, network, cloud, hosting, backup and DR.
At this level the role owns a domain / module, or a small team.
</t>
          </r>
          <r>
            <rPr>
              <rFont val="Calibri"/>
              <b val="1"/>
              <sz val="10"/>
            </rPr>
            <t>Key responsibilities:</t>
          </r>
          <r>
            <rPr>
              <rFont val="Calibri"/>
              <sz val="10"/>
            </rPr>
            <t xml:space="preserve"> Runs servers, AD/DNS, network, cloud, hosting, backup and DR; Domain specialist work; A domain or a small team.
</t>
          </r>
          <r>
            <rPr>
              <rFont val="Calibri"/>
              <b val="1"/>
              <sz val="10"/>
            </rPr>
            <t>Holders describe it with:</t>
          </r>
          <r>
            <rPr>
              <rFont val="Calibri"/>
              <sz val="10"/>
            </rPr>
            <t xml:space="preserve"> management · server · cloud · administration · dns · incident.</t>
          </r>
        </is>
      </c>
      <c r="V33" s="122" t="inlineStr">
        <is>
          <r>
            <rPr>
              <rFont val="Calibri"/>
              <b val="1"/>
              <sz val="10"/>
            </rPr>
            <t>Hire as:</t>
          </r>
          <r>
            <rPr>
              <rFont val="Calibri"/>
              <sz val="10"/>
            </rPr>
            <t xml:space="preserve"> Senior System Administrator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B.Sc / diploma + certifications
</t>
          </r>
          <r>
            <rPr>
              <rFont val="Calibri"/>
              <b val="1"/>
              <sz val="10"/>
            </rPr>
            <t>Equivalent titles at peers:</t>
          </r>
          <r>
            <rPr>
              <rFont val="Calibri"/>
              <sz val="10"/>
            </rPr>
            <t xml:space="preserve"> Atlassian company-wide P-levels – P40 · IRIS Vs Competitor Benchmark — infrastructure ladder – Senior SysAdmin
</t>
          </r>
          <r>
            <rPr>
              <rFont val="Calibri"/>
              <b val="1"/>
              <sz val="10"/>
            </rPr>
            <t>Credentials:</t>
          </r>
          <r>
            <rPr>
              <rFont val="Calibri"/>
              <sz val="10"/>
            </rPr>
            <t xml:space="preserve"> Microsoft / CCNA / ISO 27001 / ITIL; AWS / Azure / Kubernetes certifications
</t>
          </r>
          <r>
            <rPr>
              <rFont val="Calibri"/>
              <b val="1"/>
              <sz val="10"/>
            </rPr>
            <t>Must already know:</t>
          </r>
          <r>
            <rPr>
              <rFont val="Calibri"/>
              <sz val="10"/>
            </rPr>
            <t xml:space="preserve"> ISO 27001 / InfoSec controls</t>
          </r>
        </is>
      </c>
      <c r="W33" s="122" t="inlineStr">
        <is>
          <r>
            <rPr>
              <rFont val="Calibri"/>
              <sz val="10"/>
            </rPr>
            <t xml:space="preserve">FUNCTIONAL — skill level 3 of 5 · Practitioner
 ★ Cybersecurity &amp; Infrastructure: Administers secure servers, networks and access
 ★ Cloud, DevOps &amp; CI/CD: Builds and runs CI/CD pipelines and environments
 •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Infra
</t>
          </r>
          <r>
            <rPr>
              <rFont val="Calibri"/>
              <b val="1"/>
              <sz val="10"/>
            </rPr>
            <t>TOOLS:</t>
          </r>
          <r>
            <rPr>
              <rFont val="Calibri"/>
              <sz val="10"/>
            </rPr>
            <t xml:space="preserve"> AWS
★ = must-have for the family. Scale: 1 Awareness · 2 Working · 3 Practitioner · 4 Advanced · 5 Expert.</t>
          </r>
        </is>
      </c>
      <c r="X33" s="122" t="inlineStr">
        <is>
          <r>
            <rPr>
              <rFont val="Calibri"/>
              <sz val="10"/>
            </rPr>
            <t xml:space="preserve">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33" s="123" t="inlineStr">
        <is>
          <t>Corporate · IT &amp; Infrastructure · Band B · Expert / POD Lead</t>
        </is>
      </c>
      <c r="Z33" s="124" t="n">
        <v>3</v>
      </c>
      <c r="AA33" s="125">
        <f>IFERROR(INDEX(WM_C,MATCH($Y33,WM_KEY,0)),"")</f>
        <v>0.56</v>
      </c>
      <c r="AB33" s="126">
        <f>IF(Z33="","",Z33*AA33)</f>
        <v>1.68</v>
      </c>
      <c r="AC33" s="124" t="n">
        <v>3</v>
      </c>
      <c r="AD33" s="125">
        <f>IFERROR(INDEX(WM_AU,MATCH($Y33,WM_KEY,0)),"")</f>
        <v>0.17</v>
      </c>
      <c r="AE33" s="126">
        <f>IF(AC33="","",AC33*AD33)</f>
        <v>0.51</v>
      </c>
      <c r="AF33" s="124" t="n">
        <v>3</v>
      </c>
      <c r="AG33" s="125">
        <f>IFERROR(INDEX(WM_AC,MATCH($Y33,WM_KEY,0)),"")</f>
        <v>0.05</v>
      </c>
      <c r="AH33" s="126">
        <f>IF(AF33="","",AF33*AG33)</f>
        <v>0.15</v>
      </c>
      <c r="AI33" s="124" t="n">
        <v>1.5</v>
      </c>
      <c r="AJ33" s="125">
        <f>IFERROR(INDEX(WM_L,MATCH($Y33,WM_KEY,0)),"")</f>
        <v>0.05</v>
      </c>
      <c r="AK33" s="126">
        <f>IF(AI33="","",AI33*AJ33)</f>
        <v>0.075</v>
      </c>
      <c r="AL33" s="124" t="n">
        <v>9.5</v>
      </c>
      <c r="AM33" s="125">
        <f>IFERROR(INDEX(WM_E,MATCH($Y33,WM_KEY,0)),"")</f>
        <v>0.1</v>
      </c>
      <c r="AN33" s="126">
        <f>IF(AL33="","",AL33*AM33)</f>
        <v>0.95</v>
      </c>
      <c r="AO33" s="127" t="n">
        <v>3</v>
      </c>
      <c r="AP33" s="125">
        <f>IFERROR(INDEX(WM_BI,MATCH($Y33,WM_KEY,0)),"")</f>
        <v>0.07</v>
      </c>
      <c r="AQ33" s="126">
        <f>IF(AO33="","",AO33*AP33)</f>
        <v>0.21</v>
      </c>
      <c r="AR33" s="126">
        <f>IF(COUNT(AB33,AE33,AH33,AK33,AN33,AQ33)&lt;6,"",SUM(AB33,AE33,AH33,AK33,AN33,AQ33))</f>
        <v>3.575</v>
      </c>
      <c r="AS33" s="128" t="str">
        <f>IF(AR33="","",INDEX({"A1","A2","A3","B1","B2","B3","C1","C2","D1","D2","E1","E2"},MAX(1,MIN(12,ROUND(AR33,0)))))</f>
        <v>B1</v>
      </c>
      <c r="AT33"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3" s="130" t="inlineStr">
        <is>
          <r>
            <rPr>
              <rFont val="Calibri"/>
              <b val="1"/>
              <sz val="10"/>
            </rPr>
            <t>At build:</t>
          </r>
          <r>
            <rPr>
              <rFont val="Calibri"/>
              <sz val="10"/>
            </rPr>
            <t xml:space="preserve"> Complexity 1.68 + Autonomy 0.51 + Accountability 0.15 + Leadership 0.08 + Experience 0.95 + Business impact 0.21
= 3.58 points → nearest level 4 = B1
</t>
          </r>
          <r>
            <rPr>
              <rFont val="Calibri"/>
              <b val="1"/>
              <sz val="10"/>
            </rPr>
            <t>Final level:</t>
          </r>
          <r>
            <rPr>
              <rFont val="Calibri"/>
              <sz val="10"/>
            </rPr>
            <t xml:space="preserve"> B1 · same as the score</t>
          </r>
        </is>
      </c>
      <c r="AV33" s="130" t="inlineStr">
        <is>
          <r>
            <rPr>
              <rFont val="Calibri"/>
              <b val="1"/>
              <sz val="10"/>
            </rPr>
            <t>No rule applied:</t>
          </r>
          <r>
            <rPr>
              <rFont val="Calibri"/>
              <sz val="10"/>
            </rPr>
            <t xml:space="preserve"> the score decides.</t>
          </r>
        </is>
      </c>
      <c r="AW33"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Administers Linux servers, PostgreSQL and Oracle databases and AWS, including backup, tuning, security → matches the start
</t>
          </r>
          <r>
            <rPr>
              <rFont val="Calibri"/>
              <b val="1"/>
              <sz val="10"/>
            </rPr>
            <t>Market:</t>
          </r>
          <r>
            <rPr>
              <rFont val="Calibri"/>
              <sz val="10"/>
            </rPr>
            <t xml:space="preserve"> A3 = Varied and non-standard work; handles exceptions</t>
          </r>
        </is>
      </c>
      <c r="AX33"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Independently handles routine changes, incident resolution, performance tuning, backup recovery and security remediation → matches the start
</t>
          </r>
          <r>
            <rPr>
              <rFont val="Calibri"/>
              <b val="1"/>
              <sz val="10"/>
            </rPr>
            <t>Market:</t>
          </r>
          <r>
            <rPr>
              <rFont val="Calibri"/>
              <sz val="10"/>
            </rPr>
            <t xml:space="preserve"> A3 = Technical / QC / client calls on own work</t>
          </r>
        </is>
      </c>
      <c r="AY33"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Availability, backup, disaster recovery and security of Linux, database and AWS systems → matches the start
</t>
          </r>
          <r>
            <rPr>
              <rFont val="Calibri"/>
              <b val="1"/>
              <sz val="10"/>
            </rPr>
            <t>Market:</t>
          </r>
          <r>
            <rPr>
              <rFont val="Calibri"/>
              <sz val="10"/>
            </rPr>
            <t xml:space="preserve"> A3 = A module / process, or work with client or regulatory consequences</t>
          </r>
        </is>
      </c>
      <c r="AZ33" s="132" t="inlineStr">
        <is>
          <r>
            <rPr>
              <rFont val="Calibri"/>
              <sz val="10"/>
            </rPr>
            <t xml:space="preserve">Rated 1.5 of 12 · between A1 and A2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33" s="132" t="inlineStr">
        <is>
          <r>
            <rPr>
              <rFont val="Calibri"/>
              <sz val="10"/>
            </rPr>
            <t xml:space="preserve">Rated 9.5 of 12 · between D1 and D2
</t>
          </r>
          <r>
            <rPr>
              <rFont val="Calibri"/>
              <b val="1"/>
              <sz val="10"/>
            </rPr>
            <t>Experience:</t>
          </r>
          <r>
            <rPr>
              <rFont val="Calibri"/>
              <sz val="10"/>
            </rPr>
            <t xml:space="preserve"> 19.0 yrs total · 1.4 before IRIS + 17.6 at IRIS = 9.4 on the experience scale
</t>
          </r>
          <r>
            <rPr>
              <rFont val="Calibri"/>
              <b val="1"/>
              <sz val="10"/>
            </rPr>
            <t>Qualification:</t>
          </r>
          <r>
            <rPr>
              <rFont val="Calibri"/>
              <sz val="10"/>
            </rPr>
            <t xml:space="preserve"> BA · graduate → no change
</t>
          </r>
          <r>
            <rPr>
              <rFont val="Calibri"/>
              <b val="1"/>
              <sz val="10"/>
            </rPr>
            <t>Market:</t>
          </r>
          <r>
            <rPr>
              <rFont val="Calibri"/>
              <sz val="10"/>
            </rPr>
            <t xml:space="preserve"> B1 roles typically have 4–8 yrs · IRIS guide 4–7</t>
          </r>
        </is>
      </c>
      <c r="BB33"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33" s="133" t="inlineStr"/>
      <c r="BD33" s="134" t="inlineStr">
        <is>
          <t>✓ HRIS: 19.0 yrs, BA, 0 direct reports
✓ Survey: 20 of 20 questions answered
✗ KRAs: none on file
✓ Manager mapping: rating, 9-box
✗ Job description: not on file</t>
        </is>
      </c>
      <c r="BE33"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System Administrator
</t>
          </r>
          <r>
            <rPr>
              <rFont val="Calibri"/>
              <b val="1"/>
              <sz val="10"/>
            </rPr>
            <t>At peers:</t>
          </r>
          <r>
            <rPr>
              <rFont val="Calibri"/>
              <sz val="10"/>
            </rPr>
            <t xml:space="preserve"> Atlassian company-wide P-levels – P40 · IRIS Vs Competitor Benchmark — infrastructure ladder: Senior SysAdmin
</t>
          </r>
          <r>
            <rPr>
              <rFont val="Calibri"/>
              <b val="1"/>
              <sz val="10"/>
            </rPr>
            <t>Typical experience:</t>
          </r>
          <r>
            <rPr>
              <rFont val="Calibri"/>
              <sz val="10"/>
            </rPr>
            <t xml:space="preserve"> 4–8 yrs · IRIS guide 4–7
</t>
          </r>
          <r>
            <rPr>
              <rFont val="Calibri"/>
              <b val="1"/>
              <sz val="10"/>
            </rPr>
            <t>Standard:</t>
          </r>
          <r>
            <rPr>
              <rFont val="Calibri"/>
              <sz val="10"/>
            </rPr>
            <t xml:space="preserve"> ITIL 4; ISO/IEC 27001:2022</t>
          </r>
        </is>
      </c>
      <c r="BF33" s="134" t="inlineStr">
        <is>
          <t>High</t>
        </is>
      </c>
      <c r="BG33" s="134" t="inlineStr"/>
      <c r="BH33" s="134" t="inlineStr"/>
      <c r="BI33" s="135" t="n"/>
      <c r="BJ33" s="136" t="n"/>
      <c r="BK33" s="136" t="n"/>
      <c r="BL33" s="136" t="n"/>
      <c r="BM33" s="136" t="n"/>
      <c r="BN33" s="137" t="n"/>
      <c r="BO33" s="120" t="n"/>
      <c r="BP33" s="120" t="n"/>
      <c r="BQ33" s="120" t="n"/>
      <c r="BR33" s="120" t="n"/>
      <c r="BS33" s="120" t="n"/>
      <c r="BT33" s="120" t="n"/>
      <c r="BU33" s="120" t="n"/>
      <c r="BV33" s="120" t="n">
        <v>3</v>
      </c>
    </row>
    <row r="34" ht="340" customHeight="1">
      <c r="A34" s="109" t="inlineStr">
        <is>
          <t>IRIS0909</t>
        </is>
      </c>
      <c r="B34" s="110" t="inlineStr">
        <is>
          <t>Ramesh Kone</t>
        </is>
      </c>
      <c r="C34" s="111" t="inlineStr">
        <is>
          <t>IT &amp; Infrastructure</t>
        </is>
      </c>
      <c r="D34" s="111" t="inlineStr">
        <is>
          <t>Mahesh Tilave</t>
        </is>
      </c>
      <c r="E34" s="112" t="n">
        <v>19.1</v>
      </c>
      <c r="F34" s="112" t="n">
        <v>15</v>
      </c>
      <c r="G34" s="111" t="inlineStr">
        <is>
          <t>B.Com</t>
        </is>
      </c>
      <c r="H34" s="138" t="inlineStr">
        <is>
          <t>System Administrator</t>
        </is>
      </c>
      <c r="I34" s="115" t="inlineStr">
        <is>
          <t>Infrastructure Specialist – POD Lead</t>
        </is>
      </c>
      <c r="J34" s="114" t="inlineStr">
        <is>
          <t>IT &amp; Infrastructure</t>
        </is>
      </c>
      <c r="K34" s="114" t="inlineStr">
        <is>
          <t>Infrastructure &amp; Cloud Operations</t>
        </is>
      </c>
      <c r="L34" s="115" t="inlineStr">
        <is>
          <t>Not in current mapping files</t>
        </is>
      </c>
      <c r="M34" s="116" t="inlineStr">
        <is>
          <t>B1</t>
        </is>
      </c>
      <c r="N34" s="21" t="inlineStr">
        <is>
          <t>Specialist · POD Lead</t>
        </is>
      </c>
      <c r="O34" s="23" t="inlineStr">
        <is>
          <t>B</t>
        </is>
      </c>
      <c r="P34" s="114" t="inlineStr">
        <is>
          <t>POD Lead</t>
        </is>
      </c>
      <c r="Q34" s="117" t="inlineStr">
        <is>
          <t>● Newly mapped</t>
        </is>
      </c>
      <c r="R34" s="118" t="inlineStr">
        <is>
          <r>
            <rPr>
              <rFont val="Calibri"/>
              <b val="1"/>
              <sz val="10"/>
            </rPr>
            <t>WHAT THE ROLE DOES:</t>
          </r>
          <r>
            <rPr>
              <rFont val="Calibri"/>
              <sz val="10"/>
            </rPr>
            <t xml:space="preserve"> Runs servers, AD/DNS, network, cloud, hosting, backup and DR. At B1: a domain / module, or a small team.
</t>
          </r>
          <r>
            <rPr>
              <rFont val="Calibri"/>
              <b val="1"/>
              <sz val="10"/>
            </rPr>
            <t>Common themes in sub-family holders, all levels' answers:</t>
          </r>
          <r>
            <rPr>
              <rFont val="Calibri"/>
              <sz val="10"/>
            </rPr>
            <t xml:space="preserve"> support · infra · services · secure · availability · windows
</t>
          </r>
          <r>
            <rPr>
              <rFont val="Calibri"/>
              <b val="1"/>
              <sz val="10"/>
            </rPr>
            <t>KEY RESPONSIBILITIES:</t>
          </r>
          <r>
            <rPr>
              <rFont val="Calibri"/>
              <sz val="10"/>
            </rPr>
            <t xml:space="preserve"> Runs servers, AD/DNS, network, cloud, hosting, backup and DR; Domain specialist work; A domain or a small team
</t>
          </r>
          <r>
            <rPr>
              <rFont val="Calibri"/>
              <b val="1"/>
              <sz val="10"/>
            </rPr>
            <t>Common themes in sub-family holders, all levels' answers:</t>
          </r>
          <r>
            <rPr>
              <rFont val="Calibri"/>
              <sz val="10"/>
            </rPr>
            <t xml:space="preserve"> management · server · cloud · administration · dns · incident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secure · system · infrastructure · server · support · availability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availability · security · accountable · am · performance · infrastructure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backup · tuning · incident · failed · performance · optimize
</t>
          </r>
          <r>
            <rPr>
              <rFont val="Calibri"/>
              <b val="1"/>
              <sz val="10"/>
            </rPr>
            <t>SKILLS &amp; KNOWLEDGE · role-holders:</t>
          </r>
          <r>
            <rPr>
              <rFont val="Calibri"/>
              <sz val="10"/>
            </rPr>
            <t xml:space="preserve"> Infra
</t>
          </r>
          <r>
            <rPr>
              <rFont val="Calibri"/>
              <b val="1"/>
              <sz val="10"/>
            </rPr>
            <t>TOOLS &amp; SYSTEMS:</t>
          </r>
          <r>
            <rPr>
              <rFont val="Calibri"/>
              <sz val="10"/>
            </rPr>
            <t xml:space="preserve"> AWS
COMPETENCIES REQUIRED — must-have ★: Cybersecurity &amp; Infrastructure · Cloud, DevOps &amp; CI/CD
</t>
          </r>
          <r>
            <rPr>
              <rFont val="Calibri"/>
              <b val="1"/>
              <sz val="10"/>
            </rPr>
            <t>OTHER FUNCTIONAL COMPETENCIES:</t>
          </r>
          <r>
            <rPr>
              <rFont val="Calibri"/>
              <sz val="10"/>
            </rPr>
            <t xml:space="preserve"> Process Improvement &amp; Quality Mindset · Stakeholder &amp; Client Management · Time, Priority &amp; Self-Management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Microsoft / CCNA / ISO 27001 / ITIL; AWS / Azure / Kubernetes certifications
</t>
          </r>
          <r>
            <rPr>
              <rFont val="Calibri"/>
              <b val="1"/>
              <sz val="10"/>
            </rPr>
            <t>SOURCE:</t>
          </r>
          <r>
            <rPr>
              <rFont val="Calibri"/>
              <sz val="10"/>
            </rPr>
            <t xml:space="preserve"> Framework + sub-family themes · 3+ answered — 2 holders, 2 answered the survey; sub-family 9 answered; catalogue RC-109</t>
          </r>
        </is>
      </c>
      <c r="S34"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t>
          </r>
          <r>
            <rPr>
              <rFont val="Calibri"/>
              <b val="1"/>
              <sz val="10"/>
            </rPr>
            <t>If the work is missed · role-holders' themes:</t>
          </r>
          <r>
            <rPr>
              <rFont val="Calibri"/>
              <sz val="10"/>
            </rPr>
            <t xml:space="preserve"> business · data · loss · downtime.
Manager talent mapping — Latest rating: Not rated · manager · 9-Box Grid placement: Not placed · manager.</t>
          </r>
        </is>
      </c>
      <c r="T34" s="120" t="n"/>
      <c r="U34" s="121" t="inlineStr">
        <is>
          <r>
            <rPr>
              <rFont val="Calibri"/>
              <sz val="10"/>
            </rPr>
            <t xml:space="preserve">Infrastructure Specialist – POD Lead in IT &amp; Infrastructure · Corporate, B1 — POD Lead.
</t>
          </r>
          <r>
            <rPr>
              <rFont val="Calibri"/>
              <b val="1"/>
              <sz val="10"/>
            </rPr>
            <t>The work:</t>
          </r>
          <r>
            <rPr>
              <rFont val="Calibri"/>
              <sz val="10"/>
            </rPr>
            <t xml:space="preserve"> Runs servers, AD/DNS, network, cloud, hosting, backup and DR.
At this level the role owns a domain / module, or a small team.
</t>
          </r>
          <r>
            <rPr>
              <rFont val="Calibri"/>
              <b val="1"/>
              <sz val="10"/>
            </rPr>
            <t>Key responsibilities:</t>
          </r>
          <r>
            <rPr>
              <rFont val="Calibri"/>
              <sz val="10"/>
            </rPr>
            <t xml:space="preserve"> Runs servers, AD/DNS, network, cloud, hosting, backup and DR; Domain specialist work; A domain or a small team.
</t>
          </r>
          <r>
            <rPr>
              <rFont val="Calibri"/>
              <b val="1"/>
              <sz val="10"/>
            </rPr>
            <t>Holders describe it with:</t>
          </r>
          <r>
            <rPr>
              <rFont val="Calibri"/>
              <sz val="10"/>
            </rPr>
            <t xml:space="preserve"> management · server · cloud · administration · dns · incident.
Leads 1 direct report.</t>
          </r>
        </is>
      </c>
      <c r="V34" s="122" t="inlineStr">
        <is>
          <r>
            <rPr>
              <rFont val="Calibri"/>
              <b val="1"/>
              <sz val="10"/>
            </rPr>
            <t>Hire as:</t>
          </r>
          <r>
            <rPr>
              <rFont val="Calibri"/>
              <sz val="10"/>
            </rPr>
            <t xml:space="preserve"> Senior System Administrator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B.Sc / diploma + certifications
</t>
          </r>
          <r>
            <rPr>
              <rFont val="Calibri"/>
              <b val="1"/>
              <sz val="10"/>
            </rPr>
            <t>Equivalent titles at peers:</t>
          </r>
          <r>
            <rPr>
              <rFont val="Calibri"/>
              <sz val="10"/>
            </rPr>
            <t xml:space="preserve"> Atlassian company-wide P-levels – P40 · IRIS Vs Competitor Benchmark — infrastructure ladder – Senior SysAdmin
</t>
          </r>
          <r>
            <rPr>
              <rFont val="Calibri"/>
              <b val="1"/>
              <sz val="10"/>
            </rPr>
            <t>Credentials:</t>
          </r>
          <r>
            <rPr>
              <rFont val="Calibri"/>
              <sz val="10"/>
            </rPr>
            <t xml:space="preserve"> Microsoft / CCNA / ISO 27001 / ITIL; AWS / Azure / Kubernetes certifications
</t>
          </r>
          <r>
            <rPr>
              <rFont val="Calibri"/>
              <b val="1"/>
              <sz val="10"/>
            </rPr>
            <t>Must already know:</t>
          </r>
          <r>
            <rPr>
              <rFont val="Calibri"/>
              <sz val="10"/>
            </rPr>
            <t xml:space="preserve"> ISO 27001 / InfoSec controls</t>
          </r>
        </is>
      </c>
      <c r="W34" s="122" t="inlineStr">
        <is>
          <r>
            <rPr>
              <rFont val="Calibri"/>
              <sz val="10"/>
            </rPr>
            <t xml:space="preserve">FUNCTIONAL — skill level 3 of 5 · Practitioner
 ★ Cybersecurity &amp; Infrastructure: Administers secure servers, networks and access
 ★ Cloud, DevOps &amp; CI/CD: Builds and runs CI/CD pipelines and environments
 •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Infra
</t>
          </r>
          <r>
            <rPr>
              <rFont val="Calibri"/>
              <b val="1"/>
              <sz val="10"/>
            </rPr>
            <t>TOOLS:</t>
          </r>
          <r>
            <rPr>
              <rFont val="Calibri"/>
              <sz val="10"/>
            </rPr>
            <t xml:space="preserve"> AWS
★ = must-have for the family. Scale: 1 Awareness · 2 Working · 3 Practitioner · 4 Advanced · 5 Expert.</t>
          </r>
        </is>
      </c>
      <c r="X34" s="122" t="inlineStr">
        <is>
          <r>
            <rPr>
              <rFont val="Calibri"/>
              <sz val="10"/>
            </rPr>
            <t xml:space="preserve">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34" s="123" t="inlineStr">
        <is>
          <t>Corporate · IT &amp; Infrastructure · Band B · Expert / POD Lead</t>
        </is>
      </c>
      <c r="Z34" s="124" t="n">
        <v>3</v>
      </c>
      <c r="AA34" s="125">
        <f>IFERROR(INDEX(WM_C,MATCH($Y34,WM_KEY,0)),"")</f>
        <v>0.56</v>
      </c>
      <c r="AB34" s="126">
        <f>IF(Z34="","",Z34*AA34)</f>
        <v>1.68</v>
      </c>
      <c r="AC34" s="124" t="n">
        <v>3</v>
      </c>
      <c r="AD34" s="125">
        <f>IFERROR(INDEX(WM_AU,MATCH($Y34,WM_KEY,0)),"")</f>
        <v>0.17</v>
      </c>
      <c r="AE34" s="126">
        <f>IF(AC34="","",AC34*AD34)</f>
        <v>0.51</v>
      </c>
      <c r="AF34" s="124" t="n">
        <v>3</v>
      </c>
      <c r="AG34" s="125">
        <f>IFERROR(INDEX(WM_AC,MATCH($Y34,WM_KEY,0)),"")</f>
        <v>0.05</v>
      </c>
      <c r="AH34" s="126">
        <f>IF(AF34="","",AF34*AG34)</f>
        <v>0.15</v>
      </c>
      <c r="AI34" s="124" t="n">
        <v>3</v>
      </c>
      <c r="AJ34" s="125">
        <f>IFERROR(INDEX(WM_L,MATCH($Y34,WM_KEY,0)),"")</f>
        <v>0.05</v>
      </c>
      <c r="AK34" s="126">
        <f>IF(AI34="","",AI34*AJ34)</f>
        <v>0.15</v>
      </c>
      <c r="AL34" s="124" t="n">
        <v>9.5</v>
      </c>
      <c r="AM34" s="125">
        <f>IFERROR(INDEX(WM_E,MATCH($Y34,WM_KEY,0)),"")</f>
        <v>0.1</v>
      </c>
      <c r="AN34" s="126">
        <f>IF(AL34="","",AL34*AM34)</f>
        <v>0.95</v>
      </c>
      <c r="AO34" s="127" t="n">
        <v>3</v>
      </c>
      <c r="AP34" s="125">
        <f>IFERROR(INDEX(WM_BI,MATCH($Y34,WM_KEY,0)),"")</f>
        <v>0.07</v>
      </c>
      <c r="AQ34" s="126">
        <f>IF(AO34="","",AO34*AP34)</f>
        <v>0.21</v>
      </c>
      <c r="AR34" s="126">
        <f>IF(COUNT(AB34,AE34,AH34,AK34,AN34,AQ34)&lt;6,"",SUM(AB34,AE34,AH34,AK34,AN34,AQ34))</f>
        <v>3.65</v>
      </c>
      <c r="AS34" s="128" t="str">
        <f>IF(AR34="","",INDEX({"A1","A2","A3","B1","B2","B3","C1","C2","D1","D2","E1","E2"},MAX(1,MIN(12,ROUND(AR34,0)))))</f>
        <v>B1</v>
      </c>
      <c r="AT34"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4" s="130" t="inlineStr">
        <is>
          <r>
            <rPr>
              <rFont val="Calibri"/>
              <b val="1"/>
              <sz val="10"/>
            </rPr>
            <t>At build:</t>
          </r>
          <r>
            <rPr>
              <rFont val="Calibri"/>
              <sz val="10"/>
            </rPr>
            <t xml:space="preserve"> Complexity 1.68 + Autonomy 0.51 + Accountability 0.15 + Leadership 0.15 + Experience 0.95 + Business impact 0.21
= 3.65 points → nearest level 4 = B1
</t>
          </r>
          <r>
            <rPr>
              <rFont val="Calibri"/>
              <b val="1"/>
              <sz val="10"/>
            </rPr>
            <t>Final level:</t>
          </r>
          <r>
            <rPr>
              <rFont val="Calibri"/>
              <sz val="10"/>
            </rPr>
            <t xml:space="preserve"> B1 · same as the score</t>
          </r>
        </is>
      </c>
      <c r="AV34" s="130" t="inlineStr">
        <is>
          <r>
            <rPr>
              <rFont val="Calibri"/>
              <b val="1"/>
              <sz val="10"/>
            </rPr>
            <t>No rule applied:</t>
          </r>
          <r>
            <rPr>
              <rFont val="Calibri"/>
              <sz val="10"/>
            </rPr>
            <t xml:space="preserve"> the score decides.</t>
          </r>
        </is>
      </c>
      <c r="AW34"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Runs Sophos console, Windows patching, Exchange licences, asset inventory, procurement, vendor reports, IT budgeting → matches the start
</t>
          </r>
          <r>
            <rPr>
              <rFont val="Calibri"/>
              <b val="1"/>
              <sz val="10"/>
            </rPr>
            <t>Market:</t>
          </r>
          <r>
            <rPr>
              <rFont val="Calibri"/>
              <sz val="10"/>
            </rPr>
            <t xml:space="preserve"> A3 = Varied and non-standard work; handles exceptions</t>
          </r>
        </is>
      </c>
      <c r="AX34"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Quarantines detections, tunes exclusions, reassigns licences, sets report format and timing within policy → matches the start
</t>
          </r>
          <r>
            <rPr>
              <rFont val="Calibri"/>
              <b val="1"/>
              <sz val="10"/>
            </rPr>
            <t>Market:</t>
          </r>
          <r>
            <rPr>
              <rFont val="Calibri"/>
              <sz val="10"/>
            </rPr>
            <t xml:space="preserve"> A3 = Technical / QC / client calls on own work</t>
          </r>
        </is>
      </c>
      <c r="AY34" s="132" t="inlineStr">
        <is>
          <r>
            <rPr>
              <rFont val="Calibri"/>
              <sz val="10"/>
            </rPr>
            <t xml:space="preserve">Rated 3 of 12
</t>
          </r>
          <r>
            <rPr>
              <rFont val="Calibri"/>
              <b val="1"/>
              <sz val="10"/>
            </rPr>
            <t>Start:</t>
          </r>
          <r>
            <rPr>
              <rFont val="Calibri"/>
              <sz val="10"/>
            </rPr>
            <t xml:space="preserve"> 3.5 · senior practitioner title; 1 direct report
</t>
          </r>
          <r>
            <rPr>
              <rFont val="Calibri"/>
              <b val="1"/>
              <sz val="10"/>
            </rPr>
            <t>Evidence reads like A3:</t>
          </r>
          <r>
            <rPr>
              <rFont val="Calibri"/>
              <sz val="10"/>
            </rPr>
            <t xml:space="preserve"> Sophos alert handling, exit ID deactivation, licence renewals and asset register accuracy; audited → moved down 0.5
</t>
          </r>
          <r>
            <rPr>
              <rFont val="Calibri"/>
              <b val="1"/>
              <sz val="10"/>
            </rPr>
            <t>Market:</t>
          </r>
          <r>
            <rPr>
              <rFont val="Calibri"/>
              <sz val="10"/>
            </rPr>
            <t xml:space="preserve"> A3 = A module / process, or work with client or regulatory consequences</t>
          </r>
        </is>
      </c>
      <c r="AZ34" s="132" t="inlineStr">
        <is>
          <r>
            <rPr>
              <rFont val="Calibri"/>
              <sz val="10"/>
            </rPr>
            <t xml:space="preserve">Rated 3 of 12
</t>
          </r>
          <r>
            <rPr>
              <rFont val="Calibri"/>
              <b val="1"/>
              <sz val="10"/>
            </rPr>
            <t>Start:</t>
          </r>
          <r>
            <rPr>
              <rFont val="Calibri"/>
              <sz val="10"/>
            </rPr>
            <t xml:space="preserve"> 3.5
</t>
          </r>
          <r>
            <rPr>
              <rFont val="Calibri"/>
              <b val="1"/>
              <sz val="10"/>
            </rPr>
            <t>Evidence reads like A2:</t>
          </r>
          <r>
            <rPr>
              <rFont val="Calibri"/>
              <sz val="10"/>
            </rPr>
            <t xml:space="preserve"> One direct report in HR data; no guiding or leading described → moved down 0.5
</t>
          </r>
          <r>
            <rPr>
              <rFont val="Calibri"/>
              <b val="1"/>
              <sz val="10"/>
            </rPr>
            <t>Team:</t>
          </r>
          <r>
            <rPr>
              <rFont val="Calibri"/>
              <sz val="10"/>
            </rPr>
            <t xml:space="preserve"> 1 direct report · POD Lead
</t>
          </r>
          <r>
            <rPr>
              <rFont val="Calibri"/>
              <b val="1"/>
              <sz val="10"/>
            </rPr>
            <t>Market:</t>
          </r>
          <r>
            <rPr>
              <rFont val="Calibri"/>
              <sz val="10"/>
            </rPr>
            <t xml:space="preserve"> A3 = Not scored in Band A</t>
          </r>
        </is>
      </c>
      <c r="BA34" s="132" t="inlineStr">
        <is>
          <r>
            <rPr>
              <rFont val="Calibri"/>
              <sz val="10"/>
            </rPr>
            <t xml:space="preserve">Rated 9.5 of 12 · between D1 and D2
</t>
          </r>
          <r>
            <rPr>
              <rFont val="Calibri"/>
              <b val="1"/>
              <sz val="10"/>
            </rPr>
            <t>Experience:</t>
          </r>
          <r>
            <rPr>
              <rFont val="Calibri"/>
              <sz val="10"/>
            </rPr>
            <t xml:space="preserve"> 19.1 yrs total · 4.1 before IRIS + 15.0 at IRIS = 9.5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B1 roles typically have 4–8 yrs · IRIS guide 4–7</t>
          </r>
        </is>
      </c>
      <c r="BB34"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34" s="133" t="inlineStr"/>
      <c r="BD34" s="134" t="inlineStr">
        <is>
          <t>✓ HRIS: 19.1 yrs, B.Com, 1 direct report
✓ Survey: 20 of 20 questions answered
✗ KRAs: none on file
✓ Manager mapping: rating, 9-box
✗ Job description: not on file</t>
        </is>
      </c>
      <c r="BE34" s="134"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System Administrator
</t>
          </r>
          <r>
            <rPr>
              <rFont val="Calibri"/>
              <b val="1"/>
              <sz val="10"/>
            </rPr>
            <t>At peers:</t>
          </r>
          <r>
            <rPr>
              <rFont val="Calibri"/>
              <sz val="10"/>
            </rPr>
            <t xml:space="preserve"> Atlassian company-wide P-levels – P40 · IRIS Vs Competitor Benchmark — infrastructure ladder: Senior SysAdmin
</t>
          </r>
          <r>
            <rPr>
              <rFont val="Calibri"/>
              <b val="1"/>
              <sz val="10"/>
            </rPr>
            <t>Typical experience:</t>
          </r>
          <r>
            <rPr>
              <rFont val="Calibri"/>
              <sz val="10"/>
            </rPr>
            <t xml:space="preserve"> 4–8 yrs · IRIS guide 4–7
</t>
          </r>
          <r>
            <rPr>
              <rFont val="Calibri"/>
              <b val="1"/>
              <sz val="10"/>
            </rPr>
            <t>Standard:</t>
          </r>
          <r>
            <rPr>
              <rFont val="Calibri"/>
              <sz val="10"/>
            </rPr>
            <t xml:space="preserve"> ITIL 4; ISO/IEC 27001:2022</t>
          </r>
        </is>
      </c>
      <c r="BF34" s="134" t="inlineStr">
        <is>
          <t>High</t>
        </is>
      </c>
      <c r="BG34" s="134" t="inlineStr"/>
      <c r="BH34" s="134" t="inlineStr"/>
      <c r="BI34" s="135" t="n"/>
      <c r="BJ34" s="136" t="n"/>
      <c r="BK34" s="136" t="n"/>
      <c r="BL34" s="136" t="n"/>
      <c r="BM34" s="136" t="n"/>
      <c r="BN34" s="137" t="n"/>
      <c r="BO34" s="120" t="n"/>
      <c r="BP34" s="120" t="n"/>
      <c r="BQ34" s="120" t="n"/>
      <c r="BR34" s="120" t="n"/>
      <c r="BS34" s="120" t="n"/>
      <c r="BT34" s="120" t="n"/>
      <c r="BU34" s="120" t="n"/>
      <c r="BV34" s="120" t="n">
        <v>3</v>
      </c>
    </row>
    <row r="35" ht="340" customHeight="1">
      <c r="A35" s="109" t="inlineStr">
        <is>
          <t>IRIS0038</t>
        </is>
      </c>
      <c r="B35" s="110" t="inlineStr">
        <is>
          <t>Vikas Mithbawkar</t>
        </is>
      </c>
      <c r="C35" s="111" t="inlineStr">
        <is>
          <t>IT &amp; Infrastructure</t>
        </is>
      </c>
      <c r="D35" s="111" t="inlineStr">
        <is>
          <t>Mahesh Tilave</t>
        </is>
      </c>
      <c r="E35" s="112" t="n">
        <v>22.3</v>
      </c>
      <c r="F35" s="112" t="n">
        <v>20.3</v>
      </c>
      <c r="G35" s="111" t="inlineStr">
        <is>
          <t>B.SC</t>
        </is>
      </c>
      <c r="H35" s="138" t="inlineStr">
        <is>
          <t>Senior System Administrator</t>
        </is>
      </c>
      <c r="I35" s="115" t="inlineStr">
        <is>
          <t>IT Infrastructure Manager</t>
        </is>
      </c>
      <c r="J35" s="114" t="inlineStr">
        <is>
          <t>IT &amp; Infrastructure</t>
        </is>
      </c>
      <c r="K35" s="114" t="inlineStr">
        <is>
          <t>Infrastructure &amp; Cloud Operations</t>
        </is>
      </c>
      <c r="L35" s="115" t="inlineStr">
        <is>
          <t>Not in current mapping files</t>
        </is>
      </c>
      <c r="M35" s="116" t="inlineStr">
        <is>
          <t>B1</t>
        </is>
      </c>
      <c r="N35" s="21" t="inlineStr">
        <is>
          <t>Team Lead</t>
        </is>
      </c>
      <c r="O35" s="23" t="inlineStr">
        <is>
          <t>B</t>
        </is>
      </c>
      <c r="P35" s="114" t="inlineStr">
        <is>
          <t>People Manager</t>
        </is>
      </c>
      <c r="Q35" s="117" t="inlineStr">
        <is>
          <t>● Newly mapped</t>
        </is>
      </c>
      <c r="R35" s="118" t="inlineStr">
        <is>
          <r>
            <rPr>
              <rFont val="Calibri"/>
              <b val="1"/>
              <sz val="10"/>
            </rPr>
            <t>WHAT THE ROLE DOES:</t>
          </r>
          <r>
            <rPr>
              <rFont val="Calibri"/>
              <sz val="10"/>
            </rPr>
            <t xml:space="preserve"> Runs servers, AD/DNS, network, cloud, hosting, backup and DR. At B1: a domain / module, or a small team.
</t>
          </r>
          <r>
            <rPr>
              <rFont val="Calibri"/>
              <b val="1"/>
              <sz val="10"/>
            </rPr>
            <t>Common themes in sub-family holders, all levels' answers:</t>
          </r>
          <r>
            <rPr>
              <rFont val="Calibri"/>
              <sz val="10"/>
            </rPr>
            <t xml:space="preserve"> support · infra · services · secure · availability · windows
</t>
          </r>
          <r>
            <rPr>
              <rFont val="Calibri"/>
              <b val="1"/>
              <sz val="10"/>
            </rPr>
            <t>KEY RESPONSIBILITIES:</t>
          </r>
          <r>
            <rPr>
              <rFont val="Calibri"/>
              <sz val="10"/>
            </rPr>
            <t xml:space="preserve"> Runs servers, AD/DNS, network, cloud, hosting, backup and DR; Domain specialist work; A domain or a small team
</t>
          </r>
          <r>
            <rPr>
              <rFont val="Calibri"/>
              <b val="1"/>
              <sz val="10"/>
            </rPr>
            <t>Common themes in sub-family holders, all levels' answers:</t>
          </r>
          <r>
            <rPr>
              <rFont val="Calibri"/>
              <sz val="10"/>
            </rPr>
            <t xml:space="preserve"> management · server · cloud · administration · dns · incident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secure · system · infrastructure · server · support · availability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availability · security · accountable · am · performance · infrastructure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backup · tuning · incident · failed · performance · optimize
</t>
          </r>
          <r>
            <rPr>
              <rFont val="Calibri"/>
              <b val="1"/>
              <sz val="10"/>
            </rPr>
            <t>SKILLS &amp; KNOWLEDGE · role-holders:</t>
          </r>
          <r>
            <rPr>
              <rFont val="Calibri"/>
              <sz val="10"/>
            </rPr>
            <t xml:space="preserve"> Infra
</t>
          </r>
          <r>
            <rPr>
              <rFont val="Calibri"/>
              <b val="1"/>
              <sz val="10"/>
            </rPr>
            <t>TOOLS &amp; SYSTEMS:</t>
          </r>
          <r>
            <rPr>
              <rFont val="Calibri"/>
              <sz val="10"/>
            </rPr>
            <t xml:space="preserve"> AWS
COMPETENCIES REQUIRED — must-have ★: Cybersecurity &amp; Infrastructure · Cloud, DevOps &amp; CI/CD
</t>
          </r>
          <r>
            <rPr>
              <rFont val="Calibri"/>
              <b val="1"/>
              <sz val="10"/>
            </rPr>
            <t>OTHER FUNCTIONAL COMPETENCIES:</t>
          </r>
          <r>
            <rPr>
              <rFont val="Calibri"/>
              <sz val="10"/>
            </rPr>
            <t xml:space="preserve"> Process Improvement &amp; Quality Mindset · Stakeholder &amp; Client Management · Time, Priority &amp; Self-Management · AI, GenAI &amp; Prompt Engineering
</t>
          </r>
          <r>
            <rPr>
              <rFont val="Calibri"/>
              <b val="1"/>
              <sz val="10"/>
            </rPr>
            <t>PROFICIENCY NEEDED AT THIS LEVEL:</t>
          </r>
          <r>
            <rPr>
              <rFont val="Calibri"/>
              <sz val="10"/>
            </rPr>
            <t xml:space="preserve"> Core 3 · Future-ready 3 · Functional 3 · Leadership 2
</t>
          </r>
          <r>
            <rPr>
              <rFont val="Calibri"/>
              <b val="1"/>
              <sz val="10"/>
            </rPr>
            <t>CREDENTIALS:</t>
          </r>
          <r>
            <rPr>
              <rFont val="Calibri"/>
              <sz val="10"/>
            </rPr>
            <t xml:space="preserve"> Microsoft / CCNA / ISO 27001 / ITIL; AWS / Azure / Kubernetes certifications
</t>
          </r>
          <r>
            <rPr>
              <rFont val="Calibri"/>
              <b val="1"/>
              <sz val="10"/>
            </rPr>
            <t>SOURCE:</t>
          </r>
          <r>
            <rPr>
              <rFont val="Calibri"/>
              <sz val="10"/>
            </rPr>
            <t xml:space="preserve"> Framework + sub-family themes · 3+ answered — 1 holder, 1 answered the survey; sub-family 9 answered; catalogue RC-110</t>
          </r>
        </is>
      </c>
      <c r="S35" s="119"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5 direct reports.
</t>
          </r>
          <r>
            <rPr>
              <rFont val="Calibri"/>
              <b val="1"/>
              <sz val="10"/>
            </rPr>
            <t>If the work is missed · role-holders' themes:</t>
          </r>
          <r>
            <rPr>
              <rFont val="Calibri"/>
              <sz val="10"/>
            </rPr>
            <t xml:space="preserve"> business · data · loss · downtime.
Manager talent mapping — Latest rating: Not rated · manager · 9-Box Grid placement: Not placed · manager.</t>
          </r>
        </is>
      </c>
      <c r="T35" s="120" t="n"/>
      <c r="U35" s="121" t="inlineStr">
        <is>
          <r>
            <rPr>
              <rFont val="Calibri"/>
              <sz val="10"/>
            </rPr>
            <t xml:space="preserve">IT Infrastructure Manager in IT &amp; Infrastructure · Corporate, B1 — People Manager.
</t>
          </r>
          <r>
            <rPr>
              <rFont val="Calibri"/>
              <b val="1"/>
              <sz val="10"/>
            </rPr>
            <t>The work:</t>
          </r>
          <r>
            <rPr>
              <rFont val="Calibri"/>
              <sz val="10"/>
            </rPr>
            <t xml:space="preserve"> Runs servers, AD/DNS, network, cloud, hosting, backup and DR.
At this level the role owns a domain / module, or a small team.
</t>
          </r>
          <r>
            <rPr>
              <rFont val="Calibri"/>
              <b val="1"/>
              <sz val="10"/>
            </rPr>
            <t>Key responsibilities:</t>
          </r>
          <r>
            <rPr>
              <rFont val="Calibri"/>
              <sz val="10"/>
            </rPr>
            <t xml:space="preserve"> Runs servers, AD/DNS, network, cloud, hosting, backup and DR; Domain specialist work; A domain or a small team.
</t>
          </r>
          <r>
            <rPr>
              <rFont val="Calibri"/>
              <b val="1"/>
              <sz val="10"/>
            </rPr>
            <t>Holders describe it with:</t>
          </r>
          <r>
            <rPr>
              <rFont val="Calibri"/>
              <sz val="10"/>
            </rPr>
            <t xml:space="preserve"> management · server · cloud · administration · dns · incident.
Leads 5 direct reports.</t>
          </r>
        </is>
      </c>
      <c r="V35" s="122" t="inlineStr">
        <is>
          <r>
            <rPr>
              <rFont val="Calibri"/>
              <b val="1"/>
              <sz val="10"/>
            </rPr>
            <t>Hire as:</t>
          </r>
          <r>
            <rPr>
              <rFont val="Calibri"/>
              <sz val="10"/>
            </rPr>
            <t xml:space="preserve"> Manager — IRIS B1 Team Lead · People Manager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B.Sc / diploma + certifications
</t>
          </r>
          <r>
            <rPr>
              <rFont val="Calibri"/>
              <b val="1"/>
              <sz val="10"/>
            </rPr>
            <t>Team size at this level:</t>
          </r>
          <r>
            <rPr>
              <rFont val="Calibri"/>
              <sz val="10"/>
            </rPr>
            <t xml:space="preserve"> IC: none · Team Lead: 3–5
</t>
          </r>
          <r>
            <rPr>
              <rFont val="Calibri"/>
              <b val="1"/>
              <sz val="10"/>
            </rPr>
            <t>Equivalent titles at peers:</t>
          </r>
          <r>
            <rPr>
              <rFont val="Calibri"/>
              <sz val="10"/>
            </rPr>
            <t xml:space="preserve"> Atlassian company-wide P-levels – P40 · IRIS Vs Competitor Benchmark — infrastructure ladder – Senior SysAdmin
</t>
          </r>
          <r>
            <rPr>
              <rFont val="Calibri"/>
              <b val="1"/>
              <sz val="10"/>
            </rPr>
            <t>Credentials:</t>
          </r>
          <r>
            <rPr>
              <rFont val="Calibri"/>
              <sz val="10"/>
            </rPr>
            <t xml:space="preserve"> Microsoft / CCNA / ISO 27001 / ITIL; AWS / Azure / Kubernetes certifications
</t>
          </r>
          <r>
            <rPr>
              <rFont val="Calibri"/>
              <b val="1"/>
              <sz val="10"/>
            </rPr>
            <t>Must already know:</t>
          </r>
          <r>
            <rPr>
              <rFont val="Calibri"/>
              <sz val="10"/>
            </rPr>
            <t xml:space="preserve"> ISO 27001 / InfoSec controls</t>
          </r>
        </is>
      </c>
      <c r="W35" s="122" t="inlineStr">
        <is>
          <r>
            <rPr>
              <rFont val="Calibri"/>
              <sz val="10"/>
            </rPr>
            <t xml:space="preserve">FUNCTIONAL — skill level 3 of 5 · Practitioner
 ★ Cybersecurity &amp; Infrastructure: Administers secure servers, networks and access
 ★ Cloud, DevOps &amp; CI/CD: Builds and runs CI/CD pipelines and environments
 •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Infra
</t>
          </r>
          <r>
            <rPr>
              <rFont val="Calibri"/>
              <b val="1"/>
              <sz val="10"/>
            </rPr>
            <t>TOOLS:</t>
          </r>
          <r>
            <rPr>
              <rFont val="Calibri"/>
              <sz val="10"/>
            </rPr>
            <t xml:space="preserve"> AWS
★ = must-have for the family. Scale: 1 Awareness · 2 Working · 3 Practitioner · 4 Advanced · 5 Expert.</t>
          </r>
        </is>
      </c>
      <c r="X35" s="122" t="inlineStr">
        <is>
          <r>
            <rPr>
              <rFont val="Calibri"/>
              <sz val="10"/>
            </rPr>
            <t xml:space="preserve">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35" s="123" t="inlineStr">
        <is>
          <t>Corporate · IT &amp; Infrastructure · Band B · People Manager</t>
        </is>
      </c>
      <c r="Z35" s="124" t="n">
        <v>3.5</v>
      </c>
      <c r="AA35" s="125">
        <f>IFERROR(INDEX(WM_C,MATCH($Y35,WM_KEY,0)),"")</f>
        <v>0.42</v>
      </c>
      <c r="AB35" s="126">
        <f>IF(Z35="","",Z35*AA35)</f>
        <v>1.47</v>
      </c>
      <c r="AC35" s="124" t="n">
        <v>3.5</v>
      </c>
      <c r="AD35" s="125">
        <f>IFERROR(INDEX(WM_AU,MATCH($Y35,WM_KEY,0)),"")</f>
        <v>0.18</v>
      </c>
      <c r="AE35" s="126">
        <f>IF(AC35="","",AC35*AD35)</f>
        <v>0.63</v>
      </c>
      <c r="AF35" s="124" t="n">
        <v>4</v>
      </c>
      <c r="AG35" s="125">
        <f>IFERROR(INDEX(WM_AC,MATCH($Y35,WM_KEY,0)),"")</f>
        <v>0.06</v>
      </c>
      <c r="AH35" s="126">
        <f>IF(AF35="","",AF35*AG35)</f>
        <v>0.24</v>
      </c>
      <c r="AI35" s="124" t="n">
        <v>4</v>
      </c>
      <c r="AJ35" s="125">
        <f>IFERROR(INDEX(WM_L,MATCH($Y35,WM_KEY,0)),"")</f>
        <v>0.15</v>
      </c>
      <c r="AK35" s="126">
        <f>IF(AI35="","",AI35*AJ35)</f>
        <v>0.6</v>
      </c>
      <c r="AL35" s="124" t="n">
        <v>10.5</v>
      </c>
      <c r="AM35" s="125">
        <f>IFERROR(INDEX(WM_E,MATCH($Y35,WM_KEY,0)),"")</f>
        <v>0.1</v>
      </c>
      <c r="AN35" s="126">
        <f>IF(AL35="","",AL35*AM35)</f>
        <v>1.05</v>
      </c>
      <c r="AO35" s="127" t="n">
        <v>4</v>
      </c>
      <c r="AP35" s="125">
        <f>IFERROR(INDEX(WM_BI,MATCH($Y35,WM_KEY,0)),"")</f>
        <v>0.09</v>
      </c>
      <c r="AQ35" s="126">
        <f>IF(AO35="","",AO35*AP35)</f>
        <v>0.36</v>
      </c>
      <c r="AR35" s="126">
        <f>IF(COUNT(AB35,AE35,AH35,AK35,AN35,AQ35)&lt;6,"",SUM(AB35,AE35,AH35,AK35,AN35,AQ35))</f>
        <v>4.35</v>
      </c>
      <c r="AS35" s="128" t="str">
        <f>IF(AR35="","",INDEX({"A1","A2","A3","B1","B2","B3","C1","C2","D1","D2","E1","E2"},MAX(1,MIN(12,ROUND(AR35,0)))))</f>
        <v>B1</v>
      </c>
      <c r="AT35" s="129"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5" s="130" t="inlineStr">
        <is>
          <r>
            <rPr>
              <rFont val="Calibri"/>
              <b val="1"/>
              <sz val="10"/>
            </rPr>
            <t>At build:</t>
          </r>
          <r>
            <rPr>
              <rFont val="Calibri"/>
              <sz val="10"/>
            </rPr>
            <t xml:space="preserve"> Complexity 1.47 + Autonomy 0.63 + Accountability 0.24 + Leadership 0.60 + Experience 1.05 + Business impact 0.36
= 4.35 points → nearest level 4 = B1
</t>
          </r>
          <r>
            <rPr>
              <rFont val="Calibri"/>
              <b val="1"/>
              <sz val="10"/>
            </rPr>
            <t>Final level:</t>
          </r>
          <r>
            <rPr>
              <rFont val="Calibri"/>
              <sz val="10"/>
            </rPr>
            <t xml:space="preserve"> B1 · same as the score</t>
          </r>
        </is>
      </c>
      <c r="AV35" s="130" t="inlineStr">
        <is>
          <r>
            <rPr>
              <rFont val="Calibri"/>
              <b val="1"/>
              <sz val="10"/>
            </rPr>
            <t>No rule applied:</t>
          </r>
          <r>
            <rPr>
              <rFont val="Calibri"/>
              <sz val="10"/>
            </rPr>
            <t xml:space="preserve"> the score decides.</t>
          </r>
        </is>
      </c>
      <c r="AW35" s="131"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Runs RBI client-site website infrastructure: 24x7 support, incident resolution, SLA compliance → moved up 0.5
</t>
          </r>
          <r>
            <rPr>
              <rFont val="Calibri"/>
              <b val="1"/>
              <sz val="10"/>
            </rPr>
            <t>Market:</t>
          </r>
          <r>
            <rPr>
              <rFont val="Calibri"/>
              <sz val="10"/>
            </rPr>
            <t xml:space="preserve"> A3 = Varied and non-standard work; handles exceptions · B1 = Domain specialist work</t>
          </r>
        </is>
      </c>
      <c r="AX35" s="132"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Decides team incident management for the 24x7 support team → moved up 0.5
</t>
          </r>
          <r>
            <rPr>
              <rFont val="Calibri"/>
              <b val="1"/>
              <sz val="10"/>
            </rPr>
            <t>Market:</t>
          </r>
          <r>
            <rPr>
              <rFont val="Calibri"/>
              <sz val="10"/>
            </rPr>
            <t xml:space="preserve"> A3 = Technical / QC / client calls on own work · B1 = Technical / QC / client calls for the domain</t>
          </r>
        </is>
      </c>
      <c r="AY35" s="132" t="inlineStr">
        <is>
          <r>
            <rPr>
              <rFont val="Calibri"/>
              <sz val="10"/>
            </rPr>
            <t xml:space="preserve">Rated 4 of 12
</t>
          </r>
          <r>
            <rPr>
              <rFont val="Calibri"/>
              <b val="1"/>
              <sz val="10"/>
            </rPr>
            <t>Start:</t>
          </r>
          <r>
            <rPr>
              <rFont val="Calibri"/>
              <sz val="10"/>
            </rPr>
            <t xml:space="preserve"> 4.0 · senior practitioner title; 5 direct reports
</t>
          </r>
          <r>
            <rPr>
              <rFont val="Calibri"/>
              <b val="1"/>
              <sz val="10"/>
            </rPr>
            <t>Evidence reads like B1:</t>
          </r>
          <r>
            <rPr>
              <rFont val="Calibri"/>
              <sz val="10"/>
            </rPr>
            <t xml:space="preserve"> RBI website availability, SLA delivery and performance of a five-person team → matches the start
</t>
          </r>
          <r>
            <rPr>
              <rFont val="Calibri"/>
              <b val="1"/>
              <sz val="10"/>
            </rPr>
            <t>Market:</t>
          </r>
          <r>
            <rPr>
              <rFont val="Calibri"/>
              <sz val="10"/>
            </rPr>
            <t xml:space="preserve"> B1 = A domain or a small team</t>
          </r>
        </is>
      </c>
      <c r="AZ35" s="132"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Leads the client-side website infrastructure team; 5 direct reports → matches the start
</t>
          </r>
          <r>
            <rPr>
              <rFont val="Calibri"/>
              <b val="1"/>
              <sz val="10"/>
            </rPr>
            <t>Team:</t>
          </r>
          <r>
            <rPr>
              <rFont val="Calibri"/>
              <sz val="10"/>
            </rPr>
            <t xml:space="preserve"> 5 direct reports · People Manager
</t>
          </r>
          <r>
            <rPr>
              <rFont val="Calibri"/>
              <b val="1"/>
              <sz val="10"/>
            </rPr>
            <t>Market:</t>
          </r>
          <r>
            <rPr>
              <rFont val="Calibri"/>
              <sz val="10"/>
            </rPr>
            <t xml:space="preserve"> B1 = IC: mentors and reviews · People: hands-on team lead of 3–5</t>
          </r>
        </is>
      </c>
      <c r="BA35" s="132" t="inlineStr">
        <is>
          <r>
            <rPr>
              <rFont val="Calibri"/>
              <sz val="10"/>
            </rPr>
            <t xml:space="preserve">Rated 10.5 of 12 · between D2 and E1
</t>
          </r>
          <r>
            <rPr>
              <rFont val="Calibri"/>
              <b val="1"/>
              <sz val="10"/>
            </rPr>
            <t>Experience:</t>
          </r>
          <r>
            <rPr>
              <rFont val="Calibri"/>
              <sz val="10"/>
            </rPr>
            <t xml:space="preserve"> 22.3 yrs total · 2.0 before IRIS + 20.3 at IRIS = 10.4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B1 roles typically have 4–8 yrs · IRIS guide 4–7</t>
          </r>
        </is>
      </c>
      <c r="BB35" s="132"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35" s="133" t="inlineStr"/>
      <c r="BD35" s="134" t="inlineStr">
        <is>
          <t>✓ HRIS: 22.3 yrs, B.SC, 5 direct reports
✓ Survey: 20 of 20 questions answered
✗ KRAs: none on file
✓ Manager mapping: rating, 9-box
✗ Job description: not on file</t>
        </is>
      </c>
      <c r="BE35" s="134" t="inlineStr">
        <is>
          <r>
            <rPr>
              <rFont val="Calibri"/>
              <b val="1"/>
              <sz val="10"/>
            </rPr>
            <t>Market level:</t>
          </r>
          <r>
            <rPr>
              <rFont val="Calibri"/>
              <sz val="10"/>
            </rPr>
            <t xml:space="preserve"> P3 / M2 · SFIA 4 Enable
</t>
          </r>
          <r>
            <rPr>
              <rFont val="Calibri"/>
              <b val="1"/>
              <sz val="10"/>
            </rPr>
            <t>Typical title:</t>
          </r>
          <r>
            <rPr>
              <rFont val="Calibri"/>
              <sz val="10"/>
            </rPr>
            <t xml:space="preserve"> Manager
</t>
          </r>
          <r>
            <rPr>
              <rFont val="Calibri"/>
              <b val="1"/>
              <sz val="10"/>
            </rPr>
            <t>At peers:</t>
          </r>
          <r>
            <rPr>
              <rFont val="Calibri"/>
              <sz val="10"/>
            </rPr>
            <t xml:space="preserve"> Atlassian company-wide P-levels – P40 · IRIS Vs Competitor Benchmark — infrastructure ladder: Senior SysAdmin
</t>
          </r>
          <r>
            <rPr>
              <rFont val="Calibri"/>
              <b val="1"/>
              <sz val="10"/>
            </rPr>
            <t>Typical experience:</t>
          </r>
          <r>
            <rPr>
              <rFont val="Calibri"/>
              <sz val="10"/>
            </rPr>
            <t xml:space="preserve"> 4–8 yrs · IRIS guide 4–7
</t>
          </r>
          <r>
            <rPr>
              <rFont val="Calibri"/>
              <b val="1"/>
              <sz val="10"/>
            </rPr>
            <t>Standard:</t>
          </r>
          <r>
            <rPr>
              <rFont val="Calibri"/>
              <sz val="10"/>
            </rPr>
            <t xml:space="preserve"> ITIL 4; ISO/IEC 27001:2022</t>
          </r>
        </is>
      </c>
      <c r="BF35" s="134" t="inlineStr">
        <is>
          <t>Medium</t>
        </is>
      </c>
      <c r="BG35" s="134" t="inlineStr"/>
      <c r="BH35" s="134" t="inlineStr"/>
      <c r="BI35" s="135" t="n"/>
      <c r="BJ35" s="136" t="n"/>
      <c r="BK35" s="136" t="n"/>
      <c r="BL35" s="136" t="n"/>
      <c r="BM35" s="136" t="n"/>
      <c r="BN35" s="137" t="n"/>
      <c r="BO35" s="120" t="n"/>
      <c r="BP35" s="120" t="n"/>
      <c r="BQ35" s="120" t="n"/>
      <c r="BR35" s="120" t="n"/>
      <c r="BS35" s="120" t="n"/>
      <c r="BT35" s="120" t="n"/>
      <c r="BU35" s="120" t="n"/>
      <c r="BV35" s="120" t="n">
        <v>4</v>
      </c>
    </row>
    <row r="36" ht="340" customHeight="1">
      <c r="A36" s="109" t="inlineStr">
        <is>
          <t>IRIS2099</t>
        </is>
      </c>
      <c r="B36" s="110" t="inlineStr">
        <is>
          <t>Parthiban Thangaraj</t>
        </is>
      </c>
      <c r="C36" s="111" t="inlineStr">
        <is>
          <t>IT &amp; Infrastructure</t>
        </is>
      </c>
      <c r="D36" s="111" t="inlineStr">
        <is>
          <t>Mahesh Tilave</t>
        </is>
      </c>
      <c r="E36" s="112" t="n">
        <v>9.800000000000001</v>
      </c>
      <c r="F36" s="112" t="n">
        <v>3.6</v>
      </c>
      <c r="G36" s="111" t="inlineStr">
        <is>
          <t>B.Tech</t>
        </is>
      </c>
      <c r="H36" s="138" t="inlineStr">
        <is>
          <t>Senior Software Engineer</t>
        </is>
      </c>
      <c r="I36" s="115" t="inlineStr">
        <is>
          <t>Senior DevOps Engineer</t>
        </is>
      </c>
      <c r="J36" s="114" t="inlineStr">
        <is>
          <t>Engineering &amp; Development</t>
        </is>
      </c>
      <c r="K36" s="114" t="inlineStr">
        <is>
          <t>DevOps &amp; Release Engineering</t>
        </is>
      </c>
      <c r="L36" s="115" t="inlineStr">
        <is>
          <t>Not in current mapping files</t>
        </is>
      </c>
      <c r="M36" s="116" t="inlineStr">
        <is>
          <t>A3</t>
        </is>
      </c>
      <c r="N36" s="139" t="inlineStr">
        <is>
          <t>Senior Associate</t>
        </is>
      </c>
      <c r="O36" s="26" t="inlineStr">
        <is>
          <t>A</t>
        </is>
      </c>
      <c r="P36" s="114" t="inlineStr">
        <is>
          <t>IC</t>
        </is>
      </c>
      <c r="Q36" s="117" t="inlineStr">
        <is>
          <t>● Newly mapped</t>
        </is>
      </c>
      <c r="R36" s="118" t="inlineStr">
        <is>
          <r>
            <rPr>
              <rFont val="Calibri"/>
              <b val="1"/>
              <sz val="10"/>
            </rPr>
            <t>WHAT THE ROLE DOES:</t>
          </r>
          <r>
            <rPr>
              <rFont val="Calibri"/>
              <sz val="10"/>
            </rPr>
            <t xml:space="preserve"> Builds and runs CI/CD pipelines, environments, deployments and release automation. At A3: varied work; reviews juniors; go-to for a process.
</t>
          </r>
          <r>
            <rPr>
              <rFont val="Calibri"/>
              <b val="1"/>
              <sz val="10"/>
            </rPr>
            <t>Common themes in sub-family holders, all levels' answers:</t>
          </r>
          <r>
            <rPr>
              <rFont val="Calibri"/>
              <sz val="10"/>
            </rPr>
            <t xml:space="preserve"> support · devops activities
</t>
          </r>
          <r>
            <rPr>
              <rFont val="Calibri"/>
              <b val="1"/>
              <sz val="10"/>
            </rPr>
            <t>KEY RESPONSIBILITIES:</t>
          </r>
          <r>
            <rPr>
              <rFont val="Calibri"/>
              <sz val="10"/>
            </rPr>
            <t xml:space="preserve"> Builds and runs CI/CD pipelines, environments, deployments and release automation;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ACCOUNTABLE FOR:</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application
</t>
          </r>
          <r>
            <rPr>
              <rFont val="Calibri"/>
              <b val="1"/>
              <sz val="10"/>
            </rPr>
            <t>DECIDES ALONE:</t>
          </r>
          <r>
            <rPr>
              <rFont val="Calibri"/>
              <sz val="10"/>
            </rPr>
            <t xml:space="preserve"> Technical / QC / client calls on own work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2 holders, 2 answered the survey; sub-family 3 answered; catalogue RC-076</t>
          </r>
        </is>
      </c>
      <c r="S36"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level.
Manager talent mapping — Latest rating: Not rated · manager · 9-Box Grid placement: Not placed · manager.</t>
          </r>
        </is>
      </c>
      <c r="T36" s="120" t="n"/>
      <c r="U36" s="121" t="inlineStr">
        <is>
          <r>
            <rPr>
              <rFont val="Calibri"/>
              <sz val="10"/>
            </rPr>
            <t xml:space="preserve">Senior DevOps Engineer in IT &amp; Infrastructure · Corporate, A3 — IC.
</t>
          </r>
          <r>
            <rPr>
              <rFont val="Calibri"/>
              <b val="1"/>
              <sz val="10"/>
            </rPr>
            <t>The work:</t>
          </r>
          <r>
            <rPr>
              <rFont val="Calibri"/>
              <sz val="10"/>
            </rPr>
            <t xml:space="preserve"> Builds and runs CI/CD pipelines, environments, deployments and release automation.
At this level the role owns varied work; reviews juniors; go-to for a process.
</t>
          </r>
          <r>
            <rPr>
              <rFont val="Calibri"/>
              <b val="1"/>
              <sz val="10"/>
            </rPr>
            <t>Key responsibilities:</t>
          </r>
          <r>
            <rPr>
              <rFont val="Calibri"/>
              <sz val="10"/>
            </rPr>
            <t xml:space="preserve"> Builds and runs CI/CD pipelines, environments, deployments and release automation; Varied and non-standard work; handles exceptions; A module / process, or work with client or regulatory consequences.</t>
          </r>
        </is>
      </c>
      <c r="V36" s="122"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36" s="122"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 = must-have for the family. Scale: 1 Awareness · 2 Working · 3 Practitioner · 4 Advanced · 5 Expert.</t>
          </r>
        </is>
      </c>
      <c r="X36" s="122"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6" s="123" t="inlineStr">
        <is>
          <t>Corporate · IT &amp; Infrastructure · Band A · Early career</t>
        </is>
      </c>
      <c r="Z36" s="124" t="n">
        <v>2.5</v>
      </c>
      <c r="AA36" s="125">
        <f>IFERROR(INDEX(WM_C,MATCH($Y36,WM_KEY,0)),"")</f>
        <v>0.64</v>
      </c>
      <c r="AB36" s="126">
        <f>IF(Z36="","",Z36*AA36)</f>
        <v>1.6</v>
      </c>
      <c r="AC36" s="124" t="n">
        <v>2.5</v>
      </c>
      <c r="AD36" s="125">
        <f>IFERROR(INDEX(WM_AU,MATCH($Y36,WM_KEY,0)),"")</f>
        <v>0.16</v>
      </c>
      <c r="AE36" s="126">
        <f>IF(AC36="","",AC36*AD36)</f>
        <v>0.4</v>
      </c>
      <c r="AF36" s="124" t="n">
        <v>2.5</v>
      </c>
      <c r="AG36" s="125">
        <f>IFERROR(INDEX(WM_AC,MATCH($Y36,WM_KEY,0)),"")</f>
        <v>0.04</v>
      </c>
      <c r="AH36" s="126">
        <f>IF(AF36="","",AF36*AG36)</f>
        <v>0.1</v>
      </c>
      <c r="AI36" s="124" t="n">
        <v>1.5</v>
      </c>
      <c r="AJ36" s="125">
        <f>IFERROR(INDEX(WM_L,MATCH($Y36,WM_KEY,0)),"")</f>
        <v>0</v>
      </c>
      <c r="AK36" s="126">
        <f>IF(AI36="","",AI36*AJ36)</f>
        <v>0</v>
      </c>
      <c r="AL36" s="124" t="n">
        <v>6</v>
      </c>
      <c r="AM36" s="125">
        <f>IFERROR(INDEX(WM_E,MATCH($Y36,WM_KEY,0)),"")</f>
        <v>0.1</v>
      </c>
      <c r="AN36" s="126">
        <f>IF(AL36="","",AL36*AM36)</f>
        <v>0.6</v>
      </c>
      <c r="AO36" s="127" t="n">
        <v>2.5</v>
      </c>
      <c r="AP36" s="125">
        <f>IFERROR(INDEX(WM_BI,MATCH($Y36,WM_KEY,0)),"")</f>
        <v>0.06</v>
      </c>
      <c r="AQ36" s="126">
        <f>IF(AO36="","",AO36*AP36)</f>
        <v>0.15</v>
      </c>
      <c r="AR36" s="126">
        <f>IF(COUNT(AB36,AE36,AH36,AK36,AN36,AQ36)&lt;6,"",SUM(AB36,AE36,AH36,AK36,AN36,AQ36))</f>
        <v>2.85</v>
      </c>
      <c r="AS36" s="128" t="str">
        <f>IF(AR36="","",INDEX({"A1","A2","A3","B1","B2","B3","C1","C2","D1","D2","E1","E2"},MAX(1,MIN(12,ROUND(AR36,0)))))</f>
        <v>A3</v>
      </c>
      <c r="AT36"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6" s="130" t="inlineStr">
        <is>
          <r>
            <rPr>
              <rFont val="Calibri"/>
              <b val="1"/>
              <sz val="10"/>
            </rPr>
            <t>At build:</t>
          </r>
          <r>
            <rPr>
              <rFont val="Calibri"/>
              <sz val="10"/>
            </rPr>
            <t xml:space="preserve"> Complexity 1.60 + Autonomy 0.40 + Accountability 0.10 + Leadership 0.00 + Experience 0.60 + Business impact 0.15
= 2.85 points → nearest level 3 = A3
</t>
          </r>
          <r>
            <rPr>
              <rFont val="Calibri"/>
              <b val="1"/>
              <sz val="10"/>
            </rPr>
            <t>Final level:</t>
          </r>
          <r>
            <rPr>
              <rFont val="Calibri"/>
              <sz val="10"/>
            </rPr>
            <t xml:space="preserve"> A3 · same as the score</t>
          </r>
        </is>
      </c>
      <c r="AV36" s="130" t="inlineStr">
        <is>
          <r>
            <rPr>
              <rFont val="Calibri"/>
              <b val="1"/>
              <sz val="10"/>
            </rPr>
            <t>No rule applied:</t>
          </r>
          <r>
            <rPr>
              <rFont val="Calibri"/>
              <sz val="10"/>
            </rPr>
            <t xml:space="preserve"> the score decides.</t>
          </r>
        </is>
      </c>
      <c r="AW36" s="131"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Creates AWS resources, manages access, migrates source code to Git; DevOps support tasks → moved down 0.5
</t>
          </r>
          <r>
            <rPr>
              <rFont val="Calibri"/>
              <b val="1"/>
              <sz val="10"/>
            </rPr>
            <t>Market:</t>
          </r>
          <r>
            <rPr>
              <rFont val="Calibri"/>
              <sz val="10"/>
            </rPr>
            <t xml:space="preserve"> A2 = Standard work of the discipline · A3 = Varied and non-standard work; handles exceptions</t>
          </r>
        </is>
      </c>
      <c r="AX36"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Lists AWS resources, code migration and DevOps tasks; no calls beyond own routine work → moved down 0.5
</t>
          </r>
          <r>
            <rPr>
              <rFont val="Calibri"/>
              <b val="1"/>
              <sz val="10"/>
            </rPr>
            <t>Market:</t>
          </r>
          <r>
            <rPr>
              <rFont val="Calibri"/>
              <sz val="10"/>
            </rPr>
            <t xml:space="preserve"> A2 = Chooses own approach within standards · A3 = Technical / QC / client calls on own work</t>
          </r>
        </is>
      </c>
      <c r="AY36"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Answers for AWS resource creation, access and code migration; errors block developers' access → moved down 0.5
</t>
          </r>
          <r>
            <rPr>
              <rFont val="Calibri"/>
              <b val="1"/>
              <sz val="10"/>
            </rPr>
            <t>Market:</t>
          </r>
          <r>
            <rPr>
              <rFont val="Calibri"/>
              <sz val="10"/>
            </rPr>
            <t xml:space="preserve"> A2 = Own deliverables · accuracy, TAT · A3 = A module / process, or work with client or regulatory consequences</t>
          </r>
        </is>
      </c>
      <c r="AZ36"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36" s="132" t="inlineStr">
        <is>
          <r>
            <rPr>
              <rFont val="Calibri"/>
              <sz val="10"/>
            </rPr>
            <t xml:space="preserve">Rated 6 of 12
</t>
          </r>
          <r>
            <rPr>
              <rFont val="Calibri"/>
              <b val="1"/>
              <sz val="10"/>
            </rPr>
            <t>Experience:</t>
          </r>
          <r>
            <rPr>
              <rFont val="Calibri"/>
              <sz val="10"/>
            </rPr>
            <t xml:space="preserve"> 9.8 yrs total · 6.2 before IRIS + 3.6 at IRIS = 5.9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36"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36" s="133" t="inlineStr"/>
      <c r="BD36" s="134" t="inlineStr">
        <is>
          <t>✓ HRIS: 9.8 yrs, B.Tech, 0 direct reports
✓ Survey: 20 of 20 questions answered
✗ KRAs: none on file
✓ Manager mapping: rating, 9-box
✗ Job description: not on file</t>
        </is>
      </c>
      <c r="BE36" s="134"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36" s="134" t="inlineStr">
        <is>
          <t>Medium</t>
        </is>
      </c>
      <c r="BG36" s="134" t="inlineStr">
        <is>
          <t>• Work described is smaller than the current designation suggests — manager to confirm the actual role
• 9.8 yrs of experience in a role that reads as Band A work — a career-path question for the manager: can the role be widened · Specialist, B1 or is it correctly sized?</t>
        </is>
      </c>
      <c r="BH36" s="134" t="inlineStr"/>
      <c r="BI36" s="135" t="n"/>
      <c r="BJ36" s="136" t="n"/>
      <c r="BK36" s="136" t="n"/>
      <c r="BL36" s="136" t="n"/>
      <c r="BM36" s="136" t="n"/>
      <c r="BN36" s="137" t="n"/>
      <c r="BO36" s="120" t="n"/>
      <c r="BP36" s="120" t="n"/>
      <c r="BQ36" s="120" t="n"/>
      <c r="BR36" s="120" t="n"/>
      <c r="BS36" s="120" t="n"/>
      <c r="BT36" s="120" t="n"/>
      <c r="BU36" s="120" t="n"/>
      <c r="BV36" s="120" t="n">
        <v>2.5</v>
      </c>
    </row>
    <row r="37" ht="340" customHeight="1">
      <c r="A37" s="109" t="inlineStr">
        <is>
          <t>IRIS2468</t>
        </is>
      </c>
      <c r="B37" s="110" t="inlineStr">
        <is>
          <t>Amit Gangaram Kamble</t>
        </is>
      </c>
      <c r="C37" s="111" t="inlineStr">
        <is>
          <t>IT &amp; Infrastructure</t>
        </is>
      </c>
      <c r="D37" s="111" t="inlineStr">
        <is>
          <t>Vikas Mithbawkar</t>
        </is>
      </c>
      <c r="E37" s="112" t="n">
        <v>3.6</v>
      </c>
      <c r="F37" s="112" t="n">
        <v>0.6</v>
      </c>
      <c r="G37" s="111" t="inlineStr">
        <is>
          <t>B.Sc</t>
        </is>
      </c>
      <c r="H37" s="138" t="inlineStr">
        <is>
          <t>Windows Server Administrator L1</t>
        </is>
      </c>
      <c r="I37" s="115" t="inlineStr">
        <is>
          <t>Senior System Administrator</t>
        </is>
      </c>
      <c r="J37" s="114" t="inlineStr">
        <is>
          <t>IT &amp; Infrastructure</t>
        </is>
      </c>
      <c r="K37" s="114" t="inlineStr">
        <is>
          <t>Infrastructure &amp; Cloud Operations</t>
        </is>
      </c>
      <c r="L37" s="115" t="inlineStr">
        <is>
          <t>Not in current mapping files</t>
        </is>
      </c>
      <c r="M37" s="116" t="inlineStr">
        <is>
          <t>A3</t>
        </is>
      </c>
      <c r="N37" s="139" t="inlineStr">
        <is>
          <t>Senior Associate</t>
        </is>
      </c>
      <c r="O37" s="26" t="inlineStr">
        <is>
          <t>A</t>
        </is>
      </c>
      <c r="P37" s="114" t="inlineStr">
        <is>
          <t>IC</t>
        </is>
      </c>
      <c r="Q37" s="117" t="inlineStr">
        <is>
          <t>● Newly mapped</t>
        </is>
      </c>
      <c r="R37" s="118" t="inlineStr">
        <is>
          <r>
            <rPr>
              <rFont val="Calibri"/>
              <b val="1"/>
              <sz val="10"/>
            </rPr>
            <t>WHAT THE ROLE DOES:</t>
          </r>
          <r>
            <rPr>
              <rFont val="Calibri"/>
              <sz val="10"/>
            </rPr>
            <t xml:space="preserve"> Runs servers, AD/DNS, network, cloud, hosting, backup and DR. At A3: varied work; reviews juniors; go-to for a process.
</t>
          </r>
          <r>
            <rPr>
              <rFont val="Calibri"/>
              <b val="1"/>
              <sz val="10"/>
            </rPr>
            <t>Common themes in role-holders' answers:</t>
          </r>
          <r>
            <rPr>
              <rFont val="Calibri"/>
              <sz val="10"/>
            </rPr>
            <t xml:space="preserve"> server · support · security · windows · infrastructure · system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Common themes in role-holders' answers:</t>
          </r>
          <r>
            <rPr>
              <rFont val="Calibri"/>
              <sz val="10"/>
            </rPr>
            <t xml:space="preserve"> server · dns · security · cloud · monitoring · administration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system · infrastructure · secure · availability · monitoring · disaster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availability · am · accountable · uptime · security · server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backup · optimize · monitor · resolve
</t>
          </r>
          <r>
            <rPr>
              <rFont val="Calibri"/>
              <b val="1"/>
              <sz val="10"/>
            </rPr>
            <t>SKILLS &amp; KNOWLEDGE · role-holders:</t>
          </r>
          <r>
            <rPr>
              <rFont val="Calibri"/>
              <sz val="10"/>
            </rPr>
            <t xml:space="preserve"> Infra
COMPETENCIES REQUIRED — must-have ★: Cybersecurity &amp; Infrastructure · Cloud, DevOps &amp; CI/CD
</t>
          </r>
          <r>
            <rPr>
              <rFont val="Calibri"/>
              <b val="1"/>
              <sz val="10"/>
            </rPr>
            <t>OTHER FUNCTIONAL COMPETENCIES:</t>
          </r>
          <r>
            <rPr>
              <rFont val="Calibri"/>
              <sz val="10"/>
            </rPr>
            <t xml:space="preserve"> Process Improvement &amp; Quality Mindset · Stakeholder &amp; Client Management · Time, Priority &amp; Self-Management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Microsoft / CCNA / ISO 27001 / ITIL; AWS / Azure / Kubernetes certifications
</t>
          </r>
          <r>
            <rPr>
              <rFont val="Calibri"/>
              <b val="1"/>
              <sz val="10"/>
            </rPr>
            <t>SOURCE:</t>
          </r>
          <r>
            <rPr>
              <rFont val="Calibri"/>
              <sz val="10"/>
            </rPr>
            <t xml:space="preserve"> Framework + role-holders' themes · 3+ answered — 8 holders, 6 answered the survey; sub-family 9 answered; catalogue RC-108</t>
          </r>
        </is>
      </c>
      <c r="S37"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T37" s="120" t="n"/>
      <c r="U37" s="121" t="inlineStr">
        <is>
          <r>
            <rPr>
              <rFont val="Calibri"/>
              <sz val="10"/>
            </rPr>
            <t xml:space="preserve">Senior System Administrator in IT &amp; Infrastructure · Corporate, A3 — IC.
</t>
          </r>
          <r>
            <rPr>
              <rFont val="Calibri"/>
              <b val="1"/>
              <sz val="10"/>
            </rPr>
            <t>The work:</t>
          </r>
          <r>
            <rPr>
              <rFont val="Calibri"/>
              <sz val="10"/>
            </rPr>
            <t xml:space="preserve"> Runs servers, AD/DNS, network, cloud, hosting, backup and DR.
At this level the role owns varied work; reviews juniors; go-to for a process.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Holders describe it with:</t>
          </r>
          <r>
            <rPr>
              <rFont val="Calibri"/>
              <sz val="10"/>
            </rPr>
            <t xml:space="preserve"> server · dns · security · cloud · monitoring · administration.</t>
          </r>
        </is>
      </c>
      <c r="V37" s="122" t="inlineStr">
        <is>
          <r>
            <rPr>
              <rFont val="Calibri"/>
              <b val="1"/>
              <sz val="10"/>
            </rPr>
            <t>Hire as:</t>
          </r>
          <r>
            <rPr>
              <rFont val="Calibri"/>
              <sz val="10"/>
            </rPr>
            <t xml:space="preserve"> System Administrator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B.Sc / diploma + certifications
</t>
          </r>
          <r>
            <rPr>
              <rFont val="Calibri"/>
              <b val="1"/>
              <sz val="10"/>
            </rPr>
            <t>Equivalent titles at peers:</t>
          </r>
          <r>
            <rPr>
              <rFont val="Calibri"/>
              <sz val="10"/>
            </rPr>
            <t xml:space="preserve"> Atlassian company-wide P-levels – P40 · IRIS Vs Competitor Benchmark — infrastructure ladder – System Administrator
</t>
          </r>
          <r>
            <rPr>
              <rFont val="Calibri"/>
              <b val="1"/>
              <sz val="10"/>
            </rPr>
            <t>Credentials:</t>
          </r>
          <r>
            <rPr>
              <rFont val="Calibri"/>
              <sz val="10"/>
            </rPr>
            <t xml:space="preserve"> Microsoft / CCNA / ISO 27001 / ITIL; AWS / Azure / Kubernetes certifications
</t>
          </r>
          <r>
            <rPr>
              <rFont val="Calibri"/>
              <b val="1"/>
              <sz val="10"/>
            </rPr>
            <t>Must already know:</t>
          </r>
          <r>
            <rPr>
              <rFont val="Calibri"/>
              <sz val="10"/>
            </rPr>
            <t xml:space="preserve"> ISO 27001 / InfoSec controls</t>
          </r>
        </is>
      </c>
      <c r="W37" s="122" t="inlineStr">
        <is>
          <r>
            <rPr>
              <rFont val="Calibri"/>
              <sz val="10"/>
            </rPr>
            <t xml:space="preserve">FUNCTIONAL — skill level 3 of 5 · Practitioner
 ★ Cybersecurity &amp; Infrastructure: Administers secure servers, networks and access
 ★ Cloud, DevOps &amp; CI/CD: Builds and runs CI/CD pipelines and environments
 •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Infra
★ = must-have for the family. Scale: 1 Awareness · 2 Working · 3 Practitioner · 4 Advanced · 5 Expert.</t>
          </r>
        </is>
      </c>
      <c r="X37" s="122" t="inlineStr">
        <is>
          <r>
            <rPr>
              <rFont val="Calibri"/>
              <sz val="10"/>
            </rPr>
            <t xml:space="preserve">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7" s="123" t="inlineStr">
        <is>
          <t>Corporate · IT &amp; Infrastructure · Band A · Early career</t>
        </is>
      </c>
      <c r="Z37" s="124" t="n">
        <v>2</v>
      </c>
      <c r="AA37" s="125">
        <f>IFERROR(INDEX(WM_C,MATCH($Y37,WM_KEY,0)),"")</f>
        <v>0.64</v>
      </c>
      <c r="AB37" s="126">
        <f>IF(Z37="","",Z37*AA37)</f>
        <v>1.28</v>
      </c>
      <c r="AC37" s="124" t="n">
        <v>2</v>
      </c>
      <c r="AD37" s="125">
        <f>IFERROR(INDEX(WM_AU,MATCH($Y37,WM_KEY,0)),"")</f>
        <v>0.16</v>
      </c>
      <c r="AE37" s="126">
        <f>IF(AC37="","",AC37*AD37)</f>
        <v>0.32</v>
      </c>
      <c r="AF37" s="124" t="n">
        <v>2</v>
      </c>
      <c r="AG37" s="125">
        <f>IFERROR(INDEX(WM_AC,MATCH($Y37,WM_KEY,0)),"")</f>
        <v>0.04</v>
      </c>
      <c r="AH37" s="126">
        <f>IF(AF37="","",AF37*AG37)</f>
        <v>0.08</v>
      </c>
      <c r="AI37" s="124" t="n">
        <v>1</v>
      </c>
      <c r="AJ37" s="125">
        <f>IFERROR(INDEX(WM_L,MATCH($Y37,WM_KEY,0)),"")</f>
        <v>0</v>
      </c>
      <c r="AK37" s="126">
        <f>IF(AI37="","",AI37*AJ37)</f>
        <v>0</v>
      </c>
      <c r="AL37" s="124" t="n">
        <v>3</v>
      </c>
      <c r="AM37" s="125">
        <f>IFERROR(INDEX(WM_E,MATCH($Y37,WM_KEY,0)),"")</f>
        <v>0.1</v>
      </c>
      <c r="AN37" s="126">
        <f>IF(AL37="","",AL37*AM37)</f>
        <v>0.3</v>
      </c>
      <c r="AO37" s="127" t="n">
        <v>2</v>
      </c>
      <c r="AP37" s="125">
        <f>IFERROR(INDEX(WM_BI,MATCH($Y37,WM_KEY,0)),"")</f>
        <v>0.06</v>
      </c>
      <c r="AQ37" s="126">
        <f>IF(AO37="","",AO37*AP37)</f>
        <v>0.12</v>
      </c>
      <c r="AR37" s="126">
        <f>IF(COUNT(AB37,AE37,AH37,AK37,AN37,AQ37)&lt;6,"",SUM(AB37,AE37,AH37,AK37,AN37,AQ37))</f>
        <v>2.1</v>
      </c>
      <c r="AS37" s="128" t="str">
        <f>IF(AR37="","",INDEX({"A1","A2","A3","B1","B2","B3","C1","C2","D1","D2","E1","E2"},MAX(1,MIN(12,ROUND(AR37,0)))))</f>
        <v>A2</v>
      </c>
      <c r="AT37"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7" s="130" t="inlineStr">
        <is>
          <r>
            <rPr>
              <rFont val="Calibri"/>
              <b val="1"/>
              <sz val="10"/>
            </rPr>
            <t>At build:</t>
          </r>
          <r>
            <rPr>
              <rFont val="Calibri"/>
              <sz val="10"/>
            </rPr>
            <t xml:space="preserve"> Complexity 1.28 + Autonomy 0.32 + Accountability 0.08 + Leadership 0.00 + Experience 0.30 + Business impact 0.12
= 2.10 points → nearest level 2 = A2
</t>
          </r>
          <r>
            <rPr>
              <rFont val="Calibri"/>
              <b val="1"/>
              <sz val="10"/>
            </rPr>
            <t>Final level:</t>
          </r>
          <r>
            <rPr>
              <rFont val="Calibri"/>
              <sz val="10"/>
            </rPr>
            <t xml:space="preserve"> A3 · a rule applied: see the next column</t>
          </r>
        </is>
      </c>
      <c r="AV37" s="130" t="inlineStr">
        <is>
          <r>
            <rPr>
              <rFont val="Calibri"/>
              <sz val="10"/>
            </rPr>
            <t xml:space="preserve">• </t>
          </r>
          <r>
            <rPr>
              <rFont val="Calibri"/>
              <b val="1"/>
              <sz val="10"/>
            </rPr>
            <t>Raised to A3:</t>
          </r>
          <r>
            <rPr>
              <rFont val="Calibri"/>
              <sz val="10"/>
            </rPr>
            <t xml:space="preserve"> 3.6 years' experience is 2 years or more.
</t>
          </r>
          <r>
            <rPr>
              <rFont val="Calibri"/>
              <b val="1"/>
              <sz val="10"/>
            </rPr>
            <t>Final level:</t>
          </r>
          <r>
            <rPr>
              <rFont val="Calibri"/>
              <sz val="10"/>
            </rPr>
            <t xml:space="preserve"> A3.</t>
          </r>
        </is>
      </c>
      <c r="AW37" s="140"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Standard work of the discipline</t>
          </r>
        </is>
      </c>
      <c r="AX37" s="141"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Chooses own approach within standards</t>
          </r>
        </is>
      </c>
      <c r="AY37" s="141"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Own deliverables · accuracy, TAT</t>
          </r>
        </is>
      </c>
      <c r="AZ37" s="141" t="inlineStr">
        <is>
          <r>
            <rPr>
              <rFont val="Calibri"/>
              <color rgb="009C0006"/>
              <sz val="10"/>
            </rPr>
            <t xml:space="preserve">Rated 1 of 12 — not counted: the weight is 0% at this level
</t>
          </r>
          <r>
            <rPr>
              <rFont val="Calibri"/>
              <b val="1"/>
              <color rgb="009C0006"/>
              <sz val="10"/>
            </rPr>
            <t>Start:</t>
          </r>
          <r>
            <rPr>
              <rFont val="Calibri"/>
              <color rgb="009C0006"/>
              <sz val="10"/>
            </rPr>
            <t xml:space="preserve"> 1.0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A1 = Not scored in Band A</t>
          </r>
        </is>
      </c>
      <c r="BA37" s="132" t="inlineStr">
        <is>
          <r>
            <rPr>
              <rFont val="Calibri"/>
              <sz val="10"/>
            </rPr>
            <t xml:space="preserve">Rated 3 of 12
</t>
          </r>
          <r>
            <rPr>
              <rFont val="Calibri"/>
              <b val="1"/>
              <sz val="10"/>
            </rPr>
            <t>Experience:</t>
          </r>
          <r>
            <rPr>
              <rFont val="Calibri"/>
              <sz val="10"/>
            </rPr>
            <t xml:space="preserve"> 3.6 yrs total · 3.0 before IRIS + 0.6 at IRIS = 3.2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A3 roles typically have 2–5 yrs · IRIS guide 2–4</t>
          </r>
        </is>
      </c>
      <c r="BB37"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37" s="142" t="inlineStr">
        <is>
          <t>• Survey response or KRAs describing the work · nothing on file — Employee + manager</t>
        </is>
      </c>
      <c r="BD37" s="134" t="inlineStr">
        <is>
          <t>✓ HRIS: 3.6 yrs, B.Sc, 0 direct reports
✗ Survey: no response
✗ KRAs: none on file
✓ Manager mapping: rating, 9-box
✗ Job description: not on file</t>
        </is>
      </c>
      <c r="BE37" s="134"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BF37" s="134" t="inlineStr">
        <is>
          <t>Low</t>
        </is>
      </c>
      <c r="BG37" s="134" t="inlineStr">
        <is>
          <t>• No survey answers or KRA — the role factors rest on designation and reporting lines only</t>
        </is>
      </c>
      <c r="BH37" s="134" t="inlineStr"/>
      <c r="BI37" s="135" t="n"/>
      <c r="BJ37" s="136" t="n"/>
      <c r="BK37" s="136" t="n"/>
      <c r="BL37" s="136" t="n"/>
      <c r="BM37" s="136" t="n"/>
      <c r="BN37" s="137" t="n"/>
      <c r="BO37" s="120" t="n"/>
      <c r="BP37" s="120" t="n"/>
      <c r="BQ37" s="120" t="n"/>
      <c r="BR37" s="120" t="n"/>
      <c r="BS37" s="120" t="n"/>
      <c r="BT37" s="120" t="n"/>
      <c r="BU37" s="120" t="n"/>
      <c r="BV37" s="120" t="n">
        <v>2</v>
      </c>
    </row>
    <row r="38" ht="340" customHeight="1">
      <c r="A38" s="109" t="inlineStr">
        <is>
          <t>IRIS2315</t>
        </is>
      </c>
      <c r="B38" s="110" t="inlineStr">
        <is>
          <t>Gouri Kohale</t>
        </is>
      </c>
      <c r="C38" s="111" t="inlineStr">
        <is>
          <t>IT &amp; Infrastructure</t>
        </is>
      </c>
      <c r="D38" s="111" t="inlineStr">
        <is>
          <t>Vikas Mithbawkar</t>
        </is>
      </c>
      <c r="E38" s="112" t="n">
        <v>5.5</v>
      </c>
      <c r="F38" s="112" t="n">
        <v>2</v>
      </c>
      <c r="G38" s="111" t="inlineStr">
        <is>
          <t>B.E</t>
        </is>
      </c>
      <c r="H38" s="138" t="inlineStr">
        <is>
          <t>System Administrator</t>
        </is>
      </c>
      <c r="I38" s="115" t="inlineStr">
        <is>
          <t>Senior System Administrator</t>
        </is>
      </c>
      <c r="J38" s="114" t="inlineStr">
        <is>
          <t>IT &amp; Infrastructure</t>
        </is>
      </c>
      <c r="K38" s="114" t="inlineStr">
        <is>
          <t>Infrastructure &amp; Cloud Operations</t>
        </is>
      </c>
      <c r="L38" s="115" t="inlineStr">
        <is>
          <t>Not in current mapping files</t>
        </is>
      </c>
      <c r="M38" s="116" t="inlineStr">
        <is>
          <t>A3</t>
        </is>
      </c>
      <c r="N38" s="139" t="inlineStr">
        <is>
          <t>Senior Associate</t>
        </is>
      </c>
      <c r="O38" s="26" t="inlineStr">
        <is>
          <t>A</t>
        </is>
      </c>
      <c r="P38" s="114" t="inlineStr">
        <is>
          <t>IC</t>
        </is>
      </c>
      <c r="Q38" s="117" t="inlineStr">
        <is>
          <t>● Newly mapped</t>
        </is>
      </c>
      <c r="R38" s="118" t="inlineStr">
        <is>
          <r>
            <rPr>
              <rFont val="Calibri"/>
              <b val="1"/>
              <sz val="10"/>
            </rPr>
            <t>WHAT THE ROLE DOES:</t>
          </r>
          <r>
            <rPr>
              <rFont val="Calibri"/>
              <sz val="10"/>
            </rPr>
            <t xml:space="preserve"> Runs servers, AD/DNS, network, cloud, hosting, backup and DR. At A3: varied work; reviews juniors; go-to for a process.
</t>
          </r>
          <r>
            <rPr>
              <rFont val="Calibri"/>
              <b val="1"/>
              <sz val="10"/>
            </rPr>
            <t>Common themes in role-holders' answers:</t>
          </r>
          <r>
            <rPr>
              <rFont val="Calibri"/>
              <sz val="10"/>
            </rPr>
            <t xml:space="preserve"> server · support · security · windows · infrastructure · system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Common themes in role-holders' answers:</t>
          </r>
          <r>
            <rPr>
              <rFont val="Calibri"/>
              <sz val="10"/>
            </rPr>
            <t xml:space="preserve"> server · dns · security · cloud · monitoring · administration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system · infrastructure · secure · availability · monitoring · disaster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availability · am · accountable · uptime · security · server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backup · optimize · monitor · resolve
</t>
          </r>
          <r>
            <rPr>
              <rFont val="Calibri"/>
              <b val="1"/>
              <sz val="10"/>
            </rPr>
            <t>SKILLS &amp; KNOWLEDGE · role-holders:</t>
          </r>
          <r>
            <rPr>
              <rFont val="Calibri"/>
              <sz val="10"/>
            </rPr>
            <t xml:space="preserve"> Infra
COMPETENCIES REQUIRED — must-have ★: Cybersecurity &amp; Infrastructure · Cloud, DevOps &amp; CI/CD
</t>
          </r>
          <r>
            <rPr>
              <rFont val="Calibri"/>
              <b val="1"/>
              <sz val="10"/>
            </rPr>
            <t>OTHER FUNCTIONAL COMPETENCIES:</t>
          </r>
          <r>
            <rPr>
              <rFont val="Calibri"/>
              <sz val="10"/>
            </rPr>
            <t xml:space="preserve"> Process Improvement &amp; Quality Mindset · Stakeholder &amp; Client Management · Time, Priority &amp; Self-Management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Microsoft / CCNA / ISO 27001 / ITIL; AWS / Azure / Kubernetes certifications
</t>
          </r>
          <r>
            <rPr>
              <rFont val="Calibri"/>
              <b val="1"/>
              <sz val="10"/>
            </rPr>
            <t>SOURCE:</t>
          </r>
          <r>
            <rPr>
              <rFont val="Calibri"/>
              <sz val="10"/>
            </rPr>
            <t xml:space="preserve"> Framework + role-holders' themes · 3+ answered — 8 holders, 6 answered the survey; sub-family 9 answered; catalogue RC-108</t>
          </r>
        </is>
      </c>
      <c r="S38"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T38" s="120" t="n"/>
      <c r="U38" s="121" t="inlineStr">
        <is>
          <r>
            <rPr>
              <rFont val="Calibri"/>
              <sz val="10"/>
            </rPr>
            <t xml:space="preserve">Senior System Administrator in IT &amp; Infrastructure · Corporate, A3 — IC.
</t>
          </r>
          <r>
            <rPr>
              <rFont val="Calibri"/>
              <b val="1"/>
              <sz val="10"/>
            </rPr>
            <t>The work:</t>
          </r>
          <r>
            <rPr>
              <rFont val="Calibri"/>
              <sz val="10"/>
            </rPr>
            <t xml:space="preserve"> Runs servers, AD/DNS, network, cloud, hosting, backup and DR.
At this level the role owns varied work; reviews juniors; go-to for a process.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Holders describe it with:</t>
          </r>
          <r>
            <rPr>
              <rFont val="Calibri"/>
              <sz val="10"/>
            </rPr>
            <t xml:space="preserve"> server · dns · security · cloud · monitoring · administration.</t>
          </r>
        </is>
      </c>
      <c r="V38" s="122" t="inlineStr">
        <is>
          <r>
            <rPr>
              <rFont val="Calibri"/>
              <b val="1"/>
              <sz val="10"/>
            </rPr>
            <t>Hire as:</t>
          </r>
          <r>
            <rPr>
              <rFont val="Calibri"/>
              <sz val="10"/>
            </rPr>
            <t xml:space="preserve"> System Administrator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B.Sc / diploma + certifications
</t>
          </r>
          <r>
            <rPr>
              <rFont val="Calibri"/>
              <b val="1"/>
              <sz val="10"/>
            </rPr>
            <t>Equivalent titles at peers:</t>
          </r>
          <r>
            <rPr>
              <rFont val="Calibri"/>
              <sz val="10"/>
            </rPr>
            <t xml:space="preserve"> Atlassian company-wide P-levels – P40 · IRIS Vs Competitor Benchmark — infrastructure ladder – System Administrator
</t>
          </r>
          <r>
            <rPr>
              <rFont val="Calibri"/>
              <b val="1"/>
              <sz val="10"/>
            </rPr>
            <t>Credentials:</t>
          </r>
          <r>
            <rPr>
              <rFont val="Calibri"/>
              <sz val="10"/>
            </rPr>
            <t xml:space="preserve"> Microsoft / CCNA / ISO 27001 / ITIL; AWS / Azure / Kubernetes certifications
</t>
          </r>
          <r>
            <rPr>
              <rFont val="Calibri"/>
              <b val="1"/>
              <sz val="10"/>
            </rPr>
            <t>Must already know:</t>
          </r>
          <r>
            <rPr>
              <rFont val="Calibri"/>
              <sz val="10"/>
            </rPr>
            <t xml:space="preserve"> ISO 27001 / InfoSec controls</t>
          </r>
        </is>
      </c>
      <c r="W38" s="122" t="inlineStr">
        <is>
          <r>
            <rPr>
              <rFont val="Calibri"/>
              <sz val="10"/>
            </rPr>
            <t xml:space="preserve">FUNCTIONAL — skill level 3 of 5 · Practitioner
 ★ Cybersecurity &amp; Infrastructure: Administers secure servers, networks and access
 ★ Cloud, DevOps &amp; CI/CD: Builds and runs CI/CD pipelines and environments
 •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Infra
★ = must-have for the family. Scale: 1 Awareness · 2 Working · 3 Practitioner · 4 Advanced · 5 Expert.</t>
          </r>
        </is>
      </c>
      <c r="X38" s="122" t="inlineStr">
        <is>
          <r>
            <rPr>
              <rFont val="Calibri"/>
              <sz val="10"/>
            </rPr>
            <t xml:space="preserve">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8" s="123" t="inlineStr">
        <is>
          <t>Corporate · IT &amp; Infrastructure · Band A · Early career</t>
        </is>
      </c>
      <c r="Z38" s="124" t="n">
        <v>2.5</v>
      </c>
      <c r="AA38" s="125">
        <f>IFERROR(INDEX(WM_C,MATCH($Y38,WM_KEY,0)),"")</f>
        <v>0.64</v>
      </c>
      <c r="AB38" s="126">
        <f>IF(Z38="","",Z38*AA38)</f>
        <v>1.6</v>
      </c>
      <c r="AC38" s="124" t="n">
        <v>2.5</v>
      </c>
      <c r="AD38" s="125">
        <f>IFERROR(INDEX(WM_AU,MATCH($Y38,WM_KEY,0)),"")</f>
        <v>0.16</v>
      </c>
      <c r="AE38" s="126">
        <f>IF(AC38="","",AC38*AD38)</f>
        <v>0.4</v>
      </c>
      <c r="AF38" s="124" t="n">
        <v>2.5</v>
      </c>
      <c r="AG38" s="125">
        <f>IFERROR(INDEX(WM_AC,MATCH($Y38,WM_KEY,0)),"")</f>
        <v>0.04</v>
      </c>
      <c r="AH38" s="126">
        <f>IF(AF38="","",AF38*AG38)</f>
        <v>0.1</v>
      </c>
      <c r="AI38" s="124" t="n">
        <v>1.5</v>
      </c>
      <c r="AJ38" s="125">
        <f>IFERROR(INDEX(WM_L,MATCH($Y38,WM_KEY,0)),"")</f>
        <v>0</v>
      </c>
      <c r="AK38" s="126">
        <f>IF(AI38="","",AI38*AJ38)</f>
        <v>0</v>
      </c>
      <c r="AL38" s="124" t="n">
        <v>4</v>
      </c>
      <c r="AM38" s="125">
        <f>IFERROR(INDEX(WM_E,MATCH($Y38,WM_KEY,0)),"")</f>
        <v>0.1</v>
      </c>
      <c r="AN38" s="126">
        <f>IF(AL38="","",AL38*AM38)</f>
        <v>0.4</v>
      </c>
      <c r="AO38" s="127" t="n">
        <v>2.5</v>
      </c>
      <c r="AP38" s="125">
        <f>IFERROR(INDEX(WM_BI,MATCH($Y38,WM_KEY,0)),"")</f>
        <v>0.06</v>
      </c>
      <c r="AQ38" s="126">
        <f>IF(AO38="","",AO38*AP38)</f>
        <v>0.15</v>
      </c>
      <c r="AR38" s="126">
        <f>IF(COUNT(AB38,AE38,AH38,AK38,AN38,AQ38)&lt;6,"",SUM(AB38,AE38,AH38,AK38,AN38,AQ38))</f>
        <v>2.65</v>
      </c>
      <c r="AS38" s="128" t="str">
        <f>IF(AR38="","",INDEX({"A1","A2","A3","B1","B2","B3","C1","C2","D1","D2","E1","E2"},MAX(1,MIN(12,ROUND(AR38,0)))))</f>
        <v>A3</v>
      </c>
      <c r="AT38"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8" s="130" t="inlineStr">
        <is>
          <r>
            <rPr>
              <rFont val="Calibri"/>
              <b val="1"/>
              <sz val="10"/>
            </rPr>
            <t>At build:</t>
          </r>
          <r>
            <rPr>
              <rFont val="Calibri"/>
              <sz val="10"/>
            </rPr>
            <t xml:space="preserve"> Complexity 1.60 + Autonomy 0.40 + Accountability 0.10 + Leadership 0.00 + Experience 0.40 + Business impact 0.15
= 2.65 points → nearest level 3 = A3
</t>
          </r>
          <r>
            <rPr>
              <rFont val="Calibri"/>
              <b val="1"/>
              <sz val="10"/>
            </rPr>
            <t>Final level:</t>
          </r>
          <r>
            <rPr>
              <rFont val="Calibri"/>
              <sz val="10"/>
            </rPr>
            <t xml:space="preserve"> A3 · same as the score</t>
          </r>
        </is>
      </c>
      <c r="AV38" s="130" t="inlineStr">
        <is>
          <r>
            <rPr>
              <rFont val="Calibri"/>
              <b val="1"/>
              <sz val="10"/>
            </rPr>
            <t>No rule applied:</t>
          </r>
          <r>
            <rPr>
              <rFont val="Calibri"/>
              <sz val="10"/>
            </rPr>
            <t xml:space="preserve"> the score decides.</t>
          </r>
        </is>
      </c>
      <c r="AW38" s="131"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Monitors DR site servers, checks availability, troubleshoots and resolves server incidents → moved down 0.5
</t>
          </r>
          <r>
            <rPr>
              <rFont val="Calibri"/>
              <b val="1"/>
              <sz val="10"/>
            </rPr>
            <t>Market:</t>
          </r>
          <r>
            <rPr>
              <rFont val="Calibri"/>
              <sz val="10"/>
            </rPr>
            <t xml:space="preserve"> A2 = Standard work of the discipline · A3 = Varied and non-standard work; handles exceptions</t>
          </r>
        </is>
      </c>
      <c r="AX38"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Only independent item named is monitoring DR servers → moved down 0.5
</t>
          </r>
          <r>
            <rPr>
              <rFont val="Calibri"/>
              <b val="1"/>
              <sz val="10"/>
            </rPr>
            <t>Market:</t>
          </r>
          <r>
            <rPr>
              <rFont val="Calibri"/>
              <sz val="10"/>
            </rPr>
            <t xml:space="preserve"> A2 = Chooses own approach within standards · A3 = Technical / QC / client calls on own work</t>
          </r>
        </is>
      </c>
      <c r="AY38"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Own monitoring and timely resolution of DR server issues; DR readiness → moved down 0.5
</t>
          </r>
          <r>
            <rPr>
              <rFont val="Calibri"/>
              <b val="1"/>
              <sz val="10"/>
            </rPr>
            <t>Market:</t>
          </r>
          <r>
            <rPr>
              <rFont val="Calibri"/>
              <sz val="10"/>
            </rPr>
            <t xml:space="preserve"> A2 = Own deliverables · accuracy, TAT · A3 = A module / process, or work with client or regulatory consequences</t>
          </r>
        </is>
      </c>
      <c r="AZ38"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38" s="132" t="inlineStr">
        <is>
          <r>
            <rPr>
              <rFont val="Calibri"/>
              <sz val="10"/>
            </rPr>
            <t xml:space="preserve">Rated 4 of 12
</t>
          </r>
          <r>
            <rPr>
              <rFont val="Calibri"/>
              <b val="1"/>
              <sz val="10"/>
            </rPr>
            <t>Experience:</t>
          </r>
          <r>
            <rPr>
              <rFont val="Calibri"/>
              <sz val="10"/>
            </rPr>
            <t xml:space="preserve"> 5.5 yrs total · 3.5 before IRIS + 2.0 at IRIS = 4.0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38"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38" s="133" t="inlineStr"/>
      <c r="BD38" s="134" t="inlineStr">
        <is>
          <t>✓ HRIS: 5.5 yrs, B.E, 0 direct reports
✓ Survey: 20 of 20 questions answered
✗ KRAs: none on file
✓ Manager mapping: rating, 9-box
✗ Job description: not on file</t>
        </is>
      </c>
      <c r="BE38" s="134"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BF38" s="134" t="inlineStr">
        <is>
          <t>High</t>
        </is>
      </c>
      <c r="BG38" s="134" t="inlineStr"/>
      <c r="BH38" s="134" t="inlineStr"/>
      <c r="BI38" s="135" t="n"/>
      <c r="BJ38" s="136" t="n"/>
      <c r="BK38" s="136" t="n"/>
      <c r="BL38" s="136" t="n"/>
      <c r="BM38" s="136" t="n"/>
      <c r="BN38" s="137" t="n"/>
      <c r="BO38" s="120" t="n"/>
      <c r="BP38" s="120" t="n"/>
      <c r="BQ38" s="120" t="n"/>
      <c r="BR38" s="120" t="n"/>
      <c r="BS38" s="120" t="n"/>
      <c r="BT38" s="120" t="n"/>
      <c r="BU38" s="120" t="n"/>
      <c r="BV38" s="120" t="n">
        <v>2.5</v>
      </c>
    </row>
    <row r="39" ht="340" customHeight="1">
      <c r="A39" s="109" t="inlineStr">
        <is>
          <t>IRIS2206</t>
        </is>
      </c>
      <c r="B39" s="110" t="inlineStr">
        <is>
          <t>Hemant Chordekar</t>
        </is>
      </c>
      <c r="C39" s="111" t="inlineStr">
        <is>
          <t>IT &amp; Infrastructure</t>
        </is>
      </c>
      <c r="D39" s="111" t="inlineStr">
        <is>
          <t>Vikas Mithbawkar</t>
        </is>
      </c>
      <c r="E39" s="112" t="n">
        <v>20.7</v>
      </c>
      <c r="F39" s="112" t="n">
        <v>2.9</v>
      </c>
      <c r="G39" s="111" t="inlineStr">
        <is>
          <t>Undergraduate</t>
        </is>
      </c>
      <c r="H39" s="138" t="inlineStr">
        <is>
          <t>System Administrator</t>
        </is>
      </c>
      <c r="I39" s="115" t="inlineStr">
        <is>
          <t>Infrastructure Specialist</t>
        </is>
      </c>
      <c r="J39" s="114" t="inlineStr">
        <is>
          <t>IT &amp; Infrastructure</t>
        </is>
      </c>
      <c r="K39" s="114" t="inlineStr">
        <is>
          <t>Infrastructure &amp; Cloud Operations</t>
        </is>
      </c>
      <c r="L39" s="115" t="inlineStr">
        <is>
          <t>Not in current mapping files</t>
        </is>
      </c>
      <c r="M39" s="116" t="inlineStr">
        <is>
          <t>A3</t>
        </is>
      </c>
      <c r="N39" s="139" t="inlineStr">
        <is>
          <t>Senior Associate</t>
        </is>
      </c>
      <c r="O39" s="26" t="inlineStr">
        <is>
          <t>A</t>
        </is>
      </c>
      <c r="P39" s="114" t="inlineStr">
        <is>
          <t>IC</t>
        </is>
      </c>
      <c r="Q39" s="117" t="inlineStr">
        <is>
          <t>● Newly mapped</t>
        </is>
      </c>
      <c r="R39" s="118" t="inlineStr">
        <is>
          <r>
            <rPr>
              <rFont val="Calibri"/>
              <b val="1"/>
              <sz val="10"/>
            </rPr>
            <t>WHAT THE ROLE DOES:</t>
          </r>
          <r>
            <rPr>
              <rFont val="Calibri"/>
              <sz val="10"/>
            </rPr>
            <t xml:space="preserve"> Runs servers, AD/DNS, network, cloud, hosting, backup and DR. At A3: varied work; reviews juniors; go-to for a process.
</t>
          </r>
          <r>
            <rPr>
              <rFont val="Calibri"/>
              <b val="1"/>
              <sz val="10"/>
            </rPr>
            <t>Common themes in role-holders' answers:</t>
          </r>
          <r>
            <rPr>
              <rFont val="Calibri"/>
              <sz val="10"/>
            </rPr>
            <t xml:space="preserve"> server · support · security · windows · infrastructure · system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Common themes in role-holders' answers:</t>
          </r>
          <r>
            <rPr>
              <rFont val="Calibri"/>
              <sz val="10"/>
            </rPr>
            <t xml:space="preserve"> server · dns · security · cloud · monitoring · administration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system · infrastructure · secure · availability · monitoring · disaster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availability · am · accountable · uptime · security · server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backup · optimize · monitor · resolve
</t>
          </r>
          <r>
            <rPr>
              <rFont val="Calibri"/>
              <b val="1"/>
              <sz val="10"/>
            </rPr>
            <t>SKILLS &amp; KNOWLEDGE · role-holders:</t>
          </r>
          <r>
            <rPr>
              <rFont val="Calibri"/>
              <sz val="10"/>
            </rPr>
            <t xml:space="preserve"> Infra
COMPETENCIES REQUIRED — must-have ★: Cybersecurity &amp; Infrastructure · Cloud, DevOps &amp; CI/CD
</t>
          </r>
          <r>
            <rPr>
              <rFont val="Calibri"/>
              <b val="1"/>
              <sz val="10"/>
            </rPr>
            <t>OTHER FUNCTIONAL COMPETENCIES:</t>
          </r>
          <r>
            <rPr>
              <rFont val="Calibri"/>
              <sz val="10"/>
            </rPr>
            <t xml:space="preserve"> Process Improvement &amp; Quality Mindset · Stakeholder &amp; Client Management · Time, Priority &amp; Self-Management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Microsoft / CCNA / ISO 27001 / ITIL; AWS / Azure / Kubernetes certifications
</t>
          </r>
          <r>
            <rPr>
              <rFont val="Calibri"/>
              <b val="1"/>
              <sz val="10"/>
            </rPr>
            <t>SOURCE:</t>
          </r>
          <r>
            <rPr>
              <rFont val="Calibri"/>
              <sz val="10"/>
            </rPr>
            <t xml:space="preserve"> Framework + role-holders' themes · 3+ answered — 8 holders, 6 answered the survey; sub-family 9 answered; catalogue RC-108</t>
          </r>
        </is>
      </c>
      <c r="S3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T39" s="120" t="n"/>
      <c r="U39" s="121" t="inlineStr">
        <is>
          <r>
            <rPr>
              <rFont val="Calibri"/>
              <sz val="10"/>
            </rPr>
            <t xml:space="preserve">Infrastructure Specialist in IT &amp; Infrastructure · Corporate, A3 — IC.
</t>
          </r>
          <r>
            <rPr>
              <rFont val="Calibri"/>
              <b val="1"/>
              <sz val="10"/>
            </rPr>
            <t>The work:</t>
          </r>
          <r>
            <rPr>
              <rFont val="Calibri"/>
              <sz val="10"/>
            </rPr>
            <t xml:space="preserve"> Runs servers, AD/DNS, network, cloud, hosting, backup and DR.
At this level the role owns varied work; reviews juniors; go-to for a process.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Holders describe it with:</t>
          </r>
          <r>
            <rPr>
              <rFont val="Calibri"/>
              <sz val="10"/>
            </rPr>
            <t xml:space="preserve"> server · dns · security · cloud · monitoring · administration.</t>
          </r>
        </is>
      </c>
      <c r="V39" s="122" t="inlineStr">
        <is>
          <r>
            <rPr>
              <rFont val="Calibri"/>
              <b val="1"/>
              <sz val="10"/>
            </rPr>
            <t>Hire as:</t>
          </r>
          <r>
            <rPr>
              <rFont val="Calibri"/>
              <sz val="10"/>
            </rPr>
            <t xml:space="preserve"> Senior System Administrator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B.Sc / diploma + certifications
</t>
          </r>
          <r>
            <rPr>
              <rFont val="Calibri"/>
              <b val="1"/>
              <sz val="10"/>
            </rPr>
            <t>Equivalent titles at peers:</t>
          </r>
          <r>
            <rPr>
              <rFont val="Calibri"/>
              <sz val="10"/>
            </rPr>
            <t xml:space="preserve"> Atlassian company-wide P-levels – P40 · IRIS Vs Competitor Benchmark — infrastructure ladder – System Administrator
</t>
          </r>
          <r>
            <rPr>
              <rFont val="Calibri"/>
              <b val="1"/>
              <sz val="10"/>
            </rPr>
            <t>Credentials:</t>
          </r>
          <r>
            <rPr>
              <rFont val="Calibri"/>
              <sz val="10"/>
            </rPr>
            <t xml:space="preserve"> Microsoft / CCNA / ISO 27001 / ITIL; AWS / Azure / Kubernetes certifications
</t>
          </r>
          <r>
            <rPr>
              <rFont val="Calibri"/>
              <b val="1"/>
              <sz val="10"/>
            </rPr>
            <t>Must already know:</t>
          </r>
          <r>
            <rPr>
              <rFont val="Calibri"/>
              <sz val="10"/>
            </rPr>
            <t xml:space="preserve"> ISO 27001 / InfoSec controls</t>
          </r>
        </is>
      </c>
      <c r="W39" s="122" t="inlineStr">
        <is>
          <r>
            <rPr>
              <rFont val="Calibri"/>
              <sz val="10"/>
            </rPr>
            <t xml:space="preserve">FUNCTIONAL — skill level 3 of 5 · Practitioner
 ★ Cybersecurity &amp; Infrastructure: Administers secure servers, networks and access
 ★ Cloud, DevOps &amp; CI/CD: Builds and runs CI/CD pipelines and environments
 •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Infra
★ = must-have for the family. Scale: 1 Awareness · 2 Working · 3 Practitioner · 4 Advanced · 5 Expert.</t>
          </r>
        </is>
      </c>
      <c r="X39" s="122" t="inlineStr">
        <is>
          <r>
            <rPr>
              <rFont val="Calibri"/>
              <sz val="10"/>
            </rPr>
            <t xml:space="preserve">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9" s="123" t="inlineStr">
        <is>
          <t>Corporate · IT &amp; Infrastructure · Band A · Early career</t>
        </is>
      </c>
      <c r="Z39" s="124" t="n">
        <v>3</v>
      </c>
      <c r="AA39" s="125">
        <f>IFERROR(INDEX(WM_C,MATCH($Y39,WM_KEY,0)),"")</f>
        <v>0.64</v>
      </c>
      <c r="AB39" s="126">
        <f>IF(Z39="","",Z39*AA39)</f>
        <v>1.92</v>
      </c>
      <c r="AC39" s="124" t="n">
        <v>2.5</v>
      </c>
      <c r="AD39" s="125">
        <f>IFERROR(INDEX(WM_AU,MATCH($Y39,WM_KEY,0)),"")</f>
        <v>0.16</v>
      </c>
      <c r="AE39" s="126">
        <f>IF(AC39="","",AC39*AD39)</f>
        <v>0.4</v>
      </c>
      <c r="AF39" s="124" t="n">
        <v>3</v>
      </c>
      <c r="AG39" s="125">
        <f>IFERROR(INDEX(WM_AC,MATCH($Y39,WM_KEY,0)),"")</f>
        <v>0.04</v>
      </c>
      <c r="AH39" s="126">
        <f>IF(AF39="","",AF39*AG39)</f>
        <v>0.12</v>
      </c>
      <c r="AI39" s="124" t="n">
        <v>1.5</v>
      </c>
      <c r="AJ39" s="125">
        <f>IFERROR(INDEX(WM_L,MATCH($Y39,WM_KEY,0)),"")</f>
        <v>0</v>
      </c>
      <c r="AK39" s="126">
        <f>IF(AI39="","",AI39*AJ39)</f>
        <v>0</v>
      </c>
      <c r="AL39" s="124" t="n">
        <v>9.5</v>
      </c>
      <c r="AM39" s="125">
        <f>IFERROR(INDEX(WM_E,MATCH($Y39,WM_KEY,0)),"")</f>
        <v>0.1</v>
      </c>
      <c r="AN39" s="126">
        <f>IF(AL39="","",AL39*AM39)</f>
        <v>0.95</v>
      </c>
      <c r="AO39" s="127" t="n">
        <v>3</v>
      </c>
      <c r="AP39" s="125">
        <f>IFERROR(INDEX(WM_BI,MATCH($Y39,WM_KEY,0)),"")</f>
        <v>0.06</v>
      </c>
      <c r="AQ39" s="126">
        <f>IF(AO39="","",AO39*AP39)</f>
        <v>0.18</v>
      </c>
      <c r="AR39" s="126">
        <f>IF(COUNT(AB39,AE39,AH39,AK39,AN39,AQ39)&lt;6,"",SUM(AB39,AE39,AH39,AK39,AN39,AQ39))</f>
        <v>3.57</v>
      </c>
      <c r="AS39" s="128" t="str">
        <f>IF(AR39="","",INDEX({"A1","A2","A3","B1","B2","B3","C1","C2","D1","D2","E1","E2"},MAX(1,MIN(12,ROUND(AR39,0)))))</f>
        <v>B1</v>
      </c>
      <c r="AT39"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39" s="130" t="inlineStr">
        <is>
          <r>
            <rPr>
              <rFont val="Calibri"/>
              <b val="1"/>
              <sz val="10"/>
            </rPr>
            <t>At build:</t>
          </r>
          <r>
            <rPr>
              <rFont val="Calibri"/>
              <sz val="10"/>
            </rPr>
            <t xml:space="preserve"> Complexity 1.92 + Autonomy 0.40 + Accountability 0.12 + Leadership 0.00 + Experience 0.95 + Business impact 0.18
= 3.57 points → nearest level 4 = B1
</t>
          </r>
          <r>
            <rPr>
              <rFont val="Calibri"/>
              <b val="1"/>
              <sz val="10"/>
            </rPr>
            <t>Final level:</t>
          </r>
          <r>
            <rPr>
              <rFont val="Calibri"/>
              <sz val="10"/>
            </rPr>
            <t xml:space="preserve"> A3 · a rule applied: see the next column</t>
          </r>
        </is>
      </c>
      <c r="AV39" s="130"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3.49.
</t>
          </r>
          <r>
            <rPr>
              <rFont val="Calibri"/>
              <b val="1"/>
              <sz val="10"/>
            </rPr>
            <t>Final level:</t>
          </r>
          <r>
            <rPr>
              <rFont val="Calibri"/>
              <sz val="10"/>
            </rPr>
            <t xml:space="preserve"> A3.</t>
          </r>
        </is>
      </c>
      <c r="AW39"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5 colleagues in the same role and department · no usable answers of their own → no change
</t>
          </r>
          <r>
            <rPr>
              <rFont val="Calibri"/>
              <b val="1"/>
              <sz val="10"/>
            </rPr>
            <t>Market:</t>
          </r>
          <r>
            <rPr>
              <rFont val="Calibri"/>
              <sz val="10"/>
            </rPr>
            <t xml:space="preserve"> A3 = Varied and non-standard work; handles exceptions</t>
          </r>
        </is>
      </c>
      <c r="AX39"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t>
          </r>
          <r>
            <rPr>
              <rFont val="Calibri"/>
              <sz val="10"/>
            </rPr>
            <t xml:space="preserve"> rated like 5 colleagues in the same role and department · no usable answers of their own → moved −0.5
</t>
          </r>
          <r>
            <rPr>
              <rFont val="Calibri"/>
              <b val="1"/>
              <sz val="10"/>
            </rPr>
            <t>Market:</t>
          </r>
          <r>
            <rPr>
              <rFont val="Calibri"/>
              <sz val="10"/>
            </rPr>
            <t xml:space="preserve"> A2 = Chooses own approach within standards · A3 = Technical / QC / client calls on own work</t>
          </r>
        </is>
      </c>
      <c r="AY39"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5 colleagues in the same role and department · no usable answers of their own → no change
</t>
          </r>
          <r>
            <rPr>
              <rFont val="Calibri"/>
              <b val="1"/>
              <sz val="10"/>
            </rPr>
            <t>Market:</t>
          </r>
          <r>
            <rPr>
              <rFont val="Calibri"/>
              <sz val="10"/>
            </rPr>
            <t xml:space="preserve"> A3 = A module / process, or work with client or regulatory consequences</t>
          </r>
        </is>
      </c>
      <c r="AZ39"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t>
          </r>
          <r>
            <rPr>
              <rFont val="Calibri"/>
              <sz val="10"/>
            </rPr>
            <t xml:space="preserve"> rated like 5 colleagues in the same role and department · no usable answers of their own → moved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39" s="132" t="inlineStr">
        <is>
          <r>
            <rPr>
              <rFont val="Calibri"/>
              <sz val="10"/>
            </rPr>
            <t xml:space="preserve">Rated 9.5 of 12 · between D1 and D2
</t>
          </r>
          <r>
            <rPr>
              <rFont val="Calibri"/>
              <b val="1"/>
              <sz val="10"/>
            </rPr>
            <t>Experience:</t>
          </r>
          <r>
            <rPr>
              <rFont val="Calibri"/>
              <sz val="10"/>
            </rPr>
            <t xml:space="preserve"> 20.7 yrs total · 17.8 before IRIS + 2.9 at IRIS = 9.9 on the experience scale
</t>
          </r>
          <r>
            <rPr>
              <rFont val="Calibri"/>
              <b val="1"/>
              <sz val="10"/>
            </rPr>
            <t>Qualification:</t>
          </r>
          <r>
            <rPr>
              <rFont val="Calibri"/>
              <sz val="10"/>
            </rPr>
            <t xml:space="preserve"> Undergraduate · below graduate → −0.5
</t>
          </r>
          <r>
            <rPr>
              <rFont val="Calibri"/>
              <b val="1"/>
              <sz val="10"/>
            </rPr>
            <t>Market:</t>
          </r>
          <r>
            <rPr>
              <rFont val="Calibri"/>
              <sz val="10"/>
            </rPr>
            <t xml:space="preserve"> A3 roles typically have 2–5 yrs · IRIS guide 2–4</t>
          </r>
        </is>
      </c>
      <c r="BB39"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39" s="142" t="inlineStr">
        <is>
          <t>• Survey response or KRAs describing the work · nothing on file — Employee + manager</t>
        </is>
      </c>
      <c r="BD39" s="134" t="inlineStr">
        <is>
          <t>✓ HRIS: 20.7 yrs, Undergraduate, 0 direct reports
✗ Survey: no response
✗ KRAs: none on file
✓ Manager mapping: rating, 9-box
✗ Job description: not on file</t>
        </is>
      </c>
      <c r="BE39" s="134" t="inlineStr">
        <is>
          <r>
            <rPr>
              <rFont val="Calibri"/>
              <b val="1"/>
              <sz val="10"/>
            </rPr>
            <t>Market level:</t>
          </r>
          <r>
            <rPr>
              <rFont val="Calibri"/>
              <sz val="10"/>
            </rPr>
            <t xml:space="preserve"> P2 · SFIA 3 Apply
</t>
          </r>
          <r>
            <rPr>
              <rFont val="Calibri"/>
              <b val="1"/>
              <sz val="10"/>
            </rPr>
            <t>Typical title:</t>
          </r>
          <r>
            <rPr>
              <rFont val="Calibri"/>
              <sz val="10"/>
            </rPr>
            <t xml:space="preserve"> Senior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BF39" s="134" t="inlineStr">
        <is>
          <t>Low</t>
        </is>
      </c>
      <c r="BG39" s="134" t="inlineStr">
        <is>
          <r>
            <rPr>
              <rFont val="Calibri"/>
              <sz val="10"/>
            </rPr>
            <t xml:space="preserve">• No survey answers or KRA — the role factors rest on designation and reporting lines only
• </t>
          </r>
          <r>
            <rPr>
              <rFont val="Calibri"/>
              <b val="1"/>
              <sz val="10"/>
            </rPr>
            <t>Near a gate:</t>
          </r>
          <r>
            <rPr>
              <rFont val="Calibri"/>
              <sz val="10"/>
            </rPr>
            <t xml:space="preserve"> top of band: 3.49 on Band B's weights, 0.01 short of the 3.5 needed to enter Band B — calibrate before confirming</t>
          </r>
        </is>
      </c>
      <c r="BH39" s="148" t="inlineStr">
        <is>
          <t>Near a gate: top of band: 3.49 on Band B's weights, 0.01 short of the 3.5 needed to enter Band B</t>
        </is>
      </c>
      <c r="BI39" s="135" t="n"/>
      <c r="BJ39" s="136" t="n"/>
      <c r="BK39" s="136" t="n"/>
      <c r="BL39" s="136" t="n"/>
      <c r="BM39" s="136" t="n"/>
      <c r="BN39" s="137" t="n"/>
      <c r="BO39" s="120" t="n"/>
      <c r="BP39" s="120" t="n"/>
      <c r="BQ39" s="120" t="n"/>
      <c r="BR39" s="120" t="n"/>
      <c r="BS39" s="120" t="n"/>
      <c r="BT39" s="120" t="n"/>
      <c r="BU39" s="120" t="n"/>
      <c r="BV39" s="120" t="n">
        <v>3</v>
      </c>
    </row>
    <row r="40" ht="340" customHeight="1">
      <c r="A40" s="109" t="inlineStr">
        <is>
          <t>IRISC298</t>
        </is>
      </c>
      <c r="B40" s="110" t="inlineStr">
        <is>
          <t>Ketan Balbhadra Yadav</t>
        </is>
      </c>
      <c r="C40" s="111" t="inlineStr">
        <is>
          <t>IT &amp; Infrastructure</t>
        </is>
      </c>
      <c r="D40" s="111" t="inlineStr">
        <is>
          <t>Vikas Mithbawkar</t>
        </is>
      </c>
      <c r="E40" s="112" t="n">
        <v>3.4</v>
      </c>
      <c r="F40" s="112" t="n">
        <v>1.9</v>
      </c>
      <c r="G40" s="111" t="inlineStr">
        <is>
          <t>B.SC</t>
        </is>
      </c>
      <c r="H40" s="138" t="inlineStr">
        <is>
          <t>Consultant</t>
        </is>
      </c>
      <c r="I40" s="115" t="inlineStr">
        <is>
          <t>Senior System Administrator</t>
        </is>
      </c>
      <c r="J40" s="114" t="inlineStr">
        <is>
          <t>IT &amp; Infrastructure</t>
        </is>
      </c>
      <c r="K40" s="114" t="inlineStr">
        <is>
          <t>Infrastructure &amp; Cloud Operations</t>
        </is>
      </c>
      <c r="L40" s="115" t="inlineStr">
        <is>
          <t>Not in current mapping files</t>
        </is>
      </c>
      <c r="M40" s="116" t="inlineStr">
        <is>
          <t>A3</t>
        </is>
      </c>
      <c r="N40" s="139" t="inlineStr">
        <is>
          <t>Senior Associate</t>
        </is>
      </c>
      <c r="O40" s="26" t="inlineStr">
        <is>
          <t>A</t>
        </is>
      </c>
      <c r="P40" s="114" t="inlineStr">
        <is>
          <t>IC</t>
        </is>
      </c>
      <c r="Q40" s="117" t="inlineStr">
        <is>
          <t>● Newly mapped</t>
        </is>
      </c>
      <c r="R40" s="118" t="inlineStr">
        <is>
          <r>
            <rPr>
              <rFont val="Calibri"/>
              <b val="1"/>
              <sz val="10"/>
            </rPr>
            <t>WHAT THE ROLE DOES:</t>
          </r>
          <r>
            <rPr>
              <rFont val="Calibri"/>
              <sz val="10"/>
            </rPr>
            <t xml:space="preserve"> Runs servers, AD/DNS, network, cloud, hosting, backup and DR. At A3: varied work; reviews juniors; go-to for a process.
</t>
          </r>
          <r>
            <rPr>
              <rFont val="Calibri"/>
              <b val="1"/>
              <sz val="10"/>
            </rPr>
            <t>Common themes in role-holders' answers:</t>
          </r>
          <r>
            <rPr>
              <rFont val="Calibri"/>
              <sz val="10"/>
            </rPr>
            <t xml:space="preserve"> server · support · security · windows · infrastructure · system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Common themes in role-holders' answers:</t>
          </r>
          <r>
            <rPr>
              <rFont val="Calibri"/>
              <sz val="10"/>
            </rPr>
            <t xml:space="preserve"> server · dns · security · cloud · monitoring · administration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system · infrastructure · secure · availability · monitoring · disaster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availability · am · accountable · uptime · security · server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backup · optimize · monitor · resolve
</t>
          </r>
          <r>
            <rPr>
              <rFont val="Calibri"/>
              <b val="1"/>
              <sz val="10"/>
            </rPr>
            <t>SKILLS &amp; KNOWLEDGE · role-holders:</t>
          </r>
          <r>
            <rPr>
              <rFont val="Calibri"/>
              <sz val="10"/>
            </rPr>
            <t xml:space="preserve"> Infra
COMPETENCIES REQUIRED — must-have ★: Cybersecurity &amp; Infrastructure · Cloud, DevOps &amp; CI/CD
</t>
          </r>
          <r>
            <rPr>
              <rFont val="Calibri"/>
              <b val="1"/>
              <sz val="10"/>
            </rPr>
            <t>OTHER FUNCTIONAL COMPETENCIES:</t>
          </r>
          <r>
            <rPr>
              <rFont val="Calibri"/>
              <sz val="10"/>
            </rPr>
            <t xml:space="preserve"> Process Improvement &amp; Quality Mindset · Stakeholder &amp; Client Management · Time, Priority &amp; Self-Management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Microsoft / CCNA / ISO 27001 / ITIL; AWS / Azure / Kubernetes certifications
</t>
          </r>
          <r>
            <rPr>
              <rFont val="Calibri"/>
              <b val="1"/>
              <sz val="10"/>
            </rPr>
            <t>SOURCE:</t>
          </r>
          <r>
            <rPr>
              <rFont val="Calibri"/>
              <sz val="10"/>
            </rPr>
            <t xml:space="preserve"> Framework + role-holders' themes · 3+ answered — 8 holders, 6 answered the survey; sub-family 9 answered; catalogue RC-108</t>
          </r>
        </is>
      </c>
      <c r="S4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T40" s="120" t="n"/>
      <c r="U40" s="121" t="inlineStr">
        <is>
          <r>
            <rPr>
              <rFont val="Calibri"/>
              <sz val="10"/>
            </rPr>
            <t xml:space="preserve">Senior System Administrator in IT &amp; Infrastructure · Corporate, A3 — IC.
</t>
          </r>
          <r>
            <rPr>
              <rFont val="Calibri"/>
              <b val="1"/>
              <sz val="10"/>
            </rPr>
            <t>The work:</t>
          </r>
          <r>
            <rPr>
              <rFont val="Calibri"/>
              <sz val="10"/>
            </rPr>
            <t xml:space="preserve"> Runs servers, AD/DNS, network, cloud, hosting, backup and DR.
At this level the role owns varied work; reviews juniors; go-to for a process.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Holders describe it with:</t>
          </r>
          <r>
            <rPr>
              <rFont val="Calibri"/>
              <sz val="10"/>
            </rPr>
            <t xml:space="preserve"> server · dns · security · cloud · monitoring · administration.</t>
          </r>
        </is>
      </c>
      <c r="V40" s="122" t="inlineStr">
        <is>
          <r>
            <rPr>
              <rFont val="Calibri"/>
              <b val="1"/>
              <sz val="10"/>
            </rPr>
            <t>Hire as:</t>
          </r>
          <r>
            <rPr>
              <rFont val="Calibri"/>
              <sz val="10"/>
            </rPr>
            <t xml:space="preserve"> System Administrator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B.Sc / diploma + certifications
</t>
          </r>
          <r>
            <rPr>
              <rFont val="Calibri"/>
              <b val="1"/>
              <sz val="10"/>
            </rPr>
            <t>Equivalent titles at peers:</t>
          </r>
          <r>
            <rPr>
              <rFont val="Calibri"/>
              <sz val="10"/>
            </rPr>
            <t xml:space="preserve"> Atlassian company-wide P-levels – P40 · IRIS Vs Competitor Benchmark — infrastructure ladder – System Administrator
</t>
          </r>
          <r>
            <rPr>
              <rFont val="Calibri"/>
              <b val="1"/>
              <sz val="10"/>
            </rPr>
            <t>Credentials:</t>
          </r>
          <r>
            <rPr>
              <rFont val="Calibri"/>
              <sz val="10"/>
            </rPr>
            <t xml:space="preserve"> Microsoft / CCNA / ISO 27001 / ITIL; AWS / Azure / Kubernetes certifications
</t>
          </r>
          <r>
            <rPr>
              <rFont val="Calibri"/>
              <b val="1"/>
              <sz val="10"/>
            </rPr>
            <t>Must already know:</t>
          </r>
          <r>
            <rPr>
              <rFont val="Calibri"/>
              <sz val="10"/>
            </rPr>
            <t xml:space="preserve"> ISO 27001 / InfoSec controls</t>
          </r>
        </is>
      </c>
      <c r="W40" s="122" t="inlineStr">
        <is>
          <r>
            <rPr>
              <rFont val="Calibri"/>
              <sz val="10"/>
            </rPr>
            <t xml:space="preserve">FUNCTIONAL — skill level 3 of 5 · Practitioner
 ★ Cybersecurity &amp; Infrastructure: Administers secure servers, networks and access
 ★ Cloud, DevOps &amp; CI/CD: Builds and runs CI/CD pipelines and environments
 •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Infra
★ = must-have for the family. Scale: 1 Awareness · 2 Working · 3 Practitioner · 4 Advanced · 5 Expert.</t>
          </r>
        </is>
      </c>
      <c r="X40" s="122" t="inlineStr">
        <is>
          <r>
            <rPr>
              <rFont val="Calibri"/>
              <sz val="10"/>
            </rPr>
            <t xml:space="preserve">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0" s="123" t="inlineStr">
        <is>
          <t>Corporate · IT &amp; Infrastructure · Band A · Early career</t>
        </is>
      </c>
      <c r="Z40" s="124" t="n">
        <v>2</v>
      </c>
      <c r="AA40" s="125">
        <f>IFERROR(INDEX(WM_C,MATCH($Y40,WM_KEY,0)),"")</f>
        <v>0.64</v>
      </c>
      <c r="AB40" s="126">
        <f>IF(Z40="","",Z40*AA40)</f>
        <v>1.28</v>
      </c>
      <c r="AC40" s="124" t="n">
        <v>2</v>
      </c>
      <c r="AD40" s="125">
        <f>IFERROR(INDEX(WM_AU,MATCH($Y40,WM_KEY,0)),"")</f>
        <v>0.16</v>
      </c>
      <c r="AE40" s="126">
        <f>IF(AC40="","",AC40*AD40)</f>
        <v>0.32</v>
      </c>
      <c r="AF40" s="124" t="n">
        <v>2</v>
      </c>
      <c r="AG40" s="125">
        <f>IFERROR(INDEX(WM_AC,MATCH($Y40,WM_KEY,0)),"")</f>
        <v>0.04</v>
      </c>
      <c r="AH40" s="126">
        <f>IF(AF40="","",AF40*AG40)</f>
        <v>0.08</v>
      </c>
      <c r="AI40" s="124" t="n">
        <v>1</v>
      </c>
      <c r="AJ40" s="125">
        <f>IFERROR(INDEX(WM_L,MATCH($Y40,WM_KEY,0)),"")</f>
        <v>0</v>
      </c>
      <c r="AK40" s="126">
        <f>IF(AI40="","",AI40*AJ40)</f>
        <v>0</v>
      </c>
      <c r="AL40" s="124" t="n">
        <v>3</v>
      </c>
      <c r="AM40" s="125">
        <f>IFERROR(INDEX(WM_E,MATCH($Y40,WM_KEY,0)),"")</f>
        <v>0.1</v>
      </c>
      <c r="AN40" s="126">
        <f>IF(AL40="","",AL40*AM40)</f>
        <v>0.3</v>
      </c>
      <c r="AO40" s="127" t="n">
        <v>2</v>
      </c>
      <c r="AP40" s="125">
        <f>IFERROR(INDEX(WM_BI,MATCH($Y40,WM_KEY,0)),"")</f>
        <v>0.06</v>
      </c>
      <c r="AQ40" s="126">
        <f>IF(AO40="","",AO40*AP40)</f>
        <v>0.12</v>
      </c>
      <c r="AR40" s="126">
        <f>IF(COUNT(AB40,AE40,AH40,AK40,AN40,AQ40)&lt;6,"",SUM(AB40,AE40,AH40,AK40,AN40,AQ40))</f>
        <v>2.1</v>
      </c>
      <c r="AS40" s="128" t="str">
        <f>IF(AR40="","",INDEX({"A1","A2","A3","B1","B2","B3","C1","C2","D1","D2","E1","E2"},MAX(1,MIN(12,ROUND(AR40,0)))))</f>
        <v>A2</v>
      </c>
      <c r="AT40"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0" s="130" t="inlineStr">
        <is>
          <r>
            <rPr>
              <rFont val="Calibri"/>
              <b val="1"/>
              <sz val="10"/>
            </rPr>
            <t>At build:</t>
          </r>
          <r>
            <rPr>
              <rFont val="Calibri"/>
              <sz val="10"/>
            </rPr>
            <t xml:space="preserve"> Complexity 1.28 + Autonomy 0.32 + Accountability 0.08 + Leadership 0.00 + Experience 0.30 + Business impact 0.12
= 2.10 points → nearest level 2 = A2
</t>
          </r>
          <r>
            <rPr>
              <rFont val="Calibri"/>
              <b val="1"/>
              <sz val="10"/>
            </rPr>
            <t>Final level:</t>
          </r>
          <r>
            <rPr>
              <rFont val="Calibri"/>
              <sz val="10"/>
            </rPr>
            <t xml:space="preserve"> A3 · a rule applied: see the next column</t>
          </r>
        </is>
      </c>
      <c r="AV40" s="130" t="inlineStr">
        <is>
          <r>
            <rPr>
              <rFont val="Calibri"/>
              <sz val="10"/>
            </rPr>
            <t xml:space="preserve">• </t>
          </r>
          <r>
            <rPr>
              <rFont val="Calibri"/>
              <b val="1"/>
              <sz val="10"/>
            </rPr>
            <t>Raised to A3:</t>
          </r>
          <r>
            <rPr>
              <rFont val="Calibri"/>
              <sz val="10"/>
            </rPr>
            <t xml:space="preserve"> 3.4 years' experience is 2 years or more.
</t>
          </r>
          <r>
            <rPr>
              <rFont val="Calibri"/>
              <b val="1"/>
              <sz val="10"/>
            </rPr>
            <t>Final level:</t>
          </r>
          <r>
            <rPr>
              <rFont val="Calibri"/>
              <sz val="10"/>
            </rPr>
            <t xml:space="preserve"> A3.</t>
          </r>
        </is>
      </c>
      <c r="AW40" s="140"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Standard work of the discipline</t>
          </r>
        </is>
      </c>
      <c r="AX40" s="141"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Chooses own approach within standards</t>
          </r>
        </is>
      </c>
      <c r="AY40" s="141"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Own deliverables · accuracy, TAT</t>
          </r>
        </is>
      </c>
      <c r="AZ40" s="141" t="inlineStr">
        <is>
          <r>
            <rPr>
              <rFont val="Calibri"/>
              <color rgb="009C0006"/>
              <sz val="10"/>
            </rPr>
            <t xml:space="preserve">Rated 1 of 12 — not counted: the weight is 0% at this level
</t>
          </r>
          <r>
            <rPr>
              <rFont val="Calibri"/>
              <b val="1"/>
              <color rgb="009C0006"/>
              <sz val="10"/>
            </rPr>
            <t>Start:</t>
          </r>
          <r>
            <rPr>
              <rFont val="Calibri"/>
              <color rgb="009C0006"/>
              <sz val="10"/>
            </rPr>
            <t xml:space="preserve"> 1.0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A1 = Not scored in Band A</t>
          </r>
        </is>
      </c>
      <c r="BA40" s="132" t="inlineStr">
        <is>
          <r>
            <rPr>
              <rFont val="Calibri"/>
              <sz val="10"/>
            </rPr>
            <t xml:space="preserve">Rated 3 of 12
</t>
          </r>
          <r>
            <rPr>
              <rFont val="Calibri"/>
              <b val="1"/>
              <sz val="10"/>
            </rPr>
            <t>Experience:</t>
          </r>
          <r>
            <rPr>
              <rFont val="Calibri"/>
              <sz val="10"/>
            </rPr>
            <t xml:space="preserve"> 3.4 yrs total · 1.5 before IRIS + 1.9 at IRIS = 3.2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A3 roles typically have 2–5 yrs · IRIS guide 2–4</t>
          </r>
        </is>
      </c>
      <c r="BB40"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40" s="133" t="inlineStr"/>
      <c r="BD40" s="134" t="inlineStr">
        <is>
          <t>✓ HRIS: 3.4 yrs, B.SC, 0 direct reports
✓ Survey: 20 of 20 questions answered
✗ KRAs: none on file
✓ Manager mapping: rating, 9-box
✗ Job description: not on file</t>
        </is>
      </c>
      <c r="BE40" s="134"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BF40" s="134" t="inlineStr">
        <is>
          <t>Low</t>
        </is>
      </c>
      <c r="BG40" s="134" t="inlineStr">
        <is>
          <t>• Survey answers are generic or do not match the role — not used as evidence; manager input needed</t>
        </is>
      </c>
      <c r="BH40" s="134" t="inlineStr"/>
      <c r="BI40" s="135" t="n"/>
      <c r="BJ40" s="136" t="n"/>
      <c r="BK40" s="136" t="n"/>
      <c r="BL40" s="136" t="n"/>
      <c r="BM40" s="136" t="n"/>
      <c r="BN40" s="137" t="n"/>
      <c r="BO40" s="120" t="n"/>
      <c r="BP40" s="120" t="n"/>
      <c r="BQ40" s="120" t="n"/>
      <c r="BR40" s="120" t="n"/>
      <c r="BS40" s="120" t="n"/>
      <c r="BT40" s="120" t="n"/>
      <c r="BU40" s="120" t="n"/>
      <c r="BV40" s="120" t="n">
        <v>2</v>
      </c>
    </row>
    <row r="41" ht="340" customHeight="1">
      <c r="A41" s="109" t="inlineStr">
        <is>
          <t>IRIS1998</t>
        </is>
      </c>
      <c r="B41" s="110" t="inlineStr">
        <is>
          <t>Nimit Sadafal</t>
        </is>
      </c>
      <c r="C41" s="111" t="inlineStr">
        <is>
          <t>IT &amp; Infrastructure</t>
        </is>
      </c>
      <c r="D41" s="111" t="inlineStr">
        <is>
          <t>Vikas Mithbawkar</t>
        </is>
      </c>
      <c r="E41" s="112" t="n">
        <v>13.6</v>
      </c>
      <c r="F41" s="112" t="n">
        <v>4.6</v>
      </c>
      <c r="G41" s="111" t="inlineStr">
        <is>
          <t>B.E</t>
        </is>
      </c>
      <c r="H41" s="138" t="inlineStr">
        <is>
          <t>System Administrator</t>
        </is>
      </c>
      <c r="I41" s="115" t="inlineStr">
        <is>
          <t>Senior System Administrator</t>
        </is>
      </c>
      <c r="J41" s="114" t="inlineStr">
        <is>
          <t>IT &amp; Infrastructure</t>
        </is>
      </c>
      <c r="K41" s="114" t="inlineStr">
        <is>
          <t>Infrastructure &amp; Cloud Operations</t>
        </is>
      </c>
      <c r="L41" s="115" t="inlineStr">
        <is>
          <t>Not in current mapping files</t>
        </is>
      </c>
      <c r="M41" s="116" t="inlineStr">
        <is>
          <t>A3</t>
        </is>
      </c>
      <c r="N41" s="139" t="inlineStr">
        <is>
          <t>Senior Associate</t>
        </is>
      </c>
      <c r="O41" s="26" t="inlineStr">
        <is>
          <t>A</t>
        </is>
      </c>
      <c r="P41" s="114" t="inlineStr">
        <is>
          <t>IC</t>
        </is>
      </c>
      <c r="Q41" s="117" t="inlineStr">
        <is>
          <t>● Newly mapped</t>
        </is>
      </c>
      <c r="R41" s="118" t="inlineStr">
        <is>
          <r>
            <rPr>
              <rFont val="Calibri"/>
              <b val="1"/>
              <sz val="10"/>
            </rPr>
            <t>WHAT THE ROLE DOES:</t>
          </r>
          <r>
            <rPr>
              <rFont val="Calibri"/>
              <sz val="10"/>
            </rPr>
            <t xml:space="preserve"> Runs servers, AD/DNS, network, cloud, hosting, backup and DR. At A3: varied work; reviews juniors; go-to for a process.
</t>
          </r>
          <r>
            <rPr>
              <rFont val="Calibri"/>
              <b val="1"/>
              <sz val="10"/>
            </rPr>
            <t>Common themes in role-holders' answers:</t>
          </r>
          <r>
            <rPr>
              <rFont val="Calibri"/>
              <sz val="10"/>
            </rPr>
            <t xml:space="preserve"> server · support · security · windows · infrastructure · system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Common themes in role-holders' answers:</t>
          </r>
          <r>
            <rPr>
              <rFont val="Calibri"/>
              <sz val="10"/>
            </rPr>
            <t xml:space="preserve"> server · dns · security · cloud · monitoring · administration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system · infrastructure · secure · availability · monitoring · disaster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availability · am · accountable · uptime · security · server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backup · optimize · monitor · resolve
</t>
          </r>
          <r>
            <rPr>
              <rFont val="Calibri"/>
              <b val="1"/>
              <sz val="10"/>
            </rPr>
            <t>SKILLS &amp; KNOWLEDGE · role-holders:</t>
          </r>
          <r>
            <rPr>
              <rFont val="Calibri"/>
              <sz val="10"/>
            </rPr>
            <t xml:space="preserve"> Infra
COMPETENCIES REQUIRED — must-have ★: Cybersecurity &amp; Infrastructure · Cloud, DevOps &amp; CI/CD
</t>
          </r>
          <r>
            <rPr>
              <rFont val="Calibri"/>
              <b val="1"/>
              <sz val="10"/>
            </rPr>
            <t>OTHER FUNCTIONAL COMPETENCIES:</t>
          </r>
          <r>
            <rPr>
              <rFont val="Calibri"/>
              <sz val="10"/>
            </rPr>
            <t xml:space="preserve"> Process Improvement &amp; Quality Mindset · Stakeholder &amp; Client Management · Time, Priority &amp; Self-Management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Microsoft / CCNA / ISO 27001 / ITIL; AWS / Azure / Kubernetes certifications
</t>
          </r>
          <r>
            <rPr>
              <rFont val="Calibri"/>
              <b val="1"/>
              <sz val="10"/>
            </rPr>
            <t>SOURCE:</t>
          </r>
          <r>
            <rPr>
              <rFont val="Calibri"/>
              <sz val="10"/>
            </rPr>
            <t xml:space="preserve"> Framework + role-holders' themes · 3+ answered — 8 holders, 6 answered the survey; sub-family 9 answered; catalogue RC-108</t>
          </r>
        </is>
      </c>
      <c r="S41"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T41" s="120" t="n"/>
      <c r="U41" s="121" t="inlineStr">
        <is>
          <r>
            <rPr>
              <rFont val="Calibri"/>
              <sz val="10"/>
            </rPr>
            <t xml:space="preserve">Senior System Administrator in IT &amp; Infrastructure · Corporate, A3 — IC.
</t>
          </r>
          <r>
            <rPr>
              <rFont val="Calibri"/>
              <b val="1"/>
              <sz val="10"/>
            </rPr>
            <t>The work:</t>
          </r>
          <r>
            <rPr>
              <rFont val="Calibri"/>
              <sz val="10"/>
            </rPr>
            <t xml:space="preserve"> Runs servers, AD/DNS, network, cloud, hosting, backup and DR.
At this level the role owns varied work; reviews juniors; go-to for a process.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Holders describe it with:</t>
          </r>
          <r>
            <rPr>
              <rFont val="Calibri"/>
              <sz val="10"/>
            </rPr>
            <t xml:space="preserve"> server · dns · security · cloud · monitoring · administration.</t>
          </r>
        </is>
      </c>
      <c r="V41" s="122" t="inlineStr">
        <is>
          <r>
            <rPr>
              <rFont val="Calibri"/>
              <b val="1"/>
              <sz val="10"/>
            </rPr>
            <t>Hire as:</t>
          </r>
          <r>
            <rPr>
              <rFont val="Calibri"/>
              <sz val="10"/>
            </rPr>
            <t xml:space="preserve"> System Administrator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B.Sc / diploma + certifications
</t>
          </r>
          <r>
            <rPr>
              <rFont val="Calibri"/>
              <b val="1"/>
              <sz val="10"/>
            </rPr>
            <t>Equivalent titles at peers:</t>
          </r>
          <r>
            <rPr>
              <rFont val="Calibri"/>
              <sz val="10"/>
            </rPr>
            <t xml:space="preserve"> Atlassian company-wide P-levels – P40 · IRIS Vs Competitor Benchmark — infrastructure ladder – System Administrator
</t>
          </r>
          <r>
            <rPr>
              <rFont val="Calibri"/>
              <b val="1"/>
              <sz val="10"/>
            </rPr>
            <t>Credentials:</t>
          </r>
          <r>
            <rPr>
              <rFont val="Calibri"/>
              <sz val="10"/>
            </rPr>
            <t xml:space="preserve"> Microsoft / CCNA / ISO 27001 / ITIL; AWS / Azure / Kubernetes certifications
</t>
          </r>
          <r>
            <rPr>
              <rFont val="Calibri"/>
              <b val="1"/>
              <sz val="10"/>
            </rPr>
            <t>Must already know:</t>
          </r>
          <r>
            <rPr>
              <rFont val="Calibri"/>
              <sz val="10"/>
            </rPr>
            <t xml:space="preserve"> ISO 27001 / InfoSec controls</t>
          </r>
        </is>
      </c>
      <c r="W41" s="122" t="inlineStr">
        <is>
          <r>
            <rPr>
              <rFont val="Calibri"/>
              <sz val="10"/>
            </rPr>
            <t xml:space="preserve">FUNCTIONAL — skill level 3 of 5 · Practitioner
 ★ Cybersecurity &amp; Infrastructure: Administers secure servers, networks and access
 ★ Cloud, DevOps &amp; CI/CD: Builds and runs CI/CD pipelines and environments
 •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Infra
★ = must-have for the family. Scale: 1 Awareness · 2 Working · 3 Practitioner · 4 Advanced · 5 Expert.</t>
          </r>
        </is>
      </c>
      <c r="X41" s="122" t="inlineStr">
        <is>
          <r>
            <rPr>
              <rFont val="Calibri"/>
              <sz val="10"/>
            </rPr>
            <t xml:space="preserve">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1" s="123" t="inlineStr">
        <is>
          <t>Corporate · IT &amp; Infrastructure · Band A · Early career</t>
        </is>
      </c>
      <c r="Z41" s="124" t="n">
        <v>2.5</v>
      </c>
      <c r="AA41" s="125">
        <f>IFERROR(INDEX(WM_C,MATCH($Y41,WM_KEY,0)),"")</f>
        <v>0.64</v>
      </c>
      <c r="AB41" s="126">
        <f>IF(Z41="","",Z41*AA41)</f>
        <v>1.6</v>
      </c>
      <c r="AC41" s="124" t="n">
        <v>2.5</v>
      </c>
      <c r="AD41" s="125">
        <f>IFERROR(INDEX(WM_AU,MATCH($Y41,WM_KEY,0)),"")</f>
        <v>0.16</v>
      </c>
      <c r="AE41" s="126">
        <f>IF(AC41="","",AC41*AD41)</f>
        <v>0.4</v>
      </c>
      <c r="AF41" s="124" t="n">
        <v>3</v>
      </c>
      <c r="AG41" s="125">
        <f>IFERROR(INDEX(WM_AC,MATCH($Y41,WM_KEY,0)),"")</f>
        <v>0.04</v>
      </c>
      <c r="AH41" s="126">
        <f>IF(AF41="","",AF41*AG41)</f>
        <v>0.12</v>
      </c>
      <c r="AI41" s="124" t="n">
        <v>1.5</v>
      </c>
      <c r="AJ41" s="125">
        <f>IFERROR(INDEX(WM_L,MATCH($Y41,WM_KEY,0)),"")</f>
        <v>0</v>
      </c>
      <c r="AK41" s="126">
        <f>IF(AI41="","",AI41*AJ41)</f>
        <v>0</v>
      </c>
      <c r="AL41" s="124" t="n">
        <v>7.5</v>
      </c>
      <c r="AM41" s="125">
        <f>IFERROR(INDEX(WM_E,MATCH($Y41,WM_KEY,0)),"")</f>
        <v>0.1</v>
      </c>
      <c r="AN41" s="126">
        <f>IF(AL41="","",AL41*AM41)</f>
        <v>0.75</v>
      </c>
      <c r="AO41" s="127" t="n">
        <v>3</v>
      </c>
      <c r="AP41" s="125">
        <f>IFERROR(INDEX(WM_BI,MATCH($Y41,WM_KEY,0)),"")</f>
        <v>0.06</v>
      </c>
      <c r="AQ41" s="126">
        <f>IF(AO41="","",AO41*AP41)</f>
        <v>0.18</v>
      </c>
      <c r="AR41" s="126">
        <f>IF(COUNT(AB41,AE41,AH41,AK41,AN41,AQ41)&lt;6,"",SUM(AB41,AE41,AH41,AK41,AN41,AQ41))</f>
        <v>3.05</v>
      </c>
      <c r="AS41" s="128" t="str">
        <f>IF(AR41="","",INDEX({"A1","A2","A3","B1","B2","B3","C1","C2","D1","D2","E1","E2"},MAX(1,MIN(12,ROUND(AR41,0)))))</f>
        <v>A3</v>
      </c>
      <c r="AT41"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1" s="130" t="inlineStr">
        <is>
          <r>
            <rPr>
              <rFont val="Calibri"/>
              <b val="1"/>
              <sz val="10"/>
            </rPr>
            <t>At build:</t>
          </r>
          <r>
            <rPr>
              <rFont val="Calibri"/>
              <sz val="10"/>
            </rPr>
            <t xml:space="preserve"> Complexity 1.60 + Autonomy 0.40 + Accountability 0.12 + Leadership 0.00 + Experience 0.75 + Business impact 0.18
= 3.05 points → nearest level 3 = A3
</t>
          </r>
          <r>
            <rPr>
              <rFont val="Calibri"/>
              <b val="1"/>
              <sz val="10"/>
            </rPr>
            <t>Final level:</t>
          </r>
          <r>
            <rPr>
              <rFont val="Calibri"/>
              <sz val="10"/>
            </rPr>
            <t xml:space="preserve"> A3 · same as the score</t>
          </r>
        </is>
      </c>
      <c r="AV41" s="130" t="inlineStr">
        <is>
          <r>
            <rPr>
              <rFont val="Calibri"/>
              <b val="1"/>
              <sz val="10"/>
            </rPr>
            <t>No rule applied:</t>
          </r>
          <r>
            <rPr>
              <rFont val="Calibri"/>
              <sz val="10"/>
            </rPr>
            <t xml:space="preserve"> the score decides.</t>
          </r>
        </is>
      </c>
      <c r="AW41" s="131"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Maintains DNS records, raises CRFs for port/URL access and SMAX tickets, monitors server utilisation → moved down 0.5
</t>
          </r>
          <r>
            <rPr>
              <rFont val="Calibri"/>
              <b val="1"/>
              <sz val="10"/>
            </rPr>
            <t>Market:</t>
          </r>
          <r>
            <rPr>
              <rFont val="Calibri"/>
              <sz val="10"/>
            </rPr>
            <t xml:space="preserve"> A2 = Standard work of the discipline · A3 = Varied and non-standard work; handles exceptions</t>
          </r>
        </is>
      </c>
      <c r="AX41"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Raises DNS change requests and tickets, answers DIT queries; changes go through CRF process → moved down 0.5
</t>
          </r>
          <r>
            <rPr>
              <rFont val="Calibri"/>
              <b val="1"/>
              <sz val="10"/>
            </rPr>
            <t>Market:</t>
          </r>
          <r>
            <rPr>
              <rFont val="Calibri"/>
              <sz val="10"/>
            </rPr>
            <t xml:space="preserve"> A2 = Chooses own approach within standards · A3 = Technical / QC / client calls on own work</t>
          </r>
        </is>
      </c>
      <c r="AY41"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RBI website accessibility issues; prepares RCA and answers the client · DIT for incidents → matches the start
</t>
          </r>
          <r>
            <rPr>
              <rFont val="Calibri"/>
              <b val="1"/>
              <sz val="10"/>
            </rPr>
            <t>Market:</t>
          </r>
          <r>
            <rPr>
              <rFont val="Calibri"/>
              <sz val="10"/>
            </rPr>
            <t xml:space="preserve"> A3 = A module / process, or work with client or regulatory consequences</t>
          </r>
        </is>
      </c>
      <c r="AZ41"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41" s="132" t="inlineStr">
        <is>
          <r>
            <rPr>
              <rFont val="Calibri"/>
              <sz val="10"/>
            </rPr>
            <t xml:space="preserve">Rated 7.5 of 12 · between C1 and C2
</t>
          </r>
          <r>
            <rPr>
              <rFont val="Calibri"/>
              <b val="1"/>
              <sz val="10"/>
            </rPr>
            <t>Experience:</t>
          </r>
          <r>
            <rPr>
              <rFont val="Calibri"/>
              <sz val="10"/>
            </rPr>
            <t xml:space="preserve"> 13.6 yrs total · 9.0 before IRIS + 4.6 at IRIS = 7.6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41"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41" s="133" t="inlineStr"/>
      <c r="BD41" s="134" t="inlineStr">
        <is>
          <t>✓ HRIS: 13.6 yrs, B.E, 0 direct reports
✓ Survey: 20 of 20 questions answered
✗ KRAs: none on file
✓ Manager mapping: rating, 9-box
✗ Job description: not on file</t>
        </is>
      </c>
      <c r="BE41" s="134"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BF41" s="134" t="inlineStr">
        <is>
          <t>Medium</t>
        </is>
      </c>
      <c r="BG41" s="134" t="inlineStr">
        <is>
          <t>• 13.6 yrs of experience in a role that reads as Band A work — a career-path question for the manager: can the role be widened · Specialist, B1 or is it correctly sized?</t>
        </is>
      </c>
      <c r="BH41" s="134" t="inlineStr"/>
      <c r="BI41" s="135" t="n"/>
      <c r="BJ41" s="136" t="n"/>
      <c r="BK41" s="136" t="n"/>
      <c r="BL41" s="136" t="n"/>
      <c r="BM41" s="136" t="n"/>
      <c r="BN41" s="137" t="n"/>
      <c r="BO41" s="120" t="n"/>
      <c r="BP41" s="120" t="n"/>
      <c r="BQ41" s="120" t="n"/>
      <c r="BR41" s="120" t="n"/>
      <c r="BS41" s="120" t="n"/>
      <c r="BT41" s="120" t="n"/>
      <c r="BU41" s="120" t="n"/>
      <c r="BV41" s="120" t="n">
        <v>3</v>
      </c>
    </row>
    <row r="42" ht="340" customHeight="1">
      <c r="A42" s="109" t="inlineStr">
        <is>
          <t>IRIS2003</t>
        </is>
      </c>
      <c r="B42" s="110" t="inlineStr">
        <is>
          <t>Rajyalakshmi Koyagura</t>
        </is>
      </c>
      <c r="C42" s="111" t="inlineStr">
        <is>
          <t>IT &amp; Infrastructure</t>
        </is>
      </c>
      <c r="D42" s="111" t="inlineStr">
        <is>
          <t>Mahesh Tilave</t>
        </is>
      </c>
      <c r="E42" s="112" t="n">
        <v>8</v>
      </c>
      <c r="F42" s="112" t="n">
        <v>4.5</v>
      </c>
      <c r="G42" s="111" t="inlineStr">
        <is>
          <t>B.Tech</t>
        </is>
      </c>
      <c r="H42" s="138" t="inlineStr">
        <is>
          <t>System Administrator</t>
        </is>
      </c>
      <c r="I42" s="115" t="inlineStr">
        <is>
          <t>Senior System Administrator</t>
        </is>
      </c>
      <c r="J42" s="114" t="inlineStr">
        <is>
          <t>IT &amp; Infrastructure</t>
        </is>
      </c>
      <c r="K42" s="114" t="inlineStr">
        <is>
          <t>Infrastructure &amp; Cloud Operations</t>
        </is>
      </c>
      <c r="L42" s="115" t="inlineStr">
        <is>
          <t>Not in current mapping files</t>
        </is>
      </c>
      <c r="M42" s="116" t="inlineStr">
        <is>
          <t>A3</t>
        </is>
      </c>
      <c r="N42" s="139" t="inlineStr">
        <is>
          <t>Senior Associate</t>
        </is>
      </c>
      <c r="O42" s="26" t="inlineStr">
        <is>
          <t>A</t>
        </is>
      </c>
      <c r="P42" s="114" t="inlineStr">
        <is>
          <t>IC</t>
        </is>
      </c>
      <c r="Q42" s="117" t="inlineStr">
        <is>
          <t>● Newly mapped</t>
        </is>
      </c>
      <c r="R42" s="118" t="inlineStr">
        <is>
          <r>
            <rPr>
              <rFont val="Calibri"/>
              <b val="1"/>
              <sz val="10"/>
            </rPr>
            <t>WHAT THE ROLE DOES:</t>
          </r>
          <r>
            <rPr>
              <rFont val="Calibri"/>
              <sz val="10"/>
            </rPr>
            <t xml:space="preserve"> Runs servers, AD/DNS, network, cloud, hosting, backup and DR. At A3: varied work; reviews juniors; go-to for a process.
</t>
          </r>
          <r>
            <rPr>
              <rFont val="Calibri"/>
              <b val="1"/>
              <sz val="10"/>
            </rPr>
            <t>Common themes in role-holders' answers:</t>
          </r>
          <r>
            <rPr>
              <rFont val="Calibri"/>
              <sz val="10"/>
            </rPr>
            <t xml:space="preserve"> server · support · security · windows · infrastructure · system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Common themes in role-holders' answers:</t>
          </r>
          <r>
            <rPr>
              <rFont val="Calibri"/>
              <sz val="10"/>
            </rPr>
            <t xml:space="preserve"> server · dns · security · cloud · monitoring · administration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system · infrastructure · secure · availability · monitoring · disaster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availability · am · accountable · uptime · security · server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backup · optimize · monitor · resolve
</t>
          </r>
          <r>
            <rPr>
              <rFont val="Calibri"/>
              <b val="1"/>
              <sz val="10"/>
            </rPr>
            <t>SKILLS &amp; KNOWLEDGE · role-holders:</t>
          </r>
          <r>
            <rPr>
              <rFont val="Calibri"/>
              <sz val="10"/>
            </rPr>
            <t xml:space="preserve"> Infra
COMPETENCIES REQUIRED — must-have ★: Cybersecurity &amp; Infrastructure · Cloud, DevOps &amp; CI/CD
</t>
          </r>
          <r>
            <rPr>
              <rFont val="Calibri"/>
              <b val="1"/>
              <sz val="10"/>
            </rPr>
            <t>OTHER FUNCTIONAL COMPETENCIES:</t>
          </r>
          <r>
            <rPr>
              <rFont val="Calibri"/>
              <sz val="10"/>
            </rPr>
            <t xml:space="preserve"> Process Improvement &amp; Quality Mindset · Stakeholder &amp; Client Management · Time, Priority &amp; Self-Management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Microsoft / CCNA / ISO 27001 / ITIL; AWS / Azure / Kubernetes certifications
</t>
          </r>
          <r>
            <rPr>
              <rFont val="Calibri"/>
              <b val="1"/>
              <sz val="10"/>
            </rPr>
            <t>SOURCE:</t>
          </r>
          <r>
            <rPr>
              <rFont val="Calibri"/>
              <sz val="10"/>
            </rPr>
            <t xml:space="preserve"> Framework + role-holders' themes · 3+ answered — 8 holders, 6 answered the survey; sub-family 9 answered; catalogue RC-108</t>
          </r>
        </is>
      </c>
      <c r="S42"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T42" s="120" t="n"/>
      <c r="U42" s="121" t="inlineStr">
        <is>
          <r>
            <rPr>
              <rFont val="Calibri"/>
              <sz val="10"/>
            </rPr>
            <t xml:space="preserve">Senior System Administrator in IT &amp; Infrastructure · Corporate, A3 — IC.
</t>
          </r>
          <r>
            <rPr>
              <rFont val="Calibri"/>
              <b val="1"/>
              <sz val="10"/>
            </rPr>
            <t>The work:</t>
          </r>
          <r>
            <rPr>
              <rFont val="Calibri"/>
              <sz val="10"/>
            </rPr>
            <t xml:space="preserve"> Runs servers, AD/DNS, network, cloud, hosting, backup and DR.
At this level the role owns varied work; reviews juniors; go-to for a process.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Holders describe it with:</t>
          </r>
          <r>
            <rPr>
              <rFont val="Calibri"/>
              <sz val="10"/>
            </rPr>
            <t xml:space="preserve"> server · dns · security · cloud · monitoring · administration.</t>
          </r>
        </is>
      </c>
      <c r="V42" s="122" t="inlineStr">
        <is>
          <r>
            <rPr>
              <rFont val="Calibri"/>
              <b val="1"/>
              <sz val="10"/>
            </rPr>
            <t>Hire as:</t>
          </r>
          <r>
            <rPr>
              <rFont val="Calibri"/>
              <sz val="10"/>
            </rPr>
            <t xml:space="preserve"> System Administrator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B.Sc / diploma + certifications
</t>
          </r>
          <r>
            <rPr>
              <rFont val="Calibri"/>
              <b val="1"/>
              <sz val="10"/>
            </rPr>
            <t>Equivalent titles at peers:</t>
          </r>
          <r>
            <rPr>
              <rFont val="Calibri"/>
              <sz val="10"/>
            </rPr>
            <t xml:space="preserve"> Atlassian company-wide P-levels – P40 · IRIS Vs Competitor Benchmark — infrastructure ladder – System Administrator
</t>
          </r>
          <r>
            <rPr>
              <rFont val="Calibri"/>
              <b val="1"/>
              <sz val="10"/>
            </rPr>
            <t>Credentials:</t>
          </r>
          <r>
            <rPr>
              <rFont val="Calibri"/>
              <sz val="10"/>
            </rPr>
            <t xml:space="preserve"> Microsoft / CCNA / ISO 27001 / ITIL; AWS / Azure / Kubernetes certifications
</t>
          </r>
          <r>
            <rPr>
              <rFont val="Calibri"/>
              <b val="1"/>
              <sz val="10"/>
            </rPr>
            <t>Must already know:</t>
          </r>
          <r>
            <rPr>
              <rFont val="Calibri"/>
              <sz val="10"/>
            </rPr>
            <t xml:space="preserve"> ISO 27001 / InfoSec controls</t>
          </r>
        </is>
      </c>
      <c r="W42" s="122" t="inlineStr">
        <is>
          <r>
            <rPr>
              <rFont val="Calibri"/>
              <sz val="10"/>
            </rPr>
            <t xml:space="preserve">FUNCTIONAL — skill level 3 of 5 · Practitioner
 ★ Cybersecurity &amp; Infrastructure: Administers secure servers, networks and access
 ★ Cloud, DevOps &amp; CI/CD: Builds and runs CI/CD pipelines and environments
 •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Infra
★ = must-have for the family. Scale: 1 Awareness · 2 Working · 3 Practitioner · 4 Advanced · 5 Expert.</t>
          </r>
        </is>
      </c>
      <c r="X42" s="122" t="inlineStr">
        <is>
          <r>
            <rPr>
              <rFont val="Calibri"/>
              <sz val="10"/>
            </rPr>
            <t xml:space="preserve">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2" s="123" t="inlineStr">
        <is>
          <t>Corporate · IT &amp; Infrastructure · Band A · Early career</t>
        </is>
      </c>
      <c r="Z42" s="124" t="n">
        <v>3</v>
      </c>
      <c r="AA42" s="125">
        <f>IFERROR(INDEX(WM_C,MATCH($Y42,WM_KEY,0)),"")</f>
        <v>0.64</v>
      </c>
      <c r="AB42" s="126">
        <f>IF(Z42="","",Z42*AA42)</f>
        <v>1.92</v>
      </c>
      <c r="AC42" s="124" t="n">
        <v>2.5</v>
      </c>
      <c r="AD42" s="125">
        <f>IFERROR(INDEX(WM_AU,MATCH($Y42,WM_KEY,0)),"")</f>
        <v>0.16</v>
      </c>
      <c r="AE42" s="126">
        <f>IF(AC42="","",AC42*AD42)</f>
        <v>0.4</v>
      </c>
      <c r="AF42" s="124" t="n">
        <v>3</v>
      </c>
      <c r="AG42" s="125">
        <f>IFERROR(INDEX(WM_AC,MATCH($Y42,WM_KEY,0)),"")</f>
        <v>0.04</v>
      </c>
      <c r="AH42" s="126">
        <f>IF(AF42="","",AF42*AG42)</f>
        <v>0.12</v>
      </c>
      <c r="AI42" s="124" t="n">
        <v>1.5</v>
      </c>
      <c r="AJ42" s="125">
        <f>IFERROR(INDEX(WM_L,MATCH($Y42,WM_KEY,0)),"")</f>
        <v>0</v>
      </c>
      <c r="AK42" s="126">
        <f>IF(AI42="","",AI42*AJ42)</f>
        <v>0</v>
      </c>
      <c r="AL42" s="124" t="n">
        <v>5</v>
      </c>
      <c r="AM42" s="125">
        <f>IFERROR(INDEX(WM_E,MATCH($Y42,WM_KEY,0)),"")</f>
        <v>0.1</v>
      </c>
      <c r="AN42" s="126">
        <f>IF(AL42="","",AL42*AM42)</f>
        <v>0.5</v>
      </c>
      <c r="AO42" s="127" t="n">
        <v>3</v>
      </c>
      <c r="AP42" s="125">
        <f>IFERROR(INDEX(WM_BI,MATCH($Y42,WM_KEY,0)),"")</f>
        <v>0.06</v>
      </c>
      <c r="AQ42" s="126">
        <f>IF(AO42="","",AO42*AP42)</f>
        <v>0.18</v>
      </c>
      <c r="AR42" s="126">
        <f>IF(COUNT(AB42,AE42,AH42,AK42,AN42,AQ42)&lt;6,"",SUM(AB42,AE42,AH42,AK42,AN42,AQ42))</f>
        <v>3.12</v>
      </c>
      <c r="AS42" s="128" t="str">
        <f>IF(AR42="","",INDEX({"A1","A2","A3","B1","B2","B3","C1","C2","D1","D2","E1","E2"},MAX(1,MIN(12,ROUND(AR42,0)))))</f>
        <v>A3</v>
      </c>
      <c r="AT42"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2" s="130" t="inlineStr">
        <is>
          <r>
            <rPr>
              <rFont val="Calibri"/>
              <b val="1"/>
              <sz val="10"/>
            </rPr>
            <t>At build:</t>
          </r>
          <r>
            <rPr>
              <rFont val="Calibri"/>
              <sz val="10"/>
            </rPr>
            <t xml:space="preserve"> Complexity 1.92 + Autonomy 0.40 + Accountability 0.12 + Leadership 0.00 + Experience 0.50 + Business impact 0.18
= 3.12 points → nearest level 3 = A3
</t>
          </r>
          <r>
            <rPr>
              <rFont val="Calibri"/>
              <b val="1"/>
              <sz val="10"/>
            </rPr>
            <t>Final level:</t>
          </r>
          <r>
            <rPr>
              <rFont val="Calibri"/>
              <sz val="10"/>
            </rPr>
            <t xml:space="preserve"> A3 · same as the score</t>
          </r>
        </is>
      </c>
      <c r="AV42" s="130" t="inlineStr">
        <is>
          <r>
            <rPr>
              <rFont val="Calibri"/>
              <b val="1"/>
              <sz val="10"/>
            </rPr>
            <t>No rule applied:</t>
          </r>
          <r>
            <rPr>
              <rFont val="Calibri"/>
              <sz val="10"/>
            </rPr>
            <t xml:space="preserve"> the score decides.</t>
          </r>
        </is>
      </c>
      <c r="AW42"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Provisions and monitors AWS resources, administers Linux and Faveo, hardens OS, runs backups → matches the start
</t>
          </r>
          <r>
            <rPr>
              <rFont val="Calibri"/>
              <b val="1"/>
              <sz val="10"/>
            </rPr>
            <t>Market:</t>
          </r>
          <r>
            <rPr>
              <rFont val="Calibri"/>
              <sz val="10"/>
            </rPr>
            <t xml:space="preserve"> A3 = Varied and non-standard work; handles exceptions</t>
          </r>
        </is>
      </c>
      <c r="AX42"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Monitors infrastructure, executes backup/restore, optimises AWS resources; routine operational calls → moved down 0.5
</t>
          </r>
          <r>
            <rPr>
              <rFont val="Calibri"/>
              <b val="1"/>
              <sz val="10"/>
            </rPr>
            <t>Market:</t>
          </r>
          <r>
            <rPr>
              <rFont val="Calibri"/>
              <sz val="10"/>
            </rPr>
            <t xml:space="preserve"> A2 = Chooses own approach within standards · A3 = Technical / QC / client calls on own work</t>
          </r>
        </is>
      </c>
      <c r="AY42"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Infrastructure availability, backup and recovery, capacity; misconfiguration affects application availability → matches the start
</t>
          </r>
          <r>
            <rPr>
              <rFont val="Calibri"/>
              <b val="1"/>
              <sz val="10"/>
            </rPr>
            <t>Market:</t>
          </r>
          <r>
            <rPr>
              <rFont val="Calibri"/>
              <sz val="10"/>
            </rPr>
            <t xml:space="preserve"> A3 = A module / process, or work with client or regulatory consequences</t>
          </r>
        </is>
      </c>
      <c r="AZ42"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42" s="132" t="inlineStr">
        <is>
          <r>
            <rPr>
              <rFont val="Calibri"/>
              <sz val="10"/>
            </rPr>
            <t xml:space="preserve">Rated 5 of 12
</t>
          </r>
          <r>
            <rPr>
              <rFont val="Calibri"/>
              <b val="1"/>
              <sz val="10"/>
            </rPr>
            <t>Experience:</t>
          </r>
          <r>
            <rPr>
              <rFont val="Calibri"/>
              <sz val="10"/>
            </rPr>
            <t xml:space="preserve"> 8.0 yrs total · 3.5 before IRIS + 4.5 at IRIS = 5.2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42"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42" s="133" t="inlineStr"/>
      <c r="BD42" s="134" t="inlineStr">
        <is>
          <t>✓ HRIS: 8.0 yrs, B.Tech, 0 direct reports
✓ Survey: 19 of 20 questions answered
✗ KRAs: none on file
✓ Manager mapping: rating, 9-box
✗ Job description: not on file</t>
        </is>
      </c>
      <c r="BE42" s="134"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BF42" s="134" t="inlineStr">
        <is>
          <t>Medium</t>
        </is>
      </c>
      <c r="BG42" s="134" t="inlineStr">
        <is>
          <t>• 8.0 yrs of experience in a role that reads as Band A work — a career-path question for the manager: can the role be widened · Specialist, B1 or is it correctly sized?</t>
        </is>
      </c>
      <c r="BH42" s="134" t="inlineStr"/>
      <c r="BI42" s="135" t="n"/>
      <c r="BJ42" s="136" t="n"/>
      <c r="BK42" s="136" t="n"/>
      <c r="BL42" s="136" t="n"/>
      <c r="BM42" s="136" t="n"/>
      <c r="BN42" s="137" t="n"/>
      <c r="BO42" s="120" t="n"/>
      <c r="BP42" s="120" t="n"/>
      <c r="BQ42" s="120" t="n"/>
      <c r="BR42" s="120" t="n"/>
      <c r="BS42" s="120" t="n"/>
      <c r="BT42" s="120" t="n"/>
      <c r="BU42" s="120" t="n"/>
      <c r="BV42" s="120" t="n">
        <v>3</v>
      </c>
    </row>
    <row r="43" ht="340" customHeight="1">
      <c r="A43" s="109" t="inlineStr">
        <is>
          <t>IRIS2098</t>
        </is>
      </c>
      <c r="B43" s="110" t="inlineStr">
        <is>
          <t>Sagar Jamadar</t>
        </is>
      </c>
      <c r="C43" s="111" t="inlineStr">
        <is>
          <t>IT &amp; Infrastructure</t>
        </is>
      </c>
      <c r="D43" s="111" t="inlineStr">
        <is>
          <t>Ramesh Kone</t>
        </is>
      </c>
      <c r="E43" s="112" t="n">
        <v>8.6</v>
      </c>
      <c r="F43" s="112" t="n">
        <v>3.6</v>
      </c>
      <c r="G43" s="111" t="inlineStr">
        <is>
          <t>Undergraduate</t>
        </is>
      </c>
      <c r="H43" s="138" t="inlineStr">
        <is>
          <t>Desktop Support Engineer</t>
        </is>
      </c>
      <c r="I43" s="115" t="inlineStr">
        <is>
          <t>Senior Desktop Support Engineer</t>
        </is>
      </c>
      <c r="J43" s="114" t="inlineStr">
        <is>
          <t>IT &amp; Infrastructure</t>
        </is>
      </c>
      <c r="K43" s="114" t="inlineStr">
        <is>
          <t>End-User Support</t>
        </is>
      </c>
      <c r="L43" s="115" t="inlineStr">
        <is>
          <t>Not in current mapping files</t>
        </is>
      </c>
      <c r="M43" s="116" t="inlineStr">
        <is>
          <t>A3</t>
        </is>
      </c>
      <c r="N43" s="139" t="inlineStr">
        <is>
          <t>Senior Associate</t>
        </is>
      </c>
      <c r="O43" s="26" t="inlineStr">
        <is>
          <t>A</t>
        </is>
      </c>
      <c r="P43" s="114" t="inlineStr">
        <is>
          <t>IC</t>
        </is>
      </c>
      <c r="Q43" s="117" t="inlineStr">
        <is>
          <t>● Newly mapped</t>
        </is>
      </c>
      <c r="R43" s="118" t="inlineStr">
        <is>
          <r>
            <rPr>
              <rFont val="Calibri"/>
              <b val="1"/>
              <sz val="10"/>
            </rPr>
            <t>WHAT THE ROLE DOES:</t>
          </r>
          <r>
            <rPr>
              <rFont val="Calibri"/>
              <sz val="10"/>
            </rPr>
            <t xml:space="preserve"> At A3: varied work; reviews juniors; go-to for a process.
</t>
          </r>
          <r>
            <rPr>
              <rFont val="Calibri"/>
              <b val="1"/>
              <sz val="10"/>
            </rPr>
            <t>KEY RESPONSIBILITIES:</t>
          </r>
          <r>
            <rPr>
              <rFont val="Calibri"/>
              <sz val="10"/>
            </rPr>
            <t xml:space="preserve">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COMPETENCIES REQUIRED — must-have ★: Cybersecurity &amp; Infrastructure · Cloud, DevOps &amp; CI/CD
</t>
          </r>
          <r>
            <rPr>
              <rFont val="Calibri"/>
              <b val="1"/>
              <sz val="10"/>
            </rPr>
            <t>OTHER FUNCTIONAL COMPETENCIES:</t>
          </r>
          <r>
            <rPr>
              <rFont val="Calibri"/>
              <sz val="10"/>
            </rPr>
            <t xml:space="preserve"> Process Improvement &amp; Quality Mindset · Stakeholder &amp; Client Management · Time, Priority &amp; Self-Management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Microsoft / CCNA / ISO 27001 / ITIL; AWS / Azure / Kubernetes certifications
</t>
          </r>
          <r>
            <rPr>
              <rFont val="Calibri"/>
              <b val="1"/>
              <sz val="10"/>
            </rPr>
            <t>SOURCE:</t>
          </r>
          <r>
            <rPr>
              <rFont val="Calibri"/>
              <sz val="10"/>
            </rPr>
            <t xml:space="preserve"> Framework only · fewer than 3 answered — 1 holder, 1 answered the survey; sub-family 1 answered; catalogue RC-106</t>
          </r>
        </is>
      </c>
      <c r="S43"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Manager talent mapping — Latest rating: Not rated · manager · 9-Box Grid placement: Not placed · manager.</t>
          </r>
        </is>
      </c>
      <c r="T43" s="120" t="n"/>
      <c r="U43" s="121" t="inlineStr">
        <is>
          <r>
            <rPr>
              <rFont val="Calibri"/>
              <sz val="10"/>
            </rPr>
            <t xml:space="preserve">Senior Desktop Support Engineer in IT &amp; Infrastructure · Corporate, A3 — IC.
At this level the role owns varied work; reviews juniors; go-to for a process.
</t>
          </r>
          <r>
            <rPr>
              <rFont val="Calibri"/>
              <b val="1"/>
              <sz val="10"/>
            </rPr>
            <t>Key responsibilities:</t>
          </r>
          <r>
            <rPr>
              <rFont val="Calibri"/>
              <sz val="10"/>
            </rPr>
            <t xml:space="preserve"> Varied and non-standard work; handles exceptions; A module / process, or work with client or regulatory consequences.</t>
          </r>
        </is>
      </c>
      <c r="V43" s="122" t="inlineStr">
        <is>
          <r>
            <rPr>
              <rFont val="Calibri"/>
              <b val="1"/>
              <sz val="10"/>
            </rPr>
            <t>Hire as:</t>
          </r>
          <r>
            <rPr>
              <rFont val="Calibri"/>
              <sz val="10"/>
            </rPr>
            <t xml:space="preserve"> System Administrator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B.Sc / diploma + certifications
</t>
          </r>
          <r>
            <rPr>
              <rFont val="Calibri"/>
              <b val="1"/>
              <sz val="10"/>
            </rPr>
            <t>Equivalent titles at peers:</t>
          </r>
          <r>
            <rPr>
              <rFont val="Calibri"/>
              <sz val="10"/>
            </rPr>
            <t xml:space="preserve"> Atlassian company-wide P-levels – P40 · IRIS Vs Competitor Benchmark — infrastructure ladder – System Administrator
</t>
          </r>
          <r>
            <rPr>
              <rFont val="Calibri"/>
              <b val="1"/>
              <sz val="10"/>
            </rPr>
            <t>Credentials:</t>
          </r>
          <r>
            <rPr>
              <rFont val="Calibri"/>
              <sz val="10"/>
            </rPr>
            <t xml:space="preserve"> Microsoft / CCNA / ISO 27001 / ITIL; AWS / Azure / Kubernetes certifications
</t>
          </r>
          <r>
            <rPr>
              <rFont val="Calibri"/>
              <b val="1"/>
              <sz val="10"/>
            </rPr>
            <t>Must already know:</t>
          </r>
          <r>
            <rPr>
              <rFont val="Calibri"/>
              <sz val="10"/>
            </rPr>
            <t xml:space="preserve"> ISO 27001 / InfoSec controls</t>
          </r>
        </is>
      </c>
      <c r="W43" s="122" t="inlineStr">
        <is>
          <r>
            <rPr>
              <rFont val="Calibri"/>
              <sz val="10"/>
            </rPr>
            <t xml:space="preserve">FUNCTIONAL — skill level 3 of 5 · Practitioner
 ★ Cybersecurity &amp; Infrastructure: Administers secure servers, networks and access
 ★ Cloud, DevOps &amp; CI/CD: Builds and runs CI/CD pipelines and environments
 •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 = must-have for the family. Scale: 1 Awareness · 2 Working · 3 Practitioner · 4 Advanced · 5 Expert.</t>
          </r>
        </is>
      </c>
      <c r="X43" s="122" t="inlineStr">
        <is>
          <r>
            <rPr>
              <rFont val="Calibri"/>
              <sz val="10"/>
            </rPr>
            <t xml:space="preserve">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3" s="123" t="inlineStr">
        <is>
          <t>Corporate · IT &amp; Infrastructure · Band A · Early career</t>
        </is>
      </c>
      <c r="Z43" s="124" t="n">
        <v>2</v>
      </c>
      <c r="AA43" s="125">
        <f>IFERROR(INDEX(WM_C,MATCH($Y43,WM_KEY,0)),"")</f>
        <v>0.64</v>
      </c>
      <c r="AB43" s="126">
        <f>IF(Z43="","",Z43*AA43)</f>
        <v>1.28</v>
      </c>
      <c r="AC43" s="124" t="n">
        <v>2</v>
      </c>
      <c r="AD43" s="125">
        <f>IFERROR(INDEX(WM_AU,MATCH($Y43,WM_KEY,0)),"")</f>
        <v>0.16</v>
      </c>
      <c r="AE43" s="126">
        <f>IF(AC43="","",AC43*AD43)</f>
        <v>0.32</v>
      </c>
      <c r="AF43" s="124" t="n">
        <v>2</v>
      </c>
      <c r="AG43" s="125">
        <f>IFERROR(INDEX(WM_AC,MATCH($Y43,WM_KEY,0)),"")</f>
        <v>0.04</v>
      </c>
      <c r="AH43" s="126">
        <f>IF(AF43="","",AF43*AG43)</f>
        <v>0.08</v>
      </c>
      <c r="AI43" s="124" t="n">
        <v>1</v>
      </c>
      <c r="AJ43" s="125">
        <f>IFERROR(INDEX(WM_L,MATCH($Y43,WM_KEY,0)),"")</f>
        <v>0</v>
      </c>
      <c r="AK43" s="126">
        <f>IF(AI43="","",AI43*AJ43)</f>
        <v>0</v>
      </c>
      <c r="AL43" s="124" t="n">
        <v>5</v>
      </c>
      <c r="AM43" s="125">
        <f>IFERROR(INDEX(WM_E,MATCH($Y43,WM_KEY,0)),"")</f>
        <v>0.1</v>
      </c>
      <c r="AN43" s="126">
        <f>IF(AL43="","",AL43*AM43)</f>
        <v>0.5</v>
      </c>
      <c r="AO43" s="127" t="n">
        <v>2</v>
      </c>
      <c r="AP43" s="125">
        <f>IFERROR(INDEX(WM_BI,MATCH($Y43,WM_KEY,0)),"")</f>
        <v>0.06</v>
      </c>
      <c r="AQ43" s="126">
        <f>IF(AO43="","",AO43*AP43)</f>
        <v>0.12</v>
      </c>
      <c r="AR43" s="126">
        <f>IF(COUNT(AB43,AE43,AH43,AK43,AN43,AQ43)&lt;6,"",SUM(AB43,AE43,AH43,AK43,AN43,AQ43))</f>
        <v>2.3</v>
      </c>
      <c r="AS43" s="128" t="str">
        <f>IF(AR43="","",INDEX({"A1","A2","A3","B1","B2","B3","C1","C2","D1","D2","E1","E2"},MAX(1,MIN(12,ROUND(AR43,0)))))</f>
        <v>A2</v>
      </c>
      <c r="AT43"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3" s="130" t="inlineStr">
        <is>
          <r>
            <rPr>
              <rFont val="Calibri"/>
              <b val="1"/>
              <sz val="10"/>
            </rPr>
            <t>At build:</t>
          </r>
          <r>
            <rPr>
              <rFont val="Calibri"/>
              <sz val="10"/>
            </rPr>
            <t xml:space="preserve"> Complexity 1.28 + Autonomy 0.32 + Accountability 0.08 + Leadership 0.00 + Experience 0.50 + Business impact 0.12
= 2.30 points → nearest level 2 = A2
</t>
          </r>
          <r>
            <rPr>
              <rFont val="Calibri"/>
              <b val="1"/>
              <sz val="10"/>
            </rPr>
            <t>Final level:</t>
          </r>
          <r>
            <rPr>
              <rFont val="Calibri"/>
              <sz val="10"/>
            </rPr>
            <t xml:space="preserve"> A3 · a rule applied: see the next column</t>
          </r>
        </is>
      </c>
      <c r="AV43" s="130" t="inlineStr">
        <is>
          <r>
            <rPr>
              <rFont val="Calibri"/>
              <sz val="10"/>
            </rPr>
            <t xml:space="preserve">• </t>
          </r>
          <r>
            <rPr>
              <rFont val="Calibri"/>
              <b val="1"/>
              <sz val="10"/>
            </rPr>
            <t>Raised to A3:</t>
          </r>
          <r>
            <rPr>
              <rFont val="Calibri"/>
              <sz val="10"/>
            </rPr>
            <t xml:space="preserve"> 8.6 years' experience is 2 years or more.
</t>
          </r>
          <r>
            <rPr>
              <rFont val="Calibri"/>
              <b val="1"/>
              <sz val="10"/>
            </rPr>
            <t>Final level:</t>
          </r>
          <r>
            <rPr>
              <rFont val="Calibri"/>
              <sz val="10"/>
            </rPr>
            <t xml:space="preserve"> A3.</t>
          </r>
        </is>
      </c>
      <c r="AW43" s="131"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Troubleshoots routine Windows, Outlook, network and hardware issues; resolves user tickets; manages user accounts → matches the start
</t>
          </r>
          <r>
            <rPr>
              <rFont val="Calibri"/>
              <b val="1"/>
              <sz val="10"/>
            </rPr>
            <t>Market:</t>
          </r>
          <r>
            <rPr>
              <rFont val="Calibri"/>
              <sz val="10"/>
            </rPr>
            <t xml:space="preserve"> A2 = Standard work of the discipline</t>
          </r>
        </is>
      </c>
      <c r="AX4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Independently resolves routine IT issues; follows defined processes and escalates the rest → matches the start
</t>
          </r>
          <r>
            <rPr>
              <rFont val="Calibri"/>
              <b val="1"/>
              <sz val="10"/>
            </rPr>
            <t>Market:</t>
          </r>
          <r>
            <rPr>
              <rFont val="Calibri"/>
              <sz val="10"/>
            </rPr>
            <t xml:space="preserve"> A2 = Chooses own approach within standards</t>
          </r>
        </is>
      </c>
      <c r="AY43" s="132"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tickets: resolution within SLA, accurate ticket documentation, timely escalation → matches the start
</t>
          </r>
          <r>
            <rPr>
              <rFont val="Calibri"/>
              <b val="1"/>
              <sz val="10"/>
            </rPr>
            <t>Market:</t>
          </r>
          <r>
            <rPr>
              <rFont val="Calibri"/>
              <sz val="10"/>
            </rPr>
            <t xml:space="preserve"> A2 = Own deliverables · accuracy, TAT</t>
          </r>
        </is>
      </c>
      <c r="AZ43"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43" s="132" t="inlineStr">
        <is>
          <r>
            <rPr>
              <rFont val="Calibri"/>
              <sz val="10"/>
            </rPr>
            <t xml:space="preserve">Rated 5 of 12
</t>
          </r>
          <r>
            <rPr>
              <rFont val="Calibri"/>
              <b val="1"/>
              <sz val="10"/>
            </rPr>
            <t>Experience:</t>
          </r>
          <r>
            <rPr>
              <rFont val="Calibri"/>
              <sz val="10"/>
            </rPr>
            <t xml:space="preserve"> 8.6 yrs total · 5.0 before IRIS + 3.6 at IRIS = 5.4 on the experience scale
</t>
          </r>
          <r>
            <rPr>
              <rFont val="Calibri"/>
              <b val="1"/>
              <sz val="10"/>
            </rPr>
            <t>Qualification:</t>
          </r>
          <r>
            <rPr>
              <rFont val="Calibri"/>
              <sz val="10"/>
            </rPr>
            <t xml:space="preserve"> Undergraduate · below graduate → −0.5
</t>
          </r>
          <r>
            <rPr>
              <rFont val="Calibri"/>
              <b val="1"/>
              <sz val="10"/>
            </rPr>
            <t>Market:</t>
          </r>
          <r>
            <rPr>
              <rFont val="Calibri"/>
              <sz val="10"/>
            </rPr>
            <t xml:space="preserve"> A3 roles typically have 2–5 yrs · IRIS guide 2–4</t>
          </r>
        </is>
      </c>
      <c r="BB43" s="132"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43" s="133" t="inlineStr"/>
      <c r="BD43" s="134" t="inlineStr">
        <is>
          <t>✓ HRIS: 8.6 yrs, Undergraduate, 0 direct reports
✓ Survey: 20 of 20 questions answered
✗ KRAs: none on file
✓ Manager mapping: rating, 9-box
✗ Job description: not on file</t>
        </is>
      </c>
      <c r="BE43" s="134"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BF43" s="134" t="inlineStr">
        <is>
          <t>High</t>
        </is>
      </c>
      <c r="BG43" s="134" t="inlineStr">
        <is>
          <t>• 8.6 yrs of experience in a role that reads as Band A work — a career-path question for the manager: can the role be widened · Specialist, B1 or is it correctly sized?</t>
        </is>
      </c>
      <c r="BH43" s="134" t="inlineStr"/>
      <c r="BI43" s="135" t="n"/>
      <c r="BJ43" s="136" t="n"/>
      <c r="BK43" s="136" t="n"/>
      <c r="BL43" s="136" t="n"/>
      <c r="BM43" s="136" t="n"/>
      <c r="BN43" s="137" t="n"/>
      <c r="BO43" s="120" t="n"/>
      <c r="BP43" s="120" t="n"/>
      <c r="BQ43" s="120" t="n"/>
      <c r="BR43" s="120" t="n"/>
      <c r="BS43" s="120" t="n"/>
      <c r="BT43" s="120" t="n"/>
      <c r="BU43" s="120" t="n"/>
      <c r="BV43" s="120" t="n">
        <v>2</v>
      </c>
    </row>
    <row r="44" ht="340" customHeight="1">
      <c r="A44" s="109" t="inlineStr">
        <is>
          <t>IRIS1958</t>
        </is>
      </c>
      <c r="B44" s="110" t="inlineStr">
        <is>
          <t>Sandip Mane</t>
        </is>
      </c>
      <c r="C44" s="111" t="inlineStr">
        <is>
          <t>IT &amp; Infrastructure</t>
        </is>
      </c>
      <c r="D44" s="111" t="inlineStr">
        <is>
          <t>Mahesh Tilave</t>
        </is>
      </c>
      <c r="E44" s="112" t="n">
        <v>10.6</v>
      </c>
      <c r="F44" s="112" t="n">
        <v>5</v>
      </c>
      <c r="G44" s="111" t="inlineStr">
        <is>
          <t>B.SC</t>
        </is>
      </c>
      <c r="H44" s="138" t="inlineStr">
        <is>
          <t>System Administrator</t>
        </is>
      </c>
      <c r="I44" s="115" t="inlineStr">
        <is>
          <t>Senior System Administrator</t>
        </is>
      </c>
      <c r="J44" s="114" t="inlineStr">
        <is>
          <t>IT &amp; Infrastructure</t>
        </is>
      </c>
      <c r="K44" s="114" t="inlineStr">
        <is>
          <t>Infrastructure &amp; Cloud Operations</t>
        </is>
      </c>
      <c r="L44" s="115" t="inlineStr">
        <is>
          <t>Not in current mapping files</t>
        </is>
      </c>
      <c r="M44" s="116" t="inlineStr">
        <is>
          <t>A3</t>
        </is>
      </c>
      <c r="N44" s="139" t="inlineStr">
        <is>
          <t>Senior Associate</t>
        </is>
      </c>
      <c r="O44" s="26" t="inlineStr">
        <is>
          <t>A</t>
        </is>
      </c>
      <c r="P44" s="114" t="inlineStr">
        <is>
          <t>IC</t>
        </is>
      </c>
      <c r="Q44" s="117" t="inlineStr">
        <is>
          <t>● Newly mapped</t>
        </is>
      </c>
      <c r="R44" s="118" t="inlineStr">
        <is>
          <r>
            <rPr>
              <rFont val="Calibri"/>
              <b val="1"/>
              <sz val="10"/>
            </rPr>
            <t>WHAT THE ROLE DOES:</t>
          </r>
          <r>
            <rPr>
              <rFont val="Calibri"/>
              <sz val="10"/>
            </rPr>
            <t xml:space="preserve"> Runs servers, AD/DNS, network, cloud, hosting, backup and DR. At A3: varied work; reviews juniors; go-to for a process.
</t>
          </r>
          <r>
            <rPr>
              <rFont val="Calibri"/>
              <b val="1"/>
              <sz val="10"/>
            </rPr>
            <t>Common themes in role-holders' answers:</t>
          </r>
          <r>
            <rPr>
              <rFont val="Calibri"/>
              <sz val="10"/>
            </rPr>
            <t xml:space="preserve"> server · support · security · windows · infrastructure · system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Common themes in role-holders' answers:</t>
          </r>
          <r>
            <rPr>
              <rFont val="Calibri"/>
              <sz val="10"/>
            </rPr>
            <t xml:space="preserve"> server · dns · security · cloud · monitoring · administration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system · infrastructure · secure · availability · monitoring · disaster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availability · am · accountable · uptime · security · server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backup · optimize · monitor · resolve
</t>
          </r>
          <r>
            <rPr>
              <rFont val="Calibri"/>
              <b val="1"/>
              <sz val="10"/>
            </rPr>
            <t>SKILLS &amp; KNOWLEDGE · role-holders:</t>
          </r>
          <r>
            <rPr>
              <rFont val="Calibri"/>
              <sz val="10"/>
            </rPr>
            <t xml:space="preserve"> Infra
COMPETENCIES REQUIRED — must-have ★: Cybersecurity &amp; Infrastructure · Cloud, DevOps &amp; CI/CD
</t>
          </r>
          <r>
            <rPr>
              <rFont val="Calibri"/>
              <b val="1"/>
              <sz val="10"/>
            </rPr>
            <t>OTHER FUNCTIONAL COMPETENCIES:</t>
          </r>
          <r>
            <rPr>
              <rFont val="Calibri"/>
              <sz val="10"/>
            </rPr>
            <t xml:space="preserve"> Process Improvement &amp; Quality Mindset · Stakeholder &amp; Client Management · Time, Priority &amp; Self-Management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Microsoft / CCNA / ISO 27001 / ITIL; AWS / Azure / Kubernetes certifications
</t>
          </r>
          <r>
            <rPr>
              <rFont val="Calibri"/>
              <b val="1"/>
              <sz val="10"/>
            </rPr>
            <t>SOURCE:</t>
          </r>
          <r>
            <rPr>
              <rFont val="Calibri"/>
              <sz val="10"/>
            </rPr>
            <t xml:space="preserve"> Framework + role-holders' themes · 3+ answered — 8 holders, 6 answered the survey; sub-family 9 answered; catalogue RC-108</t>
          </r>
        </is>
      </c>
      <c r="S44"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T44" s="120" t="n"/>
      <c r="U44" s="121" t="inlineStr">
        <is>
          <r>
            <rPr>
              <rFont val="Calibri"/>
              <sz val="10"/>
            </rPr>
            <t xml:space="preserve">Senior System Administrator in IT &amp; Infrastructure · Corporate, A3 — IC.
</t>
          </r>
          <r>
            <rPr>
              <rFont val="Calibri"/>
              <b val="1"/>
              <sz val="10"/>
            </rPr>
            <t>The work:</t>
          </r>
          <r>
            <rPr>
              <rFont val="Calibri"/>
              <sz val="10"/>
            </rPr>
            <t xml:space="preserve"> Runs servers, AD/DNS, network, cloud, hosting, backup and DR.
At this level the role owns varied work; reviews juniors; go-to for a process.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Holders describe it with:</t>
          </r>
          <r>
            <rPr>
              <rFont val="Calibri"/>
              <sz val="10"/>
            </rPr>
            <t xml:space="preserve"> server · dns · security · cloud · monitoring · administration.</t>
          </r>
        </is>
      </c>
      <c r="V44" s="122" t="inlineStr">
        <is>
          <r>
            <rPr>
              <rFont val="Calibri"/>
              <b val="1"/>
              <sz val="10"/>
            </rPr>
            <t>Hire as:</t>
          </r>
          <r>
            <rPr>
              <rFont val="Calibri"/>
              <sz val="10"/>
            </rPr>
            <t xml:space="preserve"> System Administrator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B.Sc / diploma + certifications
</t>
          </r>
          <r>
            <rPr>
              <rFont val="Calibri"/>
              <b val="1"/>
              <sz val="10"/>
            </rPr>
            <t>Equivalent titles at peers:</t>
          </r>
          <r>
            <rPr>
              <rFont val="Calibri"/>
              <sz val="10"/>
            </rPr>
            <t xml:space="preserve"> Atlassian company-wide P-levels – P40 · IRIS Vs Competitor Benchmark — infrastructure ladder – System Administrator
</t>
          </r>
          <r>
            <rPr>
              <rFont val="Calibri"/>
              <b val="1"/>
              <sz val="10"/>
            </rPr>
            <t>Credentials:</t>
          </r>
          <r>
            <rPr>
              <rFont val="Calibri"/>
              <sz val="10"/>
            </rPr>
            <t xml:space="preserve"> Microsoft / CCNA / ISO 27001 / ITIL; AWS / Azure / Kubernetes certifications
</t>
          </r>
          <r>
            <rPr>
              <rFont val="Calibri"/>
              <b val="1"/>
              <sz val="10"/>
            </rPr>
            <t>Must already know:</t>
          </r>
          <r>
            <rPr>
              <rFont val="Calibri"/>
              <sz val="10"/>
            </rPr>
            <t xml:space="preserve"> ISO 27001 / InfoSec controls</t>
          </r>
        </is>
      </c>
      <c r="W44" s="122" t="inlineStr">
        <is>
          <r>
            <rPr>
              <rFont val="Calibri"/>
              <sz val="10"/>
            </rPr>
            <t xml:space="preserve">FUNCTIONAL — skill level 3 of 5 · Practitioner
 ★ Cybersecurity &amp; Infrastructure: Administers secure servers, networks and access
 ★ Cloud, DevOps &amp; CI/CD: Builds and runs CI/CD pipelines and environments
 •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Infra
★ = must-have for the family. Scale: 1 Awareness · 2 Working · 3 Practitioner · 4 Advanced · 5 Expert.</t>
          </r>
        </is>
      </c>
      <c r="X44" s="122" t="inlineStr">
        <is>
          <r>
            <rPr>
              <rFont val="Calibri"/>
              <sz val="10"/>
            </rPr>
            <t xml:space="preserve">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4" s="123" t="inlineStr">
        <is>
          <t>Corporate · IT &amp; Infrastructure · Band A · Early career</t>
        </is>
      </c>
      <c r="Z44" s="124" t="n">
        <v>3</v>
      </c>
      <c r="AA44" s="125">
        <f>IFERROR(INDEX(WM_C,MATCH($Y44,WM_KEY,0)),"")</f>
        <v>0.64</v>
      </c>
      <c r="AB44" s="126">
        <f>IF(Z44="","",Z44*AA44)</f>
        <v>1.92</v>
      </c>
      <c r="AC44" s="124" t="n">
        <v>2.5</v>
      </c>
      <c r="AD44" s="125">
        <f>IFERROR(INDEX(WM_AU,MATCH($Y44,WM_KEY,0)),"")</f>
        <v>0.16</v>
      </c>
      <c r="AE44" s="126">
        <f>IF(AC44="","",AC44*AD44)</f>
        <v>0.4</v>
      </c>
      <c r="AF44" s="124" t="n">
        <v>3</v>
      </c>
      <c r="AG44" s="125">
        <f>IFERROR(INDEX(WM_AC,MATCH($Y44,WM_KEY,0)),"")</f>
        <v>0.04</v>
      </c>
      <c r="AH44" s="126">
        <f>IF(AF44="","",AF44*AG44)</f>
        <v>0.12</v>
      </c>
      <c r="AI44" s="124" t="n">
        <v>1.5</v>
      </c>
      <c r="AJ44" s="125">
        <f>IFERROR(INDEX(WM_L,MATCH($Y44,WM_KEY,0)),"")</f>
        <v>0</v>
      </c>
      <c r="AK44" s="126">
        <f>IF(AI44="","",AI44*AJ44)</f>
        <v>0</v>
      </c>
      <c r="AL44" s="124" t="n">
        <v>6.5</v>
      </c>
      <c r="AM44" s="125">
        <f>IFERROR(INDEX(WM_E,MATCH($Y44,WM_KEY,0)),"")</f>
        <v>0.1</v>
      </c>
      <c r="AN44" s="126">
        <f>IF(AL44="","",AL44*AM44)</f>
        <v>0.65</v>
      </c>
      <c r="AO44" s="127" t="n">
        <v>3</v>
      </c>
      <c r="AP44" s="125">
        <f>IFERROR(INDEX(WM_BI,MATCH($Y44,WM_KEY,0)),"")</f>
        <v>0.06</v>
      </c>
      <c r="AQ44" s="126">
        <f>IF(AO44="","",AO44*AP44)</f>
        <v>0.18</v>
      </c>
      <c r="AR44" s="126">
        <f>IF(COUNT(AB44,AE44,AH44,AK44,AN44,AQ44)&lt;6,"",SUM(AB44,AE44,AH44,AK44,AN44,AQ44))</f>
        <v>3.27</v>
      </c>
      <c r="AS44" s="128" t="str">
        <f>IF(AR44="","",INDEX({"A1","A2","A3","B1","B2","B3","C1","C2","D1","D2","E1","E2"},MAX(1,MIN(12,ROUND(AR44,0)))))</f>
        <v>A3</v>
      </c>
      <c r="AT44"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4" s="130" t="inlineStr">
        <is>
          <r>
            <rPr>
              <rFont val="Calibri"/>
              <b val="1"/>
              <sz val="10"/>
            </rPr>
            <t>At build:</t>
          </r>
          <r>
            <rPr>
              <rFont val="Calibri"/>
              <sz val="10"/>
            </rPr>
            <t xml:space="preserve"> Complexity 1.92 + Autonomy 0.40 + Accountability 0.12 + Leadership 0.00 + Experience 0.65 + Business impact 0.18
= 3.27 points → nearest level 3 = A3
</t>
          </r>
          <r>
            <rPr>
              <rFont val="Calibri"/>
              <b val="1"/>
              <sz val="10"/>
            </rPr>
            <t>Final level:</t>
          </r>
          <r>
            <rPr>
              <rFont val="Calibri"/>
              <sz val="10"/>
            </rPr>
            <t xml:space="preserve"> A3 · same as the score</t>
          </r>
        </is>
      </c>
      <c r="AV44" s="130" t="inlineStr">
        <is>
          <r>
            <rPr>
              <rFont val="Calibri"/>
              <b val="1"/>
              <sz val="10"/>
            </rPr>
            <t>No rule applied:</t>
          </r>
          <r>
            <rPr>
              <rFont val="Calibri"/>
              <sz val="10"/>
            </rPr>
            <t xml:space="preserve"> the score decides.</t>
          </r>
        </is>
      </c>
      <c r="AW44"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Administers Active Directory, DNS, DHCP, GPO, TFS and Azure; patching and server security → matches the start
</t>
          </r>
          <r>
            <rPr>
              <rFont val="Calibri"/>
              <b val="1"/>
              <sz val="10"/>
            </rPr>
            <t>Market:</t>
          </r>
          <r>
            <rPr>
              <rFont val="Calibri"/>
              <sz val="10"/>
            </rPr>
            <t xml:space="preserve"> A3 = Varied and non-standard work; handles exceptions</t>
          </r>
        </is>
      </c>
      <c r="AX44"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States only 'troubleshoot and resolve'; no wider calls described → moved down 0.5
</t>
          </r>
          <r>
            <rPr>
              <rFont val="Calibri"/>
              <b val="1"/>
              <sz val="10"/>
            </rPr>
            <t>Market:</t>
          </r>
          <r>
            <rPr>
              <rFont val="Calibri"/>
              <sz val="10"/>
            </rPr>
            <t xml:space="preserve"> A2 = Chooses own approach within standards · A3 = Technical / QC / client calls on own work</t>
          </r>
        </is>
      </c>
      <c r="AY44"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own survey / KRA answers · summarised by the rater; not quoted → matches the start
</t>
          </r>
          <r>
            <rPr>
              <rFont val="Calibri"/>
              <b val="1"/>
              <sz val="10"/>
            </rPr>
            <t>Market:</t>
          </r>
          <r>
            <rPr>
              <rFont val="Calibri"/>
              <sz val="10"/>
            </rPr>
            <t xml:space="preserve"> A3 = A module / process, or work with client or regulatory consequences</t>
          </r>
        </is>
      </c>
      <c r="AZ44"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44" s="132" t="inlineStr">
        <is>
          <r>
            <rPr>
              <rFont val="Calibri"/>
              <sz val="10"/>
            </rPr>
            <t xml:space="preserve">Rated 6.5 of 12 · between B3 and C1
</t>
          </r>
          <r>
            <rPr>
              <rFont val="Calibri"/>
              <b val="1"/>
              <sz val="10"/>
            </rPr>
            <t>Experience:</t>
          </r>
          <r>
            <rPr>
              <rFont val="Calibri"/>
              <sz val="10"/>
            </rPr>
            <t xml:space="preserve"> 10.6 yrs total · 5.6 before IRIS + 5.0 at IRIS = 6.3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A3 roles typically have 2–5 yrs · IRIS guide 2–4</t>
          </r>
        </is>
      </c>
      <c r="BB44"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44" s="133" t="inlineStr"/>
      <c r="BD44" s="134" t="inlineStr">
        <is>
          <t>✓ HRIS: 10.6 yrs, B.SC, 0 direct reports
✓ Survey: 20 of 20 questions answered
✗ KRAs: none on file
✓ Manager mapping: rating, 9-box
✗ Job description: not on file</t>
        </is>
      </c>
      <c r="BE44" s="134"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BF44" s="134" t="inlineStr">
        <is>
          <t>Medium</t>
        </is>
      </c>
      <c r="BG44" s="134" t="inlineStr">
        <is>
          <t>• 10.6 yrs of experience in a role that reads as Band A work — a career-path question for the manager: can the role be widened · Specialist, B1 or is it correctly sized?</t>
        </is>
      </c>
      <c r="BH44" s="134" t="inlineStr"/>
      <c r="BI44" s="135" t="n"/>
      <c r="BJ44" s="136" t="n"/>
      <c r="BK44" s="136" t="n"/>
      <c r="BL44" s="136" t="n"/>
      <c r="BM44" s="136" t="n"/>
      <c r="BN44" s="137" t="n"/>
      <c r="BO44" s="120" t="n"/>
      <c r="BP44" s="120" t="n"/>
      <c r="BQ44" s="120" t="n"/>
      <c r="BR44" s="120" t="n"/>
      <c r="BS44" s="120" t="n"/>
      <c r="BT44" s="120" t="n"/>
      <c r="BU44" s="120" t="n"/>
      <c r="BV44" s="120" t="n">
        <v>3</v>
      </c>
    </row>
    <row r="45" ht="340" customHeight="1">
      <c r="A45" s="109" t="inlineStr">
        <is>
          <t>IRIS1581</t>
        </is>
      </c>
      <c r="B45" s="110" t="inlineStr">
        <is>
          <t>Vishal Vare</t>
        </is>
      </c>
      <c r="C45" s="111" t="inlineStr">
        <is>
          <t>IT &amp; Infrastructure</t>
        </is>
      </c>
      <c r="D45" s="111" t="inlineStr">
        <is>
          <t>Mahesh Tilave</t>
        </is>
      </c>
      <c r="E45" s="112" t="n">
        <v>10.3</v>
      </c>
      <c r="F45" s="112" t="n">
        <v>10.3</v>
      </c>
      <c r="G45" s="111" t="inlineStr">
        <is>
          <t>B.SC</t>
        </is>
      </c>
      <c r="H45" s="113" t="inlineStr">
        <is>
          <t>Senior System Administrator</t>
        </is>
      </c>
      <c r="I45" s="114" t="inlineStr">
        <is>
          <t>Senior System Administrator</t>
        </is>
      </c>
      <c r="J45" s="114" t="inlineStr">
        <is>
          <t>IT &amp; Infrastructure</t>
        </is>
      </c>
      <c r="K45" s="114" t="inlineStr">
        <is>
          <t>Infrastructure &amp; Cloud Operations</t>
        </is>
      </c>
      <c r="L45" s="115" t="inlineStr">
        <is>
          <t>Not in current mapping files</t>
        </is>
      </c>
      <c r="M45" s="116" t="inlineStr">
        <is>
          <t>A3</t>
        </is>
      </c>
      <c r="N45" s="139" t="inlineStr">
        <is>
          <t>Senior Associate</t>
        </is>
      </c>
      <c r="O45" s="26" t="inlineStr">
        <is>
          <t>A</t>
        </is>
      </c>
      <c r="P45" s="114" t="inlineStr">
        <is>
          <t>IC</t>
        </is>
      </c>
      <c r="Q45" s="117" t="inlineStr">
        <is>
          <t>● Newly mapped</t>
        </is>
      </c>
      <c r="R45" s="118" t="inlineStr">
        <is>
          <r>
            <rPr>
              <rFont val="Calibri"/>
              <b val="1"/>
              <sz val="10"/>
            </rPr>
            <t>WHAT THE ROLE DOES:</t>
          </r>
          <r>
            <rPr>
              <rFont val="Calibri"/>
              <sz val="10"/>
            </rPr>
            <t xml:space="preserve"> Runs servers, AD/DNS, network, cloud, hosting, backup and DR. At A3: varied work; reviews juniors; go-to for a process.
</t>
          </r>
          <r>
            <rPr>
              <rFont val="Calibri"/>
              <b val="1"/>
              <sz val="10"/>
            </rPr>
            <t>Common themes in role-holders' answers:</t>
          </r>
          <r>
            <rPr>
              <rFont val="Calibri"/>
              <sz val="10"/>
            </rPr>
            <t xml:space="preserve"> server · support · security · windows · infrastructure · system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Common themes in role-holders' answers:</t>
          </r>
          <r>
            <rPr>
              <rFont val="Calibri"/>
              <sz val="10"/>
            </rPr>
            <t xml:space="preserve"> server · dns · security · cloud · monitoring · administration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system · infrastructure · secure · availability · monitoring · disaster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availability · am · accountable · uptime · security · server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backup · optimize · monitor · resolve
</t>
          </r>
          <r>
            <rPr>
              <rFont val="Calibri"/>
              <b val="1"/>
              <sz val="10"/>
            </rPr>
            <t>SKILLS &amp; KNOWLEDGE · role-holders:</t>
          </r>
          <r>
            <rPr>
              <rFont val="Calibri"/>
              <sz val="10"/>
            </rPr>
            <t xml:space="preserve"> Infra
COMPETENCIES REQUIRED — must-have ★: Cybersecurity &amp; Infrastructure · Cloud, DevOps &amp; CI/CD
</t>
          </r>
          <r>
            <rPr>
              <rFont val="Calibri"/>
              <b val="1"/>
              <sz val="10"/>
            </rPr>
            <t>OTHER FUNCTIONAL COMPETENCIES:</t>
          </r>
          <r>
            <rPr>
              <rFont val="Calibri"/>
              <sz val="10"/>
            </rPr>
            <t xml:space="preserve"> Process Improvement &amp; Quality Mindset · Stakeholder &amp; Client Management · Time, Priority &amp; Self-Management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Microsoft / CCNA / ISO 27001 / ITIL; AWS / Azure / Kubernetes certifications
</t>
          </r>
          <r>
            <rPr>
              <rFont val="Calibri"/>
              <b val="1"/>
              <sz val="10"/>
            </rPr>
            <t>SOURCE:</t>
          </r>
          <r>
            <rPr>
              <rFont val="Calibri"/>
              <sz val="10"/>
            </rPr>
            <t xml:space="preserve"> Framework + role-holders' themes · 3+ answered — 8 holders, 6 answered the survey; sub-family 9 answered; catalogue RC-108</t>
          </r>
        </is>
      </c>
      <c r="S45"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T45" s="120" t="n"/>
      <c r="U45" s="121" t="inlineStr">
        <is>
          <r>
            <rPr>
              <rFont val="Calibri"/>
              <sz val="10"/>
            </rPr>
            <t xml:space="preserve">Senior System Administrator in IT &amp; Infrastructure · Corporate, A3 — IC.
</t>
          </r>
          <r>
            <rPr>
              <rFont val="Calibri"/>
              <b val="1"/>
              <sz val="10"/>
            </rPr>
            <t>The work:</t>
          </r>
          <r>
            <rPr>
              <rFont val="Calibri"/>
              <sz val="10"/>
            </rPr>
            <t xml:space="preserve"> Runs servers, AD/DNS, network, cloud, hosting, backup and DR.
At this level the role owns varied work; reviews juniors; go-to for a process.
</t>
          </r>
          <r>
            <rPr>
              <rFont val="Calibri"/>
              <b val="1"/>
              <sz val="10"/>
            </rPr>
            <t>Key responsibilities:</t>
          </r>
          <r>
            <rPr>
              <rFont val="Calibri"/>
              <sz val="10"/>
            </rPr>
            <t xml:space="preserve"> Runs servers, AD/DNS, network, cloud, hosting, backup and DR; Varied and non-standard work; handles exceptions; A module / process, or work with client or regulatory consequences.
</t>
          </r>
          <r>
            <rPr>
              <rFont val="Calibri"/>
              <b val="1"/>
              <sz val="10"/>
            </rPr>
            <t>Holders describe it with:</t>
          </r>
          <r>
            <rPr>
              <rFont val="Calibri"/>
              <sz val="10"/>
            </rPr>
            <t xml:space="preserve"> server · dns · security · cloud · monitoring · administration.</t>
          </r>
        </is>
      </c>
      <c r="V45" s="122" t="inlineStr">
        <is>
          <r>
            <rPr>
              <rFont val="Calibri"/>
              <b val="1"/>
              <sz val="10"/>
            </rPr>
            <t>Hire as:</t>
          </r>
          <r>
            <rPr>
              <rFont val="Calibri"/>
              <sz val="10"/>
            </rPr>
            <t xml:space="preserve"> System Administrator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B.Sc / diploma + certifications
</t>
          </r>
          <r>
            <rPr>
              <rFont val="Calibri"/>
              <b val="1"/>
              <sz val="10"/>
            </rPr>
            <t>Equivalent titles at peers:</t>
          </r>
          <r>
            <rPr>
              <rFont val="Calibri"/>
              <sz val="10"/>
            </rPr>
            <t xml:space="preserve"> Atlassian company-wide P-levels – P40 · IRIS Vs Competitor Benchmark — infrastructure ladder – System Administrator
</t>
          </r>
          <r>
            <rPr>
              <rFont val="Calibri"/>
              <b val="1"/>
              <sz val="10"/>
            </rPr>
            <t>Credentials:</t>
          </r>
          <r>
            <rPr>
              <rFont val="Calibri"/>
              <sz val="10"/>
            </rPr>
            <t xml:space="preserve"> Microsoft / CCNA / ISO 27001 / ITIL; AWS / Azure / Kubernetes certifications
</t>
          </r>
          <r>
            <rPr>
              <rFont val="Calibri"/>
              <b val="1"/>
              <sz val="10"/>
            </rPr>
            <t>Must already know:</t>
          </r>
          <r>
            <rPr>
              <rFont val="Calibri"/>
              <sz val="10"/>
            </rPr>
            <t xml:space="preserve"> ISO 27001 / InfoSec controls</t>
          </r>
        </is>
      </c>
      <c r="W45" s="122" t="inlineStr">
        <is>
          <r>
            <rPr>
              <rFont val="Calibri"/>
              <sz val="10"/>
            </rPr>
            <t xml:space="preserve">FUNCTIONAL — skill level 3 of 5 · Practitioner
 ★ Cybersecurity &amp; Infrastructure: Administers secure servers, networks and access
 ★ Cloud, DevOps &amp; CI/CD: Builds and runs CI/CD pipelines and environments
 •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Infra
★ = must-have for the family. Scale: 1 Awareness · 2 Working · 3 Practitioner · 4 Advanced · 5 Expert.</t>
          </r>
        </is>
      </c>
      <c r="X45" s="122" t="inlineStr">
        <is>
          <r>
            <rPr>
              <rFont val="Calibri"/>
              <sz val="10"/>
            </rPr>
            <t xml:space="preserve">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5" s="123" t="inlineStr">
        <is>
          <t>Corporate · IT &amp; Infrastructure · Band A · Early career</t>
        </is>
      </c>
      <c r="Z45" s="124" t="n">
        <v>3</v>
      </c>
      <c r="AA45" s="125">
        <f>IFERROR(INDEX(WM_C,MATCH($Y45,WM_KEY,0)),"")</f>
        <v>0.64</v>
      </c>
      <c r="AB45" s="126">
        <f>IF(Z45="","",Z45*AA45)</f>
        <v>1.92</v>
      </c>
      <c r="AC45" s="124" t="n">
        <v>2.5</v>
      </c>
      <c r="AD45" s="125">
        <f>IFERROR(INDEX(WM_AU,MATCH($Y45,WM_KEY,0)),"")</f>
        <v>0.16</v>
      </c>
      <c r="AE45" s="126">
        <f>IF(AC45="","",AC45*AD45)</f>
        <v>0.4</v>
      </c>
      <c r="AF45" s="124" t="n">
        <v>3</v>
      </c>
      <c r="AG45" s="125">
        <f>IFERROR(INDEX(WM_AC,MATCH($Y45,WM_KEY,0)),"")</f>
        <v>0.04</v>
      </c>
      <c r="AH45" s="126">
        <f>IF(AF45="","",AF45*AG45)</f>
        <v>0.12</v>
      </c>
      <c r="AI45" s="124" t="n">
        <v>1.5</v>
      </c>
      <c r="AJ45" s="125">
        <f>IFERROR(INDEX(WM_L,MATCH($Y45,WM_KEY,0)),"")</f>
        <v>0</v>
      </c>
      <c r="AK45" s="126">
        <f>IF(AI45="","",AI45*AJ45)</f>
        <v>0</v>
      </c>
      <c r="AL45" s="124" t="n">
        <v>6</v>
      </c>
      <c r="AM45" s="125">
        <f>IFERROR(INDEX(WM_E,MATCH($Y45,WM_KEY,0)),"")</f>
        <v>0.1</v>
      </c>
      <c r="AN45" s="126">
        <f>IF(AL45="","",AL45*AM45)</f>
        <v>0.6</v>
      </c>
      <c r="AO45" s="127" t="n">
        <v>3</v>
      </c>
      <c r="AP45" s="125">
        <f>IFERROR(INDEX(WM_BI,MATCH($Y45,WM_KEY,0)),"")</f>
        <v>0.06</v>
      </c>
      <c r="AQ45" s="126">
        <f>IF(AO45="","",AO45*AP45)</f>
        <v>0.18</v>
      </c>
      <c r="AR45" s="126">
        <f>IF(COUNT(AB45,AE45,AH45,AK45,AN45,AQ45)&lt;6,"",SUM(AB45,AE45,AH45,AK45,AN45,AQ45))</f>
        <v>3.22</v>
      </c>
      <c r="AS45" s="128" t="str">
        <f>IF(AR45="","",INDEX({"A1","A2","A3","B1","B2","B3","C1","C2","D1","D2","E1","E2"},MAX(1,MIN(12,ROUND(AR45,0)))))</f>
        <v>A3</v>
      </c>
      <c r="AT45" s="129"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45" s="130" t="inlineStr">
        <is>
          <r>
            <rPr>
              <rFont val="Calibri"/>
              <b val="1"/>
              <sz val="10"/>
            </rPr>
            <t>At build:</t>
          </r>
          <r>
            <rPr>
              <rFont val="Calibri"/>
              <sz val="10"/>
            </rPr>
            <t xml:space="preserve"> Complexity 1.92 + Autonomy 0.40 + Accountability 0.12 + Leadership 0.00 + Experience 0.60 + Business impact 0.18
= 3.22 points → nearest level 3 = A3
</t>
          </r>
          <r>
            <rPr>
              <rFont val="Calibri"/>
              <b val="1"/>
              <sz val="10"/>
            </rPr>
            <t>Final level:</t>
          </r>
          <r>
            <rPr>
              <rFont val="Calibri"/>
              <sz val="10"/>
            </rPr>
            <t xml:space="preserve"> A3 · same as the score</t>
          </r>
        </is>
      </c>
      <c r="AV45" s="130" t="inlineStr">
        <is>
          <r>
            <rPr>
              <rFont val="Calibri"/>
              <b val="1"/>
              <sz val="10"/>
            </rPr>
            <t>No rule applied:</t>
          </r>
          <r>
            <rPr>
              <rFont val="Calibri"/>
              <sz val="10"/>
            </rPr>
            <t xml:space="preserve"> the score decides.</t>
          </r>
        </is>
      </c>
      <c r="AW45"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Administers AWS infrastructure, GSuite, SendGrid, Linux servers and Cloudflare DNS for the organisation → matches the start
</t>
          </r>
          <r>
            <rPr>
              <rFont val="Calibri"/>
              <b val="1"/>
              <sz val="10"/>
            </rPr>
            <t>Market:</t>
          </r>
          <r>
            <rPr>
              <rFont val="Calibri"/>
              <sz val="10"/>
            </rPr>
            <t xml:space="preserve"> A3 = Varied and non-standard work; handles exceptions</t>
          </r>
        </is>
      </c>
      <c r="AX45" s="132"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States only 'Operations'; no specific independent decisions given → moved down 0.5
</t>
          </r>
          <r>
            <rPr>
              <rFont val="Calibri"/>
              <b val="1"/>
              <sz val="10"/>
            </rPr>
            <t>Market:</t>
          </r>
          <r>
            <rPr>
              <rFont val="Calibri"/>
              <sz val="10"/>
            </rPr>
            <t xml:space="preserve"> A2 = Chooses own approach within standards · A3 = Technical / QC / client calls on own work</t>
          </r>
        </is>
      </c>
      <c r="AY45"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own survey / KRA answers · summarised by the rater; not quoted → matches the start
</t>
          </r>
          <r>
            <rPr>
              <rFont val="Calibri"/>
              <b val="1"/>
              <sz val="10"/>
            </rPr>
            <t>Market:</t>
          </r>
          <r>
            <rPr>
              <rFont val="Calibri"/>
              <sz val="10"/>
            </rPr>
            <t xml:space="preserve"> A3 = A module / process, or work with client or regulatory consequences</t>
          </r>
        </is>
      </c>
      <c r="AZ45"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45" s="132" t="inlineStr">
        <is>
          <r>
            <rPr>
              <rFont val="Calibri"/>
              <sz val="10"/>
            </rPr>
            <t xml:space="preserve">Rated 6 of 12
</t>
          </r>
          <r>
            <rPr>
              <rFont val="Calibri"/>
              <b val="1"/>
              <sz val="10"/>
            </rPr>
            <t>Experience:</t>
          </r>
          <r>
            <rPr>
              <rFont val="Calibri"/>
              <sz val="10"/>
            </rPr>
            <t xml:space="preserve"> 10.3 yrs total · 10.3 at IRIS; none recorded before IRIS = 6.2 on the experience scale
</t>
          </r>
          <r>
            <rPr>
              <rFont val="Calibri"/>
              <b val="1"/>
              <sz val="10"/>
            </rPr>
            <t>Note:</t>
          </r>
          <r>
            <rPr>
              <rFont val="Calibri"/>
              <sz val="10"/>
            </rPr>
            <t xml:space="preserve"> the record looks incomplete, so this is a minimum · HR to confirm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A3 roles typically have 2–5 yrs · IRIS guide 2–4</t>
          </r>
        </is>
      </c>
      <c r="BB45" s="132"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45" s="142" t="inlineStr">
        <is>
          <t>• Correct the experience record — HR</t>
        </is>
      </c>
      <c r="BD45" s="134" t="inlineStr">
        <is>
          <t>✓ HRIS: 10.3 yrs, B.SC, 0 direct reports
✓ Survey: 20 of 20 questions answered
✗ KRAs: none on file
✓ Manager mapping: rating, 9-box
✗ Job description: not on file</t>
        </is>
      </c>
      <c r="BE45" s="134"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BF45" s="134" t="inlineStr">
        <is>
          <t>Low</t>
        </is>
      </c>
      <c r="BG45" s="134" t="inlineStr">
        <is>
          <t>• Experience on record · 10.3 yrs looks incomplete — experience before IRIS appears to be missing; HR to confirm</t>
        </is>
      </c>
      <c r="BH45" s="134" t="inlineStr"/>
      <c r="BI45" s="135" t="n"/>
      <c r="BJ45" s="136" t="n"/>
      <c r="BK45" s="136" t="n"/>
      <c r="BL45" s="136" t="n"/>
      <c r="BM45" s="136" t="n"/>
      <c r="BN45" s="137" t="n"/>
      <c r="BO45" s="120" t="n"/>
      <c r="BP45" s="120" t="n"/>
      <c r="BQ45" s="120" t="n"/>
      <c r="BR45" s="120" t="n"/>
      <c r="BS45" s="120" t="n"/>
      <c r="BT45" s="120" t="n"/>
      <c r="BU45" s="120" t="n"/>
      <c r="BV45" s="120" t="n">
        <v>3</v>
      </c>
    </row>
    <row r="46" ht="340" customHeight="1">
      <c r="A46" s="109" t="inlineStr">
        <is>
          <t>IRIS0001</t>
        </is>
      </c>
      <c r="B46" s="110" t="inlineStr">
        <is>
          <t>Balachandran K</t>
        </is>
      </c>
      <c r="C46" s="111" t="inlineStr">
        <is>
          <t>Management</t>
        </is>
      </c>
      <c r="D46" s="111" t="inlineStr">
        <is>
          <t>— · top of the organisation</t>
        </is>
      </c>
      <c r="E46" s="112" t="n">
        <v>32.1</v>
      </c>
      <c r="F46" s="112" t="n">
        <v>22.1</v>
      </c>
      <c r="G46" s="111" t="inlineStr">
        <is>
          <t>MBA</t>
        </is>
      </c>
      <c r="H46" s="138" t="inlineStr">
        <is>
          <t>CEO</t>
        </is>
      </c>
      <c r="I46" s="115" t="inlineStr">
        <is>
          <t>Chief Executive Officer</t>
        </is>
      </c>
      <c r="J46" s="114" t="inlineStr">
        <is>
          <t>Executive Leadership</t>
        </is>
      </c>
      <c r="K46" s="114" t="inlineStr">
        <is>
          <t>Enterprise Leadership</t>
        </is>
      </c>
      <c r="L46" s="115" t="inlineStr">
        <is>
          <t>Not in current mapping files</t>
        </is>
      </c>
      <c r="M46" s="116" t="inlineStr">
        <is>
          <t>E2</t>
        </is>
      </c>
      <c r="N46" s="145" t="inlineStr">
        <is>
          <t>Chief Executive Officer</t>
        </is>
      </c>
      <c r="O46" s="42" t="inlineStr">
        <is>
          <t>E</t>
        </is>
      </c>
      <c r="P46" s="114" t="inlineStr">
        <is>
          <t>People Manager</t>
        </is>
      </c>
      <c r="Q46" s="117" t="inlineStr">
        <is>
          <t>● Newly mapped</t>
        </is>
      </c>
      <c r="R46" s="118" t="inlineStr">
        <is>
          <r>
            <rPr>
              <rFont val="Calibri"/>
              <b val="1"/>
              <sz val="10"/>
            </rPr>
            <t>WHAT THE ROLE DOES:</t>
          </r>
          <r>
            <rPr>
              <rFont val="Calibri"/>
              <sz val="10"/>
            </rPr>
            <t xml:space="preserve"> Sets enterprise strategy; leads the executive team. At E2: the enterprise.
</t>
          </r>
          <r>
            <rPr>
              <rFont val="Calibri"/>
              <b val="1"/>
              <sz val="10"/>
            </rPr>
            <t>KEY RESPONSIBILITIES:</t>
          </r>
          <r>
            <rPr>
              <rFont val="Calibri"/>
              <sz val="10"/>
            </rPr>
            <t xml:space="preserve"> Sets enterprise strategy; leads the executive team; Enterprise-wide uncertainty, transformation and external forces; Enterprise results, risk, culture and long-term viability
</t>
          </r>
          <r>
            <rPr>
              <rFont val="Calibri"/>
              <b val="1"/>
              <sz val="10"/>
            </rPr>
            <t>DELIVERS:</t>
          </r>
          <r>
            <rPr>
              <rFont val="Calibri"/>
              <sz val="10"/>
            </rPr>
            <t xml:space="preserve"> Enterprise results, risk, culture and long-term viability
</t>
          </r>
          <r>
            <rPr>
              <rFont val="Calibri"/>
              <b val="1"/>
              <sz val="10"/>
            </rPr>
            <t>DECIDES ALONE:</t>
          </r>
          <r>
            <rPr>
              <rFont val="Calibri"/>
              <sz val="10"/>
            </rPr>
            <t xml:space="preserve"> Accountable to the board
</t>
          </r>
          <r>
            <rPr>
              <rFont val="Calibri"/>
              <b val="1"/>
              <sz val="10"/>
            </rPr>
            <t>SKILLS &amp; KNOWLEDGE · role-holders:</t>
          </r>
          <r>
            <rPr>
              <rFont val="Calibri"/>
              <sz val="10"/>
            </rPr>
            <t xml:space="preserve"> Management · Sales
COMPETENCIES REQUIRED — must-have ★: Strategic Thinking &amp; Business Acumen · People Leadership &amp; Mentoring
</t>
          </r>
          <r>
            <rPr>
              <rFont val="Calibri"/>
              <b val="1"/>
              <sz val="10"/>
            </rPr>
            <t>OTHER FUNCTIONAL COMPETENCIES:</t>
          </r>
          <r>
            <rPr>
              <rFont val="Calibri"/>
              <sz val="10"/>
            </rPr>
            <t xml:space="preserve"> Stakeholder &amp; Client Management · Product, Platform &amp; Domain Knowledge · Regulatory &amp; BFSI Domain · Communication &amp; Presentation
</t>
          </r>
          <r>
            <rPr>
              <rFont val="Calibri"/>
              <b val="1"/>
              <sz val="10"/>
            </rPr>
            <t>PROFICIENCY NEEDED AT THIS LEVEL:</t>
          </r>
          <r>
            <rPr>
              <rFont val="Calibri"/>
              <sz val="10"/>
            </rPr>
            <t xml:space="preserve"> Core 5 · Future-ready 5 · Functional 4 · Leadership 5
</t>
          </r>
          <r>
            <rPr>
              <rFont val="Calibri"/>
              <b val="1"/>
              <sz val="10"/>
            </rPr>
            <t>CREDENTIALS:</t>
          </r>
          <r>
            <rPr>
              <rFont val="Calibri"/>
              <sz val="10"/>
            </rPr>
            <t xml:space="preserve"> MBA / PGDM · preferred at C+
</t>
          </r>
          <r>
            <rPr>
              <rFont val="Calibri"/>
              <b val="1"/>
              <sz val="10"/>
            </rPr>
            <t>SOURCE:</t>
          </r>
          <r>
            <rPr>
              <rFont val="Calibri"/>
              <sz val="10"/>
            </rPr>
            <t xml:space="preserve"> Framework only · fewer than 3 answered — 1 holder, 0 answered the survey; sub-family 0 answered; catalogue RC-093</t>
          </r>
        </is>
      </c>
      <c r="S46" s="119" t="inlineStr">
        <is>
          <r>
            <rPr>
              <rFont val="Calibri"/>
              <b val="1"/>
              <sz val="10"/>
            </rPr>
            <t>What the role answers for:</t>
          </r>
          <r>
            <rPr>
              <rFont val="Calibri"/>
              <sz val="10"/>
            </rPr>
            <t xml:space="preserve"> Enterprise results, risk, culture and long-term viability.
</t>
          </r>
          <r>
            <rPr>
              <rFont val="Calibri"/>
              <b val="1"/>
              <sz val="10"/>
            </rPr>
            <t>Accountability &amp; Impact rating:</t>
          </r>
          <r>
            <rPr>
              <rFont val="Calibri"/>
              <sz val="10"/>
            </rPr>
            <t xml:space="preserve"> 12 of 12 · E2-level impact.
Leads 7 direct reports.
Manager talent mapping — Latest rating: Not rated · manager · 9-Box Grid placement: Not placed · manager.</t>
          </r>
        </is>
      </c>
      <c r="T46" s="120" t="n"/>
      <c r="U46" s="121" t="inlineStr">
        <is>
          <r>
            <rPr>
              <rFont val="Calibri"/>
              <sz val="10"/>
            </rPr>
            <t xml:space="preserve">Chief Executive Officer in Management · Corporate, E2 — People Manager.
</t>
          </r>
          <r>
            <rPr>
              <rFont val="Calibri"/>
              <b val="1"/>
              <sz val="10"/>
            </rPr>
            <t>The work:</t>
          </r>
          <r>
            <rPr>
              <rFont val="Calibri"/>
              <sz val="10"/>
            </rPr>
            <t xml:space="preserve"> Sets enterprise strategy; leads the executive team.
At this level the role owns the enterprise.
</t>
          </r>
          <r>
            <rPr>
              <rFont val="Calibri"/>
              <b val="1"/>
              <sz val="10"/>
            </rPr>
            <t>Key responsibilities:</t>
          </r>
          <r>
            <rPr>
              <rFont val="Calibri"/>
              <sz val="10"/>
            </rPr>
            <t xml:space="preserve"> Sets enterprise strategy; leads the executive team; Enterprise-wide uncertainty, transformation and external forces; Enterprise results, risk, culture and long-term viability.
Leads 7 direct reports.</t>
          </r>
        </is>
      </c>
      <c r="V46" s="122" t="inlineStr">
        <is>
          <r>
            <rPr>
              <rFont val="Calibri"/>
              <b val="1"/>
              <sz val="10"/>
            </rPr>
            <t>Hire as:</t>
          </r>
          <r>
            <rPr>
              <rFont val="Calibri"/>
              <sz val="10"/>
            </rPr>
            <t xml:space="preserve"> Chief Executive Officer — IRIS E2 Chief Executive Officer · People Manager
</t>
          </r>
          <r>
            <rPr>
              <rFont val="Calibri"/>
              <b val="1"/>
              <sz val="10"/>
            </rPr>
            <t>Market level:</t>
          </r>
          <r>
            <rPr>
              <rFont val="Calibri"/>
              <sz val="10"/>
            </rPr>
            <t xml:space="preserve"> E6 · SFIA 7
</t>
          </r>
          <r>
            <rPr>
              <rFont val="Calibri"/>
              <b val="1"/>
              <sz val="10"/>
            </rPr>
            <t>Experience:</t>
          </r>
          <r>
            <rPr>
              <rFont val="Calibri"/>
              <sz val="10"/>
            </rPr>
            <t xml:space="preserve"> 20+ yrs · Education: Postgraduate / professional qualification
</t>
          </r>
          <r>
            <rPr>
              <rFont val="Calibri"/>
              <b val="1"/>
              <sz val="10"/>
            </rPr>
            <t>Team size at this level:</t>
          </r>
          <r>
            <rPr>
              <rFont val="Calibri"/>
              <sz val="10"/>
            </rPr>
            <t xml:space="preserve"> Executive team
</t>
          </r>
          <r>
            <rPr>
              <rFont val="Calibri"/>
              <b val="1"/>
              <sz val="10"/>
            </rPr>
            <t>Equivalent titles at peers:</t>
          </r>
          <r>
            <rPr>
              <rFont val="Calibri"/>
              <sz val="10"/>
            </rPr>
            <t xml:space="preserve"> IRIS Vs Market Benchmark — Aon Radford / Mercer executive codes – E6 CEO · IRIS Vs Competitor Benchmark — regtech / SaaS executive titles – CEO
</t>
          </r>
          <r>
            <rPr>
              <rFont val="Calibri"/>
              <b val="1"/>
              <sz val="10"/>
            </rPr>
            <t>Credentials:</t>
          </r>
          <r>
            <rPr>
              <rFont val="Calibri"/>
              <sz val="10"/>
            </rPr>
            <t xml:space="preserve"> MBA / PGDM · preferred at C+
</t>
          </r>
          <r>
            <rPr>
              <rFont val="Calibri"/>
              <b val="1"/>
              <sz val="10"/>
            </rPr>
            <t>Must already know:</t>
          </r>
          <r>
            <rPr>
              <rFont val="Calibri"/>
              <sz val="10"/>
            </rPr>
            <t xml:space="preserve"> Governance, risk and regulatory accountability</t>
          </r>
        </is>
      </c>
      <c r="W46" s="122" t="inlineStr">
        <is>
          <r>
            <rPr>
              <rFont val="Calibri"/>
              <sz val="10"/>
            </rPr>
            <t xml:space="preserve">FUNCTIONAL — skill level 4 of 5 · Advanced
 ★ Strategic Thinking &amp; Business Acumen: Shapes strategy, pricing or investment choices
 ★ People Leadership &amp; Mentoring: Leads leaders; builds succession
 •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
CORE — skill level 5 of 5 · Expert
 •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
FUTURE-READY — skill level 5 of 5 · Expert
 • </t>
          </r>
          <r>
            <rPr>
              <rFont val="Calibri"/>
              <b val="1"/>
              <sz val="10"/>
            </rPr>
            <t>AI Literacy &amp; Augmentation:</t>
          </r>
          <r>
            <rPr>
              <rFont val="Calibri"/>
              <sz val="10"/>
            </rPr>
            <t xml:space="preserve"> Leads AI strategy and governance for a function or IRIS
 • </t>
          </r>
          <r>
            <rPr>
              <rFont val="Calibri"/>
              <b val="1"/>
              <sz val="10"/>
            </rPr>
            <t>Data Literacy &amp; Analytics:</t>
          </r>
          <r>
            <rPr>
              <rFont val="Calibri"/>
              <sz val="10"/>
            </rPr>
            <t xml:space="preserve"> Sets data strategy and data-driven decisions for a business
 • </t>
          </r>
          <r>
            <rPr>
              <rFont val="Calibri"/>
              <b val="1"/>
              <sz val="10"/>
            </rPr>
            <t>Digital Fluency &amp; Automation:</t>
          </r>
          <r>
            <rPr>
              <rFont val="Calibri"/>
              <sz val="10"/>
            </rPr>
            <t xml:space="preserve"> Drives digital transformation across a business
 • </t>
          </r>
          <r>
            <rPr>
              <rFont val="Calibri"/>
              <b val="1"/>
              <sz val="10"/>
            </rPr>
            <t>Innovation &amp; Continuous Improvement:</t>
          </r>
          <r>
            <rPr>
              <rFont val="Calibri"/>
              <sz val="10"/>
            </rPr>
            <t xml:space="preserve"> Creates new products, methods or business models
LEADERSHIP — skill level 5 of 5 · Expert
 •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
</t>
          </r>
          <r>
            <rPr>
              <rFont val="Calibri"/>
              <b val="1"/>
              <sz val="10"/>
            </rPr>
            <t>SKILLS · from role-holders and HRIS:</t>
          </r>
          <r>
            <rPr>
              <rFont val="Calibri"/>
              <sz val="10"/>
            </rPr>
            <t xml:space="preserve"> Management · Sales
★ = must-have for the family. Scale: 1 Awareness · 2 Working · 3 Practitioner · 4 Advanced · 5 Expert.</t>
          </r>
        </is>
      </c>
      <c r="X46" s="122" t="inlineStr">
        <is>
          <r>
            <rPr>
              <rFont val="Calibri"/>
              <sz val="10"/>
            </rPr>
            <t xml:space="preserve">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t>
          </r>
          <r>
            <rPr>
              <rFont val="Calibri"/>
              <b val="1"/>
              <sz val="10"/>
            </rPr>
            <t>Fit check:</t>
          </r>
          <r>
            <rPr>
              <rFont val="Calibri"/>
              <sz val="10"/>
            </rPr>
            <t xml:space="preserve"> Why this role, why IRIS · regulatory reporting / XBRL / regtech, and what would you change in your first 90 days?</t>
          </r>
        </is>
      </c>
      <c r="Y46" s="123" t="inlineStr">
        <is>
          <t>Corporate · Management · Bands D–E · Leadership</t>
        </is>
      </c>
      <c r="Z46" s="124" t="n">
        <v>12</v>
      </c>
      <c r="AA46" s="125">
        <f>IFERROR(INDEX(WM_C,MATCH($Y46,WM_KEY,0)),"")</f>
        <v>0.37</v>
      </c>
      <c r="AB46" s="126">
        <f>IF(Z46="","",Z46*AA46)</f>
        <v>4.44</v>
      </c>
      <c r="AC46" s="124" t="n">
        <v>12</v>
      </c>
      <c r="AD46" s="125">
        <f>IFERROR(INDEX(WM_AU,MATCH($Y46,WM_KEY,0)),"")</f>
        <v>0.19</v>
      </c>
      <c r="AE46" s="126">
        <f>IF(AC46="","",AC46*AD46)</f>
        <v>2.28</v>
      </c>
      <c r="AF46" s="124" t="n">
        <v>12</v>
      </c>
      <c r="AG46" s="125">
        <f>IFERROR(INDEX(WM_AC,MATCH($Y46,WM_KEY,0)),"")</f>
        <v>0.11</v>
      </c>
      <c r="AH46" s="126">
        <f>IF(AF46="","",AF46*AG46)</f>
        <v>1.32</v>
      </c>
      <c r="AI46" s="124" t="n">
        <v>12</v>
      </c>
      <c r="AJ46" s="125">
        <f>IFERROR(INDEX(WM_L,MATCH($Y46,WM_KEY,0)),"")</f>
        <v>0.2</v>
      </c>
      <c r="AK46" s="126">
        <f>IF(AI46="","",AI46*AJ46)</f>
        <v>2.4</v>
      </c>
      <c r="AL46" s="124" t="n">
        <v>12</v>
      </c>
      <c r="AM46" s="125">
        <f>IFERROR(INDEX(WM_E,MATCH($Y46,WM_KEY,0)),"")</f>
        <v>0.05</v>
      </c>
      <c r="AN46" s="126">
        <f>IF(AL46="","",AL46*AM46)</f>
        <v>0.6</v>
      </c>
      <c r="AO46" s="127" t="n">
        <v>12</v>
      </c>
      <c r="AP46" s="125">
        <f>IFERROR(INDEX(WM_BI,MATCH($Y46,WM_KEY,0)),"")</f>
        <v>0.08</v>
      </c>
      <c r="AQ46" s="126">
        <f>IF(AO46="","",AO46*AP46)</f>
        <v>0.96</v>
      </c>
      <c r="AR46" s="126">
        <f>IF(COUNT(AB46,AE46,AH46,AK46,AN46,AQ46)&lt;6,"",SUM(AB46,AE46,AH46,AK46,AN46,AQ46))</f>
        <v>12</v>
      </c>
      <c r="AS46" s="128" t="str">
        <f>IF(AR46="","",INDEX({"A1","A2","A3","B1","B2","B3","C1","C2","D1","D2","E1","E2"},MAX(1,MIN(12,ROUND(AR46,0)))))</f>
        <v>E2</v>
      </c>
      <c r="AT46" s="129" t="inlineStr">
        <is>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t>
          </r>
        </is>
      </c>
      <c r="AU46" s="130" t="inlineStr">
        <is>
          <r>
            <rPr>
              <rFont val="Calibri"/>
              <b val="1"/>
              <sz val="10"/>
            </rPr>
            <t>At build:</t>
          </r>
          <r>
            <rPr>
              <rFont val="Calibri"/>
              <sz val="10"/>
            </rPr>
            <t xml:space="preserve"> Complexity 4.44 + Autonomy 2.28 + Accountability 1.32 + Leadership 2.40 + Experience 0.60 + Business impact 0.96
= 12.00 points → nearest level 12 = E2
</t>
          </r>
          <r>
            <rPr>
              <rFont val="Calibri"/>
              <b val="1"/>
              <sz val="10"/>
            </rPr>
            <t>Final level:</t>
          </r>
          <r>
            <rPr>
              <rFont val="Calibri"/>
              <sz val="10"/>
            </rPr>
            <t xml:space="preserve"> E2 · same as the score</t>
          </r>
        </is>
      </c>
      <c r="AV46" s="130" t="inlineStr">
        <is>
          <r>
            <rPr>
              <rFont val="Calibri"/>
              <b val="1"/>
              <sz val="10"/>
            </rPr>
            <t>No rule applied:</t>
          </r>
          <r>
            <rPr>
              <rFont val="Calibri"/>
              <sz val="10"/>
            </rPr>
            <t xml:space="preserve"> the score decides.</t>
          </r>
        </is>
      </c>
      <c r="AW46" s="140" t="inlineStr">
        <is>
          <r>
            <rPr>
              <rFont val="Calibri"/>
              <color rgb="009C0006"/>
              <sz val="10"/>
            </rPr>
            <t xml:space="preserve">Rated 12 of 12
</t>
          </r>
          <r>
            <rPr>
              <rFont val="Calibri"/>
              <b val="1"/>
              <color rgb="009C0006"/>
              <sz val="10"/>
            </rPr>
            <t>Start:</t>
          </r>
          <r>
            <rPr>
              <rFont val="Calibri"/>
              <color rgb="009C0006"/>
              <sz val="10"/>
            </rPr>
            <t xml:space="preserve"> 12.0 · CEO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E2 = Enterprise-wide uncertainty, transformation and external forces</t>
          </r>
        </is>
      </c>
      <c r="AX46" s="141" t="inlineStr">
        <is>
          <r>
            <rPr>
              <rFont val="Calibri"/>
              <color rgb="009C0006"/>
              <sz val="10"/>
            </rPr>
            <t xml:space="preserve">Rated 12 of 12
</t>
          </r>
          <r>
            <rPr>
              <rFont val="Calibri"/>
              <b val="1"/>
              <color rgb="009C0006"/>
              <sz val="10"/>
            </rPr>
            <t>Start:</t>
          </r>
          <r>
            <rPr>
              <rFont val="Calibri"/>
              <color rgb="009C0006"/>
              <sz val="10"/>
            </rPr>
            <t xml:space="preserve"> 12.0 · CEO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E2 = Accountable to the board</t>
          </r>
        </is>
      </c>
      <c r="AY46" s="141" t="inlineStr">
        <is>
          <r>
            <rPr>
              <rFont val="Calibri"/>
              <color rgb="009C0006"/>
              <sz val="10"/>
            </rPr>
            <t xml:space="preserve">Rated 12 of 12
</t>
          </r>
          <r>
            <rPr>
              <rFont val="Calibri"/>
              <b val="1"/>
              <color rgb="009C0006"/>
              <sz val="10"/>
            </rPr>
            <t>Start:</t>
          </r>
          <r>
            <rPr>
              <rFont val="Calibri"/>
              <color rgb="009C0006"/>
              <sz val="10"/>
            </rPr>
            <t xml:space="preserve"> 12.0 · CEO title; 7 direct reports, 471 people in the organisation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E2 = Enterprise results, risk, culture and long-term viability</t>
          </r>
        </is>
      </c>
      <c r="AZ46" s="141" t="inlineStr">
        <is>
          <r>
            <rPr>
              <rFont val="Calibri"/>
              <color rgb="009C0006"/>
              <sz val="10"/>
            </rPr>
            <t xml:space="preserve">Rated 12 of 12
</t>
          </r>
          <r>
            <rPr>
              <rFont val="Calibri"/>
              <b val="1"/>
              <color rgb="009C0006"/>
              <sz val="10"/>
            </rPr>
            <t>Start:</t>
          </r>
          <r>
            <rPr>
              <rFont val="Calibri"/>
              <color rgb="009C0006"/>
              <sz val="10"/>
            </rPr>
            <t xml:space="preserve"> 12.0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7 direct reports · People Manager
</t>
          </r>
          <r>
            <rPr>
              <rFont val="Calibri"/>
              <b val="1"/>
              <color rgb="009C0006"/>
              <sz val="10"/>
            </rPr>
            <t>Market:</t>
          </r>
          <r>
            <rPr>
              <rFont val="Calibri"/>
              <color rgb="009C0006"/>
              <sz val="10"/>
            </rPr>
            <t xml:space="preserve"> E2 = Sets enterprise strategy; leads the executive team</t>
          </r>
        </is>
      </c>
      <c r="BA46" s="132" t="inlineStr">
        <is>
          <r>
            <rPr>
              <rFont val="Calibri"/>
              <sz val="10"/>
            </rPr>
            <t xml:space="preserve">Rated 12 of 12
</t>
          </r>
          <r>
            <rPr>
              <rFont val="Calibri"/>
              <b val="1"/>
              <sz val="10"/>
            </rPr>
            <t>Experience:</t>
          </r>
          <r>
            <rPr>
              <rFont val="Calibri"/>
              <sz val="10"/>
            </rPr>
            <t xml:space="preserve"> 32.1 yrs total · 10.0 before IRIS + 22.1 at IRIS = 12.0 on the experience scale
</t>
          </r>
          <r>
            <rPr>
              <rFont val="Calibri"/>
              <b val="1"/>
              <sz val="10"/>
            </rPr>
            <t>Qualification:</t>
          </r>
          <r>
            <rPr>
              <rFont val="Calibri"/>
              <sz val="10"/>
            </rPr>
            <t xml:space="preserve"> MBA · postgraduate, relevant to the work → +0.5</t>
          </r>
        </is>
      </c>
      <c r="BB46" s="132" t="inlineStr">
        <is>
          <r>
            <rPr>
              <rFont val="Calibri"/>
              <sz val="10"/>
            </rPr>
            <t xml:space="preserve">Rated 12 of 12 — a starting estimate.
</t>
          </r>
          <r>
            <rPr>
              <rFont val="Calibri"/>
              <b val="1"/>
              <sz val="10"/>
            </rPr>
            <t>Start:</t>
          </r>
          <r>
            <rPr>
              <rFont val="Calibri"/>
              <sz val="10"/>
            </rPr>
            <t xml:space="preserve"> 12,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E2 = Answers for the whole company's results and long-term value</t>
          </r>
        </is>
      </c>
      <c r="BC46" s="142" t="inlineStr">
        <is>
          <t>• Survey response or KRAs describing the work · nothing on file — Employee + manager</t>
        </is>
      </c>
      <c r="BD46" s="134" t="inlineStr">
        <is>
          <t>✓ HRIS: 32.1 yrs, MBA, 7 direct reports
✗ Survey: no response
✗ KRAs: none on file
✓ Manager mapping: rating, 9-box
✗ Job description: not on file</t>
        </is>
      </c>
      <c r="BE46" s="134" t="inlineStr">
        <is>
          <r>
            <rPr>
              <rFont val="Calibri"/>
              <b val="1"/>
              <sz val="10"/>
            </rPr>
            <t>Market level:</t>
          </r>
          <r>
            <rPr>
              <rFont val="Calibri"/>
              <sz val="10"/>
            </rPr>
            <t xml:space="preserve"> E6 · SFIA 7
</t>
          </r>
          <r>
            <rPr>
              <rFont val="Calibri"/>
              <b val="1"/>
              <sz val="10"/>
            </rPr>
            <t>Typical title:</t>
          </r>
          <r>
            <rPr>
              <rFont val="Calibri"/>
              <sz val="10"/>
            </rPr>
            <t xml:space="preserve"> Chief Executive Officer
</t>
          </r>
          <r>
            <rPr>
              <rFont val="Calibri"/>
              <b val="1"/>
              <sz val="10"/>
            </rPr>
            <t>At peers:</t>
          </r>
          <r>
            <rPr>
              <rFont val="Calibri"/>
              <sz val="10"/>
            </rPr>
            <t xml:space="preserve"> IRIS Vs Market Benchmark — Aon Radford / Mercer executive codes: E6 CEO · IRIS Vs Competitor Benchmark — regtech / SaaS executive titles: CEO
</t>
          </r>
          <r>
            <rPr>
              <rFont val="Calibri"/>
              <b val="1"/>
              <sz val="10"/>
            </rPr>
            <t>Standard:</t>
          </r>
          <r>
            <rPr>
              <rFont val="Calibri"/>
              <sz val="10"/>
            </rPr>
            <t xml:space="preserve"> Aon Radford executive levels E1–E6; Mercer ET1–ET3</t>
          </r>
        </is>
      </c>
      <c r="BF46" s="134" t="inlineStr">
        <is>
          <t>Low</t>
        </is>
      </c>
      <c r="BG46" s="134" t="inlineStr">
        <is>
          <t>• No survey answers or KRA — the role factors rest on designation and reporting lines only</t>
        </is>
      </c>
      <c r="BH46" s="134" t="inlineStr"/>
      <c r="BI46" s="135" t="n"/>
      <c r="BJ46" s="136" t="n"/>
      <c r="BK46" s="136" t="n"/>
      <c r="BL46" s="136" t="n"/>
      <c r="BM46" s="136" t="n"/>
      <c r="BN46" s="137" t="n"/>
      <c r="BO46" s="120" t="n"/>
      <c r="BP46" s="120" t="n"/>
      <c r="BQ46" s="120" t="n"/>
      <c r="BR46" s="120" t="n"/>
      <c r="BS46" s="120" t="n"/>
      <c r="BT46" s="120" t="n"/>
      <c r="BU46" s="120" t="n"/>
      <c r="BV46" s="120" t="n">
        <v>12</v>
      </c>
    </row>
    <row r="47" ht="340" customHeight="1">
      <c r="A47" s="109" t="inlineStr">
        <is>
          <t>IRIS0002</t>
        </is>
      </c>
      <c r="B47" s="110" t="inlineStr">
        <is>
          <t>Deepta Rangarajan</t>
        </is>
      </c>
      <c r="C47" s="111" t="inlineStr">
        <is>
          <t>Management</t>
        </is>
      </c>
      <c r="D47" s="111" t="inlineStr">
        <is>
          <t>— · top of the organisation</t>
        </is>
      </c>
      <c r="E47" s="112" t="n">
        <v>32.1</v>
      </c>
      <c r="F47" s="112" t="n">
        <v>22.1</v>
      </c>
      <c r="G47" s="111" t="inlineStr">
        <is>
          <t>MBA</t>
        </is>
      </c>
      <c r="H47" s="138" t="inlineStr">
        <is>
          <t>COO, Product Sponsor · Carbon</t>
        </is>
      </c>
      <c r="I47" s="115" t="inlineStr">
        <is>
          <t>Chief Operating Officer</t>
        </is>
      </c>
      <c r="J47" s="114" t="inlineStr">
        <is>
          <t>Executive Leadership</t>
        </is>
      </c>
      <c r="K47" s="114" t="inlineStr">
        <is>
          <t>Enterprise Leadership</t>
        </is>
      </c>
      <c r="L47" s="115" t="inlineStr">
        <is>
          <t>Not in current mapping files</t>
        </is>
      </c>
      <c r="M47" s="116" t="inlineStr">
        <is>
          <t>E1</t>
        </is>
      </c>
      <c r="N47" s="145" t="inlineStr">
        <is>
          <t>CXO / President</t>
        </is>
      </c>
      <c r="O47" s="42" t="inlineStr">
        <is>
          <t>E</t>
        </is>
      </c>
      <c r="P47" s="114" t="inlineStr">
        <is>
          <t>People Manager</t>
        </is>
      </c>
      <c r="Q47" s="117" t="inlineStr">
        <is>
          <t>● Newly mapped</t>
        </is>
      </c>
      <c r="R47" s="118" t="inlineStr">
        <is>
          <r>
            <rPr>
              <rFont val="Calibri"/>
              <b val="1"/>
              <sz val="10"/>
            </rPr>
            <t>WHAT THE ROLE DOES:</t>
          </r>
          <r>
            <rPr>
              <rFont val="Calibri"/>
              <sz val="10"/>
            </rPr>
            <t xml:space="preserve"> Sets enterprise strategy; leads the executive team. At E1: an enterprise-wide function.
</t>
          </r>
          <r>
            <rPr>
              <rFont val="Calibri"/>
              <b val="1"/>
              <sz val="10"/>
            </rPr>
            <t>KEY RESPONSIBILITIES:</t>
          </r>
          <r>
            <rPr>
              <rFont val="Calibri"/>
              <sz val="10"/>
            </rPr>
            <t xml:space="preserve"> Sets enterprise strategy; leads the executive team; Enterprise-level functional strategy; Enterprise-wide functional results
</t>
          </r>
          <r>
            <rPr>
              <rFont val="Calibri"/>
              <b val="1"/>
              <sz val="10"/>
            </rPr>
            <t>DELIVERS:</t>
          </r>
          <r>
            <rPr>
              <rFont val="Calibri"/>
              <sz val="10"/>
            </rPr>
            <t xml:space="preserve"> Enterprise-wide functional results
</t>
          </r>
          <r>
            <rPr>
              <rFont val="Calibri"/>
              <b val="1"/>
              <sz val="10"/>
            </rPr>
            <t>DECIDES ALONE:</t>
          </r>
          <r>
            <rPr>
              <rFont val="Calibri"/>
              <sz val="10"/>
            </rPr>
            <t xml:space="preserve"> Sets enterprise priorities for the function
</t>
          </r>
          <r>
            <rPr>
              <rFont val="Calibri"/>
              <b val="1"/>
              <sz val="10"/>
            </rPr>
            <t>SKILLS &amp; KNOWLEDGE · role-holders:</t>
          </r>
          <r>
            <rPr>
              <rFont val="Calibri"/>
              <sz val="10"/>
            </rPr>
            <t xml:space="preserve"> Management · Sales
COMPETENCIES REQUIRED — must-have ★: Strategic Thinking &amp; Business Acumen · People Leadership &amp; Mentoring
</t>
          </r>
          <r>
            <rPr>
              <rFont val="Calibri"/>
              <b val="1"/>
              <sz val="10"/>
            </rPr>
            <t>OTHER FUNCTIONAL COMPETENCIES:</t>
          </r>
          <r>
            <rPr>
              <rFont val="Calibri"/>
              <sz val="10"/>
            </rPr>
            <t xml:space="preserve"> Stakeholder &amp; Client Management · Product, Platform &amp; Domain Knowledge · Regulatory &amp; BFSI Domain · Communication &amp; Presentation
</t>
          </r>
          <r>
            <rPr>
              <rFont val="Calibri"/>
              <b val="1"/>
              <sz val="10"/>
            </rPr>
            <t>PROFICIENCY NEEDED AT THIS LEVEL:</t>
          </r>
          <r>
            <rPr>
              <rFont val="Calibri"/>
              <sz val="10"/>
            </rPr>
            <t xml:space="preserve"> Core 5 · Future-ready 5 · Functional 4 · Leadership 5
</t>
          </r>
          <r>
            <rPr>
              <rFont val="Calibri"/>
              <b val="1"/>
              <sz val="10"/>
            </rPr>
            <t>CREDENTIALS:</t>
          </r>
          <r>
            <rPr>
              <rFont val="Calibri"/>
              <sz val="10"/>
            </rPr>
            <t xml:space="preserve"> MBA / PGDM · preferred at C+
</t>
          </r>
          <r>
            <rPr>
              <rFont val="Calibri"/>
              <b val="1"/>
              <sz val="10"/>
            </rPr>
            <t>SOURCE:</t>
          </r>
          <r>
            <rPr>
              <rFont val="Calibri"/>
              <sz val="10"/>
            </rPr>
            <t xml:space="preserve"> Framework only · fewer than 3 answered — 4 holders, 0 answered the survey; sub-family 0 answered; catalogue RC-092</t>
          </r>
        </is>
      </c>
      <c r="S47" s="119" t="inlineStr">
        <is>
          <r>
            <rPr>
              <rFont val="Calibri"/>
              <b val="1"/>
              <sz val="10"/>
            </rPr>
            <t>What the role answers for:</t>
          </r>
          <r>
            <rPr>
              <rFont val="Calibri"/>
              <sz val="10"/>
            </rPr>
            <t xml:space="preserve"> Enterprise-wide functional results.
</t>
          </r>
          <r>
            <rPr>
              <rFont val="Calibri"/>
              <b val="1"/>
              <sz val="10"/>
            </rPr>
            <t>Accountability &amp; Impact rating:</t>
          </r>
          <r>
            <rPr>
              <rFont val="Calibri"/>
              <sz val="10"/>
            </rPr>
            <t xml:space="preserve"> 11 of 12 · E1-level impact.
Leads 1 direct report.
Manager talent mapping — Latest rating: Not rated · manager · 9-Box Grid placement: Not placed · manager.</t>
          </r>
        </is>
      </c>
      <c r="T47" s="120" t="n"/>
      <c r="U47" s="121" t="inlineStr">
        <is>
          <r>
            <rPr>
              <rFont val="Calibri"/>
              <sz val="10"/>
            </rPr>
            <t xml:space="preserve">Chief Operating Officer in Management · Corporate, E1 — People Manager.
</t>
          </r>
          <r>
            <rPr>
              <rFont val="Calibri"/>
              <b val="1"/>
              <sz val="10"/>
            </rPr>
            <t>The work:</t>
          </r>
          <r>
            <rPr>
              <rFont val="Calibri"/>
              <sz val="10"/>
            </rPr>
            <t xml:space="preserve"> Sets enterprise strategy; leads the executive team.
At this level the role owns an enterprise-wide function.
</t>
          </r>
          <r>
            <rPr>
              <rFont val="Calibri"/>
              <b val="1"/>
              <sz val="10"/>
            </rPr>
            <t>Key responsibilities:</t>
          </r>
          <r>
            <rPr>
              <rFont val="Calibri"/>
              <sz val="10"/>
            </rPr>
            <t xml:space="preserve"> Sets enterprise strategy; leads the executive team; Enterprise-level functional strategy; Enterprise-wide functional results.
Leads 1 direct report.</t>
          </r>
        </is>
      </c>
      <c r="V47" s="122" t="inlineStr">
        <is>
          <r>
            <rPr>
              <rFont val="Calibri"/>
              <b val="1"/>
              <sz val="10"/>
            </rPr>
            <t>Hire as:</t>
          </r>
          <r>
            <rPr>
              <rFont val="Calibri"/>
              <sz val="10"/>
            </rPr>
            <t xml:space="preserve"> CXO · functional chief — IRIS E1 CXO / President · People Manager
</t>
          </r>
          <r>
            <rPr>
              <rFont val="Calibri"/>
              <b val="1"/>
              <sz val="10"/>
            </rPr>
            <t>Market level:</t>
          </r>
          <r>
            <rPr>
              <rFont val="Calibri"/>
              <sz val="10"/>
            </rPr>
            <t xml:space="preserve"> E5 · SFIA 7
</t>
          </r>
          <r>
            <rPr>
              <rFont val="Calibri"/>
              <b val="1"/>
              <sz val="10"/>
            </rPr>
            <t>Experience:</t>
          </r>
          <r>
            <rPr>
              <rFont val="Calibri"/>
              <sz val="10"/>
            </rPr>
            <t xml:space="preserve"> 20+ yrs · Education: Postgraduate / professional qualification
</t>
          </r>
          <r>
            <rPr>
              <rFont val="Calibri"/>
              <b val="1"/>
              <sz val="10"/>
            </rPr>
            <t>Team size at this level:</t>
          </r>
          <r>
            <rPr>
              <rFont val="Calibri"/>
              <sz val="10"/>
            </rPr>
            <t xml:space="preserve"> 5–8 function heads
</t>
          </r>
          <r>
            <rPr>
              <rFont val="Calibri"/>
              <b val="1"/>
              <sz val="10"/>
            </rPr>
            <t>Equivalent titles at peers:</t>
          </r>
          <r>
            <rPr>
              <rFont val="Calibri"/>
              <sz val="10"/>
            </rPr>
            <t xml:space="preserve"> IRIS Vs Market Benchmark — Aon Radford / Mercer executive codes – E5 C-level · functional · IRIS Vs Competitor Benchmark — regtech / SaaS executive titles – CTO · CFO · CRO · CCO · COO
</t>
          </r>
          <r>
            <rPr>
              <rFont val="Calibri"/>
              <b val="1"/>
              <sz val="10"/>
            </rPr>
            <t>Credentials:</t>
          </r>
          <r>
            <rPr>
              <rFont val="Calibri"/>
              <sz val="10"/>
            </rPr>
            <t xml:space="preserve"> MBA / PGDM · preferred at C+
</t>
          </r>
          <r>
            <rPr>
              <rFont val="Calibri"/>
              <b val="1"/>
              <sz val="10"/>
            </rPr>
            <t>Must already know:</t>
          </r>
          <r>
            <rPr>
              <rFont val="Calibri"/>
              <sz val="10"/>
            </rPr>
            <t xml:space="preserve"> Governance, risk and regulatory accountability</t>
          </r>
        </is>
      </c>
      <c r="W47" s="122" t="inlineStr">
        <is>
          <r>
            <rPr>
              <rFont val="Calibri"/>
              <sz val="10"/>
            </rPr>
            <t xml:space="preserve">FUNCTIONAL — skill level 4 of 5 · Advanced
 ★ Strategic Thinking &amp; Business Acumen: Shapes strategy, pricing or investment choices
 ★ People Leadership &amp; Mentoring: Leads leaders; builds succession
 •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
CORE — skill level 5 of 5 · Expert
 •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
FUTURE-READY — skill level 5 of 5 · Expert
 • </t>
          </r>
          <r>
            <rPr>
              <rFont val="Calibri"/>
              <b val="1"/>
              <sz val="10"/>
            </rPr>
            <t>AI Literacy &amp; Augmentation:</t>
          </r>
          <r>
            <rPr>
              <rFont val="Calibri"/>
              <sz val="10"/>
            </rPr>
            <t xml:space="preserve"> Leads AI strategy and governance for a function or IRIS
 • </t>
          </r>
          <r>
            <rPr>
              <rFont val="Calibri"/>
              <b val="1"/>
              <sz val="10"/>
            </rPr>
            <t>Data Literacy &amp; Analytics:</t>
          </r>
          <r>
            <rPr>
              <rFont val="Calibri"/>
              <sz val="10"/>
            </rPr>
            <t xml:space="preserve"> Sets data strategy and data-driven decisions for a business
 • </t>
          </r>
          <r>
            <rPr>
              <rFont val="Calibri"/>
              <b val="1"/>
              <sz val="10"/>
            </rPr>
            <t>Digital Fluency &amp; Automation:</t>
          </r>
          <r>
            <rPr>
              <rFont val="Calibri"/>
              <sz val="10"/>
            </rPr>
            <t xml:space="preserve"> Drives digital transformation across a business
 • </t>
          </r>
          <r>
            <rPr>
              <rFont val="Calibri"/>
              <b val="1"/>
              <sz val="10"/>
            </rPr>
            <t>Innovation &amp; Continuous Improvement:</t>
          </r>
          <r>
            <rPr>
              <rFont val="Calibri"/>
              <sz val="10"/>
            </rPr>
            <t xml:space="preserve"> Creates new products, methods or business models
LEADERSHIP — skill level 5 of 5 · Expert
 •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
</t>
          </r>
          <r>
            <rPr>
              <rFont val="Calibri"/>
              <b val="1"/>
              <sz val="10"/>
            </rPr>
            <t>SKILLS · from role-holders and HRIS:</t>
          </r>
          <r>
            <rPr>
              <rFont val="Calibri"/>
              <sz val="10"/>
            </rPr>
            <t xml:space="preserve"> Management · Sales
★ = must-have for the family. Scale: 1 Awareness · 2 Working · 3 Practitioner · 4 Advanced · 5 Expert.</t>
          </r>
        </is>
      </c>
      <c r="X47" s="122" t="inlineStr">
        <is>
          <r>
            <rPr>
              <rFont val="Calibri"/>
              <sz val="10"/>
            </rPr>
            <t xml:space="preserve">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t>
          </r>
          <r>
            <rPr>
              <rFont val="Calibri"/>
              <b val="1"/>
              <sz val="10"/>
            </rPr>
            <t>Fit check:</t>
          </r>
          <r>
            <rPr>
              <rFont val="Calibri"/>
              <sz val="10"/>
            </rPr>
            <t xml:space="preserve"> Why this role, why IRIS · regulatory reporting / XBRL / regtech, and what would you change in your first 90 days?</t>
          </r>
        </is>
      </c>
      <c r="Y47" s="123" t="inlineStr">
        <is>
          <t>Corporate · Management · Bands D–E · Leadership</t>
        </is>
      </c>
      <c r="Z47" s="124" t="n">
        <v>11</v>
      </c>
      <c r="AA47" s="125">
        <f>IFERROR(INDEX(WM_C,MATCH($Y47,WM_KEY,0)),"")</f>
        <v>0.37</v>
      </c>
      <c r="AB47" s="126">
        <f>IF(Z47="","",Z47*AA47)</f>
        <v>4.07</v>
      </c>
      <c r="AC47" s="124" t="n">
        <v>11</v>
      </c>
      <c r="AD47" s="125">
        <f>IFERROR(INDEX(WM_AU,MATCH($Y47,WM_KEY,0)),"")</f>
        <v>0.19</v>
      </c>
      <c r="AE47" s="126">
        <f>IF(AC47="","",AC47*AD47)</f>
        <v>2.09</v>
      </c>
      <c r="AF47" s="124" t="n">
        <v>11</v>
      </c>
      <c r="AG47" s="125">
        <f>IFERROR(INDEX(WM_AC,MATCH($Y47,WM_KEY,0)),"")</f>
        <v>0.11</v>
      </c>
      <c r="AH47" s="126">
        <f>IF(AF47="","",AF47*AG47)</f>
        <v>1.21</v>
      </c>
      <c r="AI47" s="124" t="n">
        <v>11</v>
      </c>
      <c r="AJ47" s="125">
        <f>IFERROR(INDEX(WM_L,MATCH($Y47,WM_KEY,0)),"")</f>
        <v>0.2</v>
      </c>
      <c r="AK47" s="126">
        <f>IF(AI47="","",AI47*AJ47)</f>
        <v>2.2</v>
      </c>
      <c r="AL47" s="124" t="n">
        <v>12</v>
      </c>
      <c r="AM47" s="125">
        <f>IFERROR(INDEX(WM_E,MATCH($Y47,WM_KEY,0)),"")</f>
        <v>0.05</v>
      </c>
      <c r="AN47" s="126">
        <f>IF(AL47="","",AL47*AM47)</f>
        <v>0.6</v>
      </c>
      <c r="AO47" s="127" t="n">
        <v>11</v>
      </c>
      <c r="AP47" s="125">
        <f>IFERROR(INDEX(WM_BI,MATCH($Y47,WM_KEY,0)),"")</f>
        <v>0.08</v>
      </c>
      <c r="AQ47" s="126">
        <f>IF(AO47="","",AO47*AP47)</f>
        <v>0.88</v>
      </c>
      <c r="AR47" s="126">
        <f>IF(COUNT(AB47,AE47,AH47,AK47,AN47,AQ47)&lt;6,"",SUM(AB47,AE47,AH47,AK47,AN47,AQ47))</f>
        <v>11.05</v>
      </c>
      <c r="AS47" s="128" t="str">
        <f>IF(AR47="","",INDEX({"A1","A2","A3","B1","B2","B3","C1","C2","D1","D2","E1","E2"},MAX(1,MIN(12,ROUND(AR47,0)))))</f>
        <v>E1</v>
      </c>
      <c r="AT47" s="129" t="inlineStr">
        <is>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t>
          </r>
        </is>
      </c>
      <c r="AU47" s="130" t="inlineStr">
        <is>
          <r>
            <rPr>
              <rFont val="Calibri"/>
              <b val="1"/>
              <sz val="10"/>
            </rPr>
            <t>At build:</t>
          </r>
          <r>
            <rPr>
              <rFont val="Calibri"/>
              <sz val="10"/>
            </rPr>
            <t xml:space="preserve"> Complexity 4.07 + Autonomy 2.09 + Accountability 1.21 + Leadership 2.20 + Experience 0.60 + Business impact 0.88
= 11.05 points → nearest level 11 = E1
</t>
          </r>
          <r>
            <rPr>
              <rFont val="Calibri"/>
              <b val="1"/>
              <sz val="10"/>
            </rPr>
            <t>Final level:</t>
          </r>
          <r>
            <rPr>
              <rFont val="Calibri"/>
              <sz val="10"/>
            </rPr>
            <t xml:space="preserve"> E1 · same as the score</t>
          </r>
        </is>
      </c>
      <c r="AV47" s="130" t="inlineStr">
        <is>
          <r>
            <rPr>
              <rFont val="Calibri"/>
              <b val="1"/>
              <sz val="10"/>
            </rPr>
            <t>No rule applied:</t>
          </r>
          <r>
            <rPr>
              <rFont val="Calibri"/>
              <sz val="10"/>
            </rPr>
            <t xml:space="preserve"> the score decides.</t>
          </r>
        </is>
      </c>
      <c r="AW47" s="140" t="inlineStr">
        <is>
          <r>
            <rPr>
              <rFont val="Calibri"/>
              <color rgb="009C0006"/>
              <sz val="10"/>
            </rPr>
            <t xml:space="preserve">Rated 11 of 12
</t>
          </r>
          <r>
            <rPr>
              <rFont val="Calibri"/>
              <b val="1"/>
              <color rgb="009C0006"/>
              <sz val="10"/>
            </rPr>
            <t>Start:</t>
          </r>
          <r>
            <rPr>
              <rFont val="Calibri"/>
              <color rgb="009C0006"/>
              <sz val="10"/>
            </rPr>
            <t xml:space="preserve"> 11.0 · CXO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E1 = Enterprise-level functional strategy</t>
          </r>
        </is>
      </c>
      <c r="AX47" s="141" t="inlineStr">
        <is>
          <r>
            <rPr>
              <rFont val="Calibri"/>
              <color rgb="009C0006"/>
              <sz val="10"/>
            </rPr>
            <t xml:space="preserve">Rated 11 of 12
</t>
          </r>
          <r>
            <rPr>
              <rFont val="Calibri"/>
              <b val="1"/>
              <color rgb="009C0006"/>
              <sz val="10"/>
            </rPr>
            <t>Start:</t>
          </r>
          <r>
            <rPr>
              <rFont val="Calibri"/>
              <color rgb="009C0006"/>
              <sz val="10"/>
            </rPr>
            <t xml:space="preserve"> 11.0 · CXO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E1 = Sets enterprise priorities for the function</t>
          </r>
        </is>
      </c>
      <c r="AY47" s="141" t="inlineStr">
        <is>
          <r>
            <rPr>
              <rFont val="Calibri"/>
              <color rgb="009C0006"/>
              <sz val="10"/>
            </rPr>
            <t xml:space="preserve">Rated 11 of 12
</t>
          </r>
          <r>
            <rPr>
              <rFont val="Calibri"/>
              <b val="1"/>
              <color rgb="009C0006"/>
              <sz val="10"/>
            </rPr>
            <t>Start:</t>
          </r>
          <r>
            <rPr>
              <rFont val="Calibri"/>
              <color rgb="009C0006"/>
              <sz val="10"/>
            </rPr>
            <t xml:space="preserve"> 11.0 · CXO title; 1 direct report, 8 people in the organisation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E1 = Enterprise-wide functional results</t>
          </r>
        </is>
      </c>
      <c r="AZ47" s="141" t="inlineStr">
        <is>
          <r>
            <rPr>
              <rFont val="Calibri"/>
              <color rgb="009C0006"/>
              <sz val="10"/>
            </rPr>
            <t xml:space="preserve">Rated 11 of 12
</t>
          </r>
          <r>
            <rPr>
              <rFont val="Calibri"/>
              <b val="1"/>
              <color rgb="009C0006"/>
              <sz val="10"/>
            </rPr>
            <t>Start:</t>
          </r>
          <r>
            <rPr>
              <rFont val="Calibri"/>
              <color rgb="009C0006"/>
              <sz val="10"/>
            </rPr>
            <t xml:space="preserve"> 11.0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1 direct report · People Manager
</t>
          </r>
          <r>
            <rPr>
              <rFont val="Calibri"/>
              <b val="1"/>
              <color rgb="009C0006"/>
              <sz val="10"/>
            </rPr>
            <t>Market:</t>
          </r>
          <r>
            <rPr>
              <rFont val="Calibri"/>
              <color rgb="009C0006"/>
              <sz val="10"/>
            </rPr>
            <t xml:space="preserve"> E1 = Shapes enterprise strategy</t>
          </r>
        </is>
      </c>
      <c r="BA47" s="132" t="inlineStr">
        <is>
          <r>
            <rPr>
              <rFont val="Calibri"/>
              <sz val="10"/>
            </rPr>
            <t xml:space="preserve">Rated 12 of 12
</t>
          </r>
          <r>
            <rPr>
              <rFont val="Calibri"/>
              <b val="1"/>
              <sz val="10"/>
            </rPr>
            <t>Experience:</t>
          </r>
          <r>
            <rPr>
              <rFont val="Calibri"/>
              <sz val="10"/>
            </rPr>
            <t xml:space="preserve"> 32.1 yrs total · 10.0 before IRIS + 22.1 at IRIS = 12.0 on the experience scale
</t>
          </r>
          <r>
            <rPr>
              <rFont val="Calibri"/>
              <b val="1"/>
              <sz val="10"/>
            </rPr>
            <t>Qualification:</t>
          </r>
          <r>
            <rPr>
              <rFont val="Calibri"/>
              <sz val="10"/>
            </rPr>
            <t xml:space="preserve"> MBA · postgraduate, relevant to the work → +0.5</t>
          </r>
        </is>
      </c>
      <c r="BB47" s="132" t="inlineStr">
        <is>
          <r>
            <rPr>
              <rFont val="Calibri"/>
              <sz val="10"/>
            </rPr>
            <t xml:space="preserve">Rated 11 of 12 — a starting estimate.
</t>
          </r>
          <r>
            <rPr>
              <rFont val="Calibri"/>
              <b val="1"/>
              <sz val="10"/>
            </rPr>
            <t>Start:</t>
          </r>
          <r>
            <rPr>
              <rFont val="Calibri"/>
              <sz val="10"/>
            </rPr>
            <t xml:space="preserve"> 11,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E1 = Shapes company-wide results through a function</t>
          </r>
        </is>
      </c>
      <c r="BC47" s="142" t="inlineStr">
        <is>
          <t>• Survey response or KRAs describing the work · nothing on file — Employee + manager</t>
        </is>
      </c>
      <c r="BD47" s="134" t="inlineStr">
        <is>
          <t>✓ HRIS: 32.1 yrs, MBA, 1 direct report
✗ Survey: no response
✗ KRAs: none on file
✓ Manager mapping: rating, 9-box
✗ Job description: not on file</t>
        </is>
      </c>
      <c r="BE47" s="134" t="inlineStr">
        <is>
          <r>
            <rPr>
              <rFont val="Calibri"/>
              <b val="1"/>
              <sz val="10"/>
            </rPr>
            <t>Market level:</t>
          </r>
          <r>
            <rPr>
              <rFont val="Calibri"/>
              <sz val="10"/>
            </rPr>
            <t xml:space="preserve"> E5 · SFIA 7
</t>
          </r>
          <r>
            <rPr>
              <rFont val="Calibri"/>
              <b val="1"/>
              <sz val="10"/>
            </rPr>
            <t>Typical title:</t>
          </r>
          <r>
            <rPr>
              <rFont val="Calibri"/>
              <sz val="10"/>
            </rPr>
            <t xml:space="preserve"> CXO · functional chief
</t>
          </r>
          <r>
            <rPr>
              <rFont val="Calibri"/>
              <b val="1"/>
              <sz val="10"/>
            </rPr>
            <t>At peers:</t>
          </r>
          <r>
            <rPr>
              <rFont val="Calibri"/>
              <sz val="10"/>
            </rPr>
            <t xml:space="preserve"> IRIS Vs Market Benchmark — Aon Radford / Mercer executive codes: E5 C-level · functional · IRIS Vs Competitor Benchmark — regtech / SaaS executive titles: CTO · CFO · CRO · CCO · COO
</t>
          </r>
          <r>
            <rPr>
              <rFont val="Calibri"/>
              <b val="1"/>
              <sz val="10"/>
            </rPr>
            <t>Standard:</t>
          </r>
          <r>
            <rPr>
              <rFont val="Calibri"/>
              <sz val="10"/>
            </rPr>
            <t xml:space="preserve"> Aon Radford executive levels E1–E6; Mercer ET1–ET3</t>
          </r>
        </is>
      </c>
      <c r="BF47" s="134" t="inlineStr">
        <is>
          <t>Low</t>
        </is>
      </c>
      <c r="BG47" s="134" t="inlineStr">
        <is>
          <t>• No survey answers or KRA — the role factors rest on designation and reporting lines only</t>
        </is>
      </c>
      <c r="BH47" s="134" t="inlineStr"/>
      <c r="BI47" s="135" t="n"/>
      <c r="BJ47" s="136" t="n"/>
      <c r="BK47" s="136" t="n"/>
      <c r="BL47" s="136" t="n"/>
      <c r="BM47" s="136" t="n"/>
      <c r="BN47" s="137" t="n"/>
      <c r="BO47" s="120" t="n"/>
      <c r="BP47" s="120" t="n"/>
      <c r="BQ47" s="120" t="n"/>
      <c r="BR47" s="120" t="n"/>
      <c r="BS47" s="120" t="n"/>
      <c r="BT47" s="120" t="n"/>
      <c r="BU47" s="120" t="n"/>
      <c r="BV47" s="120" t="n">
        <v>11</v>
      </c>
    </row>
    <row r="48" ht="340" customHeight="1">
      <c r="A48" s="109" t="inlineStr">
        <is>
          <t>IRIS2200</t>
        </is>
      </c>
      <c r="B48" s="110" t="inlineStr">
        <is>
          <t>Barsha Gloria Gomes</t>
        </is>
      </c>
      <c r="C48" s="111" t="inlineStr">
        <is>
          <t>Marketing</t>
        </is>
      </c>
      <c r="D48" s="111" t="inlineStr">
        <is>
          <t>Abhilash Menon</t>
        </is>
      </c>
      <c r="E48" s="112" t="n">
        <v>9.9</v>
      </c>
      <c r="F48" s="112" t="n">
        <v>2.9</v>
      </c>
      <c r="G48" s="111" t="inlineStr">
        <is>
          <t>MA</t>
        </is>
      </c>
      <c r="H48" s="138" t="inlineStr">
        <is>
          <t>Manager-Content</t>
        </is>
      </c>
      <c r="I48" s="115" t="inlineStr">
        <is>
          <t>Senior Content Marketing Specialist</t>
        </is>
      </c>
      <c r="J48" s="114" t="inlineStr">
        <is>
          <t>Marketing &amp; Communications</t>
        </is>
      </c>
      <c r="K48" s="114" t="inlineStr">
        <is>
          <t>Content Marketing</t>
        </is>
      </c>
      <c r="L48" s="114" t="inlineStr">
        <is>
          <t>L5 – Manager</t>
        </is>
      </c>
      <c r="M48" s="150" t="inlineStr">
        <is>
          <t>B2</t>
        </is>
      </c>
      <c r="N48" s="21" t="inlineStr">
        <is>
          <t>Senior Specialist</t>
        </is>
      </c>
      <c r="O48" s="23" t="inlineStr">
        <is>
          <t>B</t>
        </is>
      </c>
      <c r="P48" s="114" t="inlineStr">
        <is>
          <t>IC</t>
        </is>
      </c>
      <c r="Q48" s="144" t="inlineStr">
        <is>
          <t>• Same level</t>
        </is>
      </c>
      <c r="R48" s="118" t="inlineStr">
        <is>
          <r>
            <rPr>
              <rFont val="Calibri"/>
              <b val="1"/>
              <sz val="10"/>
            </rPr>
            <t>WHAT THE ROLE DOES:</t>
          </r>
          <r>
            <rPr>
              <rFont val="Calibri"/>
              <sz val="10"/>
            </rPr>
            <t xml:space="preserve"> Writes blogs, web copy, collateral and social content. At B2: deep domain expertise, or one team.
</t>
          </r>
          <r>
            <rPr>
              <rFont val="Calibri"/>
              <b val="1"/>
              <sz val="10"/>
            </rPr>
            <t>Common themes in sub-family holders, all levels' answers:</t>
          </r>
          <r>
            <rPr>
              <rFont val="Calibri"/>
              <sz val="10"/>
            </rPr>
            <t xml:space="preserve"> content · creation · brand · marketing · leads · through
</t>
          </r>
          <r>
            <rPr>
              <rFont val="Calibri"/>
              <b val="1"/>
              <sz val="10"/>
            </rPr>
            <t>KEY RESPONSIBILITIES:</t>
          </r>
          <r>
            <rPr>
              <rFont val="Calibri"/>
              <sz val="10"/>
            </rPr>
            <t xml:space="preserve"> Writes blogs, web copy, collateral and social content; Hardest problems in the domain; One team or a client portfolio
</t>
          </r>
          <r>
            <rPr>
              <rFont val="Calibri"/>
              <b val="1"/>
              <sz val="10"/>
            </rPr>
            <t>Common themes in sub-family holders, all levels' answers:</t>
          </r>
          <r>
            <rPr>
              <rFont val="Calibri"/>
              <sz val="10"/>
            </rPr>
            <t xml:space="preserve"> content · blogs · week · research · campaign · assets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content · media · social · marketing · blogs · campaigns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content · social media · website · accountable · marketing · brand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seo · blogs · content
</t>
          </r>
          <r>
            <rPr>
              <rFont val="Calibri"/>
              <b val="1"/>
              <sz val="10"/>
            </rPr>
            <t>SKILLS &amp; KNOWLEDGE · role-holders:</t>
          </r>
          <r>
            <rPr>
              <rFont val="Calibri"/>
              <sz val="10"/>
            </rPr>
            <t xml:space="preserve"> Marketing · Research skills · Content strategy · Copywriting
</t>
          </r>
          <r>
            <rPr>
              <rFont val="Calibri"/>
              <b val="1"/>
              <sz val="10"/>
            </rPr>
            <t>TOOLS &amp; SYSTEMS:</t>
          </r>
          <r>
            <rPr>
              <rFont val="Calibri"/>
              <sz val="10"/>
            </rPr>
            <t xml:space="preserve"> Semrush · Google Analytics · Canva · Hubspot · Buffer · Claude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1 holder, 1 answered the survey; sub-family 8 answered; catalogue RC-113</t>
          </r>
        </is>
      </c>
      <c r="S48" s="119"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From the survey and manager mapping — critical role: yes; successor named: no.
</t>
          </r>
          <r>
            <rPr>
              <rFont val="Calibri"/>
              <b val="1"/>
              <sz val="10"/>
            </rPr>
            <t>If the work is missed · role-holders' themes:</t>
          </r>
          <r>
            <rPr>
              <rFont val="Calibri"/>
              <sz val="10"/>
            </rPr>
            <t xml:space="preserve"> ranking.
Manager talent mapping — Latest rating: 3 · Potential: Medium · 9-Box Grid placement: Core Contributor.</t>
          </r>
        </is>
      </c>
      <c r="T48" s="120" t="n"/>
      <c r="U48" s="121" t="inlineStr">
        <is>
          <r>
            <rPr>
              <rFont val="Calibri"/>
              <sz val="10"/>
            </rPr>
            <t xml:space="preserve">Senior Content Marketing Specialist in Marketing · Corporate, B2 — IC.
</t>
          </r>
          <r>
            <rPr>
              <rFont val="Calibri"/>
              <b val="1"/>
              <sz val="10"/>
            </rPr>
            <t>The work:</t>
          </r>
          <r>
            <rPr>
              <rFont val="Calibri"/>
              <sz val="10"/>
            </rPr>
            <t xml:space="preserve"> Writes blogs, web copy, collateral and social content.
At this level the role owns deep domain expertise, or one team.
</t>
          </r>
          <r>
            <rPr>
              <rFont val="Calibri"/>
              <b val="1"/>
              <sz val="10"/>
            </rPr>
            <t>Key responsibilities:</t>
          </r>
          <r>
            <rPr>
              <rFont val="Calibri"/>
              <sz val="10"/>
            </rPr>
            <t xml:space="preserve"> Writes blogs, web copy, collateral and social content; Hardest problems in the domain; One team or a client portfolio.
</t>
          </r>
          <r>
            <rPr>
              <rFont val="Calibri"/>
              <b val="1"/>
              <sz val="10"/>
            </rPr>
            <t>Holders describe it with:</t>
          </r>
          <r>
            <rPr>
              <rFont val="Calibri"/>
              <sz val="10"/>
            </rPr>
            <t xml:space="preserve"> content · blogs · week · research · campaign · assets.</t>
          </r>
        </is>
      </c>
      <c r="V48" s="122" t="inlineStr">
        <is>
          <r>
            <rPr>
              <rFont val="Calibri"/>
              <b val="1"/>
              <sz val="10"/>
            </rPr>
            <t>Hire as:</t>
          </r>
          <r>
            <rPr>
              <rFont val="Calibri"/>
              <sz val="10"/>
            </rPr>
            <t xml:space="preserve"> Senior Marketing Specialist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 MBA · marketing
</t>
          </r>
          <r>
            <rPr>
              <rFont val="Calibri"/>
              <b val="1"/>
              <sz val="10"/>
            </rPr>
            <t>Equivalent titles at peers:</t>
          </r>
          <r>
            <rPr>
              <rFont val="Calibri"/>
              <sz val="10"/>
            </rPr>
            <t xml:space="preserve"> IRIS Vs Market Benchmark — CIM proficiency scale – 3–4 · IRIS Vs Competitor Benchmark — SaaS marketing ladder – Marketing Manager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48" s="122" t="inlineStr">
        <is>
          <r>
            <rPr>
              <rFont val="Calibri"/>
              <sz val="10"/>
            </rPr>
            <t xml:space="preserve">FUNCTIONAL — skill level 4 of 5 · Advanced
 ★ Marketing Tech &amp; Digital Marketing: Owns digital strategy, funnel and marketing analytics
 ★ Communication &amp; Presentation: Presents to senior stakeholders; shapes messaging
 • </t>
          </r>
          <r>
            <rPr>
              <rFont val="Calibri"/>
              <b val="1"/>
              <sz val="10"/>
            </rPr>
            <t>Data Analytics, BI &amp; Visualisation:</t>
          </r>
          <r>
            <rPr>
              <rFont val="Calibri"/>
              <sz val="10"/>
            </rPr>
            <t xml:space="preserve"> Defines metrics and analytics approach for a business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Marketing · Research skills · Content strategy · Copywriting
</t>
          </r>
          <r>
            <rPr>
              <rFont val="Calibri"/>
              <b val="1"/>
              <sz val="10"/>
            </rPr>
            <t>TOOLS:</t>
          </r>
          <r>
            <rPr>
              <rFont val="Calibri"/>
              <sz val="10"/>
            </rPr>
            <t xml:space="preserve"> Semrush · Google Analytics · Canva · Hubspot · Buffer · Claude
★ = must-have for the family. Scale: 1 Awareness · 2 Working · 3 Practitioner · 4 Advanced · 5 Expert.</t>
          </r>
        </is>
      </c>
      <c r="X48" s="122" t="inlineStr">
        <is>
          <r>
            <rPr>
              <rFont val="Calibri"/>
              <sz val="10"/>
            </rPr>
            <t xml:space="preserve">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48" s="123" t="inlineStr">
        <is>
          <t>Corporate · Marketing · Band B · Expert / POD Lead</t>
        </is>
      </c>
      <c r="Z48" s="124" t="n">
        <v>4.5</v>
      </c>
      <c r="AA48" s="125">
        <f>IFERROR(INDEX(WM_C,MATCH($Y48,WM_KEY,0)),"")</f>
        <v>0.46</v>
      </c>
      <c r="AB48" s="126">
        <f>IF(Z48="","",Z48*AA48)</f>
        <v>2.07</v>
      </c>
      <c r="AC48" s="124" t="n">
        <v>4</v>
      </c>
      <c r="AD48" s="125">
        <f>IFERROR(INDEX(WM_AU,MATCH($Y48,WM_KEY,0)),"")</f>
        <v>0.22</v>
      </c>
      <c r="AE48" s="126">
        <f>IF(AC48="","",AC48*AD48)</f>
        <v>0.88</v>
      </c>
      <c r="AF48" s="124" t="n">
        <v>4.5</v>
      </c>
      <c r="AG48" s="125">
        <f>IFERROR(INDEX(WM_AC,MATCH($Y48,WM_KEY,0)),"")</f>
        <v>0.05</v>
      </c>
      <c r="AH48" s="126">
        <f>IF(AF48="","",AF48*AG48)</f>
        <v>0.225</v>
      </c>
      <c r="AI48" s="124" t="n">
        <v>3</v>
      </c>
      <c r="AJ48" s="125">
        <f>IFERROR(INDEX(WM_L,MATCH($Y48,WM_KEY,0)),"")</f>
        <v>0.05</v>
      </c>
      <c r="AK48" s="126">
        <f>IF(AI48="","",AI48*AJ48)</f>
        <v>0.15</v>
      </c>
      <c r="AL48" s="124" t="n">
        <v>6.5</v>
      </c>
      <c r="AM48" s="125">
        <f>IFERROR(INDEX(WM_E,MATCH($Y48,WM_KEY,0)),"")</f>
        <v>0.1</v>
      </c>
      <c r="AN48" s="126">
        <f>IF(AL48="","",AL48*AM48)</f>
        <v>0.65</v>
      </c>
      <c r="AO48" s="127" t="n">
        <v>5</v>
      </c>
      <c r="AP48" s="125">
        <f>IFERROR(INDEX(WM_BI,MATCH($Y48,WM_KEY,0)),"")</f>
        <v>0.12</v>
      </c>
      <c r="AQ48" s="126">
        <f>IF(AO48="","",AO48*AP48)</f>
        <v>0.6</v>
      </c>
      <c r="AR48" s="126">
        <f>IF(COUNT(AB48,AE48,AH48,AK48,AN48,AQ48)&lt;6,"",SUM(AB48,AE48,AH48,AK48,AN48,AQ48))</f>
        <v>4.575</v>
      </c>
      <c r="AS48" s="128" t="str">
        <f>IF(AR48="","",INDEX({"A1","A2","A3","B1","B2","B3","C1","C2","D1","D2","E1","E2"},MAX(1,MIN(12,ROUND(AR48,0)))))</f>
        <v>B2</v>
      </c>
      <c r="AT48" s="129"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48" s="130" t="inlineStr">
        <is>
          <r>
            <rPr>
              <rFont val="Calibri"/>
              <b val="1"/>
              <sz val="10"/>
            </rPr>
            <t>At build:</t>
          </r>
          <r>
            <rPr>
              <rFont val="Calibri"/>
              <sz val="10"/>
            </rPr>
            <t xml:space="preserve"> Complexity 2.07 + Autonomy 0.88 + Accountability 0.23 + Leadership 0.15 + Experience 0.65 + Business impact 0.60
= 4.58 points → nearest level 5 = B2
</t>
          </r>
          <r>
            <rPr>
              <rFont val="Calibri"/>
              <b val="1"/>
              <sz val="10"/>
            </rPr>
            <t>Final level:</t>
          </r>
          <r>
            <rPr>
              <rFont val="Calibri"/>
              <sz val="10"/>
            </rPr>
            <t xml:space="preserve"> B2 · same as the score</t>
          </r>
        </is>
      </c>
      <c r="AV48" s="130" t="inlineStr">
        <is>
          <r>
            <rPr>
              <rFont val="Calibri"/>
              <b val="1"/>
              <sz val="10"/>
            </rPr>
            <t>No rule applied:</t>
          </r>
          <r>
            <rPr>
              <rFont val="Calibri"/>
              <sz val="10"/>
            </rPr>
            <t xml:space="preserve"> the score decides.</t>
          </r>
        </is>
      </c>
      <c r="AW48" s="131"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Plans and writes all content on regulatory subject matter: web, blogs, briefs, case studies, positioning → moved down 0.5
</t>
          </r>
          <r>
            <rPr>
              <rFont val="Calibri"/>
              <b val="1"/>
              <sz val="10"/>
            </rPr>
            <t>KRA:</t>
          </r>
          <r>
            <rPr>
              <rFont val="Calibri"/>
              <sz val="10"/>
            </rPr>
            <t xml:space="preserve"> “1. Deliver committed marketing/content calendar with &gt;=90% on-time publishing 2. Meet campaign KPIs · leads/MQLs/engagement at &gt;=90% of…”
</t>
          </r>
          <r>
            <rPr>
              <rFont val="Calibri"/>
              <b val="1"/>
              <sz val="10"/>
            </rPr>
            <t>Market:</t>
          </r>
          <r>
            <rPr>
              <rFont val="Calibri"/>
              <sz val="10"/>
            </rPr>
            <t xml:space="preserve"> B1 = Domain specialist work · B2 = Hardest problems in the domain</t>
          </r>
        </is>
      </c>
      <c r="AX48" s="132"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Decides content planning, editorial priorities and messaging; content still goes through SME/stakeholder sign-off → moved down 1
</t>
          </r>
          <r>
            <rPr>
              <rFont val="Calibri"/>
              <b val="1"/>
              <sz val="10"/>
            </rPr>
            <t>Market:</t>
          </r>
          <r>
            <rPr>
              <rFont val="Calibri"/>
              <sz val="10"/>
            </rPr>
            <t xml:space="preserve"> B1 = Technical / QC / client calls for the domain</t>
          </r>
        </is>
      </c>
      <c r="AY48" s="132"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All corporate content deliverables and brand messaging across channels → moved down 0.5
</t>
          </r>
          <r>
            <rPr>
              <rFont val="Calibri"/>
              <b val="1"/>
              <sz val="10"/>
            </rPr>
            <t>KRA:</t>
          </r>
          <r>
            <rPr>
              <rFont val="Calibri"/>
              <sz val="10"/>
            </rPr>
            <t xml:space="preserve"> “1. Deliver committed marketing/content calendar with &gt;=90% on-time publishing 2. Meet campaign KPIs · leads/MQLs/engagement at &gt;=90% of…”
</t>
          </r>
          <r>
            <rPr>
              <rFont val="Calibri"/>
              <b val="1"/>
              <sz val="10"/>
            </rPr>
            <t>Market:</t>
          </r>
          <r>
            <rPr>
              <rFont val="Calibri"/>
              <sz val="10"/>
            </rPr>
            <t xml:space="preserve"> B1 = A domain or a small team · B2 = One team or a client portfolio</t>
          </r>
        </is>
      </c>
      <c r="AZ48" s="132" t="inlineStr">
        <is>
          <r>
            <rPr>
              <rFont val="Calibri"/>
              <sz val="10"/>
            </rPr>
            <t xml:space="preserve">Rated 3 of 12
</t>
          </r>
          <r>
            <rPr>
              <rFont val="Calibri"/>
              <b val="1"/>
              <sz val="10"/>
            </rPr>
            <t>Start:</t>
          </r>
          <r>
            <rPr>
              <rFont val="Calibri"/>
              <sz val="10"/>
            </rPr>
            <t xml:space="preserve"> 4.0 · individual contributor, so influence only
</t>
          </r>
          <r>
            <rPr>
              <rFont val="Calibri"/>
              <b val="1"/>
              <sz val="10"/>
            </rPr>
            <t>Evidence reads like A1:</t>
          </r>
          <r>
            <rPr>
              <rFont val="Calibri"/>
              <sz val="10"/>
            </rPr>
            <t xml:space="preserve"> No people guidance described; 0 direct reports → moved down 1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48" s="132" t="inlineStr">
        <is>
          <r>
            <rPr>
              <rFont val="Calibri"/>
              <sz val="10"/>
            </rPr>
            <t xml:space="preserve">Rated 6.5 of 12 · between B3 and C1
</t>
          </r>
          <r>
            <rPr>
              <rFont val="Calibri"/>
              <b val="1"/>
              <sz val="10"/>
            </rPr>
            <t>Experience:</t>
          </r>
          <r>
            <rPr>
              <rFont val="Calibri"/>
              <sz val="10"/>
            </rPr>
            <t xml:space="preserve"> 9.9 yrs total · 7.0 before IRIS + 2.9 at IRIS = 6.0 on the experience scale
</t>
          </r>
          <r>
            <rPr>
              <rFont val="Calibri"/>
              <b val="1"/>
              <sz val="10"/>
            </rPr>
            <t>Qualification:</t>
          </r>
          <r>
            <rPr>
              <rFont val="Calibri"/>
              <sz val="10"/>
            </rPr>
            <t xml:space="preserve"> MA · postgraduate, relevant to the work → +0.5
</t>
          </r>
          <r>
            <rPr>
              <rFont val="Calibri"/>
              <b val="1"/>
              <sz val="10"/>
            </rPr>
            <t>Market:</t>
          </r>
          <r>
            <rPr>
              <rFont val="Calibri"/>
              <sz val="10"/>
            </rPr>
            <t xml:space="preserve"> B2 roles typically have 6–10 yrs · IRIS guide 6–9</t>
          </r>
        </is>
      </c>
      <c r="BB48" s="132" t="inlineStr">
        <is>
          <r>
            <rPr>
              <rFont val="Calibri"/>
              <sz val="10"/>
            </rPr>
            <t xml:space="preserve">Rated 5 of 12 — a starting estimate.
</t>
          </r>
          <r>
            <rPr>
              <rFont val="Calibri"/>
              <b val="1"/>
              <sz val="10"/>
            </rPr>
            <t>Start:</t>
          </r>
          <r>
            <rPr>
              <rFont val="Calibri"/>
              <sz val="10"/>
            </rPr>
            <t xml:space="preserve"> 4.5,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48" s="133" t="inlineStr"/>
      <c r="BD48" s="134" t="inlineStr">
        <is>
          <t>✓ HRIS: 9.9 yrs, MA, 0 direct reports
✓ Survey: 18 of 20 questions answered
✓ KRAs: self, manager-set, quarterly
✓ Manager mapping: rating, potential, 9-box
✗ Job description: not on file</t>
        </is>
      </c>
      <c r="BE48" s="134" t="inlineStr">
        <is>
          <r>
            <rPr>
              <rFont val="Calibri"/>
              <b val="1"/>
              <sz val="10"/>
            </rPr>
            <t>Market level:</t>
          </r>
          <r>
            <rPr>
              <rFont val="Calibri"/>
              <sz val="10"/>
            </rPr>
            <t xml:space="preserve"> P4 / M3 · SFIA 4–5
</t>
          </r>
          <r>
            <rPr>
              <rFont val="Calibri"/>
              <b val="1"/>
              <sz val="10"/>
            </rPr>
            <t>Typical title:</t>
          </r>
          <r>
            <rPr>
              <rFont val="Calibri"/>
              <sz val="10"/>
            </rPr>
            <t xml:space="preserve"> Senior Marketing Specialist
</t>
          </r>
          <r>
            <rPr>
              <rFont val="Calibri"/>
              <b val="1"/>
              <sz val="10"/>
            </rPr>
            <t>At peers:</t>
          </r>
          <r>
            <rPr>
              <rFont val="Calibri"/>
              <sz val="10"/>
            </rPr>
            <t xml:space="preserve"> IRIS Vs Market Benchmark — CIM proficiency scale: 3–4 · IRIS Vs Competitor Benchmark — SaaS marketing ladder: Marketing Manager
</t>
          </r>
          <r>
            <rPr>
              <rFont val="Calibri"/>
              <b val="1"/>
              <sz val="10"/>
            </rPr>
            <t>Typical experience:</t>
          </r>
          <r>
            <rPr>
              <rFont val="Calibri"/>
              <sz val="10"/>
            </rPr>
            <t xml:space="preserve"> 6–10 yrs · IRIS guide 6–9
</t>
          </r>
          <r>
            <rPr>
              <rFont val="Calibri"/>
              <b val="1"/>
              <sz val="10"/>
            </rPr>
            <t>Standard:</t>
          </r>
          <r>
            <rPr>
              <rFont val="Calibri"/>
              <sz val="10"/>
            </rPr>
            <t xml:space="preserve"> CIM Global Professional Marketing Framework — proficiency Aware → Active learner → Able → Accomplished → Authoritative</t>
          </r>
        </is>
      </c>
      <c r="BF48" s="134" t="inlineStr">
        <is>
          <t>Medium</t>
        </is>
      </c>
      <c r="BG48" s="134" t="inlineStr"/>
      <c r="BH48" s="134" t="inlineStr"/>
      <c r="BI48" s="135" t="n"/>
      <c r="BJ48" s="136" t="n"/>
      <c r="BK48" s="136" t="n"/>
      <c r="BL48" s="136" t="n"/>
      <c r="BM48" s="136" t="n"/>
      <c r="BN48" s="137" t="n"/>
      <c r="BO48" s="120" t="n"/>
      <c r="BP48" s="120" t="n"/>
      <c r="BQ48" s="120" t="n"/>
      <c r="BR48" s="120" t="n"/>
      <c r="BS48" s="120" t="n"/>
      <c r="BT48" s="120" t="n"/>
      <c r="BU48" s="120" t="n"/>
      <c r="BV48" s="120" t="n">
        <v>5</v>
      </c>
    </row>
    <row r="49" ht="340" customHeight="1">
      <c r="A49" s="109" t="inlineStr">
        <is>
          <t>IRIS2307</t>
        </is>
      </c>
      <c r="B49" s="110" t="inlineStr">
        <is>
          <t>Abhishek Sharma</t>
        </is>
      </c>
      <c r="C49" s="111" t="inlineStr">
        <is>
          <t>Marketing</t>
        </is>
      </c>
      <c r="D49" s="111" t="inlineStr">
        <is>
          <t>Abhilash Menon</t>
        </is>
      </c>
      <c r="E49" s="112" t="n">
        <v>6</v>
      </c>
      <c r="F49" s="112" t="n">
        <v>2</v>
      </c>
      <c r="G49" s="111" t="inlineStr">
        <is>
          <t>HSC</t>
        </is>
      </c>
      <c r="H49" s="113" t="inlineStr">
        <is>
          <t>Senior Designer</t>
        </is>
      </c>
      <c r="I49" s="114" t="inlineStr">
        <is>
          <t>Senior Designer</t>
        </is>
      </c>
      <c r="J49" s="114" t="inlineStr">
        <is>
          <t>Design &amp; Creative</t>
        </is>
      </c>
      <c r="K49" s="114" t="inlineStr">
        <is>
          <t>Brand, Graphic &amp; Video Design</t>
        </is>
      </c>
      <c r="L49" s="114" t="inlineStr">
        <is>
          <t>L4 – Senior</t>
        </is>
      </c>
      <c r="M49" s="151" t="inlineStr">
        <is>
          <t>A3</t>
        </is>
      </c>
      <c r="N49" s="139" t="inlineStr">
        <is>
          <t>Senior Associate</t>
        </is>
      </c>
      <c r="O49" s="26" t="inlineStr">
        <is>
          <t>A</t>
        </is>
      </c>
      <c r="P49" s="114" t="inlineStr">
        <is>
          <t>IC</t>
        </is>
      </c>
      <c r="Q49" s="144" t="inlineStr">
        <is>
          <t>• Same level</t>
        </is>
      </c>
      <c r="R49" s="118" t="inlineStr">
        <is>
          <r>
            <rPr>
              <rFont val="Calibri"/>
              <b val="1"/>
              <sz val="10"/>
            </rPr>
            <t>WHAT THE ROLE DOES:</t>
          </r>
          <r>
            <rPr>
              <rFont val="Calibri"/>
              <sz val="10"/>
            </rPr>
            <t xml:space="preserve"> Creates brand assets, creatives, decks, motion graphics and video. At A3: varied work; reviews juniors; go-to for a process.
</t>
          </r>
          <r>
            <rPr>
              <rFont val="Calibri"/>
              <b val="1"/>
              <sz val="10"/>
            </rPr>
            <t>Common themes in sub-family holders, all levels' answers:</t>
          </r>
          <r>
            <rPr>
              <rFont val="Calibri"/>
              <sz val="10"/>
            </rPr>
            <t xml:space="preserve"> media · social · collaterals · designing · shobhan · reports
</t>
          </r>
          <r>
            <rPr>
              <rFont val="Calibri"/>
              <b val="1"/>
              <sz val="10"/>
            </rPr>
            <t>KEY RESPONSIBILITIES:</t>
          </r>
          <r>
            <rPr>
              <rFont val="Calibri"/>
              <sz val="10"/>
            </rPr>
            <t xml:space="preserve"> Creates brand assets, creatives, decks, motion graphics and video; Varied and non-standard work; handles exceptions; A module / process, or work with client or regulatory consequences
</t>
          </r>
          <r>
            <rPr>
              <rFont val="Calibri"/>
              <b val="1"/>
              <sz val="10"/>
            </rPr>
            <t>Common themes in sub-family holders, all levels' answers:</t>
          </r>
          <r>
            <rPr>
              <rFont val="Calibri"/>
              <sz val="10"/>
            </rPr>
            <t xml:space="preserve"> sales · event · collaterals
</t>
          </r>
          <r>
            <rPr>
              <rFont val="Calibri"/>
              <b val="1"/>
              <sz val="10"/>
            </rPr>
            <t>DELIVERS:</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decks · assets · video · event · presentation · social
</t>
          </r>
          <r>
            <rPr>
              <rFont val="Calibri"/>
              <b val="1"/>
              <sz val="10"/>
            </rPr>
            <t>ACCOUNTABLE FOR:</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visual · design · presentation · solution
</t>
          </r>
          <r>
            <rPr>
              <rFont val="Calibri"/>
              <b val="1"/>
              <sz val="10"/>
            </rPr>
            <t>DECIDES ALONE:</t>
          </r>
          <r>
            <rPr>
              <rFont val="Calibri"/>
              <sz val="10"/>
            </rPr>
            <t xml:space="preserve"> Technical / QC / client calls on own work
</t>
          </r>
          <r>
            <rPr>
              <rFont val="Calibri"/>
              <b val="1"/>
              <sz val="10"/>
            </rPr>
            <t>Common themes in sub-family holders, all levels' answers:</t>
          </r>
          <r>
            <rPr>
              <rFont val="Calibri"/>
              <sz val="10"/>
            </rPr>
            <t xml:space="preserve"> design
</t>
          </r>
          <r>
            <rPr>
              <rFont val="Calibri"/>
              <b val="1"/>
              <sz val="10"/>
            </rPr>
            <t>SKILLS &amp; KNOWLEDGE · role-holders:</t>
          </r>
          <r>
            <rPr>
              <rFont val="Calibri"/>
              <sz val="10"/>
            </rPr>
            <t xml:space="preserve"> Graphic design
</t>
          </r>
          <r>
            <rPr>
              <rFont val="Calibri"/>
              <b val="1"/>
              <sz val="10"/>
            </rPr>
            <t>TOOLS &amp; SYSTEMS:</t>
          </r>
          <r>
            <rPr>
              <rFont val="Calibri"/>
              <sz val="10"/>
            </rPr>
            <t xml:space="preserve"> Canva
COMPETENCIES REQUIRED — must-have ★: Product, Platform &amp; Domain Knowledge · Communication &amp; Presentation
</t>
          </r>
          <r>
            <rPr>
              <rFont val="Calibri"/>
              <b val="1"/>
              <sz val="10"/>
            </rPr>
            <t>OTHER FUNCTIONAL COMPETENCIES:</t>
          </r>
          <r>
            <rPr>
              <rFont val="Calibri"/>
              <sz val="10"/>
            </rPr>
            <t xml:space="preserve"> Marketing Tech &amp; Digital Marketing · Process Improvement &amp; Quality Mindset · AI, GenAI &amp; Prompt Engineering · Stakeholder &amp; Client 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sub-family themes · 3+ answered — 2 holders, 2 answered the survey; sub-family 4 answered; catalogue RC-052</t>
          </r>
        </is>
      </c>
      <c r="S49"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sales.
Manager talent mapping — Latest rating: 3 · Potential: Medium · 9-Box Grid placement: Reliable Specialist.</t>
          </r>
        </is>
      </c>
      <c r="T49" s="120" t="n"/>
      <c r="U49" s="121" t="inlineStr">
        <is>
          <r>
            <rPr>
              <rFont val="Calibri"/>
              <sz val="10"/>
            </rPr>
            <t xml:space="preserve">Senior Designer in Marketing · Corporate, A3 — IC.
</t>
          </r>
          <r>
            <rPr>
              <rFont val="Calibri"/>
              <b val="1"/>
              <sz val="10"/>
            </rPr>
            <t>The work:</t>
          </r>
          <r>
            <rPr>
              <rFont val="Calibri"/>
              <sz val="10"/>
            </rPr>
            <t xml:space="preserve"> Creates brand assets, creatives, decks, motion graphics and video.
At this level the role owns varied work; reviews juniors; go-to for a process.
</t>
          </r>
          <r>
            <rPr>
              <rFont val="Calibri"/>
              <b val="1"/>
              <sz val="10"/>
            </rPr>
            <t>Key responsibilities:</t>
          </r>
          <r>
            <rPr>
              <rFont val="Calibri"/>
              <sz val="10"/>
            </rPr>
            <t xml:space="preserve"> Creates brand assets, creatives, decks, motion graphics and video; Varied and non-standard work; handles exceptions; A module / process, or work with client or regulatory consequences.
</t>
          </r>
          <r>
            <rPr>
              <rFont val="Calibri"/>
              <b val="1"/>
              <sz val="10"/>
            </rPr>
            <t>Holders describe it with:</t>
          </r>
          <r>
            <rPr>
              <rFont val="Calibri"/>
              <sz val="10"/>
            </rPr>
            <t xml:space="preserve"> sales · event · collaterals.</t>
          </r>
        </is>
      </c>
      <c r="V49" s="122" t="inlineStr">
        <is>
          <r>
            <rPr>
              <rFont val="Calibri"/>
              <b val="1"/>
              <sz val="10"/>
            </rPr>
            <t>Hire as:</t>
          </r>
          <r>
            <rPr>
              <rFont val="Calibri"/>
              <sz val="10"/>
            </rPr>
            <t xml:space="preserve"> Designer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in design / communication
</t>
          </r>
          <r>
            <rPr>
              <rFont val="Calibri"/>
              <b val="1"/>
              <sz val="10"/>
            </rPr>
            <t>Equivalent titles at peers:</t>
          </r>
          <r>
            <rPr>
              <rFont val="Calibri"/>
              <sz val="10"/>
            </rPr>
            <t xml:space="preserve"> IRIS Vs Competitor Benchmark — UX / design ladder – Designer
</t>
          </r>
          <r>
            <rPr>
              <rFont val="Calibri"/>
              <b val="1"/>
              <sz val="10"/>
            </rPr>
            <t>Credentials:</t>
          </r>
          <r>
            <rPr>
              <rFont val="Calibri"/>
              <sz val="10"/>
            </rPr>
            <t xml:space="preserve"> Internal product certification
</t>
          </r>
          <r>
            <rPr>
              <rFont val="Calibri"/>
              <b val="1"/>
              <sz val="10"/>
            </rPr>
            <t>Must already know:</t>
          </r>
          <r>
            <rPr>
              <rFont val="Calibri"/>
              <sz val="10"/>
            </rPr>
            <t xml:space="preserve"> Brand and accessibility standards · WCAG</t>
          </r>
        </is>
      </c>
      <c r="W49" s="122" t="inlineStr">
        <is>
          <r>
            <rPr>
              <rFont val="Calibri"/>
              <sz val="10"/>
            </rPr>
            <t xml:space="preserve">FUNCTIONAL — skill level 3 of 5 · Practitioner
 ★ Product, Platform &amp; Domain Knowledge: Handles most product and domain scenarios
 ★ Communication &amp; Presentation: Writes and presents clearly to clients and teams
 • </t>
          </r>
          <r>
            <rPr>
              <rFont val="Calibri"/>
              <b val="1"/>
              <sz val="10"/>
            </rPr>
            <t>Marketing Tech &amp; Digital Marketing:</t>
          </r>
          <r>
            <rPr>
              <rFont val="Calibri"/>
              <sz val="10"/>
            </rPr>
            <t xml:space="preserve"> Runs campaigns, CRM, SEO and social channels
 • </t>
          </r>
          <r>
            <rPr>
              <rFont val="Calibri"/>
              <b val="1"/>
              <sz val="10"/>
            </rPr>
            <t>Process Improvement &amp; Quality Mindset:</t>
          </r>
          <r>
            <rPr>
              <rFont val="Calibri"/>
              <sz val="10"/>
            </rPr>
            <t xml:space="preserve"> Delivers right-first-time; improves own checklists
 • </t>
          </r>
          <r>
            <rPr>
              <rFont val="Calibri"/>
              <b val="1"/>
              <sz val="10"/>
            </rPr>
            <t>AI, GenAI &amp; Prompt Engineering:</t>
          </r>
          <r>
            <rPr>
              <rFont val="Calibri"/>
              <sz val="10"/>
            </rPr>
            <t xml:space="preserve"> Uses AI / LLM tools in own work and validates output
 • </t>
          </r>
          <r>
            <rPr>
              <rFont val="Calibri"/>
              <b val="1"/>
              <sz val="10"/>
            </rPr>
            <t>Stakeholder &amp; Client Management:</t>
          </r>
          <r>
            <rPr>
              <rFont val="Calibri"/>
              <sz val="10"/>
            </rPr>
            <t xml:space="preserve"> Manages client communication and expectations for own work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Graphic design
</t>
          </r>
          <r>
            <rPr>
              <rFont val="Calibri"/>
              <b val="1"/>
              <sz val="10"/>
            </rPr>
            <t>TOOLS:</t>
          </r>
          <r>
            <rPr>
              <rFont val="Calibri"/>
              <sz val="10"/>
            </rPr>
            <t xml:space="preserve"> Canva
★ = must-have for the family. Scale: 1 Awareness · 2 Working · 3 Practitioner · 4 Advanced · 5 Expert.</t>
          </r>
        </is>
      </c>
      <c r="X49" s="122"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9" s="123" t="inlineStr">
        <is>
          <t>Corporate · Marketing · Band A · Early career</t>
        </is>
      </c>
      <c r="Z49" s="124" t="n">
        <v>3</v>
      </c>
      <c r="AA49" s="125">
        <f>IFERROR(INDEX(WM_C,MATCH($Y49,WM_KEY,0)),"")</f>
        <v>0.54</v>
      </c>
      <c r="AB49" s="126">
        <f>IF(Z49="","",Z49*AA49)</f>
        <v>1.62</v>
      </c>
      <c r="AC49" s="124" t="n">
        <v>3</v>
      </c>
      <c r="AD49" s="125">
        <f>IFERROR(INDEX(WM_AU,MATCH($Y49,WM_KEY,0)),"")</f>
        <v>0.21</v>
      </c>
      <c r="AE49" s="126">
        <f>IF(AC49="","",AC49*AD49)</f>
        <v>0.63</v>
      </c>
      <c r="AF49" s="124" t="n">
        <v>3</v>
      </c>
      <c r="AG49" s="125">
        <f>IFERROR(INDEX(WM_AC,MATCH($Y49,WM_KEY,0)),"")</f>
        <v>0.04</v>
      </c>
      <c r="AH49" s="126">
        <f>IF(AF49="","",AF49*AG49)</f>
        <v>0.12</v>
      </c>
      <c r="AI49" s="124" t="n">
        <v>1.5</v>
      </c>
      <c r="AJ49" s="125">
        <f>IFERROR(INDEX(WM_L,MATCH($Y49,WM_KEY,0)),"")</f>
        <v>0</v>
      </c>
      <c r="AK49" s="126">
        <f>IF(AI49="","",AI49*AJ49)</f>
        <v>0</v>
      </c>
      <c r="AL49" s="124" t="n">
        <v>4</v>
      </c>
      <c r="AM49" s="125">
        <f>IFERROR(INDEX(WM_E,MATCH($Y49,WM_KEY,0)),"")</f>
        <v>0.1</v>
      </c>
      <c r="AN49" s="126">
        <f>IF(AL49="","",AL49*AM49)</f>
        <v>0.4</v>
      </c>
      <c r="AO49" s="127" t="n">
        <v>3.5</v>
      </c>
      <c r="AP49" s="125">
        <f>IFERROR(INDEX(WM_BI,MATCH($Y49,WM_KEY,0)),"")</f>
        <v>0.11</v>
      </c>
      <c r="AQ49" s="126">
        <f>IF(AO49="","",AO49*AP49)</f>
        <v>0.385</v>
      </c>
      <c r="AR49" s="126">
        <f>IF(COUNT(AB49,AE49,AH49,AK49,AN49,AQ49)&lt;6,"",SUM(AB49,AE49,AH49,AK49,AN49,AQ49))</f>
        <v>3.155</v>
      </c>
      <c r="AS49" s="128" t="str">
        <f>IF(AR49="","",INDEX({"A1","A2","A3","B1","B2","B3","C1","C2","D1","D2","E1","E2"},MAX(1,MIN(12,ROUND(AR49,0)))))</f>
        <v>A3</v>
      </c>
      <c r="AT49" s="129"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49" s="130" t="inlineStr">
        <is>
          <r>
            <rPr>
              <rFont val="Calibri"/>
              <b val="1"/>
              <sz val="10"/>
            </rPr>
            <t>At build:</t>
          </r>
          <r>
            <rPr>
              <rFont val="Calibri"/>
              <sz val="10"/>
            </rPr>
            <t xml:space="preserve"> Complexity 1.62 + Autonomy 0.63 + Accountability 0.12 + Leadership 0.00 + Experience 0.40 + Business impact 0.39
= 3.16 points → nearest level 3 = A3
</t>
          </r>
          <r>
            <rPr>
              <rFont val="Calibri"/>
              <b val="1"/>
              <sz val="10"/>
            </rPr>
            <t>Final level:</t>
          </r>
          <r>
            <rPr>
              <rFont val="Calibri"/>
              <sz val="10"/>
            </rPr>
            <t xml:space="preserve"> A3 · same as the score</t>
          </r>
        </is>
      </c>
      <c r="AV49" s="130" t="inlineStr">
        <is>
          <r>
            <rPr>
              <rFont val="Calibri"/>
              <b val="1"/>
              <sz val="10"/>
            </rPr>
            <t>No rule applied:</t>
          </r>
          <r>
            <rPr>
              <rFont val="Calibri"/>
              <sz val="10"/>
            </rPr>
            <t xml:space="preserve"> the score decides.</t>
          </r>
        </is>
      </c>
      <c r="AW49" s="131"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Varied design: RFP presentations, sales kits, website UI/UX, video editing, event and corporate branding → matches the start
</t>
          </r>
          <r>
            <rPr>
              <rFont val="Calibri"/>
              <b val="1"/>
              <sz val="10"/>
            </rPr>
            <t>KRA:</t>
          </r>
          <r>
            <rPr>
              <rFont val="Calibri"/>
              <sz val="10"/>
            </rPr>
            <t xml:space="preserve"> “1. Deliver committed marketing/content calendar with &gt;=90% on-time publishing 2. Meet campaign KPIs · leads/MQLs/engagement at &gt;=90% of…”
</t>
          </r>
          <r>
            <rPr>
              <rFont val="Calibri"/>
              <b val="1"/>
              <sz val="10"/>
            </rPr>
            <t>Market:</t>
          </r>
          <r>
            <rPr>
              <rFont val="Calibri"/>
              <sz val="10"/>
            </rPr>
            <t xml:space="preserve"> A3 = Varied and non-standard work; handles exceptions</t>
          </r>
        </is>
      </c>
      <c r="AX49"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design elements and core ideation for assets → matches the start
</t>
          </r>
          <r>
            <rPr>
              <rFont val="Calibri"/>
              <b val="1"/>
              <sz val="10"/>
            </rPr>
            <t>Market:</t>
          </r>
          <r>
            <rPr>
              <rFont val="Calibri"/>
              <sz val="10"/>
            </rPr>
            <t xml:space="preserve"> A3 = Technical / QC / client calls on own work</t>
          </r>
        </is>
      </c>
      <c r="AY49" s="132"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Accountable for all design output and brand consistency; RFP and event deadlines affect opportunities → matches the start
</t>
          </r>
          <r>
            <rPr>
              <rFont val="Calibri"/>
              <b val="1"/>
              <sz val="10"/>
            </rPr>
            <t>KRA:</t>
          </r>
          <r>
            <rPr>
              <rFont val="Calibri"/>
              <sz val="10"/>
            </rPr>
            <t xml:space="preserve"> “1. Deliver committed marketing/content calendar with &gt;=90% on-time publishing 2. Meet campaign KPIs · leads/MQLs/engagement at &gt;=90% of…”
</t>
          </r>
          <r>
            <rPr>
              <rFont val="Calibri"/>
              <b val="1"/>
              <sz val="10"/>
            </rPr>
            <t>Market:</t>
          </r>
          <r>
            <rPr>
              <rFont val="Calibri"/>
              <sz val="10"/>
            </rPr>
            <t xml:space="preserve"> A3 = A module / process, or work with client or regulatory consequences</t>
          </r>
        </is>
      </c>
      <c r="AZ49" s="132"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guidance or leadership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49" s="132" t="inlineStr">
        <is>
          <r>
            <rPr>
              <rFont val="Calibri"/>
              <sz val="10"/>
            </rPr>
            <t xml:space="preserve">Rated 4 of 12
</t>
          </r>
          <r>
            <rPr>
              <rFont val="Calibri"/>
              <b val="1"/>
              <sz val="10"/>
            </rPr>
            <t>Experience:</t>
          </r>
          <r>
            <rPr>
              <rFont val="Calibri"/>
              <sz val="10"/>
            </rPr>
            <t xml:space="preserve"> 6.0 yrs total · 4.0 before IRIS + 2.0 at IRIS = 4.2 on the experience scale
</t>
          </r>
          <r>
            <rPr>
              <rFont val="Calibri"/>
              <b val="1"/>
              <sz val="10"/>
            </rPr>
            <t>Qualification:</t>
          </r>
          <r>
            <rPr>
              <rFont val="Calibri"/>
              <sz val="10"/>
            </rPr>
            <t xml:space="preserve"> HSC · below graduate → −0.5
</t>
          </r>
          <r>
            <rPr>
              <rFont val="Calibri"/>
              <b val="1"/>
              <sz val="10"/>
            </rPr>
            <t>Market:</t>
          </r>
          <r>
            <rPr>
              <rFont val="Calibri"/>
              <sz val="10"/>
            </rPr>
            <t xml:space="preserve"> A3 roles typically have 2–5 yrs · IRIS guide 2–4</t>
          </r>
        </is>
      </c>
      <c r="BB49" s="132"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49" s="133" t="inlineStr"/>
      <c r="BD49" s="134" t="inlineStr">
        <is>
          <t>✓ HRIS: 6.0 yrs, HSC, 0 direct reports
✓ Survey: 20 of 20 questions answered
✓ KRAs: self, manager-set, quarterly
✓ Manager mapping: rating, potential, 9-box
✗ Job description: not on file</t>
        </is>
      </c>
      <c r="BE49" s="134" t="inlineStr">
        <is>
          <r>
            <rPr>
              <rFont val="Calibri"/>
              <b val="1"/>
              <sz val="10"/>
            </rPr>
            <t>Market level:</t>
          </r>
          <r>
            <rPr>
              <rFont val="Calibri"/>
              <sz val="10"/>
            </rPr>
            <t xml:space="preserve"> P2 · SFIA 3 Apply
</t>
          </r>
          <r>
            <rPr>
              <rFont val="Calibri"/>
              <b val="1"/>
              <sz val="10"/>
            </rPr>
            <t>Typical title:</t>
          </r>
          <r>
            <rPr>
              <rFont val="Calibri"/>
              <sz val="10"/>
            </rPr>
            <t xml:space="preserve"> Designer
</t>
          </r>
          <r>
            <rPr>
              <rFont val="Calibri"/>
              <b val="1"/>
              <sz val="10"/>
            </rPr>
            <t>At peers:</t>
          </r>
          <r>
            <rPr>
              <rFont val="Calibri"/>
              <sz val="10"/>
            </rPr>
            <t xml:space="preserve"> IRIS Vs Competitor Benchmark — UX / design ladder: Designer
</t>
          </r>
          <r>
            <rPr>
              <rFont val="Calibri"/>
              <b val="1"/>
              <sz val="10"/>
            </rPr>
            <t>Typical experience:</t>
          </r>
          <r>
            <rPr>
              <rFont val="Calibri"/>
              <sz val="10"/>
            </rPr>
            <t xml:space="preserve"> 2–5 yrs · IRIS guide 2–4
</t>
          </r>
          <r>
            <rPr>
              <rFont val="Calibri"/>
              <b val="1"/>
              <sz val="10"/>
            </rPr>
            <t>Standard:</t>
          </r>
          <r>
            <rPr>
              <rFont val="Calibri"/>
              <sz val="10"/>
            </rPr>
            <t xml:space="preserve"> UX career ladder Junior → Designer → Senior → Lead → Principal; WCAG accessibility</t>
          </r>
        </is>
      </c>
      <c r="BF49" s="134" t="inlineStr">
        <is>
          <t>High</t>
        </is>
      </c>
      <c r="BG49" s="134" t="inlineStr"/>
      <c r="BH49" s="134" t="inlineStr"/>
      <c r="BI49" s="135" t="n"/>
      <c r="BJ49" s="136" t="n"/>
      <c r="BK49" s="136" t="n"/>
      <c r="BL49" s="136" t="n"/>
      <c r="BM49" s="136" t="n"/>
      <c r="BN49" s="137" t="n"/>
      <c r="BO49" s="120" t="n"/>
      <c r="BP49" s="120" t="n"/>
      <c r="BQ49" s="120" t="n"/>
      <c r="BR49" s="120" t="n"/>
      <c r="BS49" s="120" t="n"/>
      <c r="BT49" s="120" t="n"/>
      <c r="BU49" s="120" t="n"/>
      <c r="BV49" s="120" t="n">
        <v>3.5</v>
      </c>
    </row>
    <row r="50" ht="340" customHeight="1">
      <c r="A50" s="109" t="inlineStr">
        <is>
          <t>IRIS2190</t>
        </is>
      </c>
      <c r="B50" s="110" t="inlineStr">
        <is>
          <t>Esther Kanagaselvam D</t>
        </is>
      </c>
      <c r="C50" s="111" t="inlineStr">
        <is>
          <t>Marketing</t>
        </is>
      </c>
      <c r="D50" s="111" t="inlineStr">
        <is>
          <t>Abhilash Menon</t>
        </is>
      </c>
      <c r="E50" s="112" t="n">
        <v>5.5</v>
      </c>
      <c r="F50" s="112" t="n">
        <v>3</v>
      </c>
      <c r="G50" s="111" t="inlineStr">
        <is>
          <t>B.E</t>
        </is>
      </c>
      <c r="H50" s="138" t="inlineStr">
        <is>
          <t>Executive Lead Generation and Database</t>
        </is>
      </c>
      <c r="I50" s="115" t="inlineStr">
        <is>
          <t>Senior Marketing Operations Associate</t>
        </is>
      </c>
      <c r="J50" s="114" t="inlineStr">
        <is>
          <t>Marketing &amp; Communications</t>
        </is>
      </c>
      <c r="K50" s="114" t="inlineStr">
        <is>
          <t>Marketing Operations &amp; Automation</t>
        </is>
      </c>
      <c r="L50" s="115" t="inlineStr">
        <is>
          <t>L5 – Lead · IC</t>
        </is>
      </c>
      <c r="M50" s="116" t="inlineStr">
        <is>
          <t>A3</t>
        </is>
      </c>
      <c r="N50" s="139" t="inlineStr">
        <is>
          <t>Senior Associate</t>
        </is>
      </c>
      <c r="O50" s="26" t="inlineStr">
        <is>
          <t>A</t>
        </is>
      </c>
      <c r="P50" s="114" t="inlineStr">
        <is>
          <t>IC</t>
        </is>
      </c>
      <c r="Q50" s="148" t="inlineStr">
        <is>
          <t>▼ Down · protected</t>
        </is>
      </c>
      <c r="R50" s="118" t="inlineStr">
        <is>
          <r>
            <rPr>
              <rFont val="Calibri"/>
              <b val="1"/>
              <sz val="10"/>
            </rPr>
            <t>WHAT THE ROLE DOES:</t>
          </r>
          <r>
            <rPr>
              <rFont val="Calibri"/>
              <sz val="10"/>
            </rPr>
            <t xml:space="preserve"> Maintains CRM/ICP data, marketing automation, reporting and dashboards. At A3: varied work; reviews juniors; go-to for a process.
</t>
          </r>
          <r>
            <rPr>
              <rFont val="Calibri"/>
              <b val="1"/>
              <sz val="10"/>
            </rPr>
            <t>Common themes in role-holders' answers:</t>
          </r>
          <r>
            <rPr>
              <rFont val="Calibri"/>
              <sz val="10"/>
            </rPr>
            <t xml:space="preserve"> business · management · crm · lead
</t>
          </r>
          <r>
            <rPr>
              <rFont val="Calibri"/>
              <b val="1"/>
              <sz val="10"/>
            </rPr>
            <t>KEY RESPONSIBILITIES:</t>
          </r>
          <r>
            <rPr>
              <rFont val="Calibri"/>
              <sz val="10"/>
            </rPr>
            <t xml:space="preserve"> Maintains CRM/ICP data, marketing automation, reporting and dashboards; Varied and non-standard work; handles exceptions; A module / process, or work with client or regulatory consequences
</t>
          </r>
          <r>
            <rPr>
              <rFont val="Calibri"/>
              <b val="1"/>
              <sz val="10"/>
            </rPr>
            <t>Common themes in role-holders' answers:</t>
          </r>
          <r>
            <rPr>
              <rFont val="Calibri"/>
              <sz val="10"/>
            </rPr>
            <t xml:space="preserve"> data · crm · lead routing · hygiene · campaign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data · lead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data · accuracy · crm · lead routing · reporting · leads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hygiene · data · crm · campaign
</t>
          </r>
          <r>
            <rPr>
              <rFont val="Calibri"/>
              <b val="1"/>
              <sz val="10"/>
            </rPr>
            <t>SKILLS &amp; KNOWLEDGE · role-holders:</t>
          </r>
          <r>
            <rPr>
              <rFont val="Calibri"/>
              <sz val="10"/>
            </rPr>
            <t xml:space="preserve"> Marketing
</t>
          </r>
          <r>
            <rPr>
              <rFont val="Calibri"/>
              <b val="1"/>
              <sz val="10"/>
            </rPr>
            <t>TOOLS &amp; SYSTEMS:</t>
          </r>
          <r>
            <rPr>
              <rFont val="Calibri"/>
              <sz val="10"/>
            </rPr>
            <t xml:space="preserve"> Google Ads · Google analytics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3 holders, 3 answered the survey; sub-family 6 answered; catalogue RC-122</t>
          </r>
        </is>
      </c>
      <c r="S50"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wasted · data · lead.
Manager talent mapping — Latest rating: 2 · Potential: Low · 9-Box Grid placement: Performance Risk.</t>
          </r>
        </is>
      </c>
      <c r="T50" s="120" t="n"/>
      <c r="U50" s="121" t="inlineStr">
        <is>
          <r>
            <rPr>
              <rFont val="Calibri"/>
              <sz val="10"/>
            </rPr>
            <t xml:space="preserve">Senior Marketing Operations Associate in Marketing · Corporate, A3 — IC.
</t>
          </r>
          <r>
            <rPr>
              <rFont val="Calibri"/>
              <b val="1"/>
              <sz val="10"/>
            </rPr>
            <t>The work:</t>
          </r>
          <r>
            <rPr>
              <rFont val="Calibri"/>
              <sz val="10"/>
            </rPr>
            <t xml:space="preserve"> Maintains CRM/ICP data, marketing automation, reporting and dashboards.
At this level the role owns varied work; reviews juniors; go-to for a process.
</t>
          </r>
          <r>
            <rPr>
              <rFont val="Calibri"/>
              <b val="1"/>
              <sz val="10"/>
            </rPr>
            <t>Key responsibilities:</t>
          </r>
          <r>
            <rPr>
              <rFont val="Calibri"/>
              <sz val="10"/>
            </rPr>
            <t xml:space="preserve"> Maintains CRM/ICP data, marketing automation, reporting and dashboards; Varied and non-standard work; handles exceptions; A module / process, or work with client or regulatory consequences.
</t>
          </r>
          <r>
            <rPr>
              <rFont val="Calibri"/>
              <b val="1"/>
              <sz val="10"/>
            </rPr>
            <t>Holders describe it with:</t>
          </r>
          <r>
            <rPr>
              <rFont val="Calibri"/>
              <sz val="10"/>
            </rPr>
            <t xml:space="preserve"> data · crm · lead routing · hygiene · campaign.</t>
          </r>
        </is>
      </c>
      <c r="V50" s="122" t="inlineStr">
        <is>
          <r>
            <rPr>
              <rFont val="Calibri"/>
              <b val="1"/>
              <sz val="10"/>
            </rPr>
            <t>Hire as:</t>
          </r>
          <r>
            <rPr>
              <rFont val="Calibri"/>
              <sz val="10"/>
            </rPr>
            <t xml:space="preserve"> Marketing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MBA · marketing
</t>
          </r>
          <r>
            <rPr>
              <rFont val="Calibri"/>
              <b val="1"/>
              <sz val="10"/>
            </rPr>
            <t>Equivalent titles at peers:</t>
          </r>
          <r>
            <rPr>
              <rFont val="Calibri"/>
              <sz val="10"/>
            </rPr>
            <t xml:space="preserve"> IRIS Vs Market Benchmark — CIM proficiency scale – 2–3 · IRIS Vs Competitor Benchmark — SaaS marketing ladder – Marketing Specialist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50" s="122" t="inlineStr">
        <is>
          <r>
            <rPr>
              <rFont val="Calibri"/>
              <sz val="10"/>
            </rPr>
            <t xml:space="preserve">FUNCTIONAL — skill level 3 of 5 · Practitioner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t>
          </r>
          <r>
            <rPr>
              <rFont val="Calibri"/>
              <b val="1"/>
              <sz val="10"/>
            </rPr>
            <t>TOOLS:</t>
          </r>
          <r>
            <rPr>
              <rFont val="Calibri"/>
              <sz val="10"/>
            </rPr>
            <t xml:space="preserve"> Google Ads · Google analytics
★ = must-have for the family. Scale: 1 Awareness · 2 Working · 3 Practitioner · 4 Advanced · 5 Expert.</t>
          </r>
        </is>
      </c>
      <c r="X50" s="122" t="inlineStr">
        <is>
          <r>
            <rPr>
              <rFont val="Calibri"/>
              <sz val="10"/>
            </rPr>
            <t xml:space="preserve">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50" s="123" t="inlineStr">
        <is>
          <t>Corporate · Marketing · Band A · Early career</t>
        </is>
      </c>
      <c r="Z50" s="124" t="n">
        <v>2.5</v>
      </c>
      <c r="AA50" s="125">
        <f>IFERROR(INDEX(WM_C,MATCH($Y50,WM_KEY,0)),"")</f>
        <v>0.54</v>
      </c>
      <c r="AB50" s="126">
        <f>IF(Z50="","",Z50*AA50)</f>
        <v>1.35</v>
      </c>
      <c r="AC50" s="124" t="n">
        <v>2.5</v>
      </c>
      <c r="AD50" s="125">
        <f>IFERROR(INDEX(WM_AU,MATCH($Y50,WM_KEY,0)),"")</f>
        <v>0.21</v>
      </c>
      <c r="AE50" s="126">
        <f>IF(AC50="","",AC50*AD50)</f>
        <v>0.525</v>
      </c>
      <c r="AF50" s="124" t="n">
        <v>2.5</v>
      </c>
      <c r="AG50" s="125">
        <f>IFERROR(INDEX(WM_AC,MATCH($Y50,WM_KEY,0)),"")</f>
        <v>0.04</v>
      </c>
      <c r="AH50" s="126">
        <f>IF(AF50="","",AF50*AG50)</f>
        <v>0.1</v>
      </c>
      <c r="AI50" s="124" t="n">
        <v>1</v>
      </c>
      <c r="AJ50" s="125">
        <f>IFERROR(INDEX(WM_L,MATCH($Y50,WM_KEY,0)),"")</f>
        <v>0</v>
      </c>
      <c r="AK50" s="126">
        <f>IF(AI50="","",AI50*AJ50)</f>
        <v>0</v>
      </c>
      <c r="AL50" s="124" t="n">
        <v>4</v>
      </c>
      <c r="AM50" s="125">
        <f>IFERROR(INDEX(WM_E,MATCH($Y50,WM_KEY,0)),"")</f>
        <v>0.1</v>
      </c>
      <c r="AN50" s="126">
        <f>IF(AL50="","",AL50*AM50)</f>
        <v>0.4</v>
      </c>
      <c r="AO50" s="127" t="n">
        <v>2.5</v>
      </c>
      <c r="AP50" s="125">
        <f>IFERROR(INDEX(WM_BI,MATCH($Y50,WM_KEY,0)),"")</f>
        <v>0.11</v>
      </c>
      <c r="AQ50" s="126">
        <f>IF(AO50="","",AO50*AP50)</f>
        <v>0.275</v>
      </c>
      <c r="AR50" s="126">
        <f>IF(COUNT(AB50,AE50,AH50,AK50,AN50,AQ50)&lt;6,"",SUM(AB50,AE50,AH50,AK50,AN50,AQ50))</f>
        <v>2.65</v>
      </c>
      <c r="AS50" s="128" t="str">
        <f>IF(AR50="","",INDEX({"A1","A2","A3","B1","B2","B3","C1","C2","D1","D2","E1","E2"},MAX(1,MIN(12,ROUND(AR50,0)))))</f>
        <v>A3</v>
      </c>
      <c r="AT50" s="129"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50" s="130" t="inlineStr">
        <is>
          <r>
            <rPr>
              <rFont val="Calibri"/>
              <b val="1"/>
              <sz val="10"/>
            </rPr>
            <t>At build:</t>
          </r>
          <r>
            <rPr>
              <rFont val="Calibri"/>
              <sz val="10"/>
            </rPr>
            <t xml:space="preserve"> Complexity 1.35 + Autonomy 0.53 + Accountability 0.10 + Leadership 0.00 + Experience 0.40 + Business impact 0.28
= 2.65 points → nearest level 3 = A3
</t>
          </r>
          <r>
            <rPr>
              <rFont val="Calibri"/>
              <b val="1"/>
              <sz val="10"/>
            </rPr>
            <t>Final level:</t>
          </r>
          <r>
            <rPr>
              <rFont val="Calibri"/>
              <sz val="10"/>
            </rPr>
            <t xml:space="preserve"> A3 · same as the score</t>
          </r>
        </is>
      </c>
      <c r="AV50" s="130" t="inlineStr">
        <is>
          <r>
            <rPr>
              <rFont val="Calibri"/>
              <b val="1"/>
              <sz val="10"/>
            </rPr>
            <t>No rule applied:</t>
          </r>
          <r>
            <rPr>
              <rFont val="Calibri"/>
              <sz val="10"/>
            </rPr>
            <t xml:space="preserve"> the score decides.</t>
          </r>
        </is>
      </c>
      <c r="AW50"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Configures Zoho CRM lead assignment rules, automation and UTM attribution; campaign lists and reports across units → moved up 0.5
</t>
          </r>
          <r>
            <rPr>
              <rFont val="Calibri"/>
              <b val="1"/>
              <sz val="10"/>
            </rPr>
            <t>KRA:</t>
          </r>
          <r>
            <rPr>
              <rFont val="Calibri"/>
              <sz val="10"/>
            </rPr>
            <t xml:space="preserve"> “1. Generate assigned number of qualified leads / SQLs per month · meet 100% of target 2. Maintain outbound activity volume · calls/emails…”
</t>
          </r>
          <r>
            <rPr>
              <rFont val="Calibri"/>
              <b val="1"/>
              <sz val="10"/>
            </rPr>
            <t>Market:</t>
          </r>
          <r>
            <rPr>
              <rFont val="Calibri"/>
              <sz val="10"/>
            </rPr>
            <t xml:space="preserve"> A2 = Standard work of the discipline · A3 = Varied and non-standard work; handles exceptions</t>
          </r>
        </is>
      </c>
      <c r="AX50"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Independently configures lead assignment rules, UTM tracking, marketing lists, data hygiene and reports → moved up 0.5
</t>
          </r>
          <r>
            <rPr>
              <rFont val="Calibri"/>
              <b val="1"/>
              <sz val="10"/>
            </rPr>
            <t>Market:</t>
          </r>
          <r>
            <rPr>
              <rFont val="Calibri"/>
              <sz val="10"/>
            </rPr>
            <t xml:space="preserve"> A2 = Chooses own approach within standards · A3 = Technical / QC / client calls on own work</t>
          </r>
        </is>
      </c>
      <c r="AY50"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own survey / KRA answers · summarised by the rater; not quoted → moved up 0.5
</t>
          </r>
          <r>
            <rPr>
              <rFont val="Calibri"/>
              <b val="1"/>
              <sz val="10"/>
            </rPr>
            <t>KRA:</t>
          </r>
          <r>
            <rPr>
              <rFont val="Calibri"/>
              <sz val="10"/>
            </rPr>
            <t xml:space="preserve"> “1. Generate assigned number of qualified leads / SQLs per month · meet 100% of target 2. Maintain outbound activity volume · calls/emails…”
</t>
          </r>
          <r>
            <rPr>
              <rFont val="Calibri"/>
              <b val="1"/>
              <sz val="10"/>
            </rPr>
            <t>Market:</t>
          </r>
          <r>
            <rPr>
              <rFont val="Calibri"/>
              <sz val="10"/>
            </rPr>
            <t xml:space="preserve"> A2 = Own deliverables · accuracy, TAT · A3 = A module / process, or work with client or regulatory consequences</t>
          </r>
        </is>
      </c>
      <c r="AZ50" s="132"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50" s="132" t="inlineStr">
        <is>
          <r>
            <rPr>
              <rFont val="Calibri"/>
              <sz val="10"/>
            </rPr>
            <t xml:space="preserve">Rated 4 of 12
</t>
          </r>
          <r>
            <rPr>
              <rFont val="Calibri"/>
              <b val="1"/>
              <sz val="10"/>
            </rPr>
            <t>Experience:</t>
          </r>
          <r>
            <rPr>
              <rFont val="Calibri"/>
              <sz val="10"/>
            </rPr>
            <t xml:space="preserve"> 5.5 yrs total · 2.5 before IRIS + 3.0 at IRIS = 4.0 on the experience scale
</t>
          </r>
          <r>
            <rPr>
              <rFont val="Calibri"/>
              <b val="1"/>
              <sz val="10"/>
            </rPr>
            <t>Qualification:</t>
          </r>
          <r>
            <rPr>
              <rFont val="Calibri"/>
              <sz val="10"/>
            </rPr>
            <t xml:space="preserve"> B.E · graduate → no change
</t>
          </r>
          <r>
            <rPr>
              <rFont val="Calibri"/>
              <b val="1"/>
              <sz val="10"/>
            </rPr>
            <t>Market:</t>
          </r>
          <r>
            <rPr>
              <rFont val="Calibri"/>
              <sz val="10"/>
            </rPr>
            <t xml:space="preserve"> A3 roles typically have 2–5 yrs · IRIS guide 2–4</t>
          </r>
        </is>
      </c>
      <c r="BB50"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50" s="133" t="inlineStr"/>
      <c r="BD50" s="134" t="inlineStr">
        <is>
          <t>✓ HRIS: 5.5 yrs, B.E, 0 direct reports
✓ Survey: 20 of 20 questions answered
✓ KRAs: self, manager-set, quarterly
✓ Manager mapping: rating, potential, 9-box
✗ Job description: not on file</t>
        </is>
      </c>
      <c r="BE50" s="134" t="inlineStr">
        <is>
          <r>
            <rPr>
              <rFont val="Calibri"/>
              <b val="1"/>
              <sz val="10"/>
            </rPr>
            <t>Market level:</t>
          </r>
          <r>
            <rPr>
              <rFont val="Calibri"/>
              <sz val="10"/>
            </rPr>
            <t xml:space="preserve"> P2 · SFIA 3 Apply
</t>
          </r>
          <r>
            <rPr>
              <rFont val="Calibri"/>
              <b val="1"/>
              <sz val="10"/>
            </rPr>
            <t>Typical title:</t>
          </r>
          <r>
            <rPr>
              <rFont val="Calibri"/>
              <sz val="10"/>
            </rPr>
            <t xml:space="preserve"> Marketing Executive
</t>
          </r>
          <r>
            <rPr>
              <rFont val="Calibri"/>
              <b val="1"/>
              <sz val="10"/>
            </rPr>
            <t>At peers:</t>
          </r>
          <r>
            <rPr>
              <rFont val="Calibri"/>
              <sz val="10"/>
            </rPr>
            <t xml:space="preserve"> IRIS Vs Market Benchmark — CIM proficiency scale: 2–3 · IRIS Vs Competitor Benchmark — SaaS marketing ladder: Marketing Specialist
</t>
          </r>
          <r>
            <rPr>
              <rFont val="Calibri"/>
              <b val="1"/>
              <sz val="10"/>
            </rPr>
            <t>Typical experience:</t>
          </r>
          <r>
            <rPr>
              <rFont val="Calibri"/>
              <sz val="10"/>
            </rPr>
            <t xml:space="preserve"> 2–5 yrs · IRIS guide 2–4
</t>
          </r>
          <r>
            <rPr>
              <rFont val="Calibri"/>
              <b val="1"/>
              <sz val="10"/>
            </rPr>
            <t>Standard:</t>
          </r>
          <r>
            <rPr>
              <rFont val="Calibri"/>
              <sz val="10"/>
            </rPr>
            <t xml:space="preserve"> CIM Global Professional Marketing Framework — proficiency Aware → Active learner → Able → Accomplished → Authoritative</t>
          </r>
        </is>
      </c>
      <c r="BF50" s="134" t="inlineStr">
        <is>
          <t>High</t>
        </is>
      </c>
      <c r="BG50" s="134" t="inlineStr">
        <is>
          <t>• Final level A3 is below the current level · L5 ≈ B3 — manager to confirm the scope of the role; pay and title are protected for one cycle</t>
        </is>
      </c>
      <c r="BH50" s="134" t="inlineStr"/>
      <c r="BI50" s="135" t="n"/>
      <c r="BJ50" s="136" t="n"/>
      <c r="BK50" s="136" t="n"/>
      <c r="BL50" s="136" t="n"/>
      <c r="BM50" s="136" t="n"/>
      <c r="BN50" s="137" t="n"/>
      <c r="BO50" s="120" t="n"/>
      <c r="BP50" s="120" t="n"/>
      <c r="BQ50" s="120" t="n"/>
      <c r="BR50" s="120" t="n"/>
      <c r="BS50" s="120" t="n"/>
      <c r="BT50" s="120" t="n"/>
      <c r="BU50" s="120" t="n"/>
      <c r="BV50" s="120" t="n">
        <v>2.5</v>
      </c>
    </row>
    <row r="51" ht="340" customHeight="1">
      <c r="A51" s="109" t="inlineStr">
        <is>
          <t>IRIS1914</t>
        </is>
      </c>
      <c r="B51" s="110" t="inlineStr">
        <is>
          <t>Santosh Sharma</t>
        </is>
      </c>
      <c r="C51" s="111" t="inlineStr">
        <is>
          <t>Secretarial &amp; Legal</t>
        </is>
      </c>
      <c r="D51" s="111" t="inlineStr">
        <is>
          <t>Balachandran K</t>
        </is>
      </c>
      <c r="E51" s="112" t="n">
        <v>15.3</v>
      </c>
      <c r="F51" s="112" t="n">
        <v>5.3</v>
      </c>
      <c r="G51" s="111" t="inlineStr">
        <is>
          <t>LLB</t>
        </is>
      </c>
      <c r="H51" s="138" t="inlineStr">
        <is>
          <t>Company Secretary</t>
        </is>
      </c>
      <c r="I51" s="115" t="inlineStr">
        <is>
          <t>Company Secretary – POD Lead</t>
        </is>
      </c>
      <c r="J51" s="114" t="inlineStr">
        <is>
          <t>Administration, Legal &amp; Secretarial</t>
        </is>
      </c>
      <c r="K51" s="114" t="inlineStr">
        <is>
          <t>Company Secretarial &amp; Legal</t>
        </is>
      </c>
      <c r="L51" s="115" t="inlineStr">
        <is>
          <t>Not in current mapping files</t>
        </is>
      </c>
      <c r="M51" s="116" t="inlineStr">
        <is>
          <t>C1</t>
        </is>
      </c>
      <c r="N51" s="146" t="inlineStr">
        <is>
          <t>Principal · POD Lead</t>
        </is>
      </c>
      <c r="O51" s="33" t="inlineStr">
        <is>
          <t>C</t>
        </is>
      </c>
      <c r="P51" s="114" t="inlineStr">
        <is>
          <t>POD Lead</t>
        </is>
      </c>
      <c r="Q51" s="117" t="inlineStr">
        <is>
          <t>● Newly mapped</t>
        </is>
      </c>
      <c r="R51" s="118" t="inlineStr">
        <is>
          <r>
            <rPr>
              <rFont val="Calibri"/>
              <b val="1"/>
              <sz val="10"/>
            </rPr>
            <t>WHAT THE ROLE DOES:</t>
          </r>
          <r>
            <rPr>
              <rFont val="Calibri"/>
              <sz val="10"/>
            </rPr>
            <t xml:space="preserve"> Handles statutory filings, board matters, contracts and legal compliance. At C1: a sub-function, or principal authority across products.
</t>
          </r>
          <r>
            <rPr>
              <rFont val="Calibri"/>
              <b val="1"/>
              <sz val="10"/>
            </rPr>
            <t>KEY RESPONSIBILITIES:</t>
          </r>
          <r>
            <rPr>
              <rFont val="Calibri"/>
              <sz val="10"/>
            </rPr>
            <t xml:space="preserve"> Handles statutory filings, board matters, contracts and legal compliance; Ambiguous, cross-product problems; Sub-function results or domain quality across products
</t>
          </r>
          <r>
            <rPr>
              <rFont val="Calibri"/>
              <b val="1"/>
              <sz val="10"/>
            </rPr>
            <t>DELIVERS:</t>
          </r>
          <r>
            <rPr>
              <rFont val="Calibri"/>
              <sz val="10"/>
            </rPr>
            <t xml:space="preserve"> Sub-function results or domain quality across products
</t>
          </r>
          <r>
            <rPr>
              <rFont val="Calibri"/>
              <b val="1"/>
              <sz val="10"/>
            </rPr>
            <t>DECIDES ALONE:</t>
          </r>
          <r>
            <rPr>
              <rFont val="Calibri"/>
              <sz val="10"/>
            </rPr>
            <t xml:space="preserve"> Sets direction for a sub-function or domain
</t>
          </r>
          <r>
            <rPr>
              <rFont val="Calibri"/>
              <b val="1"/>
              <sz val="10"/>
            </rPr>
            <t>SKILLS &amp; KNOWLEDGE · role-holders:</t>
          </r>
          <r>
            <rPr>
              <rFont val="Calibri"/>
              <sz val="10"/>
            </rPr>
            <t xml:space="preserve"> Secretarial · Legal
COMPETENCIES REQUIRED — must-have ★: Regulatory &amp; BFSI Domain · Stakeholder &amp; Client Management
</t>
          </r>
          <r>
            <rPr>
              <rFont val="Calibri"/>
              <b val="1"/>
              <sz val="10"/>
            </rPr>
            <t>OTHER FUNCTIONAL COMPETENCIES:</t>
          </r>
          <r>
            <rPr>
              <rFont val="Calibri"/>
              <sz val="10"/>
            </rPr>
            <t xml:space="preserve"> Process Improvement &amp; Quality Mindset · Advanced Excel &amp; Productivity Tools · Communication &amp; Presentation · Time, Priority &amp; Self-Management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Domain certifications · optional
</t>
          </r>
          <r>
            <rPr>
              <rFont val="Calibri"/>
              <b val="1"/>
              <sz val="10"/>
            </rPr>
            <t>SOURCE:</t>
          </r>
          <r>
            <rPr>
              <rFont val="Calibri"/>
              <sz val="10"/>
            </rPr>
            <t xml:space="preserve"> Framework only · fewer than 3 answered — 1 holder, 0 answered the survey; sub-family 2 answered; catalogue RC-006</t>
          </r>
        </is>
      </c>
      <c r="S51" s="119"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5.5 of 12 · B3-level impact.
Leads 2 direct reports.
Manager talent mapping — Latest rating: Not rated · manager · 9-Box Grid placement: Not placed · manager.</t>
          </r>
        </is>
      </c>
      <c r="T51" s="120" t="n"/>
      <c r="U51" s="121" t="inlineStr">
        <is>
          <r>
            <rPr>
              <rFont val="Calibri"/>
              <sz val="10"/>
            </rPr>
            <t xml:space="preserve">Company Secretary – POD Lead in Secretarial &amp; Legal · Corporate, C1 — POD Lead.
</t>
          </r>
          <r>
            <rPr>
              <rFont val="Calibri"/>
              <b val="1"/>
              <sz val="10"/>
            </rPr>
            <t>The work:</t>
          </r>
          <r>
            <rPr>
              <rFont val="Calibri"/>
              <sz val="10"/>
            </rPr>
            <t xml:space="preserve"> Handles statutory filings, board matters, contracts and legal compliance.
At this level the role owns a sub-function, or principal authority across products.
</t>
          </r>
          <r>
            <rPr>
              <rFont val="Calibri"/>
              <b val="1"/>
              <sz val="10"/>
            </rPr>
            <t>Key responsibilities:</t>
          </r>
          <r>
            <rPr>
              <rFont val="Calibri"/>
              <sz val="10"/>
            </rPr>
            <t xml:space="preserve"> Handles statutory filings, board matters, contracts and legal compliance; Ambiguous, cross-product problems; Sub-function results or domain quality across products.
Leads 2 direct reports.</t>
          </r>
        </is>
      </c>
      <c r="V51" s="122" t="inlineStr">
        <is>
          <r>
            <rPr>
              <rFont val="Calibri"/>
              <b val="1"/>
              <sz val="10"/>
            </rPr>
            <t>Hire as:</t>
          </r>
          <r>
            <rPr>
              <rFont val="Calibri"/>
              <sz val="10"/>
            </rPr>
            <t xml:space="preserve"> — — IRIS C1 Principal · POD Lead · POD Lead
</t>
          </r>
          <r>
            <rPr>
              <rFont val="Calibri"/>
              <b val="1"/>
              <sz val="10"/>
            </rPr>
            <t>Market level:</t>
          </r>
          <r>
            <rPr>
              <rFont val="Calibri"/>
              <sz val="10"/>
            </rPr>
            <t xml:space="preserve"> P6 / M5 · SFIA 5–6
</t>
          </r>
          <r>
            <rPr>
              <rFont val="Calibri"/>
              <b val="1"/>
              <sz val="10"/>
            </rPr>
            <t>Experience:</t>
          </r>
          <r>
            <rPr>
              <rFont val="Calibri"/>
              <sz val="10"/>
            </rPr>
            <t xml:space="preserve"> 10–14 yrs · Education: Graduate; ICSI · CS / LLB for secretarial &amp; legal
</t>
          </r>
          <r>
            <rPr>
              <rFont val="Calibri"/>
              <b val="1"/>
              <sz val="10"/>
            </rPr>
            <t>Equivalent titles at peers:</t>
          </r>
          <r>
            <rPr>
              <rFont val="Calibri"/>
              <sz val="10"/>
            </rPr>
            <t xml:space="preserve"> IRIS Vs Competitor Benchmark — corporate services ladder – Company Secretary
</t>
          </r>
          <r>
            <rPr>
              <rFont val="Calibri"/>
              <b val="1"/>
              <sz val="10"/>
            </rPr>
            <t>Credentials:</t>
          </r>
          <r>
            <rPr>
              <rFont val="Calibri"/>
              <sz val="10"/>
            </rPr>
            <t xml:space="preserve"> Domain certifications · optional
</t>
          </r>
          <r>
            <rPr>
              <rFont val="Calibri"/>
              <b val="1"/>
              <sz val="10"/>
            </rPr>
            <t>Must already know:</t>
          </r>
          <r>
            <rPr>
              <rFont val="Calibri"/>
              <sz val="10"/>
            </rPr>
            <t xml:space="preserve"> Companies Act / statutory filings; vendor contracts</t>
          </r>
        </is>
      </c>
      <c r="W51" s="122" t="inlineStr">
        <is>
          <r>
            <rPr>
              <rFont val="Calibri"/>
              <sz val="10"/>
            </rPr>
            <t xml:space="preserve">FUNCTIONAL — skill level 4 of 5 · Advanced
 ★ Regulatory &amp; BFSI Domain: Interprets new regulation; advises clients and product
 ★ Stakeholder &amp; Client Management: Owns key relationships; resolves escalations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Communication &amp; Presentation:</t>
          </r>
          <r>
            <rPr>
              <rFont val="Calibri"/>
              <sz val="10"/>
            </rPr>
            <t xml:space="preserve"> Presents to senior stakeholders; shapes messaging
 • </t>
          </r>
          <r>
            <rPr>
              <rFont val="Calibri"/>
              <b val="1"/>
              <sz val="10"/>
            </rPr>
            <t>Time, Priority &amp; Self-Management:</t>
          </r>
          <r>
            <rPr>
              <rFont val="Calibri"/>
              <sz val="10"/>
            </rPr>
            <t xml:space="preserve"> Plans team capacity and peak-season loads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Secretarial · Legal
★ = must-have for the family. Scale: 1 Awareness · 2 Working · 3 Practitioner · 4 Advanced · 5 Expert.</t>
          </r>
        </is>
      </c>
      <c r="X51" s="122" t="inlineStr">
        <is>
          <r>
            <rPr>
              <rFont val="Calibri"/>
              <sz val="10"/>
            </rPr>
            <t xml:space="preserve">Draft — generated from the framework; hiring-manager review pending · HR Super Master, sheet T5.
1. [Regulatory &amp; BFSI Domain · level 4] Tell me about recent work that shows this: "Interprets new regulation; advises clients and product". What exactly did you do, how, and what was the result? Assess with: Domain interview.
2. [Stakeholder &amp; Client Management · level 4] Tell me about recent work that shows this: "Owns key relationships; resolves escalations". What exactly did you do, how, and what was the result? Assess with: Role play / behavioural interview.
3. [Process Improvement &amp; Quality Mindset · level 4] Give an example that shows you can do this: "Redesigns team processes; reduces error rates measurably". Assess with: Work sample / case.
4. [Advanced Excel &amp; Productivity Tools · level 4] Give an example that shows you can do this: "Builds templates and automation used by the team". Assess with: Practical test.
5. [Communication &amp; Presentation · level 4] Give an example that shows you can do this: "Presents to senior stakeholders; shapes messaging". Assess with: Presentation / writing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51" s="123" t="inlineStr">
        <is>
          <t>Corporate · Secretarial &amp; Legal · Band C · Principal expert</t>
        </is>
      </c>
      <c r="Z51" s="124" t="n">
        <v>7</v>
      </c>
      <c r="AA51" s="125">
        <f>IFERROR(INDEX(WM_C,MATCH($Y51,WM_KEY,0)),"")</f>
        <v>0.49</v>
      </c>
      <c r="AB51" s="126">
        <f>IF(Z51="","",Z51*AA51)</f>
        <v>3.43</v>
      </c>
      <c r="AC51" s="124" t="n">
        <v>7</v>
      </c>
      <c r="AD51" s="125">
        <f>IFERROR(INDEX(WM_AU,MATCH($Y51,WM_KEY,0)),"")</f>
        <v>0.18</v>
      </c>
      <c r="AE51" s="126">
        <f>IF(AC51="","",AC51*AD51)</f>
        <v>1.26</v>
      </c>
      <c r="AF51" s="124" t="n">
        <v>5.5</v>
      </c>
      <c r="AG51" s="125">
        <f>IFERROR(INDEX(WM_AC,MATCH($Y51,WM_KEY,0)),"")</f>
        <v>0.1</v>
      </c>
      <c r="AH51" s="126">
        <f>IF(AF51="","",AF51*AG51)</f>
        <v>0.55</v>
      </c>
      <c r="AI51" s="124" t="n">
        <v>6</v>
      </c>
      <c r="AJ51" s="125">
        <f>IFERROR(INDEX(WM_L,MATCH($Y51,WM_KEY,0)),"")</f>
        <v>0.05</v>
      </c>
      <c r="AK51" s="126">
        <f>IF(AI51="","",AI51*AJ51)</f>
        <v>0.3</v>
      </c>
      <c r="AL51" s="124" t="n">
        <v>9.5</v>
      </c>
      <c r="AM51" s="125">
        <f>IFERROR(INDEX(WM_E,MATCH($Y51,WM_KEY,0)),"")</f>
        <v>0.1</v>
      </c>
      <c r="AN51" s="126">
        <f>IF(AL51="","",AL51*AM51)</f>
        <v>0.95</v>
      </c>
      <c r="AO51" s="127" t="n">
        <v>5.5</v>
      </c>
      <c r="AP51" s="125">
        <f>IFERROR(INDEX(WM_BI,MATCH($Y51,WM_KEY,0)),"")</f>
        <v>0.08</v>
      </c>
      <c r="AQ51" s="126">
        <f>IF(AO51="","",AO51*AP51)</f>
        <v>0.44</v>
      </c>
      <c r="AR51" s="126">
        <f>IF(COUNT(AB51,AE51,AH51,AK51,AN51,AQ51)&lt;6,"",SUM(AB51,AE51,AH51,AK51,AN51,AQ51))</f>
        <v>6.93</v>
      </c>
      <c r="AS51" s="128" t="str">
        <f>IF(AR51="","",INDEX({"A1","A2","A3","B1","B2","B3","C1","C2","D1","D2","E1","E2"},MAX(1,MIN(12,ROUND(AR51,0)))))</f>
        <v>C1</v>
      </c>
      <c r="AT51" s="129" t="inlineStr">
        <is>
          <r>
            <rPr>
              <rFont val="Calibri"/>
              <b val="1"/>
              <sz val="10"/>
            </rPr>
            <t>Weights:</t>
          </r>
          <r>
            <rPr>
              <rFont val="Calibri"/>
              <sz val="10"/>
            </rPr>
            <t xml:space="preserve"> Complexity 49% · Autonomy 18% · Accountability 10% · Experience 10% · Business impact 8% · Leadership 5%
</t>
          </r>
          <r>
            <rPr>
              <rFont val="Calibri"/>
              <b val="1"/>
              <sz val="10"/>
            </rPr>
            <t>Why:</t>
          </r>
          <r>
            <rPr>
              <rFont val="Calibri"/>
              <sz val="10"/>
            </rPr>
            <t xml:space="preserve"> a principal is judged mainly on expertise across products; experience counts only 5%.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51" s="130" t="inlineStr">
        <is>
          <r>
            <rPr>
              <rFont val="Calibri"/>
              <b val="1"/>
              <sz val="10"/>
            </rPr>
            <t>At build:</t>
          </r>
          <r>
            <rPr>
              <rFont val="Calibri"/>
              <sz val="10"/>
            </rPr>
            <t xml:space="preserve"> Complexity 3.43 + Autonomy 1.26 + Accountability 0.55 + Leadership 0.30 + Experience 0.95 + Business impact 0.44
= 6.93 points → nearest level 7 = C1
</t>
          </r>
          <r>
            <rPr>
              <rFont val="Calibri"/>
              <b val="1"/>
              <sz val="10"/>
            </rPr>
            <t>Final level:</t>
          </r>
          <r>
            <rPr>
              <rFont val="Calibri"/>
              <sz val="10"/>
            </rPr>
            <t xml:space="preserve"> C1 · same as the score</t>
          </r>
        </is>
      </c>
      <c r="AV51" s="130" t="inlineStr">
        <is>
          <r>
            <rPr>
              <rFont val="Calibri"/>
              <b val="1"/>
              <sz val="10"/>
            </rPr>
            <t>No rule applied:</t>
          </r>
          <r>
            <rPr>
              <rFont val="Calibri"/>
              <sz val="10"/>
            </rPr>
            <t xml:space="preserve"> the score decides.</t>
          </r>
        </is>
      </c>
      <c r="AW51" s="140" t="inlineStr">
        <is>
          <r>
            <rPr>
              <rFont val="Calibri"/>
              <color rgb="009C0006"/>
              <sz val="10"/>
            </rPr>
            <t xml:space="preserve">Rated 7 of 12
</t>
          </r>
          <r>
            <rPr>
              <rFont val="Calibri"/>
              <b val="1"/>
              <color rgb="009C0006"/>
              <sz val="10"/>
            </rPr>
            <t>Start:</t>
          </r>
          <r>
            <rPr>
              <rFont val="Calibri"/>
              <color rgb="009C0006"/>
              <sz val="10"/>
            </rPr>
            <t xml:space="preserve"> 7.0 · principal / architect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C1 = Ambiguous, cross-product problems</t>
          </r>
        </is>
      </c>
      <c r="AX51" s="141" t="inlineStr">
        <is>
          <r>
            <rPr>
              <rFont val="Calibri"/>
              <color rgb="009C0006"/>
              <sz val="10"/>
            </rPr>
            <t xml:space="preserve">Rated 7 of 12
</t>
          </r>
          <r>
            <rPr>
              <rFont val="Calibri"/>
              <b val="1"/>
              <color rgb="009C0006"/>
              <sz val="10"/>
            </rPr>
            <t>Start:</t>
          </r>
          <r>
            <rPr>
              <rFont val="Calibri"/>
              <color rgb="009C0006"/>
              <sz val="10"/>
            </rPr>
            <t xml:space="preserve"> 7.0 · principal / architect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C1 = Sets direction for a sub-function or domain</t>
          </r>
        </is>
      </c>
      <c r="AY51" s="141" t="inlineStr">
        <is>
          <r>
            <rPr>
              <rFont val="Calibri"/>
              <color rgb="009C0006"/>
              <sz val="10"/>
            </rPr>
            <t xml:space="preserve">Rated 5.5 of 12 · between B2 and B3
</t>
          </r>
          <r>
            <rPr>
              <rFont val="Calibri"/>
              <b val="1"/>
              <color rgb="009C0006"/>
              <sz val="10"/>
            </rPr>
            <t>Start:</t>
          </r>
          <r>
            <rPr>
              <rFont val="Calibri"/>
              <color rgb="009C0006"/>
              <sz val="10"/>
            </rPr>
            <t xml:space="preserve"> 5.5 · principal / architect title; 2 direct reports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B2 = One team or a client portfolio · B3 = Several teams or a practice</t>
          </r>
        </is>
      </c>
      <c r="AZ51" s="141" t="inlineStr">
        <is>
          <r>
            <rPr>
              <rFont val="Calibri"/>
              <color rgb="009C0006"/>
              <sz val="10"/>
            </rPr>
            <t xml:space="preserve">Rated 6 of 12
</t>
          </r>
          <r>
            <rPr>
              <rFont val="Calibri"/>
              <b val="1"/>
              <color rgb="009C0006"/>
              <sz val="10"/>
            </rPr>
            <t>Start:</t>
          </r>
          <r>
            <rPr>
              <rFont val="Calibri"/>
              <color rgb="009C0006"/>
              <sz val="10"/>
            </rPr>
            <t xml:space="preserve"> 6.0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2 direct reports · POD Lead
</t>
          </r>
          <r>
            <rPr>
              <rFont val="Calibri"/>
              <b val="1"/>
              <color rgb="009C0006"/>
              <sz val="10"/>
            </rPr>
            <t>Market:</t>
          </r>
          <r>
            <rPr>
              <rFont val="Calibri"/>
              <color rgb="009C0006"/>
              <sz val="10"/>
            </rPr>
            <t xml:space="preserve"> B3 = IC: leads a practice · People: team leads / managers report in</t>
          </r>
        </is>
      </c>
      <c r="BA51" s="132" t="inlineStr">
        <is>
          <r>
            <rPr>
              <rFont val="Calibri"/>
              <sz val="10"/>
            </rPr>
            <t xml:space="preserve">Rated 9.5 of 12 · between D1 and D2
</t>
          </r>
          <r>
            <rPr>
              <rFont val="Calibri"/>
              <b val="1"/>
              <sz val="10"/>
            </rPr>
            <t>Experience:</t>
          </r>
          <r>
            <rPr>
              <rFont val="Calibri"/>
              <sz val="10"/>
            </rPr>
            <t xml:space="preserve"> 15.3 yrs total · 10.0 before IRIS + 5.3 at IRIS = 8.3 on the experience scale
</t>
          </r>
          <r>
            <rPr>
              <rFont val="Calibri"/>
              <b val="1"/>
              <sz val="10"/>
            </rPr>
            <t>Qualification:</t>
          </r>
          <r>
            <rPr>
              <rFont val="Calibri"/>
              <sz val="10"/>
            </rPr>
            <t xml:space="preserve"> LLB · professional, relevant to the work → +1.0
</t>
          </r>
          <r>
            <rPr>
              <rFont val="Calibri"/>
              <b val="1"/>
              <sz val="10"/>
            </rPr>
            <t>Market:</t>
          </r>
          <r>
            <rPr>
              <rFont val="Calibri"/>
              <sz val="10"/>
            </rPr>
            <t xml:space="preserve"> C1 roles typically have 12–17 yrs · IRIS guide 10–14</t>
          </r>
        </is>
      </c>
      <c r="BB51" s="132" t="inlineStr">
        <is>
          <r>
            <rPr>
              <rFont val="Calibri"/>
              <sz val="10"/>
            </rPr>
            <t xml:space="preserve">Rated 5.5 of 12 — a starting estimate.
</t>
          </r>
          <r>
            <rPr>
              <rFont val="Calibri"/>
              <b val="1"/>
              <sz val="10"/>
            </rPr>
            <t>Start:</t>
          </r>
          <r>
            <rPr>
              <rFont val="Calibri"/>
              <sz val="10"/>
            </rPr>
            <t xml:space="preserve"> 5.5,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51" s="142" t="inlineStr">
        <is>
          <t>• Survey response or KRAs describing the work · nothing on file — Employee + manager</t>
        </is>
      </c>
      <c r="BD51" s="134" t="inlineStr">
        <is>
          <t>✓ HRIS: 15.3 yrs, LLB, 2 direct reports
✗ Survey: no response
✗ KRAs: none on file
✓ Manager mapping: rating, 9-box
✗ Job description: not on file</t>
        </is>
      </c>
      <c r="BE51" s="134" t="inlineStr">
        <is>
          <r>
            <rPr>
              <rFont val="Calibri"/>
              <b val="1"/>
              <sz val="10"/>
            </rPr>
            <t>Market level:</t>
          </r>
          <r>
            <rPr>
              <rFont val="Calibri"/>
              <sz val="10"/>
            </rPr>
            <t xml:space="preserve"> P6 / M5 · SFIA 5–6
</t>
          </r>
          <r>
            <rPr>
              <rFont val="Calibri"/>
              <b val="1"/>
              <sz val="10"/>
            </rPr>
            <t>Typical title:</t>
          </r>
          <r>
            <rPr>
              <rFont val="Calibri"/>
              <sz val="10"/>
            </rPr>
            <t xml:space="preserve"> —
</t>
          </r>
          <r>
            <rPr>
              <rFont val="Calibri"/>
              <b val="1"/>
              <sz val="10"/>
            </rPr>
            <t>At peers:</t>
          </r>
          <r>
            <rPr>
              <rFont val="Calibri"/>
              <sz val="10"/>
            </rPr>
            <t xml:space="preserve"> IRIS Vs Competitor Benchmark — corporate services ladder: Company Secretary
</t>
          </r>
          <r>
            <rPr>
              <rFont val="Calibri"/>
              <b val="1"/>
              <sz val="10"/>
            </rPr>
            <t>Typical experience:</t>
          </r>
          <r>
            <rPr>
              <rFont val="Calibri"/>
              <sz val="10"/>
            </rPr>
            <t xml:space="preserve"> 12–17 yrs · IRIS guide 10–14
</t>
          </r>
          <r>
            <rPr>
              <rFont val="Calibri"/>
              <b val="1"/>
              <sz val="10"/>
            </rPr>
            <t>Standard:</t>
          </r>
          <r>
            <rPr>
              <rFont val="Calibri"/>
              <sz val="10"/>
            </rPr>
            <t xml:space="preserve"> ICSI; Companies Act 2013</t>
          </r>
        </is>
      </c>
      <c r="BF51" s="134" t="inlineStr">
        <is>
          <t>Low</t>
        </is>
      </c>
      <c r="BG51" s="134" t="inlineStr">
        <is>
          <t>• No survey answers or KRA — the role factors rest on designation and reporting lines only</t>
        </is>
      </c>
      <c r="BH51" s="134" t="inlineStr"/>
      <c r="BI51" s="135" t="n"/>
      <c r="BJ51" s="136" t="n"/>
      <c r="BK51" s="136" t="n"/>
      <c r="BL51" s="136" t="n"/>
      <c r="BM51" s="136" t="n"/>
      <c r="BN51" s="137" t="n"/>
      <c r="BO51" s="120" t="n"/>
      <c r="BP51" s="120" t="n"/>
      <c r="BQ51" s="120" t="n"/>
      <c r="BR51" s="120" t="n"/>
      <c r="BS51" s="120" t="n"/>
      <c r="BT51" s="120" t="n"/>
      <c r="BU51" s="120" t="n"/>
      <c r="BV51" s="120" t="n">
        <v>5.5</v>
      </c>
    </row>
    <row r="52" ht="340" customHeight="1">
      <c r="A52" s="109" t="inlineStr">
        <is>
          <t>IRIS2290</t>
        </is>
      </c>
      <c r="B52" s="110" t="inlineStr">
        <is>
          <t>Melita Suares</t>
        </is>
      </c>
      <c r="C52" s="111" t="inlineStr">
        <is>
          <t>Secretarial &amp; Legal</t>
        </is>
      </c>
      <c r="D52" s="111" t="inlineStr">
        <is>
          <t>Santosh Sharma</t>
        </is>
      </c>
      <c r="E52" s="112" t="n">
        <v>5.4</v>
      </c>
      <c r="F52" s="112" t="n">
        <v>2.2</v>
      </c>
      <c r="G52" s="111" t="inlineStr">
        <is>
          <t>ICSI Marsheets</t>
        </is>
      </c>
      <c r="H52" s="138" t="inlineStr">
        <is>
          <t>Executive - Secretarial and Legal</t>
        </is>
      </c>
      <c r="I52" s="115" t="inlineStr">
        <is>
          <t>Senior Secretarial Executive</t>
        </is>
      </c>
      <c r="J52" s="114" t="inlineStr">
        <is>
          <t>Administration, Legal &amp; Secretarial</t>
        </is>
      </c>
      <c r="K52" s="114" t="inlineStr">
        <is>
          <t>Company Secretarial &amp; Legal</t>
        </is>
      </c>
      <c r="L52" s="115" t="inlineStr">
        <is>
          <t>Not in current mapping files</t>
        </is>
      </c>
      <c r="M52" s="116" t="inlineStr">
        <is>
          <t>A3</t>
        </is>
      </c>
      <c r="N52" s="139" t="inlineStr">
        <is>
          <t>Senior Associate</t>
        </is>
      </c>
      <c r="O52" s="26" t="inlineStr">
        <is>
          <t>A</t>
        </is>
      </c>
      <c r="P52" s="114" t="inlineStr">
        <is>
          <t>IC</t>
        </is>
      </c>
      <c r="Q52" s="117" t="inlineStr">
        <is>
          <t>● Newly mapped</t>
        </is>
      </c>
      <c r="R52" s="118" t="inlineStr">
        <is>
          <r>
            <rPr>
              <rFont val="Calibri"/>
              <b val="1"/>
              <sz val="10"/>
            </rPr>
            <t>WHAT THE ROLE DOES:</t>
          </r>
          <r>
            <rPr>
              <rFont val="Calibri"/>
              <sz val="10"/>
            </rPr>
            <t xml:space="preserve"> Handles statutory filings, board matters, contracts and legal compliance. At A3: varied work; reviews juniors; go-to for a process.
</t>
          </r>
          <r>
            <rPr>
              <rFont val="Calibri"/>
              <b val="1"/>
              <sz val="10"/>
            </rPr>
            <t>KEY RESPONSIBILITIES:</t>
          </r>
          <r>
            <rPr>
              <rFont val="Calibri"/>
              <sz val="10"/>
            </rPr>
            <t xml:space="preserve"> Handles statutory filings, board matters, contracts and legal compliance;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t>
          </r>
          <r>
            <rPr>
              <rFont val="Calibri"/>
              <b val="1"/>
              <sz val="10"/>
            </rPr>
            <t>SKILLS &amp; KNOWLEDGE · role-holders:</t>
          </r>
          <r>
            <rPr>
              <rFont val="Calibri"/>
              <sz val="10"/>
            </rPr>
            <t xml:space="preserve"> Secretarial · Legal
COMPETENCIES REQUIRED — must-have ★: Regulatory &amp; BFSI Domain · Stakeholder &amp; Client Management
</t>
          </r>
          <r>
            <rPr>
              <rFont val="Calibri"/>
              <b val="1"/>
              <sz val="10"/>
            </rPr>
            <t>OTHER FUNCTIONAL COMPETENCIES:</t>
          </r>
          <r>
            <rPr>
              <rFont val="Calibri"/>
              <sz val="10"/>
            </rPr>
            <t xml:space="preserve"> Process Improvement &amp; Quality Mindset · Advanced Excel &amp; Productivity Tools · Communication &amp; Presentation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Domain certifications · optional
</t>
          </r>
          <r>
            <rPr>
              <rFont val="Calibri"/>
              <b val="1"/>
              <sz val="10"/>
            </rPr>
            <t>SOURCE:</t>
          </r>
          <r>
            <rPr>
              <rFont val="Calibri"/>
              <sz val="10"/>
            </rPr>
            <t xml:space="preserve"> Framework only · fewer than 3 answered — 1 holder, 1 answered the survey; sub-family 2 answered; catalogue RC-005</t>
          </r>
        </is>
      </c>
      <c r="S52" s="119"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Manager talent mapping — Latest rating: Not rated · manager · 9-Box Grid placement: Not placed · manager.</t>
          </r>
        </is>
      </c>
      <c r="T52" s="120" t="n"/>
      <c r="U52" s="121" t="inlineStr">
        <is>
          <r>
            <rPr>
              <rFont val="Calibri"/>
              <sz val="10"/>
            </rPr>
            <t xml:space="preserve">Senior Secretarial Executive in Secretarial &amp; Legal · Corporate, A3 — IC.
</t>
          </r>
          <r>
            <rPr>
              <rFont val="Calibri"/>
              <b val="1"/>
              <sz val="10"/>
            </rPr>
            <t>The work:</t>
          </r>
          <r>
            <rPr>
              <rFont val="Calibri"/>
              <sz val="10"/>
            </rPr>
            <t xml:space="preserve"> Handles statutory filings, board matters, contracts and legal compliance.
At this level the role owns varied work; reviews juniors; go-to for a process.
</t>
          </r>
          <r>
            <rPr>
              <rFont val="Calibri"/>
              <b val="1"/>
              <sz val="10"/>
            </rPr>
            <t>Key responsibilities:</t>
          </r>
          <r>
            <rPr>
              <rFont val="Calibri"/>
              <sz val="10"/>
            </rPr>
            <t xml:space="preserve"> Handles statutory filings, board matters, contracts and legal compliance; Varied and non-standard work; handles exceptions; A module / process, or work with client or regulatory consequences.</t>
          </r>
        </is>
      </c>
      <c r="V52" s="122" t="inlineStr">
        <is>
          <r>
            <rPr>
              <rFont val="Calibri"/>
              <b val="1"/>
              <sz val="10"/>
            </rPr>
            <t>Hire as:</t>
          </r>
          <r>
            <rPr>
              <rFont val="Calibri"/>
              <sz val="10"/>
            </rPr>
            <t xml:space="preserve"> Admin / Secretarial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ICSI · CS / LLB for secretarial &amp; legal
</t>
          </r>
          <r>
            <rPr>
              <rFont val="Calibri"/>
              <b val="1"/>
              <sz val="10"/>
            </rPr>
            <t>Equivalent titles at peers:</t>
          </r>
          <r>
            <rPr>
              <rFont val="Calibri"/>
              <sz val="10"/>
            </rPr>
            <t xml:space="preserve"> IRIS Vs Competitor Benchmark — corporate services ladder – Senior Executive
</t>
          </r>
          <r>
            <rPr>
              <rFont val="Calibri"/>
              <b val="1"/>
              <sz val="10"/>
            </rPr>
            <t>Credentials:</t>
          </r>
          <r>
            <rPr>
              <rFont val="Calibri"/>
              <sz val="10"/>
            </rPr>
            <t xml:space="preserve"> Domain certifications · optional
</t>
          </r>
          <r>
            <rPr>
              <rFont val="Calibri"/>
              <b val="1"/>
              <sz val="10"/>
            </rPr>
            <t>Must already know:</t>
          </r>
          <r>
            <rPr>
              <rFont val="Calibri"/>
              <sz val="10"/>
            </rPr>
            <t xml:space="preserve"> Companies Act / statutory filings; vendor contracts</t>
          </r>
        </is>
      </c>
      <c r="W52" s="122" t="inlineStr">
        <is>
          <r>
            <rPr>
              <rFont val="Calibri"/>
              <sz val="10"/>
            </rPr>
            <t xml:space="preserve">FUNCTIONAL — skill level 3 of 5 · Practitioner
 ★ Regulatory &amp; BFSI Domain: Knows the relevant regulators, returns and rules
 ★ Stakeholder &amp; Client Management: Manages client communication and expectations for own work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Communication &amp; Presentation:</t>
          </r>
          <r>
            <rPr>
              <rFont val="Calibri"/>
              <sz val="10"/>
            </rPr>
            <t xml:space="preserve"> Writes and presents clearly to clients and teams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Secretarial · Legal
★ = must-have for the family. Scale: 1 Awareness · 2 Working · 3 Practitioner · 4 Advanced · 5 Expert.</t>
          </r>
        </is>
      </c>
      <c r="X52" s="122" t="inlineStr">
        <is>
          <r>
            <rPr>
              <rFont val="Calibri"/>
              <sz val="10"/>
            </rPr>
            <t xml:space="preserve">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52" s="123" t="inlineStr">
        <is>
          <t>Corporate · Secretarial &amp; Legal · Band A · Early career</t>
        </is>
      </c>
      <c r="Z52" s="124" t="n">
        <v>2.5</v>
      </c>
      <c r="AA52" s="125">
        <f>IFERROR(INDEX(WM_C,MATCH($Y52,WM_KEY,0)),"")</f>
        <v>0.54</v>
      </c>
      <c r="AB52" s="126">
        <f>IF(Z52="","",Z52*AA52)</f>
        <v>1.35</v>
      </c>
      <c r="AC52" s="124" t="n">
        <v>2.5</v>
      </c>
      <c r="AD52" s="125">
        <f>IFERROR(INDEX(WM_AU,MATCH($Y52,WM_KEY,0)),"")</f>
        <v>0.16</v>
      </c>
      <c r="AE52" s="126">
        <f>IF(AC52="","",AC52*AD52)</f>
        <v>0.4</v>
      </c>
      <c r="AF52" s="124" t="n">
        <v>2.5</v>
      </c>
      <c r="AG52" s="125">
        <f>IFERROR(INDEX(WM_AC,MATCH($Y52,WM_KEY,0)),"")</f>
        <v>0.09</v>
      </c>
      <c r="AH52" s="126">
        <f>IF(AF52="","",AF52*AG52)</f>
        <v>0.225</v>
      </c>
      <c r="AI52" s="124" t="n">
        <v>1.5</v>
      </c>
      <c r="AJ52" s="125">
        <f>IFERROR(INDEX(WM_L,MATCH($Y52,WM_KEY,0)),"")</f>
        <v>0</v>
      </c>
      <c r="AK52" s="126">
        <f>IF(AI52="","",AI52*AJ52)</f>
        <v>0</v>
      </c>
      <c r="AL52" s="124" t="n">
        <v>5</v>
      </c>
      <c r="AM52" s="125">
        <f>IFERROR(INDEX(WM_E,MATCH($Y52,WM_KEY,0)),"")</f>
        <v>0.15</v>
      </c>
      <c r="AN52" s="126">
        <f>IF(AL52="","",AL52*AM52)</f>
        <v>0.75</v>
      </c>
      <c r="AO52" s="127" t="n">
        <v>2.5</v>
      </c>
      <c r="AP52" s="125">
        <f>IFERROR(INDEX(WM_BI,MATCH($Y52,WM_KEY,0)),"")</f>
        <v>0.06</v>
      </c>
      <c r="AQ52" s="126">
        <f>IF(AO52="","",AO52*AP52)</f>
        <v>0.15</v>
      </c>
      <c r="AR52" s="126">
        <f>IF(COUNT(AB52,AE52,AH52,AK52,AN52,AQ52)&lt;6,"",SUM(AB52,AE52,AH52,AK52,AN52,AQ52))</f>
        <v>2.875</v>
      </c>
      <c r="AS52" s="128" t="str">
        <f>IF(AR52="","",INDEX({"A1","A2","A3","B1","B2","B3","C1","C2","D1","D2","E1","E2"},MAX(1,MIN(12,ROUND(AR52,0)))))</f>
        <v>A3</v>
      </c>
      <c r="AT52" s="129" t="inlineStr">
        <is>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t>
          </r>
        </is>
      </c>
      <c r="AU52" s="130" t="inlineStr">
        <is>
          <r>
            <rPr>
              <rFont val="Calibri"/>
              <b val="1"/>
              <sz val="10"/>
            </rPr>
            <t>At build:</t>
          </r>
          <r>
            <rPr>
              <rFont val="Calibri"/>
              <sz val="10"/>
            </rPr>
            <t xml:space="preserve"> Complexity 1.35 + Autonomy 0.40 + Accountability 0.22 + Leadership 0.00 + Experience 0.75 + Business impact 0.15
= 2.88 points → nearest level 3 = A3
</t>
          </r>
          <r>
            <rPr>
              <rFont val="Calibri"/>
              <b val="1"/>
              <sz val="10"/>
            </rPr>
            <t>Final level:</t>
          </r>
          <r>
            <rPr>
              <rFont val="Calibri"/>
              <sz val="10"/>
            </rPr>
            <t xml:space="preserve"> A3 · same as the score</t>
          </r>
        </is>
      </c>
      <c r="AV52" s="130" t="inlineStr">
        <is>
          <r>
            <rPr>
              <rFont val="Calibri"/>
              <b val="1"/>
              <sz val="10"/>
            </rPr>
            <t>No rule applied:</t>
          </r>
          <r>
            <rPr>
              <rFont val="Calibri"/>
              <sz val="10"/>
            </rPr>
            <t xml:space="preserve"> the score decides.</t>
          </r>
        </is>
      </c>
      <c r="AW52" s="131"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ROC and LODR filings, board minutes, agreement drafting and vetting, compliance trackers, PIT training → moved up 0.5
</t>
          </r>
          <r>
            <rPr>
              <rFont val="Calibri"/>
              <b val="1"/>
              <sz val="10"/>
            </rPr>
            <t>Market:</t>
          </r>
          <r>
            <rPr>
              <rFont val="Calibri"/>
              <sz val="10"/>
            </rPr>
            <t xml:space="preserve"> A2 = Standard work of the discipline · A3 = Varied and non-standard work; handles exceptions</t>
          </r>
        </is>
      </c>
      <c r="AX52"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Decides secretarial documentation, ROC filings, trackers and PIT training module; escalates legal issues → moved up 0.5
</t>
          </r>
          <r>
            <rPr>
              <rFont val="Calibri"/>
              <b val="1"/>
              <sz val="10"/>
            </rPr>
            <t>Market:</t>
          </r>
          <r>
            <rPr>
              <rFont val="Calibri"/>
              <sz val="10"/>
            </rPr>
            <t xml:space="preserve"> A2 = Chooses own approach within standards · A3 = Technical / QC / client calls on own work</t>
          </r>
        </is>
      </c>
      <c r="AY52" s="132"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Accuracy and timeliness of statutory filings and board records; penalties if missed → moved up 0.5
</t>
          </r>
          <r>
            <rPr>
              <rFont val="Calibri"/>
              <b val="1"/>
              <sz val="10"/>
            </rPr>
            <t>Market:</t>
          </r>
          <r>
            <rPr>
              <rFont val="Calibri"/>
              <sz val="10"/>
            </rPr>
            <t xml:space="preserve"> A2 = Own deliverables · accuracy, TAT · A3 = A module / process, or work with client or regulatory consequences</t>
          </r>
        </is>
      </c>
      <c r="AZ52" s="132"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Prepares and presents PIT training sessions; no juniors guided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52" s="132" t="inlineStr">
        <is>
          <r>
            <rPr>
              <rFont val="Calibri"/>
              <sz val="10"/>
            </rPr>
            <t xml:space="preserve">Rated 5 of 12
</t>
          </r>
          <r>
            <rPr>
              <rFont val="Calibri"/>
              <b val="1"/>
              <sz val="10"/>
            </rPr>
            <t>Experience:</t>
          </r>
          <r>
            <rPr>
              <rFont val="Calibri"/>
              <sz val="10"/>
            </rPr>
            <t xml:space="preserve"> 5.4 yrs total · 3.2 before IRIS + 2.2 at IRIS = 4.0 on the experience scale
</t>
          </r>
          <r>
            <rPr>
              <rFont val="Calibri"/>
              <b val="1"/>
              <sz val="10"/>
            </rPr>
            <t>Qualification:</t>
          </r>
          <r>
            <rPr>
              <rFont val="Calibri"/>
              <sz val="10"/>
            </rPr>
            <t xml:space="preserve"> ICSI Marsheets · professional, relevant to the work → +1.0
</t>
          </r>
          <r>
            <rPr>
              <rFont val="Calibri"/>
              <b val="1"/>
              <sz val="10"/>
            </rPr>
            <t>Market:</t>
          </r>
          <r>
            <rPr>
              <rFont val="Calibri"/>
              <sz val="10"/>
            </rPr>
            <t xml:space="preserve"> A3 roles typically have 2–5 yrs · IRIS guide 2–4</t>
          </r>
        </is>
      </c>
      <c r="BB52" s="132"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52" s="133" t="inlineStr"/>
      <c r="BD52" s="134" t="inlineStr">
        <is>
          <t>✓ HRIS: 5.4 yrs, ICSI Marsheets, 0 direct reports
✓ Survey: 20 of 20 questions answered
✗ KRAs: none on file
✓ Manager mapping: rating, 9-box
✗ Job description: not on file</t>
        </is>
      </c>
      <c r="BE52" s="134" t="inlineStr">
        <is>
          <r>
            <rPr>
              <rFont val="Calibri"/>
              <b val="1"/>
              <sz val="10"/>
            </rPr>
            <t>Market level:</t>
          </r>
          <r>
            <rPr>
              <rFont val="Calibri"/>
              <sz val="10"/>
            </rPr>
            <t xml:space="preserve"> P2 · SFIA 3 Apply
</t>
          </r>
          <r>
            <rPr>
              <rFont val="Calibri"/>
              <b val="1"/>
              <sz val="10"/>
            </rPr>
            <t>Typical title:</t>
          </r>
          <r>
            <rPr>
              <rFont val="Calibri"/>
              <sz val="10"/>
            </rPr>
            <t xml:space="preserve"> Admin / Secretarial Executive
</t>
          </r>
          <r>
            <rPr>
              <rFont val="Calibri"/>
              <b val="1"/>
              <sz val="10"/>
            </rPr>
            <t>At peers:</t>
          </r>
          <r>
            <rPr>
              <rFont val="Calibri"/>
              <sz val="10"/>
            </rPr>
            <t xml:space="preserve"> IRIS Vs Competitor Benchmark — corporate services ladder: Senior Executive
</t>
          </r>
          <r>
            <rPr>
              <rFont val="Calibri"/>
              <b val="1"/>
              <sz val="10"/>
            </rPr>
            <t>Typical experience:</t>
          </r>
          <r>
            <rPr>
              <rFont val="Calibri"/>
              <sz val="10"/>
            </rPr>
            <t xml:space="preserve"> 2–5 yrs · IRIS guide 2–4
</t>
          </r>
          <r>
            <rPr>
              <rFont val="Calibri"/>
              <b val="1"/>
              <sz val="10"/>
            </rPr>
            <t>Standard:</t>
          </r>
          <r>
            <rPr>
              <rFont val="Calibri"/>
              <sz val="10"/>
            </rPr>
            <t xml:space="preserve"> ICSI; Companies Act 2013</t>
          </r>
        </is>
      </c>
      <c r="BF52" s="134" t="inlineStr">
        <is>
          <t>High</t>
        </is>
      </c>
      <c r="BG52" s="134" t="inlineStr"/>
      <c r="BH52" s="134" t="inlineStr"/>
      <c r="BI52" s="135" t="n"/>
      <c r="BJ52" s="136" t="n"/>
      <c r="BK52" s="136" t="n"/>
      <c r="BL52" s="136" t="n"/>
      <c r="BM52" s="136" t="n"/>
      <c r="BN52" s="137" t="n"/>
      <c r="BO52" s="120" t="n"/>
      <c r="BP52" s="120" t="n"/>
      <c r="BQ52" s="120" t="n"/>
      <c r="BR52" s="120" t="n"/>
      <c r="BS52" s="120" t="n"/>
      <c r="BT52" s="120" t="n"/>
      <c r="BU52" s="120" t="n"/>
      <c r="BV52" s="120" t="n">
        <v>2.5</v>
      </c>
    </row>
    <row r="53" ht="340" customHeight="1">
      <c r="A53" s="109" t="inlineStr">
        <is>
          <t>INTN0296</t>
        </is>
      </c>
      <c r="B53" s="110" t="inlineStr">
        <is>
          <t>Sneha Pillai</t>
        </is>
      </c>
      <c r="C53" s="111" t="inlineStr">
        <is>
          <t>Secretarial &amp; Legal</t>
        </is>
      </c>
      <c r="D53" s="111" t="inlineStr">
        <is>
          <t>Santosh Sharma</t>
        </is>
      </c>
      <c r="E53" s="112" t="n">
        <v>0.6</v>
      </c>
      <c r="F53" s="112" t="n">
        <v>0.6</v>
      </c>
      <c r="G53" s="111" t="inlineStr">
        <is>
          <t>B.Com</t>
        </is>
      </c>
      <c r="H53" s="138" t="inlineStr">
        <is>
          <t>Intern</t>
        </is>
      </c>
      <c r="I53" s="115" t="inlineStr">
        <is>
          <t>Intern – Company Secretarial &amp; Legal</t>
        </is>
      </c>
      <c r="J53" s="114" t="inlineStr">
        <is>
          <t>Administration, Legal &amp; Secretarial</t>
        </is>
      </c>
      <c r="K53" s="114" t="inlineStr">
        <is>
          <t>Company Secretarial &amp; Legal</t>
        </is>
      </c>
      <c r="L53" s="115" t="inlineStr">
        <is>
          <t>Not in current mapping files</t>
        </is>
      </c>
      <c r="M53" s="116" t="inlineStr">
        <is>
          <t>A1</t>
        </is>
      </c>
      <c r="N53" s="139" t="inlineStr">
        <is>
          <t>Intern / Trainee</t>
        </is>
      </c>
      <c r="O53" s="26" t="inlineStr">
        <is>
          <t>A</t>
        </is>
      </c>
      <c r="P53" s="114" t="inlineStr">
        <is>
          <t>IC</t>
        </is>
      </c>
      <c r="Q53" s="117" t="inlineStr">
        <is>
          <t>● Newly mapped</t>
        </is>
      </c>
      <c r="R53" s="118" t="inlineStr">
        <is>
          <r>
            <rPr>
              <rFont val="Calibri"/>
              <b val="1"/>
              <sz val="10"/>
            </rPr>
            <t>WHAT THE ROLE DOES:</t>
          </r>
          <r>
            <rPr>
              <rFont val="Calibri"/>
              <sz val="10"/>
            </rPr>
            <t xml:space="preserve"> Handles statutory filings, board matters, contracts and legal compliance. At A1: learning the role; all work reviewed.
</t>
          </r>
          <r>
            <rPr>
              <rFont val="Calibri"/>
              <b val="1"/>
              <sz val="10"/>
            </rPr>
            <t>KEY RESPONSIBILITIES:</t>
          </r>
          <r>
            <rPr>
              <rFont val="Calibri"/>
              <sz val="10"/>
            </rPr>
            <t xml:space="preserve"> Handles statutory filings, board matters, contracts and legal compliance; Learning; follows worked examples; Learning tasks
</t>
          </r>
          <r>
            <rPr>
              <rFont val="Calibri"/>
              <b val="1"/>
              <sz val="10"/>
            </rPr>
            <t>DELIVERS:</t>
          </r>
          <r>
            <rPr>
              <rFont val="Calibri"/>
              <sz val="10"/>
            </rPr>
            <t xml:space="preserve"> Learning tasks
</t>
          </r>
          <r>
            <rPr>
              <rFont val="Calibri"/>
              <b val="1"/>
              <sz val="10"/>
            </rPr>
            <t>DECIDES ALONE:</t>
          </r>
          <r>
            <rPr>
              <rFont val="Calibri"/>
              <sz val="10"/>
            </rPr>
            <t xml:space="preserve"> Needs approval / close guidance
</t>
          </r>
          <r>
            <rPr>
              <rFont val="Calibri"/>
              <b val="1"/>
              <sz val="10"/>
            </rPr>
            <t>SKILLS &amp; KNOWLEDGE · role-holders:</t>
          </r>
          <r>
            <rPr>
              <rFont val="Calibri"/>
              <sz val="10"/>
            </rPr>
            <t xml:space="preserve"> Secretarial · Legal
COMPETENCIES REQUIRED — must-have ★: Regulatory &amp; BFSI Domain · Stakeholder &amp; Client Management
</t>
          </r>
          <r>
            <rPr>
              <rFont val="Calibri"/>
              <b val="1"/>
              <sz val="10"/>
            </rPr>
            <t>OTHER FUNCTIONAL COMPETENCIES:</t>
          </r>
          <r>
            <rPr>
              <rFont val="Calibri"/>
              <sz val="10"/>
            </rPr>
            <t xml:space="preserve"> Process Improvement &amp; Quality Mindset · Advanced Excel &amp; Productivity Tools · Communication &amp; Presentation · Time, Priority &amp; Self-Management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Domain certifications · optional
</t>
          </r>
          <r>
            <rPr>
              <rFont val="Calibri"/>
              <b val="1"/>
              <sz val="10"/>
            </rPr>
            <t>SOURCE:</t>
          </r>
          <r>
            <rPr>
              <rFont val="Calibri"/>
              <sz val="10"/>
            </rPr>
            <t xml:space="preserve"> Framework only · fewer than 3 answered — 1 holder, 1 answered the survey; sub-family 2 answered; catalogue RC-004</t>
          </r>
        </is>
      </c>
      <c r="S53" s="119" t="inlineStr">
        <is>
          <r>
            <rPr>
              <rFont val="Calibri"/>
              <b val="1"/>
              <sz val="10"/>
            </rPr>
            <t>What the role answers for:</t>
          </r>
          <r>
            <rPr>
              <rFont val="Calibri"/>
              <sz val="10"/>
            </rPr>
            <t xml:space="preserve"> Learning tasks.
Manager talent mapping — Latest rating: Not rated · manager · 9-Box Grid placement: Not placed · manager.</t>
          </r>
        </is>
      </c>
      <c r="T53" s="120" t="n"/>
      <c r="U53" s="121" t="inlineStr">
        <is>
          <r>
            <rPr>
              <rFont val="Calibri"/>
              <sz val="10"/>
            </rPr>
            <t xml:space="preserve">Intern – Company Secretarial &amp; Legal in Secretarial &amp; Legal · Corporate, A1 — IC.
</t>
          </r>
          <r>
            <rPr>
              <rFont val="Calibri"/>
              <b val="1"/>
              <sz val="10"/>
            </rPr>
            <t>The work:</t>
          </r>
          <r>
            <rPr>
              <rFont val="Calibri"/>
              <sz val="10"/>
            </rPr>
            <t xml:space="preserve"> Handles statutory filings, board matters, contracts and legal compliance.
At this level the role owns learning the role; all work reviewed.
</t>
          </r>
          <r>
            <rPr>
              <rFont val="Calibri"/>
              <b val="1"/>
              <sz val="10"/>
            </rPr>
            <t>Key responsibilities:</t>
          </r>
          <r>
            <rPr>
              <rFont val="Calibri"/>
              <sz val="10"/>
            </rPr>
            <t xml:space="preserve"> Handles statutory filings, board matters, contracts and legal compliance; Learning; follows worked examples; Learning tasks.</t>
          </r>
        </is>
      </c>
      <c r="V53" s="122" t="inlineStr">
        <is>
          <r>
            <rPr>
              <rFont val="Calibri"/>
              <b val="1"/>
              <sz val="10"/>
            </rPr>
            <t>Hire as:</t>
          </r>
          <r>
            <rPr>
              <rFont val="Calibri"/>
              <sz val="10"/>
            </rPr>
            <t xml:space="preserve"> Admin Assistant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Graduate; ICSI · CS / LLB for secretarial &amp; legal
</t>
          </r>
          <r>
            <rPr>
              <rFont val="Calibri"/>
              <b val="1"/>
              <sz val="10"/>
            </rPr>
            <t>Equivalent titles at peers:</t>
          </r>
          <r>
            <rPr>
              <rFont val="Calibri"/>
              <sz val="10"/>
            </rPr>
            <t xml:space="preserve"> IRIS Vs Competitor Benchmark — corporate services ladder – Trainee
</t>
          </r>
          <r>
            <rPr>
              <rFont val="Calibri"/>
              <b val="1"/>
              <sz val="10"/>
            </rPr>
            <t>Credentials:</t>
          </r>
          <r>
            <rPr>
              <rFont val="Calibri"/>
              <sz val="10"/>
            </rPr>
            <t xml:space="preserve"> Domain certifications · optional
</t>
          </r>
          <r>
            <rPr>
              <rFont val="Calibri"/>
              <b val="1"/>
              <sz val="10"/>
            </rPr>
            <t>Must already know:</t>
          </r>
          <r>
            <rPr>
              <rFont val="Calibri"/>
              <sz val="10"/>
            </rPr>
            <t xml:space="preserve"> Companies Act / statutory filings; vendor contracts</t>
          </r>
        </is>
      </c>
      <c r="W53" s="122" t="inlineStr">
        <is>
          <r>
            <rPr>
              <rFont val="Calibri"/>
              <sz val="10"/>
            </rPr>
            <t xml:space="preserve">FUNCTIONAL — skill level 1 of 5 · Awareness
 ★ Regulatory &amp; BFSI Domain: Knows the relevant regulators, returns and rules
 ★ Stakeholder &amp; Client Management: Manages client communication and expectations for own work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Communication &amp; Presentation:</t>
          </r>
          <r>
            <rPr>
              <rFont val="Calibri"/>
              <sz val="10"/>
            </rPr>
            <t xml:space="preserve"> Writes and presents clearly to clients and teams
 • </t>
          </r>
          <r>
            <rPr>
              <rFont val="Calibri"/>
              <b val="1"/>
              <sz val="10"/>
            </rPr>
            <t>Time, Priority &amp; Self-Management:</t>
          </r>
          <r>
            <rPr>
              <rFont val="Calibri"/>
              <sz val="10"/>
            </rPr>
            <t xml:space="preserve"> Manages volume and deadlines without slippage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Secretarial · Legal
★ = must-have for the family. Scale: 1 Awareness · 2 Working · 3 Practitioner · 4 Advanced · 5 Expert.</t>
          </r>
        </is>
      </c>
      <c r="X53" s="122" t="inlineStr">
        <is>
          <r>
            <rPr>
              <rFont val="Calibri"/>
              <sz val="10"/>
            </rPr>
            <t xml:space="preserve">Draft — generated from the framework; hiring-manager review pending · HR Super Master, sheet T5.
1. [Regulatory &amp; BFSI Domain · level 1] Tell me about recent work that shows this: "Knows the relevant regulators, returns and rules". What exactly did you do, how, and what was the result? Assess with: Domain interview.
2. [Stakeholder &amp; Client Management · level 1] Tell me about recent work that shows this: "Manages client communication and expectations for own work". What exactly did you do, how, and what was the result? Assess with: Role play / behavioural interview.
3. [Process Improvement &amp; Quality Mindset · level 1] Give an example that shows you can do this: "Delivers right-first-time; improves own checklists". Assess with: Work sample / case.
4. [Advanced Excel &amp; Productivity Tools · level 1] Give an example that shows you can do this: "Uses advanced Excel, Word, HTML and conversion tools fluently". Assess with: Practical test.
5. [Communication &amp; Presentation · level 1] Give an example that shows you can do this: "Writes and presents clearly to clients and teams". Assess with: Presentation / writing test.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53" s="123" t="inlineStr">
        <is>
          <t>—</t>
        </is>
      </c>
      <c r="Z53" s="124" t="n"/>
      <c r="AA53" s="125" t="n"/>
      <c r="AB53" s="126" t="n"/>
      <c r="AC53" s="124" t="n"/>
      <c r="AD53" s="125" t="n"/>
      <c r="AE53" s="126" t="n"/>
      <c r="AF53" s="124" t="n"/>
      <c r="AG53" s="125" t="n"/>
      <c r="AH53" s="126" t="n"/>
      <c r="AI53" s="124" t="n"/>
      <c r="AJ53" s="125" t="n"/>
      <c r="AK53" s="126" t="n"/>
      <c r="AL53" s="124" t="n"/>
      <c r="AM53" s="125" t="n"/>
      <c r="AN53" s="126" t="n"/>
      <c r="AO53" s="127" t="n"/>
      <c r="AP53" s="125" t="n"/>
      <c r="AQ53" s="126" t="n"/>
      <c r="AR53" s="126" t="inlineStr"/>
      <c r="AS53" s="128" t="inlineStr"/>
      <c r="AT53" s="129" t="inlineStr">
        <is>
          <r>
            <rPr>
              <rFont val="Calibri"/>
              <b val="1"/>
              <sz val="10"/>
            </rPr>
            <t>Not scored:</t>
          </r>
          <r>
            <rPr>
              <rFont val="Calibri"/>
              <sz val="10"/>
            </rPr>
            <t xml:space="preserve"> interns and first-year trainees start at A1.</t>
          </r>
        </is>
      </c>
      <c r="AU53" s="130" t="inlineStr">
        <is>
          <r>
            <rPr>
              <rFont val="Calibri"/>
              <b val="1"/>
              <sz val="10"/>
            </rPr>
            <t>Not scored:</t>
          </r>
          <r>
            <rPr>
              <rFont val="Calibri"/>
              <sz val="10"/>
            </rPr>
            <t xml:space="preserve"> interns and first-year trainees start at A1.</t>
          </r>
        </is>
      </c>
      <c r="AV53" s="130" t="inlineStr">
        <is>
          <t>Interns and first-year trainees start at A1.</t>
        </is>
      </c>
      <c r="AW53" s="131" t="inlineStr">
        <is>
          <r>
            <rPr>
              <rFont val="Calibri"/>
              <b val="1"/>
              <sz val="10"/>
            </rPr>
            <t>Not scored:</t>
          </r>
          <r>
            <rPr>
              <rFont val="Calibri"/>
              <sz val="10"/>
            </rPr>
            <t xml:space="preserve"> interns and first-year trainees start at A1.</t>
          </r>
        </is>
      </c>
      <c r="AX53" s="132" t="inlineStr">
        <is>
          <r>
            <rPr>
              <rFont val="Calibri"/>
              <b val="1"/>
              <sz val="10"/>
            </rPr>
            <t>Not scored:</t>
          </r>
          <r>
            <rPr>
              <rFont val="Calibri"/>
              <sz val="10"/>
            </rPr>
            <t xml:space="preserve"> interns and first-year trainees start at A1.</t>
          </r>
        </is>
      </c>
      <c r="AY53" s="132" t="inlineStr">
        <is>
          <r>
            <rPr>
              <rFont val="Calibri"/>
              <b val="1"/>
              <sz val="10"/>
            </rPr>
            <t>Not scored:</t>
          </r>
          <r>
            <rPr>
              <rFont val="Calibri"/>
              <sz val="10"/>
            </rPr>
            <t xml:space="preserve"> interns and first-year trainees start at A1.</t>
          </r>
        </is>
      </c>
      <c r="AZ53" s="132" t="inlineStr">
        <is>
          <r>
            <rPr>
              <rFont val="Calibri"/>
              <b val="1"/>
              <sz val="10"/>
            </rPr>
            <t>Not scored:</t>
          </r>
          <r>
            <rPr>
              <rFont val="Calibri"/>
              <sz val="10"/>
            </rPr>
            <t xml:space="preserve"> interns and first-year trainees start at A1.</t>
          </r>
        </is>
      </c>
      <c r="BA53" s="132" t="inlineStr">
        <is>
          <r>
            <rPr>
              <rFont val="Calibri"/>
              <b val="1"/>
              <sz val="10"/>
            </rPr>
            <t>Not scored:</t>
          </r>
          <r>
            <rPr>
              <rFont val="Calibri"/>
              <sz val="10"/>
            </rPr>
            <t xml:space="preserve"> interns and first-year trainees start at A1.</t>
          </r>
        </is>
      </c>
      <c r="BB53" s="132" t="inlineStr">
        <is>
          <r>
            <rPr>
              <rFont val="Calibri"/>
              <b val="1"/>
              <sz val="10"/>
            </rPr>
            <t>Not scored:</t>
          </r>
          <r>
            <rPr>
              <rFont val="Calibri"/>
              <sz val="10"/>
            </rPr>
            <t xml:space="preserve"> interns and first-year trainees start at A1.</t>
          </r>
        </is>
      </c>
      <c r="BC53" s="133" t="inlineStr"/>
      <c r="BD53" s="134" t="inlineStr">
        <is>
          <t>✓ HRIS: 0.6 yrs, B.Com, 0 direct reports
✓ Survey: 20 of 20 questions answered
✗ KRAs: none on file
✓ Manager mapping: rating, 9-box
✗ Job description: not on file</t>
        </is>
      </c>
      <c r="BE53" s="134"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Admin Assistant
</t>
          </r>
          <r>
            <rPr>
              <rFont val="Calibri"/>
              <b val="1"/>
              <sz val="10"/>
            </rPr>
            <t>At peers:</t>
          </r>
          <r>
            <rPr>
              <rFont val="Calibri"/>
              <sz val="10"/>
            </rPr>
            <t xml:space="preserve"> IRIS Vs Competitor Benchmark — corporate services ladder: Trainee
</t>
          </r>
          <r>
            <rPr>
              <rFont val="Calibri"/>
              <b val="1"/>
              <sz val="10"/>
            </rPr>
            <t>Standard:</t>
          </r>
          <r>
            <rPr>
              <rFont val="Calibri"/>
              <sz val="10"/>
            </rPr>
            <t xml:space="preserve"> ICSI; Companies Act 2013</t>
          </r>
        </is>
      </c>
      <c r="BF53" s="134" t="inlineStr">
        <is>
          <t>Medium</t>
        </is>
      </c>
      <c r="BG53" s="134" t="inlineStr"/>
      <c r="BH53" s="134" t="inlineStr"/>
      <c r="BI53" s="135" t="n"/>
      <c r="BJ53" s="136" t="n"/>
      <c r="BK53" s="136" t="n"/>
      <c r="BL53" s="136" t="n"/>
      <c r="BM53" s="136" t="n"/>
      <c r="BN53" s="137" t="n"/>
      <c r="BO53" s="120" t="n"/>
      <c r="BP53" s="120" t="n"/>
      <c r="BQ53" s="120" t="n"/>
      <c r="BR53" s="120" t="n"/>
      <c r="BS53" s="120" t="n"/>
      <c r="BT53" s="120" t="n"/>
      <c r="BU53" s="120" t="n"/>
      <c r="BV53" s="120" t="n"/>
    </row>
    <row r="54" ht="340" customHeight="1">
      <c r="A54" s="109" t="inlineStr">
        <is>
          <t>IRIS2060</t>
        </is>
      </c>
      <c r="B54" s="110" t="inlineStr">
        <is>
          <t>P K X Thomas</t>
        </is>
      </c>
      <c r="C54" s="111" t="inlineStr">
        <is>
          <t>Technology</t>
        </is>
      </c>
      <c r="D54" s="111" t="inlineStr">
        <is>
          <t>— · top of the organisation</t>
        </is>
      </c>
      <c r="E54" s="112" t="n">
        <v>34.9</v>
      </c>
      <c r="F54" s="112" t="n">
        <v>4.1</v>
      </c>
      <c r="G54" s="111" t="inlineStr">
        <is>
          <t>MCA</t>
        </is>
      </c>
      <c r="H54" s="113" t="inlineStr">
        <is>
          <t>Chief Technology Officer</t>
        </is>
      </c>
      <c r="I54" s="114" t="inlineStr">
        <is>
          <t>Chief Technology Officer</t>
        </is>
      </c>
      <c r="J54" s="114" t="inlineStr">
        <is>
          <t>Executive Leadership</t>
        </is>
      </c>
      <c r="K54" s="114" t="inlineStr">
        <is>
          <t>Enterprise Leadership</t>
        </is>
      </c>
      <c r="L54" s="115" t="inlineStr">
        <is>
          <t>Not in current mapping files</t>
        </is>
      </c>
      <c r="M54" s="116" t="inlineStr">
        <is>
          <t>E1</t>
        </is>
      </c>
      <c r="N54" s="145" t="inlineStr">
        <is>
          <t>CXO / President</t>
        </is>
      </c>
      <c r="O54" s="42" t="inlineStr">
        <is>
          <t>E</t>
        </is>
      </c>
      <c r="P54" s="114" t="inlineStr">
        <is>
          <t>People Manager</t>
        </is>
      </c>
      <c r="Q54" s="117" t="inlineStr">
        <is>
          <t>● Newly mapped</t>
        </is>
      </c>
      <c r="R54" s="118" t="inlineStr">
        <is>
          <r>
            <rPr>
              <rFont val="Calibri"/>
              <b val="1"/>
              <sz val="10"/>
            </rPr>
            <t>WHAT THE ROLE DOES:</t>
          </r>
          <r>
            <rPr>
              <rFont val="Calibri"/>
              <sz val="10"/>
            </rPr>
            <t xml:space="preserve"> Sets enterprise strategy; leads the executive team. At E1: an enterprise-wide function.
</t>
          </r>
          <r>
            <rPr>
              <rFont val="Calibri"/>
              <b val="1"/>
              <sz val="10"/>
            </rPr>
            <t>KEY RESPONSIBILITIES:</t>
          </r>
          <r>
            <rPr>
              <rFont val="Calibri"/>
              <sz val="10"/>
            </rPr>
            <t xml:space="preserve"> Sets enterprise strategy; leads the executive team; Enterprise-level functional strategy; Enterprise-wide functional results
</t>
          </r>
          <r>
            <rPr>
              <rFont val="Calibri"/>
              <b val="1"/>
              <sz val="10"/>
            </rPr>
            <t>DELIVERS:</t>
          </r>
          <r>
            <rPr>
              <rFont val="Calibri"/>
              <sz val="10"/>
            </rPr>
            <t xml:space="preserve"> Enterprise-wide functional results
</t>
          </r>
          <r>
            <rPr>
              <rFont val="Calibri"/>
              <b val="1"/>
              <sz val="10"/>
            </rPr>
            <t>DECIDES ALONE:</t>
          </r>
          <r>
            <rPr>
              <rFont val="Calibri"/>
              <sz val="10"/>
            </rPr>
            <t xml:space="preserve"> Sets enterprise priorities for the function
</t>
          </r>
          <r>
            <rPr>
              <rFont val="Calibri"/>
              <b val="1"/>
              <sz val="10"/>
            </rPr>
            <t>SKILLS &amp; KNOWLEDGE · role-holders:</t>
          </r>
          <r>
            <rPr>
              <rFont val="Calibri"/>
              <sz val="10"/>
            </rPr>
            <t xml:space="preserve"> Management · Sales
COMPETENCIES REQUIRED — must-have ★: Strategic Thinking &amp; Business Acumen · People Leadership &amp; Mentoring
</t>
          </r>
          <r>
            <rPr>
              <rFont val="Calibri"/>
              <b val="1"/>
              <sz val="10"/>
            </rPr>
            <t>OTHER FUNCTIONAL COMPETENCIES:</t>
          </r>
          <r>
            <rPr>
              <rFont val="Calibri"/>
              <sz val="10"/>
            </rPr>
            <t xml:space="preserve"> Stakeholder &amp; Client Management · Product, Platform &amp; Domain Knowledge · Regulatory &amp; BFSI Domain · Communication &amp; Presentation
</t>
          </r>
          <r>
            <rPr>
              <rFont val="Calibri"/>
              <b val="1"/>
              <sz val="10"/>
            </rPr>
            <t>PROFICIENCY NEEDED AT THIS LEVEL:</t>
          </r>
          <r>
            <rPr>
              <rFont val="Calibri"/>
              <sz val="10"/>
            </rPr>
            <t xml:space="preserve"> Core 5 · Future-ready 5 · Functional 4 · Leadership 5
</t>
          </r>
          <r>
            <rPr>
              <rFont val="Calibri"/>
              <b val="1"/>
              <sz val="10"/>
            </rPr>
            <t>CREDENTIALS:</t>
          </r>
          <r>
            <rPr>
              <rFont val="Calibri"/>
              <sz val="10"/>
            </rPr>
            <t xml:space="preserve"> MBA / PGDM · preferred at C+
</t>
          </r>
          <r>
            <rPr>
              <rFont val="Calibri"/>
              <b val="1"/>
              <sz val="10"/>
            </rPr>
            <t>SOURCE:</t>
          </r>
          <r>
            <rPr>
              <rFont val="Calibri"/>
              <sz val="10"/>
            </rPr>
            <t xml:space="preserve"> Framework only · fewer than 3 answered — 4 holders, 0 answered the survey; sub-family 0 answered; catalogue RC-092</t>
          </r>
        </is>
      </c>
      <c r="S54" s="119" t="inlineStr">
        <is>
          <r>
            <rPr>
              <rFont val="Calibri"/>
              <b val="1"/>
              <sz val="10"/>
            </rPr>
            <t>What the role answers for:</t>
          </r>
          <r>
            <rPr>
              <rFont val="Calibri"/>
              <sz val="10"/>
            </rPr>
            <t xml:space="preserve"> Enterprise-wide functional results.
</t>
          </r>
          <r>
            <rPr>
              <rFont val="Calibri"/>
              <b val="1"/>
              <sz val="10"/>
            </rPr>
            <t>Accountability &amp; Impact rating:</t>
          </r>
          <r>
            <rPr>
              <rFont val="Calibri"/>
              <sz val="10"/>
            </rPr>
            <t xml:space="preserve"> 11 of 12 · E1-level impact.
Leads 3 direct reports.
Manager talent mapping — Latest rating: Not rated · manager · 9-Box Grid placement: Not placed · manager.</t>
          </r>
        </is>
      </c>
      <c r="T54" s="120" t="n"/>
      <c r="U54" s="121" t="inlineStr">
        <is>
          <r>
            <rPr>
              <rFont val="Calibri"/>
              <sz val="10"/>
            </rPr>
            <t xml:space="preserve">Chief Technology Officer in Technology · Corporate, E1 — People Manager.
</t>
          </r>
          <r>
            <rPr>
              <rFont val="Calibri"/>
              <b val="1"/>
              <sz val="10"/>
            </rPr>
            <t>The work:</t>
          </r>
          <r>
            <rPr>
              <rFont val="Calibri"/>
              <sz val="10"/>
            </rPr>
            <t xml:space="preserve"> Sets enterprise strategy; leads the executive team.
At this level the role owns an enterprise-wide function.
</t>
          </r>
          <r>
            <rPr>
              <rFont val="Calibri"/>
              <b val="1"/>
              <sz val="10"/>
            </rPr>
            <t>Key responsibilities:</t>
          </r>
          <r>
            <rPr>
              <rFont val="Calibri"/>
              <sz val="10"/>
            </rPr>
            <t xml:space="preserve"> Sets enterprise strategy; leads the executive team; Enterprise-level functional strategy; Enterprise-wide functional results.
Leads 3 direct reports.</t>
          </r>
        </is>
      </c>
      <c r="V54" s="122" t="inlineStr">
        <is>
          <r>
            <rPr>
              <rFont val="Calibri"/>
              <b val="1"/>
              <sz val="10"/>
            </rPr>
            <t>Hire as:</t>
          </r>
          <r>
            <rPr>
              <rFont val="Calibri"/>
              <sz val="10"/>
            </rPr>
            <t xml:space="preserve"> CXO · functional chief — IRIS E1 CXO / President · People Manager
</t>
          </r>
          <r>
            <rPr>
              <rFont val="Calibri"/>
              <b val="1"/>
              <sz val="10"/>
            </rPr>
            <t>Market level:</t>
          </r>
          <r>
            <rPr>
              <rFont val="Calibri"/>
              <sz val="10"/>
            </rPr>
            <t xml:space="preserve"> E5 · SFIA 7
</t>
          </r>
          <r>
            <rPr>
              <rFont val="Calibri"/>
              <b val="1"/>
              <sz val="10"/>
            </rPr>
            <t>Experience:</t>
          </r>
          <r>
            <rPr>
              <rFont val="Calibri"/>
              <sz val="10"/>
            </rPr>
            <t xml:space="preserve"> 20+ yrs · Education: Postgraduate / professional qualification
</t>
          </r>
          <r>
            <rPr>
              <rFont val="Calibri"/>
              <b val="1"/>
              <sz val="10"/>
            </rPr>
            <t>Team size at this level:</t>
          </r>
          <r>
            <rPr>
              <rFont val="Calibri"/>
              <sz val="10"/>
            </rPr>
            <t xml:space="preserve"> 5–8 function heads
</t>
          </r>
          <r>
            <rPr>
              <rFont val="Calibri"/>
              <b val="1"/>
              <sz val="10"/>
            </rPr>
            <t>Equivalent titles at peers:</t>
          </r>
          <r>
            <rPr>
              <rFont val="Calibri"/>
              <sz val="10"/>
            </rPr>
            <t xml:space="preserve"> IRIS Vs Market Benchmark — Aon Radford / Mercer executive codes – E5 C-level · functional · IRIS Vs Competitor Benchmark — regtech / SaaS executive titles – CTO · CFO · CRO · CCO · COO
</t>
          </r>
          <r>
            <rPr>
              <rFont val="Calibri"/>
              <b val="1"/>
              <sz val="10"/>
            </rPr>
            <t>Credentials:</t>
          </r>
          <r>
            <rPr>
              <rFont val="Calibri"/>
              <sz val="10"/>
            </rPr>
            <t xml:space="preserve"> MBA / PGDM · preferred at C+
</t>
          </r>
          <r>
            <rPr>
              <rFont val="Calibri"/>
              <b val="1"/>
              <sz val="10"/>
            </rPr>
            <t>Must already know:</t>
          </r>
          <r>
            <rPr>
              <rFont val="Calibri"/>
              <sz val="10"/>
            </rPr>
            <t xml:space="preserve"> Governance, risk and regulatory accountability</t>
          </r>
        </is>
      </c>
      <c r="W54" s="122" t="inlineStr">
        <is>
          <r>
            <rPr>
              <rFont val="Calibri"/>
              <sz val="10"/>
            </rPr>
            <t xml:space="preserve">FUNCTIONAL — skill level 4 of 5 · Advanced
 ★ Strategic Thinking &amp; Business Acumen: Shapes strategy, pricing or investment choices
 ★ People Leadership &amp; Mentoring: Leads leaders; builds succession
 •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
CORE — skill level 5 of 5 · Expert
 •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
FUTURE-READY — skill level 5 of 5 · Expert
 • </t>
          </r>
          <r>
            <rPr>
              <rFont val="Calibri"/>
              <b val="1"/>
              <sz val="10"/>
            </rPr>
            <t>AI Literacy &amp; Augmentation:</t>
          </r>
          <r>
            <rPr>
              <rFont val="Calibri"/>
              <sz val="10"/>
            </rPr>
            <t xml:space="preserve"> Leads AI strategy and governance for a function or IRIS
 • </t>
          </r>
          <r>
            <rPr>
              <rFont val="Calibri"/>
              <b val="1"/>
              <sz val="10"/>
            </rPr>
            <t>Data Literacy &amp; Analytics:</t>
          </r>
          <r>
            <rPr>
              <rFont val="Calibri"/>
              <sz val="10"/>
            </rPr>
            <t xml:space="preserve"> Sets data strategy and data-driven decisions for a business
 • </t>
          </r>
          <r>
            <rPr>
              <rFont val="Calibri"/>
              <b val="1"/>
              <sz val="10"/>
            </rPr>
            <t>Digital Fluency &amp; Automation:</t>
          </r>
          <r>
            <rPr>
              <rFont val="Calibri"/>
              <sz val="10"/>
            </rPr>
            <t xml:space="preserve"> Drives digital transformation across a business
 • </t>
          </r>
          <r>
            <rPr>
              <rFont val="Calibri"/>
              <b val="1"/>
              <sz val="10"/>
            </rPr>
            <t>Innovation &amp; Continuous Improvement:</t>
          </r>
          <r>
            <rPr>
              <rFont val="Calibri"/>
              <sz val="10"/>
            </rPr>
            <t xml:space="preserve"> Creates new products, methods or business models
LEADERSHIP — skill level 5 of 5 · Expert
 •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
</t>
          </r>
          <r>
            <rPr>
              <rFont val="Calibri"/>
              <b val="1"/>
              <sz val="10"/>
            </rPr>
            <t>SKILLS · from role-holders and HRIS:</t>
          </r>
          <r>
            <rPr>
              <rFont val="Calibri"/>
              <sz val="10"/>
            </rPr>
            <t xml:space="preserve"> Management · Sales
★ = must-have for the family. Scale: 1 Awareness · 2 Working · 3 Practitioner · 4 Advanced · 5 Expert.</t>
          </r>
        </is>
      </c>
      <c r="X54" s="122" t="inlineStr">
        <is>
          <r>
            <rPr>
              <rFont val="Calibri"/>
              <sz val="10"/>
            </rPr>
            <t xml:space="preserve">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t>
          </r>
          <r>
            <rPr>
              <rFont val="Calibri"/>
              <b val="1"/>
              <sz val="10"/>
            </rPr>
            <t>Fit check:</t>
          </r>
          <r>
            <rPr>
              <rFont val="Calibri"/>
              <sz val="10"/>
            </rPr>
            <t xml:space="preserve"> Why this role, why IRIS · regulatory reporting / XBRL / regtech, and what would you change in your first 90 days?</t>
          </r>
        </is>
      </c>
      <c r="Y54" s="123" t="inlineStr">
        <is>
          <t>Corporate · Technology · Bands D–E · Leadership</t>
        </is>
      </c>
      <c r="Z54" s="124" t="n">
        <v>11</v>
      </c>
      <c r="AA54" s="125">
        <f>IFERROR(INDEX(WM_C,MATCH($Y54,WM_KEY,0)),"")</f>
        <v>0.37</v>
      </c>
      <c r="AB54" s="126">
        <f>IF(Z54="","",Z54*AA54)</f>
        <v>4.07</v>
      </c>
      <c r="AC54" s="124" t="n">
        <v>11</v>
      </c>
      <c r="AD54" s="125">
        <f>IFERROR(INDEX(WM_AU,MATCH($Y54,WM_KEY,0)),"")</f>
        <v>0.19</v>
      </c>
      <c r="AE54" s="126">
        <f>IF(AC54="","",AC54*AD54)</f>
        <v>2.09</v>
      </c>
      <c r="AF54" s="124" t="n">
        <v>11</v>
      </c>
      <c r="AG54" s="125">
        <f>IFERROR(INDEX(WM_AC,MATCH($Y54,WM_KEY,0)),"")</f>
        <v>0.11</v>
      </c>
      <c r="AH54" s="126">
        <f>IF(AF54="","",AF54*AG54)</f>
        <v>1.21</v>
      </c>
      <c r="AI54" s="124" t="n">
        <v>11</v>
      </c>
      <c r="AJ54" s="125">
        <f>IFERROR(INDEX(WM_L,MATCH($Y54,WM_KEY,0)),"")</f>
        <v>0.2</v>
      </c>
      <c r="AK54" s="126">
        <f>IF(AI54="","",AI54*AJ54)</f>
        <v>2.2</v>
      </c>
      <c r="AL54" s="124" t="n">
        <v>12</v>
      </c>
      <c r="AM54" s="125">
        <f>IFERROR(INDEX(WM_E,MATCH($Y54,WM_KEY,0)),"")</f>
        <v>0.05</v>
      </c>
      <c r="AN54" s="126">
        <f>IF(AL54="","",AL54*AM54)</f>
        <v>0.6</v>
      </c>
      <c r="AO54" s="127" t="n">
        <v>11</v>
      </c>
      <c r="AP54" s="125">
        <f>IFERROR(INDEX(WM_BI,MATCH($Y54,WM_KEY,0)),"")</f>
        <v>0.08</v>
      </c>
      <c r="AQ54" s="126">
        <f>IF(AO54="","",AO54*AP54)</f>
        <v>0.88</v>
      </c>
      <c r="AR54" s="126">
        <f>IF(COUNT(AB54,AE54,AH54,AK54,AN54,AQ54)&lt;6,"",SUM(AB54,AE54,AH54,AK54,AN54,AQ54))</f>
        <v>11.05</v>
      </c>
      <c r="AS54" s="128" t="str">
        <f>IF(AR54="","",INDEX({"A1","A2","A3","B1","B2","B3","C1","C2","D1","D2","E1","E2"},MAX(1,MIN(12,ROUND(AR54,0)))))</f>
        <v>E1</v>
      </c>
      <c r="AT54" s="129" t="inlineStr">
        <is>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t>
          </r>
        </is>
      </c>
      <c r="AU54" s="130" t="inlineStr">
        <is>
          <r>
            <rPr>
              <rFont val="Calibri"/>
              <b val="1"/>
              <sz val="10"/>
            </rPr>
            <t>At build:</t>
          </r>
          <r>
            <rPr>
              <rFont val="Calibri"/>
              <sz val="10"/>
            </rPr>
            <t xml:space="preserve"> Complexity 4.07 + Autonomy 2.09 + Accountability 1.21 + Leadership 2.20 + Experience 0.60 + Business impact 0.88
= 11.05 points → nearest level 11 = E1
</t>
          </r>
          <r>
            <rPr>
              <rFont val="Calibri"/>
              <b val="1"/>
              <sz val="10"/>
            </rPr>
            <t>Final level:</t>
          </r>
          <r>
            <rPr>
              <rFont val="Calibri"/>
              <sz val="10"/>
            </rPr>
            <t xml:space="preserve"> E1 · same as the score</t>
          </r>
        </is>
      </c>
      <c r="AV54" s="130" t="inlineStr">
        <is>
          <r>
            <rPr>
              <rFont val="Calibri"/>
              <b val="1"/>
              <sz val="10"/>
            </rPr>
            <t>No rule applied:</t>
          </r>
          <r>
            <rPr>
              <rFont val="Calibri"/>
              <sz val="10"/>
            </rPr>
            <t xml:space="preserve"> the score decides.</t>
          </r>
        </is>
      </c>
      <c r="AW54" s="140" t="inlineStr">
        <is>
          <r>
            <rPr>
              <rFont val="Calibri"/>
              <color rgb="009C0006"/>
              <sz val="10"/>
            </rPr>
            <t xml:space="preserve">Rated 11 of 12
</t>
          </r>
          <r>
            <rPr>
              <rFont val="Calibri"/>
              <b val="1"/>
              <color rgb="009C0006"/>
              <sz val="10"/>
            </rPr>
            <t>Start:</t>
          </r>
          <r>
            <rPr>
              <rFont val="Calibri"/>
              <color rgb="009C0006"/>
              <sz val="10"/>
            </rPr>
            <t xml:space="preserve"> 11.0 · CXO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E1 = Enterprise-level functional strategy</t>
          </r>
        </is>
      </c>
      <c r="AX54" s="141" t="inlineStr">
        <is>
          <r>
            <rPr>
              <rFont val="Calibri"/>
              <color rgb="009C0006"/>
              <sz val="10"/>
            </rPr>
            <t xml:space="preserve">Rated 11 of 12
</t>
          </r>
          <r>
            <rPr>
              <rFont val="Calibri"/>
              <b val="1"/>
              <color rgb="009C0006"/>
              <sz val="10"/>
            </rPr>
            <t>Start:</t>
          </r>
          <r>
            <rPr>
              <rFont val="Calibri"/>
              <color rgb="009C0006"/>
              <sz val="10"/>
            </rPr>
            <t xml:space="preserve"> 11.0 · CXO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E1 = Sets enterprise priorities for the function</t>
          </r>
        </is>
      </c>
      <c r="AY54" s="141" t="inlineStr">
        <is>
          <r>
            <rPr>
              <rFont val="Calibri"/>
              <color rgb="009C0006"/>
              <sz val="10"/>
            </rPr>
            <t xml:space="preserve">Rated 11 of 12
</t>
          </r>
          <r>
            <rPr>
              <rFont val="Calibri"/>
              <b val="1"/>
              <color rgb="009C0006"/>
              <sz val="10"/>
            </rPr>
            <t>Start:</t>
          </r>
          <r>
            <rPr>
              <rFont val="Calibri"/>
              <color rgb="009C0006"/>
              <sz val="10"/>
            </rPr>
            <t xml:space="preserve"> 11.0 · CXO title; 3 direct reports, 85 people in the organisation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E1 = Enterprise-wide functional results</t>
          </r>
        </is>
      </c>
      <c r="AZ54" s="141" t="inlineStr">
        <is>
          <r>
            <rPr>
              <rFont val="Calibri"/>
              <color rgb="009C0006"/>
              <sz val="10"/>
            </rPr>
            <t xml:space="preserve">Rated 11 of 12
</t>
          </r>
          <r>
            <rPr>
              <rFont val="Calibri"/>
              <b val="1"/>
              <color rgb="009C0006"/>
              <sz val="10"/>
            </rPr>
            <t>Start:</t>
          </r>
          <r>
            <rPr>
              <rFont val="Calibri"/>
              <color rgb="009C0006"/>
              <sz val="10"/>
            </rPr>
            <t xml:space="preserve"> 11.0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3 direct reports · People Manager
</t>
          </r>
          <r>
            <rPr>
              <rFont val="Calibri"/>
              <b val="1"/>
              <color rgb="009C0006"/>
              <sz val="10"/>
            </rPr>
            <t>Market:</t>
          </r>
          <r>
            <rPr>
              <rFont val="Calibri"/>
              <color rgb="009C0006"/>
              <sz val="10"/>
            </rPr>
            <t xml:space="preserve"> E1 = Shapes enterprise strategy</t>
          </r>
        </is>
      </c>
      <c r="BA54" s="132" t="inlineStr">
        <is>
          <r>
            <rPr>
              <rFont val="Calibri"/>
              <sz val="10"/>
            </rPr>
            <t xml:space="preserve">Rated 12 of 12
</t>
          </r>
          <r>
            <rPr>
              <rFont val="Calibri"/>
              <b val="1"/>
              <sz val="10"/>
            </rPr>
            <t>Experience:</t>
          </r>
          <r>
            <rPr>
              <rFont val="Calibri"/>
              <sz val="10"/>
            </rPr>
            <t xml:space="preserve"> 34.9 yrs total · 30.8 before IRIS + 4.1 at IRIS = 12.0 on the experience scale
</t>
          </r>
          <r>
            <rPr>
              <rFont val="Calibri"/>
              <b val="1"/>
              <sz val="10"/>
            </rPr>
            <t>Qualification:</t>
          </r>
          <r>
            <rPr>
              <rFont val="Calibri"/>
              <sz val="10"/>
            </rPr>
            <t xml:space="preserve"> MCA · postgraduate, relevant to the work → +0.5</t>
          </r>
        </is>
      </c>
      <c r="BB54" s="132" t="inlineStr">
        <is>
          <r>
            <rPr>
              <rFont val="Calibri"/>
              <sz val="10"/>
            </rPr>
            <t xml:space="preserve">Rated 11 of 12 — a starting estimate.
</t>
          </r>
          <r>
            <rPr>
              <rFont val="Calibri"/>
              <b val="1"/>
              <sz val="10"/>
            </rPr>
            <t>Start:</t>
          </r>
          <r>
            <rPr>
              <rFont val="Calibri"/>
              <sz val="10"/>
            </rPr>
            <t xml:space="preserve"> 11,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E1 = Shapes company-wide results through a function</t>
          </r>
        </is>
      </c>
      <c r="BC54" s="142" t="inlineStr">
        <is>
          <t>• Survey response or KRAs describing the work · nothing on file — Employee + manager</t>
        </is>
      </c>
      <c r="BD54" s="134" t="inlineStr">
        <is>
          <t>✓ HRIS: 34.9 yrs, MCA, 3 direct reports
✗ Survey: no response
✗ KRAs: none on file
✓ Manager mapping: rating, 9-box
✗ Job description: not on file</t>
        </is>
      </c>
      <c r="BE54" s="134" t="inlineStr">
        <is>
          <r>
            <rPr>
              <rFont val="Calibri"/>
              <b val="1"/>
              <sz val="10"/>
            </rPr>
            <t>Market level:</t>
          </r>
          <r>
            <rPr>
              <rFont val="Calibri"/>
              <sz val="10"/>
            </rPr>
            <t xml:space="preserve"> E5 · SFIA 7
</t>
          </r>
          <r>
            <rPr>
              <rFont val="Calibri"/>
              <b val="1"/>
              <sz val="10"/>
            </rPr>
            <t>Typical title:</t>
          </r>
          <r>
            <rPr>
              <rFont val="Calibri"/>
              <sz val="10"/>
            </rPr>
            <t xml:space="preserve"> CXO · functional chief
</t>
          </r>
          <r>
            <rPr>
              <rFont val="Calibri"/>
              <b val="1"/>
              <sz val="10"/>
            </rPr>
            <t>At peers:</t>
          </r>
          <r>
            <rPr>
              <rFont val="Calibri"/>
              <sz val="10"/>
            </rPr>
            <t xml:space="preserve"> IRIS Vs Market Benchmark — Aon Radford / Mercer executive codes: E5 C-level · functional · IRIS Vs Competitor Benchmark — regtech / SaaS executive titles: CTO · CFO · CRO · CCO · COO
</t>
          </r>
          <r>
            <rPr>
              <rFont val="Calibri"/>
              <b val="1"/>
              <sz val="10"/>
            </rPr>
            <t>Standard:</t>
          </r>
          <r>
            <rPr>
              <rFont val="Calibri"/>
              <sz val="10"/>
            </rPr>
            <t xml:space="preserve"> Aon Radford executive levels E1–E6; Mercer ET1–ET3</t>
          </r>
        </is>
      </c>
      <c r="BF54" s="134" t="inlineStr">
        <is>
          <t>Low</t>
        </is>
      </c>
      <c r="BG54" s="134" t="inlineStr">
        <is>
          <t>• No survey answers or KRA — the role factors rest on designation and reporting lines only</t>
        </is>
      </c>
      <c r="BH54" s="134" t="inlineStr"/>
      <c r="BI54" s="135" t="n"/>
      <c r="BJ54" s="136" t="n"/>
      <c r="BK54" s="136" t="n"/>
      <c r="BL54" s="136" t="n"/>
      <c r="BM54" s="136" t="n"/>
      <c r="BN54" s="137" t="n"/>
      <c r="BO54" s="120" t="n"/>
      <c r="BP54" s="120" t="n"/>
      <c r="BQ54" s="120" t="n"/>
      <c r="BR54" s="120" t="n"/>
      <c r="BS54" s="120" t="n"/>
      <c r="BT54" s="120" t="n"/>
      <c r="BU54" s="120" t="n"/>
      <c r="BV54" s="120" t="n">
        <v>11</v>
      </c>
    </row>
    <row r="55" ht="340" customHeight="1">
      <c r="A55" s="109" t="inlineStr">
        <is>
          <t>IRISC344</t>
        </is>
      </c>
      <c r="B55" s="110" t="inlineStr">
        <is>
          <t>Vikas Thakur</t>
        </is>
      </c>
      <c r="C55" s="111" t="inlineStr">
        <is>
          <t>Technology</t>
        </is>
      </c>
      <c r="D55" s="111" t="inlineStr">
        <is>
          <t>Pradip Dey</t>
        </is>
      </c>
      <c r="E55" s="112" t="n">
        <v>11.4</v>
      </c>
      <c r="F55" s="112" t="n">
        <v>0.5</v>
      </c>
      <c r="G55" s="111" t="inlineStr">
        <is>
          <t>B.Tech</t>
        </is>
      </c>
      <c r="H55" s="113" t="inlineStr">
        <is>
          <t>Agile Coach</t>
        </is>
      </c>
      <c r="I55" s="114" t="inlineStr">
        <is>
          <t>Agile Coach</t>
        </is>
      </c>
      <c r="J55" s="114" t="inlineStr">
        <is>
          <t>Project &amp; Program Management</t>
        </is>
      </c>
      <c r="K55" s="114" t="inlineStr">
        <is>
          <t>PMO &amp; Delivery Excellence</t>
        </is>
      </c>
      <c r="L55" s="115" t="inlineStr">
        <is>
          <t>Not in current mapping files</t>
        </is>
      </c>
      <c r="M55" s="116" t="inlineStr">
        <is>
          <t>B3</t>
        </is>
      </c>
      <c r="N55" s="21" t="inlineStr">
        <is>
          <t>Lead Specialist</t>
        </is>
      </c>
      <c r="O55" s="23" t="inlineStr">
        <is>
          <t>B</t>
        </is>
      </c>
      <c r="P55" s="114" t="inlineStr">
        <is>
          <t>IC</t>
        </is>
      </c>
      <c r="Q55" s="117" t="inlineStr">
        <is>
          <t>● Newly mapped</t>
        </is>
      </c>
      <c r="R55" s="118" t="inlineStr">
        <is>
          <r>
            <rPr>
              <rFont val="Calibri"/>
              <b val="1"/>
              <sz val="10"/>
            </rPr>
            <t>WHAT THE ROLE DOES:</t>
          </r>
          <r>
            <rPr>
              <rFont val="Calibri"/>
              <sz val="10"/>
            </rPr>
            <t xml:space="preserve"> Runs delivery governance, tracking, risk and process-improvement; coaches teams on delivery practices. At B3: a practice, or several teams through team leads.
</t>
          </r>
          <r>
            <rPr>
              <rFont val="Calibri"/>
              <b val="1"/>
              <sz val="10"/>
            </rPr>
            <t>KEY RESPONSIBILITIES:</t>
          </r>
          <r>
            <rPr>
              <rFont val="Calibri"/>
              <sz val="10"/>
            </rPr>
            <t xml:space="preserve"> Runs delivery governance, tracking, risk and process-improvement; coaches teams on delivery practices; Sets standards for a practice; cross-team problems; Several teams or a practice
</t>
          </r>
          <r>
            <rPr>
              <rFont val="Calibri"/>
              <b val="1"/>
              <sz val="10"/>
            </rPr>
            <t>DELIVERS:</t>
          </r>
          <r>
            <rPr>
              <rFont val="Calibri"/>
              <sz val="10"/>
            </rPr>
            <t xml:space="preserve"> Several teams or a practice
</t>
          </r>
          <r>
            <rPr>
              <rFont val="Calibri"/>
              <b val="1"/>
              <sz val="10"/>
            </rPr>
            <t>DECIDES ALONE:</t>
          </r>
          <r>
            <rPr>
              <rFont val="Calibri"/>
              <sz val="10"/>
            </rPr>
            <t xml:space="preserve"> Commercial / strategic calls for the unit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4 · Future-ready 3 · Functional 4 · Leadership 3
</t>
          </r>
          <r>
            <rPr>
              <rFont val="Calibri"/>
              <b val="1"/>
              <sz val="10"/>
            </rPr>
            <t>CREDENTIALS:</t>
          </r>
          <r>
            <rPr>
              <rFont val="Calibri"/>
              <sz val="10"/>
            </rPr>
            <t xml:space="preserve"> PMP / PRINCE2 / CSM / SAFe
</t>
          </r>
          <r>
            <rPr>
              <rFont val="Calibri"/>
              <b val="1"/>
              <sz val="10"/>
            </rPr>
            <t>SOURCE:</t>
          </r>
          <r>
            <rPr>
              <rFont val="Calibri"/>
              <sz val="10"/>
            </rPr>
            <t xml:space="preserve"> Framework only · fewer than 3 answered — 1 holder, 0 answered the survey; sub-family 1 answered; catalogue RC-133</t>
          </r>
        </is>
      </c>
      <c r="S55" s="119"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6 of 12 · B3-level impact.
Manager talent mapping — Latest rating: Not rated · manager · 9-Box Grid placement: Not placed · manager.</t>
          </r>
        </is>
      </c>
      <c r="T55" s="120" t="n"/>
      <c r="U55" s="121" t="inlineStr">
        <is>
          <r>
            <rPr>
              <rFont val="Calibri"/>
              <sz val="10"/>
            </rPr>
            <t xml:space="preserve">Agile Coach in Technology · Corporate, B3 — IC.
</t>
          </r>
          <r>
            <rPr>
              <rFont val="Calibri"/>
              <b val="1"/>
              <sz val="10"/>
            </rPr>
            <t>The work:</t>
          </r>
          <r>
            <rPr>
              <rFont val="Calibri"/>
              <sz val="10"/>
            </rPr>
            <t xml:space="preserve"> Runs delivery governance, tracking, risk and process-improvement; coaches teams on delivery practices.
At this level the role owns a practice, or several teams through team leads.
</t>
          </r>
          <r>
            <rPr>
              <rFont val="Calibri"/>
              <b val="1"/>
              <sz val="10"/>
            </rPr>
            <t>Key responsibilities:</t>
          </r>
          <r>
            <rPr>
              <rFont val="Calibri"/>
              <sz val="10"/>
            </rPr>
            <t xml:space="preserve"> Runs delivery governance, tracking, risk and process-improvement; coaches teams on delivery practices; Sets standards for a practice; cross-team problems; Several teams or a practice.</t>
          </r>
        </is>
      </c>
      <c r="V55" s="122" t="inlineStr">
        <is>
          <r>
            <rPr>
              <rFont val="Calibri"/>
              <b val="1"/>
              <sz val="10"/>
            </rPr>
            <t>Hire as:</t>
          </r>
          <r>
            <rPr>
              <rFont val="Calibri"/>
              <sz val="10"/>
            </rPr>
            <t xml:space="preserve"> Senior Program Manager — IRIS B3 Lead Specialist · IC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Graduate; PMP / PRINCE2 / CSM preferred from B2
</t>
          </r>
          <r>
            <rPr>
              <rFont val="Calibri"/>
              <b val="1"/>
              <sz val="10"/>
            </rPr>
            <t>Equivalent titles at peers:</t>
          </r>
          <r>
            <rPr>
              <rFont val="Calibri"/>
              <sz val="10"/>
            </rPr>
            <t xml:space="preserve"> IRIS Vs Competitor Benchmark — PMI pathway + SaaS delivery ladder – Program Manager · PgMP · Infosys / Accenture – JL6B Project Manager · L7 Manager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55" s="122" t="inlineStr">
        <is>
          <r>
            <rPr>
              <rFont val="Calibri"/>
              <sz val="10"/>
            </rPr>
            <t xml:space="preserve">FUNCTIONAL — skill level 4 of 5 · Advanced
 ★ Project, Program &amp; Agile Management: Runs programmes across teams; improves delivery methods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 = must-have for the family. Scale: 1 Awareness · 2 Working · 3 Practitioner · 4 Advanced · 5 Expert.</t>
          </r>
        </is>
      </c>
      <c r="X55" s="122" t="inlineStr">
        <is>
          <r>
            <rPr>
              <rFont val="Calibri"/>
              <sz val="10"/>
            </rPr>
            <t xml:space="preserve">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55" s="123" t="inlineStr">
        <is>
          <t>Corporate · Technology · Band B · Expert / POD Lead</t>
        </is>
      </c>
      <c r="Z55" s="124" t="n">
        <v>6</v>
      </c>
      <c r="AA55" s="125">
        <f>IFERROR(INDEX(WM_C,MATCH($Y55,WM_KEY,0)),"")</f>
        <v>0.56</v>
      </c>
      <c r="AB55" s="126">
        <f>IF(Z55="","",Z55*AA55)</f>
        <v>3.36</v>
      </c>
      <c r="AC55" s="124" t="n">
        <v>6</v>
      </c>
      <c r="AD55" s="125">
        <f>IFERROR(INDEX(WM_AU,MATCH($Y55,WM_KEY,0)),"")</f>
        <v>0.17</v>
      </c>
      <c r="AE55" s="126">
        <f>IF(AC55="","",AC55*AD55)</f>
        <v>1.02</v>
      </c>
      <c r="AF55" s="124" t="n">
        <v>6</v>
      </c>
      <c r="AG55" s="125">
        <f>IFERROR(INDEX(WM_AC,MATCH($Y55,WM_KEY,0)),"")</f>
        <v>0.05</v>
      </c>
      <c r="AH55" s="126">
        <f>IF(AF55="","",AF55*AG55)</f>
        <v>0.3</v>
      </c>
      <c r="AI55" s="124" t="n">
        <v>5</v>
      </c>
      <c r="AJ55" s="125">
        <f>IFERROR(INDEX(WM_L,MATCH($Y55,WM_KEY,0)),"")</f>
        <v>0.05</v>
      </c>
      <c r="AK55" s="126">
        <f>IF(AI55="","",AI55*AJ55)</f>
        <v>0.25</v>
      </c>
      <c r="AL55" s="124" t="n">
        <v>6.5</v>
      </c>
      <c r="AM55" s="125">
        <f>IFERROR(INDEX(WM_E,MATCH($Y55,WM_KEY,0)),"")</f>
        <v>0.1</v>
      </c>
      <c r="AN55" s="126">
        <f>IF(AL55="","",AL55*AM55)</f>
        <v>0.65</v>
      </c>
      <c r="AO55" s="127" t="n">
        <v>6</v>
      </c>
      <c r="AP55" s="125">
        <f>IFERROR(INDEX(WM_BI,MATCH($Y55,WM_KEY,0)),"")</f>
        <v>0.07</v>
      </c>
      <c r="AQ55" s="126">
        <f>IF(AO55="","",AO55*AP55)</f>
        <v>0.42</v>
      </c>
      <c r="AR55" s="126">
        <f>IF(COUNT(AB55,AE55,AH55,AK55,AN55,AQ55)&lt;6,"",SUM(AB55,AE55,AH55,AK55,AN55,AQ55))</f>
        <v>6</v>
      </c>
      <c r="AS55" s="128" t="str">
        <f>IF(AR55="","",INDEX({"A1","A2","A3","B1","B2","B3","C1","C2","D1","D2","E1","E2"},MAX(1,MIN(12,ROUND(AR55,0)))))</f>
        <v>B3</v>
      </c>
      <c r="AT55" s="129"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55" s="130" t="inlineStr">
        <is>
          <r>
            <rPr>
              <rFont val="Calibri"/>
              <b val="1"/>
              <sz val="10"/>
            </rPr>
            <t>At build:</t>
          </r>
          <r>
            <rPr>
              <rFont val="Calibri"/>
              <sz val="10"/>
            </rPr>
            <t xml:space="preserve"> Complexity 3.36 + Autonomy 1.02 + Accountability 0.30 + Leadership 0.25 + Experience 0.65 + Business impact 0.42
= 6.00 points → nearest level 6 = B3
</t>
          </r>
          <r>
            <rPr>
              <rFont val="Calibri"/>
              <b val="1"/>
              <sz val="10"/>
            </rPr>
            <t>Final level:</t>
          </r>
          <r>
            <rPr>
              <rFont val="Calibri"/>
              <sz val="10"/>
            </rPr>
            <t xml:space="preserve"> B3 · same as the score</t>
          </r>
        </is>
      </c>
      <c r="AV55" s="130" t="inlineStr">
        <is>
          <r>
            <rPr>
              <rFont val="Calibri"/>
              <b val="1"/>
              <sz val="10"/>
            </rPr>
            <t>No rule applied:</t>
          </r>
          <r>
            <rPr>
              <rFont val="Calibri"/>
              <sz val="10"/>
            </rPr>
            <t xml:space="preserve"> the score decides.</t>
          </r>
        </is>
      </c>
      <c r="AW55" s="140" t="inlineStr">
        <is>
          <r>
            <rPr>
              <rFont val="Calibri"/>
              <color rgb="009C0006"/>
              <sz val="10"/>
            </rPr>
            <t xml:space="preserve">Rated 6 of 12
</t>
          </r>
          <r>
            <rPr>
              <rFont val="Calibri"/>
              <b val="1"/>
              <color rgb="009C0006"/>
              <sz val="10"/>
            </rPr>
            <t>Start:</t>
          </r>
          <r>
            <rPr>
              <rFont val="Calibri"/>
              <color rgb="009C0006"/>
              <sz val="10"/>
            </rPr>
            <t xml:space="preserve"> 6.0 · senior manager / lead specialist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B3 = Sets standards for a practice; cross-team problems</t>
          </r>
        </is>
      </c>
      <c r="AX55" s="141" t="inlineStr">
        <is>
          <r>
            <rPr>
              <rFont val="Calibri"/>
              <color rgb="009C0006"/>
              <sz val="10"/>
            </rPr>
            <t xml:space="preserve">Rated 6 of 12
</t>
          </r>
          <r>
            <rPr>
              <rFont val="Calibri"/>
              <b val="1"/>
              <color rgb="009C0006"/>
              <sz val="10"/>
            </rPr>
            <t>Start:</t>
          </r>
          <r>
            <rPr>
              <rFont val="Calibri"/>
              <color rgb="009C0006"/>
              <sz val="10"/>
            </rPr>
            <t xml:space="preserve"> 6.0 · senior manager / lead specialist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B3 = Commercial / strategic calls for the unit</t>
          </r>
        </is>
      </c>
      <c r="AY55" s="141" t="inlineStr">
        <is>
          <r>
            <rPr>
              <rFont val="Calibri"/>
              <color rgb="009C0006"/>
              <sz val="10"/>
            </rPr>
            <t xml:space="preserve">Rated 6 of 12
</t>
          </r>
          <r>
            <rPr>
              <rFont val="Calibri"/>
              <b val="1"/>
              <color rgb="009C0006"/>
              <sz val="10"/>
            </rPr>
            <t>Start:</t>
          </r>
          <r>
            <rPr>
              <rFont val="Calibri"/>
              <color rgb="009C0006"/>
              <sz val="10"/>
            </rPr>
            <t xml:space="preserve"> 6.0 · senior manager / lead specialist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B3 = Several teams or a practice</t>
          </r>
        </is>
      </c>
      <c r="AZ55" s="141" t="inlineStr">
        <is>
          <r>
            <rPr>
              <rFont val="Calibri"/>
              <color rgb="009C0006"/>
              <sz val="10"/>
            </rPr>
            <t xml:space="preserve">Rated 5 of 12
</t>
          </r>
          <r>
            <rPr>
              <rFont val="Calibri"/>
              <b val="1"/>
              <color rgb="009C0006"/>
              <sz val="10"/>
            </rPr>
            <t>Start:</t>
          </r>
          <r>
            <rPr>
              <rFont val="Calibri"/>
              <color rgb="009C0006"/>
              <sz val="10"/>
            </rPr>
            <t xml:space="preserve"> 5.0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B2 = IC: guides others in the domain · People: manages a team of 6+</t>
          </r>
        </is>
      </c>
      <c r="BA55" s="132" t="inlineStr">
        <is>
          <r>
            <rPr>
              <rFont val="Calibri"/>
              <sz val="10"/>
            </rPr>
            <t xml:space="preserve">Rated 6.5 of 12 · between B3 and C1
</t>
          </r>
          <r>
            <rPr>
              <rFont val="Calibri"/>
              <b val="1"/>
              <sz val="10"/>
            </rPr>
            <t>Experience:</t>
          </r>
          <r>
            <rPr>
              <rFont val="Calibri"/>
              <sz val="10"/>
            </rPr>
            <t xml:space="preserve"> 11.4 yrs total · 10.9 before IRIS + 0.5 at IRIS = 6.7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B3 roles typically have 8–13 yrs · IRIS guide 8–12</t>
          </r>
        </is>
      </c>
      <c r="BB55" s="132" t="inlineStr">
        <is>
          <r>
            <rPr>
              <rFont val="Calibri"/>
              <sz val="10"/>
            </rPr>
            <t xml:space="preserve">Rated 6 of 12 — a starting estimate.
</t>
          </r>
          <r>
            <rPr>
              <rFont val="Calibri"/>
              <b val="1"/>
              <sz val="10"/>
            </rPr>
            <t>Start:</t>
          </r>
          <r>
            <rPr>
              <rFont val="Calibri"/>
              <sz val="10"/>
            </rPr>
            <t xml:space="preserve"> 6,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t>
          </r>
        </is>
      </c>
      <c r="BC55" s="142" t="inlineStr">
        <is>
          <t>• Survey response or KRAs describing the work · nothing on file — Employee + manager</t>
        </is>
      </c>
      <c r="BD55" s="134" t="inlineStr">
        <is>
          <t>✓ HRIS: 11.4 yrs, B.Tech, 0 direct reports
✗ Survey: no response
✗ KRAs: none on file
✓ Manager mapping: rating, 9-box
✗ Job description: not on file</t>
        </is>
      </c>
      <c r="BE55" s="134" t="inlineStr">
        <is>
          <r>
            <rPr>
              <rFont val="Calibri"/>
              <b val="1"/>
              <sz val="10"/>
            </rPr>
            <t>Market level:</t>
          </r>
          <r>
            <rPr>
              <rFont val="Calibri"/>
              <sz val="10"/>
            </rPr>
            <t xml:space="preserve"> P5 / M4 · SFIA 5 Ensure, advise
</t>
          </r>
          <r>
            <rPr>
              <rFont val="Calibri"/>
              <b val="1"/>
              <sz val="10"/>
            </rPr>
            <t>Typical title:</t>
          </r>
          <r>
            <rPr>
              <rFont val="Calibri"/>
              <sz val="10"/>
            </rPr>
            <t xml:space="preserve"> Senior Program Manager
</t>
          </r>
          <r>
            <rPr>
              <rFont val="Calibri"/>
              <b val="1"/>
              <sz val="10"/>
            </rPr>
            <t>At peers:</t>
          </r>
          <r>
            <rPr>
              <rFont val="Calibri"/>
              <sz val="10"/>
            </rPr>
            <t xml:space="preserve"> IRIS Vs Competitor Benchmark — PMI pathway + SaaS delivery ladder: Program Manager · PgMP · Infosys / Accenture – JL6B Project Manager · L7 Manager
</t>
          </r>
          <r>
            <rPr>
              <rFont val="Calibri"/>
              <b val="1"/>
              <sz val="10"/>
            </rPr>
            <t>Typical experience:</t>
          </r>
          <r>
            <rPr>
              <rFont val="Calibri"/>
              <sz val="10"/>
            </rPr>
            <t xml:space="preserve"> 8–13 yrs · IRIS guide 8–12
</t>
          </r>
          <r>
            <rPr>
              <rFont val="Calibri"/>
              <b val="1"/>
              <sz val="10"/>
            </rPr>
            <t>Standard:</t>
          </r>
          <r>
            <rPr>
              <rFont val="Calibri"/>
              <sz val="10"/>
            </rPr>
            <t xml:space="preserve"> PMI PMBOK and Talent Triangle; CAPM → PMP → PgMP</t>
          </r>
        </is>
      </c>
      <c r="BF55" s="134" t="inlineStr">
        <is>
          <t>Low</t>
        </is>
      </c>
      <c r="BG55" s="134" t="inlineStr">
        <is>
          <t>• No survey answers or KRA — the role factors rest on designation and reporting lines only</t>
        </is>
      </c>
      <c r="BH55" s="134" t="inlineStr"/>
      <c r="BI55" s="135" t="n"/>
      <c r="BJ55" s="136" t="n"/>
      <c r="BK55" s="136" t="n"/>
      <c r="BL55" s="136" t="n"/>
      <c r="BM55" s="136" t="n"/>
      <c r="BN55" s="137" t="n"/>
      <c r="BO55" s="120" t="n"/>
      <c r="BP55" s="120" t="n"/>
      <c r="BQ55" s="120" t="n"/>
      <c r="BR55" s="120" t="n"/>
      <c r="BS55" s="120" t="n"/>
      <c r="BT55" s="120" t="n"/>
      <c r="BU55" s="120" t="n"/>
      <c r="BV55" s="120" t="n">
        <v>6</v>
      </c>
    </row>
  </sheetData>
  <mergeCells count="18">
    <mergeCell ref="R5"/>
    <mergeCell ref="H5:Q5"/>
    <mergeCell ref="AT5:AV5"/>
    <mergeCell ref="A1:Z1"/>
    <mergeCell ref="S5:T5"/>
    <mergeCell ref="A4:D4"/>
    <mergeCell ref="A3:Z3"/>
    <mergeCell ref="L4:O4"/>
    <mergeCell ref="BC5:BH5"/>
    <mergeCell ref="Y5:AS5"/>
    <mergeCell ref="E4:G4"/>
    <mergeCell ref="BN5:BV5"/>
    <mergeCell ref="A2:Z2"/>
    <mergeCell ref="P4:R4"/>
    <mergeCell ref="AW5:BB5"/>
    <mergeCell ref="U5:X5"/>
    <mergeCell ref="BI5:BM5"/>
    <mergeCell ref="A5:G5"/>
  </mergeCells>
  <conditionalFormatting sqref="Z7:Z55">
    <cfRule type="colorScale" priority="1">
      <colorScale>
        <cfvo type="num" val="1"/>
        <cfvo type="num" val="12"/>
        <color rgb="00FFFFFF"/>
        <color rgb="005B9BD5"/>
      </colorScale>
    </cfRule>
  </conditionalFormatting>
  <conditionalFormatting sqref="AC7:AC55">
    <cfRule type="colorScale" priority="2">
      <colorScale>
        <cfvo type="num" val="1"/>
        <cfvo type="num" val="12"/>
        <color rgb="00FFFFFF"/>
        <color rgb="005B9BD5"/>
      </colorScale>
    </cfRule>
  </conditionalFormatting>
  <conditionalFormatting sqref="AF7:AF55">
    <cfRule type="colorScale" priority="3">
      <colorScale>
        <cfvo type="num" val="1"/>
        <cfvo type="num" val="12"/>
        <color rgb="00FFFFFF"/>
        <color rgb="005B9BD5"/>
      </colorScale>
    </cfRule>
  </conditionalFormatting>
  <conditionalFormatting sqref="AI7:AI55">
    <cfRule type="colorScale" priority="4">
      <colorScale>
        <cfvo type="num" val="1"/>
        <cfvo type="num" val="12"/>
        <color rgb="00FFFFFF"/>
        <color rgb="005B9BD5"/>
      </colorScale>
    </cfRule>
  </conditionalFormatting>
  <conditionalFormatting sqref="AL7:AL55">
    <cfRule type="colorScale" priority="5">
      <colorScale>
        <cfvo type="num" val="1"/>
        <cfvo type="num" val="12"/>
        <color rgb="00FFFFFF"/>
        <color rgb="005B9BD5"/>
      </colorScale>
    </cfRule>
  </conditionalFormatting>
  <conditionalFormatting sqref="AO7:AO55">
    <cfRule type="colorScale" priority="6">
      <colorScale>
        <cfvo type="num" val="1"/>
        <cfvo type="num" val="12"/>
        <color rgb="00FFFFFF"/>
        <color rgb="005B9BD5"/>
      </colorScale>
    </cfRule>
  </conditionalFormatting>
  <conditionalFormatting sqref="AR7:AR55">
    <cfRule type="colorScale" priority="7">
      <colorScale>
        <cfvo type="num" val="1"/>
        <cfvo type="num" val="12"/>
        <color rgb="00FFFFFF"/>
        <color rgb="005B9BD5"/>
      </colorScale>
    </cfRule>
  </conditionalFormatting>
  <conditionalFormatting sqref="AA7:AA55">
    <cfRule type="colorScale" priority="8">
      <colorScale>
        <cfvo type="num" val="0"/>
        <cfvo type="num" val="0.4"/>
        <color rgb="00FFFFFF"/>
        <color rgb="00A9D08E"/>
      </colorScale>
    </cfRule>
  </conditionalFormatting>
  <conditionalFormatting sqref="AD7:AD55">
    <cfRule type="colorScale" priority="9">
      <colorScale>
        <cfvo type="num" val="0"/>
        <cfvo type="num" val="0.4"/>
        <color rgb="00FFFFFF"/>
        <color rgb="00A9D08E"/>
      </colorScale>
    </cfRule>
  </conditionalFormatting>
  <conditionalFormatting sqref="AG7:AG55">
    <cfRule type="colorScale" priority="10">
      <colorScale>
        <cfvo type="num" val="0"/>
        <cfvo type="num" val="0.4"/>
        <color rgb="00FFFFFF"/>
        <color rgb="00A9D08E"/>
      </colorScale>
    </cfRule>
  </conditionalFormatting>
  <conditionalFormatting sqref="AJ7:AJ55">
    <cfRule type="colorScale" priority="11">
      <colorScale>
        <cfvo type="num" val="0"/>
        <cfvo type="num" val="0.4"/>
        <color rgb="00FFFFFF"/>
        <color rgb="00A9D08E"/>
      </colorScale>
    </cfRule>
  </conditionalFormatting>
  <conditionalFormatting sqref="AM7:AM55">
    <cfRule type="colorScale" priority="12">
      <colorScale>
        <cfvo type="num" val="0"/>
        <cfvo type="num" val="0.4"/>
        <color rgb="00FFFFFF"/>
        <color rgb="00A9D08E"/>
      </colorScale>
    </cfRule>
  </conditionalFormatting>
  <conditionalFormatting sqref="AP7:AP55">
    <cfRule type="colorScale" priority="13">
      <colorScale>
        <cfvo type="num" val="0"/>
        <cfvo type="num" val="0.4"/>
        <color rgb="00FFFFFF"/>
        <color rgb="00A9D08E"/>
      </colorScale>
    </cfRule>
  </conditionalFormatting>
  <conditionalFormatting sqref="AB7:AB55">
    <cfRule type="colorScale" priority="14">
      <colorScale>
        <cfvo type="num" val="0"/>
        <cfvo type="num" val="4"/>
        <color rgb="00FFFFFF"/>
        <color rgb="00F4B183"/>
      </colorScale>
    </cfRule>
  </conditionalFormatting>
  <conditionalFormatting sqref="AE7:AE55">
    <cfRule type="colorScale" priority="15">
      <colorScale>
        <cfvo type="num" val="0"/>
        <cfvo type="num" val="4"/>
        <color rgb="00FFFFFF"/>
        <color rgb="00F4B183"/>
      </colorScale>
    </cfRule>
  </conditionalFormatting>
  <conditionalFormatting sqref="AH7:AH55">
    <cfRule type="colorScale" priority="16">
      <colorScale>
        <cfvo type="num" val="0"/>
        <cfvo type="num" val="4"/>
        <color rgb="00FFFFFF"/>
        <color rgb="00F4B183"/>
      </colorScale>
    </cfRule>
  </conditionalFormatting>
  <conditionalFormatting sqref="AK7:AK55">
    <cfRule type="colorScale" priority="17">
      <colorScale>
        <cfvo type="num" val="0"/>
        <cfvo type="num" val="4"/>
        <color rgb="00FFFFFF"/>
        <color rgb="00F4B183"/>
      </colorScale>
    </cfRule>
  </conditionalFormatting>
  <conditionalFormatting sqref="AN7:AN55">
    <cfRule type="colorScale" priority="18">
      <colorScale>
        <cfvo type="num" val="0"/>
        <cfvo type="num" val="4"/>
        <color rgb="00FFFFFF"/>
        <color rgb="00F4B183"/>
      </colorScale>
    </cfRule>
  </conditionalFormatting>
  <conditionalFormatting sqref="AQ7:AQ55">
    <cfRule type="colorScale" priority="19">
      <colorScale>
        <cfvo type="num" val="0"/>
        <cfvo type="num" val="4"/>
        <color rgb="00FFFFFF"/>
        <color rgb="00F4B183"/>
      </colorScale>
    </cfRule>
  </conditionalFormatting>
  <dataValidations count="5">
    <dataValidation sqref="BN7:BN55" showDropDown="0" showInputMessage="0" showErrorMessage="0" allowBlank="1" type="list">
      <formula1>"Agree,Change,Discuss"</formula1>
    </dataValidation>
    <dataValidation sqref="BP7:BP55" showDropDown="0" showInputMessage="0" showErrorMessage="0" allowBlank="1" type="list">
      <formula1>"Approved,Changed,On hold"</formula1>
    </dataValidation>
    <dataValidation sqref="BS7:BS55" showDropDown="0" showInputMessage="0" showErrorMessage="0" allowBlank="1" type="list">
      <formula1>"Y,N"</formula1>
    </dataValidation>
    <dataValidation sqref="BQ7:BQ55" showDropDown="0" showInputMessage="0" showErrorMessage="0" allowBlank="1" type="list">
      <formula1>"A1,A2,A3,B1,B2,B3,B+,C1,C2,C+,D1,D2,E1,E2,X1,X2,X3"</formula1>
    </dataValidation>
    <dataValidation sqref="AO7:AO55" showDropDown="0" showInputMessage="0" showErrorMessage="1" allowBlank="1" errorTitle="Business Impact rating" error="Enter a rating from 1 to 12; half points are allowed." type="decimal" operator="between">
      <formula1>1</formula1>
      <formula2>12</formula2>
    </dataValidation>
  </dataValidations>
  <hyperlinks>
    <hyperlink xmlns:r="http://schemas.openxmlformats.org/officeDocument/2006/relationships" ref="AA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9.xml><?xml version="1.0" encoding="utf-8"?>
<worksheet xmlns="http://schemas.openxmlformats.org/spreadsheetml/2006/main">
  <sheetPr>
    <tabColor rgb="00595959"/>
    <outlinePr summaryBelow="1" summaryRight="1"/>
    <pageSetUpPr fitToPage="1"/>
  </sheetPr>
  <dimension ref="A1:CG55"/>
  <sheetViews>
    <sheetView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20" customWidth="1" min="4" max="4"/>
    <col width="24" customWidth="1" min="5" max="5"/>
    <col width="12" customWidth="1" min="6" max="6"/>
    <col width="8" customWidth="1" min="7" max="7"/>
    <col width="10" customWidth="1" min="8" max="8"/>
    <col width="18" customWidth="1" min="9" max="9"/>
    <col width="22" customWidth="1" min="10" max="10"/>
    <col width="30" customWidth="1" min="11" max="11"/>
    <col width="10" customWidth="1" min="12" max="12"/>
    <col width="10" customWidth="1" min="13" max="13"/>
    <col width="12" customWidth="1" min="14" max="14"/>
    <col width="9" customWidth="1" min="15" max="15"/>
    <col width="10" customWidth="1" min="16" max="16"/>
    <col width="16" customWidth="1" min="17" max="17"/>
    <col width="20" customWidth="1" min="18" max="18"/>
    <col width="40" customWidth="1" min="19" max="19"/>
    <col width="30" customWidth="1" min="20" max="20"/>
    <col width="18"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 width="22" customWidth="1" min="75" max="75"/>
    <col width="22" customWidth="1" min="76" max="76"/>
    <col width="22" customWidth="1" min="77" max="77"/>
    <col width="22" customWidth="1" min="78" max="78"/>
    <col width="22" customWidth="1" min="79" max="79"/>
    <col width="22" customWidth="1" min="80" max="80"/>
    <col width="22" customWidth="1" min="81" max="81"/>
    <col width="22" customWidth="1" min="82" max="82"/>
    <col width="22" customWidth="1" min="83" max="83"/>
    <col width="22" customWidth="1" min="84" max="84"/>
    <col width="22" customWidth="1" min="85" max="85"/>
  </cols>
  <sheetData>
    <row r="1" ht="34" customHeight="1">
      <c r="A1" s="1" t="inlineStr">
        <is>
          <t>Raw Data &amp; Market Standards — every input per person, next to the market standard for the person's role</t>
        </is>
      </c>
      <c r="S1" s="242" t="inlineStr">
        <is>
          <t>◂ Contents</t>
        </is>
      </c>
    </row>
    <row r="2" ht="32" customHeight="1">
      <c r="A2" s="3" t="inlineStr">
        <is>
          <r>
            <rPr>
              <rFont val="Calibri"/>
              <b val="1"/>
              <i val="1"/>
              <color rgb="00404040"/>
              <sz val="10"/>
            </rPr>
            <t>Sheet 3 · Left:</t>
          </r>
          <r>
            <rPr>
              <rFont val="Calibri"/>
              <i val="1"/>
              <color rgb="00404040"/>
              <sz val="10"/>
            </rPr>
            <t xml:space="preserve"> the person and their final role. Middle: the market standard for that role and level. Right: the work-related raw fields as received — Employee Master, KRAs, CARBON / iFile / iDEAL / DataTech manager mapping. Personal data · gender, age, date of birth, e-mail, mobile, resignation dates and data-processing notes are excluded. Each person's How We Grow survey answers are used as evidence for the ratings but are not reproduced here: only the number of questions answered is shown.</t>
          </r>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G4" s="65" t="inlineStr">
        <is>
          <t>Level up</t>
        </is>
      </c>
      <c r="I4" s="66" t="inlineStr">
        <is>
          <t>Level down — pay &amp; title protected</t>
        </is>
      </c>
      <c r="K4" s="67" t="inlineStr">
        <is>
          <t>Newly mapped</t>
        </is>
      </c>
      <c r="L4" s="68" t="inlineStr">
        <is>
          <t>Player-Coach · B+ · C+</t>
        </is>
      </c>
      <c r="N4" s="69" t="inlineStr">
        <is>
          <t>RED = critical input needed · could change or confirm the level</t>
        </is>
      </c>
      <c r="R4" s="71" t="inlineStr">
        <is>
          <t>YELLOW = to complete in validation</t>
        </is>
      </c>
    </row>
    <row r="5" ht="32" customHeight="1">
      <c r="A5" s="73" t="inlineStr">
        <is>
          <t>PERSON &amp; ROLE — BEFORE → AFTER</t>
        </is>
      </c>
      <c r="M5" s="74" t="inlineStr">
        <is>
          <t>MARKET STANDARD FOR THIS ROLE &amp; LEVEL</t>
        </is>
      </c>
      <c r="V5" s="76" t="inlineStr">
        <is>
          <t>RAW DATA — as received · HRIS · KRAs · manager talent mapping; bracket = source file. Survey answers are counted, not quoted</t>
        </is>
      </c>
    </row>
    <row r="6" ht="58" customHeight="1">
      <c r="A6" s="91" t="inlineStr">
        <is>
          <t>Emp ID</t>
        </is>
      </c>
      <c r="B6" s="92" t="inlineStr">
        <is>
          <t>Employee name</t>
        </is>
      </c>
      <c r="C6" s="92" t="inlineStr">
        <is>
          <t>Department</t>
        </is>
      </c>
      <c r="D6" s="92" t="inlineStr">
        <is>
          <t>Current designation</t>
        </is>
      </c>
      <c r="E6" s="92" t="inlineStr">
        <is>
          <t>Final designation</t>
        </is>
      </c>
      <c r="F6" s="92" t="inlineStr">
        <is>
          <t>Current level</t>
        </is>
      </c>
      <c r="G6" s="92" t="inlineStr">
        <is>
          <t>FINAL LEVEL</t>
        </is>
      </c>
      <c r="H6" s="92" t="inlineStr">
        <is>
          <t>Change vs current</t>
        </is>
      </c>
      <c r="I6" s="92" t="inlineStr">
        <is>
          <t>Job family</t>
        </is>
      </c>
      <c r="J6" s="92" t="inlineStr">
        <is>
          <t>Sub-family</t>
        </is>
      </c>
      <c r="K6" s="92" t="inlineStr">
        <is>
          <t>ADDITIONAL INPUTS NEEDED — what, and who provides it</t>
        </is>
      </c>
      <c r="L6" s="92" t="inlineStr">
        <is>
          <t>Survey questions answered · of 20</t>
        </is>
      </c>
      <c r="M6" s="93" t="inlineStr">
        <is>
          <t>Radford / Mercer code</t>
        </is>
      </c>
      <c r="N6" s="12" t="inlineStr">
        <is>
          <t>Pave level</t>
        </is>
      </c>
      <c r="O6" s="12" t="inlineStr">
        <is>
          <t>SFIA 9</t>
        </is>
      </c>
      <c r="P6" s="12" t="inlineStr">
        <is>
          <t>IRIS experience guide</t>
        </is>
      </c>
      <c r="Q6" s="12" t="inlineStr">
        <is>
          <t>Market experience · Accenture · Infosys</t>
        </is>
      </c>
      <c r="R6" s="12" t="inlineStr">
        <is>
          <t>Typical market title based on competitor/market benchmark</t>
        </is>
      </c>
      <c r="S6" s="12" t="inlineStr">
        <is>
          <t>Competitors, regtech &amp; SaaS leaders</t>
        </is>
      </c>
      <c r="T6" s="12" t="inlineStr">
        <is>
          <t>Professional standard</t>
        </is>
      </c>
      <c r="U6" s="12" t="inlineStr">
        <is>
          <t>Required capability · Core · Future · Functional · Leadership</t>
        </is>
      </c>
      <c r="V6" s="94" t="inlineStr">
        <is>
          <t>Sr No</t>
        </is>
      </c>
      <c r="W6" s="156" t="inlineStr">
        <is>
          <t>Emp Id · 2</t>
        </is>
      </c>
      <c r="X6" s="156" t="inlineStr">
        <is>
          <t>Employee Category</t>
        </is>
      </c>
      <c r="Y6" s="156" t="inlineStr">
        <is>
          <t>Employee Status</t>
        </is>
      </c>
      <c r="Z6" s="156" t="inlineStr">
        <is>
          <t>Employee Name · 2</t>
        </is>
      </c>
      <c r="AA6" s="156" t="inlineStr">
        <is>
          <t>DoJ</t>
        </is>
      </c>
      <c r="AB6" s="156" t="inlineStr">
        <is>
          <t>Designation</t>
        </is>
      </c>
      <c r="AC6" s="156" t="inlineStr">
        <is>
          <t>Highest Qualifications</t>
        </is>
      </c>
      <c r="AD6" s="156" t="inlineStr">
        <is>
          <t>Reporting Manager</t>
        </is>
      </c>
      <c r="AE6" s="156" t="inlineStr">
        <is>
          <t>N levels</t>
        </is>
      </c>
      <c r="AF6" s="156" t="inlineStr">
        <is>
          <t>Manager or Individual Contributor</t>
        </is>
      </c>
      <c r="AG6" s="156" t="inlineStr">
        <is>
          <t>EXP Outside IRIS</t>
        </is>
      </c>
      <c r="AH6" s="156" t="inlineStr">
        <is>
          <t>EXP Current IRIS</t>
        </is>
      </c>
      <c r="AI6" s="156" t="inlineStr">
        <is>
          <t>Business Line</t>
        </is>
      </c>
      <c r="AJ6" s="156" t="inlineStr">
        <is>
          <t>Product/Others</t>
        </is>
      </c>
      <c r="AK6" s="156" t="inlineStr">
        <is>
          <t>Department · 2</t>
        </is>
      </c>
      <c r="AL6" s="156" t="inlineStr">
        <is>
          <t>Sub Functional Categorization</t>
        </is>
      </c>
      <c r="AM6" s="156" t="inlineStr">
        <is>
          <t>Core Development</t>
        </is>
      </c>
      <c r="AN6" s="156" t="inlineStr">
        <is>
          <t>Functional Categorization</t>
        </is>
      </c>
      <c r="AO6" s="156" t="inlineStr">
        <is>
          <t>Skill Sets</t>
        </is>
      </c>
      <c r="AP6" s="156" t="inlineStr">
        <is>
          <t>Technical/Non-technical</t>
        </is>
      </c>
      <c r="AQ6" s="156" t="inlineStr">
        <is>
          <t>Total Question Answered</t>
        </is>
      </c>
      <c r="AR6" s="156" t="inlineStr">
        <is>
          <t>Status</t>
        </is>
      </c>
      <c r="AS6" s="156" t="inlineStr">
        <is>
          <t>[Talent Mapping · iFile / iDEAL / DataTech / Database Content] Emp Id</t>
        </is>
      </c>
      <c r="AT6" s="156" t="inlineStr">
        <is>
          <t>[Talent Mapping · iFile / iDEAL / DataTech / Database Content] Employee Category</t>
        </is>
      </c>
      <c r="AU6" s="156" t="inlineStr">
        <is>
          <t>[Talent Mapping · iFile / iDEAL / DataTech / Database Content] Employee Status</t>
        </is>
      </c>
      <c r="AV6" s="156" t="inlineStr">
        <is>
          <t>[Talent Mapping · iFile / iDEAL / DataTech / Database Content] Employee Name</t>
        </is>
      </c>
      <c r="AW6" s="156" t="inlineStr">
        <is>
          <t>[Talent Mapping · iFile / iDEAL / DataTech / Database Content] DoJ</t>
        </is>
      </c>
      <c r="AX6" s="156" t="inlineStr">
        <is>
          <t>[Talent Mapping · iFile / iDEAL / DataTech / Database Content] Designation</t>
        </is>
      </c>
      <c r="AY6" s="156" t="inlineStr">
        <is>
          <t>[Talent Mapping · iFile / iDEAL / DataTech / Database Content] Role Family</t>
        </is>
      </c>
      <c r="AZ6" s="156" t="inlineStr">
        <is>
          <t>[Talent Mapping · iFile / iDEAL / DataTech / Database Content] Sub-Family</t>
        </is>
      </c>
      <c r="BA6" s="156" t="inlineStr">
        <is>
          <t>[Talent Mapping · iFile / iDEAL / DataTech / Database Content] Job Title</t>
        </is>
      </c>
      <c r="BB6" s="156" t="inlineStr">
        <is>
          <t>[Talent Mapping · iFile / iDEAL / DataTech / Database Content] Career Level</t>
        </is>
      </c>
      <c r="BC6" s="156" t="inlineStr">
        <is>
          <t>[Talent Mapping · iFile / iDEAL / DataTech / Database Content] Highest Qualifications</t>
        </is>
      </c>
      <c r="BD6" s="156" t="inlineStr">
        <is>
          <t>[Talent Mapping · iFile / iDEAL / DataTech / Database Content] Reporting Manager</t>
        </is>
      </c>
      <c r="BE6" s="156" t="inlineStr">
        <is>
          <t>[Talent Mapping · iFile / iDEAL / DataTech / Database Content] N levels</t>
        </is>
      </c>
      <c r="BF6" s="156" t="inlineStr">
        <is>
          <t>[Talent Mapping · iFile / iDEAL / DataTech / Database Content] Manager or Individual Contributor</t>
        </is>
      </c>
      <c r="BG6" s="156" t="inlineStr">
        <is>
          <t>[Talent Mapping · iFile / iDEAL / DataTech / Database Content] EXP Outside IRIS</t>
        </is>
      </c>
      <c r="BH6" s="156" t="inlineStr">
        <is>
          <t>[Talent Mapping · iFile / iDEAL / DataTech / Database Content] EXP Current IRIS</t>
        </is>
      </c>
      <c r="BI6" s="156" t="inlineStr">
        <is>
          <t>[Talent Mapping · iFile / iDEAL / DataTech / Database Content] Total Experience</t>
        </is>
      </c>
      <c r="BJ6" s="156" t="inlineStr">
        <is>
          <t>[Talent Mapping · iFile / iDEAL / DataTech / Database Content] Business Line</t>
        </is>
      </c>
      <c r="BK6" s="156" t="inlineStr">
        <is>
          <t>[Talent Mapping · iFile / iDEAL / DataTech / Database Content] Product/Others</t>
        </is>
      </c>
      <c r="BL6" s="156" t="inlineStr">
        <is>
          <t>[Talent Mapping · iFile / iDEAL / DataTech / Database Content] Department</t>
        </is>
      </c>
      <c r="BM6" s="156" t="inlineStr">
        <is>
          <t>[Talent Mapping · iFile / iDEAL / DataTech / Database Content] Sub Functional Categorization</t>
        </is>
      </c>
      <c r="BN6" s="156" t="inlineStr">
        <is>
          <t>[Talent Mapping · iFile / iDEAL / DataTech / Database Content] Core Development</t>
        </is>
      </c>
      <c r="BO6" s="156" t="inlineStr">
        <is>
          <t>[Talent Mapping · iFile / iDEAL / DataTech / Database Content] Functional Categorization</t>
        </is>
      </c>
      <c r="BP6" s="156" t="inlineStr">
        <is>
          <t>[Talent Mapping · iFile / iDEAL / DataTech / Database Content] Skill Sets</t>
        </is>
      </c>
      <c r="BQ6" s="156" t="inlineStr">
        <is>
          <t>[Talent Mapping · iFile / iDEAL / DataTech / Database Content] Technical/Non-technical</t>
        </is>
      </c>
      <c r="BR6" s="156" t="inlineStr">
        <is>
          <t>[Talent Mapping · iFile / iDEAL / DataTech / Database Content] Location</t>
        </is>
      </c>
      <c r="BS6" s="156" t="inlineStr">
        <is>
          <t>[Talent Mapping · iFile / iDEAL / DataTech / Database Content] Annual KRAs · objective Measurable Minimum 5 - Self</t>
        </is>
      </c>
      <c r="BT6" s="156" t="inlineStr">
        <is>
          <t>[Talent Mapping · iFile / iDEAL / DataTech / Database Content] Annual KRAs · objective Measurable Minimum 5 - set by Manager</t>
        </is>
      </c>
      <c r="BU6" s="156" t="inlineStr">
        <is>
          <t>[Talent Mapping · iFile / iDEAL / DataTech / Database Content] Quarterly KRAs</t>
        </is>
      </c>
      <c r="BV6" s="156" t="inlineStr">
        <is>
          <t>[Talent Mapping · iFile / iDEAL / DataTech / Database Content] Tentative Rating for Q1 · Scale 1-5</t>
        </is>
      </c>
      <c r="BW6" s="156" t="inlineStr">
        <is>
          <t>[Talent Mapping · iFile / iDEAL / DataTech / Database Content] Last Performance Discussion date</t>
        </is>
      </c>
      <c r="BX6" s="156" t="inlineStr">
        <is>
          <t>[Talent Mapping · iFile / iDEAL / DataTech / Database Content] Is a structural Change needed for better future</t>
        </is>
      </c>
      <c r="BY6" s="156" t="inlineStr">
        <is>
          <t>[Talent Mapping · iFile / iDEAL / DataTech / Database Content] Quarterly Performance Rating</t>
        </is>
      </c>
      <c r="BZ6" s="156" t="inlineStr">
        <is>
          <t>[Talent Mapping · iFile / iDEAL / DataTech / Database Content] Potential Rating · High/Med/Low</t>
        </is>
      </c>
      <c r="CA6" s="156" t="inlineStr">
        <is>
          <t>[Talent Mapping · iFile / iDEAL / DataTech / Database Content] 9-Box Placement</t>
        </is>
      </c>
      <c r="CB6" s="156" t="inlineStr">
        <is>
          <t>[Talent Mapping · iFile / iDEAL / DataTech / Database Content] Ready for Promotion</t>
        </is>
      </c>
      <c r="CC6" s="156" t="inlineStr">
        <is>
          <t>[Talent Mapping · iFile / iDEAL / DataTech / Database Content] Fast Tracker · Y/N</t>
        </is>
      </c>
      <c r="CD6" s="156" t="inlineStr">
        <is>
          <t>[Talent Mapping · iFile / iDEAL / DataTech / Database Content] Critical Role · Y/N</t>
        </is>
      </c>
      <c r="CE6" s="156" t="inlineStr">
        <is>
          <t>[Talent Mapping · iFile / iDEAL / DataTech / Database Content] Name of Successor Identified</t>
        </is>
      </c>
      <c r="CF6" s="156" t="inlineStr">
        <is>
          <t>[Talent Mapping · iFile / iDEAL / DataTech / Database Content] Training Needs identified for current Role</t>
        </is>
      </c>
      <c r="CG6" s="156" t="inlineStr">
        <is>
          <t>[Talent Mapping · iFile / iDEAL / DataTech / Database Content] Projects and Products</t>
        </is>
      </c>
    </row>
    <row r="7" ht="64" customHeight="1">
      <c r="A7" s="109" t="inlineStr">
        <is>
          <t>IRIS1326</t>
        </is>
      </c>
      <c r="B7" s="111" t="inlineStr">
        <is>
          <t>Sujit Acharya</t>
        </is>
      </c>
      <c r="C7" s="111" t="inlineStr">
        <is>
          <t>Administration</t>
        </is>
      </c>
      <c r="D7" s="111" t="inlineStr">
        <is>
          <t>Manager Administration</t>
        </is>
      </c>
      <c r="E7" s="111" t="inlineStr">
        <is>
          <t>Manager – Administration</t>
        </is>
      </c>
      <c r="F7" s="115" t="inlineStr">
        <is>
          <t>Not in current mapping files</t>
        </is>
      </c>
      <c r="G7" s="115" t="inlineStr">
        <is>
          <t>B2</t>
        </is>
      </c>
      <c r="H7" s="117" t="inlineStr">
        <is>
          <t>● Newly mapped</t>
        </is>
      </c>
      <c r="I7" s="111" t="inlineStr">
        <is>
          <t>Administration, Legal &amp; Secretarial</t>
        </is>
      </c>
      <c r="J7" s="111" t="inlineStr">
        <is>
          <t>Administration &amp; Facilities</t>
        </is>
      </c>
      <c r="K7" s="111" t="inlineStr"/>
      <c r="L7" s="111" t="n">
        <v>20</v>
      </c>
      <c r="M7" s="113" t="inlineStr">
        <is>
          <t>P4 / M3</t>
        </is>
      </c>
      <c r="N7" s="114" t="inlineStr">
        <is>
          <t>Senior / Manager</t>
        </is>
      </c>
      <c r="O7" s="114" t="inlineStr">
        <is>
          <t>4–5</t>
        </is>
      </c>
      <c r="P7" s="114" t="inlineStr">
        <is>
          <t>6–9 yrs</t>
        </is>
      </c>
      <c r="Q7" s="114" t="inlineStr">
        <is>
          <t>7–10 · 6–11</t>
        </is>
      </c>
      <c r="R7" s="114" t="inlineStr">
        <is>
          <t>Manager</t>
        </is>
      </c>
      <c r="S7" s="114" t="inlineStr">
        <is>
          <t>IRIS Vs Competitor Benchmark — corporate services ladder: Manager</t>
        </is>
      </c>
      <c r="T7" s="114" t="inlineStr">
        <is>
          <t>ICSI · Company Secretary; Companies Act 2013; IFMA · facilities; CIPS · procurement</t>
        </is>
      </c>
      <c r="U7" s="114" t="inlineStr">
        <is>
          <t>Core 3 · Future 3 · Functional 4 · Leadership 3</t>
        </is>
      </c>
      <c r="V7" s="157" t="n">
        <v>116</v>
      </c>
      <c r="W7" s="158" t="inlineStr">
        <is>
          <t>IRIS1326</t>
        </is>
      </c>
      <c r="X7" s="158" t="inlineStr">
        <is>
          <t>Employee</t>
        </is>
      </c>
      <c r="Y7" s="158" t="inlineStr">
        <is>
          <t>Active</t>
        </is>
      </c>
      <c r="Z7" s="158" t="inlineStr">
        <is>
          <t>Sujit Acharya</t>
        </is>
      </c>
      <c r="AA7" s="245" t="n">
        <v>41353</v>
      </c>
      <c r="AB7" s="158" t="inlineStr">
        <is>
          <t>Manager Administration</t>
        </is>
      </c>
      <c r="AC7" s="158" t="inlineStr">
        <is>
          <t>B.Com</t>
        </is>
      </c>
      <c r="AD7" s="158" t="inlineStr">
        <is>
          <t>Sudhakar Sawant</t>
        </is>
      </c>
      <c r="AE7" s="158" t="inlineStr">
        <is>
          <t>N-3</t>
        </is>
      </c>
      <c r="AF7" s="158" t="inlineStr">
        <is>
          <t>Manager</t>
        </is>
      </c>
      <c r="AG7" s="158" t="inlineStr">
        <is>
          <t>8 years, 3 months, 0 days</t>
        </is>
      </c>
      <c r="AH7" s="158" t="inlineStr">
        <is>
          <t>13 years, 5 months, 5 days</t>
        </is>
      </c>
      <c r="AI7" s="158" t="inlineStr">
        <is>
          <t>Corporate</t>
        </is>
      </c>
      <c r="AJ7" s="158" t="inlineStr">
        <is>
          <t>Corporate</t>
        </is>
      </c>
      <c r="AK7" s="158" t="inlineStr">
        <is>
          <t>Administration</t>
        </is>
      </c>
      <c r="AL7" s="158" t="inlineStr">
        <is>
          <t>Administration</t>
        </is>
      </c>
      <c r="AM7" s="158" t="inlineStr">
        <is>
          <t>No</t>
        </is>
      </c>
      <c r="AN7" s="158" t="inlineStr">
        <is>
          <t>General &amp; Admin</t>
        </is>
      </c>
      <c r="AO7" s="158" t="inlineStr">
        <is>
          <t>Administration</t>
        </is>
      </c>
      <c r="AP7" s="158" t="inlineStr">
        <is>
          <t>Non-technical</t>
        </is>
      </c>
      <c r="AQ7" s="158" t="n">
        <v>20</v>
      </c>
      <c r="AR7" s="158" t="inlineStr">
        <is>
          <t>Covered</t>
        </is>
      </c>
      <c r="AS7" s="158" t="n"/>
      <c r="AT7" s="158" t="n"/>
      <c r="AU7" s="158" t="n"/>
      <c r="AV7" s="158" t="n"/>
      <c r="AW7" s="158" t="n"/>
      <c r="AX7" s="158" t="n"/>
      <c r="AY7" s="158" t="n"/>
      <c r="AZ7" s="158" t="n"/>
      <c r="BA7" s="158" t="n"/>
      <c r="BB7" s="158" t="n"/>
      <c r="BC7" s="158" t="n"/>
      <c r="BD7" s="158" t="n"/>
      <c r="BE7" s="158" t="n"/>
      <c r="BF7" s="158" t="n"/>
      <c r="BG7" s="158" t="n"/>
      <c r="BH7" s="158" t="n"/>
      <c r="BI7" s="158" t="n"/>
      <c r="BJ7" s="158" t="n"/>
      <c r="BK7" s="158" t="n"/>
      <c r="BL7" s="158" t="n"/>
      <c r="BM7" s="158" t="n"/>
      <c r="BN7" s="158" t="n"/>
      <c r="BO7" s="158" t="n"/>
      <c r="BP7" s="158" t="n"/>
      <c r="BQ7" s="158" t="n"/>
      <c r="BR7" s="158" t="n"/>
      <c r="BS7" s="158" t="n"/>
      <c r="BT7" s="158" t="n"/>
      <c r="BU7" s="158" t="n"/>
      <c r="BV7" s="158" t="n"/>
      <c r="BW7" s="158" t="n"/>
      <c r="BX7" s="158" t="n"/>
      <c r="BY7" s="158" t="n"/>
      <c r="BZ7" s="158" t="n"/>
      <c r="CA7" s="158" t="n"/>
      <c r="CB7" s="158" t="n"/>
      <c r="CC7" s="158" t="n"/>
      <c r="CD7" s="158" t="n"/>
      <c r="CE7" s="158" t="n"/>
      <c r="CF7" s="158" t="n"/>
      <c r="CG7" s="158" t="n"/>
    </row>
    <row r="8" ht="64" customHeight="1">
      <c r="A8" s="109" t="inlineStr">
        <is>
          <t>IRIS2431</t>
        </is>
      </c>
      <c r="B8" s="111" t="inlineStr">
        <is>
          <t>Ashish Pawar</t>
        </is>
      </c>
      <c r="C8" s="111" t="inlineStr">
        <is>
          <t>Administration</t>
        </is>
      </c>
      <c r="D8" s="115" t="inlineStr">
        <is>
          <t>Executive Administration</t>
        </is>
      </c>
      <c r="E8" s="115" t="inlineStr">
        <is>
          <t>Senior Administration Executive</t>
        </is>
      </c>
      <c r="F8" s="115" t="inlineStr">
        <is>
          <t>Not in current mapping files</t>
        </is>
      </c>
      <c r="G8" s="115" t="inlineStr">
        <is>
          <t>A3</t>
        </is>
      </c>
      <c r="H8" s="117" t="inlineStr">
        <is>
          <t>● Newly mapped</t>
        </is>
      </c>
      <c r="I8" s="111" t="inlineStr">
        <is>
          <t>Administration, Legal &amp; Secretarial</t>
        </is>
      </c>
      <c r="J8" s="111" t="inlineStr">
        <is>
          <t>Administration &amp; Facilities</t>
        </is>
      </c>
      <c r="K8" s="111" t="inlineStr"/>
      <c r="L8" s="111" t="n">
        <v>19</v>
      </c>
      <c r="M8" s="113" t="inlineStr">
        <is>
          <t>P2</t>
        </is>
      </c>
      <c r="N8" s="114" t="inlineStr">
        <is>
          <t>Developing</t>
        </is>
      </c>
      <c r="O8" s="114" t="inlineStr">
        <is>
          <t>3 Apply</t>
        </is>
      </c>
      <c r="P8" s="114" t="inlineStr">
        <is>
          <t>2–4 yrs</t>
        </is>
      </c>
      <c r="Q8" s="114" t="inlineStr">
        <is>
          <t>3–5 · 2–5</t>
        </is>
      </c>
      <c r="R8" s="114" t="inlineStr">
        <is>
          <t>Admin / Secretarial Executive</t>
        </is>
      </c>
      <c r="S8" s="114" t="inlineStr">
        <is>
          <t>IRIS Vs Competitor Benchmark — corporate services ladder: Senior Executive</t>
        </is>
      </c>
      <c r="T8" s="114" t="inlineStr">
        <is>
          <t>ICSI · Company Secretary; Companies Act 2013; IFMA · facilities; CIPS · procurement</t>
        </is>
      </c>
      <c r="U8" s="114" t="inlineStr">
        <is>
          <t>Core 2 · Future 2 · Functional 3 · Leadership not scored</t>
        </is>
      </c>
      <c r="V8" s="157" t="n">
        <v>400</v>
      </c>
      <c r="W8" s="158" t="inlineStr">
        <is>
          <t>IRIS2431</t>
        </is>
      </c>
      <c r="X8" s="158" t="inlineStr">
        <is>
          <t>Employee</t>
        </is>
      </c>
      <c r="Y8" s="158" t="inlineStr">
        <is>
          <t>Active</t>
        </is>
      </c>
      <c r="Z8" s="158" t="inlineStr">
        <is>
          <t>Ashish Pawar</t>
        </is>
      </c>
      <c r="AA8" s="245" t="n">
        <v>45918</v>
      </c>
      <c r="AB8" s="158" t="inlineStr">
        <is>
          <t>Executive Administration</t>
        </is>
      </c>
      <c r="AC8" s="158" t="inlineStr">
        <is>
          <t>BA</t>
        </is>
      </c>
      <c r="AD8" s="158" t="inlineStr">
        <is>
          <t>Sujit Acharya</t>
        </is>
      </c>
      <c r="AE8" s="158" t="inlineStr">
        <is>
          <t>N-4</t>
        </is>
      </c>
      <c r="AF8" s="158" t="inlineStr">
        <is>
          <t>Individual Contributor</t>
        </is>
      </c>
      <c r="AG8" s="158" t="inlineStr">
        <is>
          <t>12 years, 2 months, 0 days</t>
        </is>
      </c>
      <c r="AH8" s="158" t="inlineStr">
        <is>
          <t>0 years, 11 months, 7 days</t>
        </is>
      </c>
      <c r="AI8" s="158" t="inlineStr">
        <is>
          <t>Corporate</t>
        </is>
      </c>
      <c r="AJ8" s="158" t="inlineStr">
        <is>
          <t>Corporate</t>
        </is>
      </c>
      <c r="AK8" s="158" t="inlineStr">
        <is>
          <t>Administration</t>
        </is>
      </c>
      <c r="AL8" s="158" t="inlineStr">
        <is>
          <t>Administration</t>
        </is>
      </c>
      <c r="AM8" s="158" t="inlineStr">
        <is>
          <t>No</t>
        </is>
      </c>
      <c r="AN8" s="158" t="inlineStr">
        <is>
          <t>General &amp; Admin</t>
        </is>
      </c>
      <c r="AO8" s="158" t="inlineStr">
        <is>
          <t>Administration</t>
        </is>
      </c>
      <c r="AP8" s="158" t="inlineStr">
        <is>
          <t>Non-technical</t>
        </is>
      </c>
      <c r="AQ8" s="158" t="n">
        <v>20</v>
      </c>
      <c r="AR8" s="158" t="inlineStr">
        <is>
          <t>Covered</t>
        </is>
      </c>
      <c r="AS8" s="158" t="n"/>
      <c r="AT8" s="158" t="n"/>
      <c r="AU8" s="158" t="n"/>
      <c r="AV8" s="158" t="n"/>
      <c r="AW8" s="158" t="n"/>
      <c r="AX8" s="158" t="n"/>
      <c r="AY8" s="158" t="n"/>
      <c r="AZ8" s="158" t="n"/>
      <c r="BA8" s="158" t="n"/>
      <c r="BB8" s="158" t="n"/>
      <c r="BC8" s="158" t="n"/>
      <c r="BD8" s="158" t="n"/>
      <c r="BE8" s="158" t="n"/>
      <c r="BF8" s="158" t="n"/>
      <c r="BG8" s="158" t="n"/>
      <c r="BH8" s="158" t="n"/>
      <c r="BI8" s="158" t="n"/>
      <c r="BJ8" s="158" t="n"/>
      <c r="BK8" s="158" t="n"/>
      <c r="BL8" s="158" t="n"/>
      <c r="BM8" s="158" t="n"/>
      <c r="BN8" s="158" t="n"/>
      <c r="BO8" s="158" t="n"/>
      <c r="BP8" s="158" t="n"/>
      <c r="BQ8" s="158" t="n"/>
      <c r="BR8" s="158" t="n"/>
      <c r="BS8" s="158" t="n"/>
      <c r="BT8" s="158" t="n"/>
      <c r="BU8" s="158" t="n"/>
      <c r="BV8" s="158" t="n"/>
      <c r="BW8" s="158" t="n"/>
      <c r="BX8" s="158" t="n"/>
      <c r="BY8" s="158" t="n"/>
      <c r="BZ8" s="158" t="n"/>
      <c r="CA8" s="158" t="n"/>
      <c r="CB8" s="158" t="n"/>
      <c r="CC8" s="158" t="n"/>
      <c r="CD8" s="158" t="n"/>
      <c r="CE8" s="158" t="n"/>
      <c r="CF8" s="158" t="n"/>
      <c r="CG8" s="158" t="n"/>
    </row>
    <row r="9" ht="64" customHeight="1">
      <c r="A9" s="109" t="inlineStr">
        <is>
          <t>IRIS0020</t>
        </is>
      </c>
      <c r="B9" s="111" t="inlineStr">
        <is>
          <t>Mangesh Kosty</t>
        </is>
      </c>
      <c r="C9" s="111" t="inlineStr">
        <is>
          <t>Administration</t>
        </is>
      </c>
      <c r="D9" s="115" t="inlineStr">
        <is>
          <t>Executive Administration</t>
        </is>
      </c>
      <c r="E9" s="115" t="inlineStr">
        <is>
          <t>Senior Administration Executive</t>
        </is>
      </c>
      <c r="F9" s="115" t="inlineStr">
        <is>
          <t>Not in current mapping files</t>
        </is>
      </c>
      <c r="G9" s="115" t="inlineStr">
        <is>
          <t>A3</t>
        </is>
      </c>
      <c r="H9" s="117" t="inlineStr">
        <is>
          <t>● Newly mapped</t>
        </is>
      </c>
      <c r="I9" s="111" t="inlineStr">
        <is>
          <t>Administration, Legal &amp; Secretarial</t>
        </is>
      </c>
      <c r="J9" s="111" t="inlineStr">
        <is>
          <t>Administration &amp; Facilities</t>
        </is>
      </c>
      <c r="K9" s="141" t="inlineStr">
        <is>
          <t>• Survey response or KRAs describing the work · nothing on file — Employee + manager
• Correct the experience record — HR</t>
        </is>
      </c>
      <c r="L9" s="111" t="n">
        <v>0</v>
      </c>
      <c r="M9" s="113" t="inlineStr">
        <is>
          <t>P2</t>
        </is>
      </c>
      <c r="N9" s="114" t="inlineStr">
        <is>
          <t>Developing</t>
        </is>
      </c>
      <c r="O9" s="114" t="inlineStr">
        <is>
          <t>3 Apply</t>
        </is>
      </c>
      <c r="P9" s="114" t="inlineStr">
        <is>
          <t>2–4 yrs</t>
        </is>
      </c>
      <c r="Q9" s="114" t="inlineStr">
        <is>
          <t>3–5 · 2–5</t>
        </is>
      </c>
      <c r="R9" s="114" t="inlineStr">
        <is>
          <t>Admin / Secretarial Executive</t>
        </is>
      </c>
      <c r="S9" s="114" t="inlineStr">
        <is>
          <t>IRIS Vs Competitor Benchmark — corporate services ladder: Senior Executive</t>
        </is>
      </c>
      <c r="T9" s="114" t="inlineStr">
        <is>
          <t>ICSI · Company Secretary; Companies Act 2013; IFMA · facilities; CIPS · procurement</t>
        </is>
      </c>
      <c r="U9" s="114" t="inlineStr">
        <is>
          <t>Core 2 · Future 2 · Functional 3 · Leadership not scored</t>
        </is>
      </c>
      <c r="V9" s="157" t="n">
        <v>10</v>
      </c>
      <c r="W9" s="158" t="inlineStr">
        <is>
          <t>IRIS0020</t>
        </is>
      </c>
      <c r="X9" s="158" t="inlineStr">
        <is>
          <t>Employee</t>
        </is>
      </c>
      <c r="Y9" s="158" t="inlineStr">
        <is>
          <t>Active</t>
        </is>
      </c>
      <c r="Z9" s="158" t="inlineStr">
        <is>
          <t>Mangesh Kosty</t>
        </is>
      </c>
      <c r="AA9" s="245" t="n">
        <v>38353</v>
      </c>
      <c r="AB9" s="158" t="inlineStr">
        <is>
          <t>Executive Administration</t>
        </is>
      </c>
      <c r="AC9" s="158" t="inlineStr">
        <is>
          <t>Undergraduate</t>
        </is>
      </c>
      <c r="AD9" s="158" t="inlineStr">
        <is>
          <t>Sujit Acharya</t>
        </is>
      </c>
      <c r="AE9" s="158" t="inlineStr">
        <is>
          <t>N-4</t>
        </is>
      </c>
      <c r="AF9" s="158" t="inlineStr">
        <is>
          <t>Individual Contributor</t>
        </is>
      </c>
      <c r="AG9" s="158" t="inlineStr">
        <is>
          <t>0 years, 0 months, 0 days</t>
        </is>
      </c>
      <c r="AH9" s="158" t="inlineStr">
        <is>
          <t>21 years, 7 months, 24 days</t>
        </is>
      </c>
      <c r="AI9" s="158" t="inlineStr">
        <is>
          <t>Corporate</t>
        </is>
      </c>
      <c r="AJ9" s="158" t="inlineStr">
        <is>
          <t>Corporate</t>
        </is>
      </c>
      <c r="AK9" s="158" t="inlineStr">
        <is>
          <t>Administration</t>
        </is>
      </c>
      <c r="AL9" s="158" t="inlineStr">
        <is>
          <t>Administration</t>
        </is>
      </c>
      <c r="AM9" s="158" t="inlineStr">
        <is>
          <t>No</t>
        </is>
      </c>
      <c r="AN9" s="158" t="inlineStr">
        <is>
          <t>General &amp; Admin</t>
        </is>
      </c>
      <c r="AO9" s="158" t="inlineStr">
        <is>
          <t>Administration</t>
        </is>
      </c>
      <c r="AP9" s="158" t="inlineStr">
        <is>
          <t>Non-technical</t>
        </is>
      </c>
      <c r="AQ9" s="158" t="n">
        <v>0</v>
      </c>
      <c r="AR9" s="158" t="inlineStr">
        <is>
          <t>E-Office Boy</t>
        </is>
      </c>
      <c r="AS9" s="158" t="n"/>
      <c r="AT9" s="158" t="n"/>
      <c r="AU9" s="158" t="n"/>
      <c r="AV9" s="158" t="n"/>
      <c r="AW9" s="158" t="n"/>
      <c r="AX9" s="158" t="n"/>
      <c r="AY9" s="158" t="n"/>
      <c r="AZ9" s="158" t="n"/>
      <c r="BA9" s="158" t="n"/>
      <c r="BB9" s="158" t="n"/>
      <c r="BC9" s="158" t="n"/>
      <c r="BD9" s="158" t="n"/>
      <c r="BE9" s="158" t="n"/>
      <c r="BF9" s="158" t="n"/>
      <c r="BG9" s="158" t="n"/>
      <c r="BH9" s="158" t="n"/>
      <c r="BI9" s="158" t="n"/>
      <c r="BJ9" s="158" t="n"/>
      <c r="BK9" s="158" t="n"/>
      <c r="BL9" s="158" t="n"/>
      <c r="BM9" s="158" t="n"/>
      <c r="BN9" s="158" t="n"/>
      <c r="BO9" s="158" t="n"/>
      <c r="BP9" s="158" t="n"/>
      <c r="BQ9" s="158" t="n"/>
      <c r="BR9" s="158" t="n"/>
      <c r="BS9" s="158" t="n"/>
      <c r="BT9" s="158" t="n"/>
      <c r="BU9" s="158" t="n"/>
      <c r="BV9" s="158" t="n"/>
      <c r="BW9" s="158" t="n"/>
      <c r="BX9" s="158" t="n"/>
      <c r="BY9" s="158" t="n"/>
      <c r="BZ9" s="158" t="n"/>
      <c r="CA9" s="158" t="n"/>
      <c r="CB9" s="158" t="n"/>
      <c r="CC9" s="158" t="n"/>
      <c r="CD9" s="158" t="n"/>
      <c r="CE9" s="158" t="n"/>
      <c r="CF9" s="158" t="n"/>
      <c r="CG9" s="158" t="n"/>
    </row>
    <row r="10" ht="64" customHeight="1">
      <c r="A10" s="109" t="inlineStr">
        <is>
          <t>IRIS0021</t>
        </is>
      </c>
      <c r="B10" s="111" t="inlineStr">
        <is>
          <t>Rajesh Khurambe</t>
        </is>
      </c>
      <c r="C10" s="111" t="inlineStr">
        <is>
          <t>Administration</t>
        </is>
      </c>
      <c r="D10" s="115" t="inlineStr">
        <is>
          <t>Executive Administration</t>
        </is>
      </c>
      <c r="E10" s="115" t="inlineStr">
        <is>
          <t>Senior Administration Executive</t>
        </is>
      </c>
      <c r="F10" s="115" t="inlineStr">
        <is>
          <t>Not in current mapping files</t>
        </is>
      </c>
      <c r="G10" s="115" t="inlineStr">
        <is>
          <t>A3</t>
        </is>
      </c>
      <c r="H10" s="117" t="inlineStr">
        <is>
          <t>● Newly mapped</t>
        </is>
      </c>
      <c r="I10" s="111" t="inlineStr">
        <is>
          <t>Administration, Legal &amp; Secretarial</t>
        </is>
      </c>
      <c r="J10" s="111" t="inlineStr">
        <is>
          <t>Administration &amp; Facilities</t>
        </is>
      </c>
      <c r="K10" s="141" t="inlineStr">
        <is>
          <t>• Survey response or KRAs describing the work · nothing on file — Employee + manager
• Correct the experience record — HR</t>
        </is>
      </c>
      <c r="L10" s="111" t="n">
        <v>0</v>
      </c>
      <c r="M10" s="113" t="inlineStr">
        <is>
          <t>P2</t>
        </is>
      </c>
      <c r="N10" s="114" t="inlineStr">
        <is>
          <t>Developing</t>
        </is>
      </c>
      <c r="O10" s="114" t="inlineStr">
        <is>
          <t>3 Apply</t>
        </is>
      </c>
      <c r="P10" s="114" t="inlineStr">
        <is>
          <t>2–4 yrs</t>
        </is>
      </c>
      <c r="Q10" s="114" t="inlineStr">
        <is>
          <t>3–5 · 2–5</t>
        </is>
      </c>
      <c r="R10" s="114" t="inlineStr">
        <is>
          <t>Admin / Secretarial Executive</t>
        </is>
      </c>
      <c r="S10" s="114" t="inlineStr">
        <is>
          <t>IRIS Vs Competitor Benchmark — corporate services ladder: Senior Executive</t>
        </is>
      </c>
      <c r="T10" s="114" t="inlineStr">
        <is>
          <t>ICSI · Company Secretary; Companies Act 2013; IFMA · facilities; CIPS · procurement</t>
        </is>
      </c>
      <c r="U10" s="114" t="inlineStr">
        <is>
          <t>Core 2 · Future 2 · Functional 3 · Leadership not scored</t>
        </is>
      </c>
      <c r="V10" s="157" t="n">
        <v>11</v>
      </c>
      <c r="W10" s="158" t="inlineStr">
        <is>
          <t>IRIS0021</t>
        </is>
      </c>
      <c r="X10" s="158" t="inlineStr">
        <is>
          <t>Employee</t>
        </is>
      </c>
      <c r="Y10" s="158" t="inlineStr">
        <is>
          <t>Active</t>
        </is>
      </c>
      <c r="Z10" s="158" t="inlineStr">
        <is>
          <t>Rajesh Khurambe</t>
        </is>
      </c>
      <c r="AA10" s="245" t="n">
        <v>38353</v>
      </c>
      <c r="AB10" s="158" t="inlineStr">
        <is>
          <t>Executive Administration</t>
        </is>
      </c>
      <c r="AC10" s="158" t="inlineStr">
        <is>
          <t>Undergraduate</t>
        </is>
      </c>
      <c r="AD10" s="158" t="inlineStr">
        <is>
          <t>Sujit Acharya</t>
        </is>
      </c>
      <c r="AE10" s="158" t="inlineStr">
        <is>
          <t>N-4</t>
        </is>
      </c>
      <c r="AF10" s="158" t="inlineStr">
        <is>
          <t>Individual Contributor</t>
        </is>
      </c>
      <c r="AG10" s="158" t="inlineStr">
        <is>
          <t>0 years, 0 months, 0 days</t>
        </is>
      </c>
      <c r="AH10" s="158" t="inlineStr">
        <is>
          <t>21 years, 7 months, 24 days</t>
        </is>
      </c>
      <c r="AI10" s="158" t="inlineStr">
        <is>
          <t>Corporate</t>
        </is>
      </c>
      <c r="AJ10" s="158" t="inlineStr">
        <is>
          <t>Corporate</t>
        </is>
      </c>
      <c r="AK10" s="158" t="inlineStr">
        <is>
          <t>Administration</t>
        </is>
      </c>
      <c r="AL10" s="158" t="inlineStr">
        <is>
          <t>Administration</t>
        </is>
      </c>
      <c r="AM10" s="158" t="inlineStr">
        <is>
          <t>No</t>
        </is>
      </c>
      <c r="AN10" s="158" t="inlineStr">
        <is>
          <t>General &amp; Admin</t>
        </is>
      </c>
      <c r="AO10" s="158" t="inlineStr">
        <is>
          <t>Administration</t>
        </is>
      </c>
      <c r="AP10" s="158" t="inlineStr">
        <is>
          <t>Non-technical</t>
        </is>
      </c>
      <c r="AQ10" s="158" t="n">
        <v>0</v>
      </c>
      <c r="AR10" s="158" t="inlineStr">
        <is>
          <t>E-Office Boy</t>
        </is>
      </c>
      <c r="AS10" s="158" t="n"/>
      <c r="AT10" s="158" t="n"/>
      <c r="AU10" s="158" t="n"/>
      <c r="AV10" s="158" t="n"/>
      <c r="AW10" s="158" t="n"/>
      <c r="AX10" s="158" t="n"/>
      <c r="AY10" s="158" t="n"/>
      <c r="AZ10" s="158" t="n"/>
      <c r="BA10" s="158" t="n"/>
      <c r="BB10" s="158" t="n"/>
      <c r="BC10" s="158" t="n"/>
      <c r="BD10" s="158" t="n"/>
      <c r="BE10" s="158" t="n"/>
      <c r="BF10" s="158" t="n"/>
      <c r="BG10" s="158" t="n"/>
      <c r="BH10" s="158" t="n"/>
      <c r="BI10" s="158" t="n"/>
      <c r="BJ10" s="158" t="n"/>
      <c r="BK10" s="158" t="n"/>
      <c r="BL10" s="158" t="n"/>
      <c r="BM10" s="158" t="n"/>
      <c r="BN10" s="158" t="n"/>
      <c r="BO10" s="158" t="n"/>
      <c r="BP10" s="158" t="n"/>
      <c r="BQ10" s="158" t="n"/>
      <c r="BR10" s="158" t="n"/>
      <c r="BS10" s="158" t="n"/>
      <c r="BT10" s="158" t="n"/>
      <c r="BU10" s="158" t="n"/>
      <c r="BV10" s="158" t="n"/>
      <c r="BW10" s="158" t="n"/>
      <c r="BX10" s="158" t="n"/>
      <c r="BY10" s="158" t="n"/>
      <c r="BZ10" s="158" t="n"/>
      <c r="CA10" s="158" t="n"/>
      <c r="CB10" s="158" t="n"/>
      <c r="CC10" s="158" t="n"/>
      <c r="CD10" s="158" t="n"/>
      <c r="CE10" s="158" t="n"/>
      <c r="CF10" s="158" t="n"/>
      <c r="CG10" s="158" t="n"/>
    </row>
    <row r="11" ht="64" customHeight="1">
      <c r="A11" s="109" t="inlineStr">
        <is>
          <t>IRIS1008</t>
        </is>
      </c>
      <c r="B11" s="111" t="inlineStr">
        <is>
          <t>Sunil Pawar</t>
        </is>
      </c>
      <c r="C11" s="111" t="inlineStr">
        <is>
          <t>Administration</t>
        </is>
      </c>
      <c r="D11" s="115" t="inlineStr">
        <is>
          <t>Executive Administration</t>
        </is>
      </c>
      <c r="E11" s="115" t="inlineStr">
        <is>
          <t>Senior Administration Executive</t>
        </is>
      </c>
      <c r="F11" s="115" t="inlineStr">
        <is>
          <t>Not in current mapping files</t>
        </is>
      </c>
      <c r="G11" s="115" t="inlineStr">
        <is>
          <t>A3</t>
        </is>
      </c>
      <c r="H11" s="117" t="inlineStr">
        <is>
          <t>● Newly mapped</t>
        </is>
      </c>
      <c r="I11" s="111" t="inlineStr">
        <is>
          <t>Administration, Legal &amp; Secretarial</t>
        </is>
      </c>
      <c r="J11" s="111" t="inlineStr">
        <is>
          <t>Administration &amp; Facilities</t>
        </is>
      </c>
      <c r="K11" s="141" t="inlineStr">
        <is>
          <t>• Survey response or KRAs describing the work · nothing on file — Employee + manager
• Correct the experience record — HR</t>
        </is>
      </c>
      <c r="L11" s="111" t="n">
        <v>0</v>
      </c>
      <c r="M11" s="113" t="inlineStr">
        <is>
          <t>P2</t>
        </is>
      </c>
      <c r="N11" s="114" t="inlineStr">
        <is>
          <t>Developing</t>
        </is>
      </c>
      <c r="O11" s="114" t="inlineStr">
        <is>
          <t>3 Apply</t>
        </is>
      </c>
      <c r="P11" s="114" t="inlineStr">
        <is>
          <t>2–4 yrs</t>
        </is>
      </c>
      <c r="Q11" s="114" t="inlineStr">
        <is>
          <t>3–5 · 2–5</t>
        </is>
      </c>
      <c r="R11" s="114" t="inlineStr">
        <is>
          <t>Admin / Secretarial Executive</t>
        </is>
      </c>
      <c r="S11" s="114" t="inlineStr">
        <is>
          <t>IRIS Vs Competitor Benchmark — corporate services ladder: Senior Executive</t>
        </is>
      </c>
      <c r="T11" s="114" t="inlineStr">
        <is>
          <t>ICSI · Company Secretary; Companies Act 2013; IFMA · facilities; CIPS · procurement</t>
        </is>
      </c>
      <c r="U11" s="114" t="inlineStr">
        <is>
          <t>Core 2 · Future 2 · Functional 3 · Leadership not scored</t>
        </is>
      </c>
      <c r="V11" s="157" t="n">
        <v>104</v>
      </c>
      <c r="W11" s="158" t="inlineStr">
        <is>
          <t>IRIS1008</t>
        </is>
      </c>
      <c r="X11" s="158" t="inlineStr">
        <is>
          <t>Employee</t>
        </is>
      </c>
      <c r="Y11" s="158" t="inlineStr">
        <is>
          <t>Active</t>
        </is>
      </c>
      <c r="Z11" s="158" t="inlineStr">
        <is>
          <t>Sunil Pawar</t>
        </is>
      </c>
      <c r="AA11" s="245" t="n">
        <v>40854</v>
      </c>
      <c r="AB11" s="158" t="inlineStr">
        <is>
          <t>Executive Administration</t>
        </is>
      </c>
      <c r="AC11" s="158" t="inlineStr">
        <is>
          <t>Undergraduate</t>
        </is>
      </c>
      <c r="AD11" s="158" t="inlineStr">
        <is>
          <t>Sujit Acharya</t>
        </is>
      </c>
      <c r="AE11" s="158" t="inlineStr">
        <is>
          <t>N-4</t>
        </is>
      </c>
      <c r="AF11" s="158" t="inlineStr">
        <is>
          <t>Individual Contributor</t>
        </is>
      </c>
      <c r="AG11" s="158" t="inlineStr">
        <is>
          <t>0 years, 0 months, 0 days</t>
        </is>
      </c>
      <c r="AH11" s="158" t="inlineStr">
        <is>
          <t>14 years, 9 months, 18 days</t>
        </is>
      </c>
      <c r="AI11" s="158" t="inlineStr">
        <is>
          <t>Corporate</t>
        </is>
      </c>
      <c r="AJ11" s="158" t="inlineStr">
        <is>
          <t>Corporate</t>
        </is>
      </c>
      <c r="AK11" s="158" t="inlineStr">
        <is>
          <t>Administration</t>
        </is>
      </c>
      <c r="AL11" s="158" t="inlineStr">
        <is>
          <t>Administration</t>
        </is>
      </c>
      <c r="AM11" s="158" t="inlineStr">
        <is>
          <t>No</t>
        </is>
      </c>
      <c r="AN11" s="158" t="inlineStr">
        <is>
          <t>General &amp; Admin</t>
        </is>
      </c>
      <c r="AO11" s="158" t="inlineStr">
        <is>
          <t>Administration</t>
        </is>
      </c>
      <c r="AP11" s="158" t="inlineStr">
        <is>
          <t>Non-technical</t>
        </is>
      </c>
      <c r="AQ11" s="158" t="n">
        <v>0</v>
      </c>
      <c r="AR11" s="158" t="inlineStr">
        <is>
          <t>E-Office Boy</t>
        </is>
      </c>
      <c r="AS11" s="158" t="n"/>
      <c r="AT11" s="158" t="n"/>
      <c r="AU11" s="158" t="n"/>
      <c r="AV11" s="158" t="n"/>
      <c r="AW11" s="158" t="n"/>
      <c r="AX11" s="158" t="n"/>
      <c r="AY11" s="158" t="n"/>
      <c r="AZ11" s="158" t="n"/>
      <c r="BA11" s="158" t="n"/>
      <c r="BB11" s="158" t="n"/>
      <c r="BC11" s="158" t="n"/>
      <c r="BD11" s="158" t="n"/>
      <c r="BE11" s="158" t="n"/>
      <c r="BF11" s="158" t="n"/>
      <c r="BG11" s="158" t="n"/>
      <c r="BH11" s="158" t="n"/>
      <c r="BI11" s="158" t="n"/>
      <c r="BJ11" s="158" t="n"/>
      <c r="BK11" s="158" t="n"/>
      <c r="BL11" s="158" t="n"/>
      <c r="BM11" s="158" t="n"/>
      <c r="BN11" s="158" t="n"/>
      <c r="BO11" s="158" t="n"/>
      <c r="BP11" s="158" t="n"/>
      <c r="BQ11" s="158" t="n"/>
      <c r="BR11" s="158" t="n"/>
      <c r="BS11" s="158" t="n"/>
      <c r="BT11" s="158" t="n"/>
      <c r="BU11" s="158" t="n"/>
      <c r="BV11" s="158" t="n"/>
      <c r="BW11" s="158" t="n"/>
      <c r="BX11" s="158" t="n"/>
      <c r="BY11" s="158" t="n"/>
      <c r="BZ11" s="158" t="n"/>
      <c r="CA11" s="158" t="n"/>
      <c r="CB11" s="158" t="n"/>
      <c r="CC11" s="158" t="n"/>
      <c r="CD11" s="158" t="n"/>
      <c r="CE11" s="158" t="n"/>
      <c r="CF11" s="158" t="n"/>
      <c r="CG11" s="158" t="n"/>
    </row>
    <row r="12" ht="64" customHeight="1">
      <c r="A12" s="109" t="inlineStr">
        <is>
          <t>IRISC291</t>
        </is>
      </c>
      <c r="B12" s="111" t="inlineStr">
        <is>
          <t>Ganesh Prabhakar Amrutsagar</t>
        </is>
      </c>
      <c r="C12" s="111" t="inlineStr">
        <is>
          <t>Administration</t>
        </is>
      </c>
      <c r="D12" s="115" t="inlineStr">
        <is>
          <t>Consultant</t>
        </is>
      </c>
      <c r="E12" s="115" t="inlineStr">
        <is>
          <t>Associate Consultant – Administration &amp; Facilities</t>
        </is>
      </c>
      <c r="F12" s="111" t="inlineStr">
        <is>
          <t>—</t>
        </is>
      </c>
      <c r="G12" s="43" t="inlineStr">
        <is>
          <t>X1</t>
        </is>
      </c>
      <c r="H12" s="144" t="inlineStr">
        <is>
          <t>• Same level</t>
        </is>
      </c>
      <c r="I12" s="111" t="inlineStr">
        <is>
          <t>Administration, Legal &amp; Secretarial</t>
        </is>
      </c>
      <c r="J12" s="111" t="inlineStr">
        <is>
          <t>Administration &amp; Facilities</t>
        </is>
      </c>
      <c r="K12" s="111" t="inlineStr"/>
      <c r="L12" s="111" t="n">
        <v>0</v>
      </c>
      <c r="M12" s="113" t="inlineStr">
        <is>
          <t>Contractor</t>
        </is>
      </c>
      <c r="N12" s="114" t="inlineStr">
        <is>
          <t>—</t>
        </is>
      </c>
      <c r="O12" s="114" t="inlineStr">
        <is>
          <t>—</t>
        </is>
      </c>
      <c r="P12" s="114" t="inlineStr">
        <is>
          <t>0–5 yrs</t>
        </is>
      </c>
      <c r="Q12" s="114" t="inlineStr">
        <is>
          <t>—</t>
        </is>
      </c>
      <c r="R12" s="114" t="inlineStr">
        <is>
          <t>Contractor · rate card</t>
        </is>
      </c>
      <c r="S12" s="114" t="inlineStr">
        <is>
          <t>—</t>
        </is>
      </c>
      <c r="T12" s="114" t="inlineStr">
        <is>
          <t>ICSI · Company Secretary; Companies Act 2013; IFMA · facilities; CIPS · procurement</t>
        </is>
      </c>
      <c r="U12" s="114" t="inlineStr">
        <is>
          <t>Per statement of work</t>
        </is>
      </c>
      <c r="V12" s="157" t="n">
        <v>305</v>
      </c>
      <c r="W12" s="158" t="inlineStr">
        <is>
          <t>IRISC291</t>
        </is>
      </c>
      <c r="X12" s="158" t="inlineStr">
        <is>
          <t>Full Time Consultant</t>
        </is>
      </c>
      <c r="Y12" s="158" t="inlineStr">
        <is>
          <t>Active</t>
        </is>
      </c>
      <c r="Z12" s="158" t="inlineStr">
        <is>
          <t>Ganesh Prabhakar Amrutsagar</t>
        </is>
      </c>
      <c r="AA12" s="245" t="n">
        <v>45327</v>
      </c>
      <c r="AB12" s="158" t="inlineStr">
        <is>
          <t>Consultant</t>
        </is>
      </c>
      <c r="AC12" s="158" t="inlineStr">
        <is>
          <t>Undergraduate</t>
        </is>
      </c>
      <c r="AD12" s="158" t="inlineStr">
        <is>
          <t>Sujit Acharya</t>
        </is>
      </c>
      <c r="AE12" s="158" t="inlineStr">
        <is>
          <t>N-4</t>
        </is>
      </c>
      <c r="AF12" s="158" t="inlineStr">
        <is>
          <t>Individual Contributor</t>
        </is>
      </c>
      <c r="AG12" s="158" t="inlineStr">
        <is>
          <t>0 years, 0 months, 0 days</t>
        </is>
      </c>
      <c r="AH12" s="158" t="inlineStr">
        <is>
          <t>2 years, 6 months, 20 days</t>
        </is>
      </c>
      <c r="AI12" s="158" t="inlineStr">
        <is>
          <t>Corporate</t>
        </is>
      </c>
      <c r="AJ12" s="158" t="inlineStr">
        <is>
          <t>Corporate</t>
        </is>
      </c>
      <c r="AK12" s="158" t="inlineStr">
        <is>
          <t>Administration</t>
        </is>
      </c>
      <c r="AL12" s="158" t="inlineStr">
        <is>
          <t>Administration</t>
        </is>
      </c>
      <c r="AM12" s="158" t="inlineStr">
        <is>
          <t>No</t>
        </is>
      </c>
      <c r="AN12" s="158" t="inlineStr">
        <is>
          <t>General &amp; Admin</t>
        </is>
      </c>
      <c r="AO12" s="158" t="inlineStr">
        <is>
          <t>Administration</t>
        </is>
      </c>
      <c r="AP12" s="158" t="inlineStr">
        <is>
          <t>Non-technical</t>
        </is>
      </c>
      <c r="AQ12" s="158" t="n">
        <v>0</v>
      </c>
      <c r="AR12" s="158" t="inlineStr">
        <is>
          <t>E-Office Boy</t>
        </is>
      </c>
      <c r="AS12" s="158" t="n"/>
      <c r="AT12" s="158" t="n"/>
      <c r="AU12" s="158" t="n"/>
      <c r="AV12" s="158" t="n"/>
      <c r="AW12" s="158" t="n"/>
      <c r="AX12" s="158" t="n"/>
      <c r="AY12" s="158" t="n"/>
      <c r="AZ12" s="158" t="n"/>
      <c r="BA12" s="158" t="n"/>
      <c r="BB12" s="158" t="n"/>
      <c r="BC12" s="158" t="n"/>
      <c r="BD12" s="158" t="n"/>
      <c r="BE12" s="158" t="n"/>
      <c r="BF12" s="158" t="n"/>
      <c r="BG12" s="158" t="n"/>
      <c r="BH12" s="158" t="n"/>
      <c r="BI12" s="158" t="n"/>
      <c r="BJ12" s="158" t="n"/>
      <c r="BK12" s="158" t="n"/>
      <c r="BL12" s="158" t="n"/>
      <c r="BM12" s="158" t="n"/>
      <c r="BN12" s="158" t="n"/>
      <c r="BO12" s="158" t="n"/>
      <c r="BP12" s="158" t="n"/>
      <c r="BQ12" s="158" t="n"/>
      <c r="BR12" s="158" t="n"/>
      <c r="BS12" s="158" t="n"/>
      <c r="BT12" s="158" t="n"/>
      <c r="BU12" s="158" t="n"/>
      <c r="BV12" s="158" t="n"/>
      <c r="BW12" s="158" t="n"/>
      <c r="BX12" s="158" t="n"/>
      <c r="BY12" s="158" t="n"/>
      <c r="BZ12" s="158" t="n"/>
      <c r="CA12" s="158" t="n"/>
      <c r="CB12" s="158" t="n"/>
      <c r="CC12" s="158" t="n"/>
      <c r="CD12" s="158" t="n"/>
      <c r="CE12" s="158" t="n"/>
      <c r="CF12" s="158" t="n"/>
      <c r="CG12" s="158" t="n"/>
    </row>
    <row r="13" ht="64" customHeight="1">
      <c r="A13" s="109" t="inlineStr">
        <is>
          <t>IRIS0919</t>
        </is>
      </c>
      <c r="B13" s="111" t="inlineStr">
        <is>
          <t>Vineet Kandoi</t>
        </is>
      </c>
      <c r="C13" s="111" t="inlineStr">
        <is>
          <t>Finance</t>
        </is>
      </c>
      <c r="D13" s="111" t="inlineStr">
        <is>
          <t>Chief Financial Officer</t>
        </is>
      </c>
      <c r="E13" s="111" t="inlineStr">
        <is>
          <t>Chief Financial Officer</t>
        </is>
      </c>
      <c r="F13" s="115" t="inlineStr">
        <is>
          <t>Not in current mapping files</t>
        </is>
      </c>
      <c r="G13" s="115" t="inlineStr">
        <is>
          <t>E1</t>
        </is>
      </c>
      <c r="H13" s="117" t="inlineStr">
        <is>
          <t>● Newly mapped</t>
        </is>
      </c>
      <c r="I13" s="111" t="inlineStr">
        <is>
          <t>Executive Leadership</t>
        </is>
      </c>
      <c r="J13" s="111" t="inlineStr">
        <is>
          <t>Enterprise Leadership</t>
        </is>
      </c>
      <c r="K13" s="141" t="inlineStr">
        <is>
          <t>• Survey response or KRAs describing the work · nothing on file — Employee + manager</t>
        </is>
      </c>
      <c r="L13" s="111" t="n">
        <v>0</v>
      </c>
      <c r="M13" s="113" t="inlineStr">
        <is>
          <t>E5</t>
        </is>
      </c>
      <c r="N13" s="114" t="inlineStr">
        <is>
          <t>C-Level</t>
        </is>
      </c>
      <c r="O13" s="114" t="inlineStr">
        <is>
          <t>7</t>
        </is>
      </c>
      <c r="P13" s="114" t="inlineStr">
        <is>
          <t>20+ yrs</t>
        </is>
      </c>
      <c r="Q13" s="114" t="inlineStr">
        <is>
          <t>—</t>
        </is>
      </c>
      <c r="R13" s="114" t="inlineStr">
        <is>
          <t>CXO · functional chief</t>
        </is>
      </c>
      <c r="S13" s="114" t="inlineStr">
        <is>
          <t>IRIS Vs Market Benchmark — Aon Radford / Mercer executive codes: E5 C-level · functional · IRIS Vs Competitor Benchmark — regtech / SaaS executive titles: CTO · CFO · CRO · CCO · COO</t>
        </is>
      </c>
      <c r="T13" s="114" t="inlineStr">
        <is>
          <t>Aon Radford executive levels E1–E6; Mercer ET1–ET3; Korn Ferry Leadership Architect</t>
        </is>
      </c>
      <c r="U13" s="114" t="inlineStr">
        <is>
          <t>Core 5 · Future 5 · Functional 4 · Leadership 5</t>
        </is>
      </c>
      <c r="V13" s="157" t="n">
        <v>99</v>
      </c>
      <c r="W13" s="158" t="inlineStr">
        <is>
          <t>IRIS0919</t>
        </is>
      </c>
      <c r="X13" s="158" t="inlineStr">
        <is>
          <t>Employee</t>
        </is>
      </c>
      <c r="Y13" s="158" t="inlineStr">
        <is>
          <t>Active</t>
        </is>
      </c>
      <c r="Z13" s="158" t="inlineStr">
        <is>
          <t>Vineet Kandoi</t>
        </is>
      </c>
      <c r="AA13" s="245" t="n">
        <v>40806</v>
      </c>
      <c r="AB13" s="158" t="inlineStr">
        <is>
          <t>Chief Financial Officer</t>
        </is>
      </c>
      <c r="AC13" s="158" t="inlineStr">
        <is>
          <t>CA + Senior Management Program</t>
        </is>
      </c>
      <c r="AD13" s="158" t="inlineStr">
        <is>
          <t>Balachandran K</t>
        </is>
      </c>
      <c r="AE13" s="158" t="inlineStr">
        <is>
          <t>N-1</t>
        </is>
      </c>
      <c r="AF13" s="158" t="inlineStr">
        <is>
          <t>Manager</t>
        </is>
      </c>
      <c r="AG13" s="158" t="inlineStr">
        <is>
          <t>0 years, 0 months, 0 days</t>
        </is>
      </c>
      <c r="AH13" s="158" t="inlineStr">
        <is>
          <t>14 years, 11 months, 5 days</t>
        </is>
      </c>
      <c r="AI13" s="158" t="inlineStr">
        <is>
          <t>Corporate</t>
        </is>
      </c>
      <c r="AJ13" s="158" t="inlineStr">
        <is>
          <t>Corporate</t>
        </is>
      </c>
      <c r="AK13" s="158" t="inlineStr">
        <is>
          <t>Finance</t>
        </is>
      </c>
      <c r="AL13" s="158" t="inlineStr">
        <is>
          <t>Accounting</t>
        </is>
      </c>
      <c r="AM13" s="158" t="inlineStr">
        <is>
          <t>No</t>
        </is>
      </c>
      <c r="AN13" s="158" t="inlineStr">
        <is>
          <t>General &amp; Admin</t>
        </is>
      </c>
      <c r="AO13" s="158" t="inlineStr">
        <is>
          <t>Accounting</t>
        </is>
      </c>
      <c r="AP13" s="158" t="inlineStr">
        <is>
          <t>Non-technical</t>
        </is>
      </c>
      <c r="AQ13" s="158" t="n">
        <v>0</v>
      </c>
      <c r="AR13" s="158" t="inlineStr">
        <is>
          <t>E-Top management</t>
        </is>
      </c>
      <c r="AS13" s="158" t="n"/>
      <c r="AT13" s="158" t="n"/>
      <c r="AU13" s="158" t="n"/>
      <c r="AV13" s="158" t="n"/>
      <c r="AW13" s="158" t="n"/>
      <c r="AX13" s="158" t="n"/>
      <c r="AY13" s="158" t="n"/>
      <c r="AZ13" s="158" t="n"/>
      <c r="BA13" s="158" t="n"/>
      <c r="BB13" s="158" t="n"/>
      <c r="BC13" s="158" t="n"/>
      <c r="BD13" s="158" t="n"/>
      <c r="BE13" s="158" t="n"/>
      <c r="BF13" s="158" t="n"/>
      <c r="BG13" s="158" t="n"/>
      <c r="BH13" s="158" t="n"/>
      <c r="BI13" s="158" t="n"/>
      <c r="BJ13" s="158" t="n"/>
      <c r="BK13" s="158" t="n"/>
      <c r="BL13" s="158" t="n"/>
      <c r="BM13" s="158" t="n"/>
      <c r="BN13" s="158" t="n"/>
      <c r="BO13" s="158" t="n"/>
      <c r="BP13" s="158" t="n"/>
      <c r="BQ13" s="158" t="n"/>
      <c r="BR13" s="158" t="n"/>
      <c r="BS13" s="158" t="n"/>
      <c r="BT13" s="158" t="n"/>
      <c r="BU13" s="158" t="n"/>
      <c r="BV13" s="158" t="n"/>
      <c r="BW13" s="158" t="n"/>
      <c r="BX13" s="158" t="n"/>
      <c r="BY13" s="158" t="n"/>
      <c r="BZ13" s="158" t="n"/>
      <c r="CA13" s="158" t="n"/>
      <c r="CB13" s="158" t="n"/>
      <c r="CC13" s="158" t="n"/>
      <c r="CD13" s="158" t="n"/>
      <c r="CE13" s="158" t="n"/>
      <c r="CF13" s="158" t="n"/>
      <c r="CG13" s="158" t="n"/>
    </row>
    <row r="14" ht="64" customHeight="1">
      <c r="A14" s="109" t="inlineStr">
        <is>
          <t>IRIS1918</t>
        </is>
      </c>
      <c r="B14" s="111" t="inlineStr">
        <is>
          <t>Nishant Gupta</t>
        </is>
      </c>
      <c r="C14" s="111" t="inlineStr">
        <is>
          <t>Finance</t>
        </is>
      </c>
      <c r="D14" s="115" t="inlineStr">
        <is>
          <t>Head Finance &amp; Accounts</t>
        </is>
      </c>
      <c r="E14" s="115" t="inlineStr">
        <is>
          <t>Associate Head – Finance &amp; Accounts</t>
        </is>
      </c>
      <c r="F14" s="115" t="inlineStr">
        <is>
          <t>Not in current mapping files</t>
        </is>
      </c>
      <c r="G14" s="115" t="inlineStr">
        <is>
          <t>C1</t>
        </is>
      </c>
      <c r="H14" s="117" t="inlineStr">
        <is>
          <t>● Newly mapped</t>
        </is>
      </c>
      <c r="I14" s="111" t="inlineStr">
        <is>
          <t>Finance &amp; Accounts</t>
        </is>
      </c>
      <c r="J14" s="111" t="inlineStr">
        <is>
          <t>Finance Leadership</t>
        </is>
      </c>
      <c r="K14" s="141" t="inlineStr">
        <is>
          <t>• Survey response or KRAs describing the work · nothing on file — Employee + manager</t>
        </is>
      </c>
      <c r="L14" s="111" t="n">
        <v>0</v>
      </c>
      <c r="M14" s="113" t="inlineStr">
        <is>
          <t>P6 / M5</t>
        </is>
      </c>
      <c r="N14" s="114" t="inlineStr">
        <is>
          <t>Principal / Director</t>
        </is>
      </c>
      <c r="O14" s="114" t="inlineStr">
        <is>
          <t>5–6</t>
        </is>
      </c>
      <c r="P14" s="114" t="inlineStr">
        <is>
          <t>10–14 yrs</t>
        </is>
      </c>
      <c r="Q14" s="114" t="inlineStr">
        <is>
          <t>12–16 · 12–18</t>
        </is>
      </c>
      <c r="R14" s="114" t="inlineStr">
        <is>
          <t>Head of Function / AGM</t>
        </is>
      </c>
      <c r="S14" s="114" t="inlineStr">
        <is>
          <r>
            <rPr>
              <rFont val="Calibri"/>
              <b val="1"/>
              <sz val="10"/>
            </rPr>
            <t>Atlassian company-wide P-levels:</t>
          </r>
          <r>
            <rPr>
              <rFont val="Calibri"/>
              <sz val="10"/>
            </rPr>
            <t xml:space="preserve"> P60 Accountant · Principal · IRIS Vs Competitor Benchmark — finance ladder: Associate Director Finance</t>
          </r>
        </is>
      </c>
      <c r="T14" s="114" t="inlineStr">
        <is>
          <t>IMA Management Accounting Competency Framework; ICAI / CA; Ind AS</t>
        </is>
      </c>
      <c r="U14" s="114" t="inlineStr">
        <is>
          <t>Core 4 · Future 4 · Functional 4 · Leadership 4</t>
        </is>
      </c>
      <c r="V14" s="157" t="n">
        <v>182</v>
      </c>
      <c r="W14" s="158" t="inlineStr">
        <is>
          <t>IRIS1918</t>
        </is>
      </c>
      <c r="X14" s="158" t="inlineStr">
        <is>
          <t>Employee</t>
        </is>
      </c>
      <c r="Y14" s="158" t="inlineStr">
        <is>
          <t>Active</t>
        </is>
      </c>
      <c r="Z14" s="158" t="inlineStr">
        <is>
          <t>Nishant Gupta</t>
        </is>
      </c>
      <c r="AA14" s="245" t="n">
        <v>44357</v>
      </c>
      <c r="AB14" s="158" t="inlineStr">
        <is>
          <t>Head Finance &amp; Accounts</t>
        </is>
      </c>
      <c r="AC14" s="158" t="inlineStr">
        <is>
          <t>CA</t>
        </is>
      </c>
      <c r="AD14" s="158" t="inlineStr">
        <is>
          <t>Vineet Kandoi</t>
        </is>
      </c>
      <c r="AE14" s="158" t="inlineStr">
        <is>
          <t>N-2</t>
        </is>
      </c>
      <c r="AF14" s="158" t="inlineStr">
        <is>
          <t>Manager</t>
        </is>
      </c>
      <c r="AG14" s="158" t="inlineStr">
        <is>
          <t>2 years, 0 months, 0 days</t>
        </is>
      </c>
      <c r="AH14" s="158" t="inlineStr">
        <is>
          <t>5 years, 2 months, 15 days</t>
        </is>
      </c>
      <c r="AI14" s="158" t="inlineStr">
        <is>
          <t>Corporate</t>
        </is>
      </c>
      <c r="AJ14" s="158" t="inlineStr">
        <is>
          <t>Corporate</t>
        </is>
      </c>
      <c r="AK14" s="158" t="inlineStr">
        <is>
          <t>Finance</t>
        </is>
      </c>
      <c r="AL14" s="158" t="inlineStr">
        <is>
          <t>Accounting</t>
        </is>
      </c>
      <c r="AM14" s="158" t="inlineStr">
        <is>
          <t>No</t>
        </is>
      </c>
      <c r="AN14" s="158" t="inlineStr">
        <is>
          <t>General &amp; Admin</t>
        </is>
      </c>
      <c r="AO14" s="158" t="inlineStr">
        <is>
          <t>Accounting</t>
        </is>
      </c>
      <c r="AP14" s="158" t="inlineStr">
        <is>
          <t>Non-technical</t>
        </is>
      </c>
      <c r="AQ14" s="158" t="n">
        <v>0</v>
      </c>
      <c r="AR14" s="158" t="inlineStr">
        <is>
          <t>E-Top management</t>
        </is>
      </c>
      <c r="AS14" s="158" t="n"/>
      <c r="AT14" s="158" t="n"/>
      <c r="AU14" s="158" t="n"/>
      <c r="AV14" s="158" t="n"/>
      <c r="AW14" s="158" t="n"/>
      <c r="AX14" s="158" t="n"/>
      <c r="AY14" s="158" t="n"/>
      <c r="AZ14" s="158" t="n"/>
      <c r="BA14" s="158" t="n"/>
      <c r="BB14" s="158" t="n"/>
      <c r="BC14" s="158" t="n"/>
      <c r="BD14" s="158" t="n"/>
      <c r="BE14" s="158" t="n"/>
      <c r="BF14" s="158" t="n"/>
      <c r="BG14" s="158" t="n"/>
      <c r="BH14" s="158" t="n"/>
      <c r="BI14" s="158" t="n"/>
      <c r="BJ14" s="158" t="n"/>
      <c r="BK14" s="158" t="n"/>
      <c r="BL14" s="158" t="n"/>
      <c r="BM14" s="158" t="n"/>
      <c r="BN14" s="158" t="n"/>
      <c r="BO14" s="158" t="n"/>
      <c r="BP14" s="158" t="n"/>
      <c r="BQ14" s="158" t="n"/>
      <c r="BR14" s="158" t="n"/>
      <c r="BS14" s="158" t="n"/>
      <c r="BT14" s="158" t="n"/>
      <c r="BU14" s="158" t="n"/>
      <c r="BV14" s="158" t="n"/>
      <c r="BW14" s="158" t="n"/>
      <c r="BX14" s="158" t="n"/>
      <c r="BY14" s="158" t="n"/>
      <c r="BZ14" s="158" t="n"/>
      <c r="CA14" s="158" t="n"/>
      <c r="CB14" s="158" t="n"/>
      <c r="CC14" s="158" t="n"/>
      <c r="CD14" s="158" t="n"/>
      <c r="CE14" s="158" t="n"/>
      <c r="CF14" s="158" t="n"/>
      <c r="CG14" s="158" t="n"/>
    </row>
    <row r="15" ht="64" customHeight="1">
      <c r="A15" s="109" t="inlineStr">
        <is>
          <t>IRIS0006</t>
        </is>
      </c>
      <c r="B15" s="111" t="inlineStr">
        <is>
          <t>Sudhakar Sawant</t>
        </is>
      </c>
      <c r="C15" s="111" t="inlineStr">
        <is>
          <t>Finance</t>
        </is>
      </c>
      <c r="D15" s="115" t="inlineStr">
        <is>
          <t>Head – Admin &amp; Internal Audit</t>
        </is>
      </c>
      <c r="E15" s="115" t="inlineStr">
        <is>
          <t>Associate Head – Admin &amp; Internal Audit</t>
        </is>
      </c>
      <c r="F15" s="115" t="inlineStr">
        <is>
          <t>Not in current mapping files</t>
        </is>
      </c>
      <c r="G15" s="115" t="inlineStr">
        <is>
          <t>C1</t>
        </is>
      </c>
      <c r="H15" s="117" t="inlineStr">
        <is>
          <t>● Newly mapped</t>
        </is>
      </c>
      <c r="I15" s="111" t="inlineStr">
        <is>
          <t>Finance &amp; Accounts</t>
        </is>
      </c>
      <c r="J15" s="111" t="inlineStr">
        <is>
          <t>Finance Leadership</t>
        </is>
      </c>
      <c r="K15" s="141" t="inlineStr">
        <is>
          <t>• Survey response or KRAs describing the work · nothing on file — Employee + manager
• Confirm structure behind the senior title · org chart — Business head</t>
        </is>
      </c>
      <c r="L15" s="111" t="n">
        <v>0</v>
      </c>
      <c r="M15" s="113" t="inlineStr">
        <is>
          <t>P6 / M5</t>
        </is>
      </c>
      <c r="N15" s="114" t="inlineStr">
        <is>
          <t>Principal / Director</t>
        </is>
      </c>
      <c r="O15" s="114" t="inlineStr">
        <is>
          <t>5–6</t>
        </is>
      </c>
      <c r="P15" s="114" t="inlineStr">
        <is>
          <t>10–14 yrs</t>
        </is>
      </c>
      <c r="Q15" s="114" t="inlineStr">
        <is>
          <t>12–16 · 12–18</t>
        </is>
      </c>
      <c r="R15" s="114" t="inlineStr">
        <is>
          <t>Head of Function / AGM</t>
        </is>
      </c>
      <c r="S15" s="114" t="inlineStr">
        <is>
          <r>
            <rPr>
              <rFont val="Calibri"/>
              <b val="1"/>
              <sz val="10"/>
            </rPr>
            <t>Atlassian company-wide P-levels:</t>
          </r>
          <r>
            <rPr>
              <rFont val="Calibri"/>
              <sz val="10"/>
            </rPr>
            <t xml:space="preserve"> P60 Accountant · Principal · IRIS Vs Competitor Benchmark — finance ladder: Associate Director Finance</t>
          </r>
        </is>
      </c>
      <c r="T15" s="114" t="inlineStr">
        <is>
          <t>IMA Management Accounting Competency Framework; ICAI / CA; Ind AS</t>
        </is>
      </c>
      <c r="U15" s="114" t="inlineStr">
        <is>
          <t>Core 4 · Future 4 · Functional 4 · Leadership 4</t>
        </is>
      </c>
      <c r="V15" s="157" t="n">
        <v>3</v>
      </c>
      <c r="W15" s="158" t="inlineStr">
        <is>
          <t>IRIS0006</t>
        </is>
      </c>
      <c r="X15" s="158" t="inlineStr">
        <is>
          <t>Employee</t>
        </is>
      </c>
      <c r="Y15" s="158" t="inlineStr">
        <is>
          <t>Active</t>
        </is>
      </c>
      <c r="Z15" s="158" t="inlineStr">
        <is>
          <t>Sudhakar Sawant</t>
        </is>
      </c>
      <c r="AA15" s="245" t="n">
        <v>38200</v>
      </c>
      <c r="AB15" s="158" t="inlineStr">
        <is>
          <t>Head – Admin &amp; Internal Audit</t>
        </is>
      </c>
      <c r="AC15" s="158" t="inlineStr">
        <is>
          <t>B.Com</t>
        </is>
      </c>
      <c r="AD15" s="158" t="inlineStr">
        <is>
          <t>Vineet Kandoi</t>
        </is>
      </c>
      <c r="AE15" s="158" t="inlineStr">
        <is>
          <t>N-2</t>
        </is>
      </c>
      <c r="AF15" s="158" t="inlineStr">
        <is>
          <t>Manager</t>
        </is>
      </c>
      <c r="AG15" s="158" t="inlineStr">
        <is>
          <t>6 years, 3 months, 0 days</t>
        </is>
      </c>
      <c r="AH15" s="158" t="inlineStr">
        <is>
          <t>22 years, 0 months, 24 days</t>
        </is>
      </c>
      <c r="AI15" s="158" t="inlineStr">
        <is>
          <t>Corporate</t>
        </is>
      </c>
      <c r="AJ15" s="158" t="inlineStr">
        <is>
          <t>Corporate</t>
        </is>
      </c>
      <c r="AK15" s="158" t="inlineStr">
        <is>
          <t>Finance</t>
        </is>
      </c>
      <c r="AL15" s="158" t="inlineStr">
        <is>
          <t>Accounting</t>
        </is>
      </c>
      <c r="AM15" s="158" t="inlineStr">
        <is>
          <t>No</t>
        </is>
      </c>
      <c r="AN15" s="158" t="inlineStr">
        <is>
          <t>General &amp; Admin</t>
        </is>
      </c>
      <c r="AO15" s="158" t="inlineStr">
        <is>
          <t>Accounting</t>
        </is>
      </c>
      <c r="AP15" s="158" t="inlineStr">
        <is>
          <t>Non-technical</t>
        </is>
      </c>
      <c r="AQ15" s="158" t="n">
        <v>0</v>
      </c>
      <c r="AR15" s="158" t="inlineStr">
        <is>
          <t>E-Top management</t>
        </is>
      </c>
      <c r="AS15" s="158" t="n"/>
      <c r="AT15" s="158" t="n"/>
      <c r="AU15" s="158" t="n"/>
      <c r="AV15" s="158" t="n"/>
      <c r="AW15" s="158" t="n"/>
      <c r="AX15" s="158" t="n"/>
      <c r="AY15" s="158" t="n"/>
      <c r="AZ15" s="158" t="n"/>
      <c r="BA15" s="158" t="n"/>
      <c r="BB15" s="158" t="n"/>
      <c r="BC15" s="158" t="n"/>
      <c r="BD15" s="158" t="n"/>
      <c r="BE15" s="158" t="n"/>
      <c r="BF15" s="158" t="n"/>
      <c r="BG15" s="158" t="n"/>
      <c r="BH15" s="158" t="n"/>
      <c r="BI15" s="158" t="n"/>
      <c r="BJ15" s="158" t="n"/>
      <c r="BK15" s="158" t="n"/>
      <c r="BL15" s="158" t="n"/>
      <c r="BM15" s="158" t="n"/>
      <c r="BN15" s="158" t="n"/>
      <c r="BO15" s="158" t="n"/>
      <c r="BP15" s="158" t="n"/>
      <c r="BQ15" s="158" t="n"/>
      <c r="BR15" s="158" t="n"/>
      <c r="BS15" s="158" t="n"/>
      <c r="BT15" s="158" t="n"/>
      <c r="BU15" s="158" t="n"/>
      <c r="BV15" s="158" t="n"/>
      <c r="BW15" s="158" t="n"/>
      <c r="BX15" s="158" t="n"/>
      <c r="BY15" s="158" t="n"/>
      <c r="BZ15" s="158" t="n"/>
      <c r="CA15" s="158" t="n"/>
      <c r="CB15" s="158" t="n"/>
      <c r="CC15" s="158" t="n"/>
      <c r="CD15" s="158" t="n"/>
      <c r="CE15" s="158" t="n"/>
      <c r="CF15" s="158" t="n"/>
      <c r="CG15" s="158" t="n"/>
    </row>
    <row r="16" ht="64" customHeight="1">
      <c r="A16" s="109" t="inlineStr">
        <is>
          <t>IRIS1508</t>
        </is>
      </c>
      <c r="B16" s="111" t="inlineStr">
        <is>
          <t>Winny Nair</t>
        </is>
      </c>
      <c r="C16" s="111" t="inlineStr">
        <is>
          <t>Finance</t>
        </is>
      </c>
      <c r="D16" s="115" t="inlineStr">
        <is>
          <t>Manager - Finance and Accounts</t>
        </is>
      </c>
      <c r="E16" s="115" t="inlineStr">
        <is>
          <t>Senior Finance Specialist – POD Lead</t>
        </is>
      </c>
      <c r="F16" s="115" t="inlineStr">
        <is>
          <t>Not in current mapping files</t>
        </is>
      </c>
      <c r="G16" s="115" t="inlineStr">
        <is>
          <t>B2</t>
        </is>
      </c>
      <c r="H16" s="117" t="inlineStr">
        <is>
          <t>● Newly mapped</t>
        </is>
      </c>
      <c r="I16" s="111" t="inlineStr">
        <is>
          <t>Finance &amp; Accounts</t>
        </is>
      </c>
      <c r="J16" s="111" t="inlineStr">
        <is>
          <t>Financial Reporting, Compliance &amp; Audit</t>
        </is>
      </c>
      <c r="K16" s="111" t="inlineStr"/>
      <c r="L16" s="111" t="n">
        <v>19</v>
      </c>
      <c r="M16" s="113" t="inlineStr">
        <is>
          <t>P4 / M3</t>
        </is>
      </c>
      <c r="N16" s="114" t="inlineStr">
        <is>
          <t>Senior / Manager</t>
        </is>
      </c>
      <c r="O16" s="114" t="inlineStr">
        <is>
          <t>4–5</t>
        </is>
      </c>
      <c r="P16" s="114" t="inlineStr">
        <is>
          <t>6–9 yrs</t>
        </is>
      </c>
      <c r="Q16" s="114" t="inlineStr">
        <is>
          <t>7–10 · 6–11</t>
        </is>
      </c>
      <c r="R16" s="114" t="inlineStr">
        <is>
          <t>Finance Specialist / Asst. Manager</t>
        </is>
      </c>
      <c r="S16" s="114" t="inlineStr">
        <is>
          <r>
            <rPr>
              <rFont val="Calibri"/>
              <b val="1"/>
              <sz val="10"/>
            </rPr>
            <t>Atlassian company-wide P-levels:</t>
          </r>
          <r>
            <rPr>
              <rFont val="Calibri"/>
              <sz val="10"/>
            </rPr>
            <t xml:space="preserve"> P50 Senior · Toppan Merrill: Senior Financial Analyst · IRIS Vs Competitor Benchmark — finance ladder: Finance Manager</t>
          </r>
        </is>
      </c>
      <c r="T16" s="114" t="inlineStr">
        <is>
          <t>IMA Management Accounting Competency Framework; ICAI / CA; Ind AS</t>
        </is>
      </c>
      <c r="U16" s="114" t="inlineStr">
        <is>
          <t>Core 3 · Future 3 · Functional 4 · Leadership 3</t>
        </is>
      </c>
      <c r="V16" s="157" t="n">
        <v>124</v>
      </c>
      <c r="W16" s="158" t="inlineStr">
        <is>
          <t>IRIS1508</t>
        </is>
      </c>
      <c r="X16" s="158" t="inlineStr">
        <is>
          <t>Employee</t>
        </is>
      </c>
      <c r="Y16" s="158" t="inlineStr">
        <is>
          <t>Active</t>
        </is>
      </c>
      <c r="Z16" s="158" t="inlineStr">
        <is>
          <t>Winny Nair</t>
        </is>
      </c>
      <c r="AA16" s="245" t="n">
        <v>42019</v>
      </c>
      <c r="AB16" s="158" t="inlineStr">
        <is>
          <t>Manager - Finance and Accounts</t>
        </is>
      </c>
      <c r="AC16" s="158" t="inlineStr">
        <is>
          <t>PGDM</t>
        </is>
      </c>
      <c r="AD16" s="158" t="inlineStr">
        <is>
          <t>Nishant Gupta</t>
        </is>
      </c>
      <c r="AE16" s="158" t="inlineStr">
        <is>
          <t>N-3</t>
        </is>
      </c>
      <c r="AF16" s="158" t="inlineStr">
        <is>
          <t>Manager</t>
        </is>
      </c>
      <c r="AG16" s="158" t="inlineStr">
        <is>
          <t>8 years, 2 months, 0 days</t>
        </is>
      </c>
      <c r="AH16" s="158" t="inlineStr">
        <is>
          <t>11 years, 7 months, 10 days</t>
        </is>
      </c>
      <c r="AI16" s="158" t="inlineStr">
        <is>
          <t>Corporate</t>
        </is>
      </c>
      <c r="AJ16" s="158" t="inlineStr">
        <is>
          <t>Corporate</t>
        </is>
      </c>
      <c r="AK16" s="158" t="inlineStr">
        <is>
          <t>Finance</t>
        </is>
      </c>
      <c r="AL16" s="158" t="inlineStr">
        <is>
          <t>Accounting</t>
        </is>
      </c>
      <c r="AM16" s="158" t="inlineStr">
        <is>
          <t>No</t>
        </is>
      </c>
      <c r="AN16" s="158" t="inlineStr">
        <is>
          <t>General &amp; Admin</t>
        </is>
      </c>
      <c r="AO16" s="158" t="inlineStr">
        <is>
          <t>Accounting</t>
        </is>
      </c>
      <c r="AP16" s="158" t="inlineStr">
        <is>
          <t>Non-technical</t>
        </is>
      </c>
      <c r="AQ16" s="158" t="n">
        <v>20</v>
      </c>
      <c r="AR16" s="158" t="inlineStr">
        <is>
          <t>Covered</t>
        </is>
      </c>
      <c r="AS16" s="158" t="n"/>
      <c r="AT16" s="158" t="n"/>
      <c r="AU16" s="158" t="n"/>
      <c r="AV16" s="158" t="n"/>
      <c r="AW16" s="158" t="n"/>
      <c r="AX16" s="158" t="n"/>
      <c r="AY16" s="158" t="n"/>
      <c r="AZ16" s="158" t="n"/>
      <c r="BA16" s="158" t="n"/>
      <c r="BB16" s="158" t="n"/>
      <c r="BC16" s="158" t="n"/>
      <c r="BD16" s="158" t="n"/>
      <c r="BE16" s="158" t="n"/>
      <c r="BF16" s="158" t="n"/>
      <c r="BG16" s="158" t="n"/>
      <c r="BH16" s="158" t="n"/>
      <c r="BI16" s="158" t="n"/>
      <c r="BJ16" s="158" t="n"/>
      <c r="BK16" s="158" t="n"/>
      <c r="BL16" s="158" t="n"/>
      <c r="BM16" s="158" t="n"/>
      <c r="BN16" s="158" t="n"/>
      <c r="BO16" s="158" t="n"/>
      <c r="BP16" s="158" t="n"/>
      <c r="BQ16" s="158" t="n"/>
      <c r="BR16" s="158" t="n"/>
      <c r="BS16" s="158" t="n"/>
      <c r="BT16" s="158" t="n"/>
      <c r="BU16" s="158" t="n"/>
      <c r="BV16" s="158" t="n"/>
      <c r="BW16" s="158" t="n"/>
      <c r="BX16" s="158" t="n"/>
      <c r="BY16" s="158" t="n"/>
      <c r="BZ16" s="158" t="n"/>
      <c r="CA16" s="158" t="n"/>
      <c r="CB16" s="158" t="n"/>
      <c r="CC16" s="158" t="n"/>
      <c r="CD16" s="158" t="n"/>
      <c r="CE16" s="158" t="n"/>
      <c r="CF16" s="158" t="n"/>
      <c r="CG16" s="158" t="n"/>
    </row>
    <row r="17" ht="64" customHeight="1">
      <c r="A17" s="109" t="inlineStr">
        <is>
          <t>IRIS1724</t>
        </is>
      </c>
      <c r="B17" s="111" t="inlineStr">
        <is>
          <t>Anita Chavan</t>
        </is>
      </c>
      <c r="C17" s="111" t="inlineStr">
        <is>
          <t>Finance</t>
        </is>
      </c>
      <c r="D17" s="115" t="inlineStr">
        <is>
          <t>Senior Executive Accounts</t>
        </is>
      </c>
      <c r="E17" s="115" t="inlineStr">
        <is>
          <t>Accounts Specialist – POD Lead</t>
        </is>
      </c>
      <c r="F17" s="115" t="inlineStr">
        <is>
          <t>Not in current mapping files</t>
        </is>
      </c>
      <c r="G17" s="115" t="inlineStr">
        <is>
          <t>B1</t>
        </is>
      </c>
      <c r="H17" s="117" t="inlineStr">
        <is>
          <t>● Newly mapped</t>
        </is>
      </c>
      <c r="I17" s="111" t="inlineStr">
        <is>
          <t>Finance &amp; Accounts</t>
        </is>
      </c>
      <c r="J17" s="111" t="inlineStr">
        <is>
          <t>Accounting &amp; Transaction Processing</t>
        </is>
      </c>
      <c r="K17" s="111" t="inlineStr"/>
      <c r="L17" s="111" t="n">
        <v>20</v>
      </c>
      <c r="M17" s="113" t="inlineStr">
        <is>
          <t>P3 / M2</t>
        </is>
      </c>
      <c r="N17" s="114" t="inlineStr">
        <is>
          <t>Career / · Team Lead</t>
        </is>
      </c>
      <c r="O17" s="114" t="inlineStr">
        <is>
          <t>4 Enable</t>
        </is>
      </c>
      <c r="P17" s="114" t="inlineStr">
        <is>
          <t>4–7 yrs</t>
        </is>
      </c>
      <c r="Q17" s="114" t="inlineStr">
        <is>
          <t>5–8 · 4–8</t>
        </is>
      </c>
      <c r="R17" s="114" t="inlineStr">
        <is>
          <t>Senior Accountant</t>
        </is>
      </c>
      <c r="S17" s="114" t="inlineStr">
        <is>
          <r>
            <rPr>
              <rFont val="Calibri"/>
              <b val="1"/>
              <sz val="10"/>
            </rPr>
            <t>Toppan Merrill:</t>
          </r>
          <r>
            <rPr>
              <rFont val="Calibri"/>
              <sz val="10"/>
            </rPr>
            <t xml:space="preserve"> Senior Accountant · IRIS Vs Competitor Benchmark — finance ladder: Finance Specialist / Asst. Manager</t>
          </r>
        </is>
      </c>
      <c r="T17" s="114" t="inlineStr">
        <is>
          <t>IMA Management Accounting Competency Framework; ICAI / CA; Ind AS</t>
        </is>
      </c>
      <c r="U17" s="114" t="inlineStr">
        <is>
          <t>Core 3 · Future 3 · Functional 3 · Leadership 2</t>
        </is>
      </c>
      <c r="V17" s="157" t="n">
        <v>148</v>
      </c>
      <c r="W17" s="158" t="inlineStr">
        <is>
          <t>IRIS1724</t>
        </is>
      </c>
      <c r="X17" s="158" t="inlineStr">
        <is>
          <t>Employee</t>
        </is>
      </c>
      <c r="Y17" s="158" t="inlineStr">
        <is>
          <t>Active</t>
        </is>
      </c>
      <c r="Z17" s="158" t="inlineStr">
        <is>
          <t>Anita Chavan</t>
        </is>
      </c>
      <c r="AA17" s="245" t="n">
        <v>43262</v>
      </c>
      <c r="AB17" s="158" t="inlineStr">
        <is>
          <t>Senior Executive Accounts</t>
        </is>
      </c>
      <c r="AC17" s="158" t="inlineStr">
        <is>
          <t>B.Com</t>
        </is>
      </c>
      <c r="AD17" s="158" t="inlineStr">
        <is>
          <t>Shreya Singh</t>
        </is>
      </c>
      <c r="AE17" s="158" t="inlineStr">
        <is>
          <t>N-5</t>
        </is>
      </c>
      <c r="AF17" s="158" t="inlineStr">
        <is>
          <t>Manager</t>
        </is>
      </c>
      <c r="AG17" s="158" t="inlineStr">
        <is>
          <t>12 years, 4 months, 0 days</t>
        </is>
      </c>
      <c r="AH17" s="158" t="inlineStr">
        <is>
          <t>8 years, 2 months, 14 days</t>
        </is>
      </c>
      <c r="AI17" s="158" t="inlineStr">
        <is>
          <t>Corporate</t>
        </is>
      </c>
      <c r="AJ17" s="158" t="inlineStr">
        <is>
          <t>Corporate</t>
        </is>
      </c>
      <c r="AK17" s="158" t="inlineStr">
        <is>
          <t>Finance</t>
        </is>
      </c>
      <c r="AL17" s="158" t="inlineStr">
        <is>
          <t>Accounting</t>
        </is>
      </c>
      <c r="AM17" s="158" t="inlineStr">
        <is>
          <t>No</t>
        </is>
      </c>
      <c r="AN17" s="158" t="inlineStr">
        <is>
          <t>General &amp; Admin</t>
        </is>
      </c>
      <c r="AO17" s="158" t="inlineStr">
        <is>
          <t>Accounting</t>
        </is>
      </c>
      <c r="AP17" s="158" t="inlineStr">
        <is>
          <t>Non-technical</t>
        </is>
      </c>
      <c r="AQ17" s="158" t="n">
        <v>20</v>
      </c>
      <c r="AR17" s="158" t="inlineStr">
        <is>
          <t>Covered</t>
        </is>
      </c>
      <c r="AS17" s="158" t="n"/>
      <c r="AT17" s="158" t="n"/>
      <c r="AU17" s="158" t="n"/>
      <c r="AV17" s="158" t="n"/>
      <c r="AW17" s="158" t="n"/>
      <c r="AX17" s="158" t="n"/>
      <c r="AY17" s="158" t="n"/>
      <c r="AZ17" s="158" t="n"/>
      <c r="BA17" s="158" t="n"/>
      <c r="BB17" s="158" t="n"/>
      <c r="BC17" s="158" t="n"/>
      <c r="BD17" s="158" t="n"/>
      <c r="BE17" s="158" t="n"/>
      <c r="BF17" s="158" t="n"/>
      <c r="BG17" s="158" t="n"/>
      <c r="BH17" s="158" t="n"/>
      <c r="BI17" s="158" t="n"/>
      <c r="BJ17" s="158" t="n"/>
      <c r="BK17" s="158" t="n"/>
      <c r="BL17" s="158" t="n"/>
      <c r="BM17" s="158" t="n"/>
      <c r="BN17" s="158" t="n"/>
      <c r="BO17" s="158" t="n"/>
      <c r="BP17" s="158" t="n"/>
      <c r="BQ17" s="158" t="n"/>
      <c r="BR17" s="158" t="n"/>
      <c r="BS17" s="158" t="n"/>
      <c r="BT17" s="158" t="n"/>
      <c r="BU17" s="158" t="n"/>
      <c r="BV17" s="158" t="n"/>
      <c r="BW17" s="158" t="n"/>
      <c r="BX17" s="158" t="n"/>
      <c r="BY17" s="158" t="n"/>
      <c r="BZ17" s="158" t="n"/>
      <c r="CA17" s="158" t="n"/>
      <c r="CB17" s="158" t="n"/>
      <c r="CC17" s="158" t="n"/>
      <c r="CD17" s="158" t="n"/>
      <c r="CE17" s="158" t="n"/>
      <c r="CF17" s="158" t="n"/>
      <c r="CG17" s="158" t="n"/>
    </row>
    <row r="18" ht="64" customHeight="1">
      <c r="A18" s="109" t="inlineStr">
        <is>
          <t>IRIS1557</t>
        </is>
      </c>
      <c r="B18" s="111" t="inlineStr">
        <is>
          <t>Gaurangee Gaurav Tawde</t>
        </is>
      </c>
      <c r="C18" s="111" t="inlineStr">
        <is>
          <t>Finance</t>
        </is>
      </c>
      <c r="D18" s="115" t="inlineStr">
        <is>
          <t>Senior Executive Accounts</t>
        </is>
      </c>
      <c r="E18" s="115" t="inlineStr">
        <is>
          <t>Accounts Specialist – POD Lead</t>
        </is>
      </c>
      <c r="F18" s="115" t="inlineStr">
        <is>
          <t>Not in current mapping files</t>
        </is>
      </c>
      <c r="G18" s="115" t="inlineStr">
        <is>
          <t>B1</t>
        </is>
      </c>
      <c r="H18" s="117" t="inlineStr">
        <is>
          <t>● Newly mapped</t>
        </is>
      </c>
      <c r="I18" s="111" t="inlineStr">
        <is>
          <t>Finance &amp; Accounts</t>
        </is>
      </c>
      <c r="J18" s="111" t="inlineStr">
        <is>
          <t>Accounting &amp; Transaction Processing</t>
        </is>
      </c>
      <c r="K18" s="111" t="inlineStr"/>
      <c r="L18" s="111" t="n">
        <v>20</v>
      </c>
      <c r="M18" s="113" t="inlineStr">
        <is>
          <t>P3 / M2</t>
        </is>
      </c>
      <c r="N18" s="114" t="inlineStr">
        <is>
          <t>Career / · Team Lead</t>
        </is>
      </c>
      <c r="O18" s="114" t="inlineStr">
        <is>
          <t>4 Enable</t>
        </is>
      </c>
      <c r="P18" s="114" t="inlineStr">
        <is>
          <t>4–7 yrs</t>
        </is>
      </c>
      <c r="Q18" s="114" t="inlineStr">
        <is>
          <t>5–8 · 4–8</t>
        </is>
      </c>
      <c r="R18" s="114" t="inlineStr">
        <is>
          <t>Senior Accountant</t>
        </is>
      </c>
      <c r="S18" s="114" t="inlineStr">
        <is>
          <r>
            <rPr>
              <rFont val="Calibri"/>
              <b val="1"/>
              <sz val="10"/>
            </rPr>
            <t>Toppan Merrill:</t>
          </r>
          <r>
            <rPr>
              <rFont val="Calibri"/>
              <sz val="10"/>
            </rPr>
            <t xml:space="preserve"> Senior Accountant · IRIS Vs Competitor Benchmark — finance ladder: Finance Specialist / Asst. Manager</t>
          </r>
        </is>
      </c>
      <c r="T18" s="114" t="inlineStr">
        <is>
          <t>IMA Management Accounting Competency Framework; ICAI / CA; Ind AS</t>
        </is>
      </c>
      <c r="U18" s="114" t="inlineStr">
        <is>
          <t>Core 3 · Future 3 · Functional 3 · Leadership 2</t>
        </is>
      </c>
      <c r="V18" s="157" t="n">
        <v>127</v>
      </c>
      <c r="W18" s="158" t="inlineStr">
        <is>
          <t>IRIS1557</t>
        </is>
      </c>
      <c r="X18" s="158" t="inlineStr">
        <is>
          <t>Employee</t>
        </is>
      </c>
      <c r="Y18" s="158" t="inlineStr">
        <is>
          <t>Active</t>
        </is>
      </c>
      <c r="Z18" s="158" t="inlineStr">
        <is>
          <t>Gaurangee Gaurav Tawde</t>
        </is>
      </c>
      <c r="AA18" s="245" t="n">
        <v>42219</v>
      </c>
      <c r="AB18" s="158" t="inlineStr">
        <is>
          <t>Senior Executive Accounts</t>
        </is>
      </c>
      <c r="AC18" s="158" t="inlineStr">
        <is>
          <t>PGDM</t>
        </is>
      </c>
      <c r="AD18" s="158" t="inlineStr">
        <is>
          <t>Shreya Singh</t>
        </is>
      </c>
      <c r="AE18" s="158" t="inlineStr">
        <is>
          <t>N-5</t>
        </is>
      </c>
      <c r="AF18" s="158" t="inlineStr">
        <is>
          <t>Manager</t>
        </is>
      </c>
      <c r="AG18" s="158" t="inlineStr">
        <is>
          <t>9 years, 0 months, 0 days</t>
        </is>
      </c>
      <c r="AH18" s="158" t="inlineStr">
        <is>
          <t>11 years, 0 months, 22 days</t>
        </is>
      </c>
      <c r="AI18" s="158" t="inlineStr">
        <is>
          <t>Corporate</t>
        </is>
      </c>
      <c r="AJ18" s="158" t="inlineStr">
        <is>
          <t>Corporate</t>
        </is>
      </c>
      <c r="AK18" s="158" t="inlineStr">
        <is>
          <t>Finance</t>
        </is>
      </c>
      <c r="AL18" s="158" t="inlineStr">
        <is>
          <t>Accounting</t>
        </is>
      </c>
      <c r="AM18" s="158" t="inlineStr">
        <is>
          <t>No</t>
        </is>
      </c>
      <c r="AN18" s="158" t="inlineStr">
        <is>
          <t>General &amp; Admin</t>
        </is>
      </c>
      <c r="AO18" s="158" t="inlineStr">
        <is>
          <t>Accounting</t>
        </is>
      </c>
      <c r="AP18" s="158" t="inlineStr">
        <is>
          <t>Non-technical</t>
        </is>
      </c>
      <c r="AQ18" s="158" t="n">
        <v>20</v>
      </c>
      <c r="AR18" s="158" t="inlineStr">
        <is>
          <t>Covered</t>
        </is>
      </c>
      <c r="AS18" s="158" t="n"/>
      <c r="AT18" s="158" t="n"/>
      <c r="AU18" s="158" t="n"/>
      <c r="AV18" s="158" t="n"/>
      <c r="AW18" s="158" t="n"/>
      <c r="AX18" s="158" t="n"/>
      <c r="AY18" s="158" t="n"/>
      <c r="AZ18" s="158" t="n"/>
      <c r="BA18" s="158" t="n"/>
      <c r="BB18" s="158" t="n"/>
      <c r="BC18" s="158" t="n"/>
      <c r="BD18" s="158" t="n"/>
      <c r="BE18" s="158" t="n"/>
      <c r="BF18" s="158" t="n"/>
      <c r="BG18" s="158" t="n"/>
      <c r="BH18" s="158" t="n"/>
      <c r="BI18" s="158" t="n"/>
      <c r="BJ18" s="158" t="n"/>
      <c r="BK18" s="158" t="n"/>
      <c r="BL18" s="158" t="n"/>
      <c r="BM18" s="158" t="n"/>
      <c r="BN18" s="158" t="n"/>
      <c r="BO18" s="158" t="n"/>
      <c r="BP18" s="158" t="n"/>
      <c r="BQ18" s="158" t="n"/>
      <c r="BR18" s="158" t="n"/>
      <c r="BS18" s="158" t="n"/>
      <c r="BT18" s="158" t="n"/>
      <c r="BU18" s="158" t="n"/>
      <c r="BV18" s="158" t="n"/>
      <c r="BW18" s="158" t="n"/>
      <c r="BX18" s="158" t="n"/>
      <c r="BY18" s="158" t="n"/>
      <c r="BZ18" s="158" t="n"/>
      <c r="CA18" s="158" t="n"/>
      <c r="CB18" s="158" t="n"/>
      <c r="CC18" s="158" t="n"/>
      <c r="CD18" s="158" t="n"/>
      <c r="CE18" s="158" t="n"/>
      <c r="CF18" s="158" t="n"/>
      <c r="CG18" s="158" t="n"/>
    </row>
    <row r="19" ht="64" customHeight="1">
      <c r="A19" s="109" t="inlineStr">
        <is>
          <t>IRIS2547</t>
        </is>
      </c>
      <c r="B19" s="111" t="inlineStr">
        <is>
          <t>Lalit Choudhary</t>
        </is>
      </c>
      <c r="C19" s="111" t="inlineStr">
        <is>
          <t>Finance</t>
        </is>
      </c>
      <c r="D19" s="115" t="inlineStr">
        <is>
          <t>Assistant Manager - Finance and Accounts</t>
        </is>
      </c>
      <c r="E19" s="115" t="inlineStr">
        <is>
          <t>Finance Specialist</t>
        </is>
      </c>
      <c r="F19" s="115" t="inlineStr">
        <is>
          <t>Not in current mapping files</t>
        </is>
      </c>
      <c r="G19" s="115" t="inlineStr">
        <is>
          <t>B1</t>
        </is>
      </c>
      <c r="H19" s="117" t="inlineStr">
        <is>
          <t>● Newly mapped</t>
        </is>
      </c>
      <c r="I19" s="111" t="inlineStr">
        <is>
          <t>Finance &amp; Accounts</t>
        </is>
      </c>
      <c r="J19" s="111" t="inlineStr">
        <is>
          <t>Financial Reporting, Compliance &amp; Audit</t>
        </is>
      </c>
      <c r="K19" s="111" t="inlineStr"/>
      <c r="L19" s="111" t="n">
        <v>19</v>
      </c>
      <c r="M19" s="113" t="inlineStr">
        <is>
          <t>P3 / M2</t>
        </is>
      </c>
      <c r="N19" s="114" t="inlineStr">
        <is>
          <t>Career / · Team Lead</t>
        </is>
      </c>
      <c r="O19" s="114" t="inlineStr">
        <is>
          <t>4 Enable</t>
        </is>
      </c>
      <c r="P19" s="114" t="inlineStr">
        <is>
          <t>4–7 yrs</t>
        </is>
      </c>
      <c r="Q19" s="114" t="inlineStr">
        <is>
          <t>5–8 · 4–8</t>
        </is>
      </c>
      <c r="R19" s="114" t="inlineStr">
        <is>
          <t>Senior Accountant</t>
        </is>
      </c>
      <c r="S19" s="114" t="inlineStr">
        <is>
          <r>
            <rPr>
              <rFont val="Calibri"/>
              <b val="1"/>
              <sz val="10"/>
            </rPr>
            <t>Toppan Merrill:</t>
          </r>
          <r>
            <rPr>
              <rFont val="Calibri"/>
              <sz val="10"/>
            </rPr>
            <t xml:space="preserve"> Senior Accountant · IRIS Vs Competitor Benchmark — finance ladder: Finance Specialist / Asst. Manager</t>
          </r>
        </is>
      </c>
      <c r="T19" s="114" t="inlineStr">
        <is>
          <t>IMA Management Accounting Competency Framework; ICAI / CA; Ind AS</t>
        </is>
      </c>
      <c r="U19" s="114" t="inlineStr">
        <is>
          <t>Core 3 · Future 3 · Functional 3 · Leadership 1</t>
        </is>
      </c>
      <c r="V19" s="157" t="n">
        <v>521</v>
      </c>
      <c r="W19" s="158" t="inlineStr">
        <is>
          <t>IRIS2547</t>
        </is>
      </c>
      <c r="X19" s="158" t="inlineStr">
        <is>
          <t>Employee</t>
        </is>
      </c>
      <c r="Y19" s="158" t="inlineStr">
        <is>
          <t>Active</t>
        </is>
      </c>
      <c r="Z19" s="158" t="inlineStr">
        <is>
          <t>Lalit Choudhary</t>
        </is>
      </c>
      <c r="AA19" s="245" t="n">
        <v>46223</v>
      </c>
      <c r="AB19" s="158" t="inlineStr">
        <is>
          <t>Assistant Manager - Finance and Accounts</t>
        </is>
      </c>
      <c r="AC19" s="158" t="inlineStr">
        <is>
          <t>CA</t>
        </is>
      </c>
      <c r="AD19" s="158" t="inlineStr">
        <is>
          <t>Nishant Gupta</t>
        </is>
      </c>
      <c r="AE19" s="158" t="inlineStr">
        <is>
          <t>N-3</t>
        </is>
      </c>
      <c r="AF19" s="158" t="inlineStr">
        <is>
          <t>Individual Contributor</t>
        </is>
      </c>
      <c r="AG19" s="158" t="inlineStr">
        <is>
          <t>4 years, 7 months, 0 days</t>
        </is>
      </c>
      <c r="AH19" s="158" t="inlineStr">
        <is>
          <t>0 years, 1 months, 5 days</t>
        </is>
      </c>
      <c r="AI19" s="158" t="inlineStr">
        <is>
          <t>Corporate</t>
        </is>
      </c>
      <c r="AJ19" s="158" t="inlineStr">
        <is>
          <t>Corporate</t>
        </is>
      </c>
      <c r="AK19" s="158" t="inlineStr">
        <is>
          <t>Finance</t>
        </is>
      </c>
      <c r="AL19" s="158" t="inlineStr">
        <is>
          <t>Accounting</t>
        </is>
      </c>
      <c r="AM19" s="158" t="inlineStr">
        <is>
          <t>No</t>
        </is>
      </c>
      <c r="AN19" s="158" t="inlineStr">
        <is>
          <t>General &amp; Admin</t>
        </is>
      </c>
      <c r="AO19" s="158" t="inlineStr">
        <is>
          <t>Accounting</t>
        </is>
      </c>
      <c r="AP19" s="158" t="inlineStr">
        <is>
          <t>Non-technical</t>
        </is>
      </c>
      <c r="AQ19" s="158" t="n">
        <v>20</v>
      </c>
      <c r="AR19" s="158" t="inlineStr">
        <is>
          <t>Covered</t>
        </is>
      </c>
      <c r="AS19" s="158" t="n"/>
      <c r="AT19" s="158" t="n"/>
      <c r="AU19" s="158" t="n"/>
      <c r="AV19" s="158" t="n"/>
      <c r="AW19" s="158" t="n"/>
      <c r="AX19" s="158" t="n"/>
      <c r="AY19" s="158" t="n"/>
      <c r="AZ19" s="158" t="n"/>
      <c r="BA19" s="158" t="n"/>
      <c r="BB19" s="158" t="n"/>
      <c r="BC19" s="158" t="n"/>
      <c r="BD19" s="158" t="n"/>
      <c r="BE19" s="158" t="n"/>
      <c r="BF19" s="158" t="n"/>
      <c r="BG19" s="158" t="n"/>
      <c r="BH19" s="158" t="n"/>
      <c r="BI19" s="158" t="n"/>
      <c r="BJ19" s="158" t="n"/>
      <c r="BK19" s="158" t="n"/>
      <c r="BL19" s="158" t="n"/>
      <c r="BM19" s="158" t="n"/>
      <c r="BN19" s="158" t="n"/>
      <c r="BO19" s="158" t="n"/>
      <c r="BP19" s="158" t="n"/>
      <c r="BQ19" s="158" t="n"/>
      <c r="BR19" s="158" t="n"/>
      <c r="BS19" s="158" t="n"/>
      <c r="BT19" s="158" t="n"/>
      <c r="BU19" s="158" t="n"/>
      <c r="BV19" s="158" t="n"/>
      <c r="BW19" s="158" t="n"/>
      <c r="BX19" s="158" t="n"/>
      <c r="BY19" s="158" t="n"/>
      <c r="BZ19" s="158" t="n"/>
      <c r="CA19" s="158" t="n"/>
      <c r="CB19" s="158" t="n"/>
      <c r="CC19" s="158" t="n"/>
      <c r="CD19" s="158" t="n"/>
      <c r="CE19" s="158" t="n"/>
      <c r="CF19" s="158" t="n"/>
      <c r="CG19" s="158" t="n"/>
    </row>
    <row r="20" ht="64" customHeight="1">
      <c r="A20" s="109" t="inlineStr">
        <is>
          <t>IRIS2561</t>
        </is>
      </c>
      <c r="B20" s="111" t="inlineStr">
        <is>
          <t>Radhika Karnani</t>
        </is>
      </c>
      <c r="C20" s="111" t="inlineStr">
        <is>
          <t>Finance</t>
        </is>
      </c>
      <c r="D20" s="115" t="inlineStr">
        <is>
          <t>Assistant Manager - Finance and Accounts</t>
        </is>
      </c>
      <c r="E20" s="115" t="inlineStr">
        <is>
          <t>Finance Specialist</t>
        </is>
      </c>
      <c r="F20" s="115" t="inlineStr">
        <is>
          <t>Not in current mapping files</t>
        </is>
      </c>
      <c r="G20" s="115" t="inlineStr">
        <is>
          <t>B1</t>
        </is>
      </c>
      <c r="H20" s="117" t="inlineStr">
        <is>
          <t>● Newly mapped</t>
        </is>
      </c>
      <c r="I20" s="111" t="inlineStr">
        <is>
          <t>Finance &amp; Accounts</t>
        </is>
      </c>
      <c r="J20" s="111" t="inlineStr">
        <is>
          <t>Financial Reporting, Compliance &amp; Audit</t>
        </is>
      </c>
      <c r="K20" s="141" t="inlineStr">
        <is>
          <t>• Total experience · outside + at IRIS — HR — HRIS
• Confirm prior experience · provisional placement — HR</t>
        </is>
      </c>
      <c r="L20" s="111" t="n">
        <v>19</v>
      </c>
      <c r="M20" s="113" t="inlineStr">
        <is>
          <t>P3 / M2</t>
        </is>
      </c>
      <c r="N20" s="114" t="inlineStr">
        <is>
          <t>Career / · Team Lead</t>
        </is>
      </c>
      <c r="O20" s="114" t="inlineStr">
        <is>
          <t>4 Enable</t>
        </is>
      </c>
      <c r="P20" s="114" t="inlineStr">
        <is>
          <t>4–7 yrs</t>
        </is>
      </c>
      <c r="Q20" s="114" t="inlineStr">
        <is>
          <t>5–8 · 4–8</t>
        </is>
      </c>
      <c r="R20" s="114" t="inlineStr">
        <is>
          <t>Senior Accountant</t>
        </is>
      </c>
      <c r="S20" s="114" t="inlineStr">
        <is>
          <r>
            <rPr>
              <rFont val="Calibri"/>
              <b val="1"/>
              <sz val="10"/>
            </rPr>
            <t>Toppan Merrill:</t>
          </r>
          <r>
            <rPr>
              <rFont val="Calibri"/>
              <sz val="10"/>
            </rPr>
            <t xml:space="preserve"> Senior Accountant · IRIS Vs Competitor Benchmark — finance ladder: Finance Specialist / Asst. Manager</t>
          </r>
        </is>
      </c>
      <c r="T20" s="114" t="inlineStr">
        <is>
          <t>IMA Management Accounting Competency Framework; ICAI / CA; Ind AS</t>
        </is>
      </c>
      <c r="U20" s="114" t="inlineStr">
        <is>
          <t>Core 3 · Future 3 · Functional 3 · Leadership 1</t>
        </is>
      </c>
      <c r="V20" s="157" t="n">
        <v>534</v>
      </c>
      <c r="W20" s="158" t="inlineStr">
        <is>
          <t>IRIS2561</t>
        </is>
      </c>
      <c r="X20" s="158" t="inlineStr">
        <is>
          <t>Employee</t>
        </is>
      </c>
      <c r="Y20" s="158" t="inlineStr">
        <is>
          <t>Active</t>
        </is>
      </c>
      <c r="Z20" s="158" t="inlineStr">
        <is>
          <t>Radhika Karnani</t>
        </is>
      </c>
      <c r="AA20" s="245" t="n">
        <v>46268</v>
      </c>
      <c r="AB20" s="158" t="inlineStr">
        <is>
          <t>Assistant Manager - Finance and Accounts</t>
        </is>
      </c>
      <c r="AC20" s="158" t="inlineStr">
        <is>
          <t>CA</t>
        </is>
      </c>
      <c r="AD20" s="158" t="inlineStr">
        <is>
          <t>Nishant Gupta</t>
        </is>
      </c>
      <c r="AE20" s="158" t="inlineStr">
        <is>
          <t>N-3</t>
        </is>
      </c>
      <c r="AF20" s="158" t="inlineStr">
        <is>
          <t>Individual Contributor</t>
        </is>
      </c>
      <c r="AG20" s="158" t="n"/>
      <c r="AH20" s="158" t="n"/>
      <c r="AI20" s="158" t="inlineStr">
        <is>
          <t>Corporate</t>
        </is>
      </c>
      <c r="AJ20" s="158" t="inlineStr">
        <is>
          <t>Corporate</t>
        </is>
      </c>
      <c r="AK20" s="158" t="inlineStr">
        <is>
          <t>Finance</t>
        </is>
      </c>
      <c r="AL20" s="158" t="inlineStr">
        <is>
          <t>Accounting</t>
        </is>
      </c>
      <c r="AM20" s="158" t="inlineStr">
        <is>
          <t>No</t>
        </is>
      </c>
      <c r="AN20" s="158" t="inlineStr">
        <is>
          <t>General &amp; Admin</t>
        </is>
      </c>
      <c r="AO20" s="158" t="inlineStr">
        <is>
          <t>Accounting</t>
        </is>
      </c>
      <c r="AP20" s="158" t="inlineStr">
        <is>
          <t>Non-technical</t>
        </is>
      </c>
      <c r="AQ20" s="158" t="n">
        <v>20</v>
      </c>
      <c r="AR20" s="158" t="inlineStr">
        <is>
          <t>Covered</t>
        </is>
      </c>
      <c r="AS20" s="158" t="n"/>
      <c r="AT20" s="158" t="n"/>
      <c r="AU20" s="158" t="n"/>
      <c r="AV20" s="158" t="n"/>
      <c r="AW20" s="158" t="n"/>
      <c r="AX20" s="158" t="n"/>
      <c r="AY20" s="158" t="n"/>
      <c r="AZ20" s="158" t="n"/>
      <c r="BA20" s="158" t="n"/>
      <c r="BB20" s="158" t="n"/>
      <c r="BC20" s="158" t="n"/>
      <c r="BD20" s="158" t="n"/>
      <c r="BE20" s="158" t="n"/>
      <c r="BF20" s="158" t="n"/>
      <c r="BG20" s="158" t="n"/>
      <c r="BH20" s="158" t="n"/>
      <c r="BI20" s="158" t="n"/>
      <c r="BJ20" s="158" t="n"/>
      <c r="BK20" s="158" t="n"/>
      <c r="BL20" s="158" t="n"/>
      <c r="BM20" s="158" t="n"/>
      <c r="BN20" s="158" t="n"/>
      <c r="BO20" s="158" t="n"/>
      <c r="BP20" s="158" t="n"/>
      <c r="BQ20" s="158" t="n"/>
      <c r="BR20" s="158" t="n"/>
      <c r="BS20" s="158" t="n"/>
      <c r="BT20" s="158" t="n"/>
      <c r="BU20" s="158" t="n"/>
      <c r="BV20" s="158" t="n"/>
      <c r="BW20" s="158" t="n"/>
      <c r="BX20" s="158" t="n"/>
      <c r="BY20" s="158" t="n"/>
      <c r="BZ20" s="158" t="n"/>
      <c r="CA20" s="158" t="n"/>
      <c r="CB20" s="158" t="n"/>
      <c r="CC20" s="158" t="n"/>
      <c r="CD20" s="158" t="n"/>
      <c r="CE20" s="158" t="n"/>
      <c r="CF20" s="158" t="n"/>
      <c r="CG20" s="158" t="n"/>
    </row>
    <row r="21" ht="64" customHeight="1">
      <c r="A21" s="109" t="inlineStr">
        <is>
          <t>IRIS2214</t>
        </is>
      </c>
      <c r="B21" s="111" t="inlineStr">
        <is>
          <t>Shreya Singh</t>
        </is>
      </c>
      <c r="C21" s="111" t="inlineStr">
        <is>
          <t>Finance</t>
        </is>
      </c>
      <c r="D21" s="115" t="inlineStr">
        <is>
          <t>Assistant Manager - Finance and Accounts</t>
        </is>
      </c>
      <c r="E21" s="115" t="inlineStr">
        <is>
          <t>Finance Specialist – POD Lead</t>
        </is>
      </c>
      <c r="F21" s="115" t="inlineStr">
        <is>
          <t>Not in current mapping files</t>
        </is>
      </c>
      <c r="G21" s="115" t="inlineStr">
        <is>
          <t>B1</t>
        </is>
      </c>
      <c r="H21" s="117" t="inlineStr">
        <is>
          <t>● Newly mapped</t>
        </is>
      </c>
      <c r="I21" s="111" t="inlineStr">
        <is>
          <t>Finance &amp; Accounts</t>
        </is>
      </c>
      <c r="J21" s="111" t="inlineStr">
        <is>
          <t>Financial Reporting, Compliance &amp; Audit</t>
        </is>
      </c>
      <c r="K21" s="111" t="inlineStr"/>
      <c r="L21" s="111" t="n">
        <v>20</v>
      </c>
      <c r="M21" s="113" t="inlineStr">
        <is>
          <t>P3 / M2</t>
        </is>
      </c>
      <c r="N21" s="114" t="inlineStr">
        <is>
          <t>Career / · Team Lead</t>
        </is>
      </c>
      <c r="O21" s="114" t="inlineStr">
        <is>
          <t>4 Enable</t>
        </is>
      </c>
      <c r="P21" s="114" t="inlineStr">
        <is>
          <t>4–7 yrs</t>
        </is>
      </c>
      <c r="Q21" s="114" t="inlineStr">
        <is>
          <t>5–8 · 4–8</t>
        </is>
      </c>
      <c r="R21" s="114" t="inlineStr">
        <is>
          <t>Senior Accountant</t>
        </is>
      </c>
      <c r="S21" s="114" t="inlineStr">
        <is>
          <r>
            <rPr>
              <rFont val="Calibri"/>
              <b val="1"/>
              <sz val="10"/>
            </rPr>
            <t>Toppan Merrill:</t>
          </r>
          <r>
            <rPr>
              <rFont val="Calibri"/>
              <sz val="10"/>
            </rPr>
            <t xml:space="preserve"> Senior Accountant · IRIS Vs Competitor Benchmark — finance ladder: Finance Specialist / Asst. Manager</t>
          </r>
        </is>
      </c>
      <c r="T21" s="114" t="inlineStr">
        <is>
          <t>IMA Management Accounting Competency Framework; ICAI / CA; Ind AS</t>
        </is>
      </c>
      <c r="U21" s="114" t="inlineStr">
        <is>
          <t>Core 3 · Future 3 · Functional 3 · Leadership 2</t>
        </is>
      </c>
      <c r="V21" s="157" t="n">
        <v>301</v>
      </c>
      <c r="W21" s="158" t="inlineStr">
        <is>
          <t>IRIS2214</t>
        </is>
      </c>
      <c r="X21" s="158" t="inlineStr">
        <is>
          <t>Employee</t>
        </is>
      </c>
      <c r="Y21" s="158" t="inlineStr">
        <is>
          <t>Active</t>
        </is>
      </c>
      <c r="Z21" s="158" t="inlineStr">
        <is>
          <t>Shreya Singh</t>
        </is>
      </c>
      <c r="AA21" s="245" t="n">
        <v>45278</v>
      </c>
      <c r="AB21" s="158" t="inlineStr">
        <is>
          <t>Assistant Manager - Finance and Accounts</t>
        </is>
      </c>
      <c r="AC21" s="158" t="inlineStr">
        <is>
          <t>B.Com</t>
        </is>
      </c>
      <c r="AD21" s="158" t="inlineStr">
        <is>
          <t>Winny Nair</t>
        </is>
      </c>
      <c r="AE21" s="158" t="inlineStr">
        <is>
          <t>N-4</t>
        </is>
      </c>
      <c r="AF21" s="158" t="inlineStr">
        <is>
          <t>Manager</t>
        </is>
      </c>
      <c r="AG21" s="158" t="inlineStr">
        <is>
          <t>3 years, 4 months, 0 days</t>
        </is>
      </c>
      <c r="AH21" s="158" t="inlineStr">
        <is>
          <t>2 years, 8 months, 7 days</t>
        </is>
      </c>
      <c r="AI21" s="158" t="inlineStr">
        <is>
          <t>Corporate</t>
        </is>
      </c>
      <c r="AJ21" s="158" t="inlineStr">
        <is>
          <t>Corporate</t>
        </is>
      </c>
      <c r="AK21" s="158" t="inlineStr">
        <is>
          <t>Finance</t>
        </is>
      </c>
      <c r="AL21" s="158" t="inlineStr">
        <is>
          <t>Accounting</t>
        </is>
      </c>
      <c r="AM21" s="158" t="inlineStr">
        <is>
          <t>No</t>
        </is>
      </c>
      <c r="AN21" s="158" t="inlineStr">
        <is>
          <t>General &amp; Admin</t>
        </is>
      </c>
      <c r="AO21" s="158" t="inlineStr">
        <is>
          <t>Accounting</t>
        </is>
      </c>
      <c r="AP21" s="158" t="inlineStr">
        <is>
          <t>Non-technical</t>
        </is>
      </c>
      <c r="AQ21" s="158" t="n">
        <v>20</v>
      </c>
      <c r="AR21" s="158" t="inlineStr">
        <is>
          <t>Covered</t>
        </is>
      </c>
      <c r="AS21" s="158" t="n"/>
      <c r="AT21" s="158" t="n"/>
      <c r="AU21" s="158" t="n"/>
      <c r="AV21" s="158" t="n"/>
      <c r="AW21" s="158" t="n"/>
      <c r="AX21" s="158" t="n"/>
      <c r="AY21" s="158" t="n"/>
      <c r="AZ21" s="158" t="n"/>
      <c r="BA21" s="158" t="n"/>
      <c r="BB21" s="158" t="n"/>
      <c r="BC21" s="158" t="n"/>
      <c r="BD21" s="158" t="n"/>
      <c r="BE21" s="158" t="n"/>
      <c r="BF21" s="158" t="n"/>
      <c r="BG21" s="158" t="n"/>
      <c r="BH21" s="158" t="n"/>
      <c r="BI21" s="158" t="n"/>
      <c r="BJ21" s="158" t="n"/>
      <c r="BK21" s="158" t="n"/>
      <c r="BL21" s="158" t="n"/>
      <c r="BM21" s="158" t="n"/>
      <c r="BN21" s="158" t="n"/>
      <c r="BO21" s="158" t="n"/>
      <c r="BP21" s="158" t="n"/>
      <c r="BQ21" s="158" t="n"/>
      <c r="BR21" s="158" t="n"/>
      <c r="BS21" s="158" t="n"/>
      <c r="BT21" s="158" t="n"/>
      <c r="BU21" s="158" t="n"/>
      <c r="BV21" s="158" t="n"/>
      <c r="BW21" s="158" t="n"/>
      <c r="BX21" s="158" t="n"/>
      <c r="BY21" s="158" t="n"/>
      <c r="BZ21" s="158" t="n"/>
      <c r="CA21" s="158" t="n"/>
      <c r="CB21" s="158" t="n"/>
      <c r="CC21" s="158" t="n"/>
      <c r="CD21" s="158" t="n"/>
      <c r="CE21" s="158" t="n"/>
      <c r="CF21" s="158" t="n"/>
      <c r="CG21" s="158" t="n"/>
    </row>
    <row r="22" ht="64" customHeight="1">
      <c r="A22" s="109" t="inlineStr">
        <is>
          <t>IRIS2217</t>
        </is>
      </c>
      <c r="B22" s="111" t="inlineStr">
        <is>
          <t>Bhushan Kashid</t>
        </is>
      </c>
      <c r="C22" s="111" t="inlineStr">
        <is>
          <t>Finance</t>
        </is>
      </c>
      <c r="D22" s="115" t="inlineStr">
        <is>
          <t>Executive Accounts</t>
        </is>
      </c>
      <c r="E22" s="115" t="inlineStr">
        <is>
          <t>Senior Accounts Executive</t>
        </is>
      </c>
      <c r="F22" s="115" t="inlineStr">
        <is>
          <t>Not in current mapping files</t>
        </is>
      </c>
      <c r="G22" s="115" t="inlineStr">
        <is>
          <t>A3</t>
        </is>
      </c>
      <c r="H22" s="117" t="inlineStr">
        <is>
          <t>● Newly mapped</t>
        </is>
      </c>
      <c r="I22" s="111" t="inlineStr">
        <is>
          <t>Finance &amp; Accounts</t>
        </is>
      </c>
      <c r="J22" s="111" t="inlineStr">
        <is>
          <t>Accounting &amp; Transaction Processing</t>
        </is>
      </c>
      <c r="K22" s="111" t="inlineStr"/>
      <c r="L22" s="111" t="n">
        <v>19</v>
      </c>
      <c r="M22" s="113" t="inlineStr">
        <is>
          <t>P2</t>
        </is>
      </c>
      <c r="N22" s="114" t="inlineStr">
        <is>
          <t>Developing</t>
        </is>
      </c>
      <c r="O22" s="114" t="inlineStr">
        <is>
          <t>3 Apply</t>
        </is>
      </c>
      <c r="P22" s="114" t="inlineStr">
        <is>
          <t>2–4 yrs</t>
        </is>
      </c>
      <c r="Q22" s="114" t="inlineStr">
        <is>
          <t>3–5 · 2–5</t>
        </is>
      </c>
      <c r="R22" s="114" t="inlineStr">
        <is>
          <t>Accounts Executive</t>
        </is>
      </c>
      <c r="S22" s="114" t="inlineStr">
        <is>
          <r>
            <rPr>
              <rFont val="Calibri"/>
              <b val="1"/>
              <sz val="10"/>
            </rPr>
            <t>Atlassian company-wide P-levels:</t>
          </r>
          <r>
            <rPr>
              <rFont val="Calibri"/>
              <sz val="10"/>
            </rPr>
            <t xml:space="preserve"> P40 · IRIS Vs Competitor Benchmark — finance ladder: Senior Accountant</t>
          </r>
        </is>
      </c>
      <c r="T22" s="114" t="inlineStr">
        <is>
          <t>IMA Management Accounting Competency Framework; ICAI / CA; Ind AS</t>
        </is>
      </c>
      <c r="U22" s="114" t="inlineStr">
        <is>
          <t>Core 2 · Future 2 · Functional 3 · Leadership not scored</t>
        </is>
      </c>
      <c r="V22" s="157" t="n">
        <v>303</v>
      </c>
      <c r="W22" s="158" t="inlineStr">
        <is>
          <t>IRIS2217</t>
        </is>
      </c>
      <c r="X22" s="158" t="inlineStr">
        <is>
          <t>Employee</t>
        </is>
      </c>
      <c r="Y22" s="158" t="inlineStr">
        <is>
          <t>Active</t>
        </is>
      </c>
      <c r="Z22" s="158" t="inlineStr">
        <is>
          <t>Bhushan Kashid</t>
        </is>
      </c>
      <c r="AA22" s="245" t="n">
        <v>45299</v>
      </c>
      <c r="AB22" s="158" t="inlineStr">
        <is>
          <t>Executive Accounts</t>
        </is>
      </c>
      <c r="AC22" s="158" t="inlineStr">
        <is>
          <t>B.Com</t>
        </is>
      </c>
      <c r="AD22" s="158" t="inlineStr">
        <is>
          <t>Anita Chavan</t>
        </is>
      </c>
      <c r="AE22" s="158" t="inlineStr">
        <is>
          <t>N-6</t>
        </is>
      </c>
      <c r="AF22" s="158" t="inlineStr">
        <is>
          <t>Individual Contributor</t>
        </is>
      </c>
      <c r="AG22" s="158" t="inlineStr">
        <is>
          <t>6 years, 0 months, 0 days</t>
        </is>
      </c>
      <c r="AH22" s="158" t="inlineStr">
        <is>
          <t>2 years, 7 months, 17 days</t>
        </is>
      </c>
      <c r="AI22" s="158" t="inlineStr">
        <is>
          <t>Corporate</t>
        </is>
      </c>
      <c r="AJ22" s="158" t="inlineStr">
        <is>
          <t>Corporate</t>
        </is>
      </c>
      <c r="AK22" s="158" t="inlineStr">
        <is>
          <t>Finance</t>
        </is>
      </c>
      <c r="AL22" s="158" t="inlineStr">
        <is>
          <t>Accounting</t>
        </is>
      </c>
      <c r="AM22" s="158" t="inlineStr">
        <is>
          <t>No</t>
        </is>
      </c>
      <c r="AN22" s="158" t="inlineStr">
        <is>
          <t>General &amp; Admin</t>
        </is>
      </c>
      <c r="AO22" s="158" t="inlineStr">
        <is>
          <t>Accounting</t>
        </is>
      </c>
      <c r="AP22" s="158" t="inlineStr">
        <is>
          <t>Non-technical</t>
        </is>
      </c>
      <c r="AQ22" s="158" t="n">
        <v>20</v>
      </c>
      <c r="AR22" s="158" t="inlineStr">
        <is>
          <t>Covered</t>
        </is>
      </c>
      <c r="AS22" s="158" t="n"/>
      <c r="AT22" s="158" t="n"/>
      <c r="AU22" s="158" t="n"/>
      <c r="AV22" s="158" t="n"/>
      <c r="AW22" s="158" t="n"/>
      <c r="AX22" s="158" t="n"/>
      <c r="AY22" s="158" t="n"/>
      <c r="AZ22" s="158" t="n"/>
      <c r="BA22" s="158" t="n"/>
      <c r="BB22" s="158" t="n"/>
      <c r="BC22" s="158" t="n"/>
      <c r="BD22" s="158" t="n"/>
      <c r="BE22" s="158" t="n"/>
      <c r="BF22" s="158" t="n"/>
      <c r="BG22" s="158" t="n"/>
      <c r="BH22" s="158" t="n"/>
      <c r="BI22" s="158" t="n"/>
      <c r="BJ22" s="158" t="n"/>
      <c r="BK22" s="158" t="n"/>
      <c r="BL22" s="158" t="n"/>
      <c r="BM22" s="158" t="n"/>
      <c r="BN22" s="158" t="n"/>
      <c r="BO22" s="158" t="n"/>
      <c r="BP22" s="158" t="n"/>
      <c r="BQ22" s="158" t="n"/>
      <c r="BR22" s="158" t="n"/>
      <c r="BS22" s="158" t="n"/>
      <c r="BT22" s="158" t="n"/>
      <c r="BU22" s="158" t="n"/>
      <c r="BV22" s="158" t="n"/>
      <c r="BW22" s="158" t="n"/>
      <c r="BX22" s="158" t="n"/>
      <c r="BY22" s="158" t="n"/>
      <c r="BZ22" s="158" t="n"/>
      <c r="CA22" s="158" t="n"/>
      <c r="CB22" s="158" t="n"/>
      <c r="CC22" s="158" t="n"/>
      <c r="CD22" s="158" t="n"/>
      <c r="CE22" s="158" t="n"/>
      <c r="CF22" s="158" t="n"/>
      <c r="CG22" s="158" t="n"/>
    </row>
    <row r="23" ht="64" customHeight="1">
      <c r="A23" s="109" t="inlineStr">
        <is>
          <t>IRIS2062</t>
        </is>
      </c>
      <c r="B23" s="111" t="inlineStr">
        <is>
          <t>Riddhi Narkar</t>
        </is>
      </c>
      <c r="C23" s="111" t="inlineStr">
        <is>
          <t>Finance</t>
        </is>
      </c>
      <c r="D23" s="115" t="inlineStr">
        <is>
          <t>Executive Accounts</t>
        </is>
      </c>
      <c r="E23" s="115" t="inlineStr">
        <is>
          <t>Senior Accounts Executive</t>
        </is>
      </c>
      <c r="F23" s="115" t="inlineStr">
        <is>
          <t>Not in current mapping files</t>
        </is>
      </c>
      <c r="G23" s="115" t="inlineStr">
        <is>
          <t>A3</t>
        </is>
      </c>
      <c r="H23" s="117" t="inlineStr">
        <is>
          <t>● Newly mapped</t>
        </is>
      </c>
      <c r="I23" s="111" t="inlineStr">
        <is>
          <t>Finance &amp; Accounts</t>
        </is>
      </c>
      <c r="J23" s="111" t="inlineStr">
        <is>
          <t>Accounting &amp; Transaction Processing</t>
        </is>
      </c>
      <c r="K23" s="111" t="inlineStr"/>
      <c r="L23" s="111" t="n">
        <v>19</v>
      </c>
      <c r="M23" s="113" t="inlineStr">
        <is>
          <t>P2</t>
        </is>
      </c>
      <c r="N23" s="114" t="inlineStr">
        <is>
          <t>Developing</t>
        </is>
      </c>
      <c r="O23" s="114" t="inlineStr">
        <is>
          <t>3 Apply</t>
        </is>
      </c>
      <c r="P23" s="114" t="inlineStr">
        <is>
          <t>2–4 yrs</t>
        </is>
      </c>
      <c r="Q23" s="114" t="inlineStr">
        <is>
          <t>3–5 · 2–5</t>
        </is>
      </c>
      <c r="R23" s="114" t="inlineStr">
        <is>
          <t>Accounts Executive</t>
        </is>
      </c>
      <c r="S23" s="114" t="inlineStr">
        <is>
          <r>
            <rPr>
              <rFont val="Calibri"/>
              <b val="1"/>
              <sz val="10"/>
            </rPr>
            <t>Atlassian company-wide P-levels:</t>
          </r>
          <r>
            <rPr>
              <rFont val="Calibri"/>
              <sz val="10"/>
            </rPr>
            <t xml:space="preserve"> P40 · IRIS Vs Competitor Benchmark — finance ladder: Senior Accountant</t>
          </r>
        </is>
      </c>
      <c r="T23" s="114" t="inlineStr">
        <is>
          <t>IMA Management Accounting Competency Framework; ICAI / CA; Ind AS</t>
        </is>
      </c>
      <c r="U23" s="114" t="inlineStr">
        <is>
          <t>Core 2 · Future 2 · Functional 3 · Leadership not scored</t>
        </is>
      </c>
      <c r="V23" s="157" t="n">
        <v>241</v>
      </c>
      <c r="W23" s="158" t="inlineStr">
        <is>
          <t>IRIS2062</t>
        </is>
      </c>
      <c r="X23" s="158" t="inlineStr">
        <is>
          <t>Employee</t>
        </is>
      </c>
      <c r="Y23" s="158" t="inlineStr">
        <is>
          <t>Active</t>
        </is>
      </c>
      <c r="Z23" s="158" t="inlineStr">
        <is>
          <t>Riddhi Narkar</t>
        </is>
      </c>
      <c r="AA23" s="245" t="n">
        <v>44811</v>
      </c>
      <c r="AB23" s="158" t="inlineStr">
        <is>
          <t>Executive Accounts</t>
        </is>
      </c>
      <c r="AC23" s="158" t="inlineStr">
        <is>
          <t>B.Com</t>
        </is>
      </c>
      <c r="AD23" s="158" t="inlineStr">
        <is>
          <t>Gaurangee Gaurav Tawde</t>
        </is>
      </c>
      <c r="AE23" s="158" t="inlineStr">
        <is>
          <t>N-6</t>
        </is>
      </c>
      <c r="AF23" s="158" t="inlineStr">
        <is>
          <t>Individual Contributor</t>
        </is>
      </c>
      <c r="AG23" s="158" t="inlineStr">
        <is>
          <t>5 years, 10 months, 0 days</t>
        </is>
      </c>
      <c r="AH23" s="158" t="inlineStr">
        <is>
          <t>3 years, 11 months, 18 days</t>
        </is>
      </c>
      <c r="AI23" s="158" t="inlineStr">
        <is>
          <t>Corporate</t>
        </is>
      </c>
      <c r="AJ23" s="158" t="inlineStr">
        <is>
          <t>Corporate</t>
        </is>
      </c>
      <c r="AK23" s="158" t="inlineStr">
        <is>
          <t>Finance</t>
        </is>
      </c>
      <c r="AL23" s="158" t="inlineStr">
        <is>
          <t>Accounting</t>
        </is>
      </c>
      <c r="AM23" s="158" t="inlineStr">
        <is>
          <t>No</t>
        </is>
      </c>
      <c r="AN23" s="158" t="inlineStr">
        <is>
          <t>General &amp; Admin</t>
        </is>
      </c>
      <c r="AO23" s="158" t="inlineStr">
        <is>
          <t>Accounting</t>
        </is>
      </c>
      <c r="AP23" s="158" t="inlineStr">
        <is>
          <t>Non-technical</t>
        </is>
      </c>
      <c r="AQ23" s="158" t="n">
        <v>20</v>
      </c>
      <c r="AR23" s="158" t="inlineStr">
        <is>
          <t>Covered</t>
        </is>
      </c>
      <c r="AS23" s="158" t="n"/>
      <c r="AT23" s="158" t="n"/>
      <c r="AU23" s="158" t="n"/>
      <c r="AV23" s="158" t="n"/>
      <c r="AW23" s="158" t="n"/>
      <c r="AX23" s="158" t="n"/>
      <c r="AY23" s="158" t="n"/>
      <c r="AZ23" s="158" t="n"/>
      <c r="BA23" s="158" t="n"/>
      <c r="BB23" s="158" t="n"/>
      <c r="BC23" s="158" t="n"/>
      <c r="BD23" s="158" t="n"/>
      <c r="BE23" s="158" t="n"/>
      <c r="BF23" s="158" t="n"/>
      <c r="BG23" s="158" t="n"/>
      <c r="BH23" s="158" t="n"/>
      <c r="BI23" s="158" t="n"/>
      <c r="BJ23" s="158" t="n"/>
      <c r="BK23" s="158" t="n"/>
      <c r="BL23" s="158" t="n"/>
      <c r="BM23" s="158" t="n"/>
      <c r="BN23" s="158" t="n"/>
      <c r="BO23" s="158" t="n"/>
      <c r="BP23" s="158" t="n"/>
      <c r="BQ23" s="158" t="n"/>
      <c r="BR23" s="158" t="n"/>
      <c r="BS23" s="158" t="n"/>
      <c r="BT23" s="158" t="n"/>
      <c r="BU23" s="158" t="n"/>
      <c r="BV23" s="158" t="n"/>
      <c r="BW23" s="158" t="n"/>
      <c r="BX23" s="158" t="n"/>
      <c r="BY23" s="158" t="n"/>
      <c r="BZ23" s="158" t="n"/>
      <c r="CA23" s="158" t="n"/>
      <c r="CB23" s="158" t="n"/>
      <c r="CC23" s="158" t="n"/>
      <c r="CD23" s="158" t="n"/>
      <c r="CE23" s="158" t="n"/>
      <c r="CF23" s="158" t="n"/>
      <c r="CG23" s="158" t="n"/>
    </row>
    <row r="24" ht="64" customHeight="1">
      <c r="A24" s="109" t="inlineStr">
        <is>
          <t>IRIS2533</t>
        </is>
      </c>
      <c r="B24" s="111" t="inlineStr">
        <is>
          <t>Shweta Jha</t>
        </is>
      </c>
      <c r="C24" s="111" t="inlineStr">
        <is>
          <t>HR</t>
        </is>
      </c>
      <c r="D24" s="115" t="inlineStr">
        <is>
          <t>Vice President - Human Resource</t>
        </is>
      </c>
      <c r="E24" s="115" t="inlineStr">
        <is>
          <t>Vice President – Human Resources</t>
        </is>
      </c>
      <c r="F24" s="115" t="inlineStr">
        <is>
          <t>Not in current mapping files</t>
        </is>
      </c>
      <c r="G24" s="115" t="inlineStr">
        <is>
          <t>D2</t>
        </is>
      </c>
      <c r="H24" s="117" t="inlineStr">
        <is>
          <t>● Newly mapped</t>
        </is>
      </c>
      <c r="I24" s="111" t="inlineStr">
        <is>
          <t>Human Resources</t>
        </is>
      </c>
      <c r="J24" s="111" t="inlineStr">
        <is>
          <t>HR Leadership</t>
        </is>
      </c>
      <c r="K24" s="141" t="inlineStr">
        <is>
          <t>• Survey response or KRAs describing the work · nothing on file — Employee + manager</t>
        </is>
      </c>
      <c r="L24" s="111" t="n">
        <v>0</v>
      </c>
      <c r="M24" s="113" t="inlineStr">
        <is>
          <t>E3–E4</t>
        </is>
      </c>
      <c r="N24" s="114" t="inlineStr">
        <is>
          <t>SVP</t>
        </is>
      </c>
      <c r="O24" s="114" t="inlineStr">
        <is>
          <t>7 Set strategy</t>
        </is>
      </c>
      <c r="P24" s="114" t="inlineStr">
        <is>
          <t>18–24 yrs</t>
        </is>
      </c>
      <c r="Q24" s="114" t="inlineStr">
        <is>
          <t>—</t>
        </is>
      </c>
      <c r="R24" s="114" t="inlineStr">
        <is>
          <t>Vice President / Senior Vice President / Senior Vice President</t>
        </is>
      </c>
      <c r="S24" s="114" t="inlineStr">
        <is>
          <t>IRIS Vs Competitor Benchmark — HR ladder: VP HR</t>
        </is>
      </c>
      <c r="T24" s="114" t="inlineStr">
        <is>
          <t>SHRM BASK · SHRM-CP → SHRM-SCP; CIPD Profession Map</t>
        </is>
      </c>
      <c r="U24" s="114" t="inlineStr">
        <is>
          <t>Core 5 · Future 4 · Functional 4 · Leadership 5</t>
        </is>
      </c>
      <c r="V24" s="157" t="n">
        <v>505</v>
      </c>
      <c r="W24" s="158" t="inlineStr">
        <is>
          <t>IRIS2533</t>
        </is>
      </c>
      <c r="X24" s="158" t="inlineStr">
        <is>
          <t>Employee</t>
        </is>
      </c>
      <c r="Y24" s="158" t="inlineStr">
        <is>
          <t>Active</t>
        </is>
      </c>
      <c r="Z24" s="158" t="inlineStr">
        <is>
          <t>Shweta Jha</t>
        </is>
      </c>
      <c r="AA24" s="245" t="n">
        <v>46174</v>
      </c>
      <c r="AB24" s="158" t="inlineStr">
        <is>
          <t>Vice President - Human Resource</t>
        </is>
      </c>
      <c r="AC24" s="158" t="inlineStr">
        <is>
          <t>MBA</t>
        </is>
      </c>
      <c r="AD24" s="158" t="inlineStr">
        <is>
          <t>Deepta Rangarajan</t>
        </is>
      </c>
      <c r="AE24" s="158" t="inlineStr">
        <is>
          <t>N-1</t>
        </is>
      </c>
      <c r="AF24" s="158" t="inlineStr">
        <is>
          <t>Manager</t>
        </is>
      </c>
      <c r="AG24" s="158" t="inlineStr">
        <is>
          <t>17 years, 11 months, 0 days</t>
        </is>
      </c>
      <c r="AH24" s="158" t="inlineStr">
        <is>
          <t>0 years, 2 months, 24 days</t>
        </is>
      </c>
      <c r="AI24" s="158" t="inlineStr">
        <is>
          <t>Corporate</t>
        </is>
      </c>
      <c r="AJ24" s="158" t="inlineStr">
        <is>
          <t>Corporate</t>
        </is>
      </c>
      <c r="AK24" s="158" t="inlineStr">
        <is>
          <t>HR</t>
        </is>
      </c>
      <c r="AL24" s="158" t="inlineStr">
        <is>
          <t>HR</t>
        </is>
      </c>
      <c r="AM24" s="158" t="inlineStr">
        <is>
          <t>No</t>
        </is>
      </c>
      <c r="AN24" s="158" t="inlineStr">
        <is>
          <t>General &amp; Admin</t>
        </is>
      </c>
      <c r="AO24" s="158" t="inlineStr">
        <is>
          <t>HR</t>
        </is>
      </c>
      <c r="AP24" s="158" t="inlineStr">
        <is>
          <t>Non-technical</t>
        </is>
      </c>
      <c r="AQ24" s="158" t="n">
        <v>0</v>
      </c>
      <c r="AR24" s="158" t="inlineStr">
        <is>
          <t>E-Top management</t>
        </is>
      </c>
      <c r="AS24" s="158" t="n"/>
      <c r="AT24" s="158" t="n"/>
      <c r="AU24" s="158" t="n"/>
      <c r="AV24" s="158" t="n"/>
      <c r="AW24" s="158" t="n"/>
      <c r="AX24" s="158" t="n"/>
      <c r="AY24" s="158" t="n"/>
      <c r="AZ24" s="158" t="n"/>
      <c r="BA24" s="158" t="n"/>
      <c r="BB24" s="158" t="n"/>
      <c r="BC24" s="158" t="n"/>
      <c r="BD24" s="158" t="n"/>
      <c r="BE24" s="158" t="n"/>
      <c r="BF24" s="158" t="n"/>
      <c r="BG24" s="158" t="n"/>
      <c r="BH24" s="158" t="n"/>
      <c r="BI24" s="158" t="n"/>
      <c r="BJ24" s="158" t="n"/>
      <c r="BK24" s="158" t="n"/>
      <c r="BL24" s="158" t="n"/>
      <c r="BM24" s="158" t="n"/>
      <c r="BN24" s="158" t="n"/>
      <c r="BO24" s="158" t="n"/>
      <c r="BP24" s="158" t="n"/>
      <c r="BQ24" s="158" t="n"/>
      <c r="BR24" s="158" t="n"/>
      <c r="BS24" s="158" t="n"/>
      <c r="BT24" s="158" t="n"/>
      <c r="BU24" s="158" t="n"/>
      <c r="BV24" s="158" t="n"/>
      <c r="BW24" s="158" t="n"/>
      <c r="BX24" s="158" t="n"/>
      <c r="BY24" s="158" t="n"/>
      <c r="BZ24" s="158" t="n"/>
      <c r="CA24" s="158" t="n"/>
      <c r="CB24" s="158" t="n"/>
      <c r="CC24" s="158" t="n"/>
      <c r="CD24" s="158" t="n"/>
      <c r="CE24" s="158" t="n"/>
      <c r="CF24" s="158" t="n"/>
      <c r="CG24" s="158" t="n"/>
    </row>
    <row r="25" ht="64" customHeight="1">
      <c r="A25" s="109" t="inlineStr">
        <is>
          <t>IRIS2556</t>
        </is>
      </c>
      <c r="B25" s="111" t="inlineStr">
        <is>
          <t>Mohammed Hanzala Shaikh</t>
        </is>
      </c>
      <c r="C25" s="111" t="inlineStr">
        <is>
          <t>HR</t>
        </is>
      </c>
      <c r="D25" s="115" t="inlineStr">
        <is>
          <t>Lead HR Transformation</t>
        </is>
      </c>
      <c r="E25" s="115" t="inlineStr">
        <is>
          <t>Lead HR Specialist – Transformation &amp; OD</t>
        </is>
      </c>
      <c r="F25" s="115" t="inlineStr">
        <is>
          <t>Not in current mapping files</t>
        </is>
      </c>
      <c r="G25" s="115" t="inlineStr">
        <is>
          <t>B3</t>
        </is>
      </c>
      <c r="H25" s="117" t="inlineStr">
        <is>
          <t>● Newly mapped</t>
        </is>
      </c>
      <c r="I25" s="111" t="inlineStr">
        <is>
          <t>Human Resources</t>
        </is>
      </c>
      <c r="J25" s="111" t="inlineStr">
        <is>
          <t>HR Transformation &amp; OD</t>
        </is>
      </c>
      <c r="K25" s="141" t="inlineStr">
        <is>
          <t>• Survey response or KRAs describing the work · nothing on file — Employee + manager</t>
        </is>
      </c>
      <c r="L25" s="111" t="n">
        <v>0</v>
      </c>
      <c r="M25" s="113" t="inlineStr">
        <is>
          <t>P5 / M4</t>
        </is>
      </c>
      <c r="N25" s="114" t="inlineStr">
        <is>
          <t>Expert / Senior Manager</t>
        </is>
      </c>
      <c r="O25" s="114" t="inlineStr">
        <is>
          <t>5 Ensure, advise</t>
        </is>
      </c>
      <c r="P25" s="114" t="inlineStr">
        <is>
          <t>8–12 yrs</t>
        </is>
      </c>
      <c r="Q25" s="114" t="inlineStr">
        <is>
          <t>9–13 · 9–14</t>
        </is>
      </c>
      <c r="R25" s="114" t="inlineStr">
        <is>
          <t>HR Specialist / HRBP</t>
        </is>
      </c>
      <c r="S25" s="114" t="inlineStr">
        <is>
          <t>IRIS Vs Competitor Benchmark — HR ladder: Senior HR Manager · SHRM-SCP</t>
        </is>
      </c>
      <c r="T25" s="114" t="inlineStr">
        <is>
          <t>SHRM BASK · SHRM-CP → SHRM-SCP; CIPD Profession Map</t>
        </is>
      </c>
      <c r="U25" s="114" t="inlineStr">
        <is>
          <t>Core 4 · Future 3 · Functional 4 · Leadership 3</t>
        </is>
      </c>
      <c r="V25" s="157" t="n">
        <v>529</v>
      </c>
      <c r="W25" s="158" t="inlineStr">
        <is>
          <t>IRIS2556</t>
        </is>
      </c>
      <c r="X25" s="158" t="inlineStr">
        <is>
          <t>Employee</t>
        </is>
      </c>
      <c r="Y25" s="158" t="inlineStr">
        <is>
          <t>Active</t>
        </is>
      </c>
      <c r="Z25" s="158" t="inlineStr">
        <is>
          <t>Mohammed Hanzala Shaikh</t>
        </is>
      </c>
      <c r="AA25" s="245" t="n">
        <v>46258</v>
      </c>
      <c r="AB25" s="158" t="inlineStr">
        <is>
          <t>Lead HR Transformation</t>
        </is>
      </c>
      <c r="AC25" s="158" t="inlineStr">
        <is>
          <t>BMS</t>
        </is>
      </c>
      <c r="AD25" s="158" t="inlineStr">
        <is>
          <t>Shweta Jha</t>
        </is>
      </c>
      <c r="AE25" s="158" t="inlineStr">
        <is>
          <t>N-2</t>
        </is>
      </c>
      <c r="AF25" s="158" t="inlineStr">
        <is>
          <t>Individual Contributor</t>
        </is>
      </c>
      <c r="AG25" s="158" t="n"/>
      <c r="AH25" s="158" t="inlineStr">
        <is>
          <t>0 years, 0 months, 1 days</t>
        </is>
      </c>
      <c r="AI25" s="158" t="inlineStr">
        <is>
          <t>Corporate</t>
        </is>
      </c>
      <c r="AJ25" s="158" t="inlineStr">
        <is>
          <t>Corporate</t>
        </is>
      </c>
      <c r="AK25" s="158" t="inlineStr">
        <is>
          <t>HR</t>
        </is>
      </c>
      <c r="AL25" s="158" t="inlineStr">
        <is>
          <t>HR</t>
        </is>
      </c>
      <c r="AM25" s="158" t="inlineStr">
        <is>
          <t>No</t>
        </is>
      </c>
      <c r="AN25" s="158" t="inlineStr">
        <is>
          <t>General &amp; Admin</t>
        </is>
      </c>
      <c r="AO25" s="158" t="inlineStr">
        <is>
          <t>HR</t>
        </is>
      </c>
      <c r="AP25" s="158" t="inlineStr">
        <is>
          <t>Non-technical</t>
        </is>
      </c>
      <c r="AQ25" s="158" t="n">
        <v>0</v>
      </c>
      <c r="AR25" s="158" t="inlineStr">
        <is>
          <t>Excluded</t>
        </is>
      </c>
      <c r="AS25" s="158" t="n"/>
      <c r="AT25" s="158" t="n"/>
      <c r="AU25" s="158" t="n"/>
      <c r="AV25" s="158" t="n"/>
      <c r="AW25" s="158" t="n"/>
      <c r="AX25" s="158" t="n"/>
      <c r="AY25" s="158" t="n"/>
      <c r="AZ25" s="158" t="n"/>
      <c r="BA25" s="158" t="n"/>
      <c r="BB25" s="158" t="n"/>
      <c r="BC25" s="158" t="n"/>
      <c r="BD25" s="158" t="n"/>
      <c r="BE25" s="158" t="n"/>
      <c r="BF25" s="158" t="n"/>
      <c r="BG25" s="158" t="n"/>
      <c r="BH25" s="158" t="n"/>
      <c r="BI25" s="158" t="n"/>
      <c r="BJ25" s="158" t="n"/>
      <c r="BK25" s="158" t="n"/>
      <c r="BL25" s="158" t="n"/>
      <c r="BM25" s="158" t="n"/>
      <c r="BN25" s="158" t="n"/>
      <c r="BO25" s="158" t="n"/>
      <c r="BP25" s="158" t="n"/>
      <c r="BQ25" s="158" t="n"/>
      <c r="BR25" s="158" t="n"/>
      <c r="BS25" s="158" t="n"/>
      <c r="BT25" s="158" t="n"/>
      <c r="BU25" s="158" t="n"/>
      <c r="BV25" s="158" t="n"/>
      <c r="BW25" s="158" t="n"/>
      <c r="BX25" s="158" t="n"/>
      <c r="BY25" s="158" t="n"/>
      <c r="BZ25" s="158" t="n"/>
      <c r="CA25" s="158" t="n"/>
      <c r="CB25" s="158" t="n"/>
      <c r="CC25" s="158" t="n"/>
      <c r="CD25" s="158" t="n"/>
      <c r="CE25" s="158" t="n"/>
      <c r="CF25" s="158" t="n"/>
      <c r="CG25" s="158" t="n"/>
    </row>
    <row r="26" ht="64" customHeight="1">
      <c r="A26" s="109" t="inlineStr">
        <is>
          <t>IRIS2557</t>
        </is>
      </c>
      <c r="B26" s="111" t="inlineStr">
        <is>
          <t>Simran Kaur Raina</t>
        </is>
      </c>
      <c r="C26" s="111" t="inlineStr">
        <is>
          <t>HR</t>
        </is>
      </c>
      <c r="D26" s="115" t="inlineStr">
        <is>
          <t>Manager- Talent Acquisition</t>
        </is>
      </c>
      <c r="E26" s="115" t="inlineStr">
        <is>
          <t>Senior Talent Acquisition Specialist</t>
        </is>
      </c>
      <c r="F26" s="115" t="inlineStr">
        <is>
          <t>Not in current mapping files</t>
        </is>
      </c>
      <c r="G26" s="115" t="inlineStr">
        <is>
          <t>B2</t>
        </is>
      </c>
      <c r="H26" s="117" t="inlineStr">
        <is>
          <t>● Newly mapped</t>
        </is>
      </c>
      <c r="I26" s="111" t="inlineStr">
        <is>
          <t>Human Resources</t>
        </is>
      </c>
      <c r="J26" s="111" t="inlineStr">
        <is>
          <t>Talent Acquisition</t>
        </is>
      </c>
      <c r="K26" s="141" t="inlineStr">
        <is>
          <t>• Total experience · outside + at IRIS — HR — HRIS
• Confirm prior experience · provisional placement — HR</t>
        </is>
      </c>
      <c r="L26" s="111" t="n">
        <v>14</v>
      </c>
      <c r="M26" s="113" t="inlineStr">
        <is>
          <t>P4 / M3</t>
        </is>
      </c>
      <c r="N26" s="114" t="inlineStr">
        <is>
          <t>Senior / Manager</t>
        </is>
      </c>
      <c r="O26" s="114" t="inlineStr">
        <is>
          <t>4–5</t>
        </is>
      </c>
      <c r="P26" s="114" t="inlineStr">
        <is>
          <t>6–9 yrs</t>
        </is>
      </c>
      <c r="Q26" s="114" t="inlineStr">
        <is>
          <t>7–10 · 6–11</t>
        </is>
      </c>
      <c r="R26" s="114" t="inlineStr">
        <is>
          <t>HR Specialist / HRBP</t>
        </is>
      </c>
      <c r="S26" s="114" t="inlineStr">
        <is>
          <t>IRIS Vs Competitor Benchmark — HR ladder: HR Manager / Senior HRBP</t>
        </is>
      </c>
      <c r="T26" s="114" t="inlineStr">
        <is>
          <t>SHRM BASK · SHRM-CP → SHRM-SCP; CIPD Profession Map</t>
        </is>
      </c>
      <c r="U26" s="114" t="inlineStr">
        <is>
          <t>Core 3 · Future 3 · Functional 4 · Leadership 2</t>
        </is>
      </c>
      <c r="V26" s="157" t="n">
        <v>530</v>
      </c>
      <c r="W26" s="158" t="inlineStr">
        <is>
          <t>IRIS2557</t>
        </is>
      </c>
      <c r="X26" s="158" t="inlineStr">
        <is>
          <t>Employee</t>
        </is>
      </c>
      <c r="Y26" s="158" t="inlineStr">
        <is>
          <t>Active</t>
        </is>
      </c>
      <c r="Z26" s="158" t="inlineStr">
        <is>
          <t>Simran Kaur Raina</t>
        </is>
      </c>
      <c r="AA26" s="245" t="n">
        <v>46258</v>
      </c>
      <c r="AB26" s="158" t="inlineStr">
        <is>
          <t>Manager- Talent Acquisition</t>
        </is>
      </c>
      <c r="AC26" s="158" t="inlineStr">
        <is>
          <t>PGDM</t>
        </is>
      </c>
      <c r="AD26" s="158" t="inlineStr">
        <is>
          <t>Shweta Jha</t>
        </is>
      </c>
      <c r="AE26" s="158" t="inlineStr">
        <is>
          <t>N-2</t>
        </is>
      </c>
      <c r="AF26" s="158" t="inlineStr">
        <is>
          <t>Individual Contributor</t>
        </is>
      </c>
      <c r="AG26" s="158" t="n"/>
      <c r="AH26" s="158" t="inlineStr">
        <is>
          <t>0 years, 0 months, 1 days</t>
        </is>
      </c>
      <c r="AI26" s="158" t="inlineStr">
        <is>
          <t>Corporate</t>
        </is>
      </c>
      <c r="AJ26" s="158" t="inlineStr">
        <is>
          <t>Corporate</t>
        </is>
      </c>
      <c r="AK26" s="158" t="inlineStr">
        <is>
          <t>HR</t>
        </is>
      </c>
      <c r="AL26" s="158" t="inlineStr">
        <is>
          <t>HR</t>
        </is>
      </c>
      <c r="AM26" s="158" t="inlineStr">
        <is>
          <t>No</t>
        </is>
      </c>
      <c r="AN26" s="158" t="inlineStr">
        <is>
          <t>General &amp; Admin</t>
        </is>
      </c>
      <c r="AO26" s="158" t="inlineStr">
        <is>
          <t>HR</t>
        </is>
      </c>
      <c r="AP26" s="158" t="inlineStr">
        <is>
          <t>Non-technical</t>
        </is>
      </c>
      <c r="AQ26" s="158" t="n">
        <v>20</v>
      </c>
      <c r="AR26" s="158" t="inlineStr">
        <is>
          <t>Covered</t>
        </is>
      </c>
      <c r="AS26" s="158" t="n"/>
      <c r="AT26" s="158" t="n"/>
      <c r="AU26" s="158" t="n"/>
      <c r="AV26" s="158" t="n"/>
      <c r="AW26" s="158" t="n"/>
      <c r="AX26" s="158" t="n"/>
      <c r="AY26" s="158" t="n"/>
      <c r="AZ26" s="158" t="n"/>
      <c r="BA26" s="158" t="n"/>
      <c r="BB26" s="158" t="n"/>
      <c r="BC26" s="158" t="n"/>
      <c r="BD26" s="158" t="n"/>
      <c r="BE26" s="158" t="n"/>
      <c r="BF26" s="158" t="n"/>
      <c r="BG26" s="158" t="n"/>
      <c r="BH26" s="158" t="n"/>
      <c r="BI26" s="158" t="n"/>
      <c r="BJ26" s="158" t="n"/>
      <c r="BK26" s="158" t="n"/>
      <c r="BL26" s="158" t="n"/>
      <c r="BM26" s="158" t="n"/>
      <c r="BN26" s="158" t="n"/>
      <c r="BO26" s="158" t="n"/>
      <c r="BP26" s="158" t="n"/>
      <c r="BQ26" s="158" t="n"/>
      <c r="BR26" s="158" t="n"/>
      <c r="BS26" s="158" t="n"/>
      <c r="BT26" s="158" t="n"/>
      <c r="BU26" s="158" t="n"/>
      <c r="BV26" s="158" t="n"/>
      <c r="BW26" s="158" t="n"/>
      <c r="BX26" s="158" t="n"/>
      <c r="BY26" s="158" t="n"/>
      <c r="BZ26" s="158" t="n"/>
      <c r="CA26" s="158" t="n"/>
      <c r="CB26" s="158" t="n"/>
      <c r="CC26" s="158" t="n"/>
      <c r="CD26" s="158" t="n"/>
      <c r="CE26" s="158" t="n"/>
      <c r="CF26" s="158" t="n"/>
      <c r="CG26" s="158" t="n"/>
    </row>
    <row r="27" ht="64" customHeight="1">
      <c r="A27" s="109" t="inlineStr">
        <is>
          <t>IRIS0204</t>
        </is>
      </c>
      <c r="B27" s="111" t="inlineStr">
        <is>
          <t>Chandrakumar Moopanar</t>
        </is>
      </c>
      <c r="C27" s="111" t="inlineStr">
        <is>
          <t>HR</t>
        </is>
      </c>
      <c r="D27" s="115" t="inlineStr">
        <is>
          <t>HRIS &amp; Payroll Specialist</t>
        </is>
      </c>
      <c r="E27" s="115" t="inlineStr">
        <is>
          <t>HR Specialist</t>
        </is>
      </c>
      <c r="F27" s="115" t="inlineStr">
        <is>
          <t>Not in current mapping files</t>
        </is>
      </c>
      <c r="G27" s="115" t="inlineStr">
        <is>
          <t>B1</t>
        </is>
      </c>
      <c r="H27" s="117" t="inlineStr">
        <is>
          <t>● Newly mapped</t>
        </is>
      </c>
      <c r="I27" s="111" t="inlineStr">
        <is>
          <t>Human Resources</t>
        </is>
      </c>
      <c r="J27" s="111" t="inlineStr">
        <is>
          <t>HR Operations &amp; Payroll</t>
        </is>
      </c>
      <c r="K27" s="111" t="inlineStr"/>
      <c r="L27" s="111" t="n">
        <v>16</v>
      </c>
      <c r="M27" s="113" t="inlineStr">
        <is>
          <t>P3 / M2</t>
        </is>
      </c>
      <c r="N27" s="114" t="inlineStr">
        <is>
          <t>Career / · Team Lead</t>
        </is>
      </c>
      <c r="O27" s="114" t="inlineStr">
        <is>
          <t>4 Enable</t>
        </is>
      </c>
      <c r="P27" s="114" t="inlineStr">
        <is>
          <t>4–7 yrs</t>
        </is>
      </c>
      <c r="Q27" s="114" t="inlineStr">
        <is>
          <t>5–8 · 4–8</t>
        </is>
      </c>
      <c r="R27" s="114" t="inlineStr">
        <is>
          <t>Senior HR Executive</t>
        </is>
      </c>
      <c r="S27" s="114" t="inlineStr">
        <is>
          <t>IRIS Vs Competitor Benchmark — HR ladder: HR Specialist / HRBP</t>
        </is>
      </c>
      <c r="T27" s="114" t="inlineStr">
        <is>
          <t>SHRM BASK · SHRM-CP → SHRM-SCP; CIPD Profession Map</t>
        </is>
      </c>
      <c r="U27" s="114" t="inlineStr">
        <is>
          <t>Core 3 · Future 3 · Functional 3 · Leadership 1</t>
        </is>
      </c>
      <c r="V27" s="157" t="n">
        <v>37</v>
      </c>
      <c r="W27" s="158" t="inlineStr">
        <is>
          <t>IRIS0204</t>
        </is>
      </c>
      <c r="X27" s="158" t="inlineStr">
        <is>
          <t>Employee</t>
        </is>
      </c>
      <c r="Y27" s="158" t="inlineStr">
        <is>
          <t>Active</t>
        </is>
      </c>
      <c r="Z27" s="158" t="inlineStr">
        <is>
          <t>Chandrakumar Moopanar</t>
        </is>
      </c>
      <c r="AA27" s="245" t="n">
        <v>39622</v>
      </c>
      <c r="AB27" s="158" t="inlineStr">
        <is>
          <t>HRIS &amp; Payroll Specialist</t>
        </is>
      </c>
      <c r="AC27" s="158" t="inlineStr">
        <is>
          <t>B.Com</t>
        </is>
      </c>
      <c r="AD27" s="158" t="inlineStr">
        <is>
          <t>Shweta Jha</t>
        </is>
      </c>
      <c r="AE27" s="158" t="inlineStr">
        <is>
          <t>N-2</t>
        </is>
      </c>
      <c r="AF27" s="158" t="inlineStr">
        <is>
          <t>Individual Contributor</t>
        </is>
      </c>
      <c r="AG27" s="158" t="inlineStr">
        <is>
          <t>1 years, 0 months, 0 days</t>
        </is>
      </c>
      <c r="AH27" s="158" t="inlineStr">
        <is>
          <t>18 years, 2 months, 2 days</t>
        </is>
      </c>
      <c r="AI27" s="158" t="inlineStr">
        <is>
          <t>Corporate</t>
        </is>
      </c>
      <c r="AJ27" s="158" t="inlineStr">
        <is>
          <t>Corporate</t>
        </is>
      </c>
      <c r="AK27" s="158" t="inlineStr">
        <is>
          <t>HR</t>
        </is>
      </c>
      <c r="AL27" s="158" t="inlineStr">
        <is>
          <t>HR</t>
        </is>
      </c>
      <c r="AM27" s="158" t="inlineStr">
        <is>
          <t>No</t>
        </is>
      </c>
      <c r="AN27" s="158" t="inlineStr">
        <is>
          <t>General &amp; Admin</t>
        </is>
      </c>
      <c r="AO27" s="158" t="inlineStr">
        <is>
          <t>HR</t>
        </is>
      </c>
      <c r="AP27" s="158" t="inlineStr">
        <is>
          <t>Non-technical</t>
        </is>
      </c>
      <c r="AQ27" s="158" t="n">
        <v>16</v>
      </c>
      <c r="AR27" s="158" t="inlineStr">
        <is>
          <t>Partial Response</t>
        </is>
      </c>
      <c r="AS27" s="158" t="n"/>
      <c r="AT27" s="158" t="n"/>
      <c r="AU27" s="158" t="n"/>
      <c r="AV27" s="158" t="n"/>
      <c r="AW27" s="158" t="n"/>
      <c r="AX27" s="158" t="n"/>
      <c r="AY27" s="158" t="n"/>
      <c r="AZ27" s="158" t="n"/>
      <c r="BA27" s="158" t="n"/>
      <c r="BB27" s="158" t="n"/>
      <c r="BC27" s="158" t="n"/>
      <c r="BD27" s="158" t="n"/>
      <c r="BE27" s="158" t="n"/>
      <c r="BF27" s="158" t="n"/>
      <c r="BG27" s="158" t="n"/>
      <c r="BH27" s="158" t="n"/>
      <c r="BI27" s="158" t="n"/>
      <c r="BJ27" s="158" t="n"/>
      <c r="BK27" s="158" t="n"/>
      <c r="BL27" s="158" t="n"/>
      <c r="BM27" s="158" t="n"/>
      <c r="BN27" s="158" t="n"/>
      <c r="BO27" s="158" t="n"/>
      <c r="BP27" s="158" t="n"/>
      <c r="BQ27" s="158" t="n"/>
      <c r="BR27" s="158" t="n"/>
      <c r="BS27" s="158" t="n"/>
      <c r="BT27" s="158" t="n"/>
      <c r="BU27" s="158" t="n"/>
      <c r="BV27" s="158" t="n"/>
      <c r="BW27" s="158" t="n"/>
      <c r="BX27" s="158" t="n"/>
      <c r="BY27" s="158" t="n"/>
      <c r="BZ27" s="158" t="n"/>
      <c r="CA27" s="158" t="n"/>
      <c r="CB27" s="158" t="n"/>
      <c r="CC27" s="158" t="n"/>
      <c r="CD27" s="158" t="n"/>
      <c r="CE27" s="158" t="n"/>
      <c r="CF27" s="158" t="n"/>
      <c r="CG27" s="158" t="n"/>
    </row>
    <row r="28" ht="64" customHeight="1">
      <c r="A28" s="109" t="inlineStr">
        <is>
          <t>IRIS2152</t>
        </is>
      </c>
      <c r="B28" s="111" t="inlineStr">
        <is>
          <t>Nikitha Nair</t>
        </is>
      </c>
      <c r="C28" s="111" t="inlineStr">
        <is>
          <t>HR</t>
        </is>
      </c>
      <c r="D28" s="115" t="inlineStr">
        <is>
          <t>Employee Experience Specialist</t>
        </is>
      </c>
      <c r="E28" s="115" t="inlineStr">
        <is>
          <t>HR Specialist – POD Lead</t>
        </is>
      </c>
      <c r="F28" s="115" t="inlineStr">
        <is>
          <t>Not in current mapping files</t>
        </is>
      </c>
      <c r="G28" s="115" t="inlineStr">
        <is>
          <t>B1</t>
        </is>
      </c>
      <c r="H28" s="117" t="inlineStr">
        <is>
          <t>● Newly mapped</t>
        </is>
      </c>
      <c r="I28" s="111" t="inlineStr">
        <is>
          <t>Human Resources</t>
        </is>
      </c>
      <c r="J28" s="111" t="inlineStr">
        <is>
          <t>HR Operations &amp; Payroll</t>
        </is>
      </c>
      <c r="K28" s="111" t="inlineStr"/>
      <c r="L28" s="111" t="n">
        <v>20</v>
      </c>
      <c r="M28" s="113" t="inlineStr">
        <is>
          <t>P3 / M2</t>
        </is>
      </c>
      <c r="N28" s="114" t="inlineStr">
        <is>
          <t>Career / · Team Lead</t>
        </is>
      </c>
      <c r="O28" s="114" t="inlineStr">
        <is>
          <t>4 Enable</t>
        </is>
      </c>
      <c r="P28" s="114" t="inlineStr">
        <is>
          <t>4–7 yrs</t>
        </is>
      </c>
      <c r="Q28" s="114" t="inlineStr">
        <is>
          <t>5–8 · 4–8</t>
        </is>
      </c>
      <c r="R28" s="114" t="inlineStr">
        <is>
          <t>Senior HR Executive</t>
        </is>
      </c>
      <c r="S28" s="114" t="inlineStr">
        <is>
          <t>IRIS Vs Competitor Benchmark — HR ladder: HR Specialist / HRBP</t>
        </is>
      </c>
      <c r="T28" s="114" t="inlineStr">
        <is>
          <t>SHRM BASK · SHRM-CP → SHRM-SCP; CIPD Profession Map</t>
        </is>
      </c>
      <c r="U28" s="114" t="inlineStr">
        <is>
          <t>Core 3 · Future 3 · Functional 3 · Leadership 2</t>
        </is>
      </c>
      <c r="V28" s="157" t="n">
        <v>282</v>
      </c>
      <c r="W28" s="158" t="inlineStr">
        <is>
          <t>IRIS2152</t>
        </is>
      </c>
      <c r="X28" s="158" t="inlineStr">
        <is>
          <t>Employee</t>
        </is>
      </c>
      <c r="Y28" s="158" t="inlineStr">
        <is>
          <t>Active</t>
        </is>
      </c>
      <c r="Z28" s="158" t="inlineStr">
        <is>
          <t>Nikitha Nair</t>
        </is>
      </c>
      <c r="AA28" s="245" t="n">
        <v>45110</v>
      </c>
      <c r="AB28" s="158" t="inlineStr">
        <is>
          <t>Employee Experience Specialist</t>
        </is>
      </c>
      <c r="AC28" s="158" t="inlineStr">
        <is>
          <t>MBA</t>
        </is>
      </c>
      <c r="AD28" s="158" t="inlineStr">
        <is>
          <t>Shweta Jha</t>
        </is>
      </c>
      <c r="AE28" s="158" t="inlineStr">
        <is>
          <t>N-2</t>
        </is>
      </c>
      <c r="AF28" s="158" t="inlineStr">
        <is>
          <t>Manager</t>
        </is>
      </c>
      <c r="AG28" s="158" t="inlineStr">
        <is>
          <t>1 years, 0 months, 0 days</t>
        </is>
      </c>
      <c r="AH28" s="158" t="inlineStr">
        <is>
          <t>3 years, 1 months, 22 days</t>
        </is>
      </c>
      <c r="AI28" s="158" t="inlineStr">
        <is>
          <t>Corporate</t>
        </is>
      </c>
      <c r="AJ28" s="158" t="inlineStr">
        <is>
          <t>Corporate</t>
        </is>
      </c>
      <c r="AK28" s="158" t="inlineStr">
        <is>
          <t>HR</t>
        </is>
      </c>
      <c r="AL28" s="158" t="inlineStr">
        <is>
          <t>HR</t>
        </is>
      </c>
      <c r="AM28" s="158" t="inlineStr">
        <is>
          <t>No</t>
        </is>
      </c>
      <c r="AN28" s="158" t="inlineStr">
        <is>
          <t>General &amp; Admin</t>
        </is>
      </c>
      <c r="AO28" s="158" t="inlineStr">
        <is>
          <t>HR</t>
        </is>
      </c>
      <c r="AP28" s="158" t="inlineStr">
        <is>
          <t>Non-technical</t>
        </is>
      </c>
      <c r="AQ28" s="158" t="n">
        <v>20</v>
      </c>
      <c r="AR28" s="158" t="inlineStr">
        <is>
          <t>Covered</t>
        </is>
      </c>
      <c r="AS28" s="158" t="n"/>
      <c r="AT28" s="158" t="n"/>
      <c r="AU28" s="158" t="n"/>
      <c r="AV28" s="158" t="n"/>
      <c r="AW28" s="158" t="n"/>
      <c r="AX28" s="158" t="n"/>
      <c r="AY28" s="158" t="n"/>
      <c r="AZ28" s="158" t="n"/>
      <c r="BA28" s="158" t="n"/>
      <c r="BB28" s="158" t="n"/>
      <c r="BC28" s="158" t="n"/>
      <c r="BD28" s="158" t="n"/>
      <c r="BE28" s="158" t="n"/>
      <c r="BF28" s="158" t="n"/>
      <c r="BG28" s="158" t="n"/>
      <c r="BH28" s="158" t="n"/>
      <c r="BI28" s="158" t="n"/>
      <c r="BJ28" s="158" t="n"/>
      <c r="BK28" s="158" t="n"/>
      <c r="BL28" s="158" t="n"/>
      <c r="BM28" s="158" t="n"/>
      <c r="BN28" s="158" t="n"/>
      <c r="BO28" s="158" t="n"/>
      <c r="BP28" s="158" t="n"/>
      <c r="BQ28" s="158" t="n"/>
      <c r="BR28" s="158" t="n"/>
      <c r="BS28" s="158" t="n"/>
      <c r="BT28" s="158" t="n"/>
      <c r="BU28" s="158" t="n"/>
      <c r="BV28" s="158" t="n"/>
      <c r="BW28" s="158" t="n"/>
      <c r="BX28" s="158" t="n"/>
      <c r="BY28" s="158" t="n"/>
      <c r="BZ28" s="158" t="n"/>
      <c r="CA28" s="158" t="n"/>
      <c r="CB28" s="158" t="n"/>
      <c r="CC28" s="158" t="n"/>
      <c r="CD28" s="158" t="n"/>
      <c r="CE28" s="158" t="n"/>
      <c r="CF28" s="158" t="n"/>
      <c r="CG28" s="158" t="n"/>
    </row>
    <row r="29" ht="64" customHeight="1">
      <c r="A29" s="109" t="inlineStr">
        <is>
          <t>IRIS2402</t>
        </is>
      </c>
      <c r="B29" s="111" t="inlineStr">
        <is>
          <t>Renuka Badhoria</t>
        </is>
      </c>
      <c r="C29" s="111" t="inlineStr">
        <is>
          <t>HR</t>
        </is>
      </c>
      <c r="D29" s="115" t="inlineStr">
        <is>
          <t>Talent Acquisition Specialist</t>
        </is>
      </c>
      <c r="E29" s="115" t="inlineStr">
        <is>
          <t>Senior Talent Acquisition Executive</t>
        </is>
      </c>
      <c r="F29" s="115" t="inlineStr">
        <is>
          <t>Not in current mapping files</t>
        </is>
      </c>
      <c r="G29" s="115" t="inlineStr">
        <is>
          <t>A3</t>
        </is>
      </c>
      <c r="H29" s="117" t="inlineStr">
        <is>
          <t>● Newly mapped</t>
        </is>
      </c>
      <c r="I29" s="111" t="inlineStr">
        <is>
          <t>Human Resources</t>
        </is>
      </c>
      <c r="J29" s="111" t="inlineStr">
        <is>
          <t>Talent Acquisition</t>
        </is>
      </c>
      <c r="K29" s="111" t="inlineStr"/>
      <c r="L29" s="111" t="n">
        <v>19</v>
      </c>
      <c r="M29" s="113" t="inlineStr">
        <is>
          <t>P2</t>
        </is>
      </c>
      <c r="N29" s="114" t="inlineStr">
        <is>
          <t>Developing</t>
        </is>
      </c>
      <c r="O29" s="114" t="inlineStr">
        <is>
          <t>3 Apply</t>
        </is>
      </c>
      <c r="P29" s="114" t="inlineStr">
        <is>
          <t>2–4 yrs</t>
        </is>
      </c>
      <c r="Q29" s="114" t="inlineStr">
        <is>
          <t>3–5 · 2–5</t>
        </is>
      </c>
      <c r="R29" s="114" t="inlineStr">
        <is>
          <t>HR Executive</t>
        </is>
      </c>
      <c r="S29" s="114" t="inlineStr">
        <is>
          <t>IRIS Vs Competitor Benchmark — HR ladder: Senior HR Executive · SHRM-CP</t>
        </is>
      </c>
      <c r="T29" s="114" t="inlineStr">
        <is>
          <t>SHRM BASK · SHRM-CP → SHRM-SCP; CIPD Profession Map</t>
        </is>
      </c>
      <c r="U29" s="114" t="inlineStr">
        <is>
          <t>Core 2 · Future 2 · Functional 3 · Leadership not scored</t>
        </is>
      </c>
      <c r="V29" s="157" t="n">
        <v>384</v>
      </c>
      <c r="W29" s="158" t="inlineStr">
        <is>
          <t>IRIS2402</t>
        </is>
      </c>
      <c r="X29" s="158" t="inlineStr">
        <is>
          <t>Employee</t>
        </is>
      </c>
      <c r="Y29" s="158" t="inlineStr">
        <is>
          <t>Active</t>
        </is>
      </c>
      <c r="Z29" s="158" t="inlineStr">
        <is>
          <t>Renuka Badhoria</t>
        </is>
      </c>
      <c r="AA29" s="245" t="n">
        <v>45845</v>
      </c>
      <c r="AB29" s="158" t="inlineStr">
        <is>
          <t>Talent Acquisition Specialist</t>
        </is>
      </c>
      <c r="AC29" s="158" t="inlineStr">
        <is>
          <t>MBA PGDM</t>
        </is>
      </c>
      <c r="AD29" s="158" t="inlineStr">
        <is>
          <t>Shweta Jha</t>
        </is>
      </c>
      <c r="AE29" s="158" t="inlineStr">
        <is>
          <t>N-2</t>
        </is>
      </c>
      <c r="AF29" s="158" t="inlineStr">
        <is>
          <t>Individual Contributor</t>
        </is>
      </c>
      <c r="AG29" s="158" t="inlineStr">
        <is>
          <t>2 years, 2 months, 0 days</t>
        </is>
      </c>
      <c r="AH29" s="158" t="inlineStr">
        <is>
          <t>1 years, 1 months, 18 days</t>
        </is>
      </c>
      <c r="AI29" s="158" t="inlineStr">
        <is>
          <t>Corporate</t>
        </is>
      </c>
      <c r="AJ29" s="158" t="inlineStr">
        <is>
          <t>Corporate</t>
        </is>
      </c>
      <c r="AK29" s="158" t="inlineStr">
        <is>
          <t>HR</t>
        </is>
      </c>
      <c r="AL29" s="158" t="inlineStr">
        <is>
          <t>HR</t>
        </is>
      </c>
      <c r="AM29" s="158" t="inlineStr">
        <is>
          <t>No</t>
        </is>
      </c>
      <c r="AN29" s="158" t="inlineStr">
        <is>
          <t>General &amp; Admin</t>
        </is>
      </c>
      <c r="AO29" s="158" t="inlineStr">
        <is>
          <t>HR</t>
        </is>
      </c>
      <c r="AP29" s="158" t="inlineStr">
        <is>
          <t>Non-technical</t>
        </is>
      </c>
      <c r="AQ29" s="158" t="n">
        <v>20</v>
      </c>
      <c r="AR29" s="158" t="inlineStr">
        <is>
          <t>Covered</t>
        </is>
      </c>
      <c r="AS29" s="158" t="n"/>
      <c r="AT29" s="158" t="n"/>
      <c r="AU29" s="158" t="n"/>
      <c r="AV29" s="158" t="n"/>
      <c r="AW29" s="158" t="n"/>
      <c r="AX29" s="158" t="n"/>
      <c r="AY29" s="158" t="n"/>
      <c r="AZ29" s="158" t="n"/>
      <c r="BA29" s="158" t="n"/>
      <c r="BB29" s="158" t="n"/>
      <c r="BC29" s="158" t="n"/>
      <c r="BD29" s="158" t="n"/>
      <c r="BE29" s="158" t="n"/>
      <c r="BF29" s="158" t="n"/>
      <c r="BG29" s="158" t="n"/>
      <c r="BH29" s="158" t="n"/>
      <c r="BI29" s="158" t="n"/>
      <c r="BJ29" s="158" t="n"/>
      <c r="BK29" s="158" t="n"/>
      <c r="BL29" s="158" t="n"/>
      <c r="BM29" s="158" t="n"/>
      <c r="BN29" s="158" t="n"/>
      <c r="BO29" s="158" t="n"/>
      <c r="BP29" s="158" t="n"/>
      <c r="BQ29" s="158" t="n"/>
      <c r="BR29" s="158" t="n"/>
      <c r="BS29" s="158" t="n"/>
      <c r="BT29" s="158" t="n"/>
      <c r="BU29" s="158" t="n"/>
      <c r="BV29" s="158" t="n"/>
      <c r="BW29" s="158" t="n"/>
      <c r="BX29" s="158" t="n"/>
      <c r="BY29" s="158" t="n"/>
      <c r="BZ29" s="158" t="n"/>
      <c r="CA29" s="158" t="n"/>
      <c r="CB29" s="158" t="n"/>
      <c r="CC29" s="158" t="n"/>
      <c r="CD29" s="158" t="n"/>
      <c r="CE29" s="158" t="n"/>
      <c r="CF29" s="158" t="n"/>
      <c r="CG29" s="158" t="n"/>
    </row>
    <row r="30" ht="64" customHeight="1">
      <c r="A30" s="109" t="inlineStr">
        <is>
          <t>IRIS2245</t>
        </is>
      </c>
      <c r="B30" s="111" t="inlineStr">
        <is>
          <t>Shruti Gawas</t>
        </is>
      </c>
      <c r="C30" s="111" t="inlineStr">
        <is>
          <t>HR</t>
        </is>
      </c>
      <c r="D30" s="115" t="inlineStr">
        <is>
          <t>Senior Executive - Talent Acquisition</t>
        </is>
      </c>
      <c r="E30" s="115" t="inlineStr">
        <is>
          <t>Senior Talent Acquisition Executive</t>
        </is>
      </c>
      <c r="F30" s="115" t="inlineStr">
        <is>
          <t>Not in current mapping files</t>
        </is>
      </c>
      <c r="G30" s="115" t="inlineStr">
        <is>
          <t>A3</t>
        </is>
      </c>
      <c r="H30" s="117" t="inlineStr">
        <is>
          <t>● Newly mapped</t>
        </is>
      </c>
      <c r="I30" s="111" t="inlineStr">
        <is>
          <t>Human Resources</t>
        </is>
      </c>
      <c r="J30" s="111" t="inlineStr">
        <is>
          <t>Talent Acquisition</t>
        </is>
      </c>
      <c r="K30" s="111" t="inlineStr"/>
      <c r="L30" s="111" t="n">
        <v>19</v>
      </c>
      <c r="M30" s="113" t="inlineStr">
        <is>
          <t>P2</t>
        </is>
      </c>
      <c r="N30" s="114" t="inlineStr">
        <is>
          <t>Developing</t>
        </is>
      </c>
      <c r="O30" s="114" t="inlineStr">
        <is>
          <t>3 Apply</t>
        </is>
      </c>
      <c r="P30" s="114" t="inlineStr">
        <is>
          <t>2–4 yrs</t>
        </is>
      </c>
      <c r="Q30" s="114" t="inlineStr">
        <is>
          <t>3–5 · 2–5</t>
        </is>
      </c>
      <c r="R30" s="114" t="inlineStr">
        <is>
          <t>HR Executive</t>
        </is>
      </c>
      <c r="S30" s="114" t="inlineStr">
        <is>
          <t>IRIS Vs Competitor Benchmark — HR ladder: Senior HR Executive · SHRM-CP</t>
        </is>
      </c>
      <c r="T30" s="114" t="inlineStr">
        <is>
          <t>SHRM BASK · SHRM-CP → SHRM-SCP; CIPD Profession Map</t>
        </is>
      </c>
      <c r="U30" s="114" t="inlineStr">
        <is>
          <t>Core 2 · Future 2 · Functional 3 · Leadership not scored</t>
        </is>
      </c>
      <c r="V30" s="157" t="n">
        <v>314</v>
      </c>
      <c r="W30" s="158" t="inlineStr">
        <is>
          <t>IRIS2245</t>
        </is>
      </c>
      <c r="X30" s="158" t="inlineStr">
        <is>
          <t>Employee</t>
        </is>
      </c>
      <c r="Y30" s="158" t="inlineStr">
        <is>
          <t>Active</t>
        </is>
      </c>
      <c r="Z30" s="158" t="inlineStr">
        <is>
          <t>Shruti Gawas</t>
        </is>
      </c>
      <c r="AA30" s="245" t="n">
        <v>45418</v>
      </c>
      <c r="AB30" s="158" t="inlineStr">
        <is>
          <t>Senior Executive - Talent Acquisition</t>
        </is>
      </c>
      <c r="AC30" s="158" t="inlineStr">
        <is>
          <t>MBA</t>
        </is>
      </c>
      <c r="AD30" s="158" t="inlineStr">
        <is>
          <t>Shweta Jha</t>
        </is>
      </c>
      <c r="AE30" s="158" t="inlineStr">
        <is>
          <t>N-2</t>
        </is>
      </c>
      <c r="AF30" s="158" t="inlineStr">
        <is>
          <t>Individual Contributor</t>
        </is>
      </c>
      <c r="AG30" s="158" t="inlineStr">
        <is>
          <t>1 years, 3 months, 0 days</t>
        </is>
      </c>
      <c r="AH30" s="158" t="inlineStr">
        <is>
          <t>2 years, 3 months, 19 days</t>
        </is>
      </c>
      <c r="AI30" s="158" t="inlineStr">
        <is>
          <t>Corporate</t>
        </is>
      </c>
      <c r="AJ30" s="158" t="inlineStr">
        <is>
          <t>Corporate</t>
        </is>
      </c>
      <c r="AK30" s="158" t="inlineStr">
        <is>
          <t>HR</t>
        </is>
      </c>
      <c r="AL30" s="158" t="inlineStr">
        <is>
          <t>HR</t>
        </is>
      </c>
      <c r="AM30" s="158" t="inlineStr">
        <is>
          <t>No</t>
        </is>
      </c>
      <c r="AN30" s="158" t="inlineStr">
        <is>
          <t>General &amp; Admin</t>
        </is>
      </c>
      <c r="AO30" s="158" t="inlineStr">
        <is>
          <t>HR</t>
        </is>
      </c>
      <c r="AP30" s="158" t="inlineStr">
        <is>
          <t>Non-technical</t>
        </is>
      </c>
      <c r="AQ30" s="158" t="n">
        <v>20</v>
      </c>
      <c r="AR30" s="158" t="inlineStr">
        <is>
          <t>Covered</t>
        </is>
      </c>
      <c r="AS30" s="158" t="n"/>
      <c r="AT30" s="158" t="n"/>
      <c r="AU30" s="158" t="n"/>
      <c r="AV30" s="158" t="n"/>
      <c r="AW30" s="158" t="n"/>
      <c r="AX30" s="158" t="n"/>
      <c r="AY30" s="158" t="n"/>
      <c r="AZ30" s="158" t="n"/>
      <c r="BA30" s="158" t="n"/>
      <c r="BB30" s="158" t="n"/>
      <c r="BC30" s="158" t="n"/>
      <c r="BD30" s="158" t="n"/>
      <c r="BE30" s="158" t="n"/>
      <c r="BF30" s="158" t="n"/>
      <c r="BG30" s="158" t="n"/>
      <c r="BH30" s="158" t="n"/>
      <c r="BI30" s="158" t="n"/>
      <c r="BJ30" s="158" t="n"/>
      <c r="BK30" s="158" t="n"/>
      <c r="BL30" s="158" t="n"/>
      <c r="BM30" s="158" t="n"/>
      <c r="BN30" s="158" t="n"/>
      <c r="BO30" s="158" t="n"/>
      <c r="BP30" s="158" t="n"/>
      <c r="BQ30" s="158" t="n"/>
      <c r="BR30" s="158" t="n"/>
      <c r="BS30" s="158" t="n"/>
      <c r="BT30" s="158" t="n"/>
      <c r="BU30" s="158" t="n"/>
      <c r="BV30" s="158" t="n"/>
      <c r="BW30" s="158" t="n"/>
      <c r="BX30" s="158" t="n"/>
      <c r="BY30" s="158" t="n"/>
      <c r="BZ30" s="158" t="n"/>
      <c r="CA30" s="158" t="n"/>
      <c r="CB30" s="158" t="n"/>
      <c r="CC30" s="158" t="n"/>
      <c r="CD30" s="158" t="n"/>
      <c r="CE30" s="158" t="n"/>
      <c r="CF30" s="158" t="n"/>
      <c r="CG30" s="158" t="n"/>
    </row>
    <row r="31" ht="64" customHeight="1">
      <c r="A31" s="109" t="inlineStr">
        <is>
          <t>IRIS2558</t>
        </is>
      </c>
      <c r="B31" s="111" t="inlineStr">
        <is>
          <t>Blossom Dsouza</t>
        </is>
      </c>
      <c r="C31" s="111" t="inlineStr">
        <is>
          <t>HR</t>
        </is>
      </c>
      <c r="D31" s="115" t="inlineStr">
        <is>
          <t>Executive -HR</t>
        </is>
      </c>
      <c r="E31" s="115" t="inlineStr">
        <is>
          <t>HR Executive</t>
        </is>
      </c>
      <c r="F31" s="115" t="inlineStr">
        <is>
          <t>Not in current mapping files</t>
        </is>
      </c>
      <c r="G31" s="115" t="inlineStr">
        <is>
          <t>A2</t>
        </is>
      </c>
      <c r="H31" s="117" t="inlineStr">
        <is>
          <t>● Newly mapped</t>
        </is>
      </c>
      <c r="I31" s="111" t="inlineStr">
        <is>
          <t>Human Resources</t>
        </is>
      </c>
      <c r="J31" s="111" t="inlineStr">
        <is>
          <t>HR Operations &amp; Payroll</t>
        </is>
      </c>
      <c r="K31" s="111" t="inlineStr"/>
      <c r="L31" s="111" t="n">
        <v>19</v>
      </c>
      <c r="M31" s="113" t="inlineStr">
        <is>
          <t>P1–P2</t>
        </is>
      </c>
      <c r="N31" s="114" t="inlineStr">
        <is>
          <t>Entry / Developing</t>
        </is>
      </c>
      <c r="O31" s="114" t="inlineStr">
        <is>
          <t>2 Assist</t>
        </is>
      </c>
      <c r="P31" s="114" t="inlineStr">
        <is>
          <t>0–2 yrs</t>
        </is>
      </c>
      <c r="Q31" s="114" t="inlineStr">
        <is>
          <t>1–3 · 0–3</t>
        </is>
      </c>
      <c r="R31" s="114" t="inlineStr">
        <is>
          <t>HR Associate / HR Executive</t>
        </is>
      </c>
      <c r="S31" s="114" t="inlineStr">
        <is>
          <t>IRIS Vs Competitor Benchmark — HR ladder: HR Executive</t>
        </is>
      </c>
      <c r="T31" s="114" t="inlineStr">
        <is>
          <t>SHRM BASK · SHRM-CP → SHRM-SCP; CIPD Profession Map</t>
        </is>
      </c>
      <c r="U31" s="114" t="inlineStr">
        <is>
          <t>Core 2 · Future 2 · Functional 2 · Leadership not scored</t>
        </is>
      </c>
      <c r="V31" s="157" t="n">
        <v>531</v>
      </c>
      <c r="W31" s="158" t="inlineStr">
        <is>
          <t>IRIS2558</t>
        </is>
      </c>
      <c r="X31" s="158" t="inlineStr">
        <is>
          <t>Employee</t>
        </is>
      </c>
      <c r="Y31" s="158" t="inlineStr">
        <is>
          <t>Active</t>
        </is>
      </c>
      <c r="Z31" s="158" t="inlineStr">
        <is>
          <t>Blossom Dsouza</t>
        </is>
      </c>
      <c r="AA31" s="245" t="n">
        <v>46266</v>
      </c>
      <c r="AB31" s="158" t="inlineStr">
        <is>
          <t>Executive -HR</t>
        </is>
      </c>
      <c r="AC31" s="158" t="inlineStr">
        <is>
          <t>Bachelors</t>
        </is>
      </c>
      <c r="AD31" s="158" t="inlineStr">
        <is>
          <t>Nikitha Nair</t>
        </is>
      </c>
      <c r="AE31" s="158" t="inlineStr">
        <is>
          <t>N-3</t>
        </is>
      </c>
      <c r="AF31" s="158" t="inlineStr">
        <is>
          <t>Individual Contributor</t>
        </is>
      </c>
      <c r="AG31" s="158" t="n"/>
      <c r="AH31" s="158" t="n"/>
      <c r="AI31" s="158" t="inlineStr">
        <is>
          <t>Corporate</t>
        </is>
      </c>
      <c r="AJ31" s="158" t="inlineStr">
        <is>
          <t>Corporate</t>
        </is>
      </c>
      <c r="AK31" s="158" t="inlineStr">
        <is>
          <t>HR</t>
        </is>
      </c>
      <c r="AL31" s="158" t="inlineStr">
        <is>
          <t>HR</t>
        </is>
      </c>
      <c r="AM31" s="158" t="inlineStr">
        <is>
          <t>No</t>
        </is>
      </c>
      <c r="AN31" s="158" t="inlineStr">
        <is>
          <t>General &amp; Admin</t>
        </is>
      </c>
      <c r="AO31" s="158" t="inlineStr">
        <is>
          <t>HR</t>
        </is>
      </c>
      <c r="AP31" s="158" t="inlineStr">
        <is>
          <t>Non-technical</t>
        </is>
      </c>
      <c r="AQ31" s="158" t="n">
        <v>20</v>
      </c>
      <c r="AR31" s="158" t="inlineStr">
        <is>
          <t>Covered</t>
        </is>
      </c>
      <c r="AS31" s="158" t="n"/>
      <c r="AT31" s="158" t="n"/>
      <c r="AU31" s="158" t="n"/>
      <c r="AV31" s="158" t="n"/>
      <c r="AW31" s="158" t="n"/>
      <c r="AX31" s="158" t="n"/>
      <c r="AY31" s="158" t="n"/>
      <c r="AZ31" s="158" t="n"/>
      <c r="BA31" s="158" t="n"/>
      <c r="BB31" s="158" t="n"/>
      <c r="BC31" s="158" t="n"/>
      <c r="BD31" s="158" t="n"/>
      <c r="BE31" s="158" t="n"/>
      <c r="BF31" s="158" t="n"/>
      <c r="BG31" s="158" t="n"/>
      <c r="BH31" s="158" t="n"/>
      <c r="BI31" s="158" t="n"/>
      <c r="BJ31" s="158" t="n"/>
      <c r="BK31" s="158" t="n"/>
      <c r="BL31" s="158" t="n"/>
      <c r="BM31" s="158" t="n"/>
      <c r="BN31" s="158" t="n"/>
      <c r="BO31" s="158" t="n"/>
      <c r="BP31" s="158" t="n"/>
      <c r="BQ31" s="158" t="n"/>
      <c r="BR31" s="158" t="n"/>
      <c r="BS31" s="158" t="n"/>
      <c r="BT31" s="158" t="n"/>
      <c r="BU31" s="158" t="n"/>
      <c r="BV31" s="158" t="n"/>
      <c r="BW31" s="158" t="n"/>
      <c r="BX31" s="158" t="n"/>
      <c r="BY31" s="158" t="n"/>
      <c r="BZ31" s="158" t="n"/>
      <c r="CA31" s="158" t="n"/>
      <c r="CB31" s="158" t="n"/>
      <c r="CC31" s="158" t="n"/>
      <c r="CD31" s="158" t="n"/>
      <c r="CE31" s="158" t="n"/>
      <c r="CF31" s="158" t="n"/>
      <c r="CG31" s="158" t="n"/>
    </row>
    <row r="32" ht="64" customHeight="1">
      <c r="A32" s="109" t="inlineStr">
        <is>
          <t>IRIS2103</t>
        </is>
      </c>
      <c r="B32" s="111" t="inlineStr">
        <is>
          <t>Mahesh Tilave</t>
        </is>
      </c>
      <c r="C32" s="111" t="inlineStr">
        <is>
          <t>IT &amp; Infrastructure</t>
        </is>
      </c>
      <c r="D32" s="115" t="inlineStr">
        <is>
          <t>Team Lead – IT Infrastructure</t>
        </is>
      </c>
      <c r="E32" s="115" t="inlineStr">
        <is>
          <t>Senior IT Manager</t>
        </is>
      </c>
      <c r="F32" s="115" t="inlineStr">
        <is>
          <t>Not in current mapping files</t>
        </is>
      </c>
      <c r="G32" s="115" t="inlineStr">
        <is>
          <t>B2</t>
        </is>
      </c>
      <c r="H32" s="117" t="inlineStr">
        <is>
          <t>● Newly mapped</t>
        </is>
      </c>
      <c r="I32" s="111" t="inlineStr">
        <is>
          <t>IT &amp; Infrastructure</t>
        </is>
      </c>
      <c r="J32" s="111" t="inlineStr">
        <is>
          <t>IT Infrastructure Leadership</t>
        </is>
      </c>
      <c r="K32" s="141" t="inlineStr">
        <is>
          <t>• Confirm the reporting line — Manager</t>
        </is>
      </c>
      <c r="L32" s="111" t="n">
        <v>20</v>
      </c>
      <c r="M32" s="113" t="inlineStr">
        <is>
          <t>P4 / M3</t>
        </is>
      </c>
      <c r="N32" s="114" t="inlineStr">
        <is>
          <t>Senior / Manager</t>
        </is>
      </c>
      <c r="O32" s="114" t="inlineStr">
        <is>
          <t>4–5</t>
        </is>
      </c>
      <c r="P32" s="114" t="inlineStr">
        <is>
          <t>6–9 yrs</t>
        </is>
      </c>
      <c r="Q32" s="114" t="inlineStr">
        <is>
          <t>7–10 · 6–11</t>
        </is>
      </c>
      <c r="R32" s="114" t="inlineStr">
        <is>
          <t>Senior Manager</t>
        </is>
      </c>
      <c r="S32" s="114" t="inlineStr">
        <is>
          <r>
            <rPr>
              <rFont val="Calibri"/>
              <b val="1"/>
              <sz val="10"/>
            </rPr>
            <t>Atlassian company-wide P-levels:</t>
          </r>
          <r>
            <rPr>
              <rFont val="Calibri"/>
              <sz val="10"/>
            </rPr>
            <t xml:space="preserve"> P50 Senior · IRIS Vs Competitor Benchmark — infrastructure ladder: Infrastructure Lead</t>
          </r>
        </is>
      </c>
      <c r="T32" s="114" t="inlineStr">
        <is>
          <t>ITIL 4; ISO/IEC 27001:2022; SFIA infrastructure</t>
        </is>
      </c>
      <c r="U32" s="114" t="inlineStr">
        <is>
          <t>Core 3 · Future 3 · Functional 4 · Leadership 3</t>
        </is>
      </c>
      <c r="V32" s="157" t="n">
        <v>263</v>
      </c>
      <c r="W32" s="158" t="inlineStr">
        <is>
          <t>IRIS2103</t>
        </is>
      </c>
      <c r="X32" s="158" t="inlineStr">
        <is>
          <t>Employee</t>
        </is>
      </c>
      <c r="Y32" s="158" t="inlineStr">
        <is>
          <t>Active</t>
        </is>
      </c>
      <c r="Z32" s="158" t="inlineStr">
        <is>
          <t>Mahesh Tilave</t>
        </is>
      </c>
      <c r="AA32" s="245" t="n">
        <v>44981</v>
      </c>
      <c r="AB32" s="158" t="inlineStr">
        <is>
          <t>Team Lead – IT Infrastructure</t>
        </is>
      </c>
      <c r="AC32" s="158" t="inlineStr">
        <is>
          <t>BA</t>
        </is>
      </c>
      <c r="AD32" s="158" t="inlineStr">
        <is>
          <t>P K X Thomas</t>
        </is>
      </c>
      <c r="AE32" s="158" t="inlineStr">
        <is>
          <t>N-1</t>
        </is>
      </c>
      <c r="AF32" s="158" t="inlineStr">
        <is>
          <t>Manager</t>
        </is>
      </c>
      <c r="AG32" s="158" t="inlineStr">
        <is>
          <t>17 years, 0 months, 0 days</t>
        </is>
      </c>
      <c r="AH32" s="158" t="inlineStr">
        <is>
          <t>3 years, 6 months, 1 days</t>
        </is>
      </c>
      <c r="AI32" s="158" t="inlineStr">
        <is>
          <t>Corporate</t>
        </is>
      </c>
      <c r="AJ32" s="158" t="inlineStr">
        <is>
          <t>Corporate</t>
        </is>
      </c>
      <c r="AK32" s="158" t="inlineStr">
        <is>
          <t>IT &amp; Infrastructure</t>
        </is>
      </c>
      <c r="AL32" s="158" t="inlineStr">
        <is>
          <t>Infra</t>
        </is>
      </c>
      <c r="AM32" s="158" t="inlineStr">
        <is>
          <t>No</t>
        </is>
      </c>
      <c r="AN32" s="158" t="inlineStr">
        <is>
          <t>General &amp; Admin</t>
        </is>
      </c>
      <c r="AO32" s="158" t="inlineStr">
        <is>
          <t>Infra</t>
        </is>
      </c>
      <c r="AP32" s="158" t="inlineStr">
        <is>
          <t>Non-technical</t>
        </is>
      </c>
      <c r="AQ32" s="158" t="n">
        <v>20</v>
      </c>
      <c r="AR32" s="158" t="inlineStr">
        <is>
          <t>Covered</t>
        </is>
      </c>
      <c r="AS32" s="158" t="n"/>
      <c r="AT32" s="158" t="n"/>
      <c r="AU32" s="158" t="n"/>
      <c r="AV32" s="158" t="n"/>
      <c r="AW32" s="158" t="n"/>
      <c r="AX32" s="158" t="n"/>
      <c r="AY32" s="158" t="n"/>
      <c r="AZ32" s="158" t="n"/>
      <c r="BA32" s="158" t="n"/>
      <c r="BB32" s="158" t="n"/>
      <c r="BC32" s="158" t="n"/>
      <c r="BD32" s="158" t="n"/>
      <c r="BE32" s="158" t="n"/>
      <c r="BF32" s="158" t="n"/>
      <c r="BG32" s="158" t="n"/>
      <c r="BH32" s="158" t="n"/>
      <c r="BI32" s="158" t="n"/>
      <c r="BJ32" s="158" t="n"/>
      <c r="BK32" s="158" t="n"/>
      <c r="BL32" s="158" t="n"/>
      <c r="BM32" s="158" t="n"/>
      <c r="BN32" s="158" t="n"/>
      <c r="BO32" s="158" t="n"/>
      <c r="BP32" s="158" t="n"/>
      <c r="BQ32" s="158" t="n"/>
      <c r="BR32" s="158" t="n"/>
      <c r="BS32" s="158" t="n"/>
      <c r="BT32" s="158" t="n"/>
      <c r="BU32" s="158" t="n"/>
      <c r="BV32" s="158" t="n"/>
      <c r="BW32" s="158" t="n"/>
      <c r="BX32" s="158" t="n"/>
      <c r="BY32" s="158" t="n"/>
      <c r="BZ32" s="158" t="n"/>
      <c r="CA32" s="158" t="n"/>
      <c r="CB32" s="158" t="n"/>
      <c r="CC32" s="158" t="n"/>
      <c r="CD32" s="158" t="n"/>
      <c r="CE32" s="158" t="n"/>
      <c r="CF32" s="158" t="n"/>
      <c r="CG32" s="158" t="n"/>
    </row>
    <row r="33" ht="64" customHeight="1">
      <c r="A33" s="109" t="inlineStr">
        <is>
          <t>IRIS0265</t>
        </is>
      </c>
      <c r="B33" s="111" t="inlineStr">
        <is>
          <t>Rajit Kumar Sahu</t>
        </is>
      </c>
      <c r="C33" s="111" t="inlineStr">
        <is>
          <t>IT &amp; Infrastructure</t>
        </is>
      </c>
      <c r="D33" s="115" t="inlineStr">
        <is>
          <t>System Administrator</t>
        </is>
      </c>
      <c r="E33" s="115" t="inlineStr">
        <is>
          <t>Infrastructure Specialist</t>
        </is>
      </c>
      <c r="F33" s="115" t="inlineStr">
        <is>
          <t>Not in current mapping files</t>
        </is>
      </c>
      <c r="G33" s="115" t="inlineStr">
        <is>
          <t>B1</t>
        </is>
      </c>
      <c r="H33" s="117" t="inlineStr">
        <is>
          <t>● Newly mapped</t>
        </is>
      </c>
      <c r="I33" s="111" t="inlineStr">
        <is>
          <t>IT &amp; Infrastructure</t>
        </is>
      </c>
      <c r="J33" s="111" t="inlineStr">
        <is>
          <t>Infrastructure &amp; Cloud Operations</t>
        </is>
      </c>
      <c r="K33" s="111" t="inlineStr"/>
      <c r="L33" s="111" t="n">
        <v>20</v>
      </c>
      <c r="M33" s="113" t="inlineStr">
        <is>
          <t>P3 / M2</t>
        </is>
      </c>
      <c r="N33" s="114" t="inlineStr">
        <is>
          <t>Career / · Team Lead</t>
        </is>
      </c>
      <c r="O33" s="114" t="inlineStr">
        <is>
          <t>4 Enable</t>
        </is>
      </c>
      <c r="P33" s="114" t="inlineStr">
        <is>
          <t>4–7 yrs</t>
        </is>
      </c>
      <c r="Q33" s="114" t="inlineStr">
        <is>
          <t>5–8 · 4–8</t>
        </is>
      </c>
      <c r="R33" s="114" t="inlineStr">
        <is>
          <t>Senior System Administrator</t>
        </is>
      </c>
      <c r="S33" s="114" t="inlineStr">
        <is>
          <r>
            <rPr>
              <rFont val="Calibri"/>
              <b val="1"/>
              <sz val="10"/>
            </rPr>
            <t>Atlassian company-wide P-levels:</t>
          </r>
          <r>
            <rPr>
              <rFont val="Calibri"/>
              <sz val="10"/>
            </rPr>
            <t xml:space="preserve"> P40 · IRIS Vs Competitor Benchmark — infrastructure ladder: Senior SysAdmin</t>
          </r>
        </is>
      </c>
      <c r="T33" s="114" t="inlineStr">
        <is>
          <t>ITIL 4; ISO/IEC 27001:2022; SFIA infrastructure</t>
        </is>
      </c>
      <c r="U33" s="114" t="inlineStr">
        <is>
          <t>Core 3 · Future 3 · Functional 3 · Leadership 1</t>
        </is>
      </c>
      <c r="V33" s="157" t="n">
        <v>46</v>
      </c>
      <c r="W33" s="158" t="inlineStr">
        <is>
          <t>IRIS0265</t>
        </is>
      </c>
      <c r="X33" s="158" t="inlineStr">
        <is>
          <t>Employee</t>
        </is>
      </c>
      <c r="Y33" s="158" t="inlineStr">
        <is>
          <t>Active</t>
        </is>
      </c>
      <c r="Z33" s="158" t="inlineStr">
        <is>
          <t>Rajit Kumar Sahu</t>
        </is>
      </c>
      <c r="AA33" s="245" t="n">
        <v>39867</v>
      </c>
      <c r="AB33" s="158" t="inlineStr">
        <is>
          <t>System Administrator</t>
        </is>
      </c>
      <c r="AC33" s="158" t="inlineStr">
        <is>
          <t>BA</t>
        </is>
      </c>
      <c r="AD33" s="158" t="inlineStr">
        <is>
          <t>Mahesh Tilave</t>
        </is>
      </c>
      <c r="AE33" s="158" t="inlineStr">
        <is>
          <t>N-2</t>
        </is>
      </c>
      <c r="AF33" s="158" t="inlineStr">
        <is>
          <t>Individual Contributor</t>
        </is>
      </c>
      <c r="AG33" s="158" t="inlineStr">
        <is>
          <t>1 years, 5 months, 0 days</t>
        </is>
      </c>
      <c r="AH33" s="158" t="inlineStr">
        <is>
          <t>17 years, 6 months, 2 days</t>
        </is>
      </c>
      <c r="AI33" s="158" t="inlineStr">
        <is>
          <t>Corporate</t>
        </is>
      </c>
      <c r="AJ33" s="158" t="inlineStr">
        <is>
          <t>Corporate</t>
        </is>
      </c>
      <c r="AK33" s="158" t="inlineStr">
        <is>
          <t>IT &amp; Infrastructure</t>
        </is>
      </c>
      <c r="AL33" s="158" t="inlineStr">
        <is>
          <t>Infra</t>
        </is>
      </c>
      <c r="AM33" s="158" t="inlineStr">
        <is>
          <t>No</t>
        </is>
      </c>
      <c r="AN33" s="158" t="inlineStr">
        <is>
          <t>General &amp; Admin</t>
        </is>
      </c>
      <c r="AO33" s="158" t="inlineStr">
        <is>
          <t>Infra</t>
        </is>
      </c>
      <c r="AP33" s="158" t="inlineStr">
        <is>
          <t>Non-technical</t>
        </is>
      </c>
      <c r="AQ33" s="158" t="n">
        <v>20</v>
      </c>
      <c r="AR33" s="158" t="inlineStr">
        <is>
          <t>Covered</t>
        </is>
      </c>
      <c r="AS33" s="158" t="n"/>
      <c r="AT33" s="158" t="n"/>
      <c r="AU33" s="158" t="n"/>
      <c r="AV33" s="158" t="n"/>
      <c r="AW33" s="158" t="n"/>
      <c r="AX33" s="158" t="n"/>
      <c r="AY33" s="158" t="n"/>
      <c r="AZ33" s="158" t="n"/>
      <c r="BA33" s="158" t="n"/>
      <c r="BB33" s="158" t="n"/>
      <c r="BC33" s="158" t="n"/>
      <c r="BD33" s="158" t="n"/>
      <c r="BE33" s="158" t="n"/>
      <c r="BF33" s="158" t="n"/>
      <c r="BG33" s="158" t="n"/>
      <c r="BH33" s="158" t="n"/>
      <c r="BI33" s="158" t="n"/>
      <c r="BJ33" s="158" t="n"/>
      <c r="BK33" s="158" t="n"/>
      <c r="BL33" s="158" t="n"/>
      <c r="BM33" s="158" t="n"/>
      <c r="BN33" s="158" t="n"/>
      <c r="BO33" s="158" t="n"/>
      <c r="BP33" s="158" t="n"/>
      <c r="BQ33" s="158" t="n"/>
      <c r="BR33" s="158" t="n"/>
      <c r="BS33" s="158" t="n"/>
      <c r="BT33" s="158" t="n"/>
      <c r="BU33" s="158" t="n"/>
      <c r="BV33" s="158" t="n"/>
      <c r="BW33" s="158" t="n"/>
      <c r="BX33" s="158" t="n"/>
      <c r="BY33" s="158" t="n"/>
      <c r="BZ33" s="158" t="n"/>
      <c r="CA33" s="158" t="n"/>
      <c r="CB33" s="158" t="n"/>
      <c r="CC33" s="158" t="n"/>
      <c r="CD33" s="158" t="n"/>
      <c r="CE33" s="158" t="n"/>
      <c r="CF33" s="158" t="n"/>
      <c r="CG33" s="158" t="n"/>
    </row>
    <row r="34" ht="64" customHeight="1">
      <c r="A34" s="109" t="inlineStr">
        <is>
          <t>IRIS0909</t>
        </is>
      </c>
      <c r="B34" s="111" t="inlineStr">
        <is>
          <t>Ramesh Kone</t>
        </is>
      </c>
      <c r="C34" s="111" t="inlineStr">
        <is>
          <t>IT &amp; Infrastructure</t>
        </is>
      </c>
      <c r="D34" s="115" t="inlineStr">
        <is>
          <t>System Administrator</t>
        </is>
      </c>
      <c r="E34" s="115" t="inlineStr">
        <is>
          <t>Infrastructure Specialist – POD Lead</t>
        </is>
      </c>
      <c r="F34" s="115" t="inlineStr">
        <is>
          <t>Not in current mapping files</t>
        </is>
      </c>
      <c r="G34" s="115" t="inlineStr">
        <is>
          <t>B1</t>
        </is>
      </c>
      <c r="H34" s="117" t="inlineStr">
        <is>
          <t>● Newly mapped</t>
        </is>
      </c>
      <c r="I34" s="111" t="inlineStr">
        <is>
          <t>IT &amp; Infrastructure</t>
        </is>
      </c>
      <c r="J34" s="111" t="inlineStr">
        <is>
          <t>Infrastructure &amp; Cloud Operations</t>
        </is>
      </c>
      <c r="K34" s="111" t="inlineStr"/>
      <c r="L34" s="111" t="n">
        <v>20</v>
      </c>
      <c r="M34" s="113" t="inlineStr">
        <is>
          <t>P3 / M2</t>
        </is>
      </c>
      <c r="N34" s="114" t="inlineStr">
        <is>
          <t>Career / · Team Lead</t>
        </is>
      </c>
      <c r="O34" s="114" t="inlineStr">
        <is>
          <t>4 Enable</t>
        </is>
      </c>
      <c r="P34" s="114" t="inlineStr">
        <is>
          <t>4–7 yrs</t>
        </is>
      </c>
      <c r="Q34" s="114" t="inlineStr">
        <is>
          <t>5–8 · 4–8</t>
        </is>
      </c>
      <c r="R34" s="114" t="inlineStr">
        <is>
          <t>Senior System Administrator</t>
        </is>
      </c>
      <c r="S34" s="114" t="inlineStr">
        <is>
          <r>
            <rPr>
              <rFont val="Calibri"/>
              <b val="1"/>
              <sz val="10"/>
            </rPr>
            <t>Atlassian company-wide P-levels:</t>
          </r>
          <r>
            <rPr>
              <rFont val="Calibri"/>
              <sz val="10"/>
            </rPr>
            <t xml:space="preserve"> P40 · IRIS Vs Competitor Benchmark — infrastructure ladder: Senior SysAdmin</t>
          </r>
        </is>
      </c>
      <c r="T34" s="114" t="inlineStr">
        <is>
          <t>ITIL 4; ISO/IEC 27001:2022; SFIA infrastructure</t>
        </is>
      </c>
      <c r="U34" s="114" t="inlineStr">
        <is>
          <t>Core 3 · Future 3 · Functional 3 · Leadership 2</t>
        </is>
      </c>
      <c r="V34" s="157" t="n">
        <v>98</v>
      </c>
      <c r="W34" s="158" t="inlineStr">
        <is>
          <t>IRIS0909</t>
        </is>
      </c>
      <c r="X34" s="158" t="inlineStr">
        <is>
          <t>Employee</t>
        </is>
      </c>
      <c r="Y34" s="158" t="inlineStr">
        <is>
          <t>Active</t>
        </is>
      </c>
      <c r="Z34" s="158" t="inlineStr">
        <is>
          <t>Ramesh Kone</t>
        </is>
      </c>
      <c r="AA34" s="245" t="n">
        <v>40798</v>
      </c>
      <c r="AB34" s="158" t="inlineStr">
        <is>
          <t>System Administrator</t>
        </is>
      </c>
      <c r="AC34" s="158" t="inlineStr">
        <is>
          <t>B.Com</t>
        </is>
      </c>
      <c r="AD34" s="158" t="inlineStr">
        <is>
          <t>Mahesh Tilave</t>
        </is>
      </c>
      <c r="AE34" s="158" t="inlineStr">
        <is>
          <t>N-2</t>
        </is>
      </c>
      <c r="AF34" s="158" t="inlineStr">
        <is>
          <t>Manager</t>
        </is>
      </c>
      <c r="AG34" s="158" t="inlineStr">
        <is>
          <t>4 years, 1 months, 0 days</t>
        </is>
      </c>
      <c r="AH34" s="158" t="inlineStr">
        <is>
          <t>14 years, 11 months, 13 days</t>
        </is>
      </c>
      <c r="AI34" s="158" t="inlineStr">
        <is>
          <t>Corporate</t>
        </is>
      </c>
      <c r="AJ34" s="158" t="inlineStr">
        <is>
          <t>Corporate</t>
        </is>
      </c>
      <c r="AK34" s="158" t="inlineStr">
        <is>
          <t>IT &amp; Infrastructure</t>
        </is>
      </c>
      <c r="AL34" s="158" t="inlineStr">
        <is>
          <t>Infra</t>
        </is>
      </c>
      <c r="AM34" s="158" t="inlineStr">
        <is>
          <t>No</t>
        </is>
      </c>
      <c r="AN34" s="158" t="inlineStr">
        <is>
          <t>General &amp; Admin</t>
        </is>
      </c>
      <c r="AO34" s="158" t="inlineStr">
        <is>
          <t>Infra</t>
        </is>
      </c>
      <c r="AP34" s="158" t="inlineStr">
        <is>
          <t>Non-technical</t>
        </is>
      </c>
      <c r="AQ34" s="158" t="n">
        <v>20</v>
      </c>
      <c r="AR34" s="158" t="inlineStr">
        <is>
          <t>Covered</t>
        </is>
      </c>
      <c r="AS34" s="158" t="n"/>
      <c r="AT34" s="158" t="n"/>
      <c r="AU34" s="158" t="n"/>
      <c r="AV34" s="158" t="n"/>
      <c r="AW34" s="158" t="n"/>
      <c r="AX34" s="158" t="n"/>
      <c r="AY34" s="158" t="n"/>
      <c r="AZ34" s="158" t="n"/>
      <c r="BA34" s="158" t="n"/>
      <c r="BB34" s="158" t="n"/>
      <c r="BC34" s="158" t="n"/>
      <c r="BD34" s="158" t="n"/>
      <c r="BE34" s="158" t="n"/>
      <c r="BF34" s="158" t="n"/>
      <c r="BG34" s="158" t="n"/>
      <c r="BH34" s="158" t="n"/>
      <c r="BI34" s="158" t="n"/>
      <c r="BJ34" s="158" t="n"/>
      <c r="BK34" s="158" t="n"/>
      <c r="BL34" s="158" t="n"/>
      <c r="BM34" s="158" t="n"/>
      <c r="BN34" s="158" t="n"/>
      <c r="BO34" s="158" t="n"/>
      <c r="BP34" s="158" t="n"/>
      <c r="BQ34" s="158" t="n"/>
      <c r="BR34" s="158" t="n"/>
      <c r="BS34" s="158" t="n"/>
      <c r="BT34" s="158" t="n"/>
      <c r="BU34" s="158" t="n"/>
      <c r="BV34" s="158" t="n"/>
      <c r="BW34" s="158" t="n"/>
      <c r="BX34" s="158" t="n"/>
      <c r="BY34" s="158" t="n"/>
      <c r="BZ34" s="158" t="n"/>
      <c r="CA34" s="158" t="n"/>
      <c r="CB34" s="158" t="n"/>
      <c r="CC34" s="158" t="n"/>
      <c r="CD34" s="158" t="n"/>
      <c r="CE34" s="158" t="n"/>
      <c r="CF34" s="158" t="n"/>
      <c r="CG34" s="158" t="n"/>
    </row>
    <row r="35" ht="64" customHeight="1">
      <c r="A35" s="109" t="inlineStr">
        <is>
          <t>IRIS0038</t>
        </is>
      </c>
      <c r="B35" s="111" t="inlineStr">
        <is>
          <t>Vikas Mithbawkar</t>
        </is>
      </c>
      <c r="C35" s="111" t="inlineStr">
        <is>
          <t>IT &amp; Infrastructure</t>
        </is>
      </c>
      <c r="D35" s="115" t="inlineStr">
        <is>
          <t>Senior System Administrator</t>
        </is>
      </c>
      <c r="E35" s="115" t="inlineStr">
        <is>
          <t>IT Infrastructure Manager</t>
        </is>
      </c>
      <c r="F35" s="115" t="inlineStr">
        <is>
          <t>Not in current mapping files</t>
        </is>
      </c>
      <c r="G35" s="115" t="inlineStr">
        <is>
          <t>B1</t>
        </is>
      </c>
      <c r="H35" s="117" t="inlineStr">
        <is>
          <t>● Newly mapped</t>
        </is>
      </c>
      <c r="I35" s="111" t="inlineStr">
        <is>
          <t>IT &amp; Infrastructure</t>
        </is>
      </c>
      <c r="J35" s="111" t="inlineStr">
        <is>
          <t>Infrastructure &amp; Cloud Operations</t>
        </is>
      </c>
      <c r="K35" s="111" t="inlineStr"/>
      <c r="L35" s="111" t="n">
        <v>20</v>
      </c>
      <c r="M35" s="113" t="inlineStr">
        <is>
          <t>P3 / M2</t>
        </is>
      </c>
      <c r="N35" s="114" t="inlineStr">
        <is>
          <t>Career / · Team Lead</t>
        </is>
      </c>
      <c r="O35" s="114" t="inlineStr">
        <is>
          <t>4 Enable</t>
        </is>
      </c>
      <c r="P35" s="114" t="inlineStr">
        <is>
          <t>4–7 yrs</t>
        </is>
      </c>
      <c r="Q35" s="114" t="inlineStr">
        <is>
          <t>5–8 · 4–8</t>
        </is>
      </c>
      <c r="R35" s="114" t="inlineStr">
        <is>
          <t>Manager</t>
        </is>
      </c>
      <c r="S35" s="114" t="inlineStr">
        <is>
          <r>
            <rPr>
              <rFont val="Calibri"/>
              <b val="1"/>
              <sz val="10"/>
            </rPr>
            <t>Atlassian company-wide P-levels:</t>
          </r>
          <r>
            <rPr>
              <rFont val="Calibri"/>
              <sz val="10"/>
            </rPr>
            <t xml:space="preserve"> P40 · IRIS Vs Competitor Benchmark — infrastructure ladder: Senior SysAdmin</t>
          </r>
        </is>
      </c>
      <c r="T35" s="114" t="inlineStr">
        <is>
          <t>ITIL 4; ISO/IEC 27001:2022; SFIA infrastructure</t>
        </is>
      </c>
      <c r="U35" s="114" t="inlineStr">
        <is>
          <t>Core 3 · Future 3 · Functional 3 · Leadership 2</t>
        </is>
      </c>
      <c r="V35" s="157" t="n">
        <v>16</v>
      </c>
      <c r="W35" s="158" t="inlineStr">
        <is>
          <t>IRIS0038</t>
        </is>
      </c>
      <c r="X35" s="158" t="inlineStr">
        <is>
          <t>Employee</t>
        </is>
      </c>
      <c r="Y35" s="158" t="inlineStr">
        <is>
          <t>Active</t>
        </is>
      </c>
      <c r="Z35" s="158" t="inlineStr">
        <is>
          <t>Vikas Mithbawkar</t>
        </is>
      </c>
      <c r="AA35" s="245" t="n">
        <v>38859</v>
      </c>
      <c r="AB35" s="158" t="inlineStr">
        <is>
          <t>Senior System Administrator</t>
        </is>
      </c>
      <c r="AC35" s="158" t="inlineStr">
        <is>
          <t>B.SC</t>
        </is>
      </c>
      <c r="AD35" s="158" t="inlineStr">
        <is>
          <t>Mahesh Tilave</t>
        </is>
      </c>
      <c r="AE35" s="158" t="inlineStr">
        <is>
          <t>N-2</t>
        </is>
      </c>
      <c r="AF35" s="158" t="inlineStr">
        <is>
          <t>Manager</t>
        </is>
      </c>
      <c r="AG35" s="158" t="inlineStr">
        <is>
          <t>2 years, 0 months, 0 days</t>
        </is>
      </c>
      <c r="AH35" s="158" t="inlineStr">
        <is>
          <t>20 years, 3 months, 3 days</t>
        </is>
      </c>
      <c r="AI35" s="158" t="inlineStr">
        <is>
          <t>Corporate</t>
        </is>
      </c>
      <c r="AJ35" s="158" t="inlineStr">
        <is>
          <t>Corporate</t>
        </is>
      </c>
      <c r="AK35" s="158" t="inlineStr">
        <is>
          <t>IT &amp; Infrastructure</t>
        </is>
      </c>
      <c r="AL35" s="158" t="inlineStr">
        <is>
          <t>Infra</t>
        </is>
      </c>
      <c r="AM35" s="158" t="inlineStr">
        <is>
          <t>No</t>
        </is>
      </c>
      <c r="AN35" s="158" t="inlineStr">
        <is>
          <t>General &amp; Admin</t>
        </is>
      </c>
      <c r="AO35" s="158" t="inlineStr">
        <is>
          <t>Infra</t>
        </is>
      </c>
      <c r="AP35" s="158" t="inlineStr">
        <is>
          <t>Non-technical</t>
        </is>
      </c>
      <c r="AQ35" s="158" t="n">
        <v>20</v>
      </c>
      <c r="AR35" s="158" t="inlineStr">
        <is>
          <t>Covered</t>
        </is>
      </c>
      <c r="AS35" s="158" t="n"/>
      <c r="AT35" s="158" t="n"/>
      <c r="AU35" s="158" t="n"/>
      <c r="AV35" s="158" t="n"/>
      <c r="AW35" s="158" t="n"/>
      <c r="AX35" s="158" t="n"/>
      <c r="AY35" s="158" t="n"/>
      <c r="AZ35" s="158" t="n"/>
      <c r="BA35" s="158" t="n"/>
      <c r="BB35" s="158" t="n"/>
      <c r="BC35" s="158" t="n"/>
      <c r="BD35" s="158" t="n"/>
      <c r="BE35" s="158" t="n"/>
      <c r="BF35" s="158" t="n"/>
      <c r="BG35" s="158" t="n"/>
      <c r="BH35" s="158" t="n"/>
      <c r="BI35" s="158" t="n"/>
      <c r="BJ35" s="158" t="n"/>
      <c r="BK35" s="158" t="n"/>
      <c r="BL35" s="158" t="n"/>
      <c r="BM35" s="158" t="n"/>
      <c r="BN35" s="158" t="n"/>
      <c r="BO35" s="158" t="n"/>
      <c r="BP35" s="158" t="n"/>
      <c r="BQ35" s="158" t="n"/>
      <c r="BR35" s="158" t="n"/>
      <c r="BS35" s="158" t="n"/>
      <c r="BT35" s="158" t="n"/>
      <c r="BU35" s="158" t="n"/>
      <c r="BV35" s="158" t="n"/>
      <c r="BW35" s="158" t="n"/>
      <c r="BX35" s="158" t="n"/>
      <c r="BY35" s="158" t="n"/>
      <c r="BZ35" s="158" t="n"/>
      <c r="CA35" s="158" t="n"/>
      <c r="CB35" s="158" t="n"/>
      <c r="CC35" s="158" t="n"/>
      <c r="CD35" s="158" t="n"/>
      <c r="CE35" s="158" t="n"/>
      <c r="CF35" s="158" t="n"/>
      <c r="CG35" s="158" t="n"/>
    </row>
    <row r="36" ht="64" customHeight="1">
      <c r="A36" s="109" t="inlineStr">
        <is>
          <t>IRIS2099</t>
        </is>
      </c>
      <c r="B36" s="111" t="inlineStr">
        <is>
          <t>Parthiban Thangaraj</t>
        </is>
      </c>
      <c r="C36" s="111" t="inlineStr">
        <is>
          <t>IT &amp; Infrastructure</t>
        </is>
      </c>
      <c r="D36" s="115" t="inlineStr">
        <is>
          <t>Senior Software Engineer</t>
        </is>
      </c>
      <c r="E36" s="115" t="inlineStr">
        <is>
          <t>Senior DevOps Engineer</t>
        </is>
      </c>
      <c r="F36" s="115" t="inlineStr">
        <is>
          <t>Not in current mapping files</t>
        </is>
      </c>
      <c r="G36" s="115" t="inlineStr">
        <is>
          <t>A3</t>
        </is>
      </c>
      <c r="H36" s="117" t="inlineStr">
        <is>
          <t>● Newly mapped</t>
        </is>
      </c>
      <c r="I36" s="111" t="inlineStr">
        <is>
          <t>Engineering &amp; Development</t>
        </is>
      </c>
      <c r="J36" s="111" t="inlineStr">
        <is>
          <t>DevOps &amp; Release Engineering</t>
        </is>
      </c>
      <c r="K36" s="111" t="inlineStr"/>
      <c r="L36" s="111" t="n">
        <v>20</v>
      </c>
      <c r="M36" s="113" t="inlineStr">
        <is>
          <t>P2</t>
        </is>
      </c>
      <c r="N36" s="114" t="inlineStr">
        <is>
          <t>Developing</t>
        </is>
      </c>
      <c r="O36" s="114" t="inlineStr">
        <is>
          <t>3 Apply</t>
        </is>
      </c>
      <c r="P36" s="114" t="inlineStr">
        <is>
          <t>2–4 yrs</t>
        </is>
      </c>
      <c r="Q36" s="114" t="inlineStr">
        <is>
          <t>3–5 · 2–5</t>
        </is>
      </c>
      <c r="R36" s="114" t="inlineStr">
        <is>
          <t>Software Engineer</t>
        </is>
      </c>
      <c r="S36" s="114" t="inlineStr">
        <is>
          <r>
            <rPr>
              <rFont val="Calibri"/>
              <b val="1"/>
              <sz val="10"/>
            </rPr>
            <t>Workiva:</t>
          </r>
          <r>
            <rPr>
              <rFont val="Calibri"/>
              <sz val="10"/>
            </rPr>
            <t xml:space="preserve"> SE · Broadridge India: SE · Nasdaq / AxiomSL: SE · Salesforce: MTS · Atlassian: P40 · 3–7 yrs · Freshworks: Senior SE</t>
          </r>
        </is>
      </c>
      <c r="T36" s="114" t="inlineStr">
        <is>
          <t>SFIA 9 · software development, programming; OWASP secure coding; cloud vendor certifications</t>
        </is>
      </c>
      <c r="U36" s="114" t="inlineStr">
        <is>
          <t>Core 2 · Future 2 · Functional 3 · Leadership not scored</t>
        </is>
      </c>
      <c r="V36" s="157" t="n">
        <v>262</v>
      </c>
      <c r="W36" s="158" t="inlineStr">
        <is>
          <t>IRIS2099</t>
        </is>
      </c>
      <c r="X36" s="158" t="inlineStr">
        <is>
          <t>Employee</t>
        </is>
      </c>
      <c r="Y36" s="158" t="inlineStr">
        <is>
          <t>Active</t>
        </is>
      </c>
      <c r="Z36" s="158" t="inlineStr">
        <is>
          <t>Parthiban Thangaraj</t>
        </is>
      </c>
      <c r="AA36" s="245" t="n">
        <v>44971</v>
      </c>
      <c r="AB36" s="158" t="inlineStr">
        <is>
          <t>Senior Software Engineer</t>
        </is>
      </c>
      <c r="AC36" s="158" t="inlineStr">
        <is>
          <t>B.Tech</t>
        </is>
      </c>
      <c r="AD36" s="158" t="inlineStr">
        <is>
          <t>Mahesh Tilave</t>
        </is>
      </c>
      <c r="AE36" s="158" t="inlineStr">
        <is>
          <t>N-2</t>
        </is>
      </c>
      <c r="AF36" s="158" t="inlineStr">
        <is>
          <t>Individual Contributor</t>
        </is>
      </c>
      <c r="AG36" s="158" t="inlineStr">
        <is>
          <t>6 years, 3 months, 0 days</t>
        </is>
      </c>
      <c r="AH36" s="158" t="inlineStr">
        <is>
          <t>3 years, 6 months, 11 days</t>
        </is>
      </c>
      <c r="AI36" s="158" t="inlineStr">
        <is>
          <t>Corporate</t>
        </is>
      </c>
      <c r="AJ36" s="158" t="inlineStr">
        <is>
          <t>Corporate</t>
        </is>
      </c>
      <c r="AK36" s="158" t="inlineStr">
        <is>
          <t>IT &amp; Infrastructure</t>
        </is>
      </c>
      <c r="AL36" s="158" t="inlineStr">
        <is>
          <t>Infra</t>
        </is>
      </c>
      <c r="AM36" s="158" t="inlineStr">
        <is>
          <t>No</t>
        </is>
      </c>
      <c r="AN36" s="158" t="inlineStr">
        <is>
          <t>General &amp; Admin</t>
        </is>
      </c>
      <c r="AO36" s="158" t="inlineStr">
        <is>
          <t>Devops</t>
        </is>
      </c>
      <c r="AP36" s="158" t="inlineStr">
        <is>
          <t>Non-technical</t>
        </is>
      </c>
      <c r="AQ36" s="158" t="n">
        <v>20</v>
      </c>
      <c r="AR36" s="158" t="inlineStr">
        <is>
          <t>Covered</t>
        </is>
      </c>
      <c r="AS36" s="158" t="n"/>
      <c r="AT36" s="158" t="n"/>
      <c r="AU36" s="158" t="n"/>
      <c r="AV36" s="158" t="n"/>
      <c r="AW36" s="158" t="n"/>
      <c r="AX36" s="158" t="n"/>
      <c r="AY36" s="158" t="n"/>
      <c r="AZ36" s="158" t="n"/>
      <c r="BA36" s="158" t="n"/>
      <c r="BB36" s="158" t="n"/>
      <c r="BC36" s="158" t="n"/>
      <c r="BD36" s="158" t="n"/>
      <c r="BE36" s="158" t="n"/>
      <c r="BF36" s="158" t="n"/>
      <c r="BG36" s="158" t="n"/>
      <c r="BH36" s="158" t="n"/>
      <c r="BI36" s="158" t="n"/>
      <c r="BJ36" s="158" t="n"/>
      <c r="BK36" s="158" t="n"/>
      <c r="BL36" s="158" t="n"/>
      <c r="BM36" s="158" t="n"/>
      <c r="BN36" s="158" t="n"/>
      <c r="BO36" s="158" t="n"/>
      <c r="BP36" s="158" t="n"/>
      <c r="BQ36" s="158" t="n"/>
      <c r="BR36" s="158" t="n"/>
      <c r="BS36" s="158" t="n"/>
      <c r="BT36" s="158" t="n"/>
      <c r="BU36" s="158" t="n"/>
      <c r="BV36" s="158" t="n"/>
      <c r="BW36" s="158" t="n"/>
      <c r="BX36" s="158" t="n"/>
      <c r="BY36" s="158" t="n"/>
      <c r="BZ36" s="158" t="n"/>
      <c r="CA36" s="158" t="n"/>
      <c r="CB36" s="158" t="n"/>
      <c r="CC36" s="158" t="n"/>
      <c r="CD36" s="158" t="n"/>
      <c r="CE36" s="158" t="n"/>
      <c r="CF36" s="158" t="n"/>
      <c r="CG36" s="158" t="n"/>
    </row>
    <row r="37" ht="64" customHeight="1">
      <c r="A37" s="109" t="inlineStr">
        <is>
          <t>IRIS2468</t>
        </is>
      </c>
      <c r="B37" s="111" t="inlineStr">
        <is>
          <t>Amit Gangaram Kamble</t>
        </is>
      </c>
      <c r="C37" s="111" t="inlineStr">
        <is>
          <t>IT &amp; Infrastructure</t>
        </is>
      </c>
      <c r="D37" s="115" t="inlineStr">
        <is>
          <t>Windows Server Administrator L1</t>
        </is>
      </c>
      <c r="E37" s="115" t="inlineStr">
        <is>
          <t>Senior System Administrator</t>
        </is>
      </c>
      <c r="F37" s="115" t="inlineStr">
        <is>
          <t>Not in current mapping files</t>
        </is>
      </c>
      <c r="G37" s="115" t="inlineStr">
        <is>
          <t>A3</t>
        </is>
      </c>
      <c r="H37" s="117" t="inlineStr">
        <is>
          <t>● Newly mapped</t>
        </is>
      </c>
      <c r="I37" s="111" t="inlineStr">
        <is>
          <t>IT &amp; Infrastructure</t>
        </is>
      </c>
      <c r="J37" s="111" t="inlineStr">
        <is>
          <t>Infrastructure &amp; Cloud Operations</t>
        </is>
      </c>
      <c r="K37" s="141" t="inlineStr">
        <is>
          <t>• Survey response or KRAs describing the work · nothing on file — Employee + manager</t>
        </is>
      </c>
      <c r="L37" s="111" t="n">
        <v>0</v>
      </c>
      <c r="M37" s="113" t="inlineStr">
        <is>
          <t>P2</t>
        </is>
      </c>
      <c r="N37" s="114" t="inlineStr">
        <is>
          <t>Developing</t>
        </is>
      </c>
      <c r="O37" s="114" t="inlineStr">
        <is>
          <t>3 Apply</t>
        </is>
      </c>
      <c r="P37" s="114" t="inlineStr">
        <is>
          <t>2–4 yrs</t>
        </is>
      </c>
      <c r="Q37" s="114" t="inlineStr">
        <is>
          <t>3–5 · 2–5</t>
        </is>
      </c>
      <c r="R37" s="114" t="inlineStr">
        <is>
          <t>System Administrator</t>
        </is>
      </c>
      <c r="S37" s="114" t="inlineStr">
        <is>
          <r>
            <rPr>
              <rFont val="Calibri"/>
              <b val="1"/>
              <sz val="10"/>
            </rPr>
            <t>Atlassian company-wide P-levels:</t>
          </r>
          <r>
            <rPr>
              <rFont val="Calibri"/>
              <sz val="10"/>
            </rPr>
            <t xml:space="preserve"> P40 · IRIS Vs Competitor Benchmark — infrastructure ladder: System Administrator</t>
          </r>
        </is>
      </c>
      <c r="T37" s="114" t="inlineStr">
        <is>
          <t>ITIL 4; ISO/IEC 27001:2022; SFIA infrastructure</t>
        </is>
      </c>
      <c r="U37" s="114" t="inlineStr">
        <is>
          <t>Core 2 · Future 2 · Functional 3 · Leadership not scored</t>
        </is>
      </c>
      <c r="V37" s="157" t="n">
        <v>442</v>
      </c>
      <c r="W37" s="158" t="inlineStr">
        <is>
          <t>IRIS2468</t>
        </is>
      </c>
      <c r="X37" s="158" t="inlineStr">
        <is>
          <t>Employee</t>
        </is>
      </c>
      <c r="Y37" s="158" t="inlineStr">
        <is>
          <t>Active</t>
        </is>
      </c>
      <c r="Z37" s="158" t="inlineStr">
        <is>
          <t>Amit Gangaram Kamble</t>
        </is>
      </c>
      <c r="AA37" s="245" t="n">
        <v>46055</v>
      </c>
      <c r="AB37" s="158" t="inlineStr">
        <is>
          <t>Windows Server Administrator L1</t>
        </is>
      </c>
      <c r="AC37" s="158" t="inlineStr">
        <is>
          <t>B.Sc</t>
        </is>
      </c>
      <c r="AD37" s="158" t="inlineStr">
        <is>
          <t>Vikas Mithbawkar</t>
        </is>
      </c>
      <c r="AE37" s="158" t="inlineStr">
        <is>
          <t>N-3</t>
        </is>
      </c>
      <c r="AF37" s="158" t="inlineStr">
        <is>
          <t>Individual Contributor</t>
        </is>
      </c>
      <c r="AG37" s="158" t="inlineStr">
        <is>
          <t>3 years, 0 months, 0 days</t>
        </is>
      </c>
      <c r="AH37" s="158" t="inlineStr">
        <is>
          <t>0 years, 6 months, 23 days</t>
        </is>
      </c>
      <c r="AI37" s="158" t="inlineStr">
        <is>
          <t>Corporate</t>
        </is>
      </c>
      <c r="AJ37" s="158" t="inlineStr">
        <is>
          <t>Corporate</t>
        </is>
      </c>
      <c r="AK37" s="158" t="inlineStr">
        <is>
          <t>IT &amp; Infrastructure</t>
        </is>
      </c>
      <c r="AL37" s="158" t="inlineStr">
        <is>
          <t>Infra</t>
        </is>
      </c>
      <c r="AM37" s="158" t="inlineStr">
        <is>
          <t>No</t>
        </is>
      </c>
      <c r="AN37" s="158" t="inlineStr">
        <is>
          <t>General &amp; Admin</t>
        </is>
      </c>
      <c r="AO37" s="158" t="inlineStr">
        <is>
          <t>Infra</t>
        </is>
      </c>
      <c r="AP37" s="158" t="inlineStr">
        <is>
          <t>Non-technical</t>
        </is>
      </c>
      <c r="AQ37" s="158" t="n">
        <v>0</v>
      </c>
      <c r="AR37" s="158" t="inlineStr">
        <is>
          <t>E-Client Side</t>
        </is>
      </c>
      <c r="AS37" s="158" t="n"/>
      <c r="AT37" s="158" t="n"/>
      <c r="AU37" s="158" t="n"/>
      <c r="AV37" s="158" t="n"/>
      <c r="AW37" s="158" t="n"/>
      <c r="AX37" s="158" t="n"/>
      <c r="AY37" s="158" t="n"/>
      <c r="AZ37" s="158" t="n"/>
      <c r="BA37" s="158" t="n"/>
      <c r="BB37" s="158" t="n"/>
      <c r="BC37" s="158" t="n"/>
      <c r="BD37" s="158" t="n"/>
      <c r="BE37" s="158" t="n"/>
      <c r="BF37" s="158" t="n"/>
      <c r="BG37" s="158" t="n"/>
      <c r="BH37" s="158" t="n"/>
      <c r="BI37" s="158" t="n"/>
      <c r="BJ37" s="158" t="n"/>
      <c r="BK37" s="158" t="n"/>
      <c r="BL37" s="158" t="n"/>
      <c r="BM37" s="158" t="n"/>
      <c r="BN37" s="158" t="n"/>
      <c r="BO37" s="158" t="n"/>
      <c r="BP37" s="158" t="n"/>
      <c r="BQ37" s="158" t="n"/>
      <c r="BR37" s="158" t="n"/>
      <c r="BS37" s="158" t="n"/>
      <c r="BT37" s="158" t="n"/>
      <c r="BU37" s="158" t="n"/>
      <c r="BV37" s="158" t="n"/>
      <c r="BW37" s="158" t="n"/>
      <c r="BX37" s="158" t="n"/>
      <c r="BY37" s="158" t="n"/>
      <c r="BZ37" s="158" t="n"/>
      <c r="CA37" s="158" t="n"/>
      <c r="CB37" s="158" t="n"/>
      <c r="CC37" s="158" t="n"/>
      <c r="CD37" s="158" t="n"/>
      <c r="CE37" s="158" t="n"/>
      <c r="CF37" s="158" t="n"/>
      <c r="CG37" s="158" t="n"/>
    </row>
    <row r="38" ht="64" customHeight="1">
      <c r="A38" s="109" t="inlineStr">
        <is>
          <t>IRIS2315</t>
        </is>
      </c>
      <c r="B38" s="111" t="inlineStr">
        <is>
          <t>Gouri Kohale</t>
        </is>
      </c>
      <c r="C38" s="111" t="inlineStr">
        <is>
          <t>IT &amp; Infrastructure</t>
        </is>
      </c>
      <c r="D38" s="115" t="inlineStr">
        <is>
          <t>System Administrator</t>
        </is>
      </c>
      <c r="E38" s="115" t="inlineStr">
        <is>
          <t>Senior System Administrator</t>
        </is>
      </c>
      <c r="F38" s="115" t="inlineStr">
        <is>
          <t>Not in current mapping files</t>
        </is>
      </c>
      <c r="G38" s="115" t="inlineStr">
        <is>
          <t>A3</t>
        </is>
      </c>
      <c r="H38" s="117" t="inlineStr">
        <is>
          <t>● Newly mapped</t>
        </is>
      </c>
      <c r="I38" s="111" t="inlineStr">
        <is>
          <t>IT &amp; Infrastructure</t>
        </is>
      </c>
      <c r="J38" s="111" t="inlineStr">
        <is>
          <t>Infrastructure &amp; Cloud Operations</t>
        </is>
      </c>
      <c r="K38" s="111" t="inlineStr"/>
      <c r="L38" s="111" t="n">
        <v>20</v>
      </c>
      <c r="M38" s="113" t="inlineStr">
        <is>
          <t>P2</t>
        </is>
      </c>
      <c r="N38" s="114" t="inlineStr">
        <is>
          <t>Developing</t>
        </is>
      </c>
      <c r="O38" s="114" t="inlineStr">
        <is>
          <t>3 Apply</t>
        </is>
      </c>
      <c r="P38" s="114" t="inlineStr">
        <is>
          <t>2–4 yrs</t>
        </is>
      </c>
      <c r="Q38" s="114" t="inlineStr">
        <is>
          <t>3–5 · 2–5</t>
        </is>
      </c>
      <c r="R38" s="114" t="inlineStr">
        <is>
          <t>System Administrator</t>
        </is>
      </c>
      <c r="S38" s="114" t="inlineStr">
        <is>
          <r>
            <rPr>
              <rFont val="Calibri"/>
              <b val="1"/>
              <sz val="10"/>
            </rPr>
            <t>Atlassian company-wide P-levels:</t>
          </r>
          <r>
            <rPr>
              <rFont val="Calibri"/>
              <sz val="10"/>
            </rPr>
            <t xml:space="preserve"> P40 · IRIS Vs Competitor Benchmark — infrastructure ladder: System Administrator</t>
          </r>
        </is>
      </c>
      <c r="T38" s="114" t="inlineStr">
        <is>
          <t>ITIL 4; ISO/IEC 27001:2022; SFIA infrastructure</t>
        </is>
      </c>
      <c r="U38" s="114" t="inlineStr">
        <is>
          <t>Core 2 · Future 2 · Functional 3 · Leadership not scored</t>
        </is>
      </c>
      <c r="V38" s="157" t="n">
        <v>346</v>
      </c>
      <c r="W38" s="158" t="inlineStr">
        <is>
          <t>IRIS2315</t>
        </is>
      </c>
      <c r="X38" s="158" t="inlineStr">
        <is>
          <t>Employee</t>
        </is>
      </c>
      <c r="Y38" s="158" t="inlineStr">
        <is>
          <t>Active</t>
        </is>
      </c>
      <c r="Z38" s="158" t="inlineStr">
        <is>
          <t>Gouri Kohale</t>
        </is>
      </c>
      <c r="AA38" s="245" t="n">
        <v>45568</v>
      </c>
      <c r="AB38" s="158" t="inlineStr">
        <is>
          <t>System Administrator</t>
        </is>
      </c>
      <c r="AC38" s="158" t="inlineStr">
        <is>
          <t>B.E</t>
        </is>
      </c>
      <c r="AD38" s="158" t="inlineStr">
        <is>
          <t>Vikas Mithbawkar</t>
        </is>
      </c>
      <c r="AE38" s="158" t="inlineStr">
        <is>
          <t>N-3</t>
        </is>
      </c>
      <c r="AF38" s="158" t="inlineStr">
        <is>
          <t>Individual Contributor</t>
        </is>
      </c>
      <c r="AG38" s="158" t="inlineStr">
        <is>
          <t>3 years, 6 months, 0 days</t>
        </is>
      </c>
      <c r="AH38" s="158" t="inlineStr">
        <is>
          <t>1 years, 10 months, 22 days</t>
        </is>
      </c>
      <c r="AI38" s="158" t="inlineStr">
        <is>
          <t>Corporate</t>
        </is>
      </c>
      <c r="AJ38" s="158" t="inlineStr">
        <is>
          <t>Corporate</t>
        </is>
      </c>
      <c r="AK38" s="158" t="inlineStr">
        <is>
          <t>IT &amp; Infrastructure</t>
        </is>
      </c>
      <c r="AL38" s="158" t="inlineStr">
        <is>
          <t>Infra</t>
        </is>
      </c>
      <c r="AM38" s="158" t="inlineStr">
        <is>
          <t>No</t>
        </is>
      </c>
      <c r="AN38" s="158" t="inlineStr">
        <is>
          <t>General &amp; Admin</t>
        </is>
      </c>
      <c r="AO38" s="158" t="inlineStr">
        <is>
          <t>Infra</t>
        </is>
      </c>
      <c r="AP38" s="158" t="inlineStr">
        <is>
          <t>Non-technical</t>
        </is>
      </c>
      <c r="AQ38" s="158" t="n">
        <v>20</v>
      </c>
      <c r="AR38" s="158" t="inlineStr">
        <is>
          <t>Covered</t>
        </is>
      </c>
      <c r="AS38" s="158" t="n"/>
      <c r="AT38" s="158" t="n"/>
      <c r="AU38" s="158" t="n"/>
      <c r="AV38" s="158" t="n"/>
      <c r="AW38" s="158" t="n"/>
      <c r="AX38" s="158" t="n"/>
      <c r="AY38" s="158" t="n"/>
      <c r="AZ38" s="158" t="n"/>
      <c r="BA38" s="158" t="n"/>
      <c r="BB38" s="158" t="n"/>
      <c r="BC38" s="158" t="n"/>
      <c r="BD38" s="158" t="n"/>
      <c r="BE38" s="158" t="n"/>
      <c r="BF38" s="158" t="n"/>
      <c r="BG38" s="158" t="n"/>
      <c r="BH38" s="158" t="n"/>
      <c r="BI38" s="158" t="n"/>
      <c r="BJ38" s="158" t="n"/>
      <c r="BK38" s="158" t="n"/>
      <c r="BL38" s="158" t="n"/>
      <c r="BM38" s="158" t="n"/>
      <c r="BN38" s="158" t="n"/>
      <c r="BO38" s="158" t="n"/>
      <c r="BP38" s="158" t="n"/>
      <c r="BQ38" s="158" t="n"/>
      <c r="BR38" s="158" t="n"/>
      <c r="BS38" s="158" t="n"/>
      <c r="BT38" s="158" t="n"/>
      <c r="BU38" s="158" t="n"/>
      <c r="BV38" s="158" t="n"/>
      <c r="BW38" s="158" t="n"/>
      <c r="BX38" s="158" t="n"/>
      <c r="BY38" s="158" t="n"/>
      <c r="BZ38" s="158" t="n"/>
      <c r="CA38" s="158" t="n"/>
      <c r="CB38" s="158" t="n"/>
      <c r="CC38" s="158" t="n"/>
      <c r="CD38" s="158" t="n"/>
      <c r="CE38" s="158" t="n"/>
      <c r="CF38" s="158" t="n"/>
      <c r="CG38" s="158" t="n"/>
    </row>
    <row r="39" ht="64" customHeight="1">
      <c r="A39" s="109" t="inlineStr">
        <is>
          <t>IRIS2206</t>
        </is>
      </c>
      <c r="B39" s="111" t="inlineStr">
        <is>
          <t>Hemant Chordekar</t>
        </is>
      </c>
      <c r="C39" s="111" t="inlineStr">
        <is>
          <t>IT &amp; Infrastructure</t>
        </is>
      </c>
      <c r="D39" s="115" t="inlineStr">
        <is>
          <t>System Administrator</t>
        </is>
      </c>
      <c r="E39" s="115" t="inlineStr">
        <is>
          <t>Infrastructure Specialist</t>
        </is>
      </c>
      <c r="F39" s="115" t="inlineStr">
        <is>
          <t>Not in current mapping files</t>
        </is>
      </c>
      <c r="G39" s="115" t="inlineStr">
        <is>
          <t>A3</t>
        </is>
      </c>
      <c r="H39" s="117" t="inlineStr">
        <is>
          <t>● Newly mapped</t>
        </is>
      </c>
      <c r="I39" s="111" t="inlineStr">
        <is>
          <t>IT &amp; Infrastructure</t>
        </is>
      </c>
      <c r="J39" s="111" t="inlineStr">
        <is>
          <t>Infrastructure &amp; Cloud Operations</t>
        </is>
      </c>
      <c r="K39" s="141" t="inlineStr">
        <is>
          <t>• Survey response or KRAs describing the work · nothing on file — Employee + manager</t>
        </is>
      </c>
      <c r="L39" s="111" t="n">
        <v>0</v>
      </c>
      <c r="M39" s="113" t="inlineStr">
        <is>
          <t>P2</t>
        </is>
      </c>
      <c r="N39" s="114" t="inlineStr">
        <is>
          <t>Developing</t>
        </is>
      </c>
      <c r="O39" s="114" t="inlineStr">
        <is>
          <t>3 Apply</t>
        </is>
      </c>
      <c r="P39" s="114" t="inlineStr">
        <is>
          <t>2–4 yrs</t>
        </is>
      </c>
      <c r="Q39" s="114" t="inlineStr">
        <is>
          <t>3–5 · 2–5</t>
        </is>
      </c>
      <c r="R39" s="114" t="inlineStr">
        <is>
          <t>Senior System Administrator</t>
        </is>
      </c>
      <c r="S39" s="114" t="inlineStr">
        <is>
          <r>
            <rPr>
              <rFont val="Calibri"/>
              <b val="1"/>
              <sz val="10"/>
            </rPr>
            <t>Atlassian company-wide P-levels:</t>
          </r>
          <r>
            <rPr>
              <rFont val="Calibri"/>
              <sz val="10"/>
            </rPr>
            <t xml:space="preserve"> P40 · IRIS Vs Competitor Benchmark — infrastructure ladder: System Administrator</t>
          </r>
        </is>
      </c>
      <c r="T39" s="114" t="inlineStr">
        <is>
          <t>ITIL 4; ISO/IEC 27001:2022; SFIA infrastructure</t>
        </is>
      </c>
      <c r="U39" s="114" t="inlineStr">
        <is>
          <t>Core 2 · Future 2 · Functional 3 · Leadership not scored</t>
        </is>
      </c>
      <c r="V39" s="157" t="n">
        <v>300</v>
      </c>
      <c r="W39" s="158" t="inlineStr">
        <is>
          <t>IRIS2206</t>
        </is>
      </c>
      <c r="X39" s="158" t="inlineStr">
        <is>
          <t>Employee</t>
        </is>
      </c>
      <c r="Y39" s="158" t="inlineStr">
        <is>
          <t>Active</t>
        </is>
      </c>
      <c r="Z39" s="158" t="inlineStr">
        <is>
          <t>Hemant Chordekar</t>
        </is>
      </c>
      <c r="AA39" s="245" t="n">
        <v>45232</v>
      </c>
      <c r="AB39" s="158" t="inlineStr">
        <is>
          <t>System Administrator</t>
        </is>
      </c>
      <c r="AC39" s="158" t="inlineStr">
        <is>
          <t>Undergraduate</t>
        </is>
      </c>
      <c r="AD39" s="158" t="inlineStr">
        <is>
          <t>Vikas Mithbawkar</t>
        </is>
      </c>
      <c r="AE39" s="158" t="inlineStr">
        <is>
          <t>N-3</t>
        </is>
      </c>
      <c r="AF39" s="158" t="inlineStr">
        <is>
          <t>Individual Contributor</t>
        </is>
      </c>
      <c r="AG39" s="158" t="inlineStr">
        <is>
          <t>17 years, 9 months, 0 days</t>
        </is>
      </c>
      <c r="AH39" s="158" t="inlineStr">
        <is>
          <t>2 years, 9 months, 23 days</t>
        </is>
      </c>
      <c r="AI39" s="158" t="inlineStr">
        <is>
          <t>Corporate</t>
        </is>
      </c>
      <c r="AJ39" s="158" t="inlineStr">
        <is>
          <t>Corporate</t>
        </is>
      </c>
      <c r="AK39" s="158" t="inlineStr">
        <is>
          <t>IT &amp; Infrastructure</t>
        </is>
      </c>
      <c r="AL39" s="158" t="inlineStr">
        <is>
          <t>Infra</t>
        </is>
      </c>
      <c r="AM39" s="158" t="inlineStr">
        <is>
          <t>No</t>
        </is>
      </c>
      <c r="AN39" s="158" t="inlineStr">
        <is>
          <t>General &amp; Admin</t>
        </is>
      </c>
      <c r="AO39" s="158" t="inlineStr">
        <is>
          <t>Infra</t>
        </is>
      </c>
      <c r="AP39" s="158" t="inlineStr">
        <is>
          <t>Non-technical</t>
        </is>
      </c>
      <c r="AQ39" s="158" t="n">
        <v>0</v>
      </c>
      <c r="AR39" s="158" t="inlineStr">
        <is>
          <t>E-Client Side</t>
        </is>
      </c>
      <c r="AS39" s="158" t="n"/>
      <c r="AT39" s="158" t="n"/>
      <c r="AU39" s="158" t="n"/>
      <c r="AV39" s="158" t="n"/>
      <c r="AW39" s="158" t="n"/>
      <c r="AX39" s="158" t="n"/>
      <c r="AY39" s="158" t="n"/>
      <c r="AZ39" s="158" t="n"/>
      <c r="BA39" s="158" t="n"/>
      <c r="BB39" s="158" t="n"/>
      <c r="BC39" s="158" t="n"/>
      <c r="BD39" s="158" t="n"/>
      <c r="BE39" s="158" t="n"/>
      <c r="BF39" s="158" t="n"/>
      <c r="BG39" s="158" t="n"/>
      <c r="BH39" s="158" t="n"/>
      <c r="BI39" s="158" t="n"/>
      <c r="BJ39" s="158" t="n"/>
      <c r="BK39" s="158" t="n"/>
      <c r="BL39" s="158" t="n"/>
      <c r="BM39" s="158" t="n"/>
      <c r="BN39" s="158" t="n"/>
      <c r="BO39" s="158" t="n"/>
      <c r="BP39" s="158" t="n"/>
      <c r="BQ39" s="158" t="n"/>
      <c r="BR39" s="158" t="n"/>
      <c r="BS39" s="158" t="n"/>
      <c r="BT39" s="158" t="n"/>
      <c r="BU39" s="158" t="n"/>
      <c r="BV39" s="158" t="n"/>
      <c r="BW39" s="158" t="n"/>
      <c r="BX39" s="158" t="n"/>
      <c r="BY39" s="158" t="n"/>
      <c r="BZ39" s="158" t="n"/>
      <c r="CA39" s="158" t="n"/>
      <c r="CB39" s="158" t="n"/>
      <c r="CC39" s="158" t="n"/>
      <c r="CD39" s="158" t="n"/>
      <c r="CE39" s="158" t="n"/>
      <c r="CF39" s="158" t="n"/>
      <c r="CG39" s="158" t="n"/>
    </row>
    <row r="40" ht="64" customHeight="1">
      <c r="A40" s="109" t="inlineStr">
        <is>
          <t>IRISC298</t>
        </is>
      </c>
      <c r="B40" s="111" t="inlineStr">
        <is>
          <t>Ketan Balbhadra Yadav</t>
        </is>
      </c>
      <c r="C40" s="111" t="inlineStr">
        <is>
          <t>IT &amp; Infrastructure</t>
        </is>
      </c>
      <c r="D40" s="115" t="inlineStr">
        <is>
          <t>Consultant</t>
        </is>
      </c>
      <c r="E40" s="115" t="inlineStr">
        <is>
          <t>Senior System Administrator</t>
        </is>
      </c>
      <c r="F40" s="115" t="inlineStr">
        <is>
          <t>Not in current mapping files</t>
        </is>
      </c>
      <c r="G40" s="115" t="inlineStr">
        <is>
          <t>A3</t>
        </is>
      </c>
      <c r="H40" s="117" t="inlineStr">
        <is>
          <t>● Newly mapped</t>
        </is>
      </c>
      <c r="I40" s="111" t="inlineStr">
        <is>
          <t>IT &amp; Infrastructure</t>
        </is>
      </c>
      <c r="J40" s="111" t="inlineStr">
        <is>
          <t>Infrastructure &amp; Cloud Operations</t>
        </is>
      </c>
      <c r="K40" s="111" t="inlineStr"/>
      <c r="L40" s="111" t="n">
        <v>20</v>
      </c>
      <c r="M40" s="113" t="inlineStr">
        <is>
          <t>P2</t>
        </is>
      </c>
      <c r="N40" s="114" t="inlineStr">
        <is>
          <t>Developing</t>
        </is>
      </c>
      <c r="O40" s="114" t="inlineStr">
        <is>
          <t>3 Apply</t>
        </is>
      </c>
      <c r="P40" s="114" t="inlineStr">
        <is>
          <t>2–4 yrs</t>
        </is>
      </c>
      <c r="Q40" s="114" t="inlineStr">
        <is>
          <t>3–5 · 2–5</t>
        </is>
      </c>
      <c r="R40" s="114" t="inlineStr">
        <is>
          <t>System Administrator</t>
        </is>
      </c>
      <c r="S40" s="114" t="inlineStr">
        <is>
          <r>
            <rPr>
              <rFont val="Calibri"/>
              <b val="1"/>
              <sz val="10"/>
            </rPr>
            <t>Atlassian company-wide P-levels:</t>
          </r>
          <r>
            <rPr>
              <rFont val="Calibri"/>
              <sz val="10"/>
            </rPr>
            <t xml:space="preserve"> P40 · IRIS Vs Competitor Benchmark — infrastructure ladder: System Administrator</t>
          </r>
        </is>
      </c>
      <c r="T40" s="114" t="inlineStr">
        <is>
          <t>ITIL 4; ISO/IEC 27001:2022; SFIA infrastructure</t>
        </is>
      </c>
      <c r="U40" s="114" t="inlineStr">
        <is>
          <t>Core 2 · Future 2 · Functional 3 · Leadership not scored</t>
        </is>
      </c>
      <c r="V40" s="157" t="n">
        <v>349</v>
      </c>
      <c r="W40" s="158" t="inlineStr">
        <is>
          <t>IRISC298</t>
        </is>
      </c>
      <c r="X40" s="158" t="inlineStr">
        <is>
          <t>On Contract</t>
        </is>
      </c>
      <c r="Y40" s="158" t="inlineStr">
        <is>
          <t>Active</t>
        </is>
      </c>
      <c r="Z40" s="158" t="inlineStr">
        <is>
          <t>Ketan Balbhadra Yadav</t>
        </is>
      </c>
      <c r="AA40" s="245" t="n">
        <v>45593</v>
      </c>
      <c r="AB40" s="158" t="inlineStr">
        <is>
          <t>Consultant</t>
        </is>
      </c>
      <c r="AC40" s="158" t="inlineStr">
        <is>
          <t>B.SC</t>
        </is>
      </c>
      <c r="AD40" s="158" t="inlineStr">
        <is>
          <t>Vikas Mithbawkar</t>
        </is>
      </c>
      <c r="AE40" s="158" t="inlineStr">
        <is>
          <t>N-3</t>
        </is>
      </c>
      <c r="AF40" s="158" t="inlineStr">
        <is>
          <t>Individual Contributor</t>
        </is>
      </c>
      <c r="AG40" s="158" t="inlineStr">
        <is>
          <t>1 years, 6 months, 0 days</t>
        </is>
      </c>
      <c r="AH40" s="158" t="inlineStr">
        <is>
          <t>1 years, 9 months, 28 days</t>
        </is>
      </c>
      <c r="AI40" s="158" t="inlineStr">
        <is>
          <t>Corporate</t>
        </is>
      </c>
      <c r="AJ40" s="158" t="inlineStr">
        <is>
          <t>Corporate</t>
        </is>
      </c>
      <c r="AK40" s="158" t="inlineStr">
        <is>
          <t>IT &amp; Infrastructure</t>
        </is>
      </c>
      <c r="AL40" s="158" t="inlineStr">
        <is>
          <t>Infra</t>
        </is>
      </c>
      <c r="AM40" s="158" t="inlineStr">
        <is>
          <t>No</t>
        </is>
      </c>
      <c r="AN40" s="158" t="inlineStr">
        <is>
          <t>General &amp; Admin</t>
        </is>
      </c>
      <c r="AO40" s="158" t="inlineStr">
        <is>
          <t>Infra</t>
        </is>
      </c>
      <c r="AP40" s="158" t="inlineStr">
        <is>
          <t>Non-technical</t>
        </is>
      </c>
      <c r="AQ40" s="158" t="n">
        <v>20</v>
      </c>
      <c r="AR40" s="158" t="inlineStr">
        <is>
          <t>Covered</t>
        </is>
      </c>
      <c r="AS40" s="158" t="n"/>
      <c r="AT40" s="158" t="n"/>
      <c r="AU40" s="158" t="n"/>
      <c r="AV40" s="158" t="n"/>
      <c r="AW40" s="158" t="n"/>
      <c r="AX40" s="158" t="n"/>
      <c r="AY40" s="158" t="n"/>
      <c r="AZ40" s="158" t="n"/>
      <c r="BA40" s="158" t="n"/>
      <c r="BB40" s="158" t="n"/>
      <c r="BC40" s="158" t="n"/>
      <c r="BD40" s="158" t="n"/>
      <c r="BE40" s="158" t="n"/>
      <c r="BF40" s="158" t="n"/>
      <c r="BG40" s="158" t="n"/>
      <c r="BH40" s="158" t="n"/>
      <c r="BI40" s="158" t="n"/>
      <c r="BJ40" s="158" t="n"/>
      <c r="BK40" s="158" t="n"/>
      <c r="BL40" s="158" t="n"/>
      <c r="BM40" s="158" t="n"/>
      <c r="BN40" s="158" t="n"/>
      <c r="BO40" s="158" t="n"/>
      <c r="BP40" s="158" t="n"/>
      <c r="BQ40" s="158" t="n"/>
      <c r="BR40" s="158" t="n"/>
      <c r="BS40" s="158" t="n"/>
      <c r="BT40" s="158" t="n"/>
      <c r="BU40" s="158" t="n"/>
      <c r="BV40" s="158" t="n"/>
      <c r="BW40" s="158" t="n"/>
      <c r="BX40" s="158" t="n"/>
      <c r="BY40" s="158" t="n"/>
      <c r="BZ40" s="158" t="n"/>
      <c r="CA40" s="158" t="n"/>
      <c r="CB40" s="158" t="n"/>
      <c r="CC40" s="158" t="n"/>
      <c r="CD40" s="158" t="n"/>
      <c r="CE40" s="158" t="n"/>
      <c r="CF40" s="158" t="n"/>
      <c r="CG40" s="158" t="n"/>
    </row>
    <row r="41" ht="64" customHeight="1">
      <c r="A41" s="109" t="inlineStr">
        <is>
          <t>IRIS1998</t>
        </is>
      </c>
      <c r="B41" s="111" t="inlineStr">
        <is>
          <t>Nimit Sadafal</t>
        </is>
      </c>
      <c r="C41" s="111" t="inlineStr">
        <is>
          <t>IT &amp; Infrastructure</t>
        </is>
      </c>
      <c r="D41" s="115" t="inlineStr">
        <is>
          <t>System Administrator</t>
        </is>
      </c>
      <c r="E41" s="115" t="inlineStr">
        <is>
          <t>Senior System Administrator</t>
        </is>
      </c>
      <c r="F41" s="115" t="inlineStr">
        <is>
          <t>Not in current mapping files</t>
        </is>
      </c>
      <c r="G41" s="115" t="inlineStr">
        <is>
          <t>A3</t>
        </is>
      </c>
      <c r="H41" s="117" t="inlineStr">
        <is>
          <t>● Newly mapped</t>
        </is>
      </c>
      <c r="I41" s="111" t="inlineStr">
        <is>
          <t>IT &amp; Infrastructure</t>
        </is>
      </c>
      <c r="J41" s="111" t="inlineStr">
        <is>
          <t>Infrastructure &amp; Cloud Operations</t>
        </is>
      </c>
      <c r="K41" s="111" t="inlineStr"/>
      <c r="L41" s="111" t="n">
        <v>20</v>
      </c>
      <c r="M41" s="113" t="inlineStr">
        <is>
          <t>P2</t>
        </is>
      </c>
      <c r="N41" s="114" t="inlineStr">
        <is>
          <t>Developing</t>
        </is>
      </c>
      <c r="O41" s="114" t="inlineStr">
        <is>
          <t>3 Apply</t>
        </is>
      </c>
      <c r="P41" s="114" t="inlineStr">
        <is>
          <t>2–4 yrs</t>
        </is>
      </c>
      <c r="Q41" s="114" t="inlineStr">
        <is>
          <t>3–5 · 2–5</t>
        </is>
      </c>
      <c r="R41" s="114" t="inlineStr">
        <is>
          <t>System Administrator</t>
        </is>
      </c>
      <c r="S41" s="114" t="inlineStr">
        <is>
          <r>
            <rPr>
              <rFont val="Calibri"/>
              <b val="1"/>
              <sz val="10"/>
            </rPr>
            <t>Atlassian company-wide P-levels:</t>
          </r>
          <r>
            <rPr>
              <rFont val="Calibri"/>
              <sz val="10"/>
            </rPr>
            <t xml:space="preserve"> P40 · IRIS Vs Competitor Benchmark — infrastructure ladder: System Administrator</t>
          </r>
        </is>
      </c>
      <c r="T41" s="114" t="inlineStr">
        <is>
          <t>ITIL 4; ISO/IEC 27001:2022; SFIA infrastructure</t>
        </is>
      </c>
      <c r="U41" s="114" t="inlineStr">
        <is>
          <t>Core 2 · Future 2 · Functional 3 · Leadership not scored</t>
        </is>
      </c>
      <c r="V41" s="157" t="n">
        <v>210</v>
      </c>
      <c r="W41" s="158" t="inlineStr">
        <is>
          <t>IRIS1998</t>
        </is>
      </c>
      <c r="X41" s="158" t="inlineStr">
        <is>
          <t>Employee</t>
        </is>
      </c>
      <c r="Y41" s="158" t="inlineStr">
        <is>
          <t>Active</t>
        </is>
      </c>
      <c r="Z41" s="158" t="inlineStr">
        <is>
          <t>Nimit Sadafal</t>
        </is>
      </c>
      <c r="AA41" s="245" t="n">
        <v>44622</v>
      </c>
      <c r="AB41" s="158" t="inlineStr">
        <is>
          <t>System Administrator</t>
        </is>
      </c>
      <c r="AC41" s="158" t="inlineStr">
        <is>
          <t>B.E</t>
        </is>
      </c>
      <c r="AD41" s="158" t="inlineStr">
        <is>
          <t>Vikas Mithbawkar</t>
        </is>
      </c>
      <c r="AE41" s="158" t="inlineStr">
        <is>
          <t>N-3</t>
        </is>
      </c>
      <c r="AF41" s="158" t="inlineStr">
        <is>
          <t>Individual Contributor</t>
        </is>
      </c>
      <c r="AG41" s="158" t="inlineStr">
        <is>
          <t>9 years, 0 months, 0 days</t>
        </is>
      </c>
      <c r="AH41" s="158" t="inlineStr">
        <is>
          <t>4 years, 5 months, 23 days</t>
        </is>
      </c>
      <c r="AI41" s="158" t="inlineStr">
        <is>
          <t>Corporate</t>
        </is>
      </c>
      <c r="AJ41" s="158" t="inlineStr">
        <is>
          <t>Corporate</t>
        </is>
      </c>
      <c r="AK41" s="158" t="inlineStr">
        <is>
          <t>IT &amp; Infrastructure</t>
        </is>
      </c>
      <c r="AL41" s="158" t="inlineStr">
        <is>
          <t>Infra</t>
        </is>
      </c>
      <c r="AM41" s="158" t="inlineStr">
        <is>
          <t>No</t>
        </is>
      </c>
      <c r="AN41" s="158" t="inlineStr">
        <is>
          <t>General &amp; Admin</t>
        </is>
      </c>
      <c r="AO41" s="158" t="inlineStr">
        <is>
          <t>Infra</t>
        </is>
      </c>
      <c r="AP41" s="158" t="inlineStr">
        <is>
          <t>Non-technical</t>
        </is>
      </c>
      <c r="AQ41" s="158" t="n">
        <v>20</v>
      </c>
      <c r="AR41" s="158" t="inlineStr">
        <is>
          <t>Covered</t>
        </is>
      </c>
      <c r="AS41" s="158" t="n"/>
      <c r="AT41" s="158" t="n"/>
      <c r="AU41" s="158" t="n"/>
      <c r="AV41" s="158" t="n"/>
      <c r="AW41" s="158" t="n"/>
      <c r="AX41" s="158" t="n"/>
      <c r="AY41" s="158" t="n"/>
      <c r="AZ41" s="158" t="n"/>
      <c r="BA41" s="158" t="n"/>
      <c r="BB41" s="158" t="n"/>
      <c r="BC41" s="158" t="n"/>
      <c r="BD41" s="158" t="n"/>
      <c r="BE41" s="158" t="n"/>
      <c r="BF41" s="158" t="n"/>
      <c r="BG41" s="158" t="n"/>
      <c r="BH41" s="158" t="n"/>
      <c r="BI41" s="158" t="n"/>
      <c r="BJ41" s="158" t="n"/>
      <c r="BK41" s="158" t="n"/>
      <c r="BL41" s="158" t="n"/>
      <c r="BM41" s="158" t="n"/>
      <c r="BN41" s="158" t="n"/>
      <c r="BO41" s="158" t="n"/>
      <c r="BP41" s="158" t="n"/>
      <c r="BQ41" s="158" t="n"/>
      <c r="BR41" s="158" t="n"/>
      <c r="BS41" s="158" t="n"/>
      <c r="BT41" s="158" t="n"/>
      <c r="BU41" s="158" t="n"/>
      <c r="BV41" s="158" t="n"/>
      <c r="BW41" s="158" t="n"/>
      <c r="BX41" s="158" t="n"/>
      <c r="BY41" s="158" t="n"/>
      <c r="BZ41" s="158" t="n"/>
      <c r="CA41" s="158" t="n"/>
      <c r="CB41" s="158" t="n"/>
      <c r="CC41" s="158" t="n"/>
      <c r="CD41" s="158" t="n"/>
      <c r="CE41" s="158" t="n"/>
      <c r="CF41" s="158" t="n"/>
      <c r="CG41" s="158" t="n"/>
    </row>
    <row r="42" ht="64" customHeight="1">
      <c r="A42" s="109" t="inlineStr">
        <is>
          <t>IRIS2003</t>
        </is>
      </c>
      <c r="B42" s="111" t="inlineStr">
        <is>
          <t>Rajyalakshmi Koyagura</t>
        </is>
      </c>
      <c r="C42" s="111" t="inlineStr">
        <is>
          <t>IT &amp; Infrastructure</t>
        </is>
      </c>
      <c r="D42" s="115" t="inlineStr">
        <is>
          <t>System Administrator</t>
        </is>
      </c>
      <c r="E42" s="115" t="inlineStr">
        <is>
          <t>Senior System Administrator</t>
        </is>
      </c>
      <c r="F42" s="115" t="inlineStr">
        <is>
          <t>Not in current mapping files</t>
        </is>
      </c>
      <c r="G42" s="115" t="inlineStr">
        <is>
          <t>A3</t>
        </is>
      </c>
      <c r="H42" s="117" t="inlineStr">
        <is>
          <t>● Newly mapped</t>
        </is>
      </c>
      <c r="I42" s="111" t="inlineStr">
        <is>
          <t>IT &amp; Infrastructure</t>
        </is>
      </c>
      <c r="J42" s="111" t="inlineStr">
        <is>
          <t>Infrastructure &amp; Cloud Operations</t>
        </is>
      </c>
      <c r="K42" s="111" t="inlineStr"/>
      <c r="L42" s="111" t="n">
        <v>19</v>
      </c>
      <c r="M42" s="113" t="inlineStr">
        <is>
          <t>P2</t>
        </is>
      </c>
      <c r="N42" s="114" t="inlineStr">
        <is>
          <t>Developing</t>
        </is>
      </c>
      <c r="O42" s="114" t="inlineStr">
        <is>
          <t>3 Apply</t>
        </is>
      </c>
      <c r="P42" s="114" t="inlineStr">
        <is>
          <t>2–4 yrs</t>
        </is>
      </c>
      <c r="Q42" s="114" t="inlineStr">
        <is>
          <t>3–5 · 2–5</t>
        </is>
      </c>
      <c r="R42" s="114" t="inlineStr">
        <is>
          <t>System Administrator</t>
        </is>
      </c>
      <c r="S42" s="114" t="inlineStr">
        <is>
          <r>
            <rPr>
              <rFont val="Calibri"/>
              <b val="1"/>
              <sz val="10"/>
            </rPr>
            <t>Atlassian company-wide P-levels:</t>
          </r>
          <r>
            <rPr>
              <rFont val="Calibri"/>
              <sz val="10"/>
            </rPr>
            <t xml:space="preserve"> P40 · IRIS Vs Competitor Benchmark — infrastructure ladder: System Administrator</t>
          </r>
        </is>
      </c>
      <c r="T42" s="114" t="inlineStr">
        <is>
          <t>ITIL 4; ISO/IEC 27001:2022; SFIA infrastructure</t>
        </is>
      </c>
      <c r="U42" s="114" t="inlineStr">
        <is>
          <t>Core 2 · Future 2 · Functional 3 · Leadership not scored</t>
        </is>
      </c>
      <c r="V42" s="157" t="n">
        <v>212</v>
      </c>
      <c r="W42" s="158" t="inlineStr">
        <is>
          <t>IRIS2003</t>
        </is>
      </c>
      <c r="X42" s="158" t="inlineStr">
        <is>
          <t>Employee</t>
        </is>
      </c>
      <c r="Y42" s="158" t="inlineStr">
        <is>
          <t>Active</t>
        </is>
      </c>
      <c r="Z42" s="158" t="inlineStr">
        <is>
          <t>Rajyalakshmi Koyagura</t>
        </is>
      </c>
      <c r="AA42" s="245" t="n">
        <v>44634</v>
      </c>
      <c r="AB42" s="158" t="inlineStr">
        <is>
          <t>System Administrator</t>
        </is>
      </c>
      <c r="AC42" s="158" t="inlineStr">
        <is>
          <t>B.Tech</t>
        </is>
      </c>
      <c r="AD42" s="158" t="inlineStr">
        <is>
          <t>Mahesh Tilave</t>
        </is>
      </c>
      <c r="AE42" s="158" t="inlineStr">
        <is>
          <t>N-2</t>
        </is>
      </c>
      <c r="AF42" s="158" t="inlineStr">
        <is>
          <t>Individual Contributor</t>
        </is>
      </c>
      <c r="AG42" s="158" t="inlineStr">
        <is>
          <t>3 years, 6 months, 0 days</t>
        </is>
      </c>
      <c r="AH42" s="158" t="inlineStr">
        <is>
          <t>4 years, 5 months, 11 days</t>
        </is>
      </c>
      <c r="AI42" s="158" t="inlineStr">
        <is>
          <t>Corporate</t>
        </is>
      </c>
      <c r="AJ42" s="158" t="inlineStr">
        <is>
          <t>Corporate</t>
        </is>
      </c>
      <c r="AK42" s="158" t="inlineStr">
        <is>
          <t>IT &amp; Infrastructure</t>
        </is>
      </c>
      <c r="AL42" s="158" t="inlineStr">
        <is>
          <t>Infra</t>
        </is>
      </c>
      <c r="AM42" s="158" t="inlineStr">
        <is>
          <t>No</t>
        </is>
      </c>
      <c r="AN42" s="158" t="inlineStr">
        <is>
          <t>General &amp; Admin</t>
        </is>
      </c>
      <c r="AO42" s="158" t="inlineStr">
        <is>
          <t>Infra</t>
        </is>
      </c>
      <c r="AP42" s="158" t="inlineStr">
        <is>
          <t>Non-technical</t>
        </is>
      </c>
      <c r="AQ42" s="158" t="n">
        <v>20</v>
      </c>
      <c r="AR42" s="158" t="inlineStr">
        <is>
          <t>Covered</t>
        </is>
      </c>
      <c r="AS42" s="158" t="n"/>
      <c r="AT42" s="158" t="n"/>
      <c r="AU42" s="158" t="n"/>
      <c r="AV42" s="158" t="n"/>
      <c r="AW42" s="158" t="n"/>
      <c r="AX42" s="158" t="n"/>
      <c r="AY42" s="158" t="n"/>
      <c r="AZ42" s="158" t="n"/>
      <c r="BA42" s="158" t="n"/>
      <c r="BB42" s="158" t="n"/>
      <c r="BC42" s="158" t="n"/>
      <c r="BD42" s="158" t="n"/>
      <c r="BE42" s="158" t="n"/>
      <c r="BF42" s="158" t="n"/>
      <c r="BG42" s="158" t="n"/>
      <c r="BH42" s="158" t="n"/>
      <c r="BI42" s="158" t="n"/>
      <c r="BJ42" s="158" t="n"/>
      <c r="BK42" s="158" t="n"/>
      <c r="BL42" s="158" t="n"/>
      <c r="BM42" s="158" t="n"/>
      <c r="BN42" s="158" t="n"/>
      <c r="BO42" s="158" t="n"/>
      <c r="BP42" s="158" t="n"/>
      <c r="BQ42" s="158" t="n"/>
      <c r="BR42" s="158" t="n"/>
      <c r="BS42" s="158" t="n"/>
      <c r="BT42" s="158" t="n"/>
      <c r="BU42" s="158" t="n"/>
      <c r="BV42" s="158" t="n"/>
      <c r="BW42" s="158" t="n"/>
      <c r="BX42" s="158" t="n"/>
      <c r="BY42" s="158" t="n"/>
      <c r="BZ42" s="158" t="n"/>
      <c r="CA42" s="158" t="n"/>
      <c r="CB42" s="158" t="n"/>
      <c r="CC42" s="158" t="n"/>
      <c r="CD42" s="158" t="n"/>
      <c r="CE42" s="158" t="n"/>
      <c r="CF42" s="158" t="n"/>
      <c r="CG42" s="158" t="n"/>
    </row>
    <row r="43" ht="64" customHeight="1">
      <c r="A43" s="109" t="inlineStr">
        <is>
          <t>IRIS2098</t>
        </is>
      </c>
      <c r="B43" s="111" t="inlineStr">
        <is>
          <t>Sagar Jamadar</t>
        </is>
      </c>
      <c r="C43" s="111" t="inlineStr">
        <is>
          <t>IT &amp; Infrastructure</t>
        </is>
      </c>
      <c r="D43" s="115" t="inlineStr">
        <is>
          <t>Desktop Support Engineer</t>
        </is>
      </c>
      <c r="E43" s="115" t="inlineStr">
        <is>
          <t>Senior Desktop Support Engineer</t>
        </is>
      </c>
      <c r="F43" s="115" t="inlineStr">
        <is>
          <t>Not in current mapping files</t>
        </is>
      </c>
      <c r="G43" s="115" t="inlineStr">
        <is>
          <t>A3</t>
        </is>
      </c>
      <c r="H43" s="117" t="inlineStr">
        <is>
          <t>● Newly mapped</t>
        </is>
      </c>
      <c r="I43" s="111" t="inlineStr">
        <is>
          <t>IT &amp; Infrastructure</t>
        </is>
      </c>
      <c r="J43" s="111" t="inlineStr">
        <is>
          <t>End-User Support</t>
        </is>
      </c>
      <c r="K43" s="111" t="inlineStr"/>
      <c r="L43" s="111" t="n">
        <v>20</v>
      </c>
      <c r="M43" s="113" t="inlineStr">
        <is>
          <t>P2</t>
        </is>
      </c>
      <c r="N43" s="114" t="inlineStr">
        <is>
          <t>Developing</t>
        </is>
      </c>
      <c r="O43" s="114" t="inlineStr">
        <is>
          <t>3 Apply</t>
        </is>
      </c>
      <c r="P43" s="114" t="inlineStr">
        <is>
          <t>2–4 yrs</t>
        </is>
      </c>
      <c r="Q43" s="114" t="inlineStr">
        <is>
          <t>3–5 · 2–5</t>
        </is>
      </c>
      <c r="R43" s="114" t="inlineStr">
        <is>
          <t>System Administrator</t>
        </is>
      </c>
      <c r="S43" s="114" t="inlineStr">
        <is>
          <r>
            <rPr>
              <rFont val="Calibri"/>
              <b val="1"/>
              <sz val="10"/>
            </rPr>
            <t>Atlassian company-wide P-levels:</t>
          </r>
          <r>
            <rPr>
              <rFont val="Calibri"/>
              <sz val="10"/>
            </rPr>
            <t xml:space="preserve"> P40 · IRIS Vs Competitor Benchmark — infrastructure ladder: System Administrator</t>
          </r>
        </is>
      </c>
      <c r="T43" s="114" t="inlineStr">
        <is>
          <t>ITIL 4; ISO/IEC 27001:2022; SFIA infrastructure</t>
        </is>
      </c>
      <c r="U43" s="114" t="inlineStr">
        <is>
          <t>Core 2 · Future 2 · Functional 3 · Leadership not scored</t>
        </is>
      </c>
      <c r="V43" s="157" t="n">
        <v>261</v>
      </c>
      <c r="W43" s="158" t="inlineStr">
        <is>
          <t>IRIS2098</t>
        </is>
      </c>
      <c r="X43" s="158" t="inlineStr">
        <is>
          <t>Employee</t>
        </is>
      </c>
      <c r="Y43" s="158" t="inlineStr">
        <is>
          <t>Active</t>
        </is>
      </c>
      <c r="Z43" s="158" t="inlineStr">
        <is>
          <t>Sagar Jamadar</t>
        </is>
      </c>
      <c r="AA43" s="245" t="n">
        <v>44970</v>
      </c>
      <c r="AB43" s="158" t="inlineStr">
        <is>
          <t>Desktop Support Engineer</t>
        </is>
      </c>
      <c r="AC43" s="158" t="inlineStr">
        <is>
          <t>Undergraduate</t>
        </is>
      </c>
      <c r="AD43" s="158" t="inlineStr">
        <is>
          <t>Ramesh Kone</t>
        </is>
      </c>
      <c r="AE43" s="158" t="inlineStr">
        <is>
          <t>N-3</t>
        </is>
      </c>
      <c r="AF43" s="158" t="inlineStr">
        <is>
          <t>Individual Contributor</t>
        </is>
      </c>
      <c r="AG43" s="158" t="inlineStr">
        <is>
          <t>5 years, 0 months, 0 days</t>
        </is>
      </c>
      <c r="AH43" s="158" t="inlineStr">
        <is>
          <t>3 years, 6 months, 12 days</t>
        </is>
      </c>
      <c r="AI43" s="158" t="inlineStr">
        <is>
          <t>Corporate</t>
        </is>
      </c>
      <c r="AJ43" s="158" t="inlineStr">
        <is>
          <t>Corporate</t>
        </is>
      </c>
      <c r="AK43" s="158" t="inlineStr">
        <is>
          <t>IT &amp; Infrastructure</t>
        </is>
      </c>
      <c r="AL43" s="158" t="inlineStr">
        <is>
          <t>Infra</t>
        </is>
      </c>
      <c r="AM43" s="158" t="inlineStr">
        <is>
          <t>No</t>
        </is>
      </c>
      <c r="AN43" s="158" t="inlineStr">
        <is>
          <t>General &amp; Admin</t>
        </is>
      </c>
      <c r="AO43" s="158" t="inlineStr">
        <is>
          <t>Infra</t>
        </is>
      </c>
      <c r="AP43" s="158" t="inlineStr">
        <is>
          <t>Non-technical</t>
        </is>
      </c>
      <c r="AQ43" s="158" t="n">
        <v>20</v>
      </c>
      <c r="AR43" s="158" t="inlineStr">
        <is>
          <t>Covered</t>
        </is>
      </c>
      <c r="AS43" s="158" t="n"/>
      <c r="AT43" s="158" t="n"/>
      <c r="AU43" s="158" t="n"/>
      <c r="AV43" s="158" t="n"/>
      <c r="AW43" s="158" t="n"/>
      <c r="AX43" s="158" t="n"/>
      <c r="AY43" s="158" t="n"/>
      <c r="AZ43" s="158" t="n"/>
      <c r="BA43" s="158" t="n"/>
      <c r="BB43" s="158" t="n"/>
      <c r="BC43" s="158" t="n"/>
      <c r="BD43" s="158" t="n"/>
      <c r="BE43" s="158" t="n"/>
      <c r="BF43" s="158" t="n"/>
      <c r="BG43" s="158" t="n"/>
      <c r="BH43" s="158" t="n"/>
      <c r="BI43" s="158" t="n"/>
      <c r="BJ43" s="158" t="n"/>
      <c r="BK43" s="158" t="n"/>
      <c r="BL43" s="158" t="n"/>
      <c r="BM43" s="158" t="n"/>
      <c r="BN43" s="158" t="n"/>
      <c r="BO43" s="158" t="n"/>
      <c r="BP43" s="158" t="n"/>
      <c r="BQ43" s="158" t="n"/>
      <c r="BR43" s="158" t="n"/>
      <c r="BS43" s="158" t="n"/>
      <c r="BT43" s="158" t="n"/>
      <c r="BU43" s="158" t="n"/>
      <c r="BV43" s="158" t="n"/>
      <c r="BW43" s="158" t="n"/>
      <c r="BX43" s="158" t="n"/>
      <c r="BY43" s="158" t="n"/>
      <c r="BZ43" s="158" t="n"/>
      <c r="CA43" s="158" t="n"/>
      <c r="CB43" s="158" t="n"/>
      <c r="CC43" s="158" t="n"/>
      <c r="CD43" s="158" t="n"/>
      <c r="CE43" s="158" t="n"/>
      <c r="CF43" s="158" t="n"/>
      <c r="CG43" s="158" t="n"/>
    </row>
    <row r="44" ht="64" customHeight="1">
      <c r="A44" s="109" t="inlineStr">
        <is>
          <t>IRIS1958</t>
        </is>
      </c>
      <c r="B44" s="111" t="inlineStr">
        <is>
          <t>Sandip Mane</t>
        </is>
      </c>
      <c r="C44" s="111" t="inlineStr">
        <is>
          <t>IT &amp; Infrastructure</t>
        </is>
      </c>
      <c r="D44" s="115" t="inlineStr">
        <is>
          <t>System Administrator</t>
        </is>
      </c>
      <c r="E44" s="115" t="inlineStr">
        <is>
          <t>Senior System Administrator</t>
        </is>
      </c>
      <c r="F44" s="115" t="inlineStr">
        <is>
          <t>Not in current mapping files</t>
        </is>
      </c>
      <c r="G44" s="115" t="inlineStr">
        <is>
          <t>A3</t>
        </is>
      </c>
      <c r="H44" s="117" t="inlineStr">
        <is>
          <t>● Newly mapped</t>
        </is>
      </c>
      <c r="I44" s="111" t="inlineStr">
        <is>
          <t>IT &amp; Infrastructure</t>
        </is>
      </c>
      <c r="J44" s="111" t="inlineStr">
        <is>
          <t>Infrastructure &amp; Cloud Operations</t>
        </is>
      </c>
      <c r="K44" s="111" t="inlineStr"/>
      <c r="L44" s="111" t="n">
        <v>20</v>
      </c>
      <c r="M44" s="113" t="inlineStr">
        <is>
          <t>P2</t>
        </is>
      </c>
      <c r="N44" s="114" t="inlineStr">
        <is>
          <t>Developing</t>
        </is>
      </c>
      <c r="O44" s="114" t="inlineStr">
        <is>
          <t>3 Apply</t>
        </is>
      </c>
      <c r="P44" s="114" t="inlineStr">
        <is>
          <t>2–4 yrs</t>
        </is>
      </c>
      <c r="Q44" s="114" t="inlineStr">
        <is>
          <t>3–5 · 2–5</t>
        </is>
      </c>
      <c r="R44" s="114" t="inlineStr">
        <is>
          <t>System Administrator</t>
        </is>
      </c>
      <c r="S44" s="114" t="inlineStr">
        <is>
          <r>
            <rPr>
              <rFont val="Calibri"/>
              <b val="1"/>
              <sz val="10"/>
            </rPr>
            <t>Atlassian company-wide P-levels:</t>
          </r>
          <r>
            <rPr>
              <rFont val="Calibri"/>
              <sz val="10"/>
            </rPr>
            <t xml:space="preserve"> P40 · IRIS Vs Competitor Benchmark — infrastructure ladder: System Administrator</t>
          </r>
        </is>
      </c>
      <c r="T44" s="114" t="inlineStr">
        <is>
          <t>ITIL 4; ISO/IEC 27001:2022; SFIA infrastructure</t>
        </is>
      </c>
      <c r="U44" s="114" t="inlineStr">
        <is>
          <t>Core 2 · Future 2 · Functional 3 · Leadership not scored</t>
        </is>
      </c>
      <c r="V44" s="157" t="n">
        <v>200</v>
      </c>
      <c r="W44" s="158" t="inlineStr">
        <is>
          <t>IRIS1958</t>
        </is>
      </c>
      <c r="X44" s="158" t="inlineStr">
        <is>
          <t>Employee</t>
        </is>
      </c>
      <c r="Y44" s="158" t="inlineStr">
        <is>
          <t>Active</t>
        </is>
      </c>
      <c r="Z44" s="158" t="inlineStr">
        <is>
          <t>Sandip Mane</t>
        </is>
      </c>
      <c r="AA44" s="245" t="n">
        <v>44473</v>
      </c>
      <c r="AB44" s="158" t="inlineStr">
        <is>
          <t>System Administrator</t>
        </is>
      </c>
      <c r="AC44" s="158" t="inlineStr">
        <is>
          <t>B.SC</t>
        </is>
      </c>
      <c r="AD44" s="158" t="inlineStr">
        <is>
          <t>Mahesh Tilave</t>
        </is>
      </c>
      <c r="AE44" s="158" t="inlineStr">
        <is>
          <t>N-2</t>
        </is>
      </c>
      <c r="AF44" s="158" t="inlineStr">
        <is>
          <t>Individual Contributor</t>
        </is>
      </c>
      <c r="AG44" s="158" t="inlineStr">
        <is>
          <t>5 years, 7 months, 0 days</t>
        </is>
      </c>
      <c r="AH44" s="158" t="inlineStr">
        <is>
          <t>4 years, 10 months, 21 days</t>
        </is>
      </c>
      <c r="AI44" s="158" t="inlineStr">
        <is>
          <t>Corporate</t>
        </is>
      </c>
      <c r="AJ44" s="158" t="inlineStr">
        <is>
          <t>Corporate</t>
        </is>
      </c>
      <c r="AK44" s="158" t="inlineStr">
        <is>
          <t>IT &amp; Infrastructure</t>
        </is>
      </c>
      <c r="AL44" s="158" t="inlineStr">
        <is>
          <t>Infra</t>
        </is>
      </c>
      <c r="AM44" s="158" t="inlineStr">
        <is>
          <t>No</t>
        </is>
      </c>
      <c r="AN44" s="158" t="inlineStr">
        <is>
          <t>General &amp; Admin</t>
        </is>
      </c>
      <c r="AO44" s="158" t="inlineStr">
        <is>
          <t>Infra</t>
        </is>
      </c>
      <c r="AP44" s="158" t="inlineStr">
        <is>
          <t>Non-technical</t>
        </is>
      </c>
      <c r="AQ44" s="158" t="n">
        <v>20</v>
      </c>
      <c r="AR44" s="158" t="inlineStr">
        <is>
          <t>Covered</t>
        </is>
      </c>
      <c r="AS44" s="158" t="n"/>
      <c r="AT44" s="158" t="n"/>
      <c r="AU44" s="158" t="n"/>
      <c r="AV44" s="158" t="n"/>
      <c r="AW44" s="158" t="n"/>
      <c r="AX44" s="158" t="n"/>
      <c r="AY44" s="158" t="n"/>
      <c r="AZ44" s="158" t="n"/>
      <c r="BA44" s="158" t="n"/>
      <c r="BB44" s="158" t="n"/>
      <c r="BC44" s="158" t="n"/>
      <c r="BD44" s="158" t="n"/>
      <c r="BE44" s="158" t="n"/>
      <c r="BF44" s="158" t="n"/>
      <c r="BG44" s="158" t="n"/>
      <c r="BH44" s="158" t="n"/>
      <c r="BI44" s="158" t="n"/>
      <c r="BJ44" s="158" t="n"/>
      <c r="BK44" s="158" t="n"/>
      <c r="BL44" s="158" t="n"/>
      <c r="BM44" s="158" t="n"/>
      <c r="BN44" s="158" t="n"/>
      <c r="BO44" s="158" t="n"/>
      <c r="BP44" s="158" t="n"/>
      <c r="BQ44" s="158" t="n"/>
      <c r="BR44" s="158" t="n"/>
      <c r="BS44" s="158" t="n"/>
      <c r="BT44" s="158" t="n"/>
      <c r="BU44" s="158" t="n"/>
      <c r="BV44" s="158" t="n"/>
      <c r="BW44" s="158" t="n"/>
      <c r="BX44" s="158" t="n"/>
      <c r="BY44" s="158" t="n"/>
      <c r="BZ44" s="158" t="n"/>
      <c r="CA44" s="158" t="n"/>
      <c r="CB44" s="158" t="n"/>
      <c r="CC44" s="158" t="n"/>
      <c r="CD44" s="158" t="n"/>
      <c r="CE44" s="158" t="n"/>
      <c r="CF44" s="158" t="n"/>
      <c r="CG44" s="158" t="n"/>
    </row>
    <row r="45" ht="64" customHeight="1">
      <c r="A45" s="109" t="inlineStr">
        <is>
          <t>IRIS1581</t>
        </is>
      </c>
      <c r="B45" s="111" t="inlineStr">
        <is>
          <t>Vishal Vare</t>
        </is>
      </c>
      <c r="C45" s="111" t="inlineStr">
        <is>
          <t>IT &amp; Infrastructure</t>
        </is>
      </c>
      <c r="D45" s="111" t="inlineStr">
        <is>
          <t>Senior System Administrator</t>
        </is>
      </c>
      <c r="E45" s="111" t="inlineStr">
        <is>
          <t>Senior System Administrator</t>
        </is>
      </c>
      <c r="F45" s="115" t="inlineStr">
        <is>
          <t>Not in current mapping files</t>
        </is>
      </c>
      <c r="G45" s="115" t="inlineStr">
        <is>
          <t>A3</t>
        </is>
      </c>
      <c r="H45" s="117" t="inlineStr">
        <is>
          <t>● Newly mapped</t>
        </is>
      </c>
      <c r="I45" s="111" t="inlineStr">
        <is>
          <t>IT &amp; Infrastructure</t>
        </is>
      </c>
      <c r="J45" s="111" t="inlineStr">
        <is>
          <t>Infrastructure &amp; Cloud Operations</t>
        </is>
      </c>
      <c r="K45" s="141" t="inlineStr">
        <is>
          <t>• Correct the experience record — HR</t>
        </is>
      </c>
      <c r="L45" s="111" t="n">
        <v>20</v>
      </c>
      <c r="M45" s="113" t="inlineStr">
        <is>
          <t>P2</t>
        </is>
      </c>
      <c r="N45" s="114" t="inlineStr">
        <is>
          <t>Developing</t>
        </is>
      </c>
      <c r="O45" s="114" t="inlineStr">
        <is>
          <t>3 Apply</t>
        </is>
      </c>
      <c r="P45" s="114" t="inlineStr">
        <is>
          <t>2–4 yrs</t>
        </is>
      </c>
      <c r="Q45" s="114" t="inlineStr">
        <is>
          <t>3–5 · 2–5</t>
        </is>
      </c>
      <c r="R45" s="114" t="inlineStr">
        <is>
          <t>System Administrator</t>
        </is>
      </c>
      <c r="S45" s="114" t="inlineStr">
        <is>
          <r>
            <rPr>
              <rFont val="Calibri"/>
              <b val="1"/>
              <sz val="10"/>
            </rPr>
            <t>Atlassian company-wide P-levels:</t>
          </r>
          <r>
            <rPr>
              <rFont val="Calibri"/>
              <sz val="10"/>
            </rPr>
            <t xml:space="preserve"> P40 · IRIS Vs Competitor Benchmark — infrastructure ladder: System Administrator</t>
          </r>
        </is>
      </c>
      <c r="T45" s="114" t="inlineStr">
        <is>
          <t>ITIL 4; ISO/IEC 27001:2022; SFIA infrastructure</t>
        </is>
      </c>
      <c r="U45" s="114" t="inlineStr">
        <is>
          <t>Core 2 · Future 2 · Functional 3 · Leadership not scored</t>
        </is>
      </c>
      <c r="V45" s="157" t="n">
        <v>128</v>
      </c>
      <c r="W45" s="158" t="inlineStr">
        <is>
          <t>IRIS1581</t>
        </is>
      </c>
      <c r="X45" s="158" t="inlineStr">
        <is>
          <t>Employee</t>
        </is>
      </c>
      <c r="Y45" s="158" t="inlineStr">
        <is>
          <t>Active</t>
        </is>
      </c>
      <c r="Z45" s="158" t="inlineStr">
        <is>
          <t>Vishal Vare</t>
        </is>
      </c>
      <c r="AA45" s="245" t="n">
        <v>42517</v>
      </c>
      <c r="AB45" s="158" t="inlineStr">
        <is>
          <t>Senior System Administrator</t>
        </is>
      </c>
      <c r="AC45" s="158" t="inlineStr">
        <is>
          <t>B.SC</t>
        </is>
      </c>
      <c r="AD45" s="158" t="inlineStr">
        <is>
          <t>Mahesh Tilave</t>
        </is>
      </c>
      <c r="AE45" s="158" t="inlineStr">
        <is>
          <t>N-2</t>
        </is>
      </c>
      <c r="AF45" s="158" t="inlineStr">
        <is>
          <t>Individual Contributor</t>
        </is>
      </c>
      <c r="AG45" s="158" t="inlineStr">
        <is>
          <t>0 years, 0 months, 0 days</t>
        </is>
      </c>
      <c r="AH45" s="158" t="inlineStr">
        <is>
          <t>10 years, 2 months, 29 days</t>
        </is>
      </c>
      <c r="AI45" s="158" t="inlineStr">
        <is>
          <t>Corporate</t>
        </is>
      </c>
      <c r="AJ45" s="158" t="inlineStr">
        <is>
          <t>Corporate</t>
        </is>
      </c>
      <c r="AK45" s="158" t="inlineStr">
        <is>
          <t>IT &amp; Infrastructure</t>
        </is>
      </c>
      <c r="AL45" s="158" t="inlineStr">
        <is>
          <t>Infra</t>
        </is>
      </c>
      <c r="AM45" s="158" t="inlineStr">
        <is>
          <t>No</t>
        </is>
      </c>
      <c r="AN45" s="158" t="inlineStr">
        <is>
          <t>General &amp; Admin</t>
        </is>
      </c>
      <c r="AO45" s="158" t="inlineStr">
        <is>
          <t>Infra</t>
        </is>
      </c>
      <c r="AP45" s="158" t="inlineStr">
        <is>
          <t>Non-technical</t>
        </is>
      </c>
      <c r="AQ45" s="158" t="n">
        <v>20</v>
      </c>
      <c r="AR45" s="158" t="inlineStr">
        <is>
          <t>Covered</t>
        </is>
      </c>
      <c r="AS45" s="158" t="n"/>
      <c r="AT45" s="158" t="n"/>
      <c r="AU45" s="158" t="n"/>
      <c r="AV45" s="158" t="n"/>
      <c r="AW45" s="158" t="n"/>
      <c r="AX45" s="158" t="n"/>
      <c r="AY45" s="158" t="n"/>
      <c r="AZ45" s="158" t="n"/>
      <c r="BA45" s="158" t="n"/>
      <c r="BB45" s="158" t="n"/>
      <c r="BC45" s="158" t="n"/>
      <c r="BD45" s="158" t="n"/>
      <c r="BE45" s="158" t="n"/>
      <c r="BF45" s="158" t="n"/>
      <c r="BG45" s="158" t="n"/>
      <c r="BH45" s="158" t="n"/>
      <c r="BI45" s="158" t="n"/>
      <c r="BJ45" s="158" t="n"/>
      <c r="BK45" s="158" t="n"/>
      <c r="BL45" s="158" t="n"/>
      <c r="BM45" s="158" t="n"/>
      <c r="BN45" s="158" t="n"/>
      <c r="BO45" s="158" t="n"/>
      <c r="BP45" s="158" t="n"/>
      <c r="BQ45" s="158" t="n"/>
      <c r="BR45" s="158" t="n"/>
      <c r="BS45" s="158" t="n"/>
      <c r="BT45" s="158" t="n"/>
      <c r="BU45" s="158" t="n"/>
      <c r="BV45" s="158" t="n"/>
      <c r="BW45" s="158" t="n"/>
      <c r="BX45" s="158" t="n"/>
      <c r="BY45" s="158" t="n"/>
      <c r="BZ45" s="158" t="n"/>
      <c r="CA45" s="158" t="n"/>
      <c r="CB45" s="158" t="n"/>
      <c r="CC45" s="158" t="n"/>
      <c r="CD45" s="158" t="n"/>
      <c r="CE45" s="158" t="n"/>
      <c r="CF45" s="158" t="n"/>
      <c r="CG45" s="158" t="n"/>
    </row>
    <row r="46" ht="64" customHeight="1">
      <c r="A46" s="109" t="inlineStr">
        <is>
          <t>IRIS0001</t>
        </is>
      </c>
      <c r="B46" s="111" t="inlineStr">
        <is>
          <t>Balachandran K</t>
        </is>
      </c>
      <c r="C46" s="111" t="inlineStr">
        <is>
          <t>Management</t>
        </is>
      </c>
      <c r="D46" s="115" t="inlineStr">
        <is>
          <t>CEO</t>
        </is>
      </c>
      <c r="E46" s="115" t="inlineStr">
        <is>
          <t>Chief Executive Officer</t>
        </is>
      </c>
      <c r="F46" s="115" t="inlineStr">
        <is>
          <t>Not in current mapping files</t>
        </is>
      </c>
      <c r="G46" s="115" t="inlineStr">
        <is>
          <t>E2</t>
        </is>
      </c>
      <c r="H46" s="117" t="inlineStr">
        <is>
          <t>● Newly mapped</t>
        </is>
      </c>
      <c r="I46" s="111" t="inlineStr">
        <is>
          <t>Executive Leadership</t>
        </is>
      </c>
      <c r="J46" s="111" t="inlineStr">
        <is>
          <t>Enterprise Leadership</t>
        </is>
      </c>
      <c r="K46" s="141" t="inlineStr">
        <is>
          <t>• Survey response or KRAs describing the work · nothing on file — Employee + manager</t>
        </is>
      </c>
      <c r="L46" s="111" t="n">
        <v>0</v>
      </c>
      <c r="M46" s="113" t="inlineStr">
        <is>
          <t>E6</t>
        </is>
      </c>
      <c r="N46" s="114" t="inlineStr">
        <is>
          <t>C-Level · CEO</t>
        </is>
      </c>
      <c r="O46" s="114" t="inlineStr">
        <is>
          <t>7</t>
        </is>
      </c>
      <c r="P46" s="114" t="inlineStr">
        <is>
          <t>20+ yrs</t>
        </is>
      </c>
      <c r="Q46" s="114" t="inlineStr">
        <is>
          <t>—</t>
        </is>
      </c>
      <c r="R46" s="114" t="inlineStr">
        <is>
          <t>Chief Executive Officer</t>
        </is>
      </c>
      <c r="S46" s="114" t="inlineStr">
        <is>
          <t>IRIS Vs Market Benchmark — Aon Radford / Mercer executive codes: E6 CEO · IRIS Vs Competitor Benchmark — regtech / SaaS executive titles: CEO</t>
        </is>
      </c>
      <c r="T46" s="114" t="inlineStr">
        <is>
          <t>Aon Radford executive levels E1–E6; Mercer ET1–ET3; Korn Ferry Leadership Architect</t>
        </is>
      </c>
      <c r="U46" s="114" t="inlineStr">
        <is>
          <t>Core 5 · Future 5 · Functional 4 · Leadership 5</t>
        </is>
      </c>
      <c r="V46" s="157" t="n">
        <v>1</v>
      </c>
      <c r="W46" s="158" t="inlineStr">
        <is>
          <t>IRIS0001</t>
        </is>
      </c>
      <c r="X46" s="158" t="inlineStr">
        <is>
          <t>Employee</t>
        </is>
      </c>
      <c r="Y46" s="158" t="inlineStr">
        <is>
          <t>Active</t>
        </is>
      </c>
      <c r="Z46" s="158" t="inlineStr">
        <is>
          <t>Balachandran K</t>
        </is>
      </c>
      <c r="AA46" s="245" t="n">
        <v>38200</v>
      </c>
      <c r="AB46" s="158" t="inlineStr">
        <is>
          <t>CEO</t>
        </is>
      </c>
      <c r="AC46" s="158" t="inlineStr">
        <is>
          <t>MBA</t>
        </is>
      </c>
      <c r="AD46" s="158" t="inlineStr">
        <is>
          <t>-</t>
        </is>
      </c>
      <c r="AE46" s="158" t="inlineStr">
        <is>
          <t>N</t>
        </is>
      </c>
      <c r="AF46" s="158" t="inlineStr">
        <is>
          <t>Manager</t>
        </is>
      </c>
      <c r="AG46" s="158" t="inlineStr">
        <is>
          <t>10 years, 0 months, 0 days</t>
        </is>
      </c>
      <c r="AH46" s="158" t="inlineStr">
        <is>
          <t>22 years, 0 months, 24 days</t>
        </is>
      </c>
      <c r="AI46" s="158" t="inlineStr">
        <is>
          <t>Corporate</t>
        </is>
      </c>
      <c r="AJ46" s="158" t="inlineStr">
        <is>
          <t>Corporate</t>
        </is>
      </c>
      <c r="AK46" s="158" t="inlineStr">
        <is>
          <t>Management</t>
        </is>
      </c>
      <c r="AL46" s="158" t="inlineStr">
        <is>
          <t>Management</t>
        </is>
      </c>
      <c r="AM46" s="158" t="inlineStr">
        <is>
          <t>No</t>
        </is>
      </c>
      <c r="AN46" s="158" t="inlineStr">
        <is>
          <t>Management</t>
        </is>
      </c>
      <c r="AO46" s="158" t="inlineStr">
        <is>
          <t>Management</t>
        </is>
      </c>
      <c r="AP46" s="158" t="inlineStr">
        <is>
          <t>Non-technical</t>
        </is>
      </c>
      <c r="AQ46" s="158" t="n">
        <v>0</v>
      </c>
      <c r="AR46" s="158" t="inlineStr">
        <is>
          <t>E-Top management</t>
        </is>
      </c>
      <c r="AS46" s="158" t="n"/>
      <c r="AT46" s="158" t="n"/>
      <c r="AU46" s="158" t="n"/>
      <c r="AV46" s="158" t="n"/>
      <c r="AW46" s="158" t="n"/>
      <c r="AX46" s="158" t="n"/>
      <c r="AY46" s="158" t="n"/>
      <c r="AZ46" s="158" t="n"/>
      <c r="BA46" s="158" t="n"/>
      <c r="BB46" s="158" t="n"/>
      <c r="BC46" s="158" t="n"/>
      <c r="BD46" s="158" t="n"/>
      <c r="BE46" s="158" t="n"/>
      <c r="BF46" s="158" t="n"/>
      <c r="BG46" s="158" t="n"/>
      <c r="BH46" s="158" t="n"/>
      <c r="BI46" s="158" t="n"/>
      <c r="BJ46" s="158" t="n"/>
      <c r="BK46" s="158" t="n"/>
      <c r="BL46" s="158" t="n"/>
      <c r="BM46" s="158" t="n"/>
      <c r="BN46" s="158" t="n"/>
      <c r="BO46" s="158" t="n"/>
      <c r="BP46" s="158" t="n"/>
      <c r="BQ46" s="158" t="n"/>
      <c r="BR46" s="158" t="n"/>
      <c r="BS46" s="158" t="n"/>
      <c r="BT46" s="158" t="n"/>
      <c r="BU46" s="158" t="n"/>
      <c r="BV46" s="158" t="n"/>
      <c r="BW46" s="158" t="n"/>
      <c r="BX46" s="158" t="n"/>
      <c r="BY46" s="158" t="n"/>
      <c r="BZ46" s="158" t="n"/>
      <c r="CA46" s="158" t="n"/>
      <c r="CB46" s="158" t="n"/>
      <c r="CC46" s="158" t="n"/>
      <c r="CD46" s="158" t="n"/>
      <c r="CE46" s="158" t="n"/>
      <c r="CF46" s="158" t="n"/>
      <c r="CG46" s="158" t="n"/>
    </row>
    <row r="47" ht="64" customHeight="1">
      <c r="A47" s="109" t="inlineStr">
        <is>
          <t>IRIS0002</t>
        </is>
      </c>
      <c r="B47" s="111" t="inlineStr">
        <is>
          <t>Deepta Rangarajan</t>
        </is>
      </c>
      <c r="C47" s="111" t="inlineStr">
        <is>
          <t>Management</t>
        </is>
      </c>
      <c r="D47" s="115" t="inlineStr">
        <is>
          <t>COO, Product Sponsor · Carbon</t>
        </is>
      </c>
      <c r="E47" s="115" t="inlineStr">
        <is>
          <t>Chief Operating Officer</t>
        </is>
      </c>
      <c r="F47" s="115" t="inlineStr">
        <is>
          <t>Not in current mapping files</t>
        </is>
      </c>
      <c r="G47" s="115" t="inlineStr">
        <is>
          <t>E1</t>
        </is>
      </c>
      <c r="H47" s="117" t="inlineStr">
        <is>
          <t>● Newly mapped</t>
        </is>
      </c>
      <c r="I47" s="111" t="inlineStr">
        <is>
          <t>Executive Leadership</t>
        </is>
      </c>
      <c r="J47" s="111" t="inlineStr">
        <is>
          <t>Enterprise Leadership</t>
        </is>
      </c>
      <c r="K47" s="141" t="inlineStr">
        <is>
          <t>• Survey response or KRAs describing the work · nothing on file — Employee + manager</t>
        </is>
      </c>
      <c r="L47" s="111" t="n">
        <v>0</v>
      </c>
      <c r="M47" s="113" t="inlineStr">
        <is>
          <t>E5</t>
        </is>
      </c>
      <c r="N47" s="114" t="inlineStr">
        <is>
          <t>C-Level</t>
        </is>
      </c>
      <c r="O47" s="114" t="inlineStr">
        <is>
          <t>7</t>
        </is>
      </c>
      <c r="P47" s="114" t="inlineStr">
        <is>
          <t>20+ yrs</t>
        </is>
      </c>
      <c r="Q47" s="114" t="inlineStr">
        <is>
          <t>—</t>
        </is>
      </c>
      <c r="R47" s="114" t="inlineStr">
        <is>
          <t>CXO · functional chief</t>
        </is>
      </c>
      <c r="S47" s="114" t="inlineStr">
        <is>
          <t>IRIS Vs Market Benchmark — Aon Radford / Mercer executive codes: E5 C-level · functional · IRIS Vs Competitor Benchmark — regtech / SaaS executive titles: CTO · CFO · CRO · CCO · COO</t>
        </is>
      </c>
      <c r="T47" s="114" t="inlineStr">
        <is>
          <t>Aon Radford executive levels E1–E6; Mercer ET1–ET3; Korn Ferry Leadership Architect</t>
        </is>
      </c>
      <c r="U47" s="114" t="inlineStr">
        <is>
          <t>Core 5 · Future 5 · Functional 4 · Leadership 5</t>
        </is>
      </c>
      <c r="V47" s="157" t="n">
        <v>2</v>
      </c>
      <c r="W47" s="158" t="inlineStr">
        <is>
          <t>IRIS0002</t>
        </is>
      </c>
      <c r="X47" s="158" t="inlineStr">
        <is>
          <t>Employee</t>
        </is>
      </c>
      <c r="Y47" s="158" t="inlineStr">
        <is>
          <t>Active</t>
        </is>
      </c>
      <c r="Z47" s="158" t="inlineStr">
        <is>
          <t>Deepta Rangarajan</t>
        </is>
      </c>
      <c r="AA47" s="245" t="n">
        <v>38200</v>
      </c>
      <c r="AB47" s="158" t="inlineStr">
        <is>
          <t>COO, Product Sponsor · Carbon</t>
        </is>
      </c>
      <c r="AC47" s="158" t="inlineStr">
        <is>
          <t>MBA</t>
        </is>
      </c>
      <c r="AD47" s="158" t="inlineStr">
        <is>
          <t>-</t>
        </is>
      </c>
      <c r="AE47" s="158" t="inlineStr">
        <is>
          <t>N</t>
        </is>
      </c>
      <c r="AF47" s="158" t="inlineStr">
        <is>
          <t>Manager</t>
        </is>
      </c>
      <c r="AG47" s="158" t="inlineStr">
        <is>
          <t>10 years, 0 months, 0 days</t>
        </is>
      </c>
      <c r="AH47" s="158" t="inlineStr">
        <is>
          <t>22 years, 0 months, 24 days</t>
        </is>
      </c>
      <c r="AI47" s="158" t="inlineStr">
        <is>
          <t>Corporate</t>
        </is>
      </c>
      <c r="AJ47" s="158" t="inlineStr">
        <is>
          <t>Corporate</t>
        </is>
      </c>
      <c r="AK47" s="158" t="inlineStr">
        <is>
          <t>Management</t>
        </is>
      </c>
      <c r="AL47" s="158" t="inlineStr">
        <is>
          <t>Management</t>
        </is>
      </c>
      <c r="AM47" s="158" t="inlineStr">
        <is>
          <t>No</t>
        </is>
      </c>
      <c r="AN47" s="158" t="inlineStr">
        <is>
          <t>Management</t>
        </is>
      </c>
      <c r="AO47" s="158" t="inlineStr">
        <is>
          <t>Management</t>
        </is>
      </c>
      <c r="AP47" s="158" t="inlineStr">
        <is>
          <t>Non-technical</t>
        </is>
      </c>
      <c r="AQ47" s="158" t="n">
        <v>0</v>
      </c>
      <c r="AR47" s="158" t="inlineStr">
        <is>
          <t>E-Top management</t>
        </is>
      </c>
      <c r="AS47" s="158" t="n"/>
      <c r="AT47" s="158" t="n"/>
      <c r="AU47" s="158" t="n"/>
      <c r="AV47" s="158" t="n"/>
      <c r="AW47" s="158" t="n"/>
      <c r="AX47" s="158" t="n"/>
      <c r="AY47" s="158" t="n"/>
      <c r="AZ47" s="158" t="n"/>
      <c r="BA47" s="158" t="n"/>
      <c r="BB47" s="158" t="n"/>
      <c r="BC47" s="158" t="n"/>
      <c r="BD47" s="158" t="n"/>
      <c r="BE47" s="158" t="n"/>
      <c r="BF47" s="158" t="n"/>
      <c r="BG47" s="158" t="n"/>
      <c r="BH47" s="158" t="n"/>
      <c r="BI47" s="158" t="n"/>
      <c r="BJ47" s="158" t="n"/>
      <c r="BK47" s="158" t="n"/>
      <c r="BL47" s="158" t="n"/>
      <c r="BM47" s="158" t="n"/>
      <c r="BN47" s="158" t="n"/>
      <c r="BO47" s="158" t="n"/>
      <c r="BP47" s="158" t="n"/>
      <c r="BQ47" s="158" t="n"/>
      <c r="BR47" s="158" t="n"/>
      <c r="BS47" s="158" t="n"/>
      <c r="BT47" s="158" t="n"/>
      <c r="BU47" s="158" t="n"/>
      <c r="BV47" s="158" t="n"/>
      <c r="BW47" s="158" t="n"/>
      <c r="BX47" s="158" t="n"/>
      <c r="BY47" s="158" t="n"/>
      <c r="BZ47" s="158" t="n"/>
      <c r="CA47" s="158" t="n"/>
      <c r="CB47" s="158" t="n"/>
      <c r="CC47" s="158" t="n"/>
      <c r="CD47" s="158" t="n"/>
      <c r="CE47" s="158" t="n"/>
      <c r="CF47" s="158" t="n"/>
      <c r="CG47" s="158" t="n"/>
    </row>
    <row r="48" ht="64" customHeight="1">
      <c r="A48" s="109" t="inlineStr">
        <is>
          <t>IRIS2200</t>
        </is>
      </c>
      <c r="B48" s="111" t="inlineStr">
        <is>
          <t>Barsha Gloria Gomes</t>
        </is>
      </c>
      <c r="C48" s="111" t="inlineStr">
        <is>
          <t>Marketing</t>
        </is>
      </c>
      <c r="D48" s="115" t="inlineStr">
        <is>
          <t>Manager-Content</t>
        </is>
      </c>
      <c r="E48" s="115" t="inlineStr">
        <is>
          <t>Senior Content Marketing Specialist</t>
        </is>
      </c>
      <c r="F48" s="111" t="inlineStr">
        <is>
          <t>L5 – Manager</t>
        </is>
      </c>
      <c r="G48" s="27" t="inlineStr">
        <is>
          <t>B2</t>
        </is>
      </c>
      <c r="H48" s="144" t="inlineStr">
        <is>
          <t>• Same level</t>
        </is>
      </c>
      <c r="I48" s="111" t="inlineStr">
        <is>
          <t>Marketing &amp; Communications</t>
        </is>
      </c>
      <c r="J48" s="111" t="inlineStr">
        <is>
          <t>Content Marketing</t>
        </is>
      </c>
      <c r="K48" s="111" t="inlineStr"/>
      <c r="L48" s="111" t="n">
        <v>18</v>
      </c>
      <c r="M48" s="113" t="inlineStr">
        <is>
          <t>P4 / M3</t>
        </is>
      </c>
      <c r="N48" s="114" t="inlineStr">
        <is>
          <t>Senior / Manager</t>
        </is>
      </c>
      <c r="O48" s="114" t="inlineStr">
        <is>
          <t>4–5</t>
        </is>
      </c>
      <c r="P48" s="114" t="inlineStr">
        <is>
          <t>6–9 yrs</t>
        </is>
      </c>
      <c r="Q48" s="114" t="inlineStr">
        <is>
          <t>7–10 · 6–11</t>
        </is>
      </c>
      <c r="R48" s="114" t="inlineStr">
        <is>
          <t>Senior Marketing Specialist</t>
        </is>
      </c>
      <c r="S48" s="114" t="inlineStr">
        <is>
          <t>IRIS Vs Market Benchmark — CIM proficiency scale: 3–4 · IRIS Vs Competitor Benchmark — SaaS marketing ladder: Marketing Manager</t>
        </is>
      </c>
      <c r="T48" s="114" t="inlineStr">
        <is>
          <t>CIM Global Professional Marketing Framework — proficiency Aware → Active learner → Able → Accomplished → Authoritative</t>
        </is>
      </c>
      <c r="U48" s="114" t="inlineStr">
        <is>
          <t>Core 3 · Future 3 · Functional 4 · Leadership 2</t>
        </is>
      </c>
      <c r="V48" s="157" t="n">
        <v>297</v>
      </c>
      <c r="W48" s="158" t="inlineStr">
        <is>
          <t>IRIS2200</t>
        </is>
      </c>
      <c r="X48" s="158" t="inlineStr">
        <is>
          <t>Employee</t>
        </is>
      </c>
      <c r="Y48" s="158" t="inlineStr">
        <is>
          <t>Active</t>
        </is>
      </c>
      <c r="Z48" s="158" t="inlineStr">
        <is>
          <t>Barsha Gloria Gomes</t>
        </is>
      </c>
      <c r="AA48" s="245" t="n">
        <v>45225</v>
      </c>
      <c r="AB48" s="158" t="inlineStr">
        <is>
          <t>Manager-Content</t>
        </is>
      </c>
      <c r="AC48" s="158" t="inlineStr">
        <is>
          <t>MA</t>
        </is>
      </c>
      <c r="AD48" s="158" t="inlineStr">
        <is>
          <t>Abhilash Menon</t>
        </is>
      </c>
      <c r="AE48" s="158" t="inlineStr">
        <is>
          <t>N-4</t>
        </is>
      </c>
      <c r="AF48" s="158" t="inlineStr">
        <is>
          <t>Individual Contributor</t>
        </is>
      </c>
      <c r="AG48" s="158" t="inlineStr">
        <is>
          <t>7 years, 0 months, 0 days</t>
        </is>
      </c>
      <c r="AH48" s="158" t="inlineStr">
        <is>
          <t>2 years, 9 months, 30 days</t>
        </is>
      </c>
      <c r="AI48" s="158" t="inlineStr">
        <is>
          <t>Corporate Marketing</t>
        </is>
      </c>
      <c r="AJ48" s="158" t="inlineStr">
        <is>
          <t>Corporate - Corporate Marketing</t>
        </is>
      </c>
      <c r="AK48" s="158" t="inlineStr">
        <is>
          <t>Marketing</t>
        </is>
      </c>
      <c r="AL48" s="158" t="inlineStr">
        <is>
          <t>Marketing</t>
        </is>
      </c>
      <c r="AM48" s="158" t="inlineStr">
        <is>
          <t>No</t>
        </is>
      </c>
      <c r="AN48" s="158" t="inlineStr">
        <is>
          <t>Sales, Marketing &amp; Support</t>
        </is>
      </c>
      <c r="AO48" s="158" t="inlineStr">
        <is>
          <t>Content Writing</t>
        </is>
      </c>
      <c r="AP48" s="158" t="inlineStr">
        <is>
          <t>Non-technical</t>
        </is>
      </c>
      <c r="AQ48" s="158" t="n">
        <v>20</v>
      </c>
      <c r="AR48" s="158" t="inlineStr">
        <is>
          <t>Covered</t>
        </is>
      </c>
      <c r="AS48" s="158" t="inlineStr">
        <is>
          <t>IRIS2200</t>
        </is>
      </c>
      <c r="AT48" s="158" t="inlineStr">
        <is>
          <t>Employee</t>
        </is>
      </c>
      <c r="AU48" s="158" t="inlineStr">
        <is>
          <t>Active</t>
        </is>
      </c>
      <c r="AV48" s="158" t="inlineStr">
        <is>
          <t>Barsha Gloria Gomes</t>
        </is>
      </c>
      <c r="AW48" s="159" t="n">
        <v>45225</v>
      </c>
      <c r="AX48" s="158" t="inlineStr">
        <is>
          <t>Manager-Content</t>
        </is>
      </c>
      <c r="AY48" s="158" t="inlineStr">
        <is>
          <t>Marketing &amp; Communications</t>
        </is>
      </c>
      <c r="AZ48" s="158" t="inlineStr">
        <is>
          <t>Content Marketing</t>
        </is>
      </c>
      <c r="BA48" s="158" t="inlineStr">
        <is>
          <t>Manager-Content</t>
        </is>
      </c>
      <c r="BB48" s="158" t="inlineStr">
        <is>
          <t>L5 – Manager</t>
        </is>
      </c>
      <c r="BC48" s="158" t="inlineStr">
        <is>
          <t>MA</t>
        </is>
      </c>
      <c r="BD48" s="158" t="inlineStr">
        <is>
          <t>Arup Ganguly</t>
        </is>
      </c>
      <c r="BE48" s="158" t="inlineStr">
        <is>
          <t>N-2</t>
        </is>
      </c>
      <c r="BF48" s="158" t="inlineStr">
        <is>
          <t>Individual Contributor</t>
        </is>
      </c>
      <c r="BG48" s="158" t="inlineStr">
        <is>
          <t>7 years, 0 months, 0 days</t>
        </is>
      </c>
      <c r="BH48" s="158" t="inlineStr">
        <is>
          <t>2 years, 7 months, 25 days</t>
        </is>
      </c>
      <c r="BI48" s="158" t="inlineStr">
        <is>
          <t>9 years, 7 months, 25 days</t>
        </is>
      </c>
      <c r="BJ48" s="158" t="inlineStr">
        <is>
          <t>Corporate Marketing</t>
        </is>
      </c>
      <c r="BK48" s="158" t="inlineStr">
        <is>
          <t>Others - Corporate Marketing</t>
        </is>
      </c>
      <c r="BL48" s="158" t="inlineStr">
        <is>
          <t>Marketing</t>
        </is>
      </c>
      <c r="BM48" s="158" t="inlineStr">
        <is>
          <t>Marketing</t>
        </is>
      </c>
      <c r="BN48" s="158" t="inlineStr">
        <is>
          <t>No</t>
        </is>
      </c>
      <c r="BO48" s="158" t="inlineStr">
        <is>
          <t>Sales, Marketing &amp; Support</t>
        </is>
      </c>
      <c r="BP48" s="158" t="inlineStr">
        <is>
          <t>Content Writing</t>
        </is>
      </c>
      <c r="BQ48" s="158" t="inlineStr">
        <is>
          <t>Non-technical</t>
        </is>
      </c>
      <c r="BR48" s="158" t="inlineStr">
        <is>
          <t>Remote- Outside Mumbai</t>
        </is>
      </c>
      <c r="BS48" s="158" t="inlineStr">
        <is>
          <t>Publish a minimum of 4 blog posts per month · 12 per quarter adhering to the editorial calendar with ≥90% on-time delivery.
Deliver ≥3 long-form thought leadership assets per quarter · whitepapers, executive POVs, research reports with stakeholder sign-off in ≤2 revision cycles.
Achieve ≥10% quarter-over-quarter growth in organic search traffic to content pages, measured via GA4.
Maintain ≥15 target keywords ranking on Google Page 1 · positions 1–10 by quarter-end, tracked via Search Console.
Produce ≥30 total content assets per quarter across all formats · blogs, web copy, social posts, case studies, newsletters with 100% brand and factual accuracy on internal audit.
Coordinate SME reviews and obtain sign-off within ≤5 business days average turnaround per content piece.</t>
        </is>
      </c>
      <c r="BT48" s="158"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U48" s="158" t="inlineStr">
        <is>
          <r>
            <rPr>
              <rFont val="Calibri"/>
              <b val="1"/>
              <sz val="10"/>
            </rPr>
            <t>Q1:</t>
          </r>
          <r>
            <rPr>
              <rFont val="Calibri"/>
              <sz val="10"/>
            </rPr>
            <t xml:space="preserve"> Deliver committed marketing/content calendar with &gt;=90% on-time publishing
</t>
          </r>
          <r>
            <rPr>
              <rFont val="Calibri"/>
              <b val="1"/>
              <sz val="10"/>
            </rPr>
            <t>Q1:</t>
          </r>
          <r>
            <rPr>
              <rFont val="Calibri"/>
              <sz val="10"/>
            </rPr>
            <t xml:space="preserve"> Meet campaign KPIs · leads/MQLs/engagement at &gt;=90% of targets
</t>
          </r>
          <r>
            <rPr>
              <rFont val="Calibri"/>
              <b val="1"/>
              <sz val="10"/>
            </rPr>
            <t>Q1:</t>
          </r>
          <r>
            <rPr>
              <rFont val="Calibri"/>
              <sz val="10"/>
            </rPr>
            <t xml:space="preserve"> Grow owned channel metric · traffic / followers / engagement by &gt;=15%
</t>
          </r>
          <r>
            <rPr>
              <rFont val="Calibri"/>
              <b val="1"/>
              <sz val="10"/>
            </rPr>
            <t>Q1:</t>
          </r>
          <r>
            <rPr>
              <rFont val="Calibri"/>
              <sz val="10"/>
            </rPr>
            <t xml:space="preserve"> Keep creative/content rework cycles to &lt;=2 per deliverable on average</t>
          </r>
        </is>
      </c>
      <c r="BV48" s="158" t="n">
        <v>3</v>
      </c>
      <c r="BW48" s="158" t="n"/>
      <c r="BX48" s="158" t="n"/>
      <c r="BY48" s="158" t="n">
        <v>3</v>
      </c>
      <c r="BZ48" s="158" t="inlineStr">
        <is>
          <t>Medium</t>
        </is>
      </c>
      <c r="CA48" s="158" t="inlineStr">
        <is>
          <t>Core Contributor</t>
        </is>
      </c>
      <c r="CB48" s="158" t="inlineStr">
        <is>
          <t>No</t>
        </is>
      </c>
      <c r="CC48" s="158" t="inlineStr">
        <is>
          <t>No</t>
        </is>
      </c>
      <c r="CD48" s="158" t="inlineStr">
        <is>
          <t>Yes</t>
        </is>
      </c>
      <c r="CE48" s="158" t="n"/>
      <c r="CF48" s="158" t="n"/>
      <c r="CG48" s="158" t="n"/>
    </row>
    <row r="49" ht="64" customHeight="1">
      <c r="A49" s="109" t="inlineStr">
        <is>
          <t>IRIS2307</t>
        </is>
      </c>
      <c r="B49" s="111" t="inlineStr">
        <is>
          <t>Abhishek Sharma</t>
        </is>
      </c>
      <c r="C49" s="111" t="inlineStr">
        <is>
          <t>Marketing</t>
        </is>
      </c>
      <c r="D49" s="111" t="inlineStr">
        <is>
          <t>Senior Designer</t>
        </is>
      </c>
      <c r="E49" s="111" t="inlineStr">
        <is>
          <t>Senior Designer</t>
        </is>
      </c>
      <c r="F49" s="111" t="inlineStr">
        <is>
          <t>L4 – Senior</t>
        </is>
      </c>
      <c r="G49" s="24" t="inlineStr">
        <is>
          <t>A3</t>
        </is>
      </c>
      <c r="H49" s="144" t="inlineStr">
        <is>
          <t>• Same level</t>
        </is>
      </c>
      <c r="I49" s="111" t="inlineStr">
        <is>
          <t>Design &amp; Creative</t>
        </is>
      </c>
      <c r="J49" s="111" t="inlineStr">
        <is>
          <t>Brand, Graphic &amp; Video Design</t>
        </is>
      </c>
      <c r="K49" s="111" t="inlineStr"/>
      <c r="L49" s="111" t="n">
        <v>20</v>
      </c>
      <c r="M49" s="113" t="inlineStr">
        <is>
          <t>P2</t>
        </is>
      </c>
      <c r="N49" s="114" t="inlineStr">
        <is>
          <t>Developing</t>
        </is>
      </c>
      <c r="O49" s="114" t="inlineStr">
        <is>
          <t>3 Apply</t>
        </is>
      </c>
      <c r="P49" s="114" t="inlineStr">
        <is>
          <t>2–4 yrs</t>
        </is>
      </c>
      <c r="Q49" s="114" t="inlineStr">
        <is>
          <t>3–5 · 2–5</t>
        </is>
      </c>
      <c r="R49" s="114" t="inlineStr">
        <is>
          <t>Designer</t>
        </is>
      </c>
      <c r="S49" s="114" t="inlineStr">
        <is>
          <t>IRIS Vs Competitor Benchmark — UX / design ladder: Designer</t>
        </is>
      </c>
      <c r="T49" s="114" t="inlineStr">
        <is>
          <t>UX career ladder Junior → Designer → Senior → Lead → Principal; WCAG accessibility</t>
        </is>
      </c>
      <c r="U49" s="114" t="inlineStr">
        <is>
          <t>Core 2 · Future 2 · Functional 3 · Leadership not scored</t>
        </is>
      </c>
      <c r="V49" s="157" t="n">
        <v>342</v>
      </c>
      <c r="W49" s="158" t="inlineStr">
        <is>
          <t>IRIS2307</t>
        </is>
      </c>
      <c r="X49" s="158" t="inlineStr">
        <is>
          <t>Employee</t>
        </is>
      </c>
      <c r="Y49" s="158" t="inlineStr">
        <is>
          <t>Active</t>
        </is>
      </c>
      <c r="Z49" s="158" t="inlineStr">
        <is>
          <t>Abhishek Sharma</t>
        </is>
      </c>
      <c r="AA49" s="245" t="n">
        <v>45551</v>
      </c>
      <c r="AB49" s="158" t="inlineStr">
        <is>
          <t>Senior Designer</t>
        </is>
      </c>
      <c r="AC49" s="158" t="inlineStr">
        <is>
          <t>HSC</t>
        </is>
      </c>
      <c r="AD49" s="158" t="inlineStr">
        <is>
          <t>Abhilash Menon</t>
        </is>
      </c>
      <c r="AE49" s="158" t="inlineStr">
        <is>
          <t>N-4</t>
        </is>
      </c>
      <c r="AF49" s="158" t="inlineStr">
        <is>
          <t>Individual Contributor</t>
        </is>
      </c>
      <c r="AG49" s="158" t="inlineStr">
        <is>
          <t>4 years, 0 months, 0 days</t>
        </is>
      </c>
      <c r="AH49" s="158" t="inlineStr">
        <is>
          <t>1 years, 11 months, 9 days</t>
        </is>
      </c>
      <c r="AI49" s="158" t="inlineStr">
        <is>
          <t>Corporate Marketing</t>
        </is>
      </c>
      <c r="AJ49" s="158" t="inlineStr">
        <is>
          <t>Corporate - Corporate Marketing</t>
        </is>
      </c>
      <c r="AK49" s="158" t="inlineStr">
        <is>
          <t>Marketing</t>
        </is>
      </c>
      <c r="AL49" s="158" t="inlineStr">
        <is>
          <t>Marketing</t>
        </is>
      </c>
      <c r="AM49" s="158" t="inlineStr">
        <is>
          <t>No</t>
        </is>
      </c>
      <c r="AN49" s="158" t="inlineStr">
        <is>
          <t>Sales, Marketing &amp; Support</t>
        </is>
      </c>
      <c r="AO49" s="158" t="inlineStr">
        <is>
          <t>Graphic design</t>
        </is>
      </c>
      <c r="AP49" s="158" t="inlineStr">
        <is>
          <t>Non-technical</t>
        </is>
      </c>
      <c r="AQ49" s="158" t="n">
        <v>20</v>
      </c>
      <c r="AR49" s="158" t="inlineStr">
        <is>
          <t>Covered</t>
        </is>
      </c>
      <c r="AS49" s="158" t="inlineStr">
        <is>
          <t>IRIS2307</t>
        </is>
      </c>
      <c r="AT49" s="158" t="inlineStr">
        <is>
          <t>Employee</t>
        </is>
      </c>
      <c r="AU49" s="158" t="inlineStr">
        <is>
          <t>Active</t>
        </is>
      </c>
      <c r="AV49" s="158" t="inlineStr">
        <is>
          <t>Abhishek Sharma</t>
        </is>
      </c>
      <c r="AW49" s="159" t="n">
        <v>45551</v>
      </c>
      <c r="AX49" s="158" t="inlineStr">
        <is>
          <t>Senior Designer</t>
        </is>
      </c>
      <c r="AY49" s="158" t="inlineStr">
        <is>
          <t>Design &amp; Creative</t>
        </is>
      </c>
      <c r="AZ49" s="158" t="inlineStr">
        <is>
          <t>Graphic / Visual Design</t>
        </is>
      </c>
      <c r="BA49" s="158" t="inlineStr">
        <is>
          <t>Senior Designer</t>
        </is>
      </c>
      <c r="BB49" s="158" t="inlineStr">
        <is>
          <t>L4 – Senior</t>
        </is>
      </c>
      <c r="BC49" s="158" t="inlineStr">
        <is>
          <t>HSC</t>
        </is>
      </c>
      <c r="BD49" s="158" t="inlineStr">
        <is>
          <t>Arup Ganguly</t>
        </is>
      </c>
      <c r="BE49" s="158" t="inlineStr">
        <is>
          <t>N-2</t>
        </is>
      </c>
      <c r="BF49" s="158" t="inlineStr">
        <is>
          <t>Individual Contributor</t>
        </is>
      </c>
      <c r="BG49" s="158" t="inlineStr">
        <is>
          <t>4 years, 0 months, 0 days</t>
        </is>
      </c>
      <c r="BH49" s="158" t="inlineStr">
        <is>
          <t>1 years, 9 months, 4 days</t>
        </is>
      </c>
      <c r="BI49" s="158" t="inlineStr">
        <is>
          <t>5 years, 9 months, 4 days</t>
        </is>
      </c>
      <c r="BJ49" s="158" t="inlineStr">
        <is>
          <t>Corporate Marketing</t>
        </is>
      </c>
      <c r="BK49" s="158" t="inlineStr">
        <is>
          <t>Others - Corporate Marketing</t>
        </is>
      </c>
      <c r="BL49" s="158" t="inlineStr">
        <is>
          <t>Marketing</t>
        </is>
      </c>
      <c r="BM49" s="158" t="inlineStr">
        <is>
          <t>Marketing</t>
        </is>
      </c>
      <c r="BN49" s="158" t="inlineStr">
        <is>
          <t>No</t>
        </is>
      </c>
      <c r="BO49" s="158" t="inlineStr">
        <is>
          <t>Sales, Marketing &amp; Support</t>
        </is>
      </c>
      <c r="BP49" s="158" t="inlineStr">
        <is>
          <t>Graphic design</t>
        </is>
      </c>
      <c r="BQ49" s="158" t="inlineStr">
        <is>
          <t>Non-technical</t>
        </is>
      </c>
      <c r="BR49" s="158" t="inlineStr">
        <is>
          <t>Remote - Mumbai</t>
        </is>
      </c>
      <c r="BS49" s="158" t="inlineStr">
        <is>
          <t>Deliver all campaign creative assets with ≥95% on-time delivery against committed deadlines, tracked via the creative request tracker.
Produce ≥60 creative deliverables per quarter across static, animated, video, and document formats.
Deliver ≥6 video assets per quarter · product demos, explainers, social clips, motion graphics in final published form.
Achieve 100% brand guideline compliance across all published creatives, verified through quarterly brand audit.
Complete ≥10 website design tasks per quarter · landing pages, banners, UI elements within agreed SLA.
Maintain ≥85% first- or second-pass approval rate on creative assets, minimizing revision cycles to ≤2 per deliverable.</t>
        </is>
      </c>
      <c r="BT49" s="158"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U49" s="158" t="inlineStr">
        <is>
          <r>
            <rPr>
              <rFont val="Calibri"/>
              <b val="1"/>
              <sz val="10"/>
            </rPr>
            <t>Q1:</t>
          </r>
          <r>
            <rPr>
              <rFont val="Calibri"/>
              <sz val="10"/>
            </rPr>
            <t xml:space="preserve"> Deliver committed marketing/content calendar with &gt;=90% on-time publishing
</t>
          </r>
          <r>
            <rPr>
              <rFont val="Calibri"/>
              <b val="1"/>
              <sz val="10"/>
            </rPr>
            <t>Q1:</t>
          </r>
          <r>
            <rPr>
              <rFont val="Calibri"/>
              <sz val="10"/>
            </rPr>
            <t xml:space="preserve"> Meet campaign KPIs · leads/MQLs/engagement at &gt;=90% of targets
</t>
          </r>
          <r>
            <rPr>
              <rFont val="Calibri"/>
              <b val="1"/>
              <sz val="10"/>
            </rPr>
            <t>Q1:</t>
          </r>
          <r>
            <rPr>
              <rFont val="Calibri"/>
              <sz val="10"/>
            </rPr>
            <t xml:space="preserve"> Grow owned channel metric · traffic / followers / engagement by &gt;=15%
</t>
          </r>
          <r>
            <rPr>
              <rFont val="Calibri"/>
              <b val="1"/>
              <sz val="10"/>
            </rPr>
            <t>Q1:</t>
          </r>
          <r>
            <rPr>
              <rFont val="Calibri"/>
              <sz val="10"/>
            </rPr>
            <t xml:space="preserve"> Keep creative/content rework cycles to &lt;=2 per deliverable on average</t>
          </r>
        </is>
      </c>
      <c r="BV49" s="158" t="n">
        <v>3</v>
      </c>
      <c r="BW49" s="158" t="n"/>
      <c r="BX49" s="158" t="inlineStr">
        <is>
          <t>No</t>
        </is>
      </c>
      <c r="BY49" s="158" t="n">
        <v>3</v>
      </c>
      <c r="BZ49" s="158" t="inlineStr">
        <is>
          <t>Medium</t>
        </is>
      </c>
      <c r="CA49" s="158" t="inlineStr">
        <is>
          <t>Reliable Specialist</t>
        </is>
      </c>
      <c r="CB49" s="158" t="inlineStr">
        <is>
          <t>No</t>
        </is>
      </c>
      <c r="CC49" s="158" t="inlineStr">
        <is>
          <t>No</t>
        </is>
      </c>
      <c r="CD49" s="158" t="inlineStr">
        <is>
          <t>Yes</t>
        </is>
      </c>
      <c r="CE49" s="158" t="n"/>
      <c r="CF49" s="158" t="inlineStr">
        <is>
          <t>Creative Workshops in the orld of AI , brand &amp; creative best practices. AI tools for design</t>
        </is>
      </c>
      <c r="CG49" s="158" t="n"/>
    </row>
    <row r="50" ht="64" customHeight="1">
      <c r="A50" s="109" t="inlineStr">
        <is>
          <t>IRIS2190</t>
        </is>
      </c>
      <c r="B50" s="111" t="inlineStr">
        <is>
          <t>Esther Kanagaselvam D</t>
        </is>
      </c>
      <c r="C50" s="111" t="inlineStr">
        <is>
          <t>Marketing</t>
        </is>
      </c>
      <c r="D50" s="115" t="inlineStr">
        <is>
          <t>Executive Lead Generation and Database</t>
        </is>
      </c>
      <c r="E50" s="115" t="inlineStr">
        <is>
          <t>Senior Marketing Operations Associate</t>
        </is>
      </c>
      <c r="F50" s="115" t="inlineStr">
        <is>
          <t>L5 – Lead · IC</t>
        </is>
      </c>
      <c r="G50" s="115" t="inlineStr">
        <is>
          <t>A3</t>
        </is>
      </c>
      <c r="H50" s="148" t="inlineStr">
        <is>
          <t>▼ Down · protected</t>
        </is>
      </c>
      <c r="I50" s="111" t="inlineStr">
        <is>
          <t>Marketing &amp; Communications</t>
        </is>
      </c>
      <c r="J50" s="111" t="inlineStr">
        <is>
          <t>Marketing Operations &amp; Automation</t>
        </is>
      </c>
      <c r="K50" s="111" t="inlineStr"/>
      <c r="L50" s="111" t="n">
        <v>20</v>
      </c>
      <c r="M50" s="113" t="inlineStr">
        <is>
          <t>P2</t>
        </is>
      </c>
      <c r="N50" s="114" t="inlineStr">
        <is>
          <t>Developing</t>
        </is>
      </c>
      <c r="O50" s="114" t="inlineStr">
        <is>
          <t>3 Apply</t>
        </is>
      </c>
      <c r="P50" s="114" t="inlineStr">
        <is>
          <t>2–4 yrs</t>
        </is>
      </c>
      <c r="Q50" s="114" t="inlineStr">
        <is>
          <t>3–5 · 2–5</t>
        </is>
      </c>
      <c r="R50" s="114" t="inlineStr">
        <is>
          <t>Marketing Executive</t>
        </is>
      </c>
      <c r="S50" s="114" t="inlineStr">
        <is>
          <t>IRIS Vs Market Benchmark — CIM proficiency scale: 2–3 · IRIS Vs Competitor Benchmark — SaaS marketing ladder: Marketing Specialist</t>
        </is>
      </c>
      <c r="T50" s="114" t="inlineStr">
        <is>
          <t>CIM Global Professional Marketing Framework — proficiency Aware → Active learner → Able → Accomplished → Authoritative</t>
        </is>
      </c>
      <c r="U50" s="114" t="inlineStr">
        <is>
          <t>Core 2 · Future 2 · Functional 3 · Leadership not scored</t>
        </is>
      </c>
      <c r="V50" s="157" t="n">
        <v>295</v>
      </c>
      <c r="W50" s="158" t="inlineStr">
        <is>
          <t>IRIS2190</t>
        </is>
      </c>
      <c r="X50" s="158" t="inlineStr">
        <is>
          <t>Employee</t>
        </is>
      </c>
      <c r="Y50" s="158" t="inlineStr">
        <is>
          <t>Active</t>
        </is>
      </c>
      <c r="Z50" s="158" t="inlineStr">
        <is>
          <t>Esther Kanagaselvam D</t>
        </is>
      </c>
      <c r="AA50" s="245" t="n">
        <v>45194</v>
      </c>
      <c r="AB50" s="158" t="inlineStr">
        <is>
          <t>Executive Lead Generation and Database</t>
        </is>
      </c>
      <c r="AC50" s="158" t="inlineStr">
        <is>
          <t>B.E</t>
        </is>
      </c>
      <c r="AD50" s="158" t="inlineStr">
        <is>
          <t>Abhilash Menon</t>
        </is>
      </c>
      <c r="AE50" s="158" t="inlineStr">
        <is>
          <t>N-4</t>
        </is>
      </c>
      <c r="AF50" s="158" t="inlineStr">
        <is>
          <t>Individual Contributor</t>
        </is>
      </c>
      <c r="AG50" s="158" t="inlineStr">
        <is>
          <t>2 years, 6 months, 0 days</t>
        </is>
      </c>
      <c r="AH50" s="158" t="inlineStr">
        <is>
          <t>2 years, 11 months, 0 days</t>
        </is>
      </c>
      <c r="AI50" s="158" t="inlineStr">
        <is>
          <t>Corporate Marketing</t>
        </is>
      </c>
      <c r="AJ50" s="158" t="inlineStr">
        <is>
          <t>Corporate - Corporate Marketing</t>
        </is>
      </c>
      <c r="AK50" s="158" t="inlineStr">
        <is>
          <t>Marketing</t>
        </is>
      </c>
      <c r="AL50" s="158" t="inlineStr">
        <is>
          <t>Marketing</t>
        </is>
      </c>
      <c r="AM50" s="158" t="inlineStr">
        <is>
          <t>No</t>
        </is>
      </c>
      <c r="AN50" s="158" t="inlineStr">
        <is>
          <t>Sales, Marketing &amp; Support</t>
        </is>
      </c>
      <c r="AO50" s="158" t="inlineStr">
        <is>
          <t>Marketing</t>
        </is>
      </c>
      <c r="AP50" s="158" t="inlineStr">
        <is>
          <t>Non-technical</t>
        </is>
      </c>
      <c r="AQ50" s="158" t="n">
        <v>20</v>
      </c>
      <c r="AR50" s="158" t="inlineStr">
        <is>
          <t>Covered</t>
        </is>
      </c>
      <c r="AS50" s="158" t="inlineStr">
        <is>
          <t>IRIS2190</t>
        </is>
      </c>
      <c r="AT50" s="158" t="inlineStr">
        <is>
          <t>Employee</t>
        </is>
      </c>
      <c r="AU50" s="158" t="inlineStr">
        <is>
          <t>Active</t>
        </is>
      </c>
      <c r="AV50" s="158" t="inlineStr">
        <is>
          <t>Esther Kanagaselvam D</t>
        </is>
      </c>
      <c r="AW50" s="159" t="n">
        <v>45194</v>
      </c>
      <c r="AX50" s="158" t="inlineStr">
        <is>
          <t>Executive Lead Generation and Database</t>
        </is>
      </c>
      <c r="AY50" s="158" t="inlineStr">
        <is>
          <t>Data &amp; Analytics</t>
        </is>
      </c>
      <c r="AZ50" s="158" t="inlineStr">
        <is>
          <t>Data &amp; Analytics</t>
        </is>
      </c>
      <c r="BA50" s="158" t="inlineStr">
        <is>
          <t>Executive Lead Generation and Database</t>
        </is>
      </c>
      <c r="BB50" s="158" t="inlineStr">
        <is>
          <t>L5 – Lead · IC</t>
        </is>
      </c>
      <c r="BC50" s="158" t="inlineStr">
        <is>
          <t>B.E</t>
        </is>
      </c>
      <c r="BD50" s="158" t="inlineStr">
        <is>
          <t>Arup Ganguly</t>
        </is>
      </c>
      <c r="BE50" s="158" t="inlineStr">
        <is>
          <t>N-2</t>
        </is>
      </c>
      <c r="BF50" s="158" t="inlineStr">
        <is>
          <t>Individual Contributor</t>
        </is>
      </c>
      <c r="BG50" s="158" t="inlineStr">
        <is>
          <t>2 years, 6 months, 0 days</t>
        </is>
      </c>
      <c r="BH50" s="158" t="inlineStr">
        <is>
          <t>2 years, 8 months, 26 days</t>
        </is>
      </c>
      <c r="BI50" s="158" t="inlineStr">
        <is>
          <t>5 years, 2 months, 26 days</t>
        </is>
      </c>
      <c r="BJ50" s="158" t="inlineStr">
        <is>
          <t>Corporate Marketing</t>
        </is>
      </c>
      <c r="BK50" s="158" t="inlineStr">
        <is>
          <t>Others - Corporate Marketing</t>
        </is>
      </c>
      <c r="BL50" s="158" t="inlineStr">
        <is>
          <t>Marketing</t>
        </is>
      </c>
      <c r="BM50" s="158" t="inlineStr">
        <is>
          <t>Marketing</t>
        </is>
      </c>
      <c r="BN50" s="158" t="inlineStr">
        <is>
          <t>No</t>
        </is>
      </c>
      <c r="BO50" s="158" t="inlineStr">
        <is>
          <t>Sales, Marketing &amp; Support</t>
        </is>
      </c>
      <c r="BP50" s="158" t="inlineStr">
        <is>
          <t>Marketing</t>
        </is>
      </c>
      <c r="BQ50" s="158" t="inlineStr">
        <is>
          <t>Non-technical</t>
        </is>
      </c>
      <c r="BR50" s="158" t="inlineStr">
        <is>
          <t>Remote- Outside Mumbai</t>
        </is>
      </c>
      <c r="BS50" s="158" t="inlineStr">
        <is>
          <t>Maintain ≥98% lead routing accuracy with all leads correctly assigned to the appropriate sales owner within defined SLA, tracked in Zoho CRM.
Achieve ≥95% CRM data quality score — no duplicates, complete required fields, valid formats — verified through monthly data audits.
Publish 100% of scheduled social media posts on or before the planned date and time, per the content calendar.
Deliver all EDM campaigns with ≥25% average open rate and ≥12% click-to-open rate across the quarter.
Complete all campaign operations tasks · list builds, segmentation, email setup, UTM tagging with ≥90% SLA adherence.
Deploy ≥3 new marketing automation workflows or integrations per quarter and document ≥2 CRM process improvements.</t>
        </is>
      </c>
      <c r="BT50" s="158" t="inlineStr">
        <is>
          <t>1. Generate assigned number of qualified leads / SQLs per month · meet 100% of target
2. Maintain outbound activity volume · calls/emails to agreed daily/weekly cadence
3. Achieve meeting-booked conversion of &gt;=10% from qualified outreach
4. Keep CRM data accuracy and lead handoff documentation at 100%
5. Contribute pipeline value meeting assigned sourced-pipeline target
6. Maintain &lt;=1 business-day response SLA on inbound enquiries</t>
        </is>
      </c>
      <c r="BU50" s="158" t="inlineStr">
        <is>
          <r>
            <rPr>
              <rFont val="Calibri"/>
              <b val="1"/>
              <sz val="10"/>
            </rPr>
            <t>Q1:</t>
          </r>
          <r>
            <rPr>
              <rFont val="Calibri"/>
              <sz val="10"/>
            </rPr>
            <t xml:space="preserve"> Generate assigned number of qualified leads / SQLs per month · meet 100% of target
</t>
          </r>
          <r>
            <rPr>
              <rFont val="Calibri"/>
              <b val="1"/>
              <sz val="10"/>
            </rPr>
            <t>Q1:</t>
          </r>
          <r>
            <rPr>
              <rFont val="Calibri"/>
              <sz val="10"/>
            </rPr>
            <t xml:space="preserve"> Maintain outbound activity volume · calls/emails to agreed daily/weekly cadence
</t>
          </r>
          <r>
            <rPr>
              <rFont val="Calibri"/>
              <b val="1"/>
              <sz val="10"/>
            </rPr>
            <t>Q1:</t>
          </r>
          <r>
            <rPr>
              <rFont val="Calibri"/>
              <sz val="10"/>
            </rPr>
            <t xml:space="preserve"> Achieve meeting-booked conversion of &gt;=10% from qualified outreach
</t>
          </r>
          <r>
            <rPr>
              <rFont val="Calibri"/>
              <b val="1"/>
              <sz val="10"/>
            </rPr>
            <t>Q1:</t>
          </r>
          <r>
            <rPr>
              <rFont val="Calibri"/>
              <sz val="10"/>
            </rPr>
            <t xml:space="preserve"> Keep CRM data accuracy and lead handoff documentation at 100%</t>
          </r>
        </is>
      </c>
      <c r="BV50" s="158" t="n">
        <v>2</v>
      </c>
      <c r="BW50" s="158" t="inlineStr">
        <is>
          <t>June</t>
        </is>
      </c>
      <c r="BX50" s="158" t="inlineStr">
        <is>
          <t>Yes</t>
        </is>
      </c>
      <c r="BY50" s="158" t="n">
        <v>2</v>
      </c>
      <c r="BZ50" s="158" t="inlineStr">
        <is>
          <t>Low</t>
        </is>
      </c>
      <c r="CA50" s="158" t="inlineStr">
        <is>
          <t>Performance Risk</t>
        </is>
      </c>
      <c r="CB50" s="158" t="inlineStr">
        <is>
          <t>No</t>
        </is>
      </c>
      <c r="CC50" s="158" t="inlineStr">
        <is>
          <t>No</t>
        </is>
      </c>
      <c r="CD50" s="158" t="inlineStr">
        <is>
          <t>No</t>
        </is>
      </c>
      <c r="CE50" s="158" t="inlineStr">
        <is>
          <t>In works</t>
        </is>
      </c>
      <c r="CF50" s="158" t="n"/>
      <c r="CG50" s="158" t="inlineStr">
        <is>
          <t>Working on a exit plan for her</t>
        </is>
      </c>
    </row>
    <row r="51" ht="64" customHeight="1">
      <c r="A51" s="109" t="inlineStr">
        <is>
          <t>IRIS1914</t>
        </is>
      </c>
      <c r="B51" s="111" t="inlineStr">
        <is>
          <t>Santosh Sharma</t>
        </is>
      </c>
      <c r="C51" s="111" t="inlineStr">
        <is>
          <t>Secretarial &amp; Legal</t>
        </is>
      </c>
      <c r="D51" s="115" t="inlineStr">
        <is>
          <t>Company Secretary</t>
        </is>
      </c>
      <c r="E51" s="115" t="inlineStr">
        <is>
          <t>Company Secretary – POD Lead</t>
        </is>
      </c>
      <c r="F51" s="115" t="inlineStr">
        <is>
          <t>Not in current mapping files</t>
        </is>
      </c>
      <c r="G51" s="115" t="inlineStr">
        <is>
          <t>C1</t>
        </is>
      </c>
      <c r="H51" s="117" t="inlineStr">
        <is>
          <t>● Newly mapped</t>
        </is>
      </c>
      <c r="I51" s="111" t="inlineStr">
        <is>
          <t>Administration, Legal &amp; Secretarial</t>
        </is>
      </c>
      <c r="J51" s="111" t="inlineStr">
        <is>
          <t>Company Secretarial &amp; Legal</t>
        </is>
      </c>
      <c r="K51" s="141" t="inlineStr">
        <is>
          <t>• Survey response or KRAs describing the work · nothing on file — Employee + manager</t>
        </is>
      </c>
      <c r="L51" s="111" t="n">
        <v>0</v>
      </c>
      <c r="M51" s="113" t="inlineStr">
        <is>
          <t>P6 / M5</t>
        </is>
      </c>
      <c r="N51" s="114" t="inlineStr">
        <is>
          <t>Principal / Director</t>
        </is>
      </c>
      <c r="O51" s="114" t="inlineStr">
        <is>
          <t>5–6</t>
        </is>
      </c>
      <c r="P51" s="114" t="inlineStr">
        <is>
          <t>10–14 yrs</t>
        </is>
      </c>
      <c r="Q51" s="114" t="inlineStr">
        <is>
          <t>12–16 · 12–18</t>
        </is>
      </c>
      <c r="R51" s="114" t="inlineStr">
        <is>
          <t>—</t>
        </is>
      </c>
      <c r="S51" s="114" t="inlineStr">
        <is>
          <t>IRIS Vs Competitor Benchmark — corporate services ladder: Company Secretary</t>
        </is>
      </c>
      <c r="T51" s="114" t="inlineStr">
        <is>
          <t>ICSI · Company Secretary; Companies Act 2013; IFMA · facilities; CIPS · procurement</t>
        </is>
      </c>
      <c r="U51" s="114" t="inlineStr">
        <is>
          <t>Core 4 · Future 4 · Functional 4 · Leadership 4</t>
        </is>
      </c>
      <c r="V51" s="157" t="n">
        <v>181</v>
      </c>
      <c r="W51" s="158" t="inlineStr">
        <is>
          <t>IRIS1914</t>
        </is>
      </c>
      <c r="X51" s="158" t="inlineStr">
        <is>
          <t>Employee</t>
        </is>
      </c>
      <c r="Y51" s="158" t="inlineStr">
        <is>
          <t>Active</t>
        </is>
      </c>
      <c r="Z51" s="158" t="inlineStr">
        <is>
          <t>Santosh Sharma</t>
        </is>
      </c>
      <c r="AA51" s="245" t="n">
        <v>44343</v>
      </c>
      <c r="AB51" s="158" t="inlineStr">
        <is>
          <t>Company Secretary</t>
        </is>
      </c>
      <c r="AC51" s="158" t="inlineStr">
        <is>
          <t>LLB</t>
        </is>
      </c>
      <c r="AD51" s="158" t="inlineStr">
        <is>
          <t>Balachandran K</t>
        </is>
      </c>
      <c r="AE51" s="158" t="inlineStr">
        <is>
          <t>N-1</t>
        </is>
      </c>
      <c r="AF51" s="158" t="inlineStr">
        <is>
          <t>Manager</t>
        </is>
      </c>
      <c r="AG51" s="158" t="inlineStr">
        <is>
          <t>10 years, 0 months, 0 days</t>
        </is>
      </c>
      <c r="AH51" s="158" t="inlineStr">
        <is>
          <t>5 years, 2 months, 29 days</t>
        </is>
      </c>
      <c r="AI51" s="158" t="inlineStr">
        <is>
          <t>Corporate</t>
        </is>
      </c>
      <c r="AJ51" s="158" t="inlineStr">
        <is>
          <t>Corporate</t>
        </is>
      </c>
      <c r="AK51" s="158" t="inlineStr">
        <is>
          <t>Secretarial &amp; Legal</t>
        </is>
      </c>
      <c r="AL51" s="158" t="inlineStr">
        <is>
          <t>Secretarial and Legal</t>
        </is>
      </c>
      <c r="AM51" s="158" t="inlineStr">
        <is>
          <t>No</t>
        </is>
      </c>
      <c r="AN51" s="158" t="inlineStr">
        <is>
          <t>General &amp; Admin</t>
        </is>
      </c>
      <c r="AO51" s="158" t="inlineStr">
        <is>
          <t>Secretarial and Legal</t>
        </is>
      </c>
      <c r="AP51" s="158" t="inlineStr">
        <is>
          <t>Non-technical</t>
        </is>
      </c>
      <c r="AQ51" s="158" t="n">
        <v>0</v>
      </c>
      <c r="AR51" s="158" t="inlineStr">
        <is>
          <t>E-Top management</t>
        </is>
      </c>
      <c r="AS51" s="158" t="n"/>
      <c r="AT51" s="158" t="n"/>
      <c r="AU51" s="158" t="n"/>
      <c r="AV51" s="158" t="n"/>
      <c r="AW51" s="158" t="n"/>
      <c r="AX51" s="158" t="n"/>
      <c r="AY51" s="158" t="n"/>
      <c r="AZ51" s="158" t="n"/>
      <c r="BA51" s="158" t="n"/>
      <c r="BB51" s="158" t="n"/>
      <c r="BC51" s="158" t="n"/>
      <c r="BD51" s="158" t="n"/>
      <c r="BE51" s="158" t="n"/>
      <c r="BF51" s="158" t="n"/>
      <c r="BG51" s="158" t="n"/>
      <c r="BH51" s="158" t="n"/>
      <c r="BI51" s="158" t="n"/>
      <c r="BJ51" s="158" t="n"/>
      <c r="BK51" s="158" t="n"/>
      <c r="BL51" s="158" t="n"/>
      <c r="BM51" s="158" t="n"/>
      <c r="BN51" s="158" t="n"/>
      <c r="BO51" s="158" t="n"/>
      <c r="BP51" s="158" t="n"/>
      <c r="BQ51" s="158" t="n"/>
      <c r="BR51" s="158" t="n"/>
      <c r="BS51" s="158" t="n"/>
      <c r="BT51" s="158" t="n"/>
      <c r="BU51" s="158" t="n"/>
      <c r="BV51" s="158" t="n"/>
      <c r="BW51" s="158" t="n"/>
      <c r="BX51" s="158" t="n"/>
      <c r="BY51" s="158" t="n"/>
      <c r="BZ51" s="158" t="n"/>
      <c r="CA51" s="158" t="n"/>
      <c r="CB51" s="158" t="n"/>
      <c r="CC51" s="158" t="n"/>
      <c r="CD51" s="158" t="n"/>
      <c r="CE51" s="158" t="n"/>
      <c r="CF51" s="158" t="n"/>
      <c r="CG51" s="158" t="n"/>
    </row>
    <row r="52" ht="64" customHeight="1">
      <c r="A52" s="109" t="inlineStr">
        <is>
          <t>IRIS2290</t>
        </is>
      </c>
      <c r="B52" s="111" t="inlineStr">
        <is>
          <t>Melita Suares</t>
        </is>
      </c>
      <c r="C52" s="111" t="inlineStr">
        <is>
          <t>Secretarial &amp; Legal</t>
        </is>
      </c>
      <c r="D52" s="115" t="inlineStr">
        <is>
          <t>Executive - Secretarial and Legal</t>
        </is>
      </c>
      <c r="E52" s="115" t="inlineStr">
        <is>
          <t>Senior Secretarial Executive</t>
        </is>
      </c>
      <c r="F52" s="115" t="inlineStr">
        <is>
          <t>Not in current mapping files</t>
        </is>
      </c>
      <c r="G52" s="115" t="inlineStr">
        <is>
          <t>A3</t>
        </is>
      </c>
      <c r="H52" s="117" t="inlineStr">
        <is>
          <t>● Newly mapped</t>
        </is>
      </c>
      <c r="I52" s="111" t="inlineStr">
        <is>
          <t>Administration, Legal &amp; Secretarial</t>
        </is>
      </c>
      <c r="J52" s="111" t="inlineStr">
        <is>
          <t>Company Secretarial &amp; Legal</t>
        </is>
      </c>
      <c r="K52" s="111" t="inlineStr"/>
      <c r="L52" s="111" t="n">
        <v>20</v>
      </c>
      <c r="M52" s="113" t="inlineStr">
        <is>
          <t>P2</t>
        </is>
      </c>
      <c r="N52" s="114" t="inlineStr">
        <is>
          <t>Developing</t>
        </is>
      </c>
      <c r="O52" s="114" t="inlineStr">
        <is>
          <t>3 Apply</t>
        </is>
      </c>
      <c r="P52" s="114" t="inlineStr">
        <is>
          <t>2–4 yrs</t>
        </is>
      </c>
      <c r="Q52" s="114" t="inlineStr">
        <is>
          <t>3–5 · 2–5</t>
        </is>
      </c>
      <c r="R52" s="114" t="inlineStr">
        <is>
          <t>Admin / Secretarial Executive</t>
        </is>
      </c>
      <c r="S52" s="114" t="inlineStr">
        <is>
          <t>IRIS Vs Competitor Benchmark — corporate services ladder: Senior Executive</t>
        </is>
      </c>
      <c r="T52" s="114" t="inlineStr">
        <is>
          <t>ICSI · Company Secretary; Companies Act 2013; IFMA · facilities; CIPS · procurement</t>
        </is>
      </c>
      <c r="U52" s="114" t="inlineStr">
        <is>
          <t>Core 2 · Future 2 · Functional 3 · Leadership not scored</t>
        </is>
      </c>
      <c r="V52" s="157" t="n">
        <v>331</v>
      </c>
      <c r="W52" s="158" t="inlineStr">
        <is>
          <t>IRIS2290</t>
        </is>
      </c>
      <c r="X52" s="158" t="inlineStr">
        <is>
          <t>Employee</t>
        </is>
      </c>
      <c r="Y52" s="158" t="inlineStr">
        <is>
          <t>Active</t>
        </is>
      </c>
      <c r="Z52" s="158" t="inlineStr">
        <is>
          <t>Melita Suares</t>
        </is>
      </c>
      <c r="AA52" s="245" t="n">
        <v>45475</v>
      </c>
      <c r="AB52" s="158" t="inlineStr">
        <is>
          <t>Executive - Secretarial and Legal</t>
        </is>
      </c>
      <c r="AC52" s="158" t="inlineStr">
        <is>
          <t>ICSI Marsheets</t>
        </is>
      </c>
      <c r="AD52" s="158" t="inlineStr">
        <is>
          <t>Santosh Sharma</t>
        </is>
      </c>
      <c r="AE52" s="158" t="inlineStr">
        <is>
          <t>N-2</t>
        </is>
      </c>
      <c r="AF52" s="158" t="inlineStr">
        <is>
          <t>Individual Contributor</t>
        </is>
      </c>
      <c r="AG52" s="158" t="inlineStr">
        <is>
          <t>3 years, 2 months, 0 days</t>
        </is>
      </c>
      <c r="AH52" s="158" t="inlineStr">
        <is>
          <t>2 years, 1 months, 23 days</t>
        </is>
      </c>
      <c r="AI52" s="158" t="inlineStr">
        <is>
          <t>Corporate</t>
        </is>
      </c>
      <c r="AJ52" s="158" t="inlineStr">
        <is>
          <t>Corporate</t>
        </is>
      </c>
      <c r="AK52" s="158" t="inlineStr">
        <is>
          <t>Secretarial &amp; Legal</t>
        </is>
      </c>
      <c r="AL52" s="158" t="inlineStr">
        <is>
          <t>Secretarial and Legal</t>
        </is>
      </c>
      <c r="AM52" s="158" t="inlineStr">
        <is>
          <t>No</t>
        </is>
      </c>
      <c r="AN52" s="158" t="inlineStr">
        <is>
          <t>General &amp; Admin</t>
        </is>
      </c>
      <c r="AO52" s="158" t="inlineStr">
        <is>
          <t>Secretarial and Legal</t>
        </is>
      </c>
      <c r="AP52" s="158" t="inlineStr">
        <is>
          <t>Non-technical</t>
        </is>
      </c>
      <c r="AQ52" s="158" t="n">
        <v>20</v>
      </c>
      <c r="AR52" s="158" t="inlineStr">
        <is>
          <t>Covered</t>
        </is>
      </c>
      <c r="AS52" s="158" t="n"/>
      <c r="AT52" s="158" t="n"/>
      <c r="AU52" s="158" t="n"/>
      <c r="AV52" s="158" t="n"/>
      <c r="AW52" s="158" t="n"/>
      <c r="AX52" s="158" t="n"/>
      <c r="AY52" s="158" t="n"/>
      <c r="AZ52" s="158" t="n"/>
      <c r="BA52" s="158" t="n"/>
      <c r="BB52" s="158" t="n"/>
      <c r="BC52" s="158" t="n"/>
      <c r="BD52" s="158" t="n"/>
      <c r="BE52" s="158" t="n"/>
      <c r="BF52" s="158" t="n"/>
      <c r="BG52" s="158" t="n"/>
      <c r="BH52" s="158" t="n"/>
      <c r="BI52" s="158" t="n"/>
      <c r="BJ52" s="158" t="n"/>
      <c r="BK52" s="158" t="n"/>
      <c r="BL52" s="158" t="n"/>
      <c r="BM52" s="158" t="n"/>
      <c r="BN52" s="158" t="n"/>
      <c r="BO52" s="158" t="n"/>
      <c r="BP52" s="158" t="n"/>
      <c r="BQ52" s="158" t="n"/>
      <c r="BR52" s="158" t="n"/>
      <c r="BS52" s="158" t="n"/>
      <c r="BT52" s="158" t="n"/>
      <c r="BU52" s="158" t="n"/>
      <c r="BV52" s="158" t="n"/>
      <c r="BW52" s="158" t="n"/>
      <c r="BX52" s="158" t="n"/>
      <c r="BY52" s="158" t="n"/>
      <c r="BZ52" s="158" t="n"/>
      <c r="CA52" s="158" t="n"/>
      <c r="CB52" s="158" t="n"/>
      <c r="CC52" s="158" t="n"/>
      <c r="CD52" s="158" t="n"/>
      <c r="CE52" s="158" t="n"/>
      <c r="CF52" s="158" t="n"/>
      <c r="CG52" s="158" t="n"/>
    </row>
    <row r="53" ht="64" customHeight="1">
      <c r="A53" s="109" t="inlineStr">
        <is>
          <t>INTN0296</t>
        </is>
      </c>
      <c r="B53" s="111" t="inlineStr">
        <is>
          <t>Sneha Pillai</t>
        </is>
      </c>
      <c r="C53" s="111" t="inlineStr">
        <is>
          <t>Secretarial &amp; Legal</t>
        </is>
      </c>
      <c r="D53" s="115" t="inlineStr">
        <is>
          <t>Intern</t>
        </is>
      </c>
      <c r="E53" s="115" t="inlineStr">
        <is>
          <t>Intern – Company Secretarial &amp; Legal</t>
        </is>
      </c>
      <c r="F53" s="115" t="inlineStr">
        <is>
          <t>Not in current mapping files</t>
        </is>
      </c>
      <c r="G53" s="115" t="inlineStr">
        <is>
          <t>A1</t>
        </is>
      </c>
      <c r="H53" s="117" t="inlineStr">
        <is>
          <t>● Newly mapped</t>
        </is>
      </c>
      <c r="I53" s="111" t="inlineStr">
        <is>
          <t>Administration, Legal &amp; Secretarial</t>
        </is>
      </c>
      <c r="J53" s="111" t="inlineStr">
        <is>
          <t>Company Secretarial &amp; Legal</t>
        </is>
      </c>
      <c r="K53" s="111" t="inlineStr"/>
      <c r="L53" s="111" t="n">
        <v>20</v>
      </c>
      <c r="M53" s="113" t="inlineStr">
        <is>
          <t>Entry / P1 · intern</t>
        </is>
      </c>
      <c r="N53" s="114" t="inlineStr">
        <is>
          <t>Entry</t>
        </is>
      </c>
      <c r="O53" s="114" t="inlineStr">
        <is>
          <t>1 Follow</t>
        </is>
      </c>
      <c r="P53" s="114" t="inlineStr">
        <is>
          <t>0 yrs · fresher / intern</t>
        </is>
      </c>
      <c r="Q53" s="114" t="inlineStr">
        <is>
          <t>—</t>
        </is>
      </c>
      <c r="R53" s="114" t="inlineStr">
        <is>
          <t>Admin Assistant</t>
        </is>
      </c>
      <c r="S53" s="114" t="inlineStr">
        <is>
          <t>IRIS Vs Competitor Benchmark — corporate services ladder: Trainee</t>
        </is>
      </c>
      <c r="T53" s="114" t="inlineStr">
        <is>
          <t>ICSI · Company Secretary; Companies Act 2013; IFMA · facilities; CIPS · procurement</t>
        </is>
      </c>
      <c r="U53" s="114" t="inlineStr">
        <is>
          <t>Core 1 · Future 1 · Functional 1 · Leadership not scored</t>
        </is>
      </c>
      <c r="V53" s="157" t="n">
        <v>463</v>
      </c>
      <c r="W53" s="158" t="inlineStr">
        <is>
          <t>INTN0296</t>
        </is>
      </c>
      <c r="X53" s="158" t="inlineStr">
        <is>
          <t>Intern</t>
        </is>
      </c>
      <c r="Y53" s="158" t="inlineStr">
        <is>
          <t>Active</t>
        </is>
      </c>
      <c r="Z53" s="158" t="inlineStr">
        <is>
          <t>Sneha Pillai</t>
        </is>
      </c>
      <c r="AA53" s="245" t="n">
        <v>46086</v>
      </c>
      <c r="AB53" s="158" t="inlineStr">
        <is>
          <t>Intern</t>
        </is>
      </c>
      <c r="AC53" s="158" t="inlineStr">
        <is>
          <t>B.Com</t>
        </is>
      </c>
      <c r="AD53" s="158" t="inlineStr">
        <is>
          <t>Santosh Sharma</t>
        </is>
      </c>
      <c r="AE53" s="158" t="inlineStr">
        <is>
          <t>N-2</t>
        </is>
      </c>
      <c r="AF53" s="158" t="inlineStr">
        <is>
          <t>Individual Contributor</t>
        </is>
      </c>
      <c r="AG53" s="158" t="inlineStr">
        <is>
          <t>0 years, 0 months, 0 days</t>
        </is>
      </c>
      <c r="AH53" s="158" t="inlineStr">
        <is>
          <t>0 years, 5 months, 20 days</t>
        </is>
      </c>
      <c r="AI53" s="158" t="inlineStr">
        <is>
          <t>Corporate</t>
        </is>
      </c>
      <c r="AJ53" s="158" t="inlineStr">
        <is>
          <t>Corporate</t>
        </is>
      </c>
      <c r="AK53" s="158" t="inlineStr">
        <is>
          <t>Secretarial &amp; Legal</t>
        </is>
      </c>
      <c r="AL53" s="158" t="inlineStr">
        <is>
          <t>Secretarial and Legal</t>
        </is>
      </c>
      <c r="AM53" s="158" t="inlineStr">
        <is>
          <t>No</t>
        </is>
      </c>
      <c r="AN53" s="158" t="inlineStr">
        <is>
          <t>General &amp; Admin</t>
        </is>
      </c>
      <c r="AO53" s="158" t="inlineStr">
        <is>
          <t>Secretarial and Legal</t>
        </is>
      </c>
      <c r="AP53" s="158" t="inlineStr">
        <is>
          <t>Non-technical</t>
        </is>
      </c>
      <c r="AQ53" s="158" t="n">
        <v>20</v>
      </c>
      <c r="AR53" s="158" t="inlineStr">
        <is>
          <t>Covered</t>
        </is>
      </c>
      <c r="AS53" s="158" t="n"/>
      <c r="AT53" s="158" t="n"/>
      <c r="AU53" s="158" t="n"/>
      <c r="AV53" s="158" t="n"/>
      <c r="AW53" s="158" t="n"/>
      <c r="AX53" s="158" t="n"/>
      <c r="AY53" s="158" t="n"/>
      <c r="AZ53" s="158" t="n"/>
      <c r="BA53" s="158" t="n"/>
      <c r="BB53" s="158" t="n"/>
      <c r="BC53" s="158" t="n"/>
      <c r="BD53" s="158" t="n"/>
      <c r="BE53" s="158" t="n"/>
      <c r="BF53" s="158" t="n"/>
      <c r="BG53" s="158" t="n"/>
      <c r="BH53" s="158" t="n"/>
      <c r="BI53" s="158" t="n"/>
      <c r="BJ53" s="158" t="n"/>
      <c r="BK53" s="158" t="n"/>
      <c r="BL53" s="158" t="n"/>
      <c r="BM53" s="158" t="n"/>
      <c r="BN53" s="158" t="n"/>
      <c r="BO53" s="158" t="n"/>
      <c r="BP53" s="158" t="n"/>
      <c r="BQ53" s="158" t="n"/>
      <c r="BR53" s="158" t="n"/>
      <c r="BS53" s="158" t="n"/>
      <c r="BT53" s="158" t="n"/>
      <c r="BU53" s="158" t="n"/>
      <c r="BV53" s="158" t="n"/>
      <c r="BW53" s="158" t="n"/>
      <c r="BX53" s="158" t="n"/>
      <c r="BY53" s="158" t="n"/>
      <c r="BZ53" s="158" t="n"/>
      <c r="CA53" s="158" t="n"/>
      <c r="CB53" s="158" t="n"/>
      <c r="CC53" s="158" t="n"/>
      <c r="CD53" s="158" t="n"/>
      <c r="CE53" s="158" t="n"/>
      <c r="CF53" s="158" t="n"/>
      <c r="CG53" s="158" t="n"/>
    </row>
    <row r="54" ht="64" customHeight="1">
      <c r="A54" s="109" t="inlineStr">
        <is>
          <t>IRIS2060</t>
        </is>
      </c>
      <c r="B54" s="111" t="inlineStr">
        <is>
          <t>P K X Thomas</t>
        </is>
      </c>
      <c r="C54" s="111" t="inlineStr">
        <is>
          <t>Technology</t>
        </is>
      </c>
      <c r="D54" s="111" t="inlineStr">
        <is>
          <t>Chief Technology Officer</t>
        </is>
      </c>
      <c r="E54" s="111" t="inlineStr">
        <is>
          <t>Chief Technology Officer</t>
        </is>
      </c>
      <c r="F54" s="115" t="inlineStr">
        <is>
          <t>Not in current mapping files</t>
        </is>
      </c>
      <c r="G54" s="115" t="inlineStr">
        <is>
          <t>E1</t>
        </is>
      </c>
      <c r="H54" s="117" t="inlineStr">
        <is>
          <t>● Newly mapped</t>
        </is>
      </c>
      <c r="I54" s="111" t="inlineStr">
        <is>
          <t>Executive Leadership</t>
        </is>
      </c>
      <c r="J54" s="111" t="inlineStr">
        <is>
          <t>Enterprise Leadership</t>
        </is>
      </c>
      <c r="K54" s="141" t="inlineStr">
        <is>
          <t>• Survey response or KRAs describing the work · nothing on file — Employee + manager</t>
        </is>
      </c>
      <c r="L54" s="111" t="n">
        <v>0</v>
      </c>
      <c r="M54" s="113" t="inlineStr">
        <is>
          <t>E5</t>
        </is>
      </c>
      <c r="N54" s="114" t="inlineStr">
        <is>
          <t>C-Level</t>
        </is>
      </c>
      <c r="O54" s="114" t="inlineStr">
        <is>
          <t>7</t>
        </is>
      </c>
      <c r="P54" s="114" t="inlineStr">
        <is>
          <t>20+ yrs</t>
        </is>
      </c>
      <c r="Q54" s="114" t="inlineStr">
        <is>
          <t>—</t>
        </is>
      </c>
      <c r="R54" s="114" t="inlineStr">
        <is>
          <t>CXO · functional chief</t>
        </is>
      </c>
      <c r="S54" s="114" t="inlineStr">
        <is>
          <t>IRIS Vs Market Benchmark — Aon Radford / Mercer executive codes: E5 C-level · functional · IRIS Vs Competitor Benchmark — regtech / SaaS executive titles: CTO · CFO · CRO · CCO · COO</t>
        </is>
      </c>
      <c r="T54" s="114" t="inlineStr">
        <is>
          <t>Aon Radford executive levels E1–E6; Mercer ET1–ET3; Korn Ferry Leadership Architect</t>
        </is>
      </c>
      <c r="U54" s="114" t="inlineStr">
        <is>
          <t>Core 5 · Future 5 · Functional 4 · Leadership 5</t>
        </is>
      </c>
      <c r="V54" s="157" t="n">
        <v>240</v>
      </c>
      <c r="W54" s="158" t="inlineStr">
        <is>
          <t>IRIS2060</t>
        </is>
      </c>
      <c r="X54" s="158" t="inlineStr">
        <is>
          <t>Employee</t>
        </is>
      </c>
      <c r="Y54" s="158" t="inlineStr">
        <is>
          <t>Active</t>
        </is>
      </c>
      <c r="Z54" s="158" t="inlineStr">
        <is>
          <t>P K X Thomas</t>
        </is>
      </c>
      <c r="AA54" s="245" t="n">
        <v>44805</v>
      </c>
      <c r="AB54" s="158" t="inlineStr">
        <is>
          <t>Chief Technology Officer</t>
        </is>
      </c>
      <c r="AC54" s="158" t="inlineStr">
        <is>
          <t>MCA</t>
        </is>
      </c>
      <c r="AD54" s="158" t="inlineStr">
        <is>
          <t>-</t>
        </is>
      </c>
      <c r="AE54" s="158" t="inlineStr">
        <is>
          <t>N</t>
        </is>
      </c>
      <c r="AF54" s="158" t="inlineStr">
        <is>
          <t>Manager</t>
        </is>
      </c>
      <c r="AG54" s="158" t="inlineStr">
        <is>
          <t>30 years, 10 months, 0 days</t>
        </is>
      </c>
      <c r="AH54" s="158" t="inlineStr">
        <is>
          <t>3 years, 11 months, 24 days</t>
        </is>
      </c>
      <c r="AI54" s="158" t="inlineStr">
        <is>
          <t>Corporate</t>
        </is>
      </c>
      <c r="AJ54" s="158" t="inlineStr">
        <is>
          <t>Corporate</t>
        </is>
      </c>
      <c r="AK54" s="158" t="inlineStr">
        <is>
          <t>Technology</t>
        </is>
      </c>
      <c r="AL54" s="158" t="inlineStr">
        <is>
          <t>Management</t>
        </is>
      </c>
      <c r="AM54" s="158" t="inlineStr">
        <is>
          <t>No</t>
        </is>
      </c>
      <c r="AN54" s="158" t="inlineStr">
        <is>
          <t>Management</t>
        </is>
      </c>
      <c r="AO54" s="158" t="inlineStr">
        <is>
          <t>Management</t>
        </is>
      </c>
      <c r="AP54" s="158" t="inlineStr">
        <is>
          <t>Non-technical</t>
        </is>
      </c>
      <c r="AQ54" s="158" t="n">
        <v>0</v>
      </c>
      <c r="AR54" s="158" t="inlineStr">
        <is>
          <t>E-Top management</t>
        </is>
      </c>
      <c r="AS54" s="158" t="n"/>
      <c r="AT54" s="158" t="n"/>
      <c r="AU54" s="158" t="n"/>
      <c r="AV54" s="158" t="n"/>
      <c r="AW54" s="158" t="n"/>
      <c r="AX54" s="158" t="n"/>
      <c r="AY54" s="158" t="n"/>
      <c r="AZ54" s="158" t="n"/>
      <c r="BA54" s="158" t="n"/>
      <c r="BB54" s="158" t="n"/>
      <c r="BC54" s="158" t="n"/>
      <c r="BD54" s="158" t="n"/>
      <c r="BE54" s="158" t="n"/>
      <c r="BF54" s="158" t="n"/>
      <c r="BG54" s="158" t="n"/>
      <c r="BH54" s="158" t="n"/>
      <c r="BI54" s="158" t="n"/>
      <c r="BJ54" s="158" t="n"/>
      <c r="BK54" s="158" t="n"/>
      <c r="BL54" s="158" t="n"/>
      <c r="BM54" s="158" t="n"/>
      <c r="BN54" s="158" t="n"/>
      <c r="BO54" s="158" t="n"/>
      <c r="BP54" s="158" t="n"/>
      <c r="BQ54" s="158" t="n"/>
      <c r="BR54" s="158" t="n"/>
      <c r="BS54" s="158" t="n"/>
      <c r="BT54" s="158" t="n"/>
      <c r="BU54" s="158" t="n"/>
      <c r="BV54" s="158" t="n"/>
      <c r="BW54" s="158" t="n"/>
      <c r="BX54" s="158" t="n"/>
      <c r="BY54" s="158" t="n"/>
      <c r="BZ54" s="158" t="n"/>
      <c r="CA54" s="158" t="n"/>
      <c r="CB54" s="158" t="n"/>
      <c r="CC54" s="158" t="n"/>
      <c r="CD54" s="158" t="n"/>
      <c r="CE54" s="158" t="n"/>
      <c r="CF54" s="158" t="n"/>
      <c r="CG54" s="158" t="n"/>
    </row>
    <row r="55" ht="64" customHeight="1">
      <c r="A55" s="109" t="inlineStr">
        <is>
          <t>IRISC344</t>
        </is>
      </c>
      <c r="B55" s="111" t="inlineStr">
        <is>
          <t>Vikas Thakur</t>
        </is>
      </c>
      <c r="C55" s="111" t="inlineStr">
        <is>
          <t>Technology</t>
        </is>
      </c>
      <c r="D55" s="111" t="inlineStr">
        <is>
          <t>Agile Coach</t>
        </is>
      </c>
      <c r="E55" s="111" t="inlineStr">
        <is>
          <t>Agile Coach</t>
        </is>
      </c>
      <c r="F55" s="115" t="inlineStr">
        <is>
          <t>Not in current mapping files</t>
        </is>
      </c>
      <c r="G55" s="115" t="inlineStr">
        <is>
          <t>B3</t>
        </is>
      </c>
      <c r="H55" s="117" t="inlineStr">
        <is>
          <t>● Newly mapped</t>
        </is>
      </c>
      <c r="I55" s="111" t="inlineStr">
        <is>
          <t>Project &amp; Program Management</t>
        </is>
      </c>
      <c r="J55" s="111" t="inlineStr">
        <is>
          <t>PMO &amp; Delivery Excellence</t>
        </is>
      </c>
      <c r="K55" s="141" t="inlineStr">
        <is>
          <t>• Survey response or KRAs describing the work · nothing on file — Employee + manager</t>
        </is>
      </c>
      <c r="L55" s="111" t="n">
        <v>0</v>
      </c>
      <c r="M55" s="113" t="inlineStr">
        <is>
          <t>P5 / M4</t>
        </is>
      </c>
      <c r="N55" s="114" t="inlineStr">
        <is>
          <t>Expert / Senior Manager</t>
        </is>
      </c>
      <c r="O55" s="114" t="inlineStr">
        <is>
          <t>5 Ensure, advise</t>
        </is>
      </c>
      <c r="P55" s="114" t="inlineStr">
        <is>
          <t>8–12 yrs</t>
        </is>
      </c>
      <c r="Q55" s="114" t="inlineStr">
        <is>
          <t>9–13 · 9–14</t>
        </is>
      </c>
      <c r="R55" s="114" t="inlineStr">
        <is>
          <t>Senior Program Manager</t>
        </is>
      </c>
      <c r="S55" s="114" t="inlineStr">
        <is>
          <t>IRIS Vs Competitor Benchmark — PMI pathway + SaaS delivery ladder: Program Manager · PgMP · Infosys / Accenture: JL6B Project Manager · L7 Manager</t>
        </is>
      </c>
      <c r="T55" s="114" t="inlineStr">
        <is>
          <t>PMI PMBOK and Talent Triangle; CAPM · entry → PMP → PgMP; Scrum / SAFe</t>
        </is>
      </c>
      <c r="U55" s="114" t="inlineStr">
        <is>
          <t>Core 4 · Future 3 · Functional 4 · Leadership 3</t>
        </is>
      </c>
      <c r="V55" s="157" t="n">
        <v>474</v>
      </c>
      <c r="W55" s="158" t="inlineStr">
        <is>
          <t>IRISC344</t>
        </is>
      </c>
      <c r="X55" s="158" t="inlineStr">
        <is>
          <t>On Contract</t>
        </is>
      </c>
      <c r="Y55" s="158" t="inlineStr">
        <is>
          <t>Active</t>
        </is>
      </c>
      <c r="Z55" s="158" t="inlineStr">
        <is>
          <t>Vikas Thakur</t>
        </is>
      </c>
      <c r="AA55" s="245" t="n">
        <v>46104</v>
      </c>
      <c r="AB55" s="158" t="inlineStr">
        <is>
          <t>Agile Coach</t>
        </is>
      </c>
      <c r="AC55" s="158" t="inlineStr">
        <is>
          <t>B.Tech</t>
        </is>
      </c>
      <c r="AD55" s="158" t="inlineStr">
        <is>
          <t>Pradip Dey</t>
        </is>
      </c>
      <c r="AE55" s="158" t="inlineStr">
        <is>
          <t>N-3</t>
        </is>
      </c>
      <c r="AF55" s="158" t="inlineStr">
        <is>
          <t>Individual Contributor</t>
        </is>
      </c>
      <c r="AG55" s="158" t="inlineStr">
        <is>
          <t>10 years, 11 months, 0 days</t>
        </is>
      </c>
      <c r="AH55" s="158" t="inlineStr">
        <is>
          <t>0 years, 5 months, 2 days</t>
        </is>
      </c>
      <c r="AI55" s="158" t="inlineStr">
        <is>
          <t>Corporate</t>
        </is>
      </c>
      <c r="AJ55" s="158" t="inlineStr">
        <is>
          <t>Corporate</t>
        </is>
      </c>
      <c r="AK55" s="158" t="inlineStr">
        <is>
          <t>Technology</t>
        </is>
      </c>
      <c r="AL55" s="158" t="inlineStr">
        <is>
          <t>Development</t>
        </is>
      </c>
      <c r="AM55" s="158" t="inlineStr">
        <is>
          <t>Yes</t>
        </is>
      </c>
      <c r="AN55" s="158" t="inlineStr">
        <is>
          <t>Product/Project</t>
        </is>
      </c>
      <c r="AO55" s="158" t="inlineStr">
        <is>
          <t>Agile</t>
        </is>
      </c>
      <c r="AP55" s="158" t="inlineStr">
        <is>
          <t>Technical - Developer</t>
        </is>
      </c>
      <c r="AQ55" s="158" t="n">
        <v>0</v>
      </c>
      <c r="AR55" s="158" t="inlineStr">
        <is>
          <t>Excluded</t>
        </is>
      </c>
      <c r="AS55" s="158" t="n"/>
      <c r="AT55" s="158" t="n"/>
      <c r="AU55" s="158" t="n"/>
      <c r="AV55" s="158" t="n"/>
      <c r="AW55" s="158" t="n"/>
      <c r="AX55" s="158" t="n"/>
      <c r="AY55" s="158" t="n"/>
      <c r="AZ55" s="158" t="n"/>
      <c r="BA55" s="158" t="n"/>
      <c r="BB55" s="158" t="n"/>
      <c r="BC55" s="158" t="n"/>
      <c r="BD55" s="158" t="n"/>
      <c r="BE55" s="158" t="n"/>
      <c r="BF55" s="158" t="n"/>
      <c r="BG55" s="158" t="n"/>
      <c r="BH55" s="158" t="n"/>
      <c r="BI55" s="158" t="n"/>
      <c r="BJ55" s="158" t="n"/>
      <c r="BK55" s="158" t="n"/>
      <c r="BL55" s="158" t="n"/>
      <c r="BM55" s="158" t="n"/>
      <c r="BN55" s="158" t="n"/>
      <c r="BO55" s="158" t="n"/>
      <c r="BP55" s="158" t="n"/>
      <c r="BQ55" s="158" t="n"/>
      <c r="BR55" s="158" t="n"/>
      <c r="BS55" s="158" t="n"/>
      <c r="BT55" s="158" t="n"/>
      <c r="BU55" s="158" t="n"/>
      <c r="BV55" s="158" t="n"/>
      <c r="BW55" s="158" t="n"/>
      <c r="BX55" s="158" t="n"/>
      <c r="BY55" s="158" t="n"/>
      <c r="BZ55" s="158" t="n"/>
      <c r="CA55" s="158" t="n"/>
      <c r="CB55" s="158" t="n"/>
      <c r="CC55" s="158" t="n"/>
      <c r="CD55" s="158" t="n"/>
      <c r="CE55" s="158" t="n"/>
      <c r="CF55" s="158" t="n"/>
      <c r="CG55" s="158" t="n"/>
    </row>
  </sheetData>
  <mergeCells count="13">
    <mergeCell ref="A3:R3"/>
    <mergeCell ref="E4:F4"/>
    <mergeCell ref="G4:H4"/>
    <mergeCell ref="I4:J4"/>
    <mergeCell ref="L4:M4"/>
    <mergeCell ref="V5:CG5"/>
    <mergeCell ref="A2:R2"/>
    <mergeCell ref="A4:D4"/>
    <mergeCell ref="A5:L5"/>
    <mergeCell ref="M5:U5"/>
    <mergeCell ref="N4:Q4"/>
    <mergeCell ref="A1:R1"/>
    <mergeCell ref="R4:S4"/>
  </mergeCells>
  <hyperlinks>
    <hyperlink xmlns:r="http://schemas.openxmlformats.org/officeDocument/2006/relationships" ref="S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10.xml><?xml version="1.0" encoding="utf-8"?>
<worksheet xmlns="http://schemas.openxmlformats.org/spreadsheetml/2006/main">
  <sheetPr>
    <tabColor rgb="007030A0"/>
    <outlinePr summaryBelow="1" summaryRight="1"/>
    <pageSetUpPr fitToPage="1"/>
  </sheetPr>
  <dimension ref="A1:Z48"/>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 customWidth="1" min="2" max="2"/>
    <col width="14" customWidth="1" min="3" max="3"/>
    <col width="24" customWidth="1" min="4" max="4"/>
    <col width="22" customWidth="1" min="5" max="5"/>
    <col width="17" customWidth="1" min="6" max="6"/>
    <col width="16" customWidth="1" min="7" max="7"/>
    <col width="10" customWidth="1" min="8" max="8"/>
    <col width="6" customWidth="1" min="9" max="9"/>
    <col width="6" customWidth="1" min="10" max="10"/>
    <col width="7" customWidth="1" min="11" max="11"/>
    <col width="7" customWidth="1" min="12" max="12"/>
    <col width="7" customWidth="1" min="13" max="13"/>
    <col width="10" customWidth="1" min="14" max="14"/>
    <col width="46" customWidth="1" min="15" max="15"/>
    <col width="40" customWidth="1" min="16" max="16"/>
    <col width="40" customWidth="1" min="17" max="17"/>
    <col width="46" customWidth="1" min="18" max="18"/>
    <col width="44" customWidth="1" min="19" max="19"/>
    <col width="40" customWidth="1" min="20" max="20"/>
    <col width="26" customWidth="1" min="21" max="21"/>
    <col width="24" customWidth="1" min="22" max="22"/>
    <col width="24" customWidth="1" min="23" max="23"/>
    <col width="12" customWidth="1" min="24" max="24"/>
    <col width="22" customWidth="1" min="25" max="25"/>
    <col width="26" customWidth="1" min="26" max="26"/>
  </cols>
  <sheetData>
    <row r="1" ht="34" customHeight="1">
      <c r="A1" s="1" t="inlineStr">
        <is>
          <t>Role Competency Framework — by band, role and sub-family · bottom to top</t>
        </is>
      </c>
      <c r="U1" s="242" t="inlineStr">
        <is>
          <t>◂ Contents</t>
        </is>
      </c>
    </row>
    <row r="2" ht="30" customHeight="1">
      <c r="A2" s="3" t="inlineStr">
        <is>
          <t>Sheet 4 · For every role · designation × level × track and the sub-family it sits in: the proficiency required in each cluster and exactly what that proficiency looks like — the six core and four future-ready competencies, the leadership expected, the family's must-have and other functional competencies, the department's technical competencies, how to assess them, the credentials, and where today's role-holders stand.</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F4" s="68" t="inlineStr">
        <is>
          <t>Player-Coach · B+ · C+</t>
        </is>
      </c>
      <c r="H4" s="69" t="inlineStr">
        <is>
          <t>RED = critical input needed · could change or confirm the level</t>
        </is>
      </c>
    </row>
    <row r="5" ht="32" customHeight="1">
      <c r="A5" s="73" t="inlineStr">
        <is>
          <t>ROLE — band → level → role → sub-family</t>
        </is>
      </c>
      <c r="J5" s="74" t="inlineStr">
        <is>
          <t>REQUIRED PROFICIENCY · 1–5, SFIA-aligned</t>
        </is>
      </c>
      <c r="O5" s="76" t="inlineStr">
        <is>
          <t>WHAT IT LOOKS LIKE AT THIS LEVEL — behavioural indicators</t>
        </is>
      </c>
      <c r="R5" s="77" t="inlineStr">
        <is>
          <t>FUNCTIONAL &amp; TECHNICAL — for this role's family and department</t>
        </is>
      </c>
      <c r="U5" s="79" t="inlineStr">
        <is>
          <t>ASSESS, CERTIFY &amp; DEVELOP</t>
        </is>
      </c>
    </row>
    <row r="6" ht="58" customHeight="1">
      <c r="A6" s="91" t="inlineStr">
        <is>
          <t>Band</t>
        </is>
      </c>
      <c r="B6" s="92" t="inlineStr">
        <is>
          <t>Level</t>
        </is>
      </c>
      <c r="C6" s="92" t="inlineStr">
        <is>
          <t>Level title</t>
        </is>
      </c>
      <c r="D6" s="92" t="inlineStr">
        <is>
          <t>Role · designation</t>
        </is>
      </c>
      <c r="E6" s="92" t="inlineStr">
        <is>
          <t>Sub-family</t>
        </is>
      </c>
      <c r="F6" s="92" t="inlineStr">
        <is>
          <t>Job family</t>
        </is>
      </c>
      <c r="G6" s="92" t="inlineStr">
        <is>
          <t>Department · s</t>
        </is>
      </c>
      <c r="H6" s="92" t="inlineStr">
        <is>
          <t>Track</t>
        </is>
      </c>
      <c r="I6" s="92" t="inlineStr">
        <is>
          <t>People</t>
        </is>
      </c>
      <c r="J6" s="93" t="inlineStr">
        <is>
          <t>Core</t>
        </is>
      </c>
      <c r="K6" s="12" t="inlineStr">
        <is>
          <t>Future-ready</t>
        </is>
      </c>
      <c r="L6" s="12" t="inlineStr">
        <is>
          <t>Functional</t>
        </is>
      </c>
      <c r="M6" s="12" t="inlineStr">
        <is>
          <t>Leadership</t>
        </is>
      </c>
      <c r="N6" s="12" t="inlineStr">
        <is>
          <t>Fit needed</t>
        </is>
      </c>
      <c r="O6" s="94" t="inlineStr">
        <is>
          <t>Core</t>
        </is>
      </c>
      <c r="P6" s="156" t="inlineStr">
        <is>
          <t>Future-ready</t>
        </is>
      </c>
      <c r="Q6" s="156" t="inlineStr">
        <is>
          <t>Leadership</t>
        </is>
      </c>
      <c r="R6" s="95" t="inlineStr">
        <is>
          <t>★ Must-have functional competencies</t>
        </is>
      </c>
      <c r="S6" s="96" t="inlineStr">
        <is>
          <t>Other functional competencies</t>
        </is>
      </c>
      <c r="T6" s="96" t="inlineStr">
        <is>
          <t>Department technical competencies · new</t>
        </is>
      </c>
      <c r="U6" s="97" t="inlineStr">
        <is>
          <t>How to assess</t>
        </is>
      </c>
      <c r="V6" s="98" t="inlineStr">
        <is>
          <t>Credentials / certifications</t>
        </is>
      </c>
      <c r="W6" s="98" t="inlineStr">
        <is>
          <t>Mandatory &amp; gate requirements</t>
        </is>
      </c>
      <c r="X6" s="98" t="inlineStr">
        <is>
          <t>Role-holders today · avg index · meet level</t>
        </is>
      </c>
      <c r="Y6" s="98" t="inlineStr">
        <is>
          <t>Most common gaps</t>
        </is>
      </c>
      <c r="Z6" s="98" t="inlineStr">
        <is>
          <t>Learning priorities for this role</t>
        </is>
      </c>
    </row>
    <row r="7" ht="20" customHeight="1">
      <c r="A7" s="160" t="inlineStr">
        <is>
          <t>Band A — Practitioner</t>
        </is>
      </c>
    </row>
    <row r="8" ht="158" customHeight="1">
      <c r="A8" s="161" t="inlineStr">
        <is>
          <t>A</t>
        </is>
      </c>
      <c r="B8" s="26" t="inlineStr">
        <is>
          <t>A1</t>
        </is>
      </c>
      <c r="C8" s="139" t="inlineStr">
        <is>
          <t>Intern / Trainee</t>
        </is>
      </c>
      <c r="D8" s="110" t="inlineStr">
        <is>
          <t>Intern – Company Secretarial &amp; Legal</t>
        </is>
      </c>
      <c r="E8" s="111" t="inlineStr">
        <is>
          <t>Company Secretarial &amp; Legal</t>
        </is>
      </c>
      <c r="F8" s="111" t="inlineStr">
        <is>
          <t>Administration, Legal &amp; Secretarial</t>
        </is>
      </c>
      <c r="G8" s="111" t="inlineStr">
        <is>
          <t>Secretarial &amp; Legal</t>
        </is>
      </c>
      <c r="H8" s="111" t="inlineStr">
        <is>
          <t>IC</t>
        </is>
      </c>
      <c r="I8" s="112" t="n">
        <v>1</v>
      </c>
      <c r="J8" s="162" t="n">
        <v>1</v>
      </c>
      <c r="K8" s="163" t="n">
        <v>1</v>
      </c>
      <c r="L8" s="163" t="n">
        <v>1</v>
      </c>
      <c r="M8" s="163" t="inlineStr">
        <is>
          <t>—</t>
        </is>
      </c>
      <c r="N8" s="114" t="inlineStr">
        <is>
          <t>Index ≥ 90% · meets; must-haves at required level</t>
        </is>
      </c>
      <c r="O8" s="118"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8" s="164"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8" s="164" t="inlineStr">
        <is>
          <t>Not required at this level · Band A has one common path; leadership is not scored.</t>
        </is>
      </c>
      <c r="R8" s="119" t="inlineStr">
        <is>
          <t>• ★ Regulatory &amp; BFSI Domain: Knows the concepts; does defined tasks with close guidance; all work reviewed.
• ★ Stakeholder &amp; Client Management: Knows the concepts; does defined tasks with close guidance; all work reviewed.</t>
        </is>
      </c>
      <c r="S8" s="165" t="inlineStr">
        <is>
          <r>
            <rPr>
              <rFont val="Calibri"/>
              <sz val="10"/>
            </rPr>
            <t xml:space="preserve">• </t>
          </r>
          <r>
            <rPr>
              <rFont val="Calibri"/>
              <b val="1"/>
              <sz val="10"/>
            </rPr>
            <t>Process Improvement &amp; Quality Mindset:</t>
          </r>
          <r>
            <rPr>
              <rFont val="Calibri"/>
              <sz val="10"/>
            </rPr>
            <t xml:space="preserve"> Knows the concepts; does defined tasks with close guidance; all work reviewed.
• </t>
          </r>
          <r>
            <rPr>
              <rFont val="Calibri"/>
              <b val="1"/>
              <sz val="10"/>
            </rPr>
            <t>Advanced Excel &amp; Productivity Tools:</t>
          </r>
          <r>
            <rPr>
              <rFont val="Calibri"/>
              <sz val="10"/>
            </rPr>
            <t xml:space="preserve"> Knows the concepts; does defined tasks with close guidance; all work reviewed.
• </t>
          </r>
          <r>
            <rPr>
              <rFont val="Calibri"/>
              <b val="1"/>
              <sz val="10"/>
            </rPr>
            <t>Communication &amp; Presentation:</t>
          </r>
          <r>
            <rPr>
              <rFont val="Calibri"/>
              <sz val="10"/>
            </rPr>
            <t xml:space="preserve"> Knows the concepts; does defined tasks with close guidance; all work reviewed.
• </t>
          </r>
          <r>
            <rPr>
              <rFont val="Calibri"/>
              <b val="1"/>
              <sz val="10"/>
            </rPr>
            <t>Time, Priority &amp; Self-Management:</t>
          </r>
          <r>
            <rPr>
              <rFont val="Calibri"/>
              <sz val="10"/>
            </rPr>
            <t xml:space="preserve"> Knows the concepts; does defined tasks with close guidance; all work reviewed.</t>
          </r>
        </is>
      </c>
      <c r="T8" s="165" t="inlineStr">
        <is>
          <r>
            <rPr>
              <rFont val="Calibri"/>
              <sz val="10"/>
            </rPr>
            <t xml:space="preserve">• </t>
          </r>
          <r>
            <rPr>
              <rFont val="Calibri"/>
              <b val="1"/>
              <sz val="10"/>
            </rPr>
            <t>Corporate Law &amp; Secretarial Compliance:</t>
          </r>
          <r>
            <rPr>
              <rFont val="Calibri"/>
              <sz val="10"/>
            </rPr>
            <t xml:space="preserve"> Prepares forms and registers
• </t>
          </r>
          <r>
            <rPr>
              <rFont val="Calibri"/>
              <b val="1"/>
              <sz val="10"/>
            </rPr>
            <t>Contract Drafting, Review &amp; Negotiation:</t>
          </r>
          <r>
            <rPr>
              <rFont val="Calibri"/>
              <sz val="10"/>
            </rPr>
            <t xml:space="preserve"> Uses templates; tracks contract dates
• </t>
          </r>
          <r>
            <rPr>
              <rFont val="Calibri"/>
              <b val="1"/>
              <sz val="10"/>
            </rPr>
            <t>Board &amp; Governance Support:</t>
          </r>
          <r>
            <rPr>
              <rFont val="Calibri"/>
              <sz val="10"/>
            </rPr>
            <t xml:space="preserve"> Prepares agenda packs
• </t>
          </r>
          <r>
            <rPr>
              <rFont val="Calibri"/>
              <b val="1"/>
              <sz val="10"/>
            </rPr>
            <t>Regulatory &amp; Data-Privacy Compliance · DPDP Act:</t>
          </r>
          <r>
            <rPr>
              <rFont val="Calibri"/>
              <sz val="10"/>
            </rPr>
            <t xml:space="preserve"> Knows the policies</t>
          </r>
        </is>
      </c>
      <c r="U8" s="121" t="inlineStr">
        <is>
          <t>Domain interview; Role play / behavioural interview; Work sample / case; Practical test; Presentation / writing test; Behavioural interview</t>
        </is>
      </c>
      <c r="V8" s="122" t="inlineStr">
        <is>
          <t>Domain certifications · optional; Lean / Six Sigma · optional; MOS Excel · optional</t>
        </is>
      </c>
      <c r="W8" s="122" t="inlineStr">
        <is>
          <t>Companies Act / statutory filings; vendor contracts; mandatory: POSH, Code of Conduct, InfoSec &amp; Privacy</t>
        </is>
      </c>
      <c r="X8" s="122" t="inlineStr">
        <is>
          <t>102% · 1 of 1</t>
        </is>
      </c>
      <c r="Y8" s="122" t="inlineStr">
        <is>
          <t>—</t>
        </is>
      </c>
      <c r="Z8" s="122" t="inlineStr">
        <is>
          <t>AI, GenAI &amp; Prompt Engineering · Advanced Excel &amp; Productivity Tools · Regulatory &amp; BFSI Domain</t>
        </is>
      </c>
    </row>
    <row r="9" ht="197" customHeight="1">
      <c r="A9" s="161" t="inlineStr">
        <is>
          <t>A</t>
        </is>
      </c>
      <c r="B9" s="26" t="inlineStr">
        <is>
          <t>A2</t>
        </is>
      </c>
      <c r="C9" s="139" t="inlineStr">
        <is>
          <t>Associate</t>
        </is>
      </c>
      <c r="D9" s="110" t="inlineStr">
        <is>
          <t>HR Executive</t>
        </is>
      </c>
      <c r="E9" s="111" t="inlineStr">
        <is>
          <t>HR Operations &amp; Payroll</t>
        </is>
      </c>
      <c r="F9" s="111" t="inlineStr">
        <is>
          <t>Human Resources</t>
        </is>
      </c>
      <c r="G9" s="111" t="inlineStr">
        <is>
          <t>HR</t>
        </is>
      </c>
      <c r="H9" s="111" t="inlineStr">
        <is>
          <t>IC</t>
        </is>
      </c>
      <c r="I9" s="112" t="n">
        <v>1</v>
      </c>
      <c r="J9" s="162" t="n">
        <v>2</v>
      </c>
      <c r="K9" s="163" t="n">
        <v>2</v>
      </c>
      <c r="L9" s="163" t="n">
        <v>2</v>
      </c>
      <c r="M9" s="163" t="inlineStr">
        <is>
          <t>—</t>
        </is>
      </c>
      <c r="N9" s="114" t="inlineStr">
        <is>
          <t>Index ≥ 90% · meets; must-haves at required level</t>
        </is>
      </c>
      <c r="O9"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9"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9" s="164" t="inlineStr">
        <is>
          <t>Not required at this level · Band A has one common path; leadership is not scored.</t>
        </is>
      </c>
      <c r="R9" s="119" t="inlineStr">
        <is>
          <t>• ★ Stakeholder &amp; Client Management: Applies the skill to standard work with routine guidance; work spot-checked.
• ★ Communication &amp; Presentation: Applies the skill to standard work with routine guidance; work spot-checked.</t>
        </is>
      </c>
      <c r="S9" s="165" t="inlineStr">
        <is>
          <r>
            <rPr>
              <rFont val="Calibri"/>
              <sz val="10"/>
            </rPr>
            <t xml:space="preserve">• </t>
          </r>
          <r>
            <rPr>
              <rFont val="Calibri"/>
              <b val="1"/>
              <sz val="10"/>
            </rPr>
            <t>Data Analytics, BI &amp; Visualisation:</t>
          </r>
          <r>
            <rPr>
              <rFont val="Calibri"/>
              <sz val="10"/>
            </rPr>
            <t xml:space="preserve"> Applies the skill to standard work with routine guidance; work spot-checked.
• </t>
          </r>
          <r>
            <rPr>
              <rFont val="Calibri"/>
              <b val="1"/>
              <sz val="10"/>
            </rPr>
            <t>Process Improvement &amp; Quality Mindset:</t>
          </r>
          <r>
            <rPr>
              <rFont val="Calibri"/>
              <sz val="10"/>
            </rPr>
            <t xml:space="preserve"> Applies the skill to standard work with routine guidance; work spot-checked.
• </t>
          </r>
          <r>
            <rPr>
              <rFont val="Calibri"/>
              <b val="1"/>
              <sz val="10"/>
            </rPr>
            <t>People Leadership &amp; Mentoring:</t>
          </r>
          <r>
            <rPr>
              <rFont val="Calibri"/>
              <sz val="10"/>
            </rPr>
            <t xml:space="preserve"> Applies the skill to standard work with routine guidance; work spot-checked.
• </t>
          </r>
          <r>
            <rPr>
              <rFont val="Calibri"/>
              <b val="1"/>
              <sz val="10"/>
            </rPr>
            <t>Advanced Excel &amp; Productivity Tools:</t>
          </r>
          <r>
            <rPr>
              <rFont val="Calibri"/>
              <sz val="10"/>
            </rPr>
            <t xml:space="preserve"> Applies the skill to standard work with routine guidance; work spot-checked.</t>
          </r>
        </is>
      </c>
      <c r="T9" s="165" t="inlineStr">
        <is>
          <r>
            <rPr>
              <rFont val="Calibri"/>
              <sz val="10"/>
            </rPr>
            <t xml:space="preserve">• </t>
          </r>
          <r>
            <rPr>
              <rFont val="Calibri"/>
              <b val="1"/>
              <sz val="10"/>
            </rPr>
            <t>Talent Acquisition &amp; Employer Brand:</t>
          </r>
          <r>
            <rPr>
              <rFont val="Calibri"/>
              <sz val="10"/>
            </rPr>
            <t xml:space="preserve"> Screens profiles, schedules interviews, keeps the tracker clean
• </t>
          </r>
          <r>
            <rPr>
              <rFont val="Calibri"/>
              <b val="1"/>
              <sz val="10"/>
            </rPr>
            <t>HR Operations, Payroll &amp; Labour-Law Compliance:</t>
          </r>
          <r>
            <rPr>
              <rFont val="Calibri"/>
              <sz val="10"/>
            </rPr>
            <t xml:space="preserve"> Processes joining, exits and records in Keka
• </t>
          </r>
          <r>
            <rPr>
              <rFont val="Calibri"/>
              <b val="1"/>
              <sz val="10"/>
            </rPr>
            <t>Employee Relations, Engagement &amp; POSH:</t>
          </r>
          <r>
            <rPr>
              <rFont val="Calibri"/>
              <sz val="10"/>
            </rPr>
            <t xml:space="preserve"> Runs engagement activities; logs grievances
• </t>
          </r>
          <r>
            <rPr>
              <rFont val="Calibri"/>
              <b val="1"/>
              <sz val="10"/>
            </rPr>
            <t>Performance, Rewards &amp; Job Architecture:</t>
          </r>
          <r>
            <rPr>
              <rFont val="Calibri"/>
              <sz val="10"/>
            </rPr>
            <t xml:space="preserve"> Prepares cycle trackers and letters
• </t>
          </r>
          <r>
            <rPr>
              <rFont val="Calibri"/>
              <b val="1"/>
              <sz val="10"/>
            </rPr>
            <t>Learning &amp; Organisation Development:</t>
          </r>
          <r>
            <rPr>
              <rFont val="Calibri"/>
              <sz val="10"/>
            </rPr>
            <t xml:space="preserve"> Coordinates trainings and attendance
• </t>
          </r>
          <r>
            <rPr>
              <rFont val="Calibri"/>
              <b val="1"/>
              <sz val="10"/>
            </rPr>
            <t>People Analytics &amp; HRIS:</t>
          </r>
          <r>
            <rPr>
              <rFont val="Calibri"/>
              <sz val="10"/>
            </rPr>
            <t xml:space="preserve"> Maintains HRIS data and standard reports</t>
          </r>
        </is>
      </c>
      <c r="U9" s="121" t="inlineStr">
        <is>
          <t>Role play / behavioural interview; Presentation / writing test; Data case / practical; Work sample / case; Behavioural interview; Practical test</t>
        </is>
      </c>
      <c r="V9" s="122" t="inlineStr">
        <is>
          <t>Power BI / Tableau · optional; Lean / Six Sigma · optional; MOS Excel · optional</t>
        </is>
      </c>
      <c r="W9" s="122" t="inlineStr">
        <is>
          <t>Labour law, POSH, data privacy; mandatory: POSH, Code of Conduct, InfoSec &amp; Privacy</t>
        </is>
      </c>
      <c r="X9" s="122" t="inlineStr">
        <is>
          <t>86% · 0 of 1</t>
        </is>
      </c>
      <c r="Y9" s="122" t="inlineStr">
        <is>
          <t>Analytics &amp; BI · Quality &amp; process · People leadership</t>
        </is>
      </c>
      <c r="Z9" s="122" t="inlineStr">
        <is>
          <t>Project, Program &amp; Agile Management · Stakeholder &amp; Client Management · Process Improvement &amp; Quality Mindset</t>
        </is>
      </c>
    </row>
    <row r="10" ht="158" customHeight="1">
      <c r="A10" s="161" t="inlineStr">
        <is>
          <t>A</t>
        </is>
      </c>
      <c r="B10" s="26" t="inlineStr">
        <is>
          <t>A3</t>
        </is>
      </c>
      <c r="C10" s="139" t="inlineStr">
        <is>
          <t>Senior Associate</t>
        </is>
      </c>
      <c r="D10" s="110" t="inlineStr">
        <is>
          <t>Senior Administration Executive</t>
        </is>
      </c>
      <c r="E10" s="111" t="inlineStr">
        <is>
          <t>Administration &amp; Facilities</t>
        </is>
      </c>
      <c r="F10" s="111" t="inlineStr">
        <is>
          <t>Administration, Legal &amp; Secretarial</t>
        </is>
      </c>
      <c r="G10" s="111" t="inlineStr">
        <is>
          <t>Administration</t>
        </is>
      </c>
      <c r="H10" s="111" t="inlineStr">
        <is>
          <t>IC</t>
        </is>
      </c>
      <c r="I10" s="112" t="n">
        <v>4</v>
      </c>
      <c r="J10" s="162" t="n">
        <v>2</v>
      </c>
      <c r="K10" s="163" t="n">
        <v>2</v>
      </c>
      <c r="L10" s="163" t="n">
        <v>3</v>
      </c>
      <c r="M10" s="163" t="inlineStr">
        <is>
          <t>—</t>
        </is>
      </c>
      <c r="N10" s="114" t="inlineStr">
        <is>
          <t>Index ≥ 90% · meets; must-haves at required level</t>
        </is>
      </c>
      <c r="O10"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0"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0" s="164" t="inlineStr">
        <is>
          <t>Not required at this level · Band A has one common path; leadership is not scored.</t>
        </is>
      </c>
      <c r="R10" s="119" t="inlineStr">
        <is>
          <t>• ★ Regulatory &amp; BFSI Domain: Knows the relevant regulators, returns and rules
• ★ Stakeholder &amp; Client Management: Manages client communication and expectations for own work</t>
        </is>
      </c>
      <c r="S10" s="165" t="inlineStr">
        <is>
          <r>
            <rPr>
              <rFont val="Calibri"/>
              <sz val="10"/>
            </rPr>
            <t xml:space="preserve">•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Communication &amp; Presentation:</t>
          </r>
          <r>
            <rPr>
              <rFont val="Calibri"/>
              <sz val="10"/>
            </rPr>
            <t xml:space="preserve"> Writes and presents clearly to clients and teams
• </t>
          </r>
          <r>
            <rPr>
              <rFont val="Calibri"/>
              <b val="1"/>
              <sz val="10"/>
            </rPr>
            <t>Time, Priority &amp; Self-Management:</t>
          </r>
          <r>
            <rPr>
              <rFont val="Calibri"/>
              <sz val="10"/>
            </rPr>
            <t xml:space="preserve"> Manages volume and deadlines without slippage</t>
          </r>
        </is>
      </c>
      <c r="T10" s="165" t="inlineStr">
        <is>
          <r>
            <rPr>
              <rFont val="Calibri"/>
              <sz val="10"/>
            </rPr>
            <t xml:space="preserve">• </t>
          </r>
          <r>
            <rPr>
              <rFont val="Calibri"/>
              <b val="1"/>
              <sz val="10"/>
            </rPr>
            <t>Facilities &amp; Workplace Management:</t>
          </r>
          <r>
            <rPr>
              <rFont val="Calibri"/>
              <sz val="10"/>
            </rPr>
            <t xml:space="preserve"> Runs a site: maintenance, housekeeping, security, seating
• </t>
          </r>
          <r>
            <rPr>
              <rFont val="Calibri"/>
              <b val="1"/>
              <sz val="10"/>
            </rPr>
            <t>Procurement &amp; Vendor Management:</t>
          </r>
          <r>
            <rPr>
              <rFont val="Calibri"/>
              <sz val="10"/>
            </rPr>
            <t xml:space="preserve"> Runs quotations, negotiates, manages vendor SLAs
• </t>
          </r>
          <r>
            <rPr>
              <rFont val="Calibri"/>
              <b val="1"/>
              <sz val="10"/>
            </rPr>
            <t>Assets, Travel &amp; Events:</t>
          </r>
          <r>
            <rPr>
              <rFont val="Calibri"/>
              <sz val="10"/>
            </rPr>
            <t xml:space="preserve"> Runs travel desk and events within budget
• </t>
          </r>
          <r>
            <rPr>
              <rFont val="Calibri"/>
              <b val="1"/>
              <sz val="10"/>
            </rPr>
            <t>Health, Safety &amp; Business Continuity:</t>
          </r>
          <r>
            <rPr>
              <rFont val="Calibri"/>
              <sz val="10"/>
            </rPr>
            <t xml:space="preserve"> Runs drills, statutory safety compliance and BCP tests</t>
          </r>
        </is>
      </c>
      <c r="U10" s="121" t="inlineStr">
        <is>
          <t>Domain interview; Role play / behavioural interview; Work sample / case; Practical test; Presentation / writing test; Behavioural interview</t>
        </is>
      </c>
      <c r="V10" s="122" t="inlineStr">
        <is>
          <t>Domain certifications · optional; Lean / Six Sigma · optional; MOS Excel · optional</t>
        </is>
      </c>
      <c r="W10" s="122" t="inlineStr">
        <is>
          <t>Companies Act / statutory filings; vendor contracts; mandatory: POSH, Code of Conduct, InfoSec &amp; Privacy</t>
        </is>
      </c>
      <c r="X10" s="122" t="inlineStr">
        <is>
          <t>86% · 0 of 4</t>
        </is>
      </c>
      <c r="Y10" s="122" t="inlineStr">
        <is>
          <t>Regulatory domain · Quality &amp; process · Communication</t>
        </is>
      </c>
      <c r="Z10" s="122" t="inlineStr">
        <is>
          <t>AD.OFF-F: vendor coordination · service scheduling · purchasing controls · Advanced Excel &amp; Productivity Tools</t>
        </is>
      </c>
    </row>
    <row r="11" ht="158" customHeight="1">
      <c r="A11" s="161" t="inlineStr">
        <is>
          <t>A</t>
        </is>
      </c>
      <c r="B11" s="26" t="inlineStr">
        <is>
          <t>A3</t>
        </is>
      </c>
      <c r="C11" s="139" t="inlineStr">
        <is>
          <t>Senior Associate</t>
        </is>
      </c>
      <c r="D11" s="110" t="inlineStr">
        <is>
          <t>Senior Secretarial Executive</t>
        </is>
      </c>
      <c r="E11" s="111" t="inlineStr">
        <is>
          <t>Company Secretarial &amp; Legal</t>
        </is>
      </c>
      <c r="F11" s="111" t="inlineStr">
        <is>
          <t>Administration, Legal &amp; Secretarial</t>
        </is>
      </c>
      <c r="G11" s="111" t="inlineStr">
        <is>
          <t>Secretarial &amp; Legal</t>
        </is>
      </c>
      <c r="H11" s="111" t="inlineStr">
        <is>
          <t>IC</t>
        </is>
      </c>
      <c r="I11" s="112" t="n">
        <v>1</v>
      </c>
      <c r="J11" s="162" t="n">
        <v>2</v>
      </c>
      <c r="K11" s="163" t="n">
        <v>2</v>
      </c>
      <c r="L11" s="163" t="n">
        <v>3</v>
      </c>
      <c r="M11" s="163" t="inlineStr">
        <is>
          <t>—</t>
        </is>
      </c>
      <c r="N11" s="114" t="inlineStr">
        <is>
          <t>Index ≥ 90% · meets; must-haves at required level</t>
        </is>
      </c>
      <c r="O11"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1"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1" s="164" t="inlineStr">
        <is>
          <t>Not required at this level · Band A has one common path; leadership is not scored.</t>
        </is>
      </c>
      <c r="R11" s="119" t="inlineStr">
        <is>
          <t>• ★ Regulatory &amp; BFSI Domain: Knows the relevant regulators, returns and rules
• ★ Stakeholder &amp; Client Management: Manages client communication and expectations for own work</t>
        </is>
      </c>
      <c r="S11" s="165" t="inlineStr">
        <is>
          <r>
            <rPr>
              <rFont val="Calibri"/>
              <sz val="10"/>
            </rPr>
            <t xml:space="preserve">•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Communication &amp; Presentation:</t>
          </r>
          <r>
            <rPr>
              <rFont val="Calibri"/>
              <sz val="10"/>
            </rPr>
            <t xml:space="preserve"> Writes and presents clearly to clients and teams
• </t>
          </r>
          <r>
            <rPr>
              <rFont val="Calibri"/>
              <b val="1"/>
              <sz val="10"/>
            </rPr>
            <t>Time, Priority &amp; Self-Management:</t>
          </r>
          <r>
            <rPr>
              <rFont val="Calibri"/>
              <sz val="10"/>
            </rPr>
            <t xml:space="preserve"> Manages volume and deadlines without slippage</t>
          </r>
        </is>
      </c>
      <c r="T11" s="165" t="inlineStr">
        <is>
          <r>
            <rPr>
              <rFont val="Calibri"/>
              <sz val="10"/>
            </rPr>
            <t xml:space="preserve">• </t>
          </r>
          <r>
            <rPr>
              <rFont val="Calibri"/>
              <b val="1"/>
              <sz val="10"/>
            </rPr>
            <t>Corporate Law &amp; Secretarial Compliance:</t>
          </r>
          <r>
            <rPr>
              <rFont val="Calibri"/>
              <sz val="10"/>
            </rPr>
            <t xml:space="preserve"> Files MCA / stock-exchange returns; drafts minutes and resolutions
• </t>
          </r>
          <r>
            <rPr>
              <rFont val="Calibri"/>
              <b val="1"/>
              <sz val="10"/>
            </rPr>
            <t>Contract Drafting, Review &amp; Negotiation:</t>
          </r>
          <r>
            <rPr>
              <rFont val="Calibri"/>
              <sz val="10"/>
            </rPr>
            <t xml:space="preserve"> Reviews and redlines standard contracts; flags risk
• </t>
          </r>
          <r>
            <rPr>
              <rFont val="Calibri"/>
              <b val="1"/>
              <sz val="10"/>
            </rPr>
            <t>Board &amp; Governance Support:</t>
          </r>
          <r>
            <rPr>
              <rFont val="Calibri"/>
              <sz val="10"/>
            </rPr>
            <t xml:space="preserve"> Runs board / committee meetings and statutory records
• </t>
          </r>
          <r>
            <rPr>
              <rFont val="Calibri"/>
              <b val="1"/>
              <sz val="10"/>
            </rPr>
            <t>Regulatory &amp; Data-Privacy Compliance · DPDP Act:</t>
          </r>
          <r>
            <rPr>
              <rFont val="Calibri"/>
              <sz val="10"/>
            </rPr>
            <t xml:space="preserve"> Maintains compliance registers; supports DPIAs</t>
          </r>
        </is>
      </c>
      <c r="U11" s="121" t="inlineStr">
        <is>
          <t>Domain interview; Role play / behavioural interview; Work sample / case; Practical test; Presentation / writing test; Behavioural interview</t>
        </is>
      </c>
      <c r="V11" s="122" t="inlineStr">
        <is>
          <t>Domain certifications · optional; Lean / Six Sigma · optional; MOS Excel · optional</t>
        </is>
      </c>
      <c r="W11" s="122" t="inlineStr">
        <is>
          <t>Companies Act / statutory filings; vendor contracts; mandatory: POSH, Code of Conduct, InfoSec &amp; Privacy</t>
        </is>
      </c>
      <c r="X11" s="122" t="inlineStr">
        <is>
          <t>100% · 1 of 1</t>
        </is>
      </c>
      <c r="Y11" s="122" t="inlineStr">
        <is>
          <t>Ownership · Problem solving · Learning agility</t>
        </is>
      </c>
      <c r="Z11" s="122" t="inlineStr">
        <is>
          <t>Regulatory &amp; BFSI Domain · AI, GenAI &amp; Prompt Engineering · Product, Platform &amp; Domain Knowledge</t>
        </is>
      </c>
    </row>
    <row r="12" ht="158" customHeight="1">
      <c r="A12" s="161" t="inlineStr">
        <is>
          <t>A</t>
        </is>
      </c>
      <c r="B12" s="26" t="inlineStr">
        <is>
          <t>A3</t>
        </is>
      </c>
      <c r="C12" s="139" t="inlineStr">
        <is>
          <t>Senior Associate</t>
        </is>
      </c>
      <c r="D12" s="110" t="inlineStr">
        <is>
          <t>Senior Designer</t>
        </is>
      </c>
      <c r="E12" s="111" t="inlineStr">
        <is>
          <t>Brand, Graphic &amp; Video Design</t>
        </is>
      </c>
      <c r="F12" s="111" t="inlineStr">
        <is>
          <t>Design &amp; Creative</t>
        </is>
      </c>
      <c r="G12" s="111" t="inlineStr">
        <is>
          <t>Marketing</t>
        </is>
      </c>
      <c r="H12" s="111" t="inlineStr">
        <is>
          <t>IC</t>
        </is>
      </c>
      <c r="I12" s="112" t="n">
        <v>1</v>
      </c>
      <c r="J12" s="162" t="n">
        <v>2</v>
      </c>
      <c r="K12" s="163" t="n">
        <v>2</v>
      </c>
      <c r="L12" s="163" t="n">
        <v>3</v>
      </c>
      <c r="M12" s="163" t="inlineStr">
        <is>
          <t>—</t>
        </is>
      </c>
      <c r="N12" s="114" t="inlineStr">
        <is>
          <t>Index ≥ 90% · meets; must-haves at required level</t>
        </is>
      </c>
      <c r="O12"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2"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2" s="164" t="inlineStr">
        <is>
          <t>Not required at this level · Band A has one common path; leadership is not scored.</t>
        </is>
      </c>
      <c r="R12" s="119" t="inlineStr">
        <is>
          <t>• ★ Product, Platform &amp; Domain Knowledge: Handles most product and domain scenarios
• ★ Communication &amp; Presentation: Writes and presents clearly to clients and teams</t>
        </is>
      </c>
      <c r="S12" s="165" t="inlineStr">
        <is>
          <r>
            <rPr>
              <rFont val="Calibri"/>
              <sz val="10"/>
            </rPr>
            <t xml:space="preserve">• </t>
          </r>
          <r>
            <rPr>
              <rFont val="Calibri"/>
              <b val="1"/>
              <sz val="10"/>
            </rPr>
            <t>Marketing Tech &amp; Digital Marketing:</t>
          </r>
          <r>
            <rPr>
              <rFont val="Calibri"/>
              <sz val="10"/>
            </rPr>
            <t xml:space="preserve"> Runs campaigns, CRM, SEO and social channels
• </t>
          </r>
          <r>
            <rPr>
              <rFont val="Calibri"/>
              <b val="1"/>
              <sz val="10"/>
            </rPr>
            <t>Process Improvement &amp; Quality Mindset:</t>
          </r>
          <r>
            <rPr>
              <rFont val="Calibri"/>
              <sz val="10"/>
            </rPr>
            <t xml:space="preserve"> Delivers right-first-time; improves own checklists
• </t>
          </r>
          <r>
            <rPr>
              <rFont val="Calibri"/>
              <b val="1"/>
              <sz val="10"/>
            </rPr>
            <t>AI, GenAI &amp; Prompt Engineering:</t>
          </r>
          <r>
            <rPr>
              <rFont val="Calibri"/>
              <sz val="10"/>
            </rPr>
            <t xml:space="preserve"> Uses AI / LLM tools in own work and validates output
• </t>
          </r>
          <r>
            <rPr>
              <rFont val="Calibri"/>
              <b val="1"/>
              <sz val="10"/>
            </rPr>
            <t>Stakeholder &amp; Client Management:</t>
          </r>
          <r>
            <rPr>
              <rFont val="Calibri"/>
              <sz val="10"/>
            </rPr>
            <t xml:space="preserve"> Manages client communication and expectations for own work</t>
          </r>
        </is>
      </c>
      <c r="T12" s="165" t="inlineStr">
        <is>
          <t>—</t>
        </is>
      </c>
      <c r="U12" s="121" t="inlineStr">
        <is>
          <t>Scenario interview; Presentation / writing test; Portfolio / case; Work sample / case; Work sample / portfolio; Role play / behavioural interview</t>
        </is>
      </c>
      <c r="V12" s="122" t="inlineStr">
        <is>
          <t>Internal product certification; Google / HubSpot certifications; Lean / Six Sigma · optional; Vendor AI certifications · optional</t>
        </is>
      </c>
      <c r="W12" s="122" t="inlineStr">
        <is>
          <t>Brand and accessibility standards · WCAG; mandatory: POSH, Code of Conduct, InfoSec &amp; Privacy</t>
        </is>
      </c>
      <c r="X12" s="122" t="inlineStr">
        <is>
          <t>94% · 1 of 1</t>
        </is>
      </c>
      <c r="Y12" s="122" t="inlineStr">
        <is>
          <t>Stakeholder mgmt · Problem solving · Learning agility</t>
        </is>
      </c>
      <c r="Z12" s="122" t="inlineStr">
        <is>
          <t>Project, Program &amp; Agile Management</t>
        </is>
      </c>
    </row>
    <row r="13" ht="184" customHeight="1">
      <c r="A13" s="161" t="inlineStr">
        <is>
          <t>A</t>
        </is>
      </c>
      <c r="B13" s="26" t="inlineStr">
        <is>
          <t>A3</t>
        </is>
      </c>
      <c r="C13" s="139" t="inlineStr">
        <is>
          <t>Senior Associate</t>
        </is>
      </c>
      <c r="D13" s="110" t="inlineStr">
        <is>
          <t>Senior DevOps Engineer</t>
        </is>
      </c>
      <c r="E13" s="111" t="inlineStr">
        <is>
          <t>DevOps &amp; Release Engineering</t>
        </is>
      </c>
      <c r="F13" s="111" t="inlineStr">
        <is>
          <t>Engineering &amp; Development</t>
        </is>
      </c>
      <c r="G13" s="111" t="inlineStr">
        <is>
          <t>IT &amp; Infrastructure</t>
        </is>
      </c>
      <c r="H13" s="111" t="inlineStr">
        <is>
          <t>IC</t>
        </is>
      </c>
      <c r="I13" s="112" t="n">
        <v>1</v>
      </c>
      <c r="J13" s="162" t="n">
        <v>2</v>
      </c>
      <c r="K13" s="163" t="n">
        <v>2</v>
      </c>
      <c r="L13" s="163" t="n">
        <v>3</v>
      </c>
      <c r="M13" s="163" t="inlineStr">
        <is>
          <t>—</t>
        </is>
      </c>
      <c r="N13" s="114" t="inlineStr">
        <is>
          <t>Index ≥ 90% · meets; must-haves at required level</t>
        </is>
      </c>
      <c r="O13"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3"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3" s="164" t="inlineStr">
        <is>
          <t>Not required at this level · Band A has one common path; leadership is not scored.</t>
        </is>
      </c>
      <c r="R13" s="119" t="inlineStr">
        <is>
          <t>• ★ Programming &amp; Tech-Stack Depth: Builds features with clean, tested code
• ★ System Design &amp; Architecture: Designs components and integrations for a module</t>
        </is>
      </c>
      <c r="S13" s="165"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13" s="165" t="inlineStr">
        <is>
          <r>
            <rPr>
              <rFont val="Calibri"/>
              <sz val="10"/>
            </rPr>
            <t xml:space="preserve">• </t>
          </r>
          <r>
            <rPr>
              <rFont val="Calibri"/>
              <b val="1"/>
              <sz val="10"/>
            </rPr>
            <t>Network &amp; Systems Administration:</t>
          </r>
          <r>
            <rPr>
              <rFont val="Calibri"/>
              <sz val="10"/>
            </rPr>
            <t xml:space="preserve"> Administers servers, AD, firewalls and backups
• </t>
          </r>
          <r>
            <rPr>
              <rFont val="Calibri"/>
              <b val="1"/>
              <sz val="10"/>
            </rPr>
            <t>End-User Support &amp; Service Desk · ITIL 4:</t>
          </r>
          <r>
            <rPr>
              <rFont val="Calibri"/>
              <sz val="10"/>
            </rPr>
            <t xml:space="preserve"> Resolves L2 issues; maintains knowledge base
• </t>
          </r>
          <r>
            <rPr>
              <rFont val="Calibri"/>
              <b val="1"/>
              <sz val="10"/>
            </rPr>
            <t>Information Security &amp; ISO 27001 Controls:</t>
          </r>
          <r>
            <rPr>
              <rFont val="Calibri"/>
              <sz val="10"/>
            </rPr>
            <t xml:space="preserve"> Runs access reviews, vulnerability fixes and audit evidence
• </t>
          </r>
          <r>
            <rPr>
              <rFont val="Calibri"/>
              <b val="1"/>
              <sz val="10"/>
            </rPr>
            <t>Cloud &amp; Platform Operations:</t>
          </r>
          <r>
            <rPr>
              <rFont val="Calibri"/>
              <sz val="10"/>
            </rPr>
            <t xml:space="preserve"> Provisions and monitors cloud resources; backups and DR
• </t>
          </r>
          <r>
            <rPr>
              <rFont val="Calibri"/>
              <b val="1"/>
              <sz val="10"/>
            </rPr>
            <t>IT Asset &amp; Licence Management:</t>
          </r>
          <r>
            <rPr>
              <rFont val="Calibri"/>
              <sz val="10"/>
            </rPr>
            <t xml:space="preserve"> Runs asset lifecycle and licence true-ups</t>
          </r>
        </is>
      </c>
      <c r="U13" s="121" t="inlineStr">
        <is>
          <t>Coding test + code review; System-design interview / design review; SQL test / case; Practical task; Work sample / portfolio; Scenario interview</t>
        </is>
      </c>
      <c r="V13" s="122" t="inlineStr">
        <is>
          <t>Cloud / language certifications · optional; AWS / Azure architect · optional; Database certifications · optional; AWS / Azure / Kubernetes certifications; Vendor AI certifications · optional; Internal product certification</t>
        </is>
      </c>
      <c r="W13" s="122" t="inlineStr">
        <is>
          <t>Secure coding · OWASP, code review, unit testing; mandatory: POSH, Code of Conduct, InfoSec &amp; Privacy</t>
        </is>
      </c>
      <c r="X13" s="122" t="inlineStr">
        <is>
          <t>80% · 0 of 1</t>
        </is>
      </c>
      <c r="Y13" s="122" t="inlineStr">
        <is>
          <t>Programming &amp; stack · System design · SQL &amp; data</t>
        </is>
      </c>
      <c r="Z13" s="122" t="inlineStr">
        <is>
          <t>Project, Program &amp; Agile Management</t>
        </is>
      </c>
    </row>
    <row r="14" ht="249" customHeight="1">
      <c r="A14" s="161" t="inlineStr">
        <is>
          <t>A</t>
        </is>
      </c>
      <c r="B14" s="26" t="inlineStr">
        <is>
          <t>A3</t>
        </is>
      </c>
      <c r="C14" s="139" t="inlineStr">
        <is>
          <t>Senior Associate</t>
        </is>
      </c>
      <c r="D14" s="110" t="inlineStr">
        <is>
          <t>Senior Accounts Executive</t>
        </is>
      </c>
      <c r="E14" s="111" t="inlineStr">
        <is>
          <t>Accounting &amp; Transaction Processing</t>
        </is>
      </c>
      <c r="F14" s="111" t="inlineStr">
        <is>
          <t>Finance &amp; Accounts</t>
        </is>
      </c>
      <c r="G14" s="111" t="inlineStr">
        <is>
          <t>Finance</t>
        </is>
      </c>
      <c r="H14" s="111" t="inlineStr">
        <is>
          <t>IC</t>
        </is>
      </c>
      <c r="I14" s="112" t="n">
        <v>2</v>
      </c>
      <c r="J14" s="162" t="n">
        <v>2</v>
      </c>
      <c r="K14" s="163" t="n">
        <v>2</v>
      </c>
      <c r="L14" s="163" t="n">
        <v>3</v>
      </c>
      <c r="M14" s="163" t="inlineStr">
        <is>
          <t>—</t>
        </is>
      </c>
      <c r="N14" s="114" t="inlineStr">
        <is>
          <t>Index ≥ 90% · meets; must-haves at required level</t>
        </is>
      </c>
      <c r="O14"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4"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4" s="164" t="inlineStr">
        <is>
          <t>Not required at this level · Band A has one common path; leadership is not scored.</t>
        </is>
      </c>
      <c r="R14" s="119" t="inlineStr">
        <is>
          <t>• ★ Accounting &amp; Reporting Standards · IFRS/US GAAP: Applies IFRS / US GAAP / Ind AS correctly
• ★ Advanced Excel &amp; Productivity Tools: Uses advanced Excel, Word, HTML and conversion tools fluently</t>
        </is>
      </c>
      <c r="S14" s="165"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t>
          </r>
        </is>
      </c>
      <c r="T14" s="165" t="inlineStr">
        <is>
          <r>
            <rPr>
              <rFont val="Calibri"/>
              <sz val="10"/>
            </rPr>
            <t xml:space="preserve">• </t>
          </r>
          <r>
            <rPr>
              <rFont val="Calibri"/>
              <b val="1"/>
              <sz val="10"/>
            </rPr>
            <t>Financial Accounting, Close &amp; Reporting · Ind AS:</t>
          </r>
          <r>
            <rPr>
              <rFont val="Calibri"/>
              <sz val="10"/>
            </rPr>
            <t xml:space="preserve"> Runs month-end close for an entity; prepares schedules and MIS
• </t>
          </r>
          <r>
            <rPr>
              <rFont val="Calibri"/>
              <b val="1"/>
              <sz val="10"/>
            </rPr>
            <t>Taxation &amp; Statutory Compliance · GST, TDS, Income-tax:</t>
          </r>
          <r>
            <rPr>
              <rFont val="Calibri"/>
              <sz val="10"/>
            </rPr>
            <t xml:space="preserve"> Files returns; handles notices; transfer-pricing documentation support
• </t>
          </r>
          <r>
            <rPr>
              <rFont val="Calibri"/>
              <b val="1"/>
              <sz val="10"/>
            </rPr>
            <t>FP&amp;A, Budgeting &amp; Business Partnering:</t>
          </r>
          <r>
            <rPr>
              <rFont val="Calibri"/>
              <sz val="10"/>
            </rPr>
            <t xml:space="preserve"> Builds budgets and forecasts for a business; variance analysis
• </t>
          </r>
          <r>
            <rPr>
              <rFont val="Calibri"/>
              <b val="1"/>
              <sz val="10"/>
            </rPr>
            <t>Audit, Internal Controls &amp; Risk:</t>
          </r>
          <r>
            <rPr>
              <rFont val="Calibri"/>
              <sz val="10"/>
            </rPr>
            <t xml:space="preserve"> Runs internal-control testing; closes audit points
• </t>
          </r>
          <r>
            <rPr>
              <rFont val="Calibri"/>
              <b val="1"/>
              <sz val="10"/>
            </rPr>
            <t>Treasury, Receivables &amp; Collections:</t>
          </r>
          <r>
            <rPr>
              <rFont val="Calibri"/>
              <sz val="10"/>
            </rPr>
            <t xml:space="preserve"> Runs collections and cash forecasting; bank relationships
• </t>
          </r>
          <r>
            <rPr>
              <rFont val="Calibri"/>
              <b val="1"/>
              <sz val="10"/>
            </rPr>
            <t>Finance Systems &amp; Automation · ERP:</t>
          </r>
          <r>
            <rPr>
              <rFont val="Calibri"/>
              <sz val="10"/>
            </rPr>
            <t xml:space="preserve"> Builds reports and automates reconciliations</t>
          </r>
        </is>
      </c>
      <c r="U14" s="121" t="inlineStr">
        <is>
          <t>Accounting test; Practical test; Domain interview; Data case / practical; Work sample / case; Case interview</t>
        </is>
      </c>
      <c r="V14" s="122" t="inlineStr">
        <is>
          <t>CA / CMA / ACCA / CFA / IFRS certificate; MOS Excel · optional; Domain certifications · optional; Power BI / Tableau · optional; Lean / Six Sigma · optional; MBA / PGDM · preferred at C+</t>
        </is>
      </c>
      <c r="W14" s="122" t="inlineStr">
        <is>
          <t>Statutory compliance · GST, TDS, audit; mandatory: POSH, Code of Conduct, InfoSec &amp; Privacy</t>
        </is>
      </c>
      <c r="X14" s="122" t="inlineStr">
        <is>
          <t>79% · 0 of 2</t>
        </is>
      </c>
      <c r="Y14" s="122" t="inlineStr">
        <is>
          <t>Regulatory domain · Analytics &amp; BI · Business acumen · Excel &amp; tools</t>
        </is>
      </c>
      <c r="Z14" s="122" t="inlineStr">
        <is>
          <t>AI, GenAI &amp; Prompt Engineering · Project, Program &amp; Agile Management</t>
        </is>
      </c>
    </row>
    <row r="15" ht="236" customHeight="1">
      <c r="A15" s="161" t="inlineStr">
        <is>
          <t>A</t>
        </is>
      </c>
      <c r="B15" s="26" t="inlineStr">
        <is>
          <t>A3</t>
        </is>
      </c>
      <c r="C15" s="139" t="inlineStr">
        <is>
          <t>Senior Associate</t>
        </is>
      </c>
      <c r="D15" s="110" t="inlineStr">
        <is>
          <t>Senior Talent Acquisition Executive</t>
        </is>
      </c>
      <c r="E15" s="111" t="inlineStr">
        <is>
          <t>Talent Acquisition</t>
        </is>
      </c>
      <c r="F15" s="111" t="inlineStr">
        <is>
          <t>Human Resources</t>
        </is>
      </c>
      <c r="G15" s="111" t="inlineStr">
        <is>
          <t>HR</t>
        </is>
      </c>
      <c r="H15" s="111" t="inlineStr">
        <is>
          <t>IC</t>
        </is>
      </c>
      <c r="I15" s="112" t="n">
        <v>2</v>
      </c>
      <c r="J15" s="162" t="n">
        <v>2</v>
      </c>
      <c r="K15" s="163" t="n">
        <v>2</v>
      </c>
      <c r="L15" s="163" t="n">
        <v>3</v>
      </c>
      <c r="M15" s="163" t="inlineStr">
        <is>
          <t>—</t>
        </is>
      </c>
      <c r="N15" s="114" t="inlineStr">
        <is>
          <t>Index ≥ 90% · meets; must-haves at required level</t>
        </is>
      </c>
      <c r="O15"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5"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5" s="164" t="inlineStr">
        <is>
          <t>Not required at this level · Band A has one common path; leadership is not scored.</t>
        </is>
      </c>
      <c r="R15" s="119" t="inlineStr">
        <is>
          <t>• ★ Stakeholder &amp; Client Management: Manages client communication and expectations for own work
• ★ Communication &amp; Presentation: Writes and presents clearly to clients and teams</t>
        </is>
      </c>
      <c r="S15" s="165" t="inlineStr">
        <is>
          <r>
            <rPr>
              <rFont val="Calibri"/>
              <sz val="10"/>
            </rPr>
            <t xml:space="preserve">•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People Leadership &amp; Mentoring:</t>
          </r>
          <r>
            <rPr>
              <rFont val="Calibri"/>
              <sz val="10"/>
            </rPr>
            <t xml:space="preserve"> Coaches and allocates work
• </t>
          </r>
          <r>
            <rPr>
              <rFont val="Calibri"/>
              <b val="1"/>
              <sz val="10"/>
            </rPr>
            <t>Advanced Excel &amp; Productivity Tools:</t>
          </r>
          <r>
            <rPr>
              <rFont val="Calibri"/>
              <sz val="10"/>
            </rPr>
            <t xml:space="preserve"> Uses advanced Excel, Word, HTML and conversion tools fluently</t>
          </r>
        </is>
      </c>
      <c r="T15" s="165" t="inlineStr">
        <is>
          <r>
            <rPr>
              <rFont val="Calibri"/>
              <sz val="10"/>
            </rPr>
            <t xml:space="preserve">• </t>
          </r>
          <r>
            <rPr>
              <rFont val="Calibri"/>
              <b val="1"/>
              <sz val="10"/>
            </rPr>
            <t>Talent Acquisition &amp; Employer Brand:</t>
          </r>
          <r>
            <rPr>
              <rFont val="Calibri"/>
              <sz val="10"/>
            </rPr>
            <t xml:space="preserve"> Runs end-to-end hiring for roles; structured interviews; offer closure
• </t>
          </r>
          <r>
            <rPr>
              <rFont val="Calibri"/>
              <b val="1"/>
              <sz val="10"/>
            </rPr>
            <t>HR Operations, Payroll &amp; Labour-Law Compliance:</t>
          </r>
          <r>
            <rPr>
              <rFont val="Calibri"/>
              <sz val="10"/>
            </rPr>
            <t xml:space="preserve"> Owns payroll inputs, PF / ESI / gratuity, statutory registers; audit-ready
• </t>
          </r>
          <r>
            <rPr>
              <rFont val="Calibri"/>
              <b val="1"/>
              <sz val="10"/>
            </rPr>
            <t>Employee Relations, Engagement &amp; POSH:</t>
          </r>
          <r>
            <rPr>
              <rFont val="Calibri"/>
              <sz val="10"/>
            </rPr>
            <t xml:space="preserve"> Handles grievances and POSH process steps; runs engagement surveys
• </t>
          </r>
          <r>
            <rPr>
              <rFont val="Calibri"/>
              <b val="1"/>
              <sz val="10"/>
            </rPr>
            <t>Performance, Rewards &amp; Job Architecture:</t>
          </r>
          <r>
            <rPr>
              <rFont val="Calibri"/>
              <sz val="10"/>
            </rPr>
            <t xml:space="preserve"> Runs appraisal cycle; benchmarks pay for roles; applies the level framework
• </t>
          </r>
          <r>
            <rPr>
              <rFont val="Calibri"/>
              <b val="1"/>
              <sz val="10"/>
            </rPr>
            <t>Learning &amp; Organisation Development:</t>
          </r>
          <r>
            <rPr>
              <rFont val="Calibri"/>
              <sz val="10"/>
            </rPr>
            <t xml:space="preserve"> Designs programmes from the competency framework; measures impact
• </t>
          </r>
          <r>
            <rPr>
              <rFont val="Calibri"/>
              <b val="1"/>
              <sz val="10"/>
            </rPr>
            <t>People Analytics &amp; HRIS:</t>
          </r>
          <r>
            <rPr>
              <rFont val="Calibri"/>
              <sz val="10"/>
            </rPr>
            <t xml:space="preserve"> Builds dashboards on attrition, hiring, cost</t>
          </r>
        </is>
      </c>
      <c r="U15" s="121" t="inlineStr">
        <is>
          <t>Role play / behavioural interview; Presentation / writing test; Data case / practical; Work sample / case; Behavioural interview; Practical test</t>
        </is>
      </c>
      <c r="V15" s="122" t="inlineStr">
        <is>
          <t>Power BI / Tableau · optional; Lean / Six Sigma · optional; MOS Excel · optional</t>
        </is>
      </c>
      <c r="W15" s="122" t="inlineStr">
        <is>
          <t>Labour law, POSH, data privacy; mandatory: POSH, Code of Conduct, InfoSec &amp; Privacy</t>
        </is>
      </c>
      <c r="X15" s="122" t="inlineStr">
        <is>
          <t>80% · 0 of 2</t>
        </is>
      </c>
      <c r="Y15" s="122" t="inlineStr">
        <is>
          <t>Communication · Analytics &amp; BI · People leadership</t>
        </is>
      </c>
      <c r="Z15" s="122" t="inlineStr">
        <is>
          <t>AI, GenAI &amp; Prompt Engineering · Project, Program &amp; Agile Management · Strategic Thinking &amp; Business Acumen</t>
        </is>
      </c>
    </row>
    <row r="16" ht="184" customHeight="1">
      <c r="A16" s="161" t="inlineStr">
        <is>
          <t>A</t>
        </is>
      </c>
      <c r="B16" s="26" t="inlineStr">
        <is>
          <t>A3</t>
        </is>
      </c>
      <c r="C16" s="139" t="inlineStr">
        <is>
          <t>Senior Associate</t>
        </is>
      </c>
      <c r="D16" s="110" t="inlineStr">
        <is>
          <t>Senior Desktop Support Engineer</t>
        </is>
      </c>
      <c r="E16" s="111" t="inlineStr">
        <is>
          <t>End-User Support</t>
        </is>
      </c>
      <c r="F16" s="111" t="inlineStr">
        <is>
          <t>IT &amp; Infrastructure</t>
        </is>
      </c>
      <c r="G16" s="111" t="inlineStr">
        <is>
          <t>IT &amp; Infrastructure</t>
        </is>
      </c>
      <c r="H16" s="111" t="inlineStr">
        <is>
          <t>IC</t>
        </is>
      </c>
      <c r="I16" s="112" t="n">
        <v>1</v>
      </c>
      <c r="J16" s="162" t="n">
        <v>2</v>
      </c>
      <c r="K16" s="163" t="n">
        <v>2</v>
      </c>
      <c r="L16" s="163" t="n">
        <v>3</v>
      </c>
      <c r="M16" s="163" t="inlineStr">
        <is>
          <t>—</t>
        </is>
      </c>
      <c r="N16" s="114" t="inlineStr">
        <is>
          <t>Index ≥ 90% · meets; must-haves at required level</t>
        </is>
      </c>
      <c r="O16"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6"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6" s="164" t="inlineStr">
        <is>
          <t>Not required at this level · Band A has one common path; leadership is not scored.</t>
        </is>
      </c>
      <c r="R16" s="119" t="inlineStr">
        <is>
          <t>• ★ Cybersecurity &amp; Infrastructure: Administers secure servers, networks and access
• ★ Cloud, DevOps &amp; CI/CD: Builds and runs CI/CD pipelines and environments</t>
        </is>
      </c>
      <c r="S16" s="165" t="inlineStr">
        <is>
          <r>
            <rPr>
              <rFont val="Calibri"/>
              <sz val="10"/>
            </rPr>
            <t xml:space="preserve">•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t>
          </r>
        </is>
      </c>
      <c r="T16" s="165" t="inlineStr">
        <is>
          <r>
            <rPr>
              <rFont val="Calibri"/>
              <sz val="10"/>
            </rPr>
            <t xml:space="preserve">• </t>
          </r>
          <r>
            <rPr>
              <rFont val="Calibri"/>
              <b val="1"/>
              <sz val="10"/>
            </rPr>
            <t>Network &amp; Systems Administration:</t>
          </r>
          <r>
            <rPr>
              <rFont val="Calibri"/>
              <sz val="10"/>
            </rPr>
            <t xml:space="preserve"> Administers servers, AD, firewalls and backups
• </t>
          </r>
          <r>
            <rPr>
              <rFont val="Calibri"/>
              <b val="1"/>
              <sz val="10"/>
            </rPr>
            <t>End-User Support &amp; Service Desk · ITIL 4:</t>
          </r>
          <r>
            <rPr>
              <rFont val="Calibri"/>
              <sz val="10"/>
            </rPr>
            <t xml:space="preserve"> Resolves L2 issues; maintains knowledge base
• </t>
          </r>
          <r>
            <rPr>
              <rFont val="Calibri"/>
              <b val="1"/>
              <sz val="10"/>
            </rPr>
            <t>Information Security &amp; ISO 27001 Controls:</t>
          </r>
          <r>
            <rPr>
              <rFont val="Calibri"/>
              <sz val="10"/>
            </rPr>
            <t xml:space="preserve"> Runs access reviews, vulnerability fixes and audit evidence
• </t>
          </r>
          <r>
            <rPr>
              <rFont val="Calibri"/>
              <b val="1"/>
              <sz val="10"/>
            </rPr>
            <t>Cloud &amp; Platform Operations:</t>
          </r>
          <r>
            <rPr>
              <rFont val="Calibri"/>
              <sz val="10"/>
            </rPr>
            <t xml:space="preserve"> Provisions and monitors cloud resources; backups and DR
• </t>
          </r>
          <r>
            <rPr>
              <rFont val="Calibri"/>
              <b val="1"/>
              <sz val="10"/>
            </rPr>
            <t>IT Asset &amp; Licence Management:</t>
          </r>
          <r>
            <rPr>
              <rFont val="Calibri"/>
              <sz val="10"/>
            </rPr>
            <t xml:space="preserve"> Runs asset lifecycle and licence true-ups</t>
          </r>
        </is>
      </c>
      <c r="U16" s="121" t="inlineStr">
        <is>
          <t>Practical task; Work sample / case; Role play / behavioural interview; Behavioural interview; Work sample / portfolio</t>
        </is>
      </c>
      <c r="V16" s="122" t="inlineStr">
        <is>
          <t>Microsoft / CCNA / ISO 27001 / ITIL; AWS / Azure / Kubernetes certifications; Lean / Six Sigma · optional; Vendor AI certifications · optional</t>
        </is>
      </c>
      <c r="W16" s="122" t="inlineStr">
        <is>
          <t>ISO 27001 / InfoSec controls; mandatory: POSH, Code of Conduct, InfoSec &amp; Privacy</t>
        </is>
      </c>
      <c r="X16" s="122" t="inlineStr">
        <is>
          <t>97% · 1 of 1</t>
        </is>
      </c>
      <c r="Y16" s="122" t="inlineStr">
        <is>
          <t>AI / GenAI · Learning agility · Data literacy</t>
        </is>
      </c>
      <c r="Z16" s="122" t="inlineStr">
        <is>
          <t>Cloud, DevOps &amp; CI/CD · Cybersecurity &amp; Infrastructure · AI, GenAI &amp; Prompt Engineering</t>
        </is>
      </c>
    </row>
    <row r="17" ht="184" customHeight="1">
      <c r="A17" s="161" t="inlineStr">
        <is>
          <t>A</t>
        </is>
      </c>
      <c r="B17" s="26" t="inlineStr">
        <is>
          <t>A3</t>
        </is>
      </c>
      <c r="C17" s="139" t="inlineStr">
        <is>
          <t>Senior Associate</t>
        </is>
      </c>
      <c r="D17" s="110" t="inlineStr">
        <is>
          <t>Infrastructure Specialist</t>
        </is>
      </c>
      <c r="E17" s="111" t="inlineStr">
        <is>
          <t>Infrastructure &amp; Cloud Operations</t>
        </is>
      </c>
      <c r="F17" s="111" t="inlineStr">
        <is>
          <t>IT &amp; Infrastructure</t>
        </is>
      </c>
      <c r="G17" s="111" t="inlineStr">
        <is>
          <t>IT &amp; Infrastructure</t>
        </is>
      </c>
      <c r="H17" s="111" t="inlineStr">
        <is>
          <t>IC</t>
        </is>
      </c>
      <c r="I17" s="112" t="n">
        <v>1</v>
      </c>
      <c r="J17" s="162" t="n">
        <v>2</v>
      </c>
      <c r="K17" s="163" t="n">
        <v>2</v>
      </c>
      <c r="L17" s="163" t="n">
        <v>3</v>
      </c>
      <c r="M17" s="163" t="inlineStr">
        <is>
          <t>—</t>
        </is>
      </c>
      <c r="N17" s="114" t="inlineStr">
        <is>
          <t>Index ≥ 90% · meets; must-haves at required level</t>
        </is>
      </c>
      <c r="O17"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7"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7" s="164" t="inlineStr">
        <is>
          <t>Not required at this level · Band A has one common path; leadership is not scored.</t>
        </is>
      </c>
      <c r="R17" s="119" t="inlineStr">
        <is>
          <t>• ★ Cybersecurity &amp; Infrastructure: Administers secure servers, networks and access
• ★ Cloud, DevOps &amp; CI/CD: Builds and runs CI/CD pipelines and environments</t>
        </is>
      </c>
      <c r="S17" s="165" t="inlineStr">
        <is>
          <r>
            <rPr>
              <rFont val="Calibri"/>
              <sz val="10"/>
            </rPr>
            <t xml:space="preserve">•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t>
          </r>
        </is>
      </c>
      <c r="T17" s="165" t="inlineStr">
        <is>
          <r>
            <rPr>
              <rFont val="Calibri"/>
              <sz val="10"/>
            </rPr>
            <t xml:space="preserve">• </t>
          </r>
          <r>
            <rPr>
              <rFont val="Calibri"/>
              <b val="1"/>
              <sz val="10"/>
            </rPr>
            <t>Network &amp; Systems Administration:</t>
          </r>
          <r>
            <rPr>
              <rFont val="Calibri"/>
              <sz val="10"/>
            </rPr>
            <t xml:space="preserve"> Administers servers, AD, firewalls and backups
• </t>
          </r>
          <r>
            <rPr>
              <rFont val="Calibri"/>
              <b val="1"/>
              <sz val="10"/>
            </rPr>
            <t>End-User Support &amp; Service Desk · ITIL 4:</t>
          </r>
          <r>
            <rPr>
              <rFont val="Calibri"/>
              <sz val="10"/>
            </rPr>
            <t xml:space="preserve"> Resolves L2 issues; maintains knowledge base
• </t>
          </r>
          <r>
            <rPr>
              <rFont val="Calibri"/>
              <b val="1"/>
              <sz val="10"/>
            </rPr>
            <t>Information Security &amp; ISO 27001 Controls:</t>
          </r>
          <r>
            <rPr>
              <rFont val="Calibri"/>
              <sz val="10"/>
            </rPr>
            <t xml:space="preserve"> Runs access reviews, vulnerability fixes and audit evidence
• </t>
          </r>
          <r>
            <rPr>
              <rFont val="Calibri"/>
              <b val="1"/>
              <sz val="10"/>
            </rPr>
            <t>Cloud &amp; Platform Operations:</t>
          </r>
          <r>
            <rPr>
              <rFont val="Calibri"/>
              <sz val="10"/>
            </rPr>
            <t xml:space="preserve"> Provisions and monitors cloud resources; backups and DR
• </t>
          </r>
          <r>
            <rPr>
              <rFont val="Calibri"/>
              <b val="1"/>
              <sz val="10"/>
            </rPr>
            <t>IT Asset &amp; Licence Management:</t>
          </r>
          <r>
            <rPr>
              <rFont val="Calibri"/>
              <sz val="10"/>
            </rPr>
            <t xml:space="preserve"> Runs asset lifecycle and licence true-ups</t>
          </r>
        </is>
      </c>
      <c r="U17" s="121" t="inlineStr">
        <is>
          <t>Practical task; Work sample / case; Role play / behavioural interview; Behavioural interview; Work sample / portfolio</t>
        </is>
      </c>
      <c r="V17" s="122" t="inlineStr">
        <is>
          <t>Microsoft / CCNA / ISO 27001 / ITIL; AWS / Azure / Kubernetes certifications; Lean / Six Sigma · optional; Vendor AI certifications · optional</t>
        </is>
      </c>
      <c r="W17" s="122" t="inlineStr">
        <is>
          <t>ISO 27001 / InfoSec controls; mandatory: POSH, Code of Conduct, InfoSec &amp; Privacy</t>
        </is>
      </c>
      <c r="X17" s="122" t="inlineStr">
        <is>
          <t>—</t>
        </is>
      </c>
      <c r="Y17" s="122" t="inlineStr">
        <is>
          <t>—</t>
        </is>
      </c>
      <c r="Z17" s="122" t="inlineStr">
        <is>
          <t>IT.INF-F: cloud/server administration · access · backup · incident controls</t>
        </is>
      </c>
    </row>
    <row r="18" ht="184" customHeight="1">
      <c r="A18" s="161" t="inlineStr">
        <is>
          <t>A</t>
        </is>
      </c>
      <c r="B18" s="26" t="inlineStr">
        <is>
          <t>A3</t>
        </is>
      </c>
      <c r="C18" s="139" t="inlineStr">
        <is>
          <t>Senior Associate</t>
        </is>
      </c>
      <c r="D18" s="110" t="inlineStr">
        <is>
          <t>Senior System Administrator</t>
        </is>
      </c>
      <c r="E18" s="111" t="inlineStr">
        <is>
          <t>Infrastructure &amp; Cloud Operations</t>
        </is>
      </c>
      <c r="F18" s="111" t="inlineStr">
        <is>
          <t>IT &amp; Infrastructure</t>
        </is>
      </c>
      <c r="G18" s="111" t="inlineStr">
        <is>
          <t>IT &amp; Infrastructure</t>
        </is>
      </c>
      <c r="H18" s="111" t="inlineStr">
        <is>
          <t>IC</t>
        </is>
      </c>
      <c r="I18" s="112" t="n">
        <v>7</v>
      </c>
      <c r="J18" s="162" t="n">
        <v>2</v>
      </c>
      <c r="K18" s="163" t="n">
        <v>2</v>
      </c>
      <c r="L18" s="163" t="n">
        <v>3</v>
      </c>
      <c r="M18" s="163" t="inlineStr">
        <is>
          <t>—</t>
        </is>
      </c>
      <c r="N18" s="114" t="inlineStr">
        <is>
          <t>Index ≥ 90% · meets; must-haves at required level</t>
        </is>
      </c>
      <c r="O18"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8"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8" s="164" t="inlineStr">
        <is>
          <t>Not required at this level · Band A has one common path; leadership is not scored.</t>
        </is>
      </c>
      <c r="R18" s="119" t="inlineStr">
        <is>
          <t>• ★ Cybersecurity &amp; Infrastructure: Administers secure servers, networks and access
• ★ Cloud, DevOps &amp; CI/CD: Builds and runs CI/CD pipelines and environments</t>
        </is>
      </c>
      <c r="S18" s="165" t="inlineStr">
        <is>
          <r>
            <rPr>
              <rFont val="Calibri"/>
              <sz val="10"/>
            </rPr>
            <t xml:space="preserve">•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t>
          </r>
        </is>
      </c>
      <c r="T18" s="165" t="inlineStr">
        <is>
          <r>
            <rPr>
              <rFont val="Calibri"/>
              <sz val="10"/>
            </rPr>
            <t xml:space="preserve">• </t>
          </r>
          <r>
            <rPr>
              <rFont val="Calibri"/>
              <b val="1"/>
              <sz val="10"/>
            </rPr>
            <t>Network &amp; Systems Administration:</t>
          </r>
          <r>
            <rPr>
              <rFont val="Calibri"/>
              <sz val="10"/>
            </rPr>
            <t xml:space="preserve"> Administers servers, AD, firewalls and backups
• </t>
          </r>
          <r>
            <rPr>
              <rFont val="Calibri"/>
              <b val="1"/>
              <sz val="10"/>
            </rPr>
            <t>End-User Support &amp; Service Desk · ITIL 4:</t>
          </r>
          <r>
            <rPr>
              <rFont val="Calibri"/>
              <sz val="10"/>
            </rPr>
            <t xml:space="preserve"> Resolves L2 issues; maintains knowledge base
• </t>
          </r>
          <r>
            <rPr>
              <rFont val="Calibri"/>
              <b val="1"/>
              <sz val="10"/>
            </rPr>
            <t>Information Security &amp; ISO 27001 Controls:</t>
          </r>
          <r>
            <rPr>
              <rFont val="Calibri"/>
              <sz val="10"/>
            </rPr>
            <t xml:space="preserve"> Runs access reviews, vulnerability fixes and audit evidence
• </t>
          </r>
          <r>
            <rPr>
              <rFont val="Calibri"/>
              <b val="1"/>
              <sz val="10"/>
            </rPr>
            <t>Cloud &amp; Platform Operations:</t>
          </r>
          <r>
            <rPr>
              <rFont val="Calibri"/>
              <sz val="10"/>
            </rPr>
            <t xml:space="preserve"> Provisions and monitors cloud resources; backups and DR
• </t>
          </r>
          <r>
            <rPr>
              <rFont val="Calibri"/>
              <b val="1"/>
              <sz val="10"/>
            </rPr>
            <t>IT Asset &amp; Licence Management:</t>
          </r>
          <r>
            <rPr>
              <rFont val="Calibri"/>
              <sz val="10"/>
            </rPr>
            <t xml:space="preserve"> Runs asset lifecycle and licence true-ups</t>
          </r>
        </is>
      </c>
      <c r="U18" s="121" t="inlineStr">
        <is>
          <t>Practical task; Work sample / case; Role play / behavioural interview; Behavioural interview; Work sample / portfolio</t>
        </is>
      </c>
      <c r="V18" s="122" t="inlineStr">
        <is>
          <t>Microsoft / CCNA / ISO 27001 / ITIL; AWS / Azure / Kubernetes certifications; Lean / Six Sigma · optional; Vendor AI certifications · optional</t>
        </is>
      </c>
      <c r="W18" s="122" t="inlineStr">
        <is>
          <t>ISO 27001 / InfoSec controls; mandatory: POSH, Code of Conduct, InfoSec &amp; Privacy</t>
        </is>
      </c>
      <c r="X18" s="122" t="inlineStr">
        <is>
          <t>82% · 1 of 7</t>
        </is>
      </c>
      <c r="Y18" s="122" t="inlineStr">
        <is>
          <t>Quality &amp; process · Prioritisation · Stakeholder mgmt · AI / GenAI</t>
        </is>
      </c>
      <c r="Z18" s="122" t="inlineStr">
        <is>
          <t>Cybersecurity &amp; Infrastructure · Project, Program &amp; Agile Management · Cloud, DevOps &amp; CI/CD · AI, GenAI &amp; Prompt Engineering</t>
        </is>
      </c>
    </row>
    <row r="19" ht="158" customHeight="1">
      <c r="A19" s="161" t="inlineStr">
        <is>
          <t>A</t>
        </is>
      </c>
      <c r="B19" s="26" t="inlineStr">
        <is>
          <t>A3</t>
        </is>
      </c>
      <c r="C19" s="139" t="inlineStr">
        <is>
          <t>Senior Associate</t>
        </is>
      </c>
      <c r="D19" s="110" t="inlineStr">
        <is>
          <t>Senior Marketing Operations Associate</t>
        </is>
      </c>
      <c r="E19" s="111" t="inlineStr">
        <is>
          <t>Marketing Operations &amp; Automation</t>
        </is>
      </c>
      <c r="F19" s="111" t="inlineStr">
        <is>
          <t>Marketing &amp; Communications</t>
        </is>
      </c>
      <c r="G19" s="111" t="inlineStr">
        <is>
          <t>Marketing</t>
        </is>
      </c>
      <c r="H19" s="111" t="inlineStr">
        <is>
          <t>IC</t>
        </is>
      </c>
      <c r="I19" s="112" t="n">
        <v>1</v>
      </c>
      <c r="J19" s="162" t="n">
        <v>2</v>
      </c>
      <c r="K19" s="163" t="n">
        <v>2</v>
      </c>
      <c r="L19" s="163" t="n">
        <v>3</v>
      </c>
      <c r="M19" s="163" t="inlineStr">
        <is>
          <t>—</t>
        </is>
      </c>
      <c r="N19" s="114" t="inlineStr">
        <is>
          <t>Index ≥ 90% · meets; must-haves at required level</t>
        </is>
      </c>
      <c r="O19" s="118"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9"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9" s="164" t="inlineStr">
        <is>
          <t>Not required at this level · Band A has one common path; leadership is not scored.</t>
        </is>
      </c>
      <c r="R19" s="119" t="inlineStr">
        <is>
          <t>• ★ Marketing Tech &amp; Digital Marketing: Runs campaigns, CRM, SEO and social channels
• ★ Communication &amp; Presentation: Writes and presents clearly to clients and teams</t>
        </is>
      </c>
      <c r="S19" s="165" t="inlineStr">
        <is>
          <r>
            <rPr>
              <rFont val="Calibri"/>
              <sz val="10"/>
            </rPr>
            <t xml:space="preserve">•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19" s="165" t="inlineStr">
        <is>
          <t>—</t>
        </is>
      </c>
      <c r="U19" s="121" t="inlineStr">
        <is>
          <t>Portfolio / case; Presentation / writing test; Data case / practical; Work sample / portfolio; Scenario interview; Case interview</t>
        </is>
      </c>
      <c r="V19" s="122" t="inlineStr">
        <is>
          <t>Google / HubSpot certifications; Power BI / Tableau · optional; Vendor AI certifications · optional; Internal product certification; MBA / PGDM · preferred at C+</t>
        </is>
      </c>
      <c r="W19" s="122" t="inlineStr">
        <is>
          <t>Brand and data-privacy rules for campaigns; mandatory: POSH, Code of Conduct, InfoSec &amp; Privacy</t>
        </is>
      </c>
      <c r="X19" s="122" t="inlineStr">
        <is>
          <t>92% · 1 of 1</t>
        </is>
      </c>
      <c r="Y19" s="122" t="inlineStr">
        <is>
          <t>AI / GenAI · Product &amp; domain · Ownership</t>
        </is>
      </c>
      <c r="Z19" s="122" t="inlineStr">
        <is>
          <t>Marketing Tech &amp; Digital Marketing · AI, GenAI &amp; Prompt Engineering</t>
        </is>
      </c>
    </row>
    <row r="20" ht="20" customHeight="1">
      <c r="A20" s="160" t="inlineStr">
        <is>
          <t>Band B — Specialist / Manager</t>
        </is>
      </c>
    </row>
    <row r="21" ht="249" customHeight="1">
      <c r="A21" s="166" t="inlineStr">
        <is>
          <t>B</t>
        </is>
      </c>
      <c r="B21" s="23" t="inlineStr">
        <is>
          <t>B1</t>
        </is>
      </c>
      <c r="C21" s="21" t="inlineStr">
        <is>
          <t>Specialist</t>
        </is>
      </c>
      <c r="D21" s="110" t="inlineStr">
        <is>
          <t>Finance Specialist</t>
        </is>
      </c>
      <c r="E21" s="111" t="inlineStr">
        <is>
          <t>Financial Reporting, Compliance &amp; Audit</t>
        </is>
      </c>
      <c r="F21" s="111" t="inlineStr">
        <is>
          <t>Finance &amp; Accounts</t>
        </is>
      </c>
      <c r="G21" s="111" t="inlineStr">
        <is>
          <t>Finance</t>
        </is>
      </c>
      <c r="H21" s="111" t="inlineStr">
        <is>
          <t>IC</t>
        </is>
      </c>
      <c r="I21" s="112" t="n">
        <v>2</v>
      </c>
      <c r="J21" s="162" t="n">
        <v>3</v>
      </c>
      <c r="K21" s="163" t="n">
        <v>3</v>
      </c>
      <c r="L21" s="163" t="n">
        <v>3</v>
      </c>
      <c r="M21" s="163" t="n">
        <v>1</v>
      </c>
      <c r="N21" s="114" t="inlineStr">
        <is>
          <t>Index ≥ 90% · meets; must-haves at required level</t>
        </is>
      </c>
      <c r="O21"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1"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1" s="164"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21" s="119" t="inlineStr">
        <is>
          <t>• ★ Accounting &amp; Reporting Standards · IFRS/US GAAP: Applies IFRS / US GAAP / Ind AS correctly
• ★ Advanced Excel &amp; Productivity Tools: Uses advanced Excel, Word, HTML and conversion tools fluently</t>
        </is>
      </c>
      <c r="S21" s="165"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t>
          </r>
        </is>
      </c>
      <c r="T21" s="165" t="inlineStr">
        <is>
          <r>
            <rPr>
              <rFont val="Calibri"/>
              <sz val="10"/>
            </rPr>
            <t xml:space="preserve">• </t>
          </r>
          <r>
            <rPr>
              <rFont val="Calibri"/>
              <b val="1"/>
              <sz val="10"/>
            </rPr>
            <t>Financial Accounting, Close &amp; Reporting · Ind AS:</t>
          </r>
          <r>
            <rPr>
              <rFont val="Calibri"/>
              <sz val="10"/>
            </rPr>
            <t xml:space="preserve"> Runs month-end close for an entity; prepares schedules and MIS
• </t>
          </r>
          <r>
            <rPr>
              <rFont val="Calibri"/>
              <b val="1"/>
              <sz val="10"/>
            </rPr>
            <t>Taxation &amp; Statutory Compliance · GST, TDS, Income-tax:</t>
          </r>
          <r>
            <rPr>
              <rFont val="Calibri"/>
              <sz val="10"/>
            </rPr>
            <t xml:space="preserve"> Files returns; handles notices; transfer-pricing documentation support
• </t>
          </r>
          <r>
            <rPr>
              <rFont val="Calibri"/>
              <b val="1"/>
              <sz val="10"/>
            </rPr>
            <t>FP&amp;A, Budgeting &amp; Business Partnering:</t>
          </r>
          <r>
            <rPr>
              <rFont val="Calibri"/>
              <sz val="10"/>
            </rPr>
            <t xml:space="preserve"> Builds budgets and forecasts for a business; variance analysis
• </t>
          </r>
          <r>
            <rPr>
              <rFont val="Calibri"/>
              <b val="1"/>
              <sz val="10"/>
            </rPr>
            <t>Audit, Internal Controls &amp; Risk:</t>
          </r>
          <r>
            <rPr>
              <rFont val="Calibri"/>
              <sz val="10"/>
            </rPr>
            <t xml:space="preserve"> Runs internal-control testing; closes audit points
• </t>
          </r>
          <r>
            <rPr>
              <rFont val="Calibri"/>
              <b val="1"/>
              <sz val="10"/>
            </rPr>
            <t>Treasury, Receivables &amp; Collections:</t>
          </r>
          <r>
            <rPr>
              <rFont val="Calibri"/>
              <sz val="10"/>
            </rPr>
            <t xml:space="preserve"> Runs collections and cash forecasting; bank relationships
• </t>
          </r>
          <r>
            <rPr>
              <rFont val="Calibri"/>
              <b val="1"/>
              <sz val="10"/>
            </rPr>
            <t>Finance Systems &amp; Automation · ERP:</t>
          </r>
          <r>
            <rPr>
              <rFont val="Calibri"/>
              <sz val="10"/>
            </rPr>
            <t xml:space="preserve"> Builds reports and automates reconciliations</t>
          </r>
        </is>
      </c>
      <c r="U21" s="121" t="inlineStr">
        <is>
          <t>Accounting test; Practical test; Domain interview; Data case / practical; Work sample / case; Case interview</t>
        </is>
      </c>
      <c r="V21" s="122" t="inlineStr">
        <is>
          <t>CA / CMA / ACCA / CFA / IFRS certificate; MOS Excel · optional; Domain certifications · optional; Power BI / Tableau · optional; Lean / Six Sigma · optional; MBA / PGDM · preferred at C+</t>
        </is>
      </c>
      <c r="W21" s="122" t="inlineStr">
        <is>
          <t>Statutory compliance · GST, TDS, audit; mandatory: POSH, Code of Conduct, InfoSec &amp; Privacy</t>
        </is>
      </c>
      <c r="X21" s="122" t="inlineStr">
        <is>
          <t>92% · 2 of 2</t>
        </is>
      </c>
      <c r="Y21" s="122" t="inlineStr">
        <is>
          <t>Ownership · Quality &amp; process · Communication &amp; collaboration · Analytics &amp; BI</t>
        </is>
      </c>
      <c r="Z21" s="122" t="inlineStr">
        <is>
          <t>People Leadership &amp; Mentoring · Project, Program &amp; Agile Management · Advanced Excel &amp; Productivity Tools · Stakeholder &amp; Client Management</t>
        </is>
      </c>
    </row>
    <row r="22" ht="236" customHeight="1">
      <c r="A22" s="166" t="inlineStr">
        <is>
          <t>B</t>
        </is>
      </c>
      <c r="B22" s="23" t="inlineStr">
        <is>
          <t>B1</t>
        </is>
      </c>
      <c r="C22" s="21" t="inlineStr">
        <is>
          <t>Specialist</t>
        </is>
      </c>
      <c r="D22" s="110" t="inlineStr">
        <is>
          <t>HR Specialist</t>
        </is>
      </c>
      <c r="E22" s="111" t="inlineStr">
        <is>
          <t>HR Operations &amp; Payroll</t>
        </is>
      </c>
      <c r="F22" s="111" t="inlineStr">
        <is>
          <t>Human Resources</t>
        </is>
      </c>
      <c r="G22" s="111" t="inlineStr">
        <is>
          <t>HR</t>
        </is>
      </c>
      <c r="H22" s="111" t="inlineStr">
        <is>
          <t>IC</t>
        </is>
      </c>
      <c r="I22" s="112" t="n">
        <v>1</v>
      </c>
      <c r="J22" s="162" t="n">
        <v>3</v>
      </c>
      <c r="K22" s="163" t="n">
        <v>3</v>
      </c>
      <c r="L22" s="163" t="n">
        <v>3</v>
      </c>
      <c r="M22" s="163" t="n">
        <v>1</v>
      </c>
      <c r="N22" s="114" t="inlineStr">
        <is>
          <t>Index ≥ 90% · meets; must-haves at required level</t>
        </is>
      </c>
      <c r="O22"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2"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2" s="164"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22" s="119" t="inlineStr">
        <is>
          <t>• ★ Stakeholder &amp; Client Management: Manages client communication and expectations for own work
• ★ Communication &amp; Presentation: Writes and presents clearly to clients and teams</t>
        </is>
      </c>
      <c r="S22" s="165" t="inlineStr">
        <is>
          <r>
            <rPr>
              <rFont val="Calibri"/>
              <sz val="10"/>
            </rPr>
            <t xml:space="preserve">•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People Leadership &amp; Mentoring:</t>
          </r>
          <r>
            <rPr>
              <rFont val="Calibri"/>
              <sz val="10"/>
            </rPr>
            <t xml:space="preserve"> Coaches and allocates work
• </t>
          </r>
          <r>
            <rPr>
              <rFont val="Calibri"/>
              <b val="1"/>
              <sz val="10"/>
            </rPr>
            <t>Advanced Excel &amp; Productivity Tools:</t>
          </r>
          <r>
            <rPr>
              <rFont val="Calibri"/>
              <sz val="10"/>
            </rPr>
            <t xml:space="preserve"> Uses advanced Excel, Word, HTML and conversion tools fluently</t>
          </r>
        </is>
      </c>
      <c r="T22" s="165" t="inlineStr">
        <is>
          <r>
            <rPr>
              <rFont val="Calibri"/>
              <sz val="10"/>
            </rPr>
            <t xml:space="preserve">• </t>
          </r>
          <r>
            <rPr>
              <rFont val="Calibri"/>
              <b val="1"/>
              <sz val="10"/>
            </rPr>
            <t>Talent Acquisition &amp; Employer Brand:</t>
          </r>
          <r>
            <rPr>
              <rFont val="Calibri"/>
              <sz val="10"/>
            </rPr>
            <t xml:space="preserve"> Runs end-to-end hiring for roles; structured interviews; offer closure
• </t>
          </r>
          <r>
            <rPr>
              <rFont val="Calibri"/>
              <b val="1"/>
              <sz val="10"/>
            </rPr>
            <t>HR Operations, Payroll &amp; Labour-Law Compliance:</t>
          </r>
          <r>
            <rPr>
              <rFont val="Calibri"/>
              <sz val="10"/>
            </rPr>
            <t xml:space="preserve"> Owns payroll inputs, PF / ESI / gratuity, statutory registers; audit-ready
• </t>
          </r>
          <r>
            <rPr>
              <rFont val="Calibri"/>
              <b val="1"/>
              <sz val="10"/>
            </rPr>
            <t>Employee Relations, Engagement &amp; POSH:</t>
          </r>
          <r>
            <rPr>
              <rFont val="Calibri"/>
              <sz val="10"/>
            </rPr>
            <t xml:space="preserve"> Handles grievances and POSH process steps; runs engagement surveys
• </t>
          </r>
          <r>
            <rPr>
              <rFont val="Calibri"/>
              <b val="1"/>
              <sz val="10"/>
            </rPr>
            <t>Performance, Rewards &amp; Job Architecture:</t>
          </r>
          <r>
            <rPr>
              <rFont val="Calibri"/>
              <sz val="10"/>
            </rPr>
            <t xml:space="preserve"> Runs appraisal cycle; benchmarks pay for roles; applies the level framework
• </t>
          </r>
          <r>
            <rPr>
              <rFont val="Calibri"/>
              <b val="1"/>
              <sz val="10"/>
            </rPr>
            <t>Learning &amp; Organisation Development:</t>
          </r>
          <r>
            <rPr>
              <rFont val="Calibri"/>
              <sz val="10"/>
            </rPr>
            <t xml:space="preserve"> Designs programmes from the competency framework; measures impact
• </t>
          </r>
          <r>
            <rPr>
              <rFont val="Calibri"/>
              <b val="1"/>
              <sz val="10"/>
            </rPr>
            <t>People Analytics &amp; HRIS:</t>
          </r>
          <r>
            <rPr>
              <rFont val="Calibri"/>
              <sz val="10"/>
            </rPr>
            <t xml:space="preserve"> Builds dashboards on attrition, hiring, cost</t>
          </r>
        </is>
      </c>
      <c r="U22" s="121" t="inlineStr">
        <is>
          <t>Role play / behavioural interview; Presentation / writing test; Data case / practical; Work sample / case; Behavioural interview; Practical test</t>
        </is>
      </c>
      <c r="V22" s="122" t="inlineStr">
        <is>
          <t>Power BI / Tableau · optional; Lean / Six Sigma · optional; MOS Excel · optional</t>
        </is>
      </c>
      <c r="W22" s="122" t="inlineStr">
        <is>
          <t>Labour law, POSH, data privacy; mandatory: POSH, Code of Conduct, InfoSec &amp; Privacy</t>
        </is>
      </c>
      <c r="X22" s="122" t="inlineStr">
        <is>
          <t>78% · 0 of 1</t>
        </is>
      </c>
      <c r="Y22" s="122" t="inlineStr">
        <is>
          <t>Stakeholder mgmt · Communication · Analytics &amp; BI</t>
        </is>
      </c>
      <c r="Z22" s="122" t="inlineStr">
        <is>
          <t>PC.OPS-P: payroll controls · HR systems · employee service · confidentiality</t>
        </is>
      </c>
    </row>
    <row r="23" ht="184" customHeight="1">
      <c r="A23" s="166" t="inlineStr">
        <is>
          <t>B</t>
        </is>
      </c>
      <c r="B23" s="23" t="inlineStr">
        <is>
          <t>B1</t>
        </is>
      </c>
      <c r="C23" s="21" t="inlineStr">
        <is>
          <t>Specialist</t>
        </is>
      </c>
      <c r="D23" s="110" t="inlineStr">
        <is>
          <t>Infrastructure Specialist</t>
        </is>
      </c>
      <c r="E23" s="111" t="inlineStr">
        <is>
          <t>Infrastructure &amp; Cloud Operations</t>
        </is>
      </c>
      <c r="F23" s="111" t="inlineStr">
        <is>
          <t>IT &amp; Infrastructure</t>
        </is>
      </c>
      <c r="G23" s="111" t="inlineStr">
        <is>
          <t>IT &amp; Infrastructure</t>
        </is>
      </c>
      <c r="H23" s="111" t="inlineStr">
        <is>
          <t>IC</t>
        </is>
      </c>
      <c r="I23" s="112" t="n">
        <v>1</v>
      </c>
      <c r="J23" s="162" t="n">
        <v>3</v>
      </c>
      <c r="K23" s="163" t="n">
        <v>3</v>
      </c>
      <c r="L23" s="163" t="n">
        <v>3</v>
      </c>
      <c r="M23" s="163" t="n">
        <v>1</v>
      </c>
      <c r="N23" s="114" t="inlineStr">
        <is>
          <t>Index ≥ 90% · meets; must-haves at required level</t>
        </is>
      </c>
      <c r="O23"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3"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3" s="164"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23" s="119" t="inlineStr">
        <is>
          <t>• ★ Cybersecurity &amp; Infrastructure: Administers secure servers, networks and access
• ★ Cloud, DevOps &amp; CI/CD: Builds and runs CI/CD pipelines and environments</t>
        </is>
      </c>
      <c r="S23" s="165" t="inlineStr">
        <is>
          <r>
            <rPr>
              <rFont val="Calibri"/>
              <sz val="10"/>
            </rPr>
            <t xml:space="preserve">•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t>
          </r>
        </is>
      </c>
      <c r="T23" s="165" t="inlineStr">
        <is>
          <r>
            <rPr>
              <rFont val="Calibri"/>
              <sz val="10"/>
            </rPr>
            <t xml:space="preserve">• </t>
          </r>
          <r>
            <rPr>
              <rFont val="Calibri"/>
              <b val="1"/>
              <sz val="10"/>
            </rPr>
            <t>Network &amp; Systems Administration:</t>
          </r>
          <r>
            <rPr>
              <rFont val="Calibri"/>
              <sz val="10"/>
            </rPr>
            <t xml:space="preserve"> Administers servers, AD, firewalls and backups
• </t>
          </r>
          <r>
            <rPr>
              <rFont val="Calibri"/>
              <b val="1"/>
              <sz val="10"/>
            </rPr>
            <t>End-User Support &amp; Service Desk · ITIL 4:</t>
          </r>
          <r>
            <rPr>
              <rFont val="Calibri"/>
              <sz val="10"/>
            </rPr>
            <t xml:space="preserve"> Resolves L2 issues; maintains knowledge base
• </t>
          </r>
          <r>
            <rPr>
              <rFont val="Calibri"/>
              <b val="1"/>
              <sz val="10"/>
            </rPr>
            <t>Information Security &amp; ISO 27001 Controls:</t>
          </r>
          <r>
            <rPr>
              <rFont val="Calibri"/>
              <sz val="10"/>
            </rPr>
            <t xml:space="preserve"> Runs access reviews, vulnerability fixes and audit evidence
• </t>
          </r>
          <r>
            <rPr>
              <rFont val="Calibri"/>
              <b val="1"/>
              <sz val="10"/>
            </rPr>
            <t>Cloud &amp; Platform Operations:</t>
          </r>
          <r>
            <rPr>
              <rFont val="Calibri"/>
              <sz val="10"/>
            </rPr>
            <t xml:space="preserve"> Provisions and monitors cloud resources; backups and DR
• </t>
          </r>
          <r>
            <rPr>
              <rFont val="Calibri"/>
              <b val="1"/>
              <sz val="10"/>
            </rPr>
            <t>IT Asset &amp; Licence Management:</t>
          </r>
          <r>
            <rPr>
              <rFont val="Calibri"/>
              <sz val="10"/>
            </rPr>
            <t xml:space="preserve"> Runs asset lifecycle and licence true-ups</t>
          </r>
        </is>
      </c>
      <c r="U23" s="121" t="inlineStr">
        <is>
          <t>Practical task; Work sample / case; Role play / behavioural interview; Behavioural interview; Work sample / portfolio</t>
        </is>
      </c>
      <c r="V23" s="122" t="inlineStr">
        <is>
          <t>Microsoft / CCNA / ISO 27001 / ITIL; AWS / Azure / Kubernetes certifications; Lean / Six Sigma · optional; Vendor AI certifications · optional</t>
        </is>
      </c>
      <c r="W23" s="122" t="inlineStr">
        <is>
          <t>ISO 27001 / InfoSec controls; mandatory: POSH, Code of Conduct, InfoSec &amp; Privacy</t>
        </is>
      </c>
      <c r="X23" s="122" t="inlineStr">
        <is>
          <t>93% · 1 of 1</t>
        </is>
      </c>
      <c r="Y23" s="122" t="inlineStr">
        <is>
          <t>Quality &amp; process · Stakeholder mgmt · Prioritisation</t>
        </is>
      </c>
      <c r="Z23" s="122" t="inlineStr">
        <is>
          <t>Cloud, DevOps &amp; CI/CD · Cybersecurity &amp; Infrastructure · Regulatory &amp; BFSI Domain</t>
        </is>
      </c>
    </row>
    <row r="24" ht="249" customHeight="1">
      <c r="A24" s="166" t="inlineStr">
        <is>
          <t>B</t>
        </is>
      </c>
      <c r="B24" s="23" t="inlineStr">
        <is>
          <t>B1</t>
        </is>
      </c>
      <c r="C24" s="21" t="inlineStr">
        <is>
          <t>Specialist</t>
        </is>
      </c>
      <c r="D24" s="110" t="inlineStr">
        <is>
          <t>Accounts Specialist – POD Lead</t>
        </is>
      </c>
      <c r="E24" s="111" t="inlineStr">
        <is>
          <t>Accounting &amp; Transaction Processing</t>
        </is>
      </c>
      <c r="F24" s="111" t="inlineStr">
        <is>
          <t>Finance &amp; Accounts</t>
        </is>
      </c>
      <c r="G24" s="111" t="inlineStr">
        <is>
          <t>Finance</t>
        </is>
      </c>
      <c r="H24" s="111" t="inlineStr">
        <is>
          <t>POD Lead</t>
        </is>
      </c>
      <c r="I24" s="112" t="n">
        <v>2</v>
      </c>
      <c r="J24" s="162" t="n">
        <v>3</v>
      </c>
      <c r="K24" s="163" t="n">
        <v>3</v>
      </c>
      <c r="L24" s="163" t="n">
        <v>3</v>
      </c>
      <c r="M24" s="163" t="n">
        <v>2</v>
      </c>
      <c r="N24" s="114" t="inlineStr">
        <is>
          <t>Index ≥ 90% · meets; must-haves at required level</t>
        </is>
      </c>
      <c r="O24"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4"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4"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24" s="119" t="inlineStr">
        <is>
          <t>• ★ Accounting &amp; Reporting Standards · IFRS/US GAAP: Applies IFRS / US GAAP / Ind AS correctly
• ★ Advanced Excel &amp; Productivity Tools: Uses advanced Excel, Word, HTML and conversion tools fluently</t>
        </is>
      </c>
      <c r="S24" s="165"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t>
          </r>
        </is>
      </c>
      <c r="T24" s="165" t="inlineStr">
        <is>
          <r>
            <rPr>
              <rFont val="Calibri"/>
              <sz val="10"/>
            </rPr>
            <t xml:space="preserve">• </t>
          </r>
          <r>
            <rPr>
              <rFont val="Calibri"/>
              <b val="1"/>
              <sz val="10"/>
            </rPr>
            <t>Financial Accounting, Close &amp; Reporting · Ind AS:</t>
          </r>
          <r>
            <rPr>
              <rFont val="Calibri"/>
              <sz val="10"/>
            </rPr>
            <t xml:space="preserve"> Runs month-end close for an entity; prepares schedules and MIS
• </t>
          </r>
          <r>
            <rPr>
              <rFont val="Calibri"/>
              <b val="1"/>
              <sz val="10"/>
            </rPr>
            <t>Taxation &amp; Statutory Compliance · GST, TDS, Income-tax:</t>
          </r>
          <r>
            <rPr>
              <rFont val="Calibri"/>
              <sz val="10"/>
            </rPr>
            <t xml:space="preserve"> Files returns; handles notices; transfer-pricing documentation support
• </t>
          </r>
          <r>
            <rPr>
              <rFont val="Calibri"/>
              <b val="1"/>
              <sz val="10"/>
            </rPr>
            <t>FP&amp;A, Budgeting &amp; Business Partnering:</t>
          </r>
          <r>
            <rPr>
              <rFont val="Calibri"/>
              <sz val="10"/>
            </rPr>
            <t xml:space="preserve"> Builds budgets and forecasts for a business; variance analysis
• </t>
          </r>
          <r>
            <rPr>
              <rFont val="Calibri"/>
              <b val="1"/>
              <sz val="10"/>
            </rPr>
            <t>Audit, Internal Controls &amp; Risk:</t>
          </r>
          <r>
            <rPr>
              <rFont val="Calibri"/>
              <sz val="10"/>
            </rPr>
            <t xml:space="preserve"> Runs internal-control testing; closes audit points
• </t>
          </r>
          <r>
            <rPr>
              <rFont val="Calibri"/>
              <b val="1"/>
              <sz val="10"/>
            </rPr>
            <t>Treasury, Receivables &amp; Collections:</t>
          </r>
          <r>
            <rPr>
              <rFont val="Calibri"/>
              <sz val="10"/>
            </rPr>
            <t xml:space="preserve"> Runs collections and cash forecasting; bank relationships
• </t>
          </r>
          <r>
            <rPr>
              <rFont val="Calibri"/>
              <b val="1"/>
              <sz val="10"/>
            </rPr>
            <t>Finance Systems &amp; Automation · ERP:</t>
          </r>
          <r>
            <rPr>
              <rFont val="Calibri"/>
              <sz val="10"/>
            </rPr>
            <t xml:space="preserve"> Builds reports and automates reconciliations</t>
          </r>
        </is>
      </c>
      <c r="U24" s="121" t="inlineStr">
        <is>
          <t>Accounting test; Practical test; Domain interview; Data case / practical; Work sample / case; Case interview</t>
        </is>
      </c>
      <c r="V24" s="122" t="inlineStr">
        <is>
          <t>CA / CMA / ACCA / CFA / IFRS certificate; MOS Excel · optional; Domain certifications · optional; Power BI / Tableau · optional; Lean / Six Sigma · optional; MBA / PGDM · preferred at C+</t>
        </is>
      </c>
      <c r="W24" s="122" t="inlineStr">
        <is>
          <t>Statutory compliance · GST, TDS, audit; mandatory: POSH, Code of Conduct, InfoSec &amp; Privacy</t>
        </is>
      </c>
      <c r="X24" s="122" t="inlineStr">
        <is>
          <t>88% · 0 of 2</t>
        </is>
      </c>
      <c r="Y24" s="122" t="inlineStr">
        <is>
          <t>Excel &amp; tools · Analytics &amp; BI · Business acumen</t>
        </is>
      </c>
      <c r="Z24" s="122" t="inlineStr">
        <is>
          <t>Project, Program &amp; Agile Management · Product, Platform &amp; Domain Knowledge · Process Improvement &amp; Quality Mindset · AI, GenAI &amp; Prompt Engineering</t>
        </is>
      </c>
    </row>
    <row r="25" ht="249" customHeight="1">
      <c r="A25" s="166" t="inlineStr">
        <is>
          <t>B</t>
        </is>
      </c>
      <c r="B25" s="23" t="inlineStr">
        <is>
          <t>B1</t>
        </is>
      </c>
      <c r="C25" s="21" t="inlineStr">
        <is>
          <t>Specialist</t>
        </is>
      </c>
      <c r="D25" s="110" t="inlineStr">
        <is>
          <t>Finance Specialist – POD Lead</t>
        </is>
      </c>
      <c r="E25" s="111" t="inlineStr">
        <is>
          <t>Financial Reporting, Compliance &amp; Audit</t>
        </is>
      </c>
      <c r="F25" s="111" t="inlineStr">
        <is>
          <t>Finance &amp; Accounts</t>
        </is>
      </c>
      <c r="G25" s="111" t="inlineStr">
        <is>
          <t>Finance</t>
        </is>
      </c>
      <c r="H25" s="111" t="inlineStr">
        <is>
          <t>POD Lead</t>
        </is>
      </c>
      <c r="I25" s="112" t="n">
        <v>1</v>
      </c>
      <c r="J25" s="162" t="n">
        <v>3</v>
      </c>
      <c r="K25" s="163" t="n">
        <v>3</v>
      </c>
      <c r="L25" s="163" t="n">
        <v>3</v>
      </c>
      <c r="M25" s="163" t="n">
        <v>2</v>
      </c>
      <c r="N25" s="114" t="inlineStr">
        <is>
          <t>Index ≥ 90% · meets; must-haves at required level</t>
        </is>
      </c>
      <c r="O25"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5"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5"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25" s="119" t="inlineStr">
        <is>
          <t>• ★ Accounting &amp; Reporting Standards · IFRS/US GAAP: Applies IFRS / US GAAP / Ind AS correctly
• ★ Advanced Excel &amp; Productivity Tools: Uses advanced Excel, Word, HTML and conversion tools fluently</t>
        </is>
      </c>
      <c r="S25" s="165"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Strategic Thinking &amp; Business Acumen:</t>
          </r>
          <r>
            <rPr>
              <rFont val="Calibri"/>
              <sz val="10"/>
            </rPr>
            <t xml:space="preserve"> Connects work to business goals and budgets</t>
          </r>
        </is>
      </c>
      <c r="T25" s="165" t="inlineStr">
        <is>
          <r>
            <rPr>
              <rFont val="Calibri"/>
              <sz val="10"/>
            </rPr>
            <t xml:space="preserve">• </t>
          </r>
          <r>
            <rPr>
              <rFont val="Calibri"/>
              <b val="1"/>
              <sz val="10"/>
            </rPr>
            <t>Financial Accounting, Close &amp; Reporting · Ind AS:</t>
          </r>
          <r>
            <rPr>
              <rFont val="Calibri"/>
              <sz val="10"/>
            </rPr>
            <t xml:space="preserve"> Runs month-end close for an entity; prepares schedules and MIS
• </t>
          </r>
          <r>
            <rPr>
              <rFont val="Calibri"/>
              <b val="1"/>
              <sz val="10"/>
            </rPr>
            <t>Taxation &amp; Statutory Compliance · GST, TDS, Income-tax:</t>
          </r>
          <r>
            <rPr>
              <rFont val="Calibri"/>
              <sz val="10"/>
            </rPr>
            <t xml:space="preserve"> Files returns; handles notices; transfer-pricing documentation support
• </t>
          </r>
          <r>
            <rPr>
              <rFont val="Calibri"/>
              <b val="1"/>
              <sz val="10"/>
            </rPr>
            <t>FP&amp;A, Budgeting &amp; Business Partnering:</t>
          </r>
          <r>
            <rPr>
              <rFont val="Calibri"/>
              <sz val="10"/>
            </rPr>
            <t xml:space="preserve"> Builds budgets and forecasts for a business; variance analysis
• </t>
          </r>
          <r>
            <rPr>
              <rFont val="Calibri"/>
              <b val="1"/>
              <sz val="10"/>
            </rPr>
            <t>Audit, Internal Controls &amp; Risk:</t>
          </r>
          <r>
            <rPr>
              <rFont val="Calibri"/>
              <sz val="10"/>
            </rPr>
            <t xml:space="preserve"> Runs internal-control testing; closes audit points
• </t>
          </r>
          <r>
            <rPr>
              <rFont val="Calibri"/>
              <b val="1"/>
              <sz val="10"/>
            </rPr>
            <t>Treasury, Receivables &amp; Collections:</t>
          </r>
          <r>
            <rPr>
              <rFont val="Calibri"/>
              <sz val="10"/>
            </rPr>
            <t xml:space="preserve"> Runs collections and cash forecasting; bank relationships
• </t>
          </r>
          <r>
            <rPr>
              <rFont val="Calibri"/>
              <b val="1"/>
              <sz val="10"/>
            </rPr>
            <t>Finance Systems &amp; Automation · ERP:</t>
          </r>
          <r>
            <rPr>
              <rFont val="Calibri"/>
              <sz val="10"/>
            </rPr>
            <t xml:space="preserve"> Builds reports and automates reconciliations</t>
          </r>
        </is>
      </c>
      <c r="U25" s="121" t="inlineStr">
        <is>
          <t>Accounting test; Practical test; Domain interview; Data case / practical; Work sample / case; Case interview</t>
        </is>
      </c>
      <c r="V25" s="122" t="inlineStr">
        <is>
          <t>CA / CMA / ACCA / CFA / IFRS certificate; MOS Excel · optional; Domain certifications · optional; Power BI / Tableau · optional; Lean / Six Sigma · optional; MBA / PGDM · preferred at C+</t>
        </is>
      </c>
      <c r="W25" s="122" t="inlineStr">
        <is>
          <t>Statutory compliance · GST, TDS, audit; mandatory: POSH, Code of Conduct, InfoSec &amp; Privacy</t>
        </is>
      </c>
      <c r="X25" s="122" t="inlineStr">
        <is>
          <t>93% · 1 of 1</t>
        </is>
      </c>
      <c r="Y25" s="122" t="inlineStr">
        <is>
          <t>Analytics &amp; BI · Quality &amp; process · Ownership</t>
        </is>
      </c>
      <c r="Z25" s="122" t="inlineStr">
        <is>
          <t>AI, GenAI &amp; Prompt Engineering · People Leadership &amp; Mentoring · Project, Program &amp; Agile Management</t>
        </is>
      </c>
    </row>
    <row r="26" ht="236" customHeight="1">
      <c r="A26" s="166" t="inlineStr">
        <is>
          <t>B</t>
        </is>
      </c>
      <c r="B26" s="23" t="inlineStr">
        <is>
          <t>B1</t>
        </is>
      </c>
      <c r="C26" s="21" t="inlineStr">
        <is>
          <t>Specialist</t>
        </is>
      </c>
      <c r="D26" s="110" t="inlineStr">
        <is>
          <t>HR Specialist – POD Lead</t>
        </is>
      </c>
      <c r="E26" s="111" t="inlineStr">
        <is>
          <t>HR Operations &amp; Payroll</t>
        </is>
      </c>
      <c r="F26" s="111" t="inlineStr">
        <is>
          <t>Human Resources</t>
        </is>
      </c>
      <c r="G26" s="111" t="inlineStr">
        <is>
          <t>HR</t>
        </is>
      </c>
      <c r="H26" s="111" t="inlineStr">
        <is>
          <t>POD Lead</t>
        </is>
      </c>
      <c r="I26" s="112" t="n">
        <v>1</v>
      </c>
      <c r="J26" s="162" t="n">
        <v>3</v>
      </c>
      <c r="K26" s="163" t="n">
        <v>3</v>
      </c>
      <c r="L26" s="163" t="n">
        <v>3</v>
      </c>
      <c r="M26" s="163" t="n">
        <v>2</v>
      </c>
      <c r="N26" s="114" t="inlineStr">
        <is>
          <t>Index ≥ 90% · meets; must-haves at required level</t>
        </is>
      </c>
      <c r="O26"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6"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6"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26" s="119" t="inlineStr">
        <is>
          <t>• ★ Stakeholder &amp; Client Management: Manages client communication and expectations for own work
• ★ Communication &amp; Presentation: Writes and presents clearly to clients and teams</t>
        </is>
      </c>
      <c r="S26" s="165" t="inlineStr">
        <is>
          <r>
            <rPr>
              <rFont val="Calibri"/>
              <sz val="10"/>
            </rPr>
            <t xml:space="preserve">• </t>
          </r>
          <r>
            <rPr>
              <rFont val="Calibri"/>
              <b val="1"/>
              <sz val="10"/>
            </rPr>
            <t>Data Analytics, BI &amp; Visualisation:</t>
          </r>
          <r>
            <rPr>
              <rFont val="Calibri"/>
              <sz val="10"/>
            </rPr>
            <t xml:space="preserve"> Builds MIS, dashboards and analysis
• </t>
          </r>
          <r>
            <rPr>
              <rFont val="Calibri"/>
              <b val="1"/>
              <sz val="10"/>
            </rPr>
            <t>Process Improvement &amp; Quality Mindset:</t>
          </r>
          <r>
            <rPr>
              <rFont val="Calibri"/>
              <sz val="10"/>
            </rPr>
            <t xml:space="preserve"> Delivers right-first-time; improves own checklists
• </t>
          </r>
          <r>
            <rPr>
              <rFont val="Calibri"/>
              <b val="1"/>
              <sz val="10"/>
            </rPr>
            <t>People Leadership &amp; Mentoring:</t>
          </r>
          <r>
            <rPr>
              <rFont val="Calibri"/>
              <sz val="10"/>
            </rPr>
            <t xml:space="preserve"> Coaches and allocates work
• </t>
          </r>
          <r>
            <rPr>
              <rFont val="Calibri"/>
              <b val="1"/>
              <sz val="10"/>
            </rPr>
            <t>Advanced Excel &amp; Productivity Tools:</t>
          </r>
          <r>
            <rPr>
              <rFont val="Calibri"/>
              <sz val="10"/>
            </rPr>
            <t xml:space="preserve"> Uses advanced Excel, Word, HTML and conversion tools fluently</t>
          </r>
        </is>
      </c>
      <c r="T26" s="165" t="inlineStr">
        <is>
          <r>
            <rPr>
              <rFont val="Calibri"/>
              <sz val="10"/>
            </rPr>
            <t xml:space="preserve">• </t>
          </r>
          <r>
            <rPr>
              <rFont val="Calibri"/>
              <b val="1"/>
              <sz val="10"/>
            </rPr>
            <t>Talent Acquisition &amp; Employer Brand:</t>
          </r>
          <r>
            <rPr>
              <rFont val="Calibri"/>
              <sz val="10"/>
            </rPr>
            <t xml:space="preserve"> Runs end-to-end hiring for roles; structured interviews; offer closure
• </t>
          </r>
          <r>
            <rPr>
              <rFont val="Calibri"/>
              <b val="1"/>
              <sz val="10"/>
            </rPr>
            <t>HR Operations, Payroll &amp; Labour-Law Compliance:</t>
          </r>
          <r>
            <rPr>
              <rFont val="Calibri"/>
              <sz val="10"/>
            </rPr>
            <t xml:space="preserve"> Owns payroll inputs, PF / ESI / gratuity, statutory registers; audit-ready
• </t>
          </r>
          <r>
            <rPr>
              <rFont val="Calibri"/>
              <b val="1"/>
              <sz val="10"/>
            </rPr>
            <t>Employee Relations, Engagement &amp; POSH:</t>
          </r>
          <r>
            <rPr>
              <rFont val="Calibri"/>
              <sz val="10"/>
            </rPr>
            <t xml:space="preserve"> Handles grievances and POSH process steps; runs engagement surveys
• </t>
          </r>
          <r>
            <rPr>
              <rFont val="Calibri"/>
              <b val="1"/>
              <sz val="10"/>
            </rPr>
            <t>Performance, Rewards &amp; Job Architecture:</t>
          </r>
          <r>
            <rPr>
              <rFont val="Calibri"/>
              <sz val="10"/>
            </rPr>
            <t xml:space="preserve"> Runs appraisal cycle; benchmarks pay for roles; applies the level framework
• </t>
          </r>
          <r>
            <rPr>
              <rFont val="Calibri"/>
              <b val="1"/>
              <sz val="10"/>
            </rPr>
            <t>Learning &amp; Organisation Development:</t>
          </r>
          <r>
            <rPr>
              <rFont val="Calibri"/>
              <sz val="10"/>
            </rPr>
            <t xml:space="preserve"> Designs programmes from the competency framework; measures impact
• </t>
          </r>
          <r>
            <rPr>
              <rFont val="Calibri"/>
              <b val="1"/>
              <sz val="10"/>
            </rPr>
            <t>People Analytics &amp; HRIS:</t>
          </r>
          <r>
            <rPr>
              <rFont val="Calibri"/>
              <sz val="10"/>
            </rPr>
            <t xml:space="preserve"> Builds dashboards on attrition, hiring, cost</t>
          </r>
        </is>
      </c>
      <c r="U26" s="121" t="inlineStr">
        <is>
          <t>Role play / behavioural interview; Presentation / writing test; Data case / practical; Work sample / case; Behavioural interview; Practical test</t>
        </is>
      </c>
      <c r="V26" s="122" t="inlineStr">
        <is>
          <t>Power BI / Tableau · optional; Lean / Six Sigma · optional; MOS Excel · optional</t>
        </is>
      </c>
      <c r="W26" s="122" t="inlineStr">
        <is>
          <t>Labour law, POSH, data privacy; mandatory: POSH, Code of Conduct, InfoSec &amp; Privacy</t>
        </is>
      </c>
      <c r="X26" s="122" t="inlineStr">
        <is>
          <t>85% · 0 of 1</t>
        </is>
      </c>
      <c r="Y26" s="122" t="inlineStr">
        <is>
          <t>Analytics &amp; BI · Quality &amp; process · People leadership</t>
        </is>
      </c>
      <c r="Z26" s="122" t="inlineStr">
        <is>
          <t>Data Analytics, BI &amp; Visualisation · Project, Program &amp; Agile Management · Process Improvement &amp; Quality Mindset</t>
        </is>
      </c>
    </row>
    <row r="27" ht="184" customHeight="1">
      <c r="A27" s="166" t="inlineStr">
        <is>
          <t>B</t>
        </is>
      </c>
      <c r="B27" s="23" t="inlineStr">
        <is>
          <t>B1</t>
        </is>
      </c>
      <c r="C27" s="21" t="inlineStr">
        <is>
          <t>Specialist</t>
        </is>
      </c>
      <c r="D27" s="110" t="inlineStr">
        <is>
          <t>Infrastructure Specialist – POD Lead</t>
        </is>
      </c>
      <c r="E27" s="111" t="inlineStr">
        <is>
          <t>Infrastructure &amp; Cloud Operations</t>
        </is>
      </c>
      <c r="F27" s="111" t="inlineStr">
        <is>
          <t>IT &amp; Infrastructure</t>
        </is>
      </c>
      <c r="G27" s="111" t="inlineStr">
        <is>
          <t>IT &amp; Infrastructure</t>
        </is>
      </c>
      <c r="H27" s="111" t="inlineStr">
        <is>
          <t>POD Lead</t>
        </is>
      </c>
      <c r="I27" s="112" t="n">
        <v>1</v>
      </c>
      <c r="J27" s="162" t="n">
        <v>3</v>
      </c>
      <c r="K27" s="163" t="n">
        <v>3</v>
      </c>
      <c r="L27" s="163" t="n">
        <v>3</v>
      </c>
      <c r="M27" s="163" t="n">
        <v>2</v>
      </c>
      <c r="N27" s="114" t="inlineStr">
        <is>
          <t>Index ≥ 90% · meets; must-haves at required level</t>
        </is>
      </c>
      <c r="O27"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7"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7"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27" s="119" t="inlineStr">
        <is>
          <t>• ★ Cybersecurity &amp; Infrastructure: Administers secure servers, networks and access
• ★ Cloud, DevOps &amp; CI/CD: Builds and runs CI/CD pipelines and environments</t>
        </is>
      </c>
      <c r="S27" s="165" t="inlineStr">
        <is>
          <r>
            <rPr>
              <rFont val="Calibri"/>
              <sz val="10"/>
            </rPr>
            <t xml:space="preserve">•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t>
          </r>
        </is>
      </c>
      <c r="T27" s="165" t="inlineStr">
        <is>
          <r>
            <rPr>
              <rFont val="Calibri"/>
              <sz val="10"/>
            </rPr>
            <t xml:space="preserve">• </t>
          </r>
          <r>
            <rPr>
              <rFont val="Calibri"/>
              <b val="1"/>
              <sz val="10"/>
            </rPr>
            <t>Network &amp; Systems Administration:</t>
          </r>
          <r>
            <rPr>
              <rFont val="Calibri"/>
              <sz val="10"/>
            </rPr>
            <t xml:space="preserve"> Administers servers, AD, firewalls and backups
• </t>
          </r>
          <r>
            <rPr>
              <rFont val="Calibri"/>
              <b val="1"/>
              <sz val="10"/>
            </rPr>
            <t>End-User Support &amp; Service Desk · ITIL 4:</t>
          </r>
          <r>
            <rPr>
              <rFont val="Calibri"/>
              <sz val="10"/>
            </rPr>
            <t xml:space="preserve"> Resolves L2 issues; maintains knowledge base
• </t>
          </r>
          <r>
            <rPr>
              <rFont val="Calibri"/>
              <b val="1"/>
              <sz val="10"/>
            </rPr>
            <t>Information Security &amp; ISO 27001 Controls:</t>
          </r>
          <r>
            <rPr>
              <rFont val="Calibri"/>
              <sz val="10"/>
            </rPr>
            <t xml:space="preserve"> Runs access reviews, vulnerability fixes and audit evidence
• </t>
          </r>
          <r>
            <rPr>
              <rFont val="Calibri"/>
              <b val="1"/>
              <sz val="10"/>
            </rPr>
            <t>Cloud &amp; Platform Operations:</t>
          </r>
          <r>
            <rPr>
              <rFont val="Calibri"/>
              <sz val="10"/>
            </rPr>
            <t xml:space="preserve"> Provisions and monitors cloud resources; backups and DR
• </t>
          </r>
          <r>
            <rPr>
              <rFont val="Calibri"/>
              <b val="1"/>
              <sz val="10"/>
            </rPr>
            <t>IT Asset &amp; Licence Management:</t>
          </r>
          <r>
            <rPr>
              <rFont val="Calibri"/>
              <sz val="10"/>
            </rPr>
            <t xml:space="preserve"> Runs asset lifecycle and licence true-ups</t>
          </r>
        </is>
      </c>
      <c r="U27" s="121" t="inlineStr">
        <is>
          <t>Practical task; Work sample / case; Role play / behavioural interview; Behavioural interview; Work sample / portfolio</t>
        </is>
      </c>
      <c r="V27" s="122" t="inlineStr">
        <is>
          <t>Microsoft / CCNA / ISO 27001 / ITIL; AWS / Azure / Kubernetes certifications; Lean / Six Sigma · optional; Vendor AI certifications · optional</t>
        </is>
      </c>
      <c r="W27" s="122" t="inlineStr">
        <is>
          <t>ISO 27001 / InfoSec controls; mandatory: POSH, Code of Conduct, InfoSec &amp; Privacy</t>
        </is>
      </c>
      <c r="X27" s="122" t="inlineStr">
        <is>
          <t>92% · 1 of 1</t>
        </is>
      </c>
      <c r="Y27" s="122" t="inlineStr">
        <is>
          <t>Prioritisation · AI / GenAI · Ownership</t>
        </is>
      </c>
      <c r="Z27" s="122" t="inlineStr">
        <is>
          <t>AI, GenAI &amp; Prompt Engineering · Process Improvement &amp; Quality Mindset</t>
        </is>
      </c>
    </row>
    <row r="28" ht="184" customHeight="1">
      <c r="A28" s="166" t="inlineStr">
        <is>
          <t>B</t>
        </is>
      </c>
      <c r="B28" s="23" t="inlineStr">
        <is>
          <t>B1</t>
        </is>
      </c>
      <c r="C28" s="21" t="inlineStr">
        <is>
          <t>Team Lead</t>
        </is>
      </c>
      <c r="D28" s="110" t="inlineStr">
        <is>
          <t>IT Infrastructure Manager</t>
        </is>
      </c>
      <c r="E28" s="111" t="inlineStr">
        <is>
          <t>Infrastructure &amp; Cloud Operations</t>
        </is>
      </c>
      <c r="F28" s="111" t="inlineStr">
        <is>
          <t>IT &amp; Infrastructure</t>
        </is>
      </c>
      <c r="G28" s="111" t="inlineStr">
        <is>
          <t>IT &amp; Infrastructure</t>
        </is>
      </c>
      <c r="H28" s="111" t="inlineStr">
        <is>
          <t>People Manager</t>
        </is>
      </c>
      <c r="I28" s="112" t="n">
        <v>1</v>
      </c>
      <c r="J28" s="162" t="n">
        <v>3</v>
      </c>
      <c r="K28" s="163" t="n">
        <v>3</v>
      </c>
      <c r="L28" s="163" t="n">
        <v>3</v>
      </c>
      <c r="M28" s="163" t="n">
        <v>2</v>
      </c>
      <c r="N28" s="114" t="inlineStr">
        <is>
          <t>Index ≥ 90% · meets; must-haves at required level</t>
        </is>
      </c>
      <c r="O28"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8"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8"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28" s="119" t="inlineStr">
        <is>
          <t>• ★ Cybersecurity &amp; Infrastructure: Administers secure servers, networks and access
• ★ Cloud, DevOps &amp; CI/CD: Builds and runs CI/CD pipelines and environments</t>
        </is>
      </c>
      <c r="S28" s="165" t="inlineStr">
        <is>
          <r>
            <rPr>
              <rFont val="Calibri"/>
              <sz val="10"/>
            </rPr>
            <t xml:space="preserve">• </t>
          </r>
          <r>
            <rPr>
              <rFont val="Calibri"/>
              <b val="1"/>
              <sz val="10"/>
            </rPr>
            <t>Process Improvement &amp; Quality Mindset:</t>
          </r>
          <r>
            <rPr>
              <rFont val="Calibri"/>
              <sz val="10"/>
            </rPr>
            <t xml:space="preserve"> Delivers right-first-time; improves own checklists
• </t>
          </r>
          <r>
            <rPr>
              <rFont val="Calibri"/>
              <b val="1"/>
              <sz val="10"/>
            </rPr>
            <t>Stakeholder &amp; Client Management:</t>
          </r>
          <r>
            <rPr>
              <rFont val="Calibri"/>
              <sz val="10"/>
            </rPr>
            <t xml:space="preserve"> Manages client communication and expectations for own work
• </t>
          </r>
          <r>
            <rPr>
              <rFont val="Calibri"/>
              <b val="1"/>
              <sz val="10"/>
            </rPr>
            <t>Time, Priority &amp; Self-Management:</t>
          </r>
          <r>
            <rPr>
              <rFont val="Calibri"/>
              <sz val="10"/>
            </rPr>
            <t xml:space="preserve"> Manages volume and deadlines without slippage
• </t>
          </r>
          <r>
            <rPr>
              <rFont val="Calibri"/>
              <b val="1"/>
              <sz val="10"/>
            </rPr>
            <t>AI, GenAI &amp; Prompt Engineering:</t>
          </r>
          <r>
            <rPr>
              <rFont val="Calibri"/>
              <sz val="10"/>
            </rPr>
            <t xml:space="preserve"> Uses AI / LLM tools in own work and validates output</t>
          </r>
        </is>
      </c>
      <c r="T28" s="165" t="inlineStr">
        <is>
          <r>
            <rPr>
              <rFont val="Calibri"/>
              <sz val="10"/>
            </rPr>
            <t xml:space="preserve">• </t>
          </r>
          <r>
            <rPr>
              <rFont val="Calibri"/>
              <b val="1"/>
              <sz val="10"/>
            </rPr>
            <t>Network &amp; Systems Administration:</t>
          </r>
          <r>
            <rPr>
              <rFont val="Calibri"/>
              <sz val="10"/>
            </rPr>
            <t xml:space="preserve"> Administers servers, AD, firewalls and backups
• </t>
          </r>
          <r>
            <rPr>
              <rFont val="Calibri"/>
              <b val="1"/>
              <sz val="10"/>
            </rPr>
            <t>End-User Support &amp; Service Desk · ITIL 4:</t>
          </r>
          <r>
            <rPr>
              <rFont val="Calibri"/>
              <sz val="10"/>
            </rPr>
            <t xml:space="preserve"> Resolves L2 issues; maintains knowledge base
• </t>
          </r>
          <r>
            <rPr>
              <rFont val="Calibri"/>
              <b val="1"/>
              <sz val="10"/>
            </rPr>
            <t>Information Security &amp; ISO 27001 Controls:</t>
          </r>
          <r>
            <rPr>
              <rFont val="Calibri"/>
              <sz val="10"/>
            </rPr>
            <t xml:space="preserve"> Runs access reviews, vulnerability fixes and audit evidence
• </t>
          </r>
          <r>
            <rPr>
              <rFont val="Calibri"/>
              <b val="1"/>
              <sz val="10"/>
            </rPr>
            <t>Cloud &amp; Platform Operations:</t>
          </r>
          <r>
            <rPr>
              <rFont val="Calibri"/>
              <sz val="10"/>
            </rPr>
            <t xml:space="preserve"> Provisions and monitors cloud resources; backups and DR
• </t>
          </r>
          <r>
            <rPr>
              <rFont val="Calibri"/>
              <b val="1"/>
              <sz val="10"/>
            </rPr>
            <t>IT Asset &amp; Licence Management:</t>
          </r>
          <r>
            <rPr>
              <rFont val="Calibri"/>
              <sz val="10"/>
            </rPr>
            <t xml:space="preserve"> Runs asset lifecycle and licence true-ups</t>
          </r>
        </is>
      </c>
      <c r="U28" s="121" t="inlineStr">
        <is>
          <t>Practical task; Work sample / case; Role play / behavioural interview; Behavioural interview; Work sample / portfolio</t>
        </is>
      </c>
      <c r="V28" s="122" t="inlineStr">
        <is>
          <t>Microsoft / CCNA / ISO 27001 / ITIL; AWS / Azure / Kubernetes certifications; Lean / Six Sigma · optional; Vendor AI certifications · optional</t>
        </is>
      </c>
      <c r="W28" s="122" t="inlineStr">
        <is>
          <t>ISO 27001 / InfoSec controls; mandatory: POSH, Code of Conduct, InfoSec &amp; Privacy</t>
        </is>
      </c>
      <c r="X28" s="122" t="inlineStr">
        <is>
          <t>90% · 1 of 1</t>
        </is>
      </c>
      <c r="Y28" s="122" t="inlineStr">
        <is>
          <t>Cloud &amp; DevOps · Prioritisation · AI / GenAI</t>
        </is>
      </c>
      <c r="Z28" s="122" t="inlineStr">
        <is>
          <t>Cloud, DevOps &amp; CI/CD · Cybersecurity &amp; Infrastructure · AI, GenAI &amp; Prompt Engineering</t>
        </is>
      </c>
    </row>
    <row r="29" ht="236" customHeight="1">
      <c r="A29" s="166" t="inlineStr">
        <is>
          <t>B</t>
        </is>
      </c>
      <c r="B29" s="23" t="inlineStr">
        <is>
          <t>B2</t>
        </is>
      </c>
      <c r="C29" s="21" t="inlineStr">
        <is>
          <t>Senior Specialist</t>
        </is>
      </c>
      <c r="D29" s="110" t="inlineStr">
        <is>
          <t>Senior Talent Acquisition Specialist</t>
        </is>
      </c>
      <c r="E29" s="111" t="inlineStr">
        <is>
          <t>Talent Acquisition</t>
        </is>
      </c>
      <c r="F29" s="111" t="inlineStr">
        <is>
          <t>Human Resources</t>
        </is>
      </c>
      <c r="G29" s="111" t="inlineStr">
        <is>
          <t>HR</t>
        </is>
      </c>
      <c r="H29" s="111" t="inlineStr">
        <is>
          <t>IC</t>
        </is>
      </c>
      <c r="I29" s="112" t="n">
        <v>1</v>
      </c>
      <c r="J29" s="162" t="n">
        <v>3</v>
      </c>
      <c r="K29" s="163" t="n">
        <v>3</v>
      </c>
      <c r="L29" s="163" t="n">
        <v>4</v>
      </c>
      <c r="M29" s="163" t="n">
        <v>2</v>
      </c>
      <c r="N29" s="114" t="inlineStr">
        <is>
          <t>Index ≥ 90% · meets; must-haves at required level</t>
        </is>
      </c>
      <c r="O29"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29"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29"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29" s="119" t="inlineStr">
        <is>
          <t>• ★ Stakeholder &amp; Client Management: Owns key relationships; resolves escalations
• ★ Communication &amp; Presentation: Presents to senior stakeholders; shapes messaging</t>
        </is>
      </c>
      <c r="S29" s="165" t="inlineStr">
        <is>
          <r>
            <rPr>
              <rFont val="Calibri"/>
              <sz val="10"/>
            </rPr>
            <t xml:space="preserve">• </t>
          </r>
          <r>
            <rPr>
              <rFont val="Calibri"/>
              <b val="1"/>
              <sz val="10"/>
            </rPr>
            <t>Data Analytics, BI &amp; Visualisation:</t>
          </r>
          <r>
            <rPr>
              <rFont val="Calibri"/>
              <sz val="10"/>
            </rPr>
            <t xml:space="preserve"> Defines metrics and analytics approach for a business
• </t>
          </r>
          <r>
            <rPr>
              <rFont val="Calibri"/>
              <b val="1"/>
              <sz val="10"/>
            </rPr>
            <t>Process Improvement &amp; Quality Mindset:</t>
          </r>
          <r>
            <rPr>
              <rFont val="Calibri"/>
              <sz val="10"/>
            </rPr>
            <t xml:space="preserve"> Redesigns team processes; reduces error rates measurably
• </t>
          </r>
          <r>
            <rPr>
              <rFont val="Calibri"/>
              <b val="1"/>
              <sz val="10"/>
            </rPr>
            <t>People Leadership &amp; Mentoring:</t>
          </r>
          <r>
            <rPr>
              <rFont val="Calibri"/>
              <sz val="10"/>
            </rPr>
            <t xml:space="preserve"> Leads leaders; builds succession
• </t>
          </r>
          <r>
            <rPr>
              <rFont val="Calibri"/>
              <b val="1"/>
              <sz val="10"/>
            </rPr>
            <t>Advanced Excel &amp; Productivity Tools:</t>
          </r>
          <r>
            <rPr>
              <rFont val="Calibri"/>
              <sz val="10"/>
            </rPr>
            <t xml:space="preserve"> Builds templates and automation used by the team</t>
          </r>
        </is>
      </c>
      <c r="T29" s="165" t="inlineStr">
        <is>
          <r>
            <rPr>
              <rFont val="Calibri"/>
              <sz val="10"/>
            </rPr>
            <t xml:space="preserve">• </t>
          </r>
          <r>
            <rPr>
              <rFont val="Calibri"/>
              <b val="1"/>
              <sz val="10"/>
            </rPr>
            <t>Talent Acquisition &amp; Employer Brand:</t>
          </r>
          <r>
            <rPr>
              <rFont val="Calibri"/>
              <sz val="10"/>
            </rPr>
            <t xml:space="preserve"> Designs sourcing strategy, campus and lateral programmes; hiring analytics
• </t>
          </r>
          <r>
            <rPr>
              <rFont val="Calibri"/>
              <b val="1"/>
              <sz val="10"/>
            </rPr>
            <t>HR Operations, Payroll &amp; Labour-Law Compliance:</t>
          </r>
          <r>
            <rPr>
              <rFont val="Calibri"/>
              <sz val="10"/>
            </rPr>
            <t xml:space="preserve"> Designs HR operations, policies and controls; handles inspections
• </t>
          </r>
          <r>
            <rPr>
              <rFont val="Calibri"/>
              <b val="1"/>
              <sz val="10"/>
            </rPr>
            <t>Employee Relations, Engagement &amp; POSH:</t>
          </r>
          <r>
            <rPr>
              <rFont val="Calibri"/>
              <sz val="10"/>
            </rPr>
            <t xml:space="preserve"> Leads investigations and engagement strategy; coaches managers
• </t>
          </r>
          <r>
            <rPr>
              <rFont val="Calibri"/>
              <b val="1"/>
              <sz val="10"/>
            </rPr>
            <t>Performance, Rewards &amp; Job Architecture:</t>
          </r>
          <r>
            <rPr>
              <rFont val="Calibri"/>
              <sz val="10"/>
            </rPr>
            <t xml:space="preserve"> Designs reward structures, pay ranges and incentive plans
• </t>
          </r>
          <r>
            <rPr>
              <rFont val="Calibri"/>
              <b val="1"/>
              <sz val="10"/>
            </rPr>
            <t>Learning &amp; Organisation Development:</t>
          </r>
          <r>
            <rPr>
              <rFont val="Calibri"/>
              <sz val="10"/>
            </rPr>
            <t xml:space="preserve"> Leads career frameworks, leadership development and org design
• </t>
          </r>
          <r>
            <rPr>
              <rFont val="Calibri"/>
              <b val="1"/>
              <sz val="10"/>
            </rPr>
            <t>People Analytics &amp; HRIS:</t>
          </r>
          <r>
            <rPr>
              <rFont val="Calibri"/>
              <sz val="10"/>
            </rPr>
            <t xml:space="preserve"> Defines people metrics; predictive analysis for workforce planning</t>
          </r>
        </is>
      </c>
      <c r="U29" s="121" t="inlineStr">
        <is>
          <t>Role play / behavioural interview; Presentation / writing test; Data case / practical; Work sample / case; Behavioural interview; Practical test</t>
        </is>
      </c>
      <c r="V29" s="122" t="inlineStr">
        <is>
          <t>Power BI / Tableau · optional; Lean / Six Sigma · optional; MOS Excel · optional</t>
        </is>
      </c>
      <c r="W29" s="122" t="inlineStr">
        <is>
          <t>Labour law, POSH, data privacy; mandatory: POSH, Code of Conduct, InfoSec &amp; Privacy</t>
        </is>
      </c>
      <c r="X29" s="122" t="inlineStr">
        <is>
          <t>75% · 0 of 1</t>
        </is>
      </c>
      <c r="Y29" s="122" t="inlineStr">
        <is>
          <t>Stakeholder mgmt · Communication · Analytics &amp; BI</t>
        </is>
      </c>
      <c r="Z29" s="122" t="inlineStr">
        <is>
          <t>People Leadership &amp; Mentoring · Cybersecurity &amp; Infrastructure · Stakeholder &amp; Client Management</t>
        </is>
      </c>
    </row>
    <row r="30" ht="184" customHeight="1">
      <c r="A30" s="166" t="inlineStr">
        <is>
          <t>B</t>
        </is>
      </c>
      <c r="B30" s="23" t="inlineStr">
        <is>
          <t>B2</t>
        </is>
      </c>
      <c r="C30" s="21" t="inlineStr">
        <is>
          <t>Senior Specialist</t>
        </is>
      </c>
      <c r="D30" s="110" t="inlineStr">
        <is>
          <t>Senior Content Marketing Specialist</t>
        </is>
      </c>
      <c r="E30" s="111" t="inlineStr">
        <is>
          <t>Content Marketing</t>
        </is>
      </c>
      <c r="F30" s="111" t="inlineStr">
        <is>
          <t>Marketing &amp; Communications</t>
        </is>
      </c>
      <c r="G30" s="111" t="inlineStr">
        <is>
          <t>Marketing</t>
        </is>
      </c>
      <c r="H30" s="111" t="inlineStr">
        <is>
          <t>IC</t>
        </is>
      </c>
      <c r="I30" s="112" t="n">
        <v>1</v>
      </c>
      <c r="J30" s="162" t="n">
        <v>3</v>
      </c>
      <c r="K30" s="163" t="n">
        <v>3</v>
      </c>
      <c r="L30" s="163" t="n">
        <v>4</v>
      </c>
      <c r="M30" s="163" t="n">
        <v>2</v>
      </c>
      <c r="N30" s="114" t="inlineStr">
        <is>
          <t>Index ≥ 90% · meets; must-haves at required level</t>
        </is>
      </c>
      <c r="O30"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30"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30"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30" s="119" t="inlineStr">
        <is>
          <t>• ★ Marketing Tech &amp; Digital Marketing: Owns digital strategy, funnel and marketing analytics
• ★ Communication &amp; Presentation: Presents to senior stakeholders; shapes messaging</t>
        </is>
      </c>
      <c r="S30" s="165" t="inlineStr">
        <is>
          <r>
            <rPr>
              <rFont val="Calibri"/>
              <sz val="10"/>
            </rPr>
            <t xml:space="preserve">• </t>
          </r>
          <r>
            <rPr>
              <rFont val="Calibri"/>
              <b val="1"/>
              <sz val="10"/>
            </rPr>
            <t>Data Analytics, BI &amp; Visualisation:</t>
          </r>
          <r>
            <rPr>
              <rFont val="Calibri"/>
              <sz val="10"/>
            </rPr>
            <t xml:space="preserve"> Defines metrics and analytics approach for a business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30" s="165" t="inlineStr">
        <is>
          <t>—</t>
        </is>
      </c>
      <c r="U30" s="121" t="inlineStr">
        <is>
          <t>Portfolio / case; Presentation / writing test; Data case / practical; Work sample / portfolio; Scenario interview; Case interview</t>
        </is>
      </c>
      <c r="V30" s="122" t="inlineStr">
        <is>
          <t>Google / HubSpot certifications; Power BI / Tableau · optional; Vendor AI certifications · optional; Internal product certification; MBA / PGDM · preferred at C+</t>
        </is>
      </c>
      <c r="W30" s="122" t="inlineStr">
        <is>
          <t>Brand and data-privacy rules for campaigns; mandatory: POSH, Code of Conduct, InfoSec &amp; Privacy</t>
        </is>
      </c>
      <c r="X30" s="122" t="inlineStr">
        <is>
          <t>100% · 1 of 1</t>
        </is>
      </c>
      <c r="Y30" s="122" t="inlineStr">
        <is>
          <t>AI / GenAI · Learning agility · Digital fluency</t>
        </is>
      </c>
      <c r="Z30" s="122" t="inlineStr">
        <is>
          <t>People Leadership &amp; Mentoring · Project, Program &amp; Agile Management · Stakeholder &amp; Client Management</t>
        </is>
      </c>
    </row>
    <row r="31" ht="197" customHeight="1">
      <c r="A31" s="166" t="inlineStr">
        <is>
          <t>B</t>
        </is>
      </c>
      <c r="B31" s="23" t="inlineStr">
        <is>
          <t>B2</t>
        </is>
      </c>
      <c r="C31" s="21" t="inlineStr">
        <is>
          <t>Senior Specialist</t>
        </is>
      </c>
      <c r="D31" s="110" t="inlineStr">
        <is>
          <t>Senior Finance Specialist – POD Lead</t>
        </is>
      </c>
      <c r="E31" s="111" t="inlineStr">
        <is>
          <t>Financial Reporting, Compliance &amp; Audit</t>
        </is>
      </c>
      <c r="F31" s="111" t="inlineStr">
        <is>
          <t>Finance &amp; Accounts</t>
        </is>
      </c>
      <c r="G31" s="111" t="inlineStr">
        <is>
          <t>Finance</t>
        </is>
      </c>
      <c r="H31" s="111" t="inlineStr">
        <is>
          <t>POD Lead</t>
        </is>
      </c>
      <c r="I31" s="112" t="n">
        <v>1</v>
      </c>
      <c r="J31" s="162" t="n">
        <v>3</v>
      </c>
      <c r="K31" s="163" t="n">
        <v>3</v>
      </c>
      <c r="L31" s="163" t="n">
        <v>4</v>
      </c>
      <c r="M31" s="163" t="n">
        <v>3</v>
      </c>
      <c r="N31" s="114" t="inlineStr">
        <is>
          <t>Index ≥ 90% · meets; must-haves at required level</t>
        </is>
      </c>
      <c r="O31"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31"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31"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31" s="119" t="inlineStr">
        <is>
          <t>• ★ Accounting &amp; Reporting Standards · IFRS/US GAAP: Advises on complex disclosures and standards changes
• ★ Advanced Excel &amp; Productivity Tools: Builds templates and automation used by the team</t>
        </is>
      </c>
      <c r="S31" s="165" t="inlineStr">
        <is>
          <r>
            <rPr>
              <rFont val="Calibri"/>
              <sz val="10"/>
            </rPr>
            <t xml:space="preserve">• </t>
          </r>
          <r>
            <rPr>
              <rFont val="Calibri"/>
              <b val="1"/>
              <sz val="10"/>
            </rPr>
            <t>Regulatory &amp; BFSI Domain:</t>
          </r>
          <r>
            <rPr>
              <rFont val="Calibri"/>
              <sz val="10"/>
            </rPr>
            <t xml:space="preserve"> Interprets new regulation; advises clients and product
• </t>
          </r>
          <r>
            <rPr>
              <rFont val="Calibri"/>
              <b val="1"/>
              <sz val="10"/>
            </rPr>
            <t>Data Analytics, BI &amp; Visualisation:</t>
          </r>
          <r>
            <rPr>
              <rFont val="Calibri"/>
              <sz val="10"/>
            </rPr>
            <t xml:space="preserve"> Defines metrics and analytics approach for a business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t>
          </r>
        </is>
      </c>
      <c r="T31" s="165" t="inlineStr">
        <is>
          <r>
            <rPr>
              <rFont val="Calibri"/>
              <sz val="10"/>
            </rPr>
            <t xml:space="preserve">• </t>
          </r>
          <r>
            <rPr>
              <rFont val="Calibri"/>
              <b val="1"/>
              <sz val="10"/>
            </rPr>
            <t>Financial Accounting, Close &amp; Reporting · Ind AS:</t>
          </r>
          <r>
            <rPr>
              <rFont val="Calibri"/>
              <sz val="10"/>
            </rPr>
            <t xml:space="preserve"> Owns statutory financial statements and consolidation
• </t>
          </r>
          <r>
            <rPr>
              <rFont val="Calibri"/>
              <b val="1"/>
              <sz val="10"/>
            </rPr>
            <t>Taxation &amp; Statutory Compliance · GST, TDS, Income-tax:</t>
          </r>
          <r>
            <rPr>
              <rFont val="Calibri"/>
              <sz val="10"/>
            </rPr>
            <t xml:space="preserve"> Plans tax position; manages assessments and advisors
• </t>
          </r>
          <r>
            <rPr>
              <rFont val="Calibri"/>
              <b val="1"/>
              <sz val="10"/>
            </rPr>
            <t>FP&amp;A, Budgeting &amp; Business Partnering:</t>
          </r>
          <r>
            <rPr>
              <rFont val="Calibri"/>
              <sz val="10"/>
            </rPr>
            <t xml:space="preserve"> Leads planning cycle; partners business heads on pricing and investment
• </t>
          </r>
          <r>
            <rPr>
              <rFont val="Calibri"/>
              <b val="1"/>
              <sz val="10"/>
            </rPr>
            <t>Audit, Internal Controls &amp; Risk:</t>
          </r>
          <r>
            <rPr>
              <rFont val="Calibri"/>
              <sz val="10"/>
            </rPr>
            <t xml:space="preserve"> Designs control framework · IFC; leads audits
• </t>
          </r>
          <r>
            <rPr>
              <rFont val="Calibri"/>
              <b val="1"/>
              <sz val="10"/>
            </rPr>
            <t>Treasury, Receivables &amp; Collections:</t>
          </r>
          <r>
            <rPr>
              <rFont val="Calibri"/>
              <sz val="10"/>
            </rPr>
            <t xml:space="preserve"> Optimises working capital and FX exposure
• </t>
          </r>
          <r>
            <rPr>
              <rFont val="Calibri"/>
              <b val="1"/>
              <sz val="10"/>
            </rPr>
            <t>Finance Systems &amp; Automation · ERP:</t>
          </r>
          <r>
            <rPr>
              <rFont val="Calibri"/>
              <sz val="10"/>
            </rPr>
            <t xml:space="preserve"> Leads ERP changes and finance automation</t>
          </r>
        </is>
      </c>
      <c r="U31" s="121" t="inlineStr">
        <is>
          <t>Accounting test; Practical test; Domain interview; Data case / practical; Work sample / case; Case interview</t>
        </is>
      </c>
      <c r="V31" s="122" t="inlineStr">
        <is>
          <t>CA / CMA / ACCA / CFA / IFRS certificate; MOS Excel · optional; Domain certifications · optional; Power BI / Tableau · optional; Lean / Six Sigma · optional; MBA / PGDM · preferred at C+</t>
        </is>
      </c>
      <c r="W31" s="122" t="inlineStr">
        <is>
          <t>Statutory compliance · GST, TDS, audit; mandatory: POSH, Code of Conduct, InfoSec &amp; Privacy</t>
        </is>
      </c>
      <c r="X31" s="122" t="inlineStr">
        <is>
          <t>87% · 0 of 1</t>
        </is>
      </c>
      <c r="Y31" s="122" t="inlineStr">
        <is>
          <t>Accounting standards · Analytics &amp; BI · Quality &amp; process</t>
        </is>
      </c>
      <c r="Z31" s="122" t="inlineStr">
        <is>
          <t>People Leadership &amp; Mentoring · AI, GenAI &amp; Prompt Engineering · Project, Program &amp; Agile Management</t>
        </is>
      </c>
    </row>
    <row r="32" ht="184" customHeight="1">
      <c r="A32" s="166" t="inlineStr">
        <is>
          <t>B</t>
        </is>
      </c>
      <c r="B32" s="23" t="inlineStr">
        <is>
          <t>B2</t>
        </is>
      </c>
      <c r="C32" s="21" t="inlineStr">
        <is>
          <t>Manager</t>
        </is>
      </c>
      <c r="D32" s="110" t="inlineStr">
        <is>
          <t>Manager – Administration</t>
        </is>
      </c>
      <c r="E32" s="111" t="inlineStr">
        <is>
          <t>Administration &amp; Facilities</t>
        </is>
      </c>
      <c r="F32" s="111" t="inlineStr">
        <is>
          <t>Administration, Legal &amp; Secretarial</t>
        </is>
      </c>
      <c r="G32" s="111" t="inlineStr">
        <is>
          <t>Administration</t>
        </is>
      </c>
      <c r="H32" s="111" t="inlineStr">
        <is>
          <t>People Manager</t>
        </is>
      </c>
      <c r="I32" s="112" t="n">
        <v>1</v>
      </c>
      <c r="J32" s="162" t="n">
        <v>3</v>
      </c>
      <c r="K32" s="163" t="n">
        <v>3</v>
      </c>
      <c r="L32" s="163" t="n">
        <v>4</v>
      </c>
      <c r="M32" s="163" t="n">
        <v>3</v>
      </c>
      <c r="N32" s="114" t="inlineStr">
        <is>
          <t>Index ≥ 90% · meets; must-haves at required level</t>
        </is>
      </c>
      <c r="O32"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32"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32"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32" s="119" t="inlineStr">
        <is>
          <t>• ★ Regulatory &amp; BFSI Domain: Interprets new regulation; advises clients and product
• ★ Stakeholder &amp; Client Management: Owns key relationships; resolves escalations</t>
        </is>
      </c>
      <c r="S32" s="165" t="inlineStr">
        <is>
          <r>
            <rPr>
              <rFont val="Calibri"/>
              <sz val="10"/>
            </rPr>
            <t xml:space="preserve">•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Communication &amp; Presentation:</t>
          </r>
          <r>
            <rPr>
              <rFont val="Calibri"/>
              <sz val="10"/>
            </rPr>
            <t xml:space="preserve"> Presents to senior stakeholders; shapes messaging
• </t>
          </r>
          <r>
            <rPr>
              <rFont val="Calibri"/>
              <b val="1"/>
              <sz val="10"/>
            </rPr>
            <t>Time, Priority &amp; Self-Management:</t>
          </r>
          <r>
            <rPr>
              <rFont val="Calibri"/>
              <sz val="10"/>
            </rPr>
            <t xml:space="preserve"> Plans team capacity and peak-season loads</t>
          </r>
        </is>
      </c>
      <c r="T32" s="165" t="inlineStr">
        <is>
          <r>
            <rPr>
              <rFont val="Calibri"/>
              <sz val="10"/>
            </rPr>
            <t xml:space="preserve">• </t>
          </r>
          <r>
            <rPr>
              <rFont val="Calibri"/>
              <b val="1"/>
              <sz val="10"/>
            </rPr>
            <t>Facilities &amp; Workplace Management:</t>
          </r>
          <r>
            <rPr>
              <rFont val="Calibri"/>
              <sz val="10"/>
            </rPr>
            <t xml:space="preserve"> Plans space and facility budgets across sites
• </t>
          </r>
          <r>
            <rPr>
              <rFont val="Calibri"/>
              <b val="1"/>
              <sz val="10"/>
            </rPr>
            <t>Procurement &amp; Vendor Management:</t>
          </r>
          <r>
            <rPr>
              <rFont val="Calibri"/>
              <sz val="10"/>
            </rPr>
            <t xml:space="preserve"> Designs procurement policy and category strategy
• </t>
          </r>
          <r>
            <rPr>
              <rFont val="Calibri"/>
              <b val="1"/>
              <sz val="10"/>
            </rPr>
            <t>Assets, Travel &amp; Events:</t>
          </r>
          <r>
            <rPr>
              <rFont val="Calibri"/>
              <sz val="10"/>
            </rPr>
            <t xml:space="preserve"> Sets travel and asset policy; vendor tie-ups
• </t>
          </r>
          <r>
            <rPr>
              <rFont val="Calibri"/>
              <b val="1"/>
              <sz val="10"/>
            </rPr>
            <t>Health, Safety &amp; Business Continuity:</t>
          </r>
          <r>
            <rPr>
              <rFont val="Calibri"/>
              <sz val="10"/>
            </rPr>
            <t xml:space="preserve"> Designs BCP and safety programme</t>
          </r>
        </is>
      </c>
      <c r="U32" s="121" t="inlineStr">
        <is>
          <t>Domain interview; Role play / behavioural interview; Work sample / case; Practical test; Presentation / writing test; Behavioural interview</t>
        </is>
      </c>
      <c r="V32" s="122" t="inlineStr">
        <is>
          <t>Domain certifications · optional; Lean / Six Sigma · optional; MOS Excel · optional</t>
        </is>
      </c>
      <c r="W32" s="122" t="inlineStr">
        <is>
          <t>Companies Act / statutory filings; vendor contracts; mandatory: POSH, Code of Conduct, InfoSec &amp; Privacy</t>
        </is>
      </c>
      <c r="X32" s="122" t="inlineStr">
        <is>
          <t>106% · 1 of 1</t>
        </is>
      </c>
      <c r="Y32" s="122" t="inlineStr">
        <is>
          <t>Prioritisation · Learning agility · AI literacy</t>
        </is>
      </c>
      <c r="Z32" s="122" t="inlineStr">
        <is>
          <t>People Leadership &amp; Mentoring · Project, Program &amp; Agile Management · Strategic Thinking &amp; Business Acumen</t>
        </is>
      </c>
    </row>
    <row r="33" ht="184" customHeight="1">
      <c r="A33" s="166" t="inlineStr">
        <is>
          <t>B</t>
        </is>
      </c>
      <c r="B33" s="23" t="inlineStr">
        <is>
          <t>B2</t>
        </is>
      </c>
      <c r="C33" s="21" t="inlineStr">
        <is>
          <t>Manager</t>
        </is>
      </c>
      <c r="D33" s="110" t="inlineStr">
        <is>
          <t>Senior IT Manager</t>
        </is>
      </c>
      <c r="E33" s="111" t="inlineStr">
        <is>
          <t>IT Infrastructure Leadership</t>
        </is>
      </c>
      <c r="F33" s="111" t="inlineStr">
        <is>
          <t>IT &amp; Infrastructure</t>
        </is>
      </c>
      <c r="G33" s="111" t="inlineStr">
        <is>
          <t>IT &amp; Infrastructure</t>
        </is>
      </c>
      <c r="H33" s="111" t="inlineStr">
        <is>
          <t>People Manager</t>
        </is>
      </c>
      <c r="I33" s="112" t="n">
        <v>1</v>
      </c>
      <c r="J33" s="162" t="n">
        <v>3</v>
      </c>
      <c r="K33" s="163" t="n">
        <v>3</v>
      </c>
      <c r="L33" s="163" t="n">
        <v>4</v>
      </c>
      <c r="M33" s="163" t="n">
        <v>3</v>
      </c>
      <c r="N33" s="114" t="inlineStr">
        <is>
          <t>Index ≥ 90% · meets; must-haves at required level</t>
        </is>
      </c>
      <c r="O33" s="118"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33"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33"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33" s="119" t="inlineStr">
        <is>
          <t>• ★ Cybersecurity &amp; Infrastructure: Designs secure infrastructure; leads audits and incident response
• ★ Cloud, DevOps &amp; CI/CD: Designs platform, monitoring and release strategy</t>
        </is>
      </c>
      <c r="S33" s="165" t="inlineStr">
        <is>
          <r>
            <rPr>
              <rFont val="Calibri"/>
              <sz val="10"/>
            </rPr>
            <t xml:space="preserve">• </t>
          </r>
          <r>
            <rPr>
              <rFont val="Calibri"/>
              <b val="1"/>
              <sz val="10"/>
            </rPr>
            <t>Process Improvement &amp; Quality Mindset:</t>
          </r>
          <r>
            <rPr>
              <rFont val="Calibri"/>
              <sz val="10"/>
            </rPr>
            <t xml:space="preserve"> Redesigns team processes; reduces error rates measurably
• </t>
          </r>
          <r>
            <rPr>
              <rFont val="Calibri"/>
              <b val="1"/>
              <sz val="10"/>
            </rPr>
            <t>Stakeholder &amp; Client Management:</t>
          </r>
          <r>
            <rPr>
              <rFont val="Calibri"/>
              <sz val="10"/>
            </rPr>
            <t xml:space="preserve"> Owns key relationships; resolves escalations
• </t>
          </r>
          <r>
            <rPr>
              <rFont val="Calibri"/>
              <b val="1"/>
              <sz val="10"/>
            </rPr>
            <t>Time, Priority &amp; Self-Management:</t>
          </r>
          <r>
            <rPr>
              <rFont val="Calibri"/>
              <sz val="10"/>
            </rPr>
            <t xml:space="preserve"> Plans team capacity and peak-season loads
• </t>
          </r>
          <r>
            <rPr>
              <rFont val="Calibri"/>
              <b val="1"/>
              <sz val="10"/>
            </rPr>
            <t>AI, GenAI &amp; Prompt Engineering:</t>
          </r>
          <r>
            <rPr>
              <rFont val="Calibri"/>
              <sz val="10"/>
            </rPr>
            <t xml:space="preserve"> Builds AI features or AI-enabled processes; sets safe-use practice</t>
          </r>
        </is>
      </c>
      <c r="T33" s="165" t="inlineStr">
        <is>
          <r>
            <rPr>
              <rFont val="Calibri"/>
              <sz val="10"/>
            </rPr>
            <t xml:space="preserve">• </t>
          </r>
          <r>
            <rPr>
              <rFont val="Calibri"/>
              <b val="1"/>
              <sz val="10"/>
            </rPr>
            <t>Network &amp; Systems Administration:</t>
          </r>
          <r>
            <rPr>
              <rFont val="Calibri"/>
              <sz val="10"/>
            </rPr>
            <t xml:space="preserve"> Designs network and server architecture; capacity planning
• </t>
          </r>
          <r>
            <rPr>
              <rFont val="Calibri"/>
              <b val="1"/>
              <sz val="10"/>
            </rPr>
            <t>End-User Support &amp; Service Desk · ITIL 4:</t>
          </r>
          <r>
            <rPr>
              <rFont val="Calibri"/>
              <sz val="10"/>
            </rPr>
            <t xml:space="preserve"> Designs service-desk process and SLAs
• </t>
          </r>
          <r>
            <rPr>
              <rFont val="Calibri"/>
              <b val="1"/>
              <sz val="10"/>
            </rPr>
            <t>Information Security &amp; ISO 27001 Controls:</t>
          </r>
          <r>
            <rPr>
              <rFont val="Calibri"/>
              <sz val="10"/>
            </rPr>
            <t xml:space="preserve"> Designs controls; leads ISO 27001 audits and incident response
• </t>
          </r>
          <r>
            <rPr>
              <rFont val="Calibri"/>
              <b val="1"/>
              <sz val="10"/>
            </rPr>
            <t>Cloud &amp; Platform Operations:</t>
          </r>
          <r>
            <rPr>
              <rFont val="Calibri"/>
              <sz val="10"/>
            </rPr>
            <t xml:space="preserve"> Designs cloud landing zones, DR and cost optimisation
• </t>
          </r>
          <r>
            <rPr>
              <rFont val="Calibri"/>
              <b val="1"/>
              <sz val="10"/>
            </rPr>
            <t>IT Asset &amp; Licence Management:</t>
          </r>
          <r>
            <rPr>
              <rFont val="Calibri"/>
              <sz val="10"/>
            </rPr>
            <t xml:space="preserve"> Optimises spend and vendor contracts</t>
          </r>
        </is>
      </c>
      <c r="U33" s="121" t="inlineStr">
        <is>
          <t>Practical task; Work sample / case; Role play / behavioural interview; Behavioural interview; Work sample / portfolio</t>
        </is>
      </c>
      <c r="V33" s="122" t="inlineStr">
        <is>
          <t>Microsoft / CCNA / ISO 27001 / ITIL; AWS / Azure / Kubernetes certifications; Lean / Six Sigma · optional; Vendor AI certifications · optional</t>
        </is>
      </c>
      <c r="W33" s="122" t="inlineStr">
        <is>
          <t>ISO 27001 / InfoSec controls; mandatory: POSH, Code of Conduct, InfoSec &amp; Privacy</t>
        </is>
      </c>
      <c r="X33" s="122" t="inlineStr">
        <is>
          <t>91% · 1 of 1</t>
        </is>
      </c>
      <c r="Y33" s="122" t="inlineStr">
        <is>
          <t>Quality &amp; process · Prioritisation · AI / GenAI</t>
        </is>
      </c>
      <c r="Z33" s="122" t="inlineStr">
        <is>
          <t>Cybersecurity &amp; Infrastructure · Project, Program &amp; Agile Management · Regulatory &amp; BFSI Domain</t>
        </is>
      </c>
    </row>
    <row r="34" ht="236" customHeight="1">
      <c r="A34" s="166" t="inlineStr">
        <is>
          <t>B</t>
        </is>
      </c>
      <c r="B34" s="23" t="inlineStr">
        <is>
          <t>B3</t>
        </is>
      </c>
      <c r="C34" s="21" t="inlineStr">
        <is>
          <t>Lead Specialist</t>
        </is>
      </c>
      <c r="D34" s="110" t="inlineStr">
        <is>
          <t>Lead HR Specialist – Transformation &amp; OD</t>
        </is>
      </c>
      <c r="E34" s="111" t="inlineStr">
        <is>
          <t>HR Transformation &amp; OD</t>
        </is>
      </c>
      <c r="F34" s="111" t="inlineStr">
        <is>
          <t>Human Resources</t>
        </is>
      </c>
      <c r="G34" s="111" t="inlineStr">
        <is>
          <t>HR</t>
        </is>
      </c>
      <c r="H34" s="111" t="inlineStr">
        <is>
          <t>IC</t>
        </is>
      </c>
      <c r="I34" s="112" t="n">
        <v>1</v>
      </c>
      <c r="J34" s="162" t="n">
        <v>4</v>
      </c>
      <c r="K34" s="163" t="n">
        <v>3</v>
      </c>
      <c r="L34" s="163" t="n">
        <v>4</v>
      </c>
      <c r="M34" s="163" t="n">
        <v>3</v>
      </c>
      <c r="N34" s="114" t="inlineStr">
        <is>
          <t>Index ≥ 90% · meets; must-haves at required level</t>
        </is>
      </c>
      <c r="O34"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34"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34"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34" s="119" t="inlineStr">
        <is>
          <t>• ★ Stakeholder &amp; Client Management: Owns key relationships; resolves escalations
• ★ Communication &amp; Presentation: Presents to senior stakeholders; shapes messaging</t>
        </is>
      </c>
      <c r="S34" s="165" t="inlineStr">
        <is>
          <r>
            <rPr>
              <rFont val="Calibri"/>
              <sz val="10"/>
            </rPr>
            <t xml:space="preserve">• </t>
          </r>
          <r>
            <rPr>
              <rFont val="Calibri"/>
              <b val="1"/>
              <sz val="10"/>
            </rPr>
            <t>Data Analytics, BI &amp; Visualisation:</t>
          </r>
          <r>
            <rPr>
              <rFont val="Calibri"/>
              <sz val="10"/>
            </rPr>
            <t xml:space="preserve"> Defines metrics and analytics approach for a business
• </t>
          </r>
          <r>
            <rPr>
              <rFont val="Calibri"/>
              <b val="1"/>
              <sz val="10"/>
            </rPr>
            <t>Process Improvement &amp; Quality Mindset:</t>
          </r>
          <r>
            <rPr>
              <rFont val="Calibri"/>
              <sz val="10"/>
            </rPr>
            <t xml:space="preserve"> Redesigns team processes; reduces error rates measurably
• </t>
          </r>
          <r>
            <rPr>
              <rFont val="Calibri"/>
              <b val="1"/>
              <sz val="10"/>
            </rPr>
            <t>People Leadership &amp; Mentoring:</t>
          </r>
          <r>
            <rPr>
              <rFont val="Calibri"/>
              <sz val="10"/>
            </rPr>
            <t xml:space="preserve"> Leads leaders; builds succession
• </t>
          </r>
          <r>
            <rPr>
              <rFont val="Calibri"/>
              <b val="1"/>
              <sz val="10"/>
            </rPr>
            <t>Advanced Excel &amp; Productivity Tools:</t>
          </r>
          <r>
            <rPr>
              <rFont val="Calibri"/>
              <sz val="10"/>
            </rPr>
            <t xml:space="preserve"> Builds templates and automation used by the team</t>
          </r>
        </is>
      </c>
      <c r="T34" s="165" t="inlineStr">
        <is>
          <r>
            <rPr>
              <rFont val="Calibri"/>
              <sz val="10"/>
            </rPr>
            <t xml:space="preserve">• </t>
          </r>
          <r>
            <rPr>
              <rFont val="Calibri"/>
              <b val="1"/>
              <sz val="10"/>
            </rPr>
            <t>Talent Acquisition &amp; Employer Brand:</t>
          </r>
          <r>
            <rPr>
              <rFont val="Calibri"/>
              <sz val="10"/>
            </rPr>
            <t xml:space="preserve"> Designs sourcing strategy, campus and lateral programmes; hiring analytics
• </t>
          </r>
          <r>
            <rPr>
              <rFont val="Calibri"/>
              <b val="1"/>
              <sz val="10"/>
            </rPr>
            <t>HR Operations, Payroll &amp; Labour-Law Compliance:</t>
          </r>
          <r>
            <rPr>
              <rFont val="Calibri"/>
              <sz val="10"/>
            </rPr>
            <t xml:space="preserve"> Designs HR operations, policies and controls; handles inspections
• </t>
          </r>
          <r>
            <rPr>
              <rFont val="Calibri"/>
              <b val="1"/>
              <sz val="10"/>
            </rPr>
            <t>Employee Relations, Engagement &amp; POSH:</t>
          </r>
          <r>
            <rPr>
              <rFont val="Calibri"/>
              <sz val="10"/>
            </rPr>
            <t xml:space="preserve"> Leads investigations and engagement strategy; coaches managers
• </t>
          </r>
          <r>
            <rPr>
              <rFont val="Calibri"/>
              <b val="1"/>
              <sz val="10"/>
            </rPr>
            <t>Performance, Rewards &amp; Job Architecture:</t>
          </r>
          <r>
            <rPr>
              <rFont val="Calibri"/>
              <sz val="10"/>
            </rPr>
            <t xml:space="preserve"> Designs reward structures, pay ranges and incentive plans
• </t>
          </r>
          <r>
            <rPr>
              <rFont val="Calibri"/>
              <b val="1"/>
              <sz val="10"/>
            </rPr>
            <t>Learning &amp; Organisation Development:</t>
          </r>
          <r>
            <rPr>
              <rFont val="Calibri"/>
              <sz val="10"/>
            </rPr>
            <t xml:space="preserve"> Leads career frameworks, leadership development and org design
• </t>
          </r>
          <r>
            <rPr>
              <rFont val="Calibri"/>
              <b val="1"/>
              <sz val="10"/>
            </rPr>
            <t>People Analytics &amp; HRIS:</t>
          </r>
          <r>
            <rPr>
              <rFont val="Calibri"/>
              <sz val="10"/>
            </rPr>
            <t xml:space="preserve"> Defines people metrics; predictive analysis for workforce planning</t>
          </r>
        </is>
      </c>
      <c r="U34" s="121" t="inlineStr">
        <is>
          <t>Role play / behavioural interview; Presentation / writing test; Data case / practical; Work sample / case; Behavioural interview; Practical test</t>
        </is>
      </c>
      <c r="V34" s="122" t="inlineStr">
        <is>
          <t>Power BI / Tableau · optional; Lean / Six Sigma · optional; MOS Excel · optional</t>
        </is>
      </c>
      <c r="W34" s="122" t="inlineStr">
        <is>
          <t>Labour law, POSH, data privacy; mandatory: POSH, Code of Conduct, InfoSec &amp; Privacy</t>
        </is>
      </c>
      <c r="X34" s="122" t="inlineStr">
        <is>
          <t>—</t>
        </is>
      </c>
      <c r="Y34" s="122" t="inlineStr">
        <is>
          <t>—</t>
        </is>
      </c>
      <c r="Z34" s="122" t="inlineStr">
        <is>
          <t>People Leadership &amp; Mentoring · Project, Program &amp; Agile Management</t>
        </is>
      </c>
    </row>
    <row r="35" ht="184" customHeight="1">
      <c r="A35" s="166" t="inlineStr">
        <is>
          <t>B</t>
        </is>
      </c>
      <c r="B35" s="23" t="inlineStr">
        <is>
          <t>B3</t>
        </is>
      </c>
      <c r="C35" s="21" t="inlineStr">
        <is>
          <t>Lead Specialist</t>
        </is>
      </c>
      <c r="D35" s="110" t="inlineStr">
        <is>
          <t>Agile Coach</t>
        </is>
      </c>
      <c r="E35" s="111" t="inlineStr">
        <is>
          <t>PMO &amp; Delivery Excellence</t>
        </is>
      </c>
      <c r="F35" s="111" t="inlineStr">
        <is>
          <t>Project &amp; Program Management</t>
        </is>
      </c>
      <c r="G35" s="111" t="inlineStr">
        <is>
          <t>Technology</t>
        </is>
      </c>
      <c r="H35" s="111" t="inlineStr">
        <is>
          <t>IC</t>
        </is>
      </c>
      <c r="I35" s="112" t="n">
        <v>1</v>
      </c>
      <c r="J35" s="162" t="n">
        <v>4</v>
      </c>
      <c r="K35" s="163" t="n">
        <v>3</v>
      </c>
      <c r="L35" s="163" t="n">
        <v>4</v>
      </c>
      <c r="M35" s="163" t="n">
        <v>3</v>
      </c>
      <c r="N35" s="114" t="inlineStr">
        <is>
          <t>Index ≥ 90% · meets; must-haves at required level</t>
        </is>
      </c>
      <c r="O35"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35"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35"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35" s="119" t="inlineStr">
        <is>
          <t>• ★ Project, Program &amp; Agile Management: Runs programmes across teams; improves delivery methods
• ★ Stakeholder &amp; Client Management: Owns key relationships; resolves escalations</t>
        </is>
      </c>
      <c r="S35" s="165" t="inlineStr">
        <is>
          <r>
            <rPr>
              <rFont val="Calibri"/>
              <sz val="10"/>
            </rPr>
            <t xml:space="preserve">•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t>
          </r>
        </is>
      </c>
      <c r="T35" s="165" t="inlineStr">
        <is>
          <t>—</t>
        </is>
      </c>
      <c r="U35" s="121" t="inlineStr">
        <is>
          <t>Case interview; Role play / behavioural interview; Presentation / writing test; Work sample / case; Scenario interview</t>
        </is>
      </c>
      <c r="V35" s="122" t="inlineStr">
        <is>
          <t>PMP / PRINCE2 / CSM / SAFe; Lean / Six Sigma · optional; MBA / PGDM · preferred at C+; Internal product certification</t>
        </is>
      </c>
      <c r="W35" s="122" t="inlineStr">
        <is>
          <t>Hybrid delivery governance; mandatory: POSH, Code of Conduct, InfoSec &amp; Privacy</t>
        </is>
      </c>
      <c r="X35" s="122" t="inlineStr">
        <is>
          <t>—</t>
        </is>
      </c>
      <c r="Y35" s="122" t="inlineStr">
        <is>
          <t>—</t>
        </is>
      </c>
      <c r="Z35" s="122" t="inlineStr">
        <is>
          <t>People Leadership &amp; Mentoring · Stakeholder &amp; Client Management · Strategic Thinking &amp; Business Acumen</t>
        </is>
      </c>
    </row>
    <row r="36" ht="20" customHeight="1">
      <c r="A36" s="160" t="inlineStr">
        <is>
          <t>Band C — Principal / Head</t>
        </is>
      </c>
    </row>
    <row r="37" ht="184" customHeight="1">
      <c r="A37" s="167" t="inlineStr">
        <is>
          <t>C</t>
        </is>
      </c>
      <c r="B37" s="33" t="inlineStr">
        <is>
          <t>C1</t>
        </is>
      </c>
      <c r="C37" s="146" t="inlineStr">
        <is>
          <t>Principal</t>
        </is>
      </c>
      <c r="D37" s="110" t="inlineStr">
        <is>
          <t>Company Secretary – POD Lead</t>
        </is>
      </c>
      <c r="E37" s="111" t="inlineStr">
        <is>
          <t>Company Secretarial &amp; Legal</t>
        </is>
      </c>
      <c r="F37" s="111" t="inlineStr">
        <is>
          <t>Administration, Legal &amp; Secretarial</t>
        </is>
      </c>
      <c r="G37" s="111" t="inlineStr">
        <is>
          <t>Secretarial &amp; Legal</t>
        </is>
      </c>
      <c r="H37" s="111" t="inlineStr">
        <is>
          <t>POD Lead</t>
        </is>
      </c>
      <c r="I37" s="112" t="n">
        <v>1</v>
      </c>
      <c r="J37" s="162" t="n">
        <v>4</v>
      </c>
      <c r="K37" s="163" t="n">
        <v>4</v>
      </c>
      <c r="L37" s="163" t="n">
        <v>4</v>
      </c>
      <c r="M37" s="163" t="n">
        <v>4</v>
      </c>
      <c r="N37" s="114" t="inlineStr">
        <is>
          <t>Index ≥ 90% · meets; must-haves at required level</t>
        </is>
      </c>
      <c r="O37"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37" s="164"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37" s="164"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37" s="119" t="inlineStr">
        <is>
          <t>• ★ Regulatory &amp; BFSI Domain: Interprets new regulation; advises clients and product
• ★ Stakeholder &amp; Client Management: Owns key relationships; resolves escalations</t>
        </is>
      </c>
      <c r="S37" s="165" t="inlineStr">
        <is>
          <r>
            <rPr>
              <rFont val="Calibri"/>
              <sz val="10"/>
            </rPr>
            <t xml:space="preserve">•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Communication &amp; Presentation:</t>
          </r>
          <r>
            <rPr>
              <rFont val="Calibri"/>
              <sz val="10"/>
            </rPr>
            <t xml:space="preserve"> Presents to senior stakeholders; shapes messaging
• </t>
          </r>
          <r>
            <rPr>
              <rFont val="Calibri"/>
              <b val="1"/>
              <sz val="10"/>
            </rPr>
            <t>Time, Priority &amp; Self-Management:</t>
          </r>
          <r>
            <rPr>
              <rFont val="Calibri"/>
              <sz val="10"/>
            </rPr>
            <t xml:space="preserve"> Plans team capacity and peak-season loads</t>
          </r>
        </is>
      </c>
      <c r="T37" s="165" t="inlineStr">
        <is>
          <r>
            <rPr>
              <rFont val="Calibri"/>
              <sz val="10"/>
            </rPr>
            <t xml:space="preserve">• </t>
          </r>
          <r>
            <rPr>
              <rFont val="Calibri"/>
              <b val="1"/>
              <sz val="10"/>
            </rPr>
            <t>Corporate Law &amp; Secretarial Compliance:</t>
          </r>
          <r>
            <rPr>
              <rFont val="Calibri"/>
              <sz val="10"/>
            </rPr>
            <t xml:space="preserve"> Advises the board on compliance; manages listings and corporate actions
• </t>
          </r>
          <r>
            <rPr>
              <rFont val="Calibri"/>
              <b val="1"/>
              <sz val="10"/>
            </rPr>
            <t>Contract Drafting, Review &amp; Negotiation:</t>
          </r>
          <r>
            <rPr>
              <rFont val="Calibri"/>
              <sz val="10"/>
            </rPr>
            <t xml:space="preserve"> Negotiates complex / cross-border contracts; builds templates
• </t>
          </r>
          <r>
            <rPr>
              <rFont val="Calibri"/>
              <b val="1"/>
              <sz val="10"/>
            </rPr>
            <t>Board &amp; Governance Support:</t>
          </r>
          <r>
            <rPr>
              <rFont val="Calibri"/>
              <sz val="10"/>
            </rPr>
            <t xml:space="preserve"> Advises chair and directors on governance
• </t>
          </r>
          <r>
            <rPr>
              <rFont val="Calibri"/>
              <b val="1"/>
              <sz val="10"/>
            </rPr>
            <t>Regulatory &amp; Data-Privacy Compliance · DPDP Act:</t>
          </r>
          <r>
            <rPr>
              <rFont val="Calibri"/>
              <sz val="10"/>
            </rPr>
            <t xml:space="preserve"> Designs privacy programme and responds to regulators</t>
          </r>
        </is>
      </c>
      <c r="U37" s="121" t="inlineStr">
        <is>
          <t>Domain interview; Role play / behavioural interview; Work sample / case; Practical test; Presentation / writing test; Behavioural interview</t>
        </is>
      </c>
      <c r="V37" s="122" t="inlineStr">
        <is>
          <t>Domain certifications · optional; Lean / Six Sigma · optional; MOS Excel · optional</t>
        </is>
      </c>
      <c r="W37" s="122" t="inlineStr">
        <is>
          <t>Companies Act / statutory filings; vendor contracts; mandatory: POSH, Code of Conduct, InfoSec &amp; Privacy</t>
        </is>
      </c>
      <c r="X37" s="122" t="inlineStr">
        <is>
          <t>—</t>
        </is>
      </c>
      <c r="Y37" s="122" t="inlineStr">
        <is>
          <t>—</t>
        </is>
      </c>
      <c r="Z37" s="122" t="inlineStr">
        <is>
          <t>People Leadership &amp; Mentoring · Strategic Thinking &amp; Business Acumen</t>
        </is>
      </c>
    </row>
    <row r="38" ht="197" customHeight="1">
      <c r="A38" s="167" t="inlineStr">
        <is>
          <t>C</t>
        </is>
      </c>
      <c r="B38" s="33" t="inlineStr">
        <is>
          <t>C1</t>
        </is>
      </c>
      <c r="C38" s="146" t="inlineStr">
        <is>
          <t>Associate Head</t>
        </is>
      </c>
      <c r="D38" s="110" t="inlineStr">
        <is>
          <t>Associate Head – Admin &amp; Internal Audit</t>
        </is>
      </c>
      <c r="E38" s="111" t="inlineStr">
        <is>
          <t>Finance Leadership</t>
        </is>
      </c>
      <c r="F38" s="111" t="inlineStr">
        <is>
          <t>Finance &amp; Accounts</t>
        </is>
      </c>
      <c r="G38" s="111" t="inlineStr">
        <is>
          <t>Finance</t>
        </is>
      </c>
      <c r="H38" s="111" t="inlineStr">
        <is>
          <t>People Manager</t>
        </is>
      </c>
      <c r="I38" s="112" t="n">
        <v>1</v>
      </c>
      <c r="J38" s="162" t="n">
        <v>4</v>
      </c>
      <c r="K38" s="163" t="n">
        <v>4</v>
      </c>
      <c r="L38" s="163" t="n">
        <v>4</v>
      </c>
      <c r="M38" s="163" t="n">
        <v>4</v>
      </c>
      <c r="N38" s="114" t="inlineStr">
        <is>
          <t>Index ≥ 90% · meets; must-haves at required level</t>
        </is>
      </c>
      <c r="O38"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38" s="164"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38" s="164"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38" s="119" t="inlineStr">
        <is>
          <t>• ★ Accounting &amp; Reporting Standards · IFRS/US GAAP: Advises on complex disclosures and standards changes
• ★ Advanced Excel &amp; Productivity Tools: Builds templates and automation used by the team</t>
        </is>
      </c>
      <c r="S38" s="165" t="inlineStr">
        <is>
          <r>
            <rPr>
              <rFont val="Calibri"/>
              <sz val="10"/>
            </rPr>
            <t xml:space="preserve">• </t>
          </r>
          <r>
            <rPr>
              <rFont val="Calibri"/>
              <b val="1"/>
              <sz val="10"/>
            </rPr>
            <t>Regulatory &amp; BFSI Domain:</t>
          </r>
          <r>
            <rPr>
              <rFont val="Calibri"/>
              <sz val="10"/>
            </rPr>
            <t xml:space="preserve"> Interprets new regulation; advises clients and product
• </t>
          </r>
          <r>
            <rPr>
              <rFont val="Calibri"/>
              <b val="1"/>
              <sz val="10"/>
            </rPr>
            <t>Data Analytics, BI &amp; Visualisation:</t>
          </r>
          <r>
            <rPr>
              <rFont val="Calibri"/>
              <sz val="10"/>
            </rPr>
            <t xml:space="preserve"> Defines metrics and analytics approach for a business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t>
          </r>
        </is>
      </c>
      <c r="T38" s="165" t="inlineStr">
        <is>
          <r>
            <rPr>
              <rFont val="Calibri"/>
              <sz val="10"/>
            </rPr>
            <t xml:space="preserve">• </t>
          </r>
          <r>
            <rPr>
              <rFont val="Calibri"/>
              <b val="1"/>
              <sz val="10"/>
            </rPr>
            <t>Financial Accounting, Close &amp; Reporting · Ind AS:</t>
          </r>
          <r>
            <rPr>
              <rFont val="Calibri"/>
              <sz val="10"/>
            </rPr>
            <t xml:space="preserve"> Owns statutory financial statements and consolidation
• </t>
          </r>
          <r>
            <rPr>
              <rFont val="Calibri"/>
              <b val="1"/>
              <sz val="10"/>
            </rPr>
            <t>Taxation &amp; Statutory Compliance · GST, TDS, Income-tax:</t>
          </r>
          <r>
            <rPr>
              <rFont val="Calibri"/>
              <sz val="10"/>
            </rPr>
            <t xml:space="preserve"> Plans tax position; manages assessments and advisors
• </t>
          </r>
          <r>
            <rPr>
              <rFont val="Calibri"/>
              <b val="1"/>
              <sz val="10"/>
            </rPr>
            <t>FP&amp;A, Budgeting &amp; Business Partnering:</t>
          </r>
          <r>
            <rPr>
              <rFont val="Calibri"/>
              <sz val="10"/>
            </rPr>
            <t xml:space="preserve"> Leads planning cycle; partners business heads on pricing and investment
• </t>
          </r>
          <r>
            <rPr>
              <rFont val="Calibri"/>
              <b val="1"/>
              <sz val="10"/>
            </rPr>
            <t>Audit, Internal Controls &amp; Risk:</t>
          </r>
          <r>
            <rPr>
              <rFont val="Calibri"/>
              <sz val="10"/>
            </rPr>
            <t xml:space="preserve"> Designs control framework · IFC; leads audits
• </t>
          </r>
          <r>
            <rPr>
              <rFont val="Calibri"/>
              <b val="1"/>
              <sz val="10"/>
            </rPr>
            <t>Treasury, Receivables &amp; Collections:</t>
          </r>
          <r>
            <rPr>
              <rFont val="Calibri"/>
              <sz val="10"/>
            </rPr>
            <t xml:space="preserve"> Optimises working capital and FX exposure
• </t>
          </r>
          <r>
            <rPr>
              <rFont val="Calibri"/>
              <b val="1"/>
              <sz val="10"/>
            </rPr>
            <t>Finance Systems &amp; Automation · ERP:</t>
          </r>
          <r>
            <rPr>
              <rFont val="Calibri"/>
              <sz val="10"/>
            </rPr>
            <t xml:space="preserve"> Leads ERP changes and finance automation</t>
          </r>
        </is>
      </c>
      <c r="U38" s="121" t="inlineStr">
        <is>
          <t>Accounting test; Practical test; Domain interview; Data case / practical; Work sample / case; Case interview</t>
        </is>
      </c>
      <c r="V38" s="122" t="inlineStr">
        <is>
          <t>CA / CMA / ACCA / CFA / IFRS certificate; MOS Excel · optional; Domain certifications · optional; Power BI / Tableau · optional; Lean / Six Sigma · optional; MBA / PGDM · preferred at C+</t>
        </is>
      </c>
      <c r="W38" s="122" t="inlineStr">
        <is>
          <t>Statutory compliance · GST, TDS, audit; mandatory: POSH, Code of Conduct, InfoSec &amp; Privacy</t>
        </is>
      </c>
      <c r="X38" s="122" t="inlineStr">
        <is>
          <t>—</t>
        </is>
      </c>
      <c r="Y38" s="122" t="inlineStr">
        <is>
          <t>—</t>
        </is>
      </c>
      <c r="Z38" s="122" t="inlineStr">
        <is>
          <t>People Leadership &amp; Mentoring · Strategic Thinking &amp; Business Acumen</t>
        </is>
      </c>
    </row>
    <row r="39" ht="197" customHeight="1">
      <c r="A39" s="167" t="inlineStr">
        <is>
          <t>C</t>
        </is>
      </c>
      <c r="B39" s="33" t="inlineStr">
        <is>
          <t>C1</t>
        </is>
      </c>
      <c r="C39" s="146" t="inlineStr">
        <is>
          <t>Associate Head</t>
        </is>
      </c>
      <c r="D39" s="110" t="inlineStr">
        <is>
          <t>Associate Head – Finance &amp; Accounts</t>
        </is>
      </c>
      <c r="E39" s="111" t="inlineStr">
        <is>
          <t>Finance Leadership</t>
        </is>
      </c>
      <c r="F39" s="111" t="inlineStr">
        <is>
          <t>Finance &amp; Accounts</t>
        </is>
      </c>
      <c r="G39" s="111" t="inlineStr">
        <is>
          <t>Finance</t>
        </is>
      </c>
      <c r="H39" s="111" t="inlineStr">
        <is>
          <t>People Manager</t>
        </is>
      </c>
      <c r="I39" s="112" t="n">
        <v>1</v>
      </c>
      <c r="J39" s="162" t="n">
        <v>4</v>
      </c>
      <c r="K39" s="163" t="n">
        <v>4</v>
      </c>
      <c r="L39" s="163" t="n">
        <v>4</v>
      </c>
      <c r="M39" s="163" t="n">
        <v>4</v>
      </c>
      <c r="N39" s="114" t="inlineStr">
        <is>
          <t>Index ≥ 90% · meets; must-haves at required level</t>
        </is>
      </c>
      <c r="O39" s="118"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39" s="164"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39" s="164"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39" s="119" t="inlineStr">
        <is>
          <t>• ★ Accounting &amp; Reporting Standards · IFRS/US GAAP: Advises on complex disclosures and standards changes
• ★ Advanced Excel &amp; Productivity Tools: Builds templates and automation used by the team</t>
        </is>
      </c>
      <c r="S39" s="165" t="inlineStr">
        <is>
          <r>
            <rPr>
              <rFont val="Calibri"/>
              <sz val="10"/>
            </rPr>
            <t xml:space="preserve">• </t>
          </r>
          <r>
            <rPr>
              <rFont val="Calibri"/>
              <b val="1"/>
              <sz val="10"/>
            </rPr>
            <t>Regulatory &amp; BFSI Domain:</t>
          </r>
          <r>
            <rPr>
              <rFont val="Calibri"/>
              <sz val="10"/>
            </rPr>
            <t xml:space="preserve"> Interprets new regulation; advises clients and product
• </t>
          </r>
          <r>
            <rPr>
              <rFont val="Calibri"/>
              <b val="1"/>
              <sz val="10"/>
            </rPr>
            <t>Data Analytics, BI &amp; Visualisation:</t>
          </r>
          <r>
            <rPr>
              <rFont val="Calibri"/>
              <sz val="10"/>
            </rPr>
            <t xml:space="preserve"> Defines metrics and analytics approach for a business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t>
          </r>
        </is>
      </c>
      <c r="T39" s="165" t="inlineStr">
        <is>
          <r>
            <rPr>
              <rFont val="Calibri"/>
              <sz val="10"/>
            </rPr>
            <t xml:space="preserve">• </t>
          </r>
          <r>
            <rPr>
              <rFont val="Calibri"/>
              <b val="1"/>
              <sz val="10"/>
            </rPr>
            <t>Financial Accounting, Close &amp; Reporting · Ind AS:</t>
          </r>
          <r>
            <rPr>
              <rFont val="Calibri"/>
              <sz val="10"/>
            </rPr>
            <t xml:space="preserve"> Owns statutory financial statements and consolidation
• </t>
          </r>
          <r>
            <rPr>
              <rFont val="Calibri"/>
              <b val="1"/>
              <sz val="10"/>
            </rPr>
            <t>Taxation &amp; Statutory Compliance · GST, TDS, Income-tax:</t>
          </r>
          <r>
            <rPr>
              <rFont val="Calibri"/>
              <sz val="10"/>
            </rPr>
            <t xml:space="preserve"> Plans tax position; manages assessments and advisors
• </t>
          </r>
          <r>
            <rPr>
              <rFont val="Calibri"/>
              <b val="1"/>
              <sz val="10"/>
            </rPr>
            <t>FP&amp;A, Budgeting &amp; Business Partnering:</t>
          </r>
          <r>
            <rPr>
              <rFont val="Calibri"/>
              <sz val="10"/>
            </rPr>
            <t xml:space="preserve"> Leads planning cycle; partners business heads on pricing and investment
• </t>
          </r>
          <r>
            <rPr>
              <rFont val="Calibri"/>
              <b val="1"/>
              <sz val="10"/>
            </rPr>
            <t>Audit, Internal Controls &amp; Risk:</t>
          </r>
          <r>
            <rPr>
              <rFont val="Calibri"/>
              <sz val="10"/>
            </rPr>
            <t xml:space="preserve"> Designs control framework · IFC; leads audits
• </t>
          </r>
          <r>
            <rPr>
              <rFont val="Calibri"/>
              <b val="1"/>
              <sz val="10"/>
            </rPr>
            <t>Treasury, Receivables &amp; Collections:</t>
          </r>
          <r>
            <rPr>
              <rFont val="Calibri"/>
              <sz val="10"/>
            </rPr>
            <t xml:space="preserve"> Optimises working capital and FX exposure
• </t>
          </r>
          <r>
            <rPr>
              <rFont val="Calibri"/>
              <b val="1"/>
              <sz val="10"/>
            </rPr>
            <t>Finance Systems &amp; Automation · ERP:</t>
          </r>
          <r>
            <rPr>
              <rFont val="Calibri"/>
              <sz val="10"/>
            </rPr>
            <t xml:space="preserve"> Leads ERP changes and finance automation</t>
          </r>
        </is>
      </c>
      <c r="U39" s="121" t="inlineStr">
        <is>
          <t>Accounting test; Practical test; Domain interview; Data case / practical; Work sample / case; Case interview</t>
        </is>
      </c>
      <c r="V39" s="122" t="inlineStr">
        <is>
          <t>CA / CMA / ACCA / CFA / IFRS certificate; MOS Excel · optional; Domain certifications · optional; Power BI / Tableau · optional; Lean / Six Sigma · optional; MBA / PGDM · preferred at C+</t>
        </is>
      </c>
      <c r="W39" s="122" t="inlineStr">
        <is>
          <t>Statutory compliance · GST, TDS, audit; mandatory: POSH, Code of Conduct, InfoSec &amp; Privacy</t>
        </is>
      </c>
      <c r="X39" s="122" t="inlineStr">
        <is>
          <t>—</t>
        </is>
      </c>
      <c r="Y39" s="122" t="inlineStr">
        <is>
          <t>—</t>
        </is>
      </c>
      <c r="Z39" s="122" t="inlineStr">
        <is>
          <t>People Leadership &amp; Mentoring · Strategic Thinking &amp; Business Acumen</t>
        </is>
      </c>
    </row>
    <row r="40" ht="20" customHeight="1">
      <c r="A40" s="160" t="inlineStr">
        <is>
          <t>Band D — Business leadership</t>
        </is>
      </c>
    </row>
    <row r="41" ht="236" customHeight="1">
      <c r="A41" s="168" t="inlineStr">
        <is>
          <t>D</t>
        </is>
      </c>
      <c r="B41" s="39" t="inlineStr">
        <is>
          <t>D2</t>
        </is>
      </c>
      <c r="C41" s="149" t="inlineStr">
        <is>
          <t>Vice President</t>
        </is>
      </c>
      <c r="D41" s="110" t="inlineStr">
        <is>
          <t>Vice President – Human Resources</t>
        </is>
      </c>
      <c r="E41" s="111" t="inlineStr">
        <is>
          <t>HR Leadership</t>
        </is>
      </c>
      <c r="F41" s="111" t="inlineStr">
        <is>
          <t>Human Resources</t>
        </is>
      </c>
      <c r="G41" s="111" t="inlineStr">
        <is>
          <t>HR</t>
        </is>
      </c>
      <c r="H41" s="111" t="inlineStr">
        <is>
          <t>People Manager</t>
        </is>
      </c>
      <c r="I41" s="112" t="n">
        <v>1</v>
      </c>
      <c r="J41" s="162" t="n">
        <v>5</v>
      </c>
      <c r="K41" s="163" t="n">
        <v>4</v>
      </c>
      <c r="L41" s="163" t="n">
        <v>4</v>
      </c>
      <c r="M41" s="163" t="n">
        <v>5</v>
      </c>
      <c r="N41" s="114" t="inlineStr">
        <is>
          <t>Index ≥ 90% · meets; must-haves at required level</t>
        </is>
      </c>
      <c r="O41" s="118" t="inlineStr">
        <is>
          <r>
            <rPr>
              <rFont val="Calibri"/>
              <sz val="10"/>
            </rPr>
            <t xml:space="preserve">•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t>
          </r>
        </is>
      </c>
      <c r="P41" s="164"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41" s="164" t="inlineStr">
        <is>
          <r>
            <rPr>
              <rFont val="Calibri"/>
              <sz val="10"/>
            </rPr>
            <t xml:space="preserve">•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t>
          </r>
        </is>
      </c>
      <c r="R41" s="119" t="inlineStr">
        <is>
          <t>• ★ Stakeholder &amp; Client Management: Owns key relationships; resolves escalations
• ★ Communication &amp; Presentation: Presents to senior stakeholders; shapes messaging</t>
        </is>
      </c>
      <c r="S41" s="165" t="inlineStr">
        <is>
          <r>
            <rPr>
              <rFont val="Calibri"/>
              <sz val="10"/>
            </rPr>
            <t xml:space="preserve">• </t>
          </r>
          <r>
            <rPr>
              <rFont val="Calibri"/>
              <b val="1"/>
              <sz val="10"/>
            </rPr>
            <t>Data Analytics, BI &amp; Visualisation:</t>
          </r>
          <r>
            <rPr>
              <rFont val="Calibri"/>
              <sz val="10"/>
            </rPr>
            <t xml:space="preserve"> Defines metrics and analytics approach for a business
• </t>
          </r>
          <r>
            <rPr>
              <rFont val="Calibri"/>
              <b val="1"/>
              <sz val="10"/>
            </rPr>
            <t>Process Improvement &amp; Quality Mindset:</t>
          </r>
          <r>
            <rPr>
              <rFont val="Calibri"/>
              <sz val="10"/>
            </rPr>
            <t xml:space="preserve"> Redesigns team processes; reduces error rates measurably
• </t>
          </r>
          <r>
            <rPr>
              <rFont val="Calibri"/>
              <b val="1"/>
              <sz val="10"/>
            </rPr>
            <t>People Leadership &amp; Mentoring:</t>
          </r>
          <r>
            <rPr>
              <rFont val="Calibri"/>
              <sz val="10"/>
            </rPr>
            <t xml:space="preserve"> Leads leaders; builds succession
• </t>
          </r>
          <r>
            <rPr>
              <rFont val="Calibri"/>
              <b val="1"/>
              <sz val="10"/>
            </rPr>
            <t>Advanced Excel &amp; Productivity Tools:</t>
          </r>
          <r>
            <rPr>
              <rFont val="Calibri"/>
              <sz val="10"/>
            </rPr>
            <t xml:space="preserve"> Builds templates and automation used by the team</t>
          </r>
        </is>
      </c>
      <c r="T41" s="165" t="inlineStr">
        <is>
          <r>
            <rPr>
              <rFont val="Calibri"/>
              <sz val="10"/>
            </rPr>
            <t xml:space="preserve">• </t>
          </r>
          <r>
            <rPr>
              <rFont val="Calibri"/>
              <b val="1"/>
              <sz val="10"/>
            </rPr>
            <t>Talent Acquisition &amp; Employer Brand:</t>
          </r>
          <r>
            <rPr>
              <rFont val="Calibri"/>
              <sz val="10"/>
            </rPr>
            <t xml:space="preserve"> Designs sourcing strategy, campus and lateral programmes; hiring analytics
• </t>
          </r>
          <r>
            <rPr>
              <rFont val="Calibri"/>
              <b val="1"/>
              <sz val="10"/>
            </rPr>
            <t>HR Operations, Payroll &amp; Labour-Law Compliance:</t>
          </r>
          <r>
            <rPr>
              <rFont val="Calibri"/>
              <sz val="10"/>
            </rPr>
            <t xml:space="preserve"> Designs HR operations, policies and controls; handles inspections
• </t>
          </r>
          <r>
            <rPr>
              <rFont val="Calibri"/>
              <b val="1"/>
              <sz val="10"/>
            </rPr>
            <t>Employee Relations, Engagement &amp; POSH:</t>
          </r>
          <r>
            <rPr>
              <rFont val="Calibri"/>
              <sz val="10"/>
            </rPr>
            <t xml:space="preserve"> Leads investigations and engagement strategy; coaches managers
• </t>
          </r>
          <r>
            <rPr>
              <rFont val="Calibri"/>
              <b val="1"/>
              <sz val="10"/>
            </rPr>
            <t>Performance, Rewards &amp; Job Architecture:</t>
          </r>
          <r>
            <rPr>
              <rFont val="Calibri"/>
              <sz val="10"/>
            </rPr>
            <t xml:space="preserve"> Designs reward structures, pay ranges and incentive plans
• </t>
          </r>
          <r>
            <rPr>
              <rFont val="Calibri"/>
              <b val="1"/>
              <sz val="10"/>
            </rPr>
            <t>Learning &amp; Organisation Development:</t>
          </r>
          <r>
            <rPr>
              <rFont val="Calibri"/>
              <sz val="10"/>
            </rPr>
            <t xml:space="preserve"> Leads career frameworks, leadership development and org design
• </t>
          </r>
          <r>
            <rPr>
              <rFont val="Calibri"/>
              <b val="1"/>
              <sz val="10"/>
            </rPr>
            <t>People Analytics &amp; HRIS:</t>
          </r>
          <r>
            <rPr>
              <rFont val="Calibri"/>
              <sz val="10"/>
            </rPr>
            <t xml:space="preserve"> Defines people metrics; predictive analysis for workforce planning</t>
          </r>
        </is>
      </c>
      <c r="U41" s="121" t="inlineStr">
        <is>
          <t>Role play / behavioural interview; Presentation / writing test; Data case / practical; Work sample / case; Behavioural interview; Practical test</t>
        </is>
      </c>
      <c r="V41" s="122" t="inlineStr">
        <is>
          <t>Power BI / Tableau · optional; Lean / Six Sigma · optional; MOS Excel · optional</t>
        </is>
      </c>
      <c r="W41" s="122" t="inlineStr">
        <is>
          <t>Labour law, POSH, data privacy; mandatory: POSH, Code of Conduct, InfoSec &amp; Privacy</t>
        </is>
      </c>
      <c r="X41" s="122" t="inlineStr">
        <is>
          <t>—</t>
        </is>
      </c>
      <c r="Y41" s="122" t="inlineStr">
        <is>
          <t>—</t>
        </is>
      </c>
      <c r="Z41" s="122" t="inlineStr">
        <is>
          <t>Strategic Thinking &amp; Business Acumen</t>
        </is>
      </c>
    </row>
    <row r="42" ht="20" customHeight="1">
      <c r="A42" s="160" t="inlineStr">
        <is>
          <t>Band E — Enterprise leadership</t>
        </is>
      </c>
    </row>
    <row r="43" ht="197" customHeight="1">
      <c r="A43" s="169" t="inlineStr">
        <is>
          <t>E</t>
        </is>
      </c>
      <c r="B43" s="42" t="inlineStr">
        <is>
          <t>E1</t>
        </is>
      </c>
      <c r="C43" s="145" t="inlineStr">
        <is>
          <t>CXO / President</t>
        </is>
      </c>
      <c r="D43" s="110" t="inlineStr">
        <is>
          <t>Chief Financial Officer</t>
        </is>
      </c>
      <c r="E43" s="111" t="inlineStr">
        <is>
          <t>Enterprise Leadership</t>
        </is>
      </c>
      <c r="F43" s="111" t="inlineStr">
        <is>
          <t>Executive Leadership</t>
        </is>
      </c>
      <c r="G43" s="111" t="inlineStr">
        <is>
          <t>Finance</t>
        </is>
      </c>
      <c r="H43" s="111" t="inlineStr">
        <is>
          <t>People Manager</t>
        </is>
      </c>
      <c r="I43" s="112" t="n">
        <v>1</v>
      </c>
      <c r="J43" s="162" t="n">
        <v>5</v>
      </c>
      <c r="K43" s="163" t="n">
        <v>5</v>
      </c>
      <c r="L43" s="163" t="n">
        <v>4</v>
      </c>
      <c r="M43" s="163" t="n">
        <v>5</v>
      </c>
      <c r="N43" s="114" t="inlineStr">
        <is>
          <t>Index ≥ 90% · meets; must-haves at required level</t>
        </is>
      </c>
      <c r="O43" s="118" t="inlineStr">
        <is>
          <r>
            <rPr>
              <rFont val="Calibri"/>
              <sz val="10"/>
            </rPr>
            <t xml:space="preserve">•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t>
          </r>
        </is>
      </c>
      <c r="P43" s="164" t="inlineStr">
        <is>
          <r>
            <rPr>
              <rFont val="Calibri"/>
              <sz val="10"/>
            </rPr>
            <t xml:space="preserve">• </t>
          </r>
          <r>
            <rPr>
              <rFont val="Calibri"/>
              <b val="1"/>
              <sz val="10"/>
            </rPr>
            <t>AI Literacy &amp; Augmentation:</t>
          </r>
          <r>
            <rPr>
              <rFont val="Calibri"/>
              <sz val="10"/>
            </rPr>
            <t xml:space="preserve"> Leads AI strategy and governance for a function or IRIS
• </t>
          </r>
          <r>
            <rPr>
              <rFont val="Calibri"/>
              <b val="1"/>
              <sz val="10"/>
            </rPr>
            <t>Data Literacy &amp; Analytics:</t>
          </r>
          <r>
            <rPr>
              <rFont val="Calibri"/>
              <sz val="10"/>
            </rPr>
            <t xml:space="preserve"> Sets data strategy and data-driven decisions for a business
• </t>
          </r>
          <r>
            <rPr>
              <rFont val="Calibri"/>
              <b val="1"/>
              <sz val="10"/>
            </rPr>
            <t>Digital Fluency &amp; Automation:</t>
          </r>
          <r>
            <rPr>
              <rFont val="Calibri"/>
              <sz val="10"/>
            </rPr>
            <t xml:space="preserve"> Drives digital transformation across a business
• </t>
          </r>
          <r>
            <rPr>
              <rFont val="Calibri"/>
              <b val="1"/>
              <sz val="10"/>
            </rPr>
            <t>Innovation &amp; Continuous Improvement:</t>
          </r>
          <r>
            <rPr>
              <rFont val="Calibri"/>
              <sz val="10"/>
            </rPr>
            <t xml:space="preserve"> Creates new products, methods or business models</t>
          </r>
        </is>
      </c>
      <c r="Q43" s="164" t="inlineStr">
        <is>
          <r>
            <rPr>
              <rFont val="Calibri"/>
              <sz val="10"/>
            </rPr>
            <t xml:space="preserve">•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t>
          </r>
        </is>
      </c>
      <c r="R43" s="119" t="inlineStr">
        <is>
          <t>• ★ Strategic Thinking &amp; Business Acumen: Shapes strategy, pricing or investment choices
• ★ People Leadership &amp; Mentoring: Leads leaders; builds succession</t>
        </is>
      </c>
      <c r="S43"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t>
          </r>
        </is>
      </c>
      <c r="T43" s="165" t="inlineStr">
        <is>
          <r>
            <rPr>
              <rFont val="Calibri"/>
              <sz val="10"/>
            </rPr>
            <t xml:space="preserve">• </t>
          </r>
          <r>
            <rPr>
              <rFont val="Calibri"/>
              <b val="1"/>
              <sz val="10"/>
            </rPr>
            <t>Financial Accounting, Close &amp; Reporting · Ind AS:</t>
          </r>
          <r>
            <rPr>
              <rFont val="Calibri"/>
              <sz val="10"/>
            </rPr>
            <t xml:space="preserve"> Owns statutory financial statements and consolidation
• </t>
          </r>
          <r>
            <rPr>
              <rFont val="Calibri"/>
              <b val="1"/>
              <sz val="10"/>
            </rPr>
            <t>Taxation &amp; Statutory Compliance · GST, TDS, Income-tax:</t>
          </r>
          <r>
            <rPr>
              <rFont val="Calibri"/>
              <sz val="10"/>
            </rPr>
            <t xml:space="preserve"> Plans tax position; manages assessments and advisors
• </t>
          </r>
          <r>
            <rPr>
              <rFont val="Calibri"/>
              <b val="1"/>
              <sz val="10"/>
            </rPr>
            <t>FP&amp;A, Budgeting &amp; Business Partnering:</t>
          </r>
          <r>
            <rPr>
              <rFont val="Calibri"/>
              <sz val="10"/>
            </rPr>
            <t xml:space="preserve"> Leads planning cycle; partners business heads on pricing and investment
• </t>
          </r>
          <r>
            <rPr>
              <rFont val="Calibri"/>
              <b val="1"/>
              <sz val="10"/>
            </rPr>
            <t>Audit, Internal Controls &amp; Risk:</t>
          </r>
          <r>
            <rPr>
              <rFont val="Calibri"/>
              <sz val="10"/>
            </rPr>
            <t xml:space="preserve"> Designs control framework · IFC; leads audits
• </t>
          </r>
          <r>
            <rPr>
              <rFont val="Calibri"/>
              <b val="1"/>
              <sz val="10"/>
            </rPr>
            <t>Treasury, Receivables &amp; Collections:</t>
          </r>
          <r>
            <rPr>
              <rFont val="Calibri"/>
              <sz val="10"/>
            </rPr>
            <t xml:space="preserve"> Optimises working capital and FX exposure
• </t>
          </r>
          <r>
            <rPr>
              <rFont val="Calibri"/>
              <b val="1"/>
              <sz val="10"/>
            </rPr>
            <t>Finance Systems &amp; Automation · ERP:</t>
          </r>
          <r>
            <rPr>
              <rFont val="Calibri"/>
              <sz val="10"/>
            </rPr>
            <t xml:space="preserve"> Leads ERP changes and finance automation</t>
          </r>
        </is>
      </c>
      <c r="U43" s="121" t="inlineStr">
        <is>
          <t>Case interview; Behavioural interview; Role play / behavioural interview; Scenario interview; Domain interview; Presentation / writing test</t>
        </is>
      </c>
      <c r="V43" s="122" t="inlineStr">
        <is>
          <t>MBA / PGDM · preferred at C+; Internal product certification; Domain certifications · optional</t>
        </is>
      </c>
      <c r="W43" s="122" t="inlineStr">
        <is>
          <t>Governance, risk and regulatory accountability; mandatory: POSH, Code of Conduct, InfoSec &amp; Privacy</t>
        </is>
      </c>
      <c r="X43" s="122" t="inlineStr">
        <is>
          <t>—</t>
        </is>
      </c>
      <c r="Y43" s="122" t="inlineStr">
        <is>
          <t>—</t>
        </is>
      </c>
      <c r="Z43" s="122" t="inlineStr">
        <is>
          <t>Strategic Thinking &amp; Business Acumen</t>
        </is>
      </c>
    </row>
    <row r="44" ht="197" customHeight="1">
      <c r="A44" s="169" t="inlineStr">
        <is>
          <t>E</t>
        </is>
      </c>
      <c r="B44" s="42" t="inlineStr">
        <is>
          <t>E1</t>
        </is>
      </c>
      <c r="C44" s="145" t="inlineStr">
        <is>
          <t>CXO / President</t>
        </is>
      </c>
      <c r="D44" s="110" t="inlineStr">
        <is>
          <t>Chief Operating Officer</t>
        </is>
      </c>
      <c r="E44" s="111" t="inlineStr">
        <is>
          <t>Enterprise Leadership</t>
        </is>
      </c>
      <c r="F44" s="111" t="inlineStr">
        <is>
          <t>Executive Leadership</t>
        </is>
      </c>
      <c r="G44" s="111" t="inlineStr">
        <is>
          <t>Management</t>
        </is>
      </c>
      <c r="H44" s="111" t="inlineStr">
        <is>
          <t>People Manager</t>
        </is>
      </c>
      <c r="I44" s="112" t="n">
        <v>1</v>
      </c>
      <c r="J44" s="162" t="n">
        <v>5</v>
      </c>
      <c r="K44" s="163" t="n">
        <v>5</v>
      </c>
      <c r="L44" s="163" t="n">
        <v>4</v>
      </c>
      <c r="M44" s="163" t="n">
        <v>5</v>
      </c>
      <c r="N44" s="114" t="inlineStr">
        <is>
          <t>Index ≥ 90% · meets; must-haves at required level</t>
        </is>
      </c>
      <c r="O44" s="118" t="inlineStr">
        <is>
          <r>
            <rPr>
              <rFont val="Calibri"/>
              <sz val="10"/>
            </rPr>
            <t xml:space="preserve">•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t>
          </r>
        </is>
      </c>
      <c r="P44" s="164" t="inlineStr">
        <is>
          <r>
            <rPr>
              <rFont val="Calibri"/>
              <sz val="10"/>
            </rPr>
            <t xml:space="preserve">• </t>
          </r>
          <r>
            <rPr>
              <rFont val="Calibri"/>
              <b val="1"/>
              <sz val="10"/>
            </rPr>
            <t>AI Literacy &amp; Augmentation:</t>
          </r>
          <r>
            <rPr>
              <rFont val="Calibri"/>
              <sz val="10"/>
            </rPr>
            <t xml:space="preserve"> Leads AI strategy and governance for a function or IRIS
• </t>
          </r>
          <r>
            <rPr>
              <rFont val="Calibri"/>
              <b val="1"/>
              <sz val="10"/>
            </rPr>
            <t>Data Literacy &amp; Analytics:</t>
          </r>
          <r>
            <rPr>
              <rFont val="Calibri"/>
              <sz val="10"/>
            </rPr>
            <t xml:space="preserve"> Sets data strategy and data-driven decisions for a business
• </t>
          </r>
          <r>
            <rPr>
              <rFont val="Calibri"/>
              <b val="1"/>
              <sz val="10"/>
            </rPr>
            <t>Digital Fluency &amp; Automation:</t>
          </r>
          <r>
            <rPr>
              <rFont val="Calibri"/>
              <sz val="10"/>
            </rPr>
            <t xml:space="preserve"> Drives digital transformation across a business
• </t>
          </r>
          <r>
            <rPr>
              <rFont val="Calibri"/>
              <b val="1"/>
              <sz val="10"/>
            </rPr>
            <t>Innovation &amp; Continuous Improvement:</t>
          </r>
          <r>
            <rPr>
              <rFont val="Calibri"/>
              <sz val="10"/>
            </rPr>
            <t xml:space="preserve"> Creates new products, methods or business models</t>
          </r>
        </is>
      </c>
      <c r="Q44" s="164" t="inlineStr">
        <is>
          <r>
            <rPr>
              <rFont val="Calibri"/>
              <sz val="10"/>
            </rPr>
            <t xml:space="preserve">•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t>
          </r>
        </is>
      </c>
      <c r="R44" s="119" t="inlineStr">
        <is>
          <t>• ★ Strategic Thinking &amp; Business Acumen: Shapes strategy, pricing or investment choices
• ★ People Leadership &amp; Mentoring: Leads leaders; builds succession</t>
        </is>
      </c>
      <c r="S44"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t>
          </r>
        </is>
      </c>
      <c r="T44" s="165" t="inlineStr">
        <is>
          <t>—</t>
        </is>
      </c>
      <c r="U44" s="121" t="inlineStr">
        <is>
          <t>Case interview; Behavioural interview; Role play / behavioural interview; Scenario interview; Domain interview; Presentation / writing test</t>
        </is>
      </c>
      <c r="V44" s="122" t="inlineStr">
        <is>
          <t>MBA / PGDM · preferred at C+; Internal product certification; Domain certifications · optional</t>
        </is>
      </c>
      <c r="W44" s="122" t="inlineStr">
        <is>
          <t>Governance, risk and regulatory accountability; mandatory: POSH, Code of Conduct, InfoSec &amp; Privacy</t>
        </is>
      </c>
      <c r="X44" s="122" t="inlineStr">
        <is>
          <t>—</t>
        </is>
      </c>
      <c r="Y44" s="122" t="inlineStr">
        <is>
          <t>—</t>
        </is>
      </c>
      <c r="Z44" s="122" t="inlineStr">
        <is>
          <t>Strategic Thinking &amp; Business Acumen</t>
        </is>
      </c>
    </row>
    <row r="45" ht="197" customHeight="1">
      <c r="A45" s="169" t="inlineStr">
        <is>
          <t>E</t>
        </is>
      </c>
      <c r="B45" s="42" t="inlineStr">
        <is>
          <t>E1</t>
        </is>
      </c>
      <c r="C45" s="145" t="inlineStr">
        <is>
          <t>CXO / President</t>
        </is>
      </c>
      <c r="D45" s="110" t="inlineStr">
        <is>
          <t>Chief Technology Officer</t>
        </is>
      </c>
      <c r="E45" s="111" t="inlineStr">
        <is>
          <t>Enterprise Leadership</t>
        </is>
      </c>
      <c r="F45" s="111" t="inlineStr">
        <is>
          <t>Executive Leadership</t>
        </is>
      </c>
      <c r="G45" s="111" t="inlineStr">
        <is>
          <t>Technology</t>
        </is>
      </c>
      <c r="H45" s="111" t="inlineStr">
        <is>
          <t>People Manager</t>
        </is>
      </c>
      <c r="I45" s="112" t="n">
        <v>1</v>
      </c>
      <c r="J45" s="162" t="n">
        <v>5</v>
      </c>
      <c r="K45" s="163" t="n">
        <v>5</v>
      </c>
      <c r="L45" s="163" t="n">
        <v>4</v>
      </c>
      <c r="M45" s="163" t="n">
        <v>5</v>
      </c>
      <c r="N45" s="114" t="inlineStr">
        <is>
          <t>Index ≥ 90% · meets; must-haves at required level</t>
        </is>
      </c>
      <c r="O45" s="118" t="inlineStr">
        <is>
          <r>
            <rPr>
              <rFont val="Calibri"/>
              <sz val="10"/>
            </rPr>
            <t xml:space="preserve">•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t>
          </r>
        </is>
      </c>
      <c r="P45" s="164" t="inlineStr">
        <is>
          <r>
            <rPr>
              <rFont val="Calibri"/>
              <sz val="10"/>
            </rPr>
            <t xml:space="preserve">• </t>
          </r>
          <r>
            <rPr>
              <rFont val="Calibri"/>
              <b val="1"/>
              <sz val="10"/>
            </rPr>
            <t>AI Literacy &amp; Augmentation:</t>
          </r>
          <r>
            <rPr>
              <rFont val="Calibri"/>
              <sz val="10"/>
            </rPr>
            <t xml:space="preserve"> Leads AI strategy and governance for a function or IRIS
• </t>
          </r>
          <r>
            <rPr>
              <rFont val="Calibri"/>
              <b val="1"/>
              <sz val="10"/>
            </rPr>
            <t>Data Literacy &amp; Analytics:</t>
          </r>
          <r>
            <rPr>
              <rFont val="Calibri"/>
              <sz val="10"/>
            </rPr>
            <t xml:space="preserve"> Sets data strategy and data-driven decisions for a business
• </t>
          </r>
          <r>
            <rPr>
              <rFont val="Calibri"/>
              <b val="1"/>
              <sz val="10"/>
            </rPr>
            <t>Digital Fluency &amp; Automation:</t>
          </r>
          <r>
            <rPr>
              <rFont val="Calibri"/>
              <sz val="10"/>
            </rPr>
            <t xml:space="preserve"> Drives digital transformation across a business
• </t>
          </r>
          <r>
            <rPr>
              <rFont val="Calibri"/>
              <b val="1"/>
              <sz val="10"/>
            </rPr>
            <t>Innovation &amp; Continuous Improvement:</t>
          </r>
          <r>
            <rPr>
              <rFont val="Calibri"/>
              <sz val="10"/>
            </rPr>
            <t xml:space="preserve"> Creates new products, methods or business models</t>
          </r>
        </is>
      </c>
      <c r="Q45" s="164" t="inlineStr">
        <is>
          <r>
            <rPr>
              <rFont val="Calibri"/>
              <sz val="10"/>
            </rPr>
            <t xml:space="preserve">•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t>
          </r>
        </is>
      </c>
      <c r="R45" s="119" t="inlineStr">
        <is>
          <t>• ★ Strategic Thinking &amp; Business Acumen: Shapes strategy, pricing or investment choices
• ★ People Leadership &amp; Mentoring: Leads leaders; builds succession</t>
        </is>
      </c>
      <c r="S45"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t>
          </r>
        </is>
      </c>
      <c r="T45" s="165" t="inlineStr">
        <is>
          <t>—</t>
        </is>
      </c>
      <c r="U45" s="121" t="inlineStr">
        <is>
          <t>Case interview; Behavioural interview; Role play / behavioural interview; Scenario interview; Domain interview; Presentation / writing test</t>
        </is>
      </c>
      <c r="V45" s="122" t="inlineStr">
        <is>
          <t>MBA / PGDM · preferred at C+; Internal product certification; Domain certifications · optional</t>
        </is>
      </c>
      <c r="W45" s="122" t="inlineStr">
        <is>
          <t>Governance, risk and regulatory accountability; mandatory: POSH, Code of Conduct, InfoSec &amp; Privacy</t>
        </is>
      </c>
      <c r="X45" s="122" t="inlineStr">
        <is>
          <t>—</t>
        </is>
      </c>
      <c r="Y45" s="122" t="inlineStr">
        <is>
          <t>—</t>
        </is>
      </c>
      <c r="Z45" s="122" t="inlineStr">
        <is>
          <t>Strategic Thinking &amp; Business Acumen</t>
        </is>
      </c>
    </row>
    <row r="46" ht="197" customHeight="1">
      <c r="A46" s="169" t="inlineStr">
        <is>
          <t>E</t>
        </is>
      </c>
      <c r="B46" s="42" t="inlineStr">
        <is>
          <t>E2</t>
        </is>
      </c>
      <c r="C46" s="145" t="inlineStr">
        <is>
          <t>Chief Executive Officer</t>
        </is>
      </c>
      <c r="D46" s="110" t="inlineStr">
        <is>
          <t>Chief Executive Officer</t>
        </is>
      </c>
      <c r="E46" s="111" t="inlineStr">
        <is>
          <t>Enterprise Leadership</t>
        </is>
      </c>
      <c r="F46" s="111" t="inlineStr">
        <is>
          <t>Executive Leadership</t>
        </is>
      </c>
      <c r="G46" s="111" t="inlineStr">
        <is>
          <t>Management</t>
        </is>
      </c>
      <c r="H46" s="111" t="inlineStr">
        <is>
          <t>People Manager</t>
        </is>
      </c>
      <c r="I46" s="112" t="n">
        <v>1</v>
      </c>
      <c r="J46" s="162" t="n">
        <v>5</v>
      </c>
      <c r="K46" s="163" t="n">
        <v>5</v>
      </c>
      <c r="L46" s="163" t="n">
        <v>4</v>
      </c>
      <c r="M46" s="163" t="n">
        <v>5</v>
      </c>
      <c r="N46" s="114" t="inlineStr">
        <is>
          <t>Index ≥ 90% · meets; must-haves at required level</t>
        </is>
      </c>
      <c r="O46" s="118" t="inlineStr">
        <is>
          <r>
            <rPr>
              <rFont val="Calibri"/>
              <sz val="10"/>
            </rPr>
            <t xml:space="preserve">•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t>
          </r>
        </is>
      </c>
      <c r="P46" s="164" t="inlineStr">
        <is>
          <r>
            <rPr>
              <rFont val="Calibri"/>
              <sz val="10"/>
            </rPr>
            <t xml:space="preserve">• </t>
          </r>
          <r>
            <rPr>
              <rFont val="Calibri"/>
              <b val="1"/>
              <sz val="10"/>
            </rPr>
            <t>AI Literacy &amp; Augmentation:</t>
          </r>
          <r>
            <rPr>
              <rFont val="Calibri"/>
              <sz val="10"/>
            </rPr>
            <t xml:space="preserve"> Leads AI strategy and governance for a function or IRIS
• </t>
          </r>
          <r>
            <rPr>
              <rFont val="Calibri"/>
              <b val="1"/>
              <sz val="10"/>
            </rPr>
            <t>Data Literacy &amp; Analytics:</t>
          </r>
          <r>
            <rPr>
              <rFont val="Calibri"/>
              <sz val="10"/>
            </rPr>
            <t xml:space="preserve"> Sets data strategy and data-driven decisions for a business
• </t>
          </r>
          <r>
            <rPr>
              <rFont val="Calibri"/>
              <b val="1"/>
              <sz val="10"/>
            </rPr>
            <t>Digital Fluency &amp; Automation:</t>
          </r>
          <r>
            <rPr>
              <rFont val="Calibri"/>
              <sz val="10"/>
            </rPr>
            <t xml:space="preserve"> Drives digital transformation across a business
• </t>
          </r>
          <r>
            <rPr>
              <rFont val="Calibri"/>
              <b val="1"/>
              <sz val="10"/>
            </rPr>
            <t>Innovation &amp; Continuous Improvement:</t>
          </r>
          <r>
            <rPr>
              <rFont val="Calibri"/>
              <sz val="10"/>
            </rPr>
            <t xml:space="preserve"> Creates new products, methods or business models</t>
          </r>
        </is>
      </c>
      <c r="Q46" s="164" t="inlineStr">
        <is>
          <r>
            <rPr>
              <rFont val="Calibri"/>
              <sz val="10"/>
            </rPr>
            <t xml:space="preserve">•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t>
          </r>
        </is>
      </c>
      <c r="R46" s="119" t="inlineStr">
        <is>
          <t>• ★ Strategic Thinking &amp; Business Acumen: Shapes strategy, pricing or investment choices
• ★ People Leadership &amp; Mentoring: Leads leaders; builds succession</t>
        </is>
      </c>
      <c r="S46"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t>
          </r>
        </is>
      </c>
      <c r="T46" s="165" t="inlineStr">
        <is>
          <t>—</t>
        </is>
      </c>
      <c r="U46" s="121" t="inlineStr">
        <is>
          <t>Case interview; Behavioural interview; Role play / behavioural interview; Scenario interview; Domain interview; Presentation / writing test</t>
        </is>
      </c>
      <c r="V46" s="122" t="inlineStr">
        <is>
          <t>MBA / PGDM · preferred at C+; Internal product certification; Domain certifications · optional</t>
        </is>
      </c>
      <c r="W46" s="122" t="inlineStr">
        <is>
          <t>Governance, risk and regulatory accountability; mandatory: POSH, Code of Conduct, InfoSec &amp; Privacy</t>
        </is>
      </c>
      <c r="X46" s="122" t="inlineStr">
        <is>
          <t>—</t>
        </is>
      </c>
      <c r="Y46" s="122" t="inlineStr">
        <is>
          <t>—</t>
        </is>
      </c>
      <c r="Z46" s="122" t="inlineStr">
        <is>
          <t>Strategic Thinking &amp; Business Acumen</t>
        </is>
      </c>
    </row>
    <row r="47" ht="20" customHeight="1">
      <c r="A47" s="160" t="inlineStr">
        <is>
          <t>Band X — Consultants · statement of work</t>
        </is>
      </c>
    </row>
    <row r="48" ht="67" customHeight="1">
      <c r="A48" s="170" t="inlineStr">
        <is>
          <t>X</t>
        </is>
      </c>
      <c r="B48" s="45" t="inlineStr">
        <is>
          <t>X1</t>
        </is>
      </c>
      <c r="C48" s="136" t="inlineStr">
        <is>
          <t>Associate Consultant</t>
        </is>
      </c>
      <c r="D48" s="110" t="inlineStr">
        <is>
          <t>Associate Consultant – Administration &amp; Facilities</t>
        </is>
      </c>
      <c r="E48" s="111" t="inlineStr">
        <is>
          <t>Administration &amp; Facilities</t>
        </is>
      </c>
      <c r="F48" s="111" t="inlineStr">
        <is>
          <t>Administration, Legal &amp; Secretarial</t>
        </is>
      </c>
      <c r="G48" s="111" t="inlineStr">
        <is>
          <t>Administration</t>
        </is>
      </c>
      <c r="H48" s="111" t="inlineStr">
        <is>
          <t>Consultant</t>
        </is>
      </c>
      <c r="I48" s="112" t="n">
        <v>1</v>
      </c>
      <c r="J48" s="162" t="inlineStr">
        <is>
          <t>—</t>
        </is>
      </c>
      <c r="K48" s="163" t="inlineStr">
        <is>
          <t>—</t>
        </is>
      </c>
      <c r="L48" s="163" t="inlineStr">
        <is>
          <t>—</t>
        </is>
      </c>
      <c r="M48" s="163" t="inlineStr">
        <is>
          <t>—</t>
        </is>
      </c>
      <c r="N48" s="114" t="inlineStr">
        <is>
          <t>Index ≥ 90% · meets; must-haves at required level</t>
        </is>
      </c>
      <c r="O48" s="118" t="inlineStr">
        <is>
          <t>Per statement of work · consultant</t>
        </is>
      </c>
      <c r="P48" s="164" t="inlineStr">
        <is>
          <t>Per statement of work · consultant</t>
        </is>
      </c>
      <c r="Q48" s="164" t="inlineStr">
        <is>
          <t>Per statement of work · consultant</t>
        </is>
      </c>
      <c r="R48" s="119" t="inlineStr">
        <is>
          <t>Per statement of work · consultant</t>
        </is>
      </c>
      <c r="S48" s="165" t="inlineStr">
        <is>
          <t>Per statement of work · consultant</t>
        </is>
      </c>
      <c r="T48" s="165" t="inlineStr">
        <is>
          <t>Per statement of work · consultant</t>
        </is>
      </c>
      <c r="U48" s="121" t="inlineStr">
        <is>
          <t>—</t>
        </is>
      </c>
      <c r="V48" s="122" t="inlineStr">
        <is>
          <t>—</t>
        </is>
      </c>
      <c r="W48" s="122" t="inlineStr">
        <is>
          <t>—</t>
        </is>
      </c>
      <c r="X48" s="122" t="inlineStr">
        <is>
          <t>—</t>
        </is>
      </c>
      <c r="Y48" s="122" t="inlineStr">
        <is>
          <t>—</t>
        </is>
      </c>
      <c r="Z48" s="122" t="inlineStr">
        <is>
          <t>—</t>
        </is>
      </c>
    </row>
  </sheetData>
  <mergeCells count="17">
    <mergeCell ref="A1:T1"/>
    <mergeCell ref="A42:Z42"/>
    <mergeCell ref="O5:Q5"/>
    <mergeCell ref="A47:Z47"/>
    <mergeCell ref="U5:Z5"/>
    <mergeCell ref="A36:Z36"/>
    <mergeCell ref="A4:E4"/>
    <mergeCell ref="F4:G4"/>
    <mergeCell ref="A5:I5"/>
    <mergeCell ref="A40:Z40"/>
    <mergeCell ref="J5:N5"/>
    <mergeCell ref="A3:T3"/>
    <mergeCell ref="R5:T5"/>
    <mergeCell ref="H4:M4"/>
    <mergeCell ref="A20:Z20"/>
    <mergeCell ref="A2:T2"/>
    <mergeCell ref="A7:Z7"/>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1.xml><?xml version="1.0" encoding="utf-8"?>
<worksheet xmlns="http://schemas.openxmlformats.org/spreadsheetml/2006/main">
  <sheetPr>
    <tabColor rgb="007030A0"/>
    <outlinePr summaryBelow="1" summaryRight="1"/>
    <pageSetUpPr fitToPage="1"/>
  </sheetPr>
  <dimension ref="A1:U302"/>
  <sheetViews>
    <sheetView showGridLines="0" workbookViewId="0">
      <pane ySplit="4" topLeftCell="A5" activePane="bottomLeft" state="frozen"/>
      <selection pane="bottomLeft" activeCell="A1" sqref="A1"/>
    </sheetView>
  </sheetViews>
  <sheetFormatPr baseColWidth="8" defaultRowHeight="15"/>
  <cols>
    <col width="20" customWidth="1" min="1" max="1"/>
    <col width="26" customWidth="1" min="2" max="2"/>
    <col width="30" customWidth="1" min="3" max="3"/>
    <col width="1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30" customWidth="1" min="16" max="16"/>
    <col width="30" customWidth="1" min="17" max="17"/>
    <col width="18" customWidth="1" min="18" max="18"/>
    <col width="20" customWidth="1" min="19" max="19"/>
    <col width="22" customWidth="1" min="20" max="20"/>
    <col width="13" customWidth="1" min="21" max="21"/>
  </cols>
  <sheetData>
    <row r="1" ht="34" customHeight="1">
      <c r="A1" s="1" t="inlineStr">
        <is>
          <t>Capability Framework — by department · Master M11, Steps 10–11</t>
        </is>
      </c>
      <c r="U1" s="242" t="inlineStr">
        <is>
          <t>◂ Contents</t>
        </is>
      </c>
    </row>
    <row r="2" ht="32" customHeight="1">
      <c r="A2" s="3" t="inlineStr">
        <is>
          <t>Sheet 5 · The level sizes the role; the capability framework defines what a person in it must be able to do, and how well · proficiency 1–5, aligned to SFIA 9. Company-wide clusters first, then each department: its families, capability health, technical competencies by level, learning focus and career paths.</t>
        </is>
      </c>
    </row>
    <row r="3">
      <c r="A3" s="4" t="inlineStr">
        <is>
          <t>IRIS · Job Architecture &amp; Job Design · Final v1.12 · October 2026 · Internal — Confidential</t>
        </is>
      </c>
    </row>
    <row r="4" ht="15" customHeight="1"/>
    <row r="5" ht="20" customHeight="1">
      <c r="A5" s="6" t="inlineStr">
        <is>
          <t>A. Rules and scale</t>
        </is>
      </c>
    </row>
    <row r="6" ht="15" customHeight="1">
      <c r="A6" s="12" t="inlineStr">
        <is>
          <t>ID</t>
        </is>
      </c>
      <c r="B6" s="12" t="inlineStr">
        <is>
          <t>Rule</t>
        </is>
      </c>
      <c r="C6" s="212" t="n"/>
      <c r="D6" s="212" t="n"/>
      <c r="E6" s="212" t="n"/>
      <c r="F6" s="212" t="n"/>
      <c r="G6" s="212" t="n"/>
      <c r="H6" s="212" t="n"/>
      <c r="I6" s="212" t="n"/>
      <c r="J6" s="212" t="n"/>
      <c r="K6" s="212" t="n"/>
      <c r="L6" s="212" t="n"/>
      <c r="M6" s="212" t="n"/>
      <c r="N6" s="212" t="n"/>
      <c r="O6" s="212" t="n"/>
      <c r="P6" s="211" t="n"/>
      <c r="Q6" s="12" t="inlineStr">
        <is>
          <t>Sources</t>
        </is>
      </c>
      <c r="R6" s="211" t="n"/>
    </row>
    <row r="7" ht="28" customHeight="1">
      <c r="A7" s="13" t="inlineStr">
        <is>
          <t>C1</t>
        </is>
      </c>
      <c r="B7" s="16" t="inlineStr">
        <is>
          <r>
            <rPr>
              <rFont val="Calibri"/>
              <b val="1"/>
              <sz val="10"/>
            </rPr>
            <t>Four clusters:</t>
          </r>
          <r>
            <rPr>
              <rFont val="Calibri"/>
              <sz val="10"/>
            </rPr>
            <t xml:space="preserve"> Core, Future-ready, Functional · 6 per family plus department technical competencies, Leadership. Additional requirements are gates, not scores.</t>
          </r>
        </is>
      </c>
      <c r="C7" s="212" t="n"/>
      <c r="D7" s="212" t="n"/>
      <c r="E7" s="212" t="n"/>
      <c r="F7" s="212" t="n"/>
      <c r="G7" s="212" t="n"/>
      <c r="H7" s="212" t="n"/>
      <c r="I7" s="212" t="n"/>
      <c r="J7" s="212" t="n"/>
      <c r="K7" s="212" t="n"/>
      <c r="L7" s="212" t="n"/>
      <c r="M7" s="212" t="n"/>
      <c r="N7" s="212" t="n"/>
      <c r="O7" s="212" t="n"/>
      <c r="P7" s="211" t="n"/>
      <c r="Q7" s="16" t="inlineStr">
        <is>
          <t>S14, S15, S12, S08</t>
        </is>
      </c>
      <c r="R7" s="211" t="n"/>
    </row>
    <row r="8" ht="15" customHeight="1">
      <c r="A8" s="13" t="inlineStr">
        <is>
          <t>C2</t>
        </is>
      </c>
      <c r="B8" s="16" t="inlineStr">
        <is>
          <t>Proficiency is rated 1–5 on a scale aligned to SFIA levels; the required proficiency is set by level.</t>
        </is>
      </c>
      <c r="C8" s="212" t="n"/>
      <c r="D8" s="212" t="n"/>
      <c r="E8" s="212" t="n"/>
      <c r="F8" s="212" t="n"/>
      <c r="G8" s="212" t="n"/>
      <c r="H8" s="212" t="n"/>
      <c r="I8" s="212" t="n"/>
      <c r="J8" s="212" t="n"/>
      <c r="K8" s="212" t="n"/>
      <c r="L8" s="212" t="n"/>
      <c r="M8" s="212" t="n"/>
      <c r="N8" s="212" t="n"/>
      <c r="O8" s="212" t="n"/>
      <c r="P8" s="211" t="n"/>
      <c r="Q8" s="16" t="inlineStr">
        <is>
          <t>S08</t>
        </is>
      </c>
      <c r="R8" s="211" t="n"/>
    </row>
    <row r="9" ht="15" customHeight="1">
      <c r="A9" s="13" t="inlineStr">
        <is>
          <t>C+</t>
        </is>
      </c>
      <c r="B9" s="16" t="inlineStr">
        <is>
          <t>Score per competency = rating ÷ required · capped at 120%. Cluster weights by level and track build the competency index.</t>
        </is>
      </c>
      <c r="C9" s="212" t="n"/>
      <c r="D9" s="212" t="n"/>
      <c r="E9" s="212" t="n"/>
      <c r="F9" s="212" t="n"/>
      <c r="G9" s="212" t="n"/>
      <c r="H9" s="212" t="n"/>
      <c r="I9" s="212" t="n"/>
      <c r="J9" s="212" t="n"/>
      <c r="K9" s="212" t="n"/>
      <c r="L9" s="212" t="n"/>
      <c r="M9" s="212" t="n"/>
      <c r="N9" s="212" t="n"/>
      <c r="O9" s="212" t="n"/>
      <c r="P9" s="211" t="n"/>
      <c r="Q9" s="16" t="inlineStr">
        <is>
          <t>—</t>
        </is>
      </c>
      <c r="R9" s="211" t="n"/>
    </row>
    <row r="10" ht="15" customHeight="1">
      <c r="A10" s="13" t="inlineStr">
        <is>
          <t>C4</t>
        </is>
      </c>
      <c r="B10" s="16" t="inlineStr">
        <is>
          <r>
            <rPr>
              <rFont val="Calibri"/>
              <b val="1"/>
              <sz val="10"/>
            </rPr>
            <t>Fit:</t>
          </r>
          <r>
            <rPr>
              <rFont val="Calibri"/>
              <sz val="10"/>
            </rPr>
            <t xml:space="preserve"> ≥ 105% exceeds · 90–104% meets · 75–89% developing · &lt; 75% gap.</t>
          </r>
        </is>
      </c>
      <c r="C10" s="212" t="n"/>
      <c r="D10" s="212" t="n"/>
      <c r="E10" s="212" t="n"/>
      <c r="F10" s="212" t="n"/>
      <c r="G10" s="212" t="n"/>
      <c r="H10" s="212" t="n"/>
      <c r="I10" s="212" t="n"/>
      <c r="J10" s="212" t="n"/>
      <c r="K10" s="212" t="n"/>
      <c r="L10" s="212" t="n"/>
      <c r="M10" s="212" t="n"/>
      <c r="N10" s="212" t="n"/>
      <c r="O10" s="212" t="n"/>
      <c r="P10" s="211" t="n"/>
      <c r="Q10" s="16" t="inlineStr">
        <is>
          <t>—</t>
        </is>
      </c>
      <c r="R10" s="211" t="n"/>
    </row>
    <row r="11" ht="15" customHeight="1">
      <c r="A11" s="13" t="inlineStr">
        <is>
          <t>C5</t>
        </is>
      </c>
      <c r="B11" s="16" t="inlineStr">
        <is>
          <t>Must-have · ★ competencies must be at the required proficiency for hiring and lateral moves.</t>
        </is>
      </c>
      <c r="C11" s="212" t="n"/>
      <c r="D11" s="212" t="n"/>
      <c r="E11" s="212" t="n"/>
      <c r="F11" s="212" t="n"/>
      <c r="G11" s="212" t="n"/>
      <c r="H11" s="212" t="n"/>
      <c r="I11" s="212" t="n"/>
      <c r="J11" s="212" t="n"/>
      <c r="K11" s="212" t="n"/>
      <c r="L11" s="212" t="n"/>
      <c r="M11" s="212" t="n"/>
      <c r="N11" s="212" t="n"/>
      <c r="O11" s="212" t="n"/>
      <c r="P11" s="211" t="n"/>
      <c r="Q11" s="16" t="inlineStr">
        <is>
          <t>S38</t>
        </is>
      </c>
      <c r="R11" s="211" t="n"/>
    </row>
    <row r="12" ht="15" customHeight="1"/>
    <row r="13" ht="15" customHeight="1">
      <c r="A13" s="12" t="inlineStr">
        <is>
          <t>Rating</t>
        </is>
      </c>
      <c r="B13" s="12" t="inlineStr">
        <is>
          <t>Label</t>
        </is>
      </c>
      <c r="C13" s="212" t="n"/>
      <c r="D13" s="211" t="n"/>
      <c r="E13" s="12" t="inlineStr">
        <is>
          <t>SFIA alignment</t>
        </is>
      </c>
      <c r="F13" s="212" t="n"/>
      <c r="G13" s="212" t="n"/>
      <c r="H13" s="211" t="n"/>
      <c r="I13" s="12" t="inlineStr">
        <is>
          <t>What it looks like</t>
        </is>
      </c>
      <c r="J13" s="212" t="n"/>
      <c r="K13" s="212" t="n"/>
      <c r="L13" s="212" t="n"/>
      <c r="M13" s="212" t="n"/>
      <c r="N13" s="212" t="n"/>
      <c r="O13" s="212" t="n"/>
      <c r="P13" s="212" t="n"/>
      <c r="Q13" s="212" t="n"/>
      <c r="R13" s="211" t="n"/>
    </row>
    <row r="14" ht="28" customHeight="1">
      <c r="A14" s="171" t="n">
        <v>1</v>
      </c>
      <c r="B14" s="16" t="inlineStr">
        <is>
          <t>Awareness</t>
        </is>
      </c>
      <c r="C14" s="212" t="n"/>
      <c r="D14" s="211" t="n"/>
      <c r="E14" s="16" t="inlineStr">
        <is>
          <t>SFIA 1–2 · Follow / Assist</t>
        </is>
      </c>
      <c r="F14" s="212" t="n"/>
      <c r="G14" s="212" t="n"/>
      <c r="H14" s="211" t="n"/>
      <c r="I14" s="16" t="inlineStr">
        <is>
          <t>Knows the concepts; does defined tasks with close guidance; all work reviewed.</t>
        </is>
      </c>
      <c r="J14" s="212" t="n"/>
      <c r="K14" s="212" t="n"/>
      <c r="L14" s="212" t="n"/>
      <c r="M14" s="212" t="n"/>
      <c r="N14" s="212" t="n"/>
      <c r="O14" s="212" t="n"/>
      <c r="P14" s="212" t="n"/>
      <c r="Q14" s="212" t="n"/>
      <c r="R14" s="211" t="n"/>
    </row>
    <row r="15" ht="28" customHeight="1">
      <c r="A15" s="171" t="n">
        <v>2</v>
      </c>
      <c r="B15" s="16" t="inlineStr">
        <is>
          <t>Working</t>
        </is>
      </c>
      <c r="C15" s="212" t="n"/>
      <c r="D15" s="211" t="n"/>
      <c r="E15" s="16" t="inlineStr">
        <is>
          <t>SFIA 2–3 · Assist / Apply</t>
        </is>
      </c>
      <c r="F15" s="212" t="n"/>
      <c r="G15" s="212" t="n"/>
      <c r="H15" s="211" t="n"/>
      <c r="I15" s="16" t="inlineStr">
        <is>
          <t>Applies the skill to standard work with routine guidance; work spot-checked.</t>
        </is>
      </c>
      <c r="J15" s="212" t="n"/>
      <c r="K15" s="212" t="n"/>
      <c r="L15" s="212" t="n"/>
      <c r="M15" s="212" t="n"/>
      <c r="N15" s="212" t="n"/>
      <c r="O15" s="212" t="n"/>
      <c r="P15" s="212" t="n"/>
      <c r="Q15" s="212" t="n"/>
      <c r="R15" s="211" t="n"/>
    </row>
    <row r="16" ht="28" customHeight="1">
      <c r="A16" s="171" t="n">
        <v>3</v>
      </c>
      <c r="B16" s="16" t="inlineStr">
        <is>
          <t>Practitioner</t>
        </is>
      </c>
      <c r="C16" s="212" t="n"/>
      <c r="D16" s="211" t="n"/>
      <c r="E16" s="16" t="inlineStr">
        <is>
          <t>SFIA 3–4 · Apply / Enable</t>
        </is>
      </c>
      <c r="F16" s="212" t="n"/>
      <c r="G16" s="212" t="n"/>
      <c r="H16" s="211" t="n"/>
      <c r="I16" s="16" t="inlineStr">
        <is>
          <t>Applies independently to varied, non-routine work; reviews and helps others.</t>
        </is>
      </c>
      <c r="J16" s="212" t="n"/>
      <c r="K16" s="212" t="n"/>
      <c r="L16" s="212" t="n"/>
      <c r="M16" s="212" t="n"/>
      <c r="N16" s="212" t="n"/>
      <c r="O16" s="212" t="n"/>
      <c r="P16" s="212" t="n"/>
      <c r="Q16" s="212" t="n"/>
      <c r="R16" s="211" t="n"/>
    </row>
    <row r="17" ht="28" customHeight="1">
      <c r="A17" s="171" t="n">
        <v>4</v>
      </c>
      <c r="B17" s="16" t="inlineStr">
        <is>
          <t>Advanced</t>
        </is>
      </c>
      <c r="C17" s="212" t="n"/>
      <c r="D17" s="211" t="n"/>
      <c r="E17" s="16" t="inlineStr">
        <is>
          <t>SFIA 4–5 · Enable / Ensure</t>
        </is>
      </c>
      <c r="F17" s="212" t="n"/>
      <c r="G17" s="212" t="n"/>
      <c r="H17" s="211" t="n"/>
      <c r="I17" s="16" t="inlineStr">
        <is>
          <t>Solves the hardest problems; sets standards; coaches others; the recognised go-to.</t>
        </is>
      </c>
      <c r="J17" s="212" t="n"/>
      <c r="K17" s="212" t="n"/>
      <c r="L17" s="212" t="n"/>
      <c r="M17" s="212" t="n"/>
      <c r="N17" s="212" t="n"/>
      <c r="O17" s="212" t="n"/>
      <c r="P17" s="212" t="n"/>
      <c r="Q17" s="212" t="n"/>
      <c r="R17" s="211" t="n"/>
    </row>
    <row r="18" ht="28" customHeight="1">
      <c r="A18" s="171" t="n">
        <v>5</v>
      </c>
      <c r="B18" s="16" t="inlineStr">
        <is>
          <t>Expert / Strategic</t>
        </is>
      </c>
      <c r="C18" s="212" t="n"/>
      <c r="D18" s="211" t="n"/>
      <c r="E18" s="16" t="inlineStr">
        <is>
          <t>SFIA 6–7 · Initiate / Set strategy</t>
        </is>
      </c>
      <c r="F18" s="212" t="n"/>
      <c r="G18" s="212" t="n"/>
      <c r="H18" s="211" t="n"/>
      <c r="I18" s="16" t="inlineStr">
        <is>
          <t>Shapes direction across IRIS or the industry; creates new methods; external authority.</t>
        </is>
      </c>
      <c r="J18" s="212" t="n"/>
      <c r="K18" s="212" t="n"/>
      <c r="L18" s="212" t="n"/>
      <c r="M18" s="212" t="n"/>
      <c r="N18" s="212" t="n"/>
      <c r="O18" s="212" t="n"/>
      <c r="P18" s="212" t="n"/>
      <c r="Q18" s="212" t="n"/>
      <c r="R18" s="211" t="n"/>
    </row>
    <row r="19" ht="15" customHeight="1"/>
    <row r="20" ht="15" customHeight="1">
      <c r="A20" s="12" t="inlineStr">
        <is>
          <t>Use</t>
        </is>
      </c>
      <c r="B20" s="211" t="n"/>
      <c r="C20" s="12" t="inlineStr">
        <is>
          <t>How</t>
        </is>
      </c>
      <c r="D20" s="212" t="n"/>
      <c r="E20" s="212" t="n"/>
      <c r="F20" s="212" t="n"/>
      <c r="G20" s="212" t="n"/>
      <c r="H20" s="211" t="n"/>
      <c r="I20" s="12" t="inlineStr">
        <is>
          <t>Decision rule</t>
        </is>
      </c>
      <c r="J20" s="212" t="n"/>
      <c r="K20" s="212" t="n"/>
      <c r="L20" s="212" t="n"/>
      <c r="M20" s="212" t="n"/>
      <c r="N20" s="212" t="n"/>
      <c r="O20" s="212" t="n"/>
      <c r="P20" s="212" t="n"/>
      <c r="Q20" s="212" t="n"/>
      <c r="R20" s="211" t="n"/>
    </row>
    <row r="21" ht="28" customHeight="1">
      <c r="A21" s="13" t="inlineStr">
        <is>
          <t>Internal placement</t>
        </is>
      </c>
      <c r="B21" s="211" t="n"/>
      <c r="C21" s="16" t="inlineStr">
        <is>
          <t>Rate the person against the required profile of the role's level.</t>
        </is>
      </c>
      <c r="D21" s="212" t="n"/>
      <c r="E21" s="212" t="n"/>
      <c r="F21" s="212" t="n"/>
      <c r="G21" s="212" t="n"/>
      <c r="H21" s="211" t="n"/>
      <c r="I21" s="16" t="inlineStr">
        <is>
          <t>Competency index ≥ 90% = meets the level; 75–89% = developing · placement confirmed with a plan; &lt; 75% = gap · placement reviewed.</t>
        </is>
      </c>
      <c r="J21" s="212" t="n"/>
      <c r="K21" s="212" t="n"/>
      <c r="L21" s="212" t="n"/>
      <c r="M21" s="212" t="n"/>
      <c r="N21" s="212" t="n"/>
      <c r="O21" s="212" t="n"/>
      <c r="P21" s="212" t="n"/>
      <c r="Q21" s="212" t="n"/>
      <c r="R21" s="211" t="n"/>
    </row>
    <row r="22" ht="28" customHeight="1">
      <c r="A22" s="13" t="inlineStr">
        <is>
          <t>Promotion</t>
        </is>
      </c>
      <c r="B22" s="211" t="n"/>
      <c r="C22" s="16" t="inlineStr">
        <is>
          <t>Rate against the NEXT level's profile; combine with the level framework rules and performance.</t>
        </is>
      </c>
      <c r="D22" s="212" t="n"/>
      <c r="E22" s="212" t="n"/>
      <c r="F22" s="212" t="n"/>
      <c r="G22" s="212" t="n"/>
      <c r="H22" s="211" t="n"/>
      <c r="I22" s="16" t="inlineStr">
        <is>
          <t>Next-level index ≥ 90% + rating ≥ 4 in the last 2 cycles + a role of that scope exists.</t>
        </is>
      </c>
      <c r="J22" s="212" t="n"/>
      <c r="K22" s="212" t="n"/>
      <c r="L22" s="212" t="n"/>
      <c r="M22" s="212" t="n"/>
      <c r="N22" s="212" t="n"/>
      <c r="O22" s="212" t="n"/>
      <c r="P22" s="212" t="n"/>
      <c r="Q22" s="212" t="n"/>
      <c r="R22" s="211" t="n"/>
    </row>
    <row r="23" ht="28" customHeight="1">
      <c r="A23" s="13" t="inlineStr">
        <is>
          <t>Lateral move</t>
        </is>
      </c>
      <c r="B23" s="211" t="n"/>
      <c r="C23" s="16" t="inlineStr">
        <is>
          <t>Rate against the target family's functional competencies at the current level.</t>
        </is>
      </c>
      <c r="D23" s="212" t="n"/>
      <c r="E23" s="212" t="n"/>
      <c r="F23" s="212" t="n"/>
      <c r="G23" s="212" t="n"/>
      <c r="H23" s="211" t="n"/>
      <c r="I23" s="16" t="inlineStr">
        <is>
          <t>Both must-have competencies of the target family evidenced, ≥ 67% of its functional set, index ≥ 75% — move with a 3–6 month plan.</t>
        </is>
      </c>
      <c r="J23" s="212" t="n"/>
      <c r="K23" s="212" t="n"/>
      <c r="L23" s="212" t="n"/>
      <c r="M23" s="212" t="n"/>
      <c r="N23" s="212" t="n"/>
      <c r="O23" s="212" t="n"/>
      <c r="P23" s="212" t="n"/>
      <c r="Q23" s="212" t="n"/>
      <c r="R23" s="211" t="n"/>
    </row>
    <row r="24" ht="28" customHeight="1">
      <c r="A24" s="13" t="inlineStr">
        <is>
          <t>Hiring · campus / lateral</t>
        </is>
      </c>
      <c r="B24" s="211" t="n"/>
      <c r="C24" s="16" t="inlineStr">
        <is>
          <r>
            <rPr>
              <rFont val="Calibri"/>
              <b val="1"/>
              <sz val="10"/>
            </rPr>
            <t>Interview scorecard:</t>
          </r>
          <r>
            <rPr>
              <rFont val="Calibri"/>
              <sz val="10"/>
            </rPr>
            <t xml:space="preserve"> assess each must-have and the cluster profile for the hiring level.</t>
          </r>
        </is>
      </c>
      <c r="D24" s="212" t="n"/>
      <c r="E24" s="212" t="n"/>
      <c r="F24" s="212" t="n"/>
      <c r="G24" s="212" t="n"/>
      <c r="H24" s="211" t="n"/>
      <c r="I24" s="16" t="inlineStr">
        <is>
          <t>All must-haves at required proficiency, no cluster below 75%, overall index ≥ 90%; else hire one level lower.</t>
        </is>
      </c>
      <c r="J24" s="212" t="n"/>
      <c r="K24" s="212" t="n"/>
      <c r="L24" s="212" t="n"/>
      <c r="M24" s="212" t="n"/>
      <c r="N24" s="212" t="n"/>
      <c r="O24" s="212" t="n"/>
      <c r="P24" s="212" t="n"/>
      <c r="Q24" s="212" t="n"/>
      <c r="R24" s="211" t="n"/>
    </row>
    <row r="25" ht="28" customHeight="1">
      <c r="A25" s="13" t="inlineStr">
        <is>
          <t>Development</t>
        </is>
      </c>
      <c r="B25" s="211" t="n"/>
      <c r="C25" s="16" t="inlineStr">
        <is>
          <t>Gaps · rating below required become the individual development plan; link to learning paths.</t>
        </is>
      </c>
      <c r="D25" s="212" t="n"/>
      <c r="E25" s="212" t="n"/>
      <c r="F25" s="212" t="n"/>
      <c r="G25" s="212" t="n"/>
      <c r="H25" s="211" t="n"/>
      <c r="I25" s="16" t="inlineStr">
        <is>
          <t>Top 3 gaps per person shown on sheet 8; reviewed twice a year.</t>
        </is>
      </c>
      <c r="J25" s="212" t="n"/>
      <c r="K25" s="212" t="n"/>
      <c r="L25" s="212" t="n"/>
      <c r="M25" s="212" t="n"/>
      <c r="N25" s="212" t="n"/>
      <c r="O25" s="212" t="n"/>
      <c r="P25" s="212" t="n"/>
      <c r="Q25" s="212" t="n"/>
      <c r="R25" s="211" t="n"/>
    </row>
    <row r="26" ht="15" customHeight="1"/>
    <row r="27" ht="20" customHeight="1">
      <c r="A27" s="6" t="inlineStr">
        <is>
          <t>B. Required proficiency by level and cluster weights · bottom to top</t>
        </is>
      </c>
    </row>
    <row r="28" ht="28" customHeight="1">
      <c r="A28" s="12" t="inlineStr">
        <is>
          <t>Level</t>
        </is>
      </c>
      <c r="B28" s="12" t="inlineStr">
        <is>
          <t>Core</t>
        </is>
      </c>
      <c r="C28" s="211" t="n"/>
      <c r="D28" s="12" t="inlineStr">
        <is>
          <t>Future-ready</t>
        </is>
      </c>
      <c r="E28" s="211" t="n"/>
      <c r="F28" s="12" t="inlineStr">
        <is>
          <t>Functional</t>
        </is>
      </c>
      <c r="G28" s="211" t="n"/>
      <c r="H28" s="12" t="inlineStr">
        <is>
          <t>Leadership — IC</t>
        </is>
      </c>
      <c r="I28" s="211" t="n"/>
      <c r="J28" s="12" t="inlineStr">
        <is>
          <t>Leadership — POD / Mgr</t>
        </is>
      </c>
      <c r="K28" s="211" t="n"/>
      <c r="L28" s="12" t="inlineStr">
        <is>
          <t>Weights IC</t>
        </is>
      </c>
      <c r="M28" s="212" t="n"/>
      <c r="N28" s="211" t="n"/>
      <c r="O28" s="12" t="inlineStr">
        <is>
          <t>Weights POD Lead</t>
        </is>
      </c>
      <c r="P28" s="211" t="n"/>
      <c r="Q28" s="12" t="inlineStr">
        <is>
          <t>Weights Manager</t>
        </is>
      </c>
      <c r="R28" s="211" t="n"/>
    </row>
    <row r="29" ht="28" customHeight="1">
      <c r="A29" s="26" t="inlineStr">
        <is>
          <t>A1</t>
        </is>
      </c>
      <c r="B29" s="26" t="n">
        <v>1</v>
      </c>
      <c r="C29" s="211" t="n"/>
      <c r="D29" s="26" t="n">
        <v>1</v>
      </c>
      <c r="E29" s="211" t="n"/>
      <c r="F29" s="26" t="n">
        <v>1</v>
      </c>
      <c r="G29" s="211" t="n"/>
      <c r="H29" s="26" t="inlineStr">
        <is>
          <t>not scored</t>
        </is>
      </c>
      <c r="I29" s="211" t="n"/>
      <c r="J29" s="26" t="inlineStr">
        <is>
          <t>not scored</t>
        </is>
      </c>
      <c r="K29" s="211" t="n"/>
      <c r="L29" s="26" t="inlineStr">
        <is>
          <t>30% / 20% / 50% / 0%</t>
        </is>
      </c>
      <c r="M29" s="212" t="n"/>
      <c r="N29" s="211" t="n"/>
      <c r="O29" s="26" t="inlineStr">
        <is>
          <t>—</t>
        </is>
      </c>
      <c r="P29" s="211" t="n"/>
      <c r="Q29" s="26" t="inlineStr">
        <is>
          <t>30% / 20% / 50% / 0%</t>
        </is>
      </c>
      <c r="R29" s="211" t="n"/>
    </row>
    <row r="30" ht="28" customHeight="1">
      <c r="A30" s="26" t="inlineStr">
        <is>
          <t>A2</t>
        </is>
      </c>
      <c r="B30" s="26" t="n">
        <v>2</v>
      </c>
      <c r="C30" s="211" t="n"/>
      <c r="D30" s="26" t="n">
        <v>2</v>
      </c>
      <c r="E30" s="211" t="n"/>
      <c r="F30" s="26" t="n">
        <v>2</v>
      </c>
      <c r="G30" s="211" t="n"/>
      <c r="H30" s="26" t="inlineStr">
        <is>
          <t>not scored</t>
        </is>
      </c>
      <c r="I30" s="211" t="n"/>
      <c r="J30" s="26" t="inlineStr">
        <is>
          <t>not scored</t>
        </is>
      </c>
      <c r="K30" s="211" t="n"/>
      <c r="L30" s="26" t="inlineStr">
        <is>
          <t>30% / 20% / 50% / 0%</t>
        </is>
      </c>
      <c r="M30" s="212" t="n"/>
      <c r="N30" s="211" t="n"/>
      <c r="O30" s="26" t="inlineStr">
        <is>
          <t>—</t>
        </is>
      </c>
      <c r="P30" s="211" t="n"/>
      <c r="Q30" s="26" t="inlineStr">
        <is>
          <t>30% / 20% / 50% / 0%</t>
        </is>
      </c>
      <c r="R30" s="211" t="n"/>
    </row>
    <row r="31" ht="28" customHeight="1">
      <c r="A31" s="26" t="inlineStr">
        <is>
          <t>A3</t>
        </is>
      </c>
      <c r="B31" s="26" t="n">
        <v>2</v>
      </c>
      <c r="C31" s="211" t="n"/>
      <c r="D31" s="26" t="n">
        <v>2</v>
      </c>
      <c r="E31" s="211" t="n"/>
      <c r="F31" s="26" t="n">
        <v>3</v>
      </c>
      <c r="G31" s="211" t="n"/>
      <c r="H31" s="26" t="inlineStr">
        <is>
          <t>not scored</t>
        </is>
      </c>
      <c r="I31" s="211" t="n"/>
      <c r="J31" s="26" t="inlineStr">
        <is>
          <t>not scored</t>
        </is>
      </c>
      <c r="K31" s="211" t="n"/>
      <c r="L31" s="26" t="inlineStr">
        <is>
          <t>30% / 20% / 50% / 0%</t>
        </is>
      </c>
      <c r="M31" s="212" t="n"/>
      <c r="N31" s="211" t="n"/>
      <c r="O31" s="26" t="inlineStr">
        <is>
          <t>—</t>
        </is>
      </c>
      <c r="P31" s="211" t="n"/>
      <c r="Q31" s="26" t="inlineStr">
        <is>
          <t>30% / 20% / 50% / 0%</t>
        </is>
      </c>
      <c r="R31" s="211" t="n"/>
    </row>
    <row r="32" ht="28" customHeight="1">
      <c r="A32" s="23" t="inlineStr">
        <is>
          <t>B1</t>
        </is>
      </c>
      <c r="B32" s="23" t="n">
        <v>3</v>
      </c>
      <c r="C32" s="211" t="n"/>
      <c r="D32" s="23" t="n">
        <v>3</v>
      </c>
      <c r="E32" s="211" t="n"/>
      <c r="F32" s="23" t="n">
        <v>3</v>
      </c>
      <c r="G32" s="211" t="n"/>
      <c r="H32" s="23" t="n">
        <v>1</v>
      </c>
      <c r="I32" s="211" t="n"/>
      <c r="J32" s="23" t="n">
        <v>2</v>
      </c>
      <c r="K32" s="211" t="n"/>
      <c r="L32" s="23" t="inlineStr">
        <is>
          <t>25% / 20% / 45% / 10%</t>
        </is>
      </c>
      <c r="M32" s="212" t="n"/>
      <c r="N32" s="211" t="n"/>
      <c r="O32" s="23" t="inlineStr">
        <is>
          <t>25% / 15% / 40% / 20%</t>
        </is>
      </c>
      <c r="P32" s="211" t="n"/>
      <c r="Q32" s="23" t="inlineStr">
        <is>
          <t>25% / 15% / 30% / 30%</t>
        </is>
      </c>
      <c r="R32" s="211" t="n"/>
    </row>
    <row r="33" ht="28" customHeight="1">
      <c r="A33" s="23" t="inlineStr">
        <is>
          <t>B2</t>
        </is>
      </c>
      <c r="B33" s="23" t="n">
        <v>3</v>
      </c>
      <c r="C33" s="211" t="n"/>
      <c r="D33" s="23" t="n">
        <v>3</v>
      </c>
      <c r="E33" s="211" t="n"/>
      <c r="F33" s="23" t="n">
        <v>4</v>
      </c>
      <c r="G33" s="211" t="n"/>
      <c r="H33" s="23" t="n">
        <v>2</v>
      </c>
      <c r="I33" s="211" t="n"/>
      <c r="J33" s="23" t="n">
        <v>3</v>
      </c>
      <c r="K33" s="211" t="n"/>
      <c r="L33" s="23" t="inlineStr">
        <is>
          <t>25% / 20% / 45% / 10%</t>
        </is>
      </c>
      <c r="M33" s="212" t="n"/>
      <c r="N33" s="211" t="n"/>
      <c r="O33" s="23" t="inlineStr">
        <is>
          <t>25% / 15% / 40% / 20%</t>
        </is>
      </c>
      <c r="P33" s="211" t="n"/>
      <c r="Q33" s="23" t="inlineStr">
        <is>
          <t>25% / 15% / 30% / 30%</t>
        </is>
      </c>
      <c r="R33" s="211" t="n"/>
    </row>
    <row r="34" ht="28" customHeight="1">
      <c r="A34" s="23" t="inlineStr">
        <is>
          <t>B3</t>
        </is>
      </c>
      <c r="B34" s="23" t="n">
        <v>4</v>
      </c>
      <c r="C34" s="211" t="n"/>
      <c r="D34" s="23" t="n">
        <v>3</v>
      </c>
      <c r="E34" s="211" t="n"/>
      <c r="F34" s="23" t="n">
        <v>4</v>
      </c>
      <c r="G34" s="211" t="n"/>
      <c r="H34" s="23" t="n">
        <v>3</v>
      </c>
      <c r="I34" s="211" t="n"/>
      <c r="J34" s="23" t="n">
        <v>4</v>
      </c>
      <c r="K34" s="211" t="n"/>
      <c r="L34" s="23" t="inlineStr">
        <is>
          <t>25% / 20% / 45% / 10%</t>
        </is>
      </c>
      <c r="M34" s="212" t="n"/>
      <c r="N34" s="211" t="n"/>
      <c r="O34" s="23" t="inlineStr">
        <is>
          <t>25% / 15% / 40% / 20%</t>
        </is>
      </c>
      <c r="P34" s="211" t="n"/>
      <c r="Q34" s="23" t="inlineStr">
        <is>
          <t>25% / 15% / 30% / 30%</t>
        </is>
      </c>
      <c r="R34" s="211" t="n"/>
    </row>
    <row r="35" ht="28" customHeight="1">
      <c r="A35" s="30" t="inlineStr">
        <is>
          <t>B+</t>
        </is>
      </c>
      <c r="B35" s="30" t="n">
        <v>4</v>
      </c>
      <c r="C35" s="211" t="n"/>
      <c r="D35" s="30" t="n">
        <v>4</v>
      </c>
      <c r="E35" s="211" t="n"/>
      <c r="F35" s="30" t="n">
        <v>4</v>
      </c>
      <c r="G35" s="211" t="n"/>
      <c r="H35" s="30" t="n">
        <v>4</v>
      </c>
      <c r="I35" s="211" t="n"/>
      <c r="J35" s="30" t="n">
        <v>4</v>
      </c>
      <c r="K35" s="211" t="n"/>
      <c r="L35" s="30" t="inlineStr">
        <is>
          <t>25% / 15% / 35% / 25%</t>
        </is>
      </c>
      <c r="M35" s="212" t="n"/>
      <c r="N35" s="211" t="n"/>
      <c r="O35" s="30" t="inlineStr">
        <is>
          <t>25% / 15% / 35% / 25%</t>
        </is>
      </c>
      <c r="P35" s="211" t="n"/>
      <c r="Q35" s="30" t="inlineStr">
        <is>
          <t>25% / 15% / 35% / 25%</t>
        </is>
      </c>
      <c r="R35" s="211" t="n"/>
    </row>
    <row r="36" ht="28" customHeight="1">
      <c r="A36" s="33" t="inlineStr">
        <is>
          <t>C1</t>
        </is>
      </c>
      <c r="B36" s="33" t="n">
        <v>4</v>
      </c>
      <c r="C36" s="211" t="n"/>
      <c r="D36" s="33" t="n">
        <v>4</v>
      </c>
      <c r="E36" s="211" t="n"/>
      <c r="F36" s="33" t="n">
        <v>4</v>
      </c>
      <c r="G36" s="211" t="n"/>
      <c r="H36" s="33" t="n">
        <v>4</v>
      </c>
      <c r="I36" s="211" t="n"/>
      <c r="J36" s="33" t="n">
        <v>4</v>
      </c>
      <c r="K36" s="211" t="n"/>
      <c r="L36" s="33" t="inlineStr">
        <is>
          <t>20% / 15% / 30% / 35%</t>
        </is>
      </c>
      <c r="M36" s="212" t="n"/>
      <c r="N36" s="211" t="n"/>
      <c r="O36" s="33" t="inlineStr">
        <is>
          <t>20% / 15% / 30% / 35%</t>
        </is>
      </c>
      <c r="P36" s="211" t="n"/>
      <c r="Q36" s="33" t="inlineStr">
        <is>
          <t>20% / 15% / 30% / 35%</t>
        </is>
      </c>
      <c r="R36" s="211" t="n"/>
    </row>
    <row r="37" ht="28" customHeight="1">
      <c r="A37" s="33" t="inlineStr">
        <is>
          <t>C2</t>
        </is>
      </c>
      <c r="B37" s="33" t="n">
        <v>4</v>
      </c>
      <c r="C37" s="211" t="n"/>
      <c r="D37" s="33" t="n">
        <v>4</v>
      </c>
      <c r="E37" s="211" t="n"/>
      <c r="F37" s="33" t="n">
        <v>5</v>
      </c>
      <c r="G37" s="211" t="n"/>
      <c r="H37" s="33" t="n">
        <v>4</v>
      </c>
      <c r="I37" s="211" t="n"/>
      <c r="J37" s="33" t="n">
        <v>4</v>
      </c>
      <c r="K37" s="211" t="n"/>
      <c r="L37" s="33" t="inlineStr">
        <is>
          <t>20% / 15% / 30% / 35%</t>
        </is>
      </c>
      <c r="M37" s="212" t="n"/>
      <c r="N37" s="211" t="n"/>
      <c r="O37" s="33" t="inlineStr">
        <is>
          <t>20% / 15% / 30% / 35%</t>
        </is>
      </c>
      <c r="P37" s="211" t="n"/>
      <c r="Q37" s="33" t="inlineStr">
        <is>
          <t>20% / 15% / 30% / 35%</t>
        </is>
      </c>
      <c r="R37" s="211" t="n"/>
    </row>
    <row r="38" ht="28" customHeight="1">
      <c r="A38" s="36" t="inlineStr">
        <is>
          <t>C+</t>
        </is>
      </c>
      <c r="B38" s="36" t="n">
        <v>5</v>
      </c>
      <c r="C38" s="211" t="n"/>
      <c r="D38" s="36" t="n">
        <v>4</v>
      </c>
      <c r="E38" s="211" t="n"/>
      <c r="F38" s="36" t="n">
        <v>5</v>
      </c>
      <c r="G38" s="211" t="n"/>
      <c r="H38" s="36" t="n">
        <v>5</v>
      </c>
      <c r="I38" s="211" t="n"/>
      <c r="J38" s="36" t="n">
        <v>5</v>
      </c>
      <c r="K38" s="211" t="n"/>
      <c r="L38" s="36" t="inlineStr">
        <is>
          <t>25% / 15% / 25% / 35%</t>
        </is>
      </c>
      <c r="M38" s="212" t="n"/>
      <c r="N38" s="211" t="n"/>
      <c r="O38" s="36" t="inlineStr">
        <is>
          <t>25% / 15% / 25% / 35%</t>
        </is>
      </c>
      <c r="P38" s="211" t="n"/>
      <c r="Q38" s="36" t="inlineStr">
        <is>
          <t>25% / 15% / 25% / 35%</t>
        </is>
      </c>
      <c r="R38" s="211" t="n"/>
    </row>
    <row r="39" ht="28" customHeight="1">
      <c r="A39" s="39" t="inlineStr">
        <is>
          <t>D1</t>
        </is>
      </c>
      <c r="B39" s="39" t="n">
        <v>5</v>
      </c>
      <c r="C39" s="211" t="n"/>
      <c r="D39" s="39" t="n">
        <v>4</v>
      </c>
      <c r="E39" s="211" t="n"/>
      <c r="F39" s="39" t="n">
        <v>4</v>
      </c>
      <c r="G39" s="211" t="n"/>
      <c r="H39" s="39" t="n">
        <v>5</v>
      </c>
      <c r="I39" s="211" t="n"/>
      <c r="J39" s="39" t="n">
        <v>5</v>
      </c>
      <c r="K39" s="211" t="n"/>
      <c r="L39" s="39" t="inlineStr">
        <is>
          <t>25% / 15% / 15% / 45%</t>
        </is>
      </c>
      <c r="M39" s="212" t="n"/>
      <c r="N39" s="211" t="n"/>
      <c r="O39" s="39" t="inlineStr">
        <is>
          <t>—</t>
        </is>
      </c>
      <c r="P39" s="211" t="n"/>
      <c r="Q39" s="39" t="inlineStr">
        <is>
          <t>25% / 15% / 15% / 45%</t>
        </is>
      </c>
      <c r="R39" s="211" t="n"/>
    </row>
    <row r="40" ht="28" customHeight="1">
      <c r="A40" s="39" t="inlineStr">
        <is>
          <t>D2</t>
        </is>
      </c>
      <c r="B40" s="39" t="n">
        <v>5</v>
      </c>
      <c r="C40" s="211" t="n"/>
      <c r="D40" s="39" t="n">
        <v>4</v>
      </c>
      <c r="E40" s="211" t="n"/>
      <c r="F40" s="39" t="n">
        <v>4</v>
      </c>
      <c r="G40" s="211" t="n"/>
      <c r="H40" s="39" t="n">
        <v>5</v>
      </c>
      <c r="I40" s="211" t="n"/>
      <c r="J40" s="39" t="n">
        <v>5</v>
      </c>
      <c r="K40" s="211" t="n"/>
      <c r="L40" s="39" t="inlineStr">
        <is>
          <t>25% / 15% / 15% / 45%</t>
        </is>
      </c>
      <c r="M40" s="212" t="n"/>
      <c r="N40" s="211" t="n"/>
      <c r="O40" s="39" t="inlineStr">
        <is>
          <t>—</t>
        </is>
      </c>
      <c r="P40" s="211" t="n"/>
      <c r="Q40" s="39" t="inlineStr">
        <is>
          <t>25% / 15% / 15% / 45%</t>
        </is>
      </c>
      <c r="R40" s="211" t="n"/>
    </row>
    <row r="41" ht="28" customHeight="1">
      <c r="A41" s="42" t="inlineStr">
        <is>
          <t>E1</t>
        </is>
      </c>
      <c r="B41" s="42" t="n">
        <v>5</v>
      </c>
      <c r="C41" s="211" t="n"/>
      <c r="D41" s="42" t="n">
        <v>5</v>
      </c>
      <c r="E41" s="211" t="n"/>
      <c r="F41" s="42" t="n">
        <v>4</v>
      </c>
      <c r="G41" s="211" t="n"/>
      <c r="H41" s="42" t="n">
        <v>5</v>
      </c>
      <c r="I41" s="211" t="n"/>
      <c r="J41" s="42" t="n">
        <v>5</v>
      </c>
      <c r="K41" s="211" t="n"/>
      <c r="L41" s="42" t="inlineStr">
        <is>
          <t>25% / 15% / 15% / 45%</t>
        </is>
      </c>
      <c r="M41" s="212" t="n"/>
      <c r="N41" s="211" t="n"/>
      <c r="O41" s="42" t="inlineStr">
        <is>
          <t>—</t>
        </is>
      </c>
      <c r="P41" s="211" t="n"/>
      <c r="Q41" s="42" t="inlineStr">
        <is>
          <t>25% / 15% / 15% / 45%</t>
        </is>
      </c>
      <c r="R41" s="211" t="n"/>
    </row>
    <row r="42" ht="28" customHeight="1">
      <c r="A42" s="42" t="inlineStr">
        <is>
          <t>E2</t>
        </is>
      </c>
      <c r="B42" s="42" t="n">
        <v>5</v>
      </c>
      <c r="C42" s="211" t="n"/>
      <c r="D42" s="42" t="n">
        <v>5</v>
      </c>
      <c r="E42" s="211" t="n"/>
      <c r="F42" s="42" t="n">
        <v>4</v>
      </c>
      <c r="G42" s="211" t="n"/>
      <c r="H42" s="42" t="n">
        <v>5</v>
      </c>
      <c r="I42" s="211" t="n"/>
      <c r="J42" s="42" t="n">
        <v>5</v>
      </c>
      <c r="K42" s="211" t="n"/>
      <c r="L42" s="42" t="inlineStr">
        <is>
          <t>25% / 15% / 15% / 45%</t>
        </is>
      </c>
      <c r="M42" s="212" t="n"/>
      <c r="N42" s="211" t="n"/>
      <c r="O42" s="42" t="inlineStr">
        <is>
          <t>—</t>
        </is>
      </c>
      <c r="P42" s="211" t="n"/>
      <c r="Q42" s="42" t="inlineStr">
        <is>
          <t>25% / 15% / 15% / 45%</t>
        </is>
      </c>
      <c r="R42" s="211" t="n"/>
    </row>
    <row r="43" ht="15" customHeight="1"/>
    <row r="44" ht="20" customHeight="1">
      <c r="A44" s="6" t="inlineStr">
        <is>
          <t>C. Company-wide competencies — Core, Future-ready, Leadership · with source mapping</t>
        </is>
      </c>
    </row>
    <row r="45" ht="28" customHeight="1">
      <c r="A45" s="12" t="inlineStr">
        <is>
          <t>Cluster</t>
        </is>
      </c>
      <c r="B45" s="12" t="inlineStr">
        <is>
          <t>Competency</t>
        </is>
      </c>
      <c r="C45" s="211" t="n"/>
      <c r="D45" s="12" t="inlineStr">
        <is>
          <t>Definition</t>
        </is>
      </c>
      <c r="E45" s="212" t="n"/>
      <c r="F45" s="211" t="n"/>
      <c r="G45" s="12" t="inlineStr">
        <is>
          <t>1 · Awareness</t>
        </is>
      </c>
      <c r="H45" s="211" t="n"/>
      <c r="I45" s="12" t="inlineStr">
        <is>
          <t>2 · Working</t>
        </is>
      </c>
      <c r="J45" s="211" t="n"/>
      <c r="K45" s="12" t="inlineStr">
        <is>
          <t>3 · Practitioner</t>
        </is>
      </c>
      <c r="L45" s="211" t="n"/>
      <c r="M45" s="12" t="inlineStr">
        <is>
          <t>4 · Advanced</t>
        </is>
      </c>
      <c r="N45" s="211" t="n"/>
      <c r="O45" s="12" t="inlineStr">
        <is>
          <t>5 · Expert / Strategic</t>
        </is>
      </c>
      <c r="P45" s="211" t="n"/>
      <c r="Q45" s="12" t="inlineStr">
        <is>
          <t>SHL Great Eight · KF Leadership Architect · Project Oxygen</t>
        </is>
      </c>
      <c r="R45" s="211" t="n"/>
    </row>
    <row r="46" ht="80" customHeight="1">
      <c r="A46" s="13" t="inlineStr">
        <is>
          <t>Core</t>
        </is>
      </c>
      <c r="B46" s="16" t="inlineStr">
        <is>
          <t>Ownership &amp; Accountability</t>
        </is>
      </c>
      <c r="C46" s="211" t="n"/>
      <c r="D46" s="16" t="inlineStr">
        <is>
          <t>Owns outcomes end to end — quality, deadlines and follow-through.</t>
        </is>
      </c>
      <c r="E46" s="212" t="n"/>
      <c r="F46" s="211" t="n"/>
      <c r="G46" s="16" t="inlineStr">
        <is>
          <t>Completes assigned tasks on time with help</t>
        </is>
      </c>
      <c r="H46" s="211" t="n"/>
      <c r="I46" s="16" t="inlineStr">
        <is>
          <t>Owns own deliverables; flags issues early</t>
        </is>
      </c>
      <c r="J46" s="211" t="n"/>
      <c r="K46" s="16" t="inlineStr">
        <is>
          <t>Owns a module, client or process end to end; fixes root causes</t>
        </is>
      </c>
      <c r="L46" s="211" t="n"/>
      <c r="M46" s="16" t="inlineStr">
        <is>
          <t>Owns team / practice outcomes; holds others to standards</t>
        </is>
      </c>
      <c r="N46" s="211" t="n"/>
      <c r="O46" s="16" t="inlineStr">
        <is>
          <t>Owns business outcomes; builds a culture of accountability</t>
        </is>
      </c>
      <c r="P46" s="211" t="n"/>
      <c r="Q46" s="16" t="inlineStr">
        <is>
          <t>Organising &amp; Executing; Enterprising &amp; Performing · Results — Ensures accountability</t>
        </is>
      </c>
      <c r="R46" s="211" t="n"/>
    </row>
    <row r="47" ht="67" customHeight="1">
      <c r="A47" s="13" t="inlineStr">
        <is>
          <t>Core</t>
        </is>
      </c>
      <c r="B47" s="16" t="inlineStr">
        <is>
          <t>Problem Solving &amp; Critical Thinking</t>
        </is>
      </c>
      <c r="C47" s="211" t="n"/>
      <c r="D47" s="16" t="inlineStr">
        <is>
          <t>Breaks problems down, finds root causes and makes sound judgements.</t>
        </is>
      </c>
      <c r="E47" s="212" t="n"/>
      <c r="F47" s="211" t="n"/>
      <c r="G47" s="16" t="inlineStr">
        <is>
          <t>Solves simple, familiar problems with guidance</t>
        </is>
      </c>
      <c r="H47" s="211" t="n"/>
      <c r="I47" s="16" t="inlineStr">
        <is>
          <t>Solves routine problems with known methods</t>
        </is>
      </c>
      <c r="J47" s="211" t="n"/>
      <c r="K47" s="16" t="inlineStr">
        <is>
          <t>Analyses non-routine problems; finds root causes</t>
        </is>
      </c>
      <c r="L47" s="211" t="n"/>
      <c r="M47" s="16" t="inlineStr">
        <is>
          <t>Solves complex, ambiguous problems; designs new approaches</t>
        </is>
      </c>
      <c r="N47" s="211" t="n"/>
      <c r="O47" s="16" t="inlineStr">
        <is>
          <t>Frames enterprise-level problems; sets the approach for others</t>
        </is>
      </c>
      <c r="P47" s="211" t="n"/>
      <c r="Q47" s="16" t="inlineStr">
        <is>
          <t>Analysing &amp; Interpreting · Thought — Manages complexity; Decision quality</t>
        </is>
      </c>
      <c r="R47" s="211" t="n"/>
    </row>
    <row r="48" ht="80" customHeight="1">
      <c r="A48" s="13" t="inlineStr">
        <is>
          <t>Core</t>
        </is>
      </c>
      <c r="B48" s="16" t="inlineStr">
        <is>
          <t>Communication &amp; Collaboration</t>
        </is>
      </c>
      <c r="C48" s="211" t="n"/>
      <c r="D48" s="16" t="inlineStr">
        <is>
          <t>Shares information clearly; works effectively within and across teams.</t>
        </is>
      </c>
      <c r="E48" s="212" t="n"/>
      <c r="F48" s="211" t="n"/>
      <c r="G48" s="16" t="inlineStr">
        <is>
          <t>Communicates clearly within the team</t>
        </is>
      </c>
      <c r="H48" s="211" t="n"/>
      <c r="I48" s="16" t="inlineStr">
        <is>
          <t>Explains own work clearly; cooperates across the team</t>
        </is>
      </c>
      <c r="J48" s="211" t="n"/>
      <c r="K48" s="16" t="inlineStr">
        <is>
          <t>Communicates with clients / stakeholders; collaborates across teams</t>
        </is>
      </c>
      <c r="L48" s="211" t="n"/>
      <c r="M48" s="16" t="inlineStr">
        <is>
          <t>Influences through communication; resolves conflict</t>
        </is>
      </c>
      <c r="N48" s="211" t="n"/>
      <c r="O48" s="16" t="inlineStr">
        <is>
          <t>Represents IRIS externally; builds cross-business partnerships</t>
        </is>
      </c>
      <c r="P48" s="211" t="n"/>
      <c r="Q48" s="16" t="inlineStr">
        <is>
          <t>Interacting &amp; Presenting; Supporting &amp; Co-operating · People — Communicates effectively; Collaborates · Good communicator; collaborates across the company</t>
        </is>
      </c>
      <c r="R48" s="211" t="n"/>
    </row>
    <row r="49" ht="80" customHeight="1">
      <c r="A49" s="13" t="inlineStr">
        <is>
          <t>Core</t>
        </is>
      </c>
      <c r="B49" s="16" t="inlineStr">
        <is>
          <t>Client &amp; Quality Focus</t>
        </is>
      </c>
      <c r="C49" s="211" t="n"/>
      <c r="D49" s="16" t="inlineStr">
        <is>
          <t>Understands client needs; gets it right first time; meets SLAs.</t>
        </is>
      </c>
      <c r="E49" s="212" t="n"/>
      <c r="F49" s="211" t="n"/>
      <c r="G49" s="16" t="inlineStr">
        <is>
          <t>Follows quality checklists</t>
        </is>
      </c>
      <c r="H49" s="211" t="n"/>
      <c r="I49" s="16" t="inlineStr">
        <is>
          <t>Delivers accurate work to standard and SLA</t>
        </is>
      </c>
      <c r="J49" s="211" t="n"/>
      <c r="K49" s="16" t="inlineStr">
        <is>
          <t>Anticipates client needs; prevents errors in own area</t>
        </is>
      </c>
      <c r="L49" s="211" t="n"/>
      <c r="M49" s="16" t="inlineStr">
        <is>
          <t>Sets quality standards; improves client experience for a team</t>
        </is>
      </c>
      <c r="N49" s="211" t="n"/>
      <c r="O49" s="16" t="inlineStr">
        <is>
          <t>Defines client and quality strategy for a business</t>
        </is>
      </c>
      <c r="P49" s="211" t="n"/>
      <c r="Q49" s="16" t="inlineStr">
        <is>
          <t>Organising &amp; Executing · Thought — Customer focus</t>
        </is>
      </c>
      <c r="R49" s="211" t="n"/>
    </row>
    <row r="50" ht="67" customHeight="1">
      <c r="A50" s="13" t="inlineStr">
        <is>
          <t>Core</t>
        </is>
      </c>
      <c r="B50" s="16" t="inlineStr">
        <is>
          <t>Learning Agility &amp; Adaptability</t>
        </is>
      </c>
      <c r="C50" s="211" t="n"/>
      <c r="D50" s="16" t="inlineStr">
        <is>
          <t>Learns fast, adapts to change and stays resilient under pressure.</t>
        </is>
      </c>
      <c r="E50" s="212" t="n"/>
      <c r="F50" s="211" t="n"/>
      <c r="G50" s="16" t="inlineStr">
        <is>
          <t>Learns new tasks with structured support</t>
        </is>
      </c>
      <c r="H50" s="211" t="n"/>
      <c r="I50" s="16" t="inlineStr">
        <is>
          <t>Picks up new tools and processes quickly</t>
        </is>
      </c>
      <c r="J50" s="211" t="n"/>
      <c r="K50" s="16" t="inlineStr">
        <is>
          <t>Adapts to changing priorities; learns independently</t>
        </is>
      </c>
      <c r="L50" s="211" t="n"/>
      <c r="M50" s="16" t="inlineStr">
        <is>
          <t>Leads others through change; builds team capability</t>
        </is>
      </c>
      <c r="N50" s="211" t="n"/>
      <c r="O50" s="16" t="inlineStr">
        <is>
          <t>Anticipates change; builds a learning organisation</t>
        </is>
      </c>
      <c r="P50" s="211" t="n"/>
      <c r="Q50" s="16" t="inlineStr">
        <is>
          <t>Adapting &amp; Coping · Self — Nimble learning; Situational adaptability</t>
        </is>
      </c>
      <c r="R50" s="211" t="n"/>
    </row>
    <row r="51" ht="67" customHeight="1">
      <c r="A51" s="13" t="inlineStr">
        <is>
          <t>Core</t>
        </is>
      </c>
      <c r="B51" s="16" t="inlineStr">
        <is>
          <t>Integrity, Compliance &amp; Information Security</t>
        </is>
      </c>
      <c r="C51" s="211" t="n"/>
      <c r="D51" s="16" t="inlineStr">
        <is>
          <t>Acts ethically; follows Code of Conduct, POSH, data-privacy and information-security rules.</t>
        </is>
      </c>
      <c r="E51" s="212" t="n"/>
      <c r="F51" s="211" t="n"/>
      <c r="G51" s="16" t="inlineStr">
        <is>
          <t>Knows and follows the policies</t>
        </is>
      </c>
      <c r="H51" s="211" t="n"/>
      <c r="I51" s="16" t="inlineStr">
        <is>
          <t>Applies policies consistently in own work</t>
        </is>
      </c>
      <c r="J51" s="211" t="n"/>
      <c r="K51" s="16" t="inlineStr">
        <is>
          <t>Spots and escalates compliance / security risks</t>
        </is>
      </c>
      <c r="L51" s="211" t="n"/>
      <c r="M51" s="16" t="inlineStr">
        <is>
          <t>Embeds compliance and security in team processes</t>
        </is>
      </c>
      <c r="N51" s="211" t="n"/>
      <c r="O51" s="16" t="inlineStr">
        <is>
          <t>Sets ethical and compliance standards for the business</t>
        </is>
      </c>
      <c r="P51" s="211" t="n"/>
      <c r="Q51" s="16" t="inlineStr">
        <is>
          <t>Supporting &amp; Co-operating · adhering to principles · People — Instils trust</t>
        </is>
      </c>
      <c r="R51" s="211" t="n"/>
    </row>
    <row r="52" ht="80" customHeight="1">
      <c r="A52" s="13" t="inlineStr">
        <is>
          <t>Future-ready</t>
        </is>
      </c>
      <c r="B52" s="16" t="inlineStr">
        <is>
          <t>AI Literacy &amp; Augmentation</t>
        </is>
      </c>
      <c r="C52" s="211" t="n"/>
      <c r="D52" s="16" t="inlineStr">
        <is>
          <t>Uses AI tools productively, checks their output critically and uses them responsibly.</t>
        </is>
      </c>
      <c r="E52" s="212" t="n"/>
      <c r="F52" s="211" t="n"/>
      <c r="G52" s="16" t="inlineStr">
        <is>
          <t>Aware of AI tools, their uses and risks</t>
        </is>
      </c>
      <c r="H52" s="211" t="n"/>
      <c r="I52" s="16" t="inlineStr">
        <is>
          <t>Uses approved AI tools for routine tasks and checks the output</t>
        </is>
      </c>
      <c r="J52" s="211" t="n"/>
      <c r="K52" s="16" t="inlineStr">
        <is>
          <t>Builds AI into own workflow; evaluates accuracy and bias</t>
        </is>
      </c>
      <c r="L52" s="211" t="n"/>
      <c r="M52" s="16" t="inlineStr">
        <is>
          <t>Designs AI-enabled processes for a team; sets safe-use practices</t>
        </is>
      </c>
      <c r="N52" s="211" t="n"/>
      <c r="O52" s="16" t="inlineStr">
        <is>
          <t>Leads AI strategy and governance for a function or IRIS</t>
        </is>
      </c>
      <c r="P52" s="211" t="n"/>
      <c r="Q52" s="16" t="inlineStr">
        <is>
          <t>Analysing &amp; Interpreting · Thought — Tech savvy</t>
        </is>
      </c>
      <c r="R52" s="211" t="n"/>
    </row>
    <row r="53" ht="67" customHeight="1">
      <c r="A53" s="13" t="inlineStr">
        <is>
          <t>Future-ready</t>
        </is>
      </c>
      <c r="B53" s="16" t="inlineStr">
        <is>
          <t>Data Literacy &amp; Analytics</t>
        </is>
      </c>
      <c r="C53" s="211" t="n"/>
      <c r="D53" s="16" t="inlineStr">
        <is>
          <t>Reads, questions and uses data to make decisions.</t>
        </is>
      </c>
      <c r="E53" s="212" t="n"/>
      <c r="F53" s="211" t="n"/>
      <c r="G53" s="16" t="inlineStr">
        <is>
          <t>Reads basic reports and numbers</t>
        </is>
      </c>
      <c r="H53" s="211" t="n"/>
      <c r="I53" s="16" t="inlineStr">
        <is>
          <t>Uses Excel / reports to check and present data</t>
        </is>
      </c>
      <c r="J53" s="211" t="n"/>
      <c r="K53" s="16" t="inlineStr">
        <is>
          <t>Analyses data · SQL, BI, advanced Excel to find insight</t>
        </is>
      </c>
      <c r="L53" s="211" t="n"/>
      <c r="M53" s="16" t="inlineStr">
        <is>
          <t>Defines metrics and dashboards for a team</t>
        </is>
      </c>
      <c r="N53" s="211" t="n"/>
      <c r="O53" s="16" t="inlineStr">
        <is>
          <t>Sets data strategy and data-driven decisions for a business</t>
        </is>
      </c>
      <c r="P53" s="211" t="n"/>
      <c r="Q53" s="16" t="inlineStr">
        <is>
          <t>Analysing &amp; Interpreting · Thought — Manages complexity</t>
        </is>
      </c>
      <c r="R53" s="211" t="n"/>
    </row>
    <row r="54" ht="67" customHeight="1">
      <c r="A54" s="13" t="inlineStr">
        <is>
          <t>Future-ready</t>
        </is>
      </c>
      <c r="B54" s="16" t="inlineStr">
        <is>
          <t>Digital Fluency &amp; Automation</t>
        </is>
      </c>
      <c r="C54" s="211" t="n"/>
      <c r="D54" s="16" t="inlineStr">
        <is>
          <t>Masters the digital tools of the role and automates repetitive work.</t>
        </is>
      </c>
      <c r="E54" s="212" t="n"/>
      <c r="F54" s="211" t="n"/>
      <c r="G54" s="16" t="inlineStr">
        <is>
          <t>Uses standard office and role tools</t>
        </is>
      </c>
      <c r="H54" s="211" t="n"/>
      <c r="I54" s="16" t="inlineStr">
        <is>
          <t>Uses role tools efficiently; follows digital workflows</t>
        </is>
      </c>
      <c r="J54" s="211" t="n"/>
      <c r="K54" s="16" t="inlineStr">
        <is>
          <t>Automates own repetitive work · macros, scripts, workflows</t>
        </is>
      </c>
      <c r="L54" s="211" t="n"/>
      <c r="M54" s="16" t="inlineStr">
        <is>
          <t>Automates team processes; selects tools</t>
        </is>
      </c>
      <c r="N54" s="211" t="n"/>
      <c r="O54" s="16" t="inlineStr">
        <is>
          <t>Drives digital transformation across a business</t>
        </is>
      </c>
      <c r="P54" s="211" t="n"/>
      <c r="Q54" s="16" t="inlineStr">
        <is>
          <t>Creating &amp; Conceptualising · Thought — Tech savvy</t>
        </is>
      </c>
      <c r="R54" s="211" t="n"/>
    </row>
    <row r="55" ht="54" customHeight="1">
      <c r="A55" s="13" t="inlineStr">
        <is>
          <t>Future-ready</t>
        </is>
      </c>
      <c r="B55" s="16" t="inlineStr">
        <is>
          <t>Innovation &amp; Continuous Improvement</t>
        </is>
      </c>
      <c r="C55" s="211" t="n"/>
      <c r="D55" s="16" t="inlineStr">
        <is>
          <t>Finds better ways of working and turns ideas into measurable improvements.</t>
        </is>
      </c>
      <c r="E55" s="212" t="n"/>
      <c r="F55" s="211" t="n"/>
      <c r="G55" s="16" t="inlineStr">
        <is>
          <t>Suggests small improvements</t>
        </is>
      </c>
      <c r="H55" s="211" t="n"/>
      <c r="I55" s="16" t="inlineStr">
        <is>
          <t>Improves own work methods</t>
        </is>
      </c>
      <c r="J55" s="211" t="n"/>
      <c r="K55" s="16" t="inlineStr">
        <is>
          <t>Delivers measurable improvements in own area</t>
        </is>
      </c>
      <c r="L55" s="211" t="n"/>
      <c r="M55" s="16" t="inlineStr">
        <is>
          <t>Leads improvement initiatives for a team</t>
        </is>
      </c>
      <c r="N55" s="211" t="n"/>
      <c r="O55" s="16" t="inlineStr">
        <is>
          <t>Creates new products, methods or business models</t>
        </is>
      </c>
      <c r="P55" s="211" t="n"/>
      <c r="Q55" s="16" t="inlineStr">
        <is>
          <t>Creating &amp; Conceptualising · Thought — Cultivates innovation</t>
        </is>
      </c>
      <c r="R55" s="211" t="n"/>
    </row>
    <row r="56" ht="54" customHeight="1">
      <c r="A56" s="13" t="inlineStr">
        <is>
          <t>Leadership</t>
        </is>
      </c>
      <c r="B56" s="16" t="inlineStr">
        <is>
          <t>Leading &amp; Developing People</t>
        </is>
      </c>
      <c r="C56" s="211" t="n"/>
      <c r="D56" s="16" t="inlineStr">
        <is>
          <t>Sets direction, coaches and grows people; builds capability.</t>
        </is>
      </c>
      <c r="E56" s="212" t="n"/>
      <c r="F56" s="211" t="n"/>
      <c r="G56" s="16" t="inlineStr">
        <is>
          <t>Not required</t>
        </is>
      </c>
      <c r="H56" s="211" t="n"/>
      <c r="I56" s="16" t="inlineStr">
        <is>
          <t>Guides and reviews 1–3 people · POD Lead</t>
        </is>
      </c>
      <c r="J56" s="211" t="n"/>
      <c r="K56" s="16" t="inlineStr">
        <is>
          <t>Leads a team; coaches and gives feedback</t>
        </is>
      </c>
      <c r="L56" s="211" t="n"/>
      <c r="M56" s="16" t="inlineStr">
        <is>
          <t>Leads leaders; builds bench strength</t>
        </is>
      </c>
      <c r="N56" s="211" t="n"/>
      <c r="O56" s="16" t="inlineStr">
        <is>
          <t>Builds the leadership pipeline and culture</t>
        </is>
      </c>
      <c r="P56" s="211" t="n"/>
      <c r="Q56" s="16" t="inlineStr">
        <is>
          <t>Leading &amp; Deciding · People — Develops talent; Builds effective teams · Is a good coach; supports career development; inclusive team</t>
        </is>
      </c>
      <c r="R56" s="211" t="n"/>
    </row>
    <row r="57" ht="67" customHeight="1">
      <c r="A57" s="13" t="inlineStr">
        <is>
          <t>Leadership</t>
        </is>
      </c>
      <c r="B57" s="16" t="inlineStr">
        <is>
          <t>Decision Making &amp; Delegation</t>
        </is>
      </c>
      <c r="C57" s="211" t="n"/>
      <c r="D57" s="16" t="inlineStr">
        <is>
          <t>Makes timely decisions with the right information; delegates well.</t>
        </is>
      </c>
      <c r="E57" s="212" t="n"/>
      <c r="F57" s="211" t="n"/>
      <c r="G57" s="16" t="inlineStr">
        <is>
          <t>Not required</t>
        </is>
      </c>
      <c r="H57" s="211" t="n"/>
      <c r="I57" s="16" t="inlineStr">
        <is>
          <t>Decides allocation within a pod</t>
        </is>
      </c>
      <c r="J57" s="211" t="n"/>
      <c r="K57" s="16" t="inlineStr">
        <is>
          <t>Decides team priorities and resourcing</t>
        </is>
      </c>
      <c r="L57" s="211" t="n"/>
      <c r="M57" s="16" t="inlineStr">
        <is>
          <t>Makes cross-team trade-offs; delegates authority</t>
        </is>
      </c>
      <c r="N57" s="211" t="n"/>
      <c r="O57" s="16" t="inlineStr">
        <is>
          <t>Makes enterprise / business-line decisions</t>
        </is>
      </c>
      <c r="P57" s="211" t="n"/>
      <c r="Q57" s="16" t="inlineStr">
        <is>
          <t>Leading &amp; Deciding · Results — Decision quality; Directs work · Empowers, does not micromanage; strong decision maker</t>
        </is>
      </c>
      <c r="R57" s="211" t="n"/>
    </row>
    <row r="58" ht="80" customHeight="1">
      <c r="A58" s="13" t="inlineStr">
        <is>
          <t>Leadership</t>
        </is>
      </c>
      <c r="B58" s="16" t="inlineStr">
        <is>
          <t>Strategic &amp; Business Acumen</t>
        </is>
      </c>
      <c r="C58" s="211" t="n"/>
      <c r="D58" s="16" t="inlineStr">
        <is>
          <t>Links work to business goals, finances, markets and regulation.</t>
        </is>
      </c>
      <c r="E58" s="212" t="n"/>
      <c r="F58" s="211" t="n"/>
      <c r="G58" s="16" t="inlineStr">
        <is>
          <t>Not required</t>
        </is>
      </c>
      <c r="H58" s="211" t="n"/>
      <c r="I58" s="16" t="inlineStr">
        <is>
          <t>Understands how own work drives client and business results</t>
        </is>
      </c>
      <c r="J58" s="211" t="n"/>
      <c r="K58" s="16" t="inlineStr">
        <is>
          <t>Plans team work against business goals and budgets</t>
        </is>
      </c>
      <c r="L58" s="211" t="n"/>
      <c r="M58" s="16" t="inlineStr">
        <is>
          <t>Shapes functional strategy, budget and market approach</t>
        </is>
      </c>
      <c r="N58" s="211" t="n"/>
      <c r="O58" s="16" t="inlineStr">
        <is>
          <t>Sets business strategy and P&amp;L direction</t>
        </is>
      </c>
      <c r="P58" s="211" t="n"/>
      <c r="Q58" s="16" t="inlineStr">
        <is>
          <t>Enterprising &amp; Performing · Thought — Business insight; Strategic mindset · Clear vision and strategy</t>
        </is>
      </c>
      <c r="R58" s="211" t="n"/>
    </row>
    <row r="59" ht="67" customHeight="1">
      <c r="A59" s="13" t="inlineStr">
        <is>
          <t>Leadership</t>
        </is>
      </c>
      <c r="B59" s="16" t="inlineStr">
        <is>
          <t>Influence &amp; Change Leadership</t>
        </is>
      </c>
      <c r="C59" s="211" t="n"/>
      <c r="D59" s="16" t="inlineStr">
        <is>
          <t>Builds support across stakeholders and leads change.</t>
        </is>
      </c>
      <c r="E59" s="212" t="n"/>
      <c r="F59" s="211" t="n"/>
      <c r="G59" s="16" t="inlineStr">
        <is>
          <t>Not required</t>
        </is>
      </c>
      <c r="H59" s="211" t="n"/>
      <c r="I59" s="16" t="inlineStr">
        <is>
          <t>Influences peers in own area</t>
        </is>
      </c>
      <c r="J59" s="211" t="n"/>
      <c r="K59" s="16" t="inlineStr">
        <is>
          <t>Influences across teams; leads local change</t>
        </is>
      </c>
      <c r="L59" s="211" t="n"/>
      <c r="M59" s="16" t="inlineStr">
        <is>
          <t>Influences senior stakeholders; leads function-wide change</t>
        </is>
      </c>
      <c r="N59" s="211" t="n"/>
      <c r="O59" s="16" t="inlineStr">
        <is>
          <t>Leads enterprise change; influences clients, regulators and partners</t>
        </is>
      </c>
      <c r="P59" s="211" t="n"/>
      <c r="Q59" s="16" t="inlineStr">
        <is>
          <t>Interacting &amp; Presenting · People — Persuades; Drives vision &amp; purpose · Collaborates across the company; results-oriented</t>
        </is>
      </c>
      <c r="R59" s="211" t="n"/>
    </row>
    <row r="60" ht="15" customHeight="1"/>
    <row r="61" ht="15" customHeight="1">
      <c r="A61" s="172" t="inlineStr">
        <is>
          <r>
            <rPr>
              <rFont val="Calibri"/>
              <b val="1"/>
              <i val="1"/>
              <sz val="10"/>
            </rPr>
            <t>All employees:</t>
          </r>
          <r>
            <rPr>
              <rFont val="Calibri"/>
              <i val="1"/>
              <sz val="10"/>
            </rPr>
            <t xml:space="preserve"> mandatory learning path POSH → Code of Conduct → Information Security &amp; Privacy before confirmation. Statutory roles require the qualification.</t>
          </r>
        </is>
      </c>
    </row>
    <row r="62" ht="15" customHeight="1"/>
    <row r="63" ht="20" customHeight="1">
      <c r="A63" s="6" t="inlineStr">
        <is>
          <t>D. Department capability frameworks</t>
        </is>
      </c>
    </row>
    <row r="64" ht="20" customHeight="1">
      <c r="A64" s="173" t="inlineStr">
        <is>
          <t>IT &amp; Infrastructure — 14 people · Technology &amp; engineering · levels A3–B2</t>
        </is>
      </c>
    </row>
    <row r="65" ht="15" customHeight="1">
      <c r="A65" s="17" t="inlineStr">
        <is>
          <t>Job families: IT &amp; Infrastructure · Engineering &amp; Development</t>
        </is>
      </c>
    </row>
    <row r="66" ht="15" customHeight="1">
      <c r="A66" s="12" t="inlineStr">
        <is>
          <t>Capability health today · indicative, from survey + KRAs</t>
        </is>
      </c>
      <c r="B66" s="212" t="n"/>
      <c r="C66" s="212" t="n"/>
      <c r="D66" s="212" t="n"/>
      <c r="E66" s="211" t="n"/>
      <c r="F66" s="12" t="inlineStr">
        <is>
          <t>Result</t>
        </is>
      </c>
      <c r="G66" s="212" t="n"/>
      <c r="H66" s="212" t="n"/>
      <c r="I66" s="212" t="n"/>
      <c r="J66" s="212" t="n"/>
      <c r="K66" s="212" t="n"/>
      <c r="L66" s="212" t="n"/>
      <c r="M66" s="212" t="n"/>
      <c r="N66" s="212" t="n"/>
      <c r="O66" s="212" t="n"/>
      <c r="P66" s="212" t="n"/>
      <c r="Q66" s="212" t="n"/>
      <c r="R66" s="211" t="n"/>
    </row>
    <row r="67" ht="15" customHeight="1">
      <c r="A67" s="13" t="inlineStr">
        <is>
          <t>People assessed · meet or exceed their level</t>
        </is>
      </c>
      <c r="B67" s="212" t="n"/>
      <c r="C67" s="212" t="n"/>
      <c r="D67" s="212" t="n"/>
      <c r="E67" s="211" t="n"/>
      <c r="F67" s="16" t="inlineStr">
        <is>
          <t>12 · 6</t>
        </is>
      </c>
      <c r="G67" s="212" t="n"/>
      <c r="H67" s="212" t="n"/>
      <c r="I67" s="212" t="n"/>
      <c r="J67" s="212" t="n"/>
      <c r="K67" s="212" t="n"/>
      <c r="L67" s="212" t="n"/>
      <c r="M67" s="212" t="n"/>
      <c r="N67" s="212" t="n"/>
      <c r="O67" s="212" t="n"/>
      <c r="P67" s="212" t="n"/>
      <c r="Q67" s="212" t="n"/>
      <c r="R67" s="211" t="n"/>
    </row>
    <row r="68" ht="15" customHeight="1">
      <c r="A68" s="13" t="inlineStr">
        <is>
          <t>Average index · Core · Future-ready · Functional · Leadership · % of required</t>
        </is>
      </c>
      <c r="B68" s="212" t="n"/>
      <c r="C68" s="212" t="n"/>
      <c r="D68" s="212" t="n"/>
      <c r="E68" s="211" t="n"/>
      <c r="F68" s="16" t="inlineStr">
        <is>
          <t>86% · 91% · 71% · 89% · 96%</t>
        </is>
      </c>
      <c r="G68" s="212" t="n"/>
      <c r="H68" s="212" t="n"/>
      <c r="I68" s="212" t="n"/>
      <c r="J68" s="212" t="n"/>
      <c r="K68" s="212" t="n"/>
      <c r="L68" s="212" t="n"/>
      <c r="M68" s="212" t="n"/>
      <c r="N68" s="212" t="n"/>
      <c r="O68" s="212" t="n"/>
      <c r="P68" s="212" t="n"/>
      <c r="Q68" s="212" t="n"/>
      <c r="R68" s="211" t="n"/>
    </row>
    <row r="69" ht="15" customHeight="1">
      <c r="A69" s="13" t="inlineStr">
        <is>
          <t>Most common competency gaps · people</t>
        </is>
      </c>
      <c r="B69" s="212" t="n"/>
      <c r="C69" s="212" t="n"/>
      <c r="D69" s="212" t="n"/>
      <c r="E69" s="211" t="n"/>
      <c r="F69" s="16" t="inlineStr">
        <is>
          <t>Prioritisation · Quality &amp; process · AI / GenAI · Stakeholder mgmt · Cloud &amp; DevOps · Programming &amp; stack</t>
        </is>
      </c>
      <c r="G69" s="212" t="n"/>
      <c r="H69" s="212" t="n"/>
      <c r="I69" s="212" t="n"/>
      <c r="J69" s="212" t="n"/>
      <c r="K69" s="212" t="n"/>
      <c r="L69" s="212" t="n"/>
      <c r="M69" s="212" t="n"/>
      <c r="N69" s="212" t="n"/>
      <c r="O69" s="212" t="n"/>
      <c r="P69" s="212" t="n"/>
      <c r="Q69" s="212" t="n"/>
      <c r="R69" s="211" t="n"/>
    </row>
    <row r="70" ht="28" customHeight="1">
      <c r="A70" s="13" t="inlineStr">
        <is>
          <t>Role-based development priorities · people</t>
        </is>
      </c>
      <c r="B70" s="212" t="n"/>
      <c r="C70" s="212" t="n"/>
      <c r="D70" s="212" t="n"/>
      <c r="E70" s="211" t="n"/>
      <c r="F70" s="16" t="inlineStr">
        <is>
          <t>Cybersecurity &amp; Infrastructure · Cloud, DevOps &amp; CI/CD · Project, Program &amp; Agile Management · AI, GenAI &amp; Prompt Engineering · Regulatory &amp; BFSI Domain · IT.INF-F: cloud/server administration</t>
        </is>
      </c>
      <c r="G70" s="212" t="n"/>
      <c r="H70" s="212" t="n"/>
      <c r="I70" s="212" t="n"/>
      <c r="J70" s="212" t="n"/>
      <c r="K70" s="212" t="n"/>
      <c r="L70" s="212" t="n"/>
      <c r="M70" s="212" t="n"/>
      <c r="N70" s="212" t="n"/>
      <c r="O70" s="212" t="n"/>
      <c r="P70" s="212" t="n"/>
      <c r="Q70" s="212" t="n"/>
      <c r="R70" s="211" t="n"/>
    </row>
    <row r="71" ht="15" customHeight="1">
      <c r="A71" s="13" t="inlineStr">
        <is>
          <t>Manager-identified training themes</t>
        </is>
      </c>
      <c r="B71" s="212" t="n"/>
      <c r="C71" s="212" t="n"/>
      <c r="D71" s="212" t="n"/>
      <c r="E71" s="211" t="n"/>
      <c r="F71" s="16" t="inlineStr">
        <is>
          <t>—</t>
        </is>
      </c>
      <c r="G71" s="212" t="n"/>
      <c r="H71" s="212" t="n"/>
      <c r="I71" s="212" t="n"/>
      <c r="J71" s="212" t="n"/>
      <c r="K71" s="212" t="n"/>
      <c r="L71" s="212" t="n"/>
      <c r="M71" s="212" t="n"/>
      <c r="N71" s="212" t="n"/>
      <c r="O71" s="212" t="n"/>
      <c r="P71" s="212" t="n"/>
      <c r="Q71" s="212" t="n"/>
      <c r="R71" s="211" t="n"/>
    </row>
    <row r="72" ht="15" customHeight="1">
      <c r="A72" s="13" t="inlineStr">
        <is>
          <t>What helped people learn · survey</t>
        </is>
      </c>
      <c r="B72" s="212" t="n"/>
      <c r="C72" s="212" t="n"/>
      <c r="D72" s="212" t="n"/>
      <c r="E72" s="211" t="n"/>
      <c r="F72" s="16" t="inlineStr">
        <is>
          <t>On-the-job / hands-on · Formal / classroom training · Mentoring / guidance from seniors · Certification</t>
        </is>
      </c>
      <c r="G72" s="212" t="n"/>
      <c r="H72" s="212" t="n"/>
      <c r="I72" s="212" t="n"/>
      <c r="J72" s="212" t="n"/>
      <c r="K72" s="212" t="n"/>
      <c r="L72" s="212" t="n"/>
      <c r="M72" s="212" t="n"/>
      <c r="N72" s="212" t="n"/>
      <c r="O72" s="212" t="n"/>
      <c r="P72" s="212" t="n"/>
      <c r="Q72" s="212" t="n"/>
      <c r="R72" s="211" t="n"/>
    </row>
    <row r="73" ht="15" customHeight="1">
      <c r="A73" s="13" t="inlineStr">
        <is>
          <t>How the work is changing</t>
        </is>
      </c>
      <c r="B73" s="212" t="n"/>
      <c r="C73" s="212" t="n"/>
      <c r="D73" s="212" t="n"/>
      <c r="E73" s="211" t="n"/>
      <c r="F73" s="16" t="inlineStr">
        <is>
          <t>7 of 12 say the role is changing because of AI / automation</t>
        </is>
      </c>
      <c r="G73" s="212" t="n"/>
      <c r="H73" s="212" t="n"/>
      <c r="I73" s="212" t="n"/>
      <c r="J73" s="212" t="n"/>
      <c r="K73" s="212" t="n"/>
      <c r="L73" s="212" t="n"/>
      <c r="M73" s="212" t="n"/>
      <c r="N73" s="212" t="n"/>
      <c r="O73" s="212" t="n"/>
      <c r="P73" s="212" t="n"/>
      <c r="Q73" s="212" t="n"/>
      <c r="R73" s="211" t="n"/>
    </row>
    <row r="74" ht="15" customHeight="1">
      <c r="A74" s="13" t="inlineStr">
        <is>
          <t>Lateral moves the evidence supports · people</t>
        </is>
      </c>
      <c r="B74" s="212" t="n"/>
      <c r="C74" s="212" t="n"/>
      <c r="D74" s="212" t="n"/>
      <c r="E74" s="211" t="n"/>
      <c r="F74" s="16" t="inlineStr">
        <is>
          <t>No strong match yet</t>
        </is>
      </c>
      <c r="G74" s="212" t="n"/>
      <c r="H74" s="212" t="n"/>
      <c r="I74" s="212" t="n"/>
      <c r="J74" s="212" t="n"/>
      <c r="K74" s="212" t="n"/>
      <c r="L74" s="212" t="n"/>
      <c r="M74" s="212" t="n"/>
      <c r="N74" s="212" t="n"/>
      <c r="O74" s="212" t="n"/>
      <c r="P74" s="212" t="n"/>
      <c r="Q74" s="212" t="n"/>
      <c r="R74" s="211" t="n"/>
    </row>
    <row r="75" ht="15" customHeight="1"/>
    <row r="76" ht="28" customHeight="1">
      <c r="A76" s="12" t="inlineStr">
        <is>
          <t>Cluster</t>
        </is>
      </c>
      <c r="B76" s="12" t="inlineStr">
        <is>
          <t>Competency · ★ = must-have</t>
        </is>
      </c>
      <c r="C76" s="12" t="inlineStr">
        <is>
          <t>Definition</t>
        </is>
      </c>
      <c r="D76" s="12" t="inlineStr">
        <is>
          <t>Must-have for</t>
        </is>
      </c>
      <c r="E76" s="12" t="inlineStr">
        <is>
          <t>A1</t>
        </is>
      </c>
      <c r="F76" s="12" t="inlineStr">
        <is>
          <t>A2</t>
        </is>
      </c>
      <c r="G76" s="12" t="inlineStr">
        <is>
          <t>A3</t>
        </is>
      </c>
      <c r="H76" s="12" t="inlineStr">
        <is>
          <t>B1</t>
        </is>
      </c>
      <c r="I76" s="12" t="inlineStr">
        <is>
          <t>B2</t>
        </is>
      </c>
      <c r="J76" s="12" t="inlineStr">
        <is>
          <t>B3</t>
        </is>
      </c>
      <c r="K76" s="12" t="inlineStr">
        <is>
          <t>B+</t>
        </is>
      </c>
      <c r="L76" s="12" t="inlineStr">
        <is>
          <t>C1</t>
        </is>
      </c>
      <c r="M76" s="12" t="inlineStr">
        <is>
          <t>C2</t>
        </is>
      </c>
      <c r="N76" s="12" t="inlineStr">
        <is>
          <t>C+</t>
        </is>
      </c>
      <c r="O76" s="12" t="inlineStr">
        <is>
          <t>D1</t>
        </is>
      </c>
      <c r="P76" s="12" t="inlineStr">
        <is>
          <t>What good looks like · by proficiency</t>
        </is>
      </c>
      <c r="Q76" s="12" t="inlineStr">
        <is>
          <t>What IRIS top performers do · survey</t>
        </is>
      </c>
      <c r="R76" s="12" t="inlineStr">
        <is>
          <t>How to assess</t>
        </is>
      </c>
      <c r="S76" s="12" t="inlineStr">
        <is>
          <t>Credentials</t>
        </is>
      </c>
      <c r="T76" s="12" t="inlineStr">
        <is>
          <t>Reference</t>
        </is>
      </c>
    </row>
    <row r="77" ht="67" customHeight="1">
      <c r="A77" s="174" t="inlineStr">
        <is>
          <t>Functional</t>
        </is>
      </c>
      <c r="B77" s="174" t="inlineStr">
        <is>
          <t>★ Cybersecurity &amp; Infrastructure</t>
        </is>
      </c>
      <c r="C77" s="174" t="inlineStr">
        <is>
          <t>Runs secure servers, networks, endpoints and access.</t>
        </is>
      </c>
      <c r="D77" s="174" t="inlineStr">
        <is>
          <t>IT &amp; Infrastructure</t>
        </is>
      </c>
      <c r="E77" s="175" t="n">
        <v>1</v>
      </c>
      <c r="F77" s="175" t="n">
        <v>2</v>
      </c>
      <c r="G77" s="175" t="n">
        <v>3</v>
      </c>
      <c r="H77" s="175" t="n">
        <v>3</v>
      </c>
      <c r="I77" s="175" t="n">
        <v>4</v>
      </c>
      <c r="J77" s="175" t="n">
        <v>4</v>
      </c>
      <c r="K77" s="175" t="n">
        <v>4</v>
      </c>
      <c r="L77" s="175" t="n">
        <v>4</v>
      </c>
      <c r="M77" s="175" t="n">
        <v>5</v>
      </c>
      <c r="N77" s="175" t="n">
        <v>5</v>
      </c>
      <c r="O77" s="175" t="n">
        <v>4</v>
      </c>
      <c r="P77" s="174" t="inlineStr">
        <is>
          <t>3 · Administers secure servers, networks and access
4 · Designs secure infrastructure; leads audits and incident response</t>
        </is>
      </c>
      <c r="Q77" s="174" t="inlineStr">
        <is>
          <t>—</t>
        </is>
      </c>
      <c r="R77" s="174" t="inlineStr">
        <is>
          <t>Practical task</t>
        </is>
      </c>
      <c r="S77" s="174" t="inlineStr">
        <is>
          <t>Microsoft / CCNA / ISO 27001 / ITIL</t>
        </is>
      </c>
      <c r="T77" s="174" t="inlineStr">
        <is>
          <t>Family set</t>
        </is>
      </c>
    </row>
    <row r="78" ht="54" customHeight="1">
      <c r="A78" s="174" t="inlineStr">
        <is>
          <t>Functional</t>
        </is>
      </c>
      <c r="B78" s="174" t="inlineStr">
        <is>
          <t>★ Cloud, DevOps &amp; CI/CD</t>
        </is>
      </c>
      <c r="C78" s="174" t="inlineStr">
        <is>
          <t>Builds, deploys and runs software through pipelines and cloud platforms.</t>
        </is>
      </c>
      <c r="D78" s="174" t="inlineStr">
        <is>
          <t>IT &amp; Infrastructure</t>
        </is>
      </c>
      <c r="E78" s="175" t="n">
        <v>1</v>
      </c>
      <c r="F78" s="175" t="n">
        <v>2</v>
      </c>
      <c r="G78" s="175" t="n">
        <v>3</v>
      </c>
      <c r="H78" s="175" t="n">
        <v>3</v>
      </c>
      <c r="I78" s="175" t="n">
        <v>4</v>
      </c>
      <c r="J78" s="175" t="n">
        <v>4</v>
      </c>
      <c r="K78" s="175" t="n">
        <v>4</v>
      </c>
      <c r="L78" s="175" t="n">
        <v>4</v>
      </c>
      <c r="M78" s="175" t="n">
        <v>5</v>
      </c>
      <c r="N78" s="175" t="n">
        <v>5</v>
      </c>
      <c r="O78" s="175" t="n">
        <v>4</v>
      </c>
      <c r="P78" s="174" t="inlineStr">
        <is>
          <t>3 · Builds and runs CI/CD pipelines and environments
4 · Designs platform, monitoring and release strategy</t>
        </is>
      </c>
      <c r="Q78" s="174" t="inlineStr">
        <is>
          <t>—</t>
        </is>
      </c>
      <c r="R78" s="174" t="inlineStr">
        <is>
          <t>Practical task</t>
        </is>
      </c>
      <c r="S78" s="174" t="inlineStr">
        <is>
          <t>AWS / Azure / Kubernetes certifications</t>
        </is>
      </c>
      <c r="T78" s="174" t="inlineStr">
        <is>
          <t>Family set</t>
        </is>
      </c>
    </row>
    <row r="79" ht="67" customHeight="1">
      <c r="A79" s="174" t="inlineStr">
        <is>
          <t>Functional</t>
        </is>
      </c>
      <c r="B79" s="174" t="inlineStr">
        <is>
          <t>Process Improvement &amp; Quality Mindset</t>
        </is>
      </c>
      <c r="C79" s="174" t="inlineStr">
        <is>
          <t>Gets it right first time; improves processes and checklists.</t>
        </is>
      </c>
      <c r="D79" s="174" t="inlineStr">
        <is>
          <t>—</t>
        </is>
      </c>
      <c r="E79" s="175" t="n">
        <v>1</v>
      </c>
      <c r="F79" s="175" t="n">
        <v>2</v>
      </c>
      <c r="G79" s="175" t="n">
        <v>3</v>
      </c>
      <c r="H79" s="175" t="n">
        <v>3</v>
      </c>
      <c r="I79" s="175" t="n">
        <v>4</v>
      </c>
      <c r="J79" s="175" t="n">
        <v>4</v>
      </c>
      <c r="K79" s="175" t="n">
        <v>4</v>
      </c>
      <c r="L79" s="175" t="n">
        <v>4</v>
      </c>
      <c r="M79" s="175" t="n">
        <v>5</v>
      </c>
      <c r="N79" s="175" t="n">
        <v>5</v>
      </c>
      <c r="O79" s="175" t="n">
        <v>4</v>
      </c>
      <c r="P79" s="174" t="inlineStr">
        <is>
          <t>3 · Delivers right-first-time; improves own checklists
4 · Redesigns team processes; reduces error rates measurably</t>
        </is>
      </c>
      <c r="Q79" s="174" t="inlineStr">
        <is>
          <t>—</t>
        </is>
      </c>
      <c r="R79" s="174" t="inlineStr">
        <is>
          <t>Work sample / case</t>
        </is>
      </c>
      <c r="S79" s="174" t="inlineStr">
        <is>
          <t>Lean / Six Sigma · optional</t>
        </is>
      </c>
      <c r="T79" s="174" t="inlineStr">
        <is>
          <t>Family set</t>
        </is>
      </c>
    </row>
    <row r="80" ht="67" customHeight="1">
      <c r="A80" s="174" t="inlineStr">
        <is>
          <t>Functional</t>
        </is>
      </c>
      <c r="B80" s="174" t="inlineStr">
        <is>
          <t>Stakeholder &amp; Client Management</t>
        </is>
      </c>
      <c r="C80" s="174" t="inlineStr">
        <is>
          <t>Manages clients and stakeholders; handles changing requests.</t>
        </is>
      </c>
      <c r="D80" s="174" t="inlineStr">
        <is>
          <t>—</t>
        </is>
      </c>
      <c r="E80" s="175" t="n">
        <v>1</v>
      </c>
      <c r="F80" s="175" t="n">
        <v>2</v>
      </c>
      <c r="G80" s="175" t="n">
        <v>3</v>
      </c>
      <c r="H80" s="175" t="n">
        <v>3</v>
      </c>
      <c r="I80" s="175" t="n">
        <v>4</v>
      </c>
      <c r="J80" s="175" t="n">
        <v>4</v>
      </c>
      <c r="K80" s="175" t="n">
        <v>4</v>
      </c>
      <c r="L80" s="175" t="n">
        <v>4</v>
      </c>
      <c r="M80" s="175" t="n">
        <v>5</v>
      </c>
      <c r="N80" s="175" t="n">
        <v>5</v>
      </c>
      <c r="O80" s="175" t="n">
        <v>4</v>
      </c>
      <c r="P80" s="174" t="inlineStr">
        <is>
          <t>3 · Manages client communication and expectations for own work
4 · Owns key relationships; resolves escalations</t>
        </is>
      </c>
      <c r="Q80" s="174" t="inlineStr">
        <is>
          <t>—</t>
        </is>
      </c>
      <c r="R80" s="174" t="inlineStr">
        <is>
          <t>Role play / behavioural interview</t>
        </is>
      </c>
      <c r="S80" s="174" t="inlineStr">
        <is>
          <t>—</t>
        </is>
      </c>
      <c r="T80" s="174" t="inlineStr">
        <is>
          <t>Family set</t>
        </is>
      </c>
    </row>
    <row r="81" ht="54" customHeight="1">
      <c r="A81" s="174" t="inlineStr">
        <is>
          <t>Functional</t>
        </is>
      </c>
      <c r="B81" s="174" t="inlineStr">
        <is>
          <t>Time, Priority &amp; Self-Management</t>
        </is>
      </c>
      <c r="C81" s="174" t="inlineStr">
        <is>
          <t>Manages volume, deadlines and priorities.</t>
        </is>
      </c>
      <c r="D81" s="174" t="inlineStr">
        <is>
          <t>—</t>
        </is>
      </c>
      <c r="E81" s="175" t="n">
        <v>1</v>
      </c>
      <c r="F81" s="175" t="n">
        <v>2</v>
      </c>
      <c r="G81" s="175" t="n">
        <v>3</v>
      </c>
      <c r="H81" s="175" t="n">
        <v>3</v>
      </c>
      <c r="I81" s="175" t="n">
        <v>4</v>
      </c>
      <c r="J81" s="175" t="n">
        <v>4</v>
      </c>
      <c r="K81" s="175" t="n">
        <v>4</v>
      </c>
      <c r="L81" s="175" t="n">
        <v>4</v>
      </c>
      <c r="M81" s="175" t="n">
        <v>5</v>
      </c>
      <c r="N81" s="175" t="n">
        <v>5</v>
      </c>
      <c r="O81" s="175" t="n">
        <v>4</v>
      </c>
      <c r="P81" s="174" t="inlineStr">
        <is>
          <t>3 · Manages volume and deadlines without slippage
4 · Plans team capacity and peak-season loads</t>
        </is>
      </c>
      <c r="Q81" s="174" t="inlineStr">
        <is>
          <t>—</t>
        </is>
      </c>
      <c r="R81" s="174" t="inlineStr">
        <is>
          <t>Behavioural interview</t>
        </is>
      </c>
      <c r="S81" s="174" t="inlineStr">
        <is>
          <t>—</t>
        </is>
      </c>
      <c r="T81" s="174" t="inlineStr">
        <is>
          <t>Family set</t>
        </is>
      </c>
    </row>
    <row r="82" ht="67" customHeight="1">
      <c r="A82" s="174" t="inlineStr">
        <is>
          <t>Functional</t>
        </is>
      </c>
      <c r="B82" s="174" t="inlineStr">
        <is>
          <t>AI, GenAI &amp; Prompt Engineering</t>
        </is>
      </c>
      <c r="C82" s="174" t="inlineStr">
        <is>
          <t>Uses or builds AI and LLM solutions to improve products and work.</t>
        </is>
      </c>
      <c r="D82" s="174" t="inlineStr">
        <is>
          <t>—</t>
        </is>
      </c>
      <c r="E82" s="175" t="n">
        <v>1</v>
      </c>
      <c r="F82" s="175" t="n">
        <v>2</v>
      </c>
      <c r="G82" s="175" t="n">
        <v>3</v>
      </c>
      <c r="H82" s="175" t="n">
        <v>3</v>
      </c>
      <c r="I82" s="175" t="n">
        <v>4</v>
      </c>
      <c r="J82" s="175" t="n">
        <v>4</v>
      </c>
      <c r="K82" s="175" t="n">
        <v>4</v>
      </c>
      <c r="L82" s="175" t="n">
        <v>4</v>
      </c>
      <c r="M82" s="175" t="n">
        <v>5</v>
      </c>
      <c r="N82" s="175" t="n">
        <v>5</v>
      </c>
      <c r="O82" s="175" t="n">
        <v>4</v>
      </c>
      <c r="P82" s="174" t="inlineStr">
        <is>
          <t>3 · Uses AI / LLM tools in own work and validates output
4 · Builds AI features or AI-enabled processes; sets safe-use practice</t>
        </is>
      </c>
      <c r="Q82" s="174" t="inlineStr">
        <is>
          <t>—</t>
        </is>
      </c>
      <c r="R82" s="174" t="inlineStr">
        <is>
          <t>Work sample / portfolio</t>
        </is>
      </c>
      <c r="S82" s="174" t="inlineStr">
        <is>
          <t>Vendor AI certifications · optional</t>
        </is>
      </c>
      <c r="T82" s="174" t="inlineStr">
        <is>
          <t>Family set</t>
        </is>
      </c>
    </row>
    <row r="83" ht="67" customHeight="1">
      <c r="A83" s="174" t="inlineStr">
        <is>
          <t>Functional</t>
        </is>
      </c>
      <c r="B83" s="174" t="inlineStr">
        <is>
          <t>★ Programming &amp; Tech-Stack Depth</t>
        </is>
      </c>
      <c r="C83" s="174" t="inlineStr">
        <is>
          <t>Builds and maintains quality code in the team's stack ·.NET, Java, Python, Angular / React.</t>
        </is>
      </c>
      <c r="D83" s="174" t="inlineStr">
        <is>
          <t>Engineering &amp; Development</t>
        </is>
      </c>
      <c r="E83" s="175" t="n">
        <v>1</v>
      </c>
      <c r="F83" s="175" t="n">
        <v>2</v>
      </c>
      <c r="G83" s="175" t="n">
        <v>3</v>
      </c>
      <c r="H83" s="175" t="n">
        <v>3</v>
      </c>
      <c r="I83" s="175" t="n">
        <v>4</v>
      </c>
      <c r="J83" s="175" t="n">
        <v>4</v>
      </c>
      <c r="K83" s="175" t="n">
        <v>4</v>
      </c>
      <c r="L83" s="175" t="n">
        <v>4</v>
      </c>
      <c r="M83" s="175" t="n">
        <v>5</v>
      </c>
      <c r="N83" s="175" t="n">
        <v>5</v>
      </c>
      <c r="O83" s="175" t="n">
        <v>4</v>
      </c>
      <c r="P83" s="174" t="inlineStr">
        <is>
          <t>3 · Builds features with clean, tested code
4 · Sets coding standards; solves performance and design issues across modules</t>
        </is>
      </c>
      <c r="Q83" s="174" t="inlineStr">
        <is>
          <t>angular, coding, java, .net, spring</t>
        </is>
      </c>
      <c r="R83" s="174" t="inlineStr">
        <is>
          <t>Coding test + code review</t>
        </is>
      </c>
      <c r="S83" s="174" t="inlineStr">
        <is>
          <t>Cloud / language certifications · optional</t>
        </is>
      </c>
      <c r="T83" s="174" t="inlineStr">
        <is>
          <t>Family set</t>
        </is>
      </c>
    </row>
    <row r="84" ht="67" customHeight="1">
      <c r="A84" s="174" t="inlineStr">
        <is>
          <t>Functional</t>
        </is>
      </c>
      <c r="B84" s="174" t="inlineStr">
        <is>
          <t>★ System Design &amp; Architecture</t>
        </is>
      </c>
      <c r="C84" s="174" t="inlineStr">
        <is>
          <t>Designs components, integrations and scalable, secure solutions.</t>
        </is>
      </c>
      <c r="D84" s="174" t="inlineStr">
        <is>
          <t>Engineering &amp; Development</t>
        </is>
      </c>
      <c r="E84" s="175" t="n">
        <v>1</v>
      </c>
      <c r="F84" s="175" t="n">
        <v>2</v>
      </c>
      <c r="G84" s="175" t="n">
        <v>3</v>
      </c>
      <c r="H84" s="175" t="n">
        <v>3</v>
      </c>
      <c r="I84" s="175" t="n">
        <v>4</v>
      </c>
      <c r="J84" s="175" t="n">
        <v>4</v>
      </c>
      <c r="K84" s="175" t="n">
        <v>4</v>
      </c>
      <c r="L84" s="175" t="n">
        <v>4</v>
      </c>
      <c r="M84" s="175" t="n">
        <v>5</v>
      </c>
      <c r="N84" s="175" t="n">
        <v>5</v>
      </c>
      <c r="O84" s="175" t="n">
        <v>4</v>
      </c>
      <c r="P84" s="174" t="inlineStr">
        <is>
          <t>3 · Designs components and integrations for a module
4 · Designs scalable, secure solutions across products; reviews designs</t>
        </is>
      </c>
      <c r="Q84" s="174" t="inlineStr">
        <is>
          <t>architect, scalability, solution design, system design</t>
        </is>
      </c>
      <c r="R84" s="174" t="inlineStr">
        <is>
          <t>System-design interview / design review</t>
        </is>
      </c>
      <c r="S84" s="174" t="inlineStr">
        <is>
          <t>AWS / Azure architect · optional</t>
        </is>
      </c>
      <c r="T84" s="174" t="inlineStr">
        <is>
          <t>Family set</t>
        </is>
      </c>
    </row>
    <row r="85" ht="54" customHeight="1">
      <c r="A85" s="174" t="inlineStr">
        <is>
          <t>Functional</t>
        </is>
      </c>
      <c r="B85" s="174" t="inlineStr">
        <is>
          <t>Database, SQL &amp; Data Engineering</t>
        </is>
      </c>
      <c r="C85" s="174" t="inlineStr">
        <is>
          <t>Writes and tunes SQL, data models and ETL.</t>
        </is>
      </c>
      <c r="D85" s="174" t="inlineStr">
        <is>
          <t>—</t>
        </is>
      </c>
      <c r="E85" s="175" t="n">
        <v>1</v>
      </c>
      <c r="F85" s="175" t="n">
        <v>2</v>
      </c>
      <c r="G85" s="175" t="n">
        <v>3</v>
      </c>
      <c r="H85" s="175" t="n">
        <v>3</v>
      </c>
      <c r="I85" s="175" t="n">
        <v>4</v>
      </c>
      <c r="J85" s="175" t="n">
        <v>4</v>
      </c>
      <c r="K85" s="175" t="n">
        <v>4</v>
      </c>
      <c r="L85" s="175" t="n">
        <v>4</v>
      </c>
      <c r="M85" s="175" t="n">
        <v>5</v>
      </c>
      <c r="N85" s="175" t="n">
        <v>5</v>
      </c>
      <c r="O85" s="175" t="n">
        <v>4</v>
      </c>
      <c r="P85" s="174" t="inlineStr">
        <is>
          <t>3 · Writes and tunes queries, procedures and ETL
4 · Designs data models and pipelines; optimises at scale</t>
        </is>
      </c>
      <c r="Q85" s="174" t="inlineStr">
        <is>
          <t>database, SQL, ssis, oracle, query</t>
        </is>
      </c>
      <c r="R85" s="174" t="inlineStr">
        <is>
          <t>SQL test / case</t>
        </is>
      </c>
      <c r="S85" s="174" t="inlineStr">
        <is>
          <t>Database certifications · optional</t>
        </is>
      </c>
      <c r="T85" s="174" t="inlineStr">
        <is>
          <t>Family set</t>
        </is>
      </c>
    </row>
    <row r="86" ht="54" customHeight="1">
      <c r="A86" s="174" t="inlineStr">
        <is>
          <t>Functional</t>
        </is>
      </c>
      <c r="B86" s="174" t="inlineStr">
        <is>
          <t>Product, Platform &amp; Domain Knowledge</t>
        </is>
      </c>
      <c r="C86" s="174" t="inlineStr">
        <is>
          <t>Knows IRIS products, platforms and the client's domain.</t>
        </is>
      </c>
      <c r="D86" s="174" t="inlineStr">
        <is>
          <t>—</t>
        </is>
      </c>
      <c r="E86" s="175" t="n">
        <v>1</v>
      </c>
      <c r="F86" s="175" t="n">
        <v>2</v>
      </c>
      <c r="G86" s="175" t="n">
        <v>3</v>
      </c>
      <c r="H86" s="175" t="n">
        <v>3</v>
      </c>
      <c r="I86" s="175" t="n">
        <v>4</v>
      </c>
      <c r="J86" s="175" t="n">
        <v>4</v>
      </c>
      <c r="K86" s="175" t="n">
        <v>4</v>
      </c>
      <c r="L86" s="175" t="n">
        <v>4</v>
      </c>
      <c r="M86" s="175" t="n">
        <v>5</v>
      </c>
      <c r="N86" s="175" t="n">
        <v>5</v>
      </c>
      <c r="O86" s="175" t="n">
        <v>4</v>
      </c>
      <c r="P86" s="174" t="inlineStr">
        <is>
          <t>3 · Handles most product and domain scenarios
4 · Recognised product / domain expert; trains others</t>
        </is>
      </c>
      <c r="Q86" s="174" t="inlineStr">
        <is>
          <t>product, module, functional knowledge</t>
        </is>
      </c>
      <c r="R86" s="174" t="inlineStr">
        <is>
          <t>Scenario interview</t>
        </is>
      </c>
      <c r="S86" s="174" t="inlineStr">
        <is>
          <t>Internal product certification</t>
        </is>
      </c>
      <c r="T86" s="174" t="inlineStr">
        <is>
          <t>Family set</t>
        </is>
      </c>
    </row>
    <row r="87" ht="119" customHeight="1">
      <c r="A87" s="120" t="inlineStr">
        <is>
          <t>Department technical</t>
        </is>
      </c>
      <c r="B87" s="120" t="inlineStr">
        <is>
          <t>Network &amp; Systems Administration</t>
        </is>
      </c>
      <c r="C87" s="120" t="inlineStr">
        <is>
          <t>Runs servers, networks, directory and endpoints reliably.</t>
        </is>
      </c>
      <c r="D87" s="120" t="inlineStr">
        <is>
          <t>Department</t>
        </is>
      </c>
      <c r="E87" s="176" t="n">
        <v>1</v>
      </c>
      <c r="F87" s="176" t="n">
        <v>2</v>
      </c>
      <c r="G87" s="176" t="n">
        <v>3</v>
      </c>
      <c r="H87" s="176" t="n">
        <v>3</v>
      </c>
      <c r="I87" s="176" t="n">
        <v>4</v>
      </c>
      <c r="J87" s="176" t="n">
        <v>4</v>
      </c>
      <c r="K87" s="176" t="n">
        <v>4</v>
      </c>
      <c r="L87" s="176" t="n">
        <v>4</v>
      </c>
      <c r="M87" s="176" t="n">
        <v>5</v>
      </c>
      <c r="N87" s="176" t="n">
        <v>5</v>
      </c>
      <c r="O87" s="176" t="n">
        <v>4</v>
      </c>
      <c r="P87" s="120" t="inlineStr">
        <is>
          <t>1–2 · Handles routine admin tasks with runbooks
3 · Administers servers, AD, firewalls and backups
4 · Designs network and server architecture; capacity planning
5 · Sets infrastructure strategy</t>
        </is>
      </c>
      <c r="Q87" s="120" t="inlineStr">
        <is>
          <t>To be rated next cycle</t>
        </is>
      </c>
      <c r="R87" s="120" t="inlineStr">
        <is>
          <t>Practical task</t>
        </is>
      </c>
      <c r="S87" s="120" t="inlineStr">
        <is>
          <t>Microsoft / CCNA / Red Hat</t>
        </is>
      </c>
      <c r="T87" s="120" t="inlineStr">
        <is>
          <t>SFIA 9 — Infrastructure operations</t>
        </is>
      </c>
    </row>
    <row r="88" ht="93" customHeight="1">
      <c r="A88" s="120" t="inlineStr">
        <is>
          <t>Department technical</t>
        </is>
      </c>
      <c r="B88" s="120" t="inlineStr">
        <is>
          <t>End-User Support &amp; Service Desk · ITIL 4</t>
        </is>
      </c>
      <c r="C88" s="120" t="inlineStr">
        <is>
          <t>Resolves user issues to SLA and improves the service.</t>
        </is>
      </c>
      <c r="D88" s="120" t="inlineStr">
        <is>
          <t>Department</t>
        </is>
      </c>
      <c r="E88" s="176" t="n">
        <v>1</v>
      </c>
      <c r="F88" s="176" t="n">
        <v>2</v>
      </c>
      <c r="G88" s="176" t="n">
        <v>3</v>
      </c>
      <c r="H88" s="176" t="n">
        <v>3</v>
      </c>
      <c r="I88" s="176" t="n">
        <v>4</v>
      </c>
      <c r="J88" s="176" t="n">
        <v>4</v>
      </c>
      <c r="K88" s="176" t="n">
        <v>4</v>
      </c>
      <c r="L88" s="176" t="n">
        <v>4</v>
      </c>
      <c r="M88" s="176" t="n">
        <v>5</v>
      </c>
      <c r="N88" s="176" t="n">
        <v>5</v>
      </c>
      <c r="O88" s="176" t="n">
        <v>4</v>
      </c>
      <c r="P88" s="120" t="inlineStr">
        <is>
          <t>1–2 · Logs and resolves L1 tickets
3 · Resolves L2 issues; maintains knowledge base
4 · Designs service-desk process and SLAs
5 · Sets IT service strategy</t>
        </is>
      </c>
      <c r="Q88" s="120" t="inlineStr">
        <is>
          <t>To be rated next cycle</t>
        </is>
      </c>
      <c r="R88" s="120" t="inlineStr">
        <is>
          <t>Ticket simulation</t>
        </is>
      </c>
      <c r="S88" s="120" t="inlineStr">
        <is>
          <t>ITIL 4 Foundation</t>
        </is>
      </c>
      <c r="T88" s="120" t="inlineStr">
        <is>
          <t>ITIL 4</t>
        </is>
      </c>
    </row>
    <row r="89" ht="132" customHeight="1">
      <c r="A89" s="120" t="inlineStr">
        <is>
          <t>Department technical</t>
        </is>
      </c>
      <c r="B89" s="120" t="inlineStr">
        <is>
          <t>Information Security &amp; ISO 27001 Controls</t>
        </is>
      </c>
      <c r="C89" s="120" t="inlineStr">
        <is>
          <t>Protects IRIS systems and data; keeps certification.</t>
        </is>
      </c>
      <c r="D89" s="120" t="inlineStr">
        <is>
          <t>Department</t>
        </is>
      </c>
      <c r="E89" s="176" t="n">
        <v>1</v>
      </c>
      <c r="F89" s="176" t="n">
        <v>2</v>
      </c>
      <c r="G89" s="176" t="n">
        <v>3</v>
      </c>
      <c r="H89" s="176" t="n">
        <v>3</v>
      </c>
      <c r="I89" s="176" t="n">
        <v>4</v>
      </c>
      <c r="J89" s="176" t="n">
        <v>4</v>
      </c>
      <c r="K89" s="176" t="n">
        <v>4</v>
      </c>
      <c r="L89" s="176" t="n">
        <v>4</v>
      </c>
      <c r="M89" s="176" t="n">
        <v>5</v>
      </c>
      <c r="N89" s="176" t="n">
        <v>5</v>
      </c>
      <c r="O89" s="176" t="n">
        <v>4</v>
      </c>
      <c r="P89" s="120" t="inlineStr">
        <is>
          <t>1–2 · Follows security policies; patches
3 · Runs access reviews, vulnerability fixes and audit evidence
4 · Designs controls; leads ISO 27001 audits and incident response
5 · Sets the security strategy · CISO-level</t>
        </is>
      </c>
      <c r="Q89" s="120" t="inlineStr">
        <is>
          <t>To be rated next cycle</t>
        </is>
      </c>
      <c r="R89" s="120" t="inlineStr">
        <is>
          <t>Practical + controls case</t>
        </is>
      </c>
      <c r="S89" s="120" t="inlineStr">
        <is>
          <t>ISO 27001 LI / LA, CEH, CISSP</t>
        </is>
      </c>
      <c r="T89" s="120" t="inlineStr">
        <is>
          <t>ISO/IEC 27001:2022; WEF 2025 — cybersecurity</t>
        </is>
      </c>
    </row>
    <row r="90" ht="106" customHeight="1">
      <c r="A90" s="120" t="inlineStr">
        <is>
          <t>Department technical</t>
        </is>
      </c>
      <c r="B90" s="120" t="inlineStr">
        <is>
          <t>Cloud &amp; Platform Operations</t>
        </is>
      </c>
      <c r="C90" s="120" t="inlineStr">
        <is>
          <t>Runs cloud and hosting environments securely and cost-effectively.</t>
        </is>
      </c>
      <c r="D90" s="120" t="inlineStr">
        <is>
          <t>Department</t>
        </is>
      </c>
      <c r="E90" s="176" t="n">
        <v>1</v>
      </c>
      <c r="F90" s="176" t="n">
        <v>2</v>
      </c>
      <c r="G90" s="176" t="n">
        <v>3</v>
      </c>
      <c r="H90" s="176" t="n">
        <v>3</v>
      </c>
      <c r="I90" s="176" t="n">
        <v>4</v>
      </c>
      <c r="J90" s="176" t="n">
        <v>4</v>
      </c>
      <c r="K90" s="176" t="n">
        <v>4</v>
      </c>
      <c r="L90" s="176" t="n">
        <v>4</v>
      </c>
      <c r="M90" s="176" t="n">
        <v>5</v>
      </c>
      <c r="N90" s="176" t="n">
        <v>5</v>
      </c>
      <c r="O90" s="176" t="n">
        <v>4</v>
      </c>
      <c r="P90" s="120" t="inlineStr">
        <is>
          <t>1–2 · Uses consoles for routine tasks
3 · Provisions and monitors cloud resources; backups and DR
4 · Designs cloud landing zones, DR and cost optimisation
5 · Sets cloud strategy</t>
        </is>
      </c>
      <c r="Q90" s="120" t="inlineStr">
        <is>
          <t>To be rated next cycle</t>
        </is>
      </c>
      <c r="R90" s="120" t="inlineStr">
        <is>
          <t>Practical task</t>
        </is>
      </c>
      <c r="S90" s="120" t="inlineStr">
        <is>
          <t>AWS / Azure certifications</t>
        </is>
      </c>
      <c r="T90" s="120" t="inlineStr">
        <is>
          <t>SFIA 9; WEF 2025</t>
        </is>
      </c>
    </row>
    <row r="91" ht="93" customHeight="1">
      <c r="A91" s="120" t="inlineStr">
        <is>
          <t>Department technical</t>
        </is>
      </c>
      <c r="B91" s="120" t="inlineStr">
        <is>
          <t>IT Asset &amp; Licence Management</t>
        </is>
      </c>
      <c r="C91" s="120" t="inlineStr">
        <is>
          <t>Tracks hardware, software and licences to cost and compliance.</t>
        </is>
      </c>
      <c r="D91" s="120" t="inlineStr">
        <is>
          <t>Department</t>
        </is>
      </c>
      <c r="E91" s="176" t="n">
        <v>1</v>
      </c>
      <c r="F91" s="176" t="n">
        <v>2</v>
      </c>
      <c r="G91" s="176" t="n">
        <v>3</v>
      </c>
      <c r="H91" s="176" t="n">
        <v>3</v>
      </c>
      <c r="I91" s="176" t="n">
        <v>4</v>
      </c>
      <c r="J91" s="176" t="n">
        <v>4</v>
      </c>
      <c r="K91" s="176" t="n">
        <v>4</v>
      </c>
      <c r="L91" s="176" t="n">
        <v>4</v>
      </c>
      <c r="M91" s="176" t="n">
        <v>5</v>
      </c>
      <c r="N91" s="176" t="n">
        <v>5</v>
      </c>
      <c r="O91" s="176" t="n">
        <v>4</v>
      </c>
      <c r="P91" s="120" t="inlineStr">
        <is>
          <t>1–2 · Updates the asset register
3 · Runs asset lifecycle and licence true-ups
4 · Optimises spend and vendor contracts
5 · —</t>
        </is>
      </c>
      <c r="Q91" s="120" t="inlineStr">
        <is>
          <t>To be rated next cycle</t>
        </is>
      </c>
      <c r="R91" s="120" t="inlineStr">
        <is>
          <t>Work sample</t>
        </is>
      </c>
      <c r="S91" s="120" t="inlineStr">
        <is>
          <t>ITIL 4 · optional</t>
        </is>
      </c>
      <c r="T91" s="120" t="inlineStr">
        <is>
          <t>ITIL 4 — IT asset management</t>
        </is>
      </c>
    </row>
    <row r="92" ht="28" customHeight="1">
      <c r="A92" s="134" t="inlineStr">
        <is>
          <t>Leadership</t>
        </is>
      </c>
      <c r="B92" s="134" t="inlineStr">
        <is>
          <t>Leadership cluster · 4 competencies, part C</t>
        </is>
      </c>
      <c r="C92" s="134" t="inlineStr">
        <is>
          <t>Leading people, decisions, strategy and change</t>
        </is>
      </c>
      <c r="D92" s="134" t="inlineStr">
        <is>
          <t>POD Leads and People Managers</t>
        </is>
      </c>
      <c r="E92" s="47" t="inlineStr">
        <is>
          <t>—</t>
        </is>
      </c>
      <c r="F92" s="47" t="inlineStr">
        <is>
          <t>—</t>
        </is>
      </c>
      <c r="G92" s="47" t="inlineStr">
        <is>
          <t>—</t>
        </is>
      </c>
      <c r="H92" s="47" t="inlineStr">
        <is>
          <t>1/2</t>
        </is>
      </c>
      <c r="I92" s="47" t="inlineStr">
        <is>
          <t>2/3</t>
        </is>
      </c>
      <c r="J92" s="47" t="inlineStr">
        <is>
          <t>3/4</t>
        </is>
      </c>
      <c r="K92" s="47" t="inlineStr">
        <is>
          <t>4/4</t>
        </is>
      </c>
      <c r="L92" s="47" t="inlineStr">
        <is>
          <t>4/4</t>
        </is>
      </c>
      <c r="M92" s="47" t="inlineStr">
        <is>
          <t>4/4</t>
        </is>
      </c>
      <c r="N92" s="47" t="inlineStr">
        <is>
          <t>5/5</t>
        </is>
      </c>
      <c r="O92" s="47" t="inlineStr">
        <is>
          <t>5/5</t>
        </is>
      </c>
      <c r="P92" s="134" t="inlineStr">
        <is>
          <t>Required level shown as IC / Manager</t>
        </is>
      </c>
      <c r="Q92" s="134" t="inlineStr">
        <is>
          <t>—</t>
        </is>
      </c>
      <c r="R92" s="134" t="inlineStr">
        <is>
          <t>Behavioural interview; 360 feedback</t>
        </is>
      </c>
      <c r="S92" s="134" t="inlineStr">
        <is>
          <t>—</t>
        </is>
      </c>
      <c r="T92" s="134" t="inlineStr">
        <is>
          <t>S14, S15, S16</t>
        </is>
      </c>
    </row>
    <row r="93" ht="15" customHeight="1"/>
    <row r="94" ht="15" customHeight="1">
      <c r="A94" s="12" t="inlineStr">
        <is>
          <t>Job family</t>
        </is>
      </c>
      <c r="B94" s="12" t="inlineStr">
        <is>
          <t>Education / credentials</t>
        </is>
      </c>
      <c r="C94" s="211" t="n"/>
      <c r="D94" s="12" t="inlineStr">
        <is>
          <t>Gate requirements</t>
        </is>
      </c>
      <c r="E94" s="211" t="n"/>
      <c r="F94" s="12" t="inlineStr">
        <is>
          <t>Learning focus — Band A</t>
        </is>
      </c>
      <c r="G94" s="212" t="n"/>
      <c r="H94" s="212" t="n"/>
      <c r="I94" s="212" t="n"/>
      <c r="J94" s="212" t="n"/>
      <c r="K94" s="211" t="n"/>
      <c r="L94" s="12" t="inlineStr">
        <is>
          <t>Learning focus — Band B</t>
        </is>
      </c>
      <c r="M94" s="212" t="n"/>
      <c r="N94" s="212" t="n"/>
      <c r="O94" s="212" t="n"/>
      <c r="P94" s="211" t="n"/>
      <c r="Q94" s="12" t="inlineStr">
        <is>
          <t>Learning focus — Band C+</t>
        </is>
      </c>
      <c r="R94" s="211" t="n"/>
      <c r="S94" s="12" t="inlineStr">
        <is>
          <t>Future skills</t>
        </is>
      </c>
      <c r="T94" s="211" t="n"/>
    </row>
    <row r="95" ht="80" customHeight="1">
      <c r="A95" s="13" t="inlineStr">
        <is>
          <t>IT &amp; Infrastructure</t>
        </is>
      </c>
      <c r="B95" s="16" t="inlineStr">
        <is>
          <t>BE / B.Sc / diploma + certifications</t>
        </is>
      </c>
      <c r="C95" s="211" t="n"/>
      <c r="D95" s="16" t="inlineStr">
        <is>
          <t>ISO 27001 / InfoSec controls</t>
        </is>
      </c>
      <c r="E95" s="211" t="n"/>
      <c r="F95" s="16" t="inlineStr">
        <is>
          <t>Mandatory path · POSH, Code of Conduct, InfoSec; Cybersecurity &amp; Infrastructure, Cloud, DevOps &amp; CI/CD to Working → Practitioner; AI literacy to 2; learn by mentoring and KT.</t>
        </is>
      </c>
      <c r="G95" s="212" t="n"/>
      <c r="H95" s="212" t="n"/>
      <c r="I95" s="212" t="n"/>
      <c r="J95" s="212" t="n"/>
      <c r="K95" s="211" t="n"/>
      <c r="L95" s="16" t="inlineStr">
        <is>
          <t>Cybersecurity &amp; Infrastructure, Cloud, DevOps &amp; CI/CD to Advanced; Process Improvement &amp; Quality Mindset, Stakeholder &amp; Client Management, Time, Priority &amp; Self-Management to Practitioner; POD Leads / Managers: leading people, delegation, feedback.</t>
        </is>
      </c>
      <c r="M95" s="212" t="n"/>
      <c r="N95" s="212" t="n"/>
      <c r="O95" s="212" t="n"/>
      <c r="P95" s="211" t="n"/>
      <c r="Q95" s="16" t="inlineStr">
        <is>
          <t>Expert in one must-have; strategy &amp; business acumen; building the bench; AI-enabled processes for the function.</t>
        </is>
      </c>
      <c r="R95" s="211" t="n"/>
      <c r="S95" s="16" t="inlineStr">
        <is>
          <t>Zero-trust security, cloud operations, AI-assisted IT operations</t>
        </is>
      </c>
      <c r="T95" s="211" t="n"/>
    </row>
    <row r="96" ht="80" customHeight="1">
      <c r="A96" s="13" t="inlineStr">
        <is>
          <t>Engineering &amp; Development</t>
        </is>
      </c>
      <c r="B96" s="16" t="inlineStr">
        <is>
          <t>BE / B.Tech / MCA / M.Tech / B.Sc · CS</t>
        </is>
      </c>
      <c r="C96" s="211" t="n"/>
      <c r="D96" s="16" t="inlineStr">
        <is>
          <t>Secure coding · OWASP, code review, unit testing</t>
        </is>
      </c>
      <c r="E96" s="211" t="n"/>
      <c r="F96" s="16" t="inlineStr">
        <is>
          <t>Mandatory path · POSH, Code of Conduct, InfoSec; Programming &amp; Tech-Stack Depth, System Design &amp; Architecture to Working → Practitioner; AI literacy to 2; learn by mentoring and KT.</t>
        </is>
      </c>
      <c r="G96" s="212" t="n"/>
      <c r="H96" s="212" t="n"/>
      <c r="I96" s="212" t="n"/>
      <c r="J96" s="212" t="n"/>
      <c r="K96" s="211" t="n"/>
      <c r="L96" s="16" t="inlineStr">
        <is>
          <t>Programming &amp; Tech-Stack Depth, System Design &amp; Architecture to Advanced; Database, SQL &amp; Data Engineering, Cloud, DevOps &amp; CI/CD, AI, GenAI &amp; Prompt Engineering to Practitioner; POD Leads / Managers: leading people, delegation, feedback.</t>
        </is>
      </c>
      <c r="M96" s="212" t="n"/>
      <c r="N96" s="212" t="n"/>
      <c r="O96" s="212" t="n"/>
      <c r="P96" s="211" t="n"/>
      <c r="Q96" s="16" t="inlineStr">
        <is>
          <t>Expert in one must-have; strategy &amp; business acumen; building the bench; AI-enabled processes for the function.</t>
        </is>
      </c>
      <c r="R96" s="211" t="n"/>
      <c r="S96" s="16" t="inlineStr">
        <is>
          <t>AI-assisted coding, cloud-native &amp; API-first design, LLM integration</t>
        </is>
      </c>
      <c r="T96" s="211" t="n"/>
    </row>
    <row r="97" ht="15" customHeight="1"/>
    <row r="98" ht="15" customHeight="1"/>
    <row r="99" ht="20" customHeight="1">
      <c r="A99" s="173" t="inlineStr">
        <is>
          <t>Finance — 11 people · Corporate functions · levels A3–E1</t>
        </is>
      </c>
    </row>
    <row r="100" ht="15" customHeight="1">
      <c r="A100" s="17" t="inlineStr">
        <is>
          <t>Job families: Finance &amp; Accounts · Executive Leadership</t>
        </is>
      </c>
    </row>
    <row r="101" ht="15" customHeight="1">
      <c r="A101" s="12" t="inlineStr">
        <is>
          <t>Capability health today · indicative, from survey + KRAs</t>
        </is>
      </c>
      <c r="B101" s="212" t="n"/>
      <c r="C101" s="212" t="n"/>
      <c r="D101" s="212" t="n"/>
      <c r="E101" s="211" t="n"/>
      <c r="F101" s="12" t="inlineStr">
        <is>
          <t>Result</t>
        </is>
      </c>
      <c r="G101" s="212" t="n"/>
      <c r="H101" s="212" t="n"/>
      <c r="I101" s="212" t="n"/>
      <c r="J101" s="212" t="n"/>
      <c r="K101" s="212" t="n"/>
      <c r="L101" s="212" t="n"/>
      <c r="M101" s="212" t="n"/>
      <c r="N101" s="212" t="n"/>
      <c r="O101" s="212" t="n"/>
      <c r="P101" s="212" t="n"/>
      <c r="Q101" s="212" t="n"/>
      <c r="R101" s="211" t="n"/>
    </row>
    <row r="102" ht="15" customHeight="1">
      <c r="A102" s="13" t="inlineStr">
        <is>
          <t>People assessed · meet or exceed their level</t>
        </is>
      </c>
      <c r="B102" s="212" t="n"/>
      <c r="C102" s="212" t="n"/>
      <c r="D102" s="212" t="n"/>
      <c r="E102" s="211" t="n"/>
      <c r="F102" s="16" t="inlineStr">
        <is>
          <t>8 · 3</t>
        </is>
      </c>
      <c r="G102" s="212" t="n"/>
      <c r="H102" s="212" t="n"/>
      <c r="I102" s="212" t="n"/>
      <c r="J102" s="212" t="n"/>
      <c r="K102" s="212" t="n"/>
      <c r="L102" s="212" t="n"/>
      <c r="M102" s="212" t="n"/>
      <c r="N102" s="212" t="n"/>
      <c r="O102" s="212" t="n"/>
      <c r="P102" s="212" t="n"/>
      <c r="Q102" s="212" t="n"/>
      <c r="R102" s="211" t="n"/>
    </row>
    <row r="103" ht="15" customHeight="1">
      <c r="A103" s="13" t="inlineStr">
        <is>
          <t>Average index · Core · Future-ready · Functional · Leadership · % of required</t>
        </is>
      </c>
      <c r="B103" s="212" t="n"/>
      <c r="C103" s="212" t="n"/>
      <c r="D103" s="212" t="n"/>
      <c r="E103" s="211" t="n"/>
      <c r="F103" s="16" t="inlineStr">
        <is>
          <t>87% · 84% · 81% · 92% · 91%</t>
        </is>
      </c>
      <c r="G103" s="212" t="n"/>
      <c r="H103" s="212" t="n"/>
      <c r="I103" s="212" t="n"/>
      <c r="J103" s="212" t="n"/>
      <c r="K103" s="212" t="n"/>
      <c r="L103" s="212" t="n"/>
      <c r="M103" s="212" t="n"/>
      <c r="N103" s="212" t="n"/>
      <c r="O103" s="212" t="n"/>
      <c r="P103" s="212" t="n"/>
      <c r="Q103" s="212" t="n"/>
      <c r="R103" s="211" t="n"/>
    </row>
    <row r="104" ht="15" customHeight="1">
      <c r="A104" s="13" t="inlineStr">
        <is>
          <t>Most common competency gaps · people</t>
        </is>
      </c>
      <c r="B104" s="212" t="n"/>
      <c r="C104" s="212" t="n"/>
      <c r="D104" s="212" t="n"/>
      <c r="E104" s="211" t="n"/>
      <c r="F104" s="16" t="inlineStr">
        <is>
          <t>Analytics &amp; BI · Business acumen · Quality &amp; process · Ownership · Excel &amp; tools · Regulatory domain</t>
        </is>
      </c>
      <c r="G104" s="212" t="n"/>
      <c r="H104" s="212" t="n"/>
      <c r="I104" s="212" t="n"/>
      <c r="J104" s="212" t="n"/>
      <c r="K104" s="212" t="n"/>
      <c r="L104" s="212" t="n"/>
      <c r="M104" s="212" t="n"/>
      <c r="N104" s="212" t="n"/>
      <c r="O104" s="212" t="n"/>
      <c r="P104" s="212" t="n"/>
      <c r="Q104" s="212" t="n"/>
      <c r="R104" s="211" t="n"/>
    </row>
    <row r="105" ht="28" customHeight="1">
      <c r="A105" s="13" t="inlineStr">
        <is>
          <t>Role-based development priorities · people</t>
        </is>
      </c>
      <c r="B105" s="212" t="n"/>
      <c r="C105" s="212" t="n"/>
      <c r="D105" s="212" t="n"/>
      <c r="E105" s="211" t="n"/>
      <c r="F105" s="16" t="inlineStr">
        <is>
          <t>Project, Program &amp; Agile Management · People Leadership &amp; Mentoring · AI, GenAI &amp; Prompt Engineering · Strategic Thinking &amp; Business Acumen · Advanced Excel &amp; Productivity Tools · Stakeholder &amp; Client Management</t>
        </is>
      </c>
      <c r="G105" s="212" t="n"/>
      <c r="H105" s="212" t="n"/>
      <c r="I105" s="212" t="n"/>
      <c r="J105" s="212" t="n"/>
      <c r="K105" s="212" t="n"/>
      <c r="L105" s="212" t="n"/>
      <c r="M105" s="212" t="n"/>
      <c r="N105" s="212" t="n"/>
      <c r="O105" s="212" t="n"/>
      <c r="P105" s="212" t="n"/>
      <c r="Q105" s="212" t="n"/>
      <c r="R105" s="211" t="n"/>
    </row>
    <row r="106" ht="15" customHeight="1">
      <c r="A106" s="13" t="inlineStr">
        <is>
          <t>Manager-identified training themes</t>
        </is>
      </c>
      <c r="B106" s="212" t="n"/>
      <c r="C106" s="212" t="n"/>
      <c r="D106" s="212" t="n"/>
      <c r="E106" s="211" t="n"/>
      <c r="F106" s="16" t="inlineStr">
        <is>
          <t>—</t>
        </is>
      </c>
      <c r="G106" s="212" t="n"/>
      <c r="H106" s="212" t="n"/>
      <c r="I106" s="212" t="n"/>
      <c r="J106" s="212" t="n"/>
      <c r="K106" s="212" t="n"/>
      <c r="L106" s="212" t="n"/>
      <c r="M106" s="212" t="n"/>
      <c r="N106" s="212" t="n"/>
      <c r="O106" s="212" t="n"/>
      <c r="P106" s="212" t="n"/>
      <c r="Q106" s="212" t="n"/>
      <c r="R106" s="211" t="n"/>
    </row>
    <row r="107" ht="28" customHeight="1">
      <c r="A107" s="13" t="inlineStr">
        <is>
          <t>What helped people learn · survey</t>
        </is>
      </c>
      <c r="B107" s="212" t="n"/>
      <c r="C107" s="212" t="n"/>
      <c r="D107" s="212" t="n"/>
      <c r="E107" s="211" t="n"/>
      <c r="F107" s="16" t="inlineStr">
        <is>
          <t>Mentoring / guidance from seniors · Formal / classroom training · On-the-job / hands-on · Online courses / self-learning</t>
        </is>
      </c>
      <c r="G107" s="212" t="n"/>
      <c r="H107" s="212" t="n"/>
      <c r="I107" s="212" t="n"/>
      <c r="J107" s="212" t="n"/>
      <c r="K107" s="212" t="n"/>
      <c r="L107" s="212" t="n"/>
      <c r="M107" s="212" t="n"/>
      <c r="N107" s="212" t="n"/>
      <c r="O107" s="212" t="n"/>
      <c r="P107" s="212" t="n"/>
      <c r="Q107" s="212" t="n"/>
      <c r="R107" s="211" t="n"/>
    </row>
    <row r="108" ht="15" customHeight="1">
      <c r="A108" s="13" t="inlineStr">
        <is>
          <t>How the work is changing</t>
        </is>
      </c>
      <c r="B108" s="212" t="n"/>
      <c r="C108" s="212" t="n"/>
      <c r="D108" s="212" t="n"/>
      <c r="E108" s="211" t="n"/>
      <c r="F108" s="16" t="inlineStr">
        <is>
          <t>4 of 7 say the role is changing because of AI / automation</t>
        </is>
      </c>
      <c r="G108" s="212" t="n"/>
      <c r="H108" s="212" t="n"/>
      <c r="I108" s="212" t="n"/>
      <c r="J108" s="212" t="n"/>
      <c r="K108" s="212" t="n"/>
      <c r="L108" s="212" t="n"/>
      <c r="M108" s="212" t="n"/>
      <c r="N108" s="212" t="n"/>
      <c r="O108" s="212" t="n"/>
      <c r="P108" s="212" t="n"/>
      <c r="Q108" s="212" t="n"/>
      <c r="R108" s="211" t="n"/>
    </row>
    <row r="109" ht="15" customHeight="1">
      <c r="A109" s="13" t="inlineStr">
        <is>
          <t>Lateral moves the evidence supports · people</t>
        </is>
      </c>
      <c r="B109" s="212" t="n"/>
      <c r="C109" s="212" t="n"/>
      <c r="D109" s="212" t="n"/>
      <c r="E109" s="211" t="n"/>
      <c r="F109" s="16" t="inlineStr">
        <is>
          <t>No strong match yet</t>
        </is>
      </c>
      <c r="G109" s="212" t="n"/>
      <c r="H109" s="212" t="n"/>
      <c r="I109" s="212" t="n"/>
      <c r="J109" s="212" t="n"/>
      <c r="K109" s="212" t="n"/>
      <c r="L109" s="212" t="n"/>
      <c r="M109" s="212" t="n"/>
      <c r="N109" s="212" t="n"/>
      <c r="O109" s="212" t="n"/>
      <c r="P109" s="212" t="n"/>
      <c r="Q109" s="212" t="n"/>
      <c r="R109" s="211" t="n"/>
    </row>
    <row r="110" ht="15" customHeight="1"/>
    <row r="111" ht="28" customHeight="1">
      <c r="A111" s="12" t="inlineStr">
        <is>
          <t>Cluster</t>
        </is>
      </c>
      <c r="B111" s="12" t="inlineStr">
        <is>
          <t>Competency · ★ = must-have</t>
        </is>
      </c>
      <c r="C111" s="12" t="inlineStr">
        <is>
          <t>Definition</t>
        </is>
      </c>
      <c r="D111" s="12" t="inlineStr">
        <is>
          <t>Must-have for</t>
        </is>
      </c>
      <c r="E111" s="12" t="inlineStr">
        <is>
          <t>A1</t>
        </is>
      </c>
      <c r="F111" s="12" t="inlineStr">
        <is>
          <t>A2</t>
        </is>
      </c>
      <c r="G111" s="12" t="inlineStr">
        <is>
          <t>A3</t>
        </is>
      </c>
      <c r="H111" s="12" t="inlineStr">
        <is>
          <t>B1</t>
        </is>
      </c>
      <c r="I111" s="12" t="inlineStr">
        <is>
          <t>B2</t>
        </is>
      </c>
      <c r="J111" s="12" t="inlineStr">
        <is>
          <t>B3</t>
        </is>
      </c>
      <c r="K111" s="12" t="inlineStr">
        <is>
          <t>B+</t>
        </is>
      </c>
      <c r="L111" s="12" t="inlineStr">
        <is>
          <t>C1</t>
        </is>
      </c>
      <c r="M111" s="12" t="inlineStr">
        <is>
          <t>C2</t>
        </is>
      </c>
      <c r="N111" s="12" t="inlineStr">
        <is>
          <t>C+</t>
        </is>
      </c>
      <c r="O111" s="12" t="inlineStr">
        <is>
          <t>D1</t>
        </is>
      </c>
      <c r="P111" s="12" t="inlineStr">
        <is>
          <t>What good looks like · by proficiency</t>
        </is>
      </c>
      <c r="Q111" s="12" t="inlineStr">
        <is>
          <t>What IRIS top performers do · survey</t>
        </is>
      </c>
      <c r="R111" s="12" t="inlineStr">
        <is>
          <t>How to assess</t>
        </is>
      </c>
      <c r="S111" s="12" t="inlineStr">
        <is>
          <t>Credentials</t>
        </is>
      </c>
      <c r="T111" s="12" t="inlineStr">
        <is>
          <t>Reference</t>
        </is>
      </c>
    </row>
    <row r="112" ht="54" customHeight="1">
      <c r="A112" s="174" t="inlineStr">
        <is>
          <t>Functional</t>
        </is>
      </c>
      <c r="B112" s="174" t="inlineStr">
        <is>
          <t>★ Accounting &amp; Reporting Standards · IFRS/US GAAP</t>
        </is>
      </c>
      <c r="C112" s="174" t="inlineStr">
        <is>
          <t>Reads financial statements; applies IFRS / US GAAP / Ind AS.</t>
        </is>
      </c>
      <c r="D112" s="174" t="inlineStr">
        <is>
          <t>Finance &amp; Accounts</t>
        </is>
      </c>
      <c r="E112" s="175" t="n">
        <v>1</v>
      </c>
      <c r="F112" s="175" t="n">
        <v>2</v>
      </c>
      <c r="G112" s="175" t="n">
        <v>3</v>
      </c>
      <c r="H112" s="175" t="n">
        <v>3</v>
      </c>
      <c r="I112" s="175" t="n">
        <v>4</v>
      </c>
      <c r="J112" s="175" t="n">
        <v>4</v>
      </c>
      <c r="K112" s="175" t="n">
        <v>4</v>
      </c>
      <c r="L112" s="175" t="n">
        <v>4</v>
      </c>
      <c r="M112" s="175" t="n">
        <v>5</v>
      </c>
      <c r="N112" s="175" t="n">
        <v>5</v>
      </c>
      <c r="O112" s="175" t="n">
        <v>4</v>
      </c>
      <c r="P112" s="174" t="inlineStr">
        <is>
          <t>3 · Applies IFRS / US GAAP / Ind AS correctly
4 · Advises on complex disclosures and standards changes</t>
        </is>
      </c>
      <c r="Q112" s="174" t="inlineStr">
        <is>
          <t>—</t>
        </is>
      </c>
      <c r="R112" s="174" t="inlineStr">
        <is>
          <t>Accounting test</t>
        </is>
      </c>
      <c r="S112" s="174" t="inlineStr">
        <is>
          <t>CA / CMA / ACCA / CFA / IFRS certificate</t>
        </is>
      </c>
      <c r="T112" s="174" t="inlineStr">
        <is>
          <t>Family set</t>
        </is>
      </c>
    </row>
    <row r="113" ht="67" customHeight="1">
      <c r="A113" s="174" t="inlineStr">
        <is>
          <t>Functional</t>
        </is>
      </c>
      <c r="B113" s="174" t="inlineStr">
        <is>
          <t>★ Advanced Excel &amp; Productivity Tools</t>
        </is>
      </c>
      <c r="C113" s="174" t="inlineStr">
        <is>
          <t>Uses Excel, Word, HTML and conversion tools expertly.</t>
        </is>
      </c>
      <c r="D113" s="174" t="inlineStr">
        <is>
          <t>Finance &amp; Accounts</t>
        </is>
      </c>
      <c r="E113" s="175" t="n">
        <v>1</v>
      </c>
      <c r="F113" s="175" t="n">
        <v>2</v>
      </c>
      <c r="G113" s="175" t="n">
        <v>3</v>
      </c>
      <c r="H113" s="175" t="n">
        <v>3</v>
      </c>
      <c r="I113" s="175" t="n">
        <v>4</v>
      </c>
      <c r="J113" s="175" t="n">
        <v>4</v>
      </c>
      <c r="K113" s="175" t="n">
        <v>4</v>
      </c>
      <c r="L113" s="175" t="n">
        <v>4</v>
      </c>
      <c r="M113" s="175" t="n">
        <v>5</v>
      </c>
      <c r="N113" s="175" t="n">
        <v>5</v>
      </c>
      <c r="O113" s="175" t="n">
        <v>4</v>
      </c>
      <c r="P113" s="174" t="inlineStr">
        <is>
          <t>3 · Uses advanced Excel, Word, HTML and conversion tools fluently
4 · Builds templates and automation used by the team</t>
        </is>
      </c>
      <c r="Q113" s="174" t="inlineStr">
        <is>
          <t>—</t>
        </is>
      </c>
      <c r="R113" s="174" t="inlineStr">
        <is>
          <t>Practical test</t>
        </is>
      </c>
      <c r="S113" s="174" t="inlineStr">
        <is>
          <t>MOS Excel · optional</t>
        </is>
      </c>
      <c r="T113" s="174" t="inlineStr">
        <is>
          <t>Family set</t>
        </is>
      </c>
    </row>
    <row r="114" ht="54" customHeight="1">
      <c r="A114" s="174" t="inlineStr">
        <is>
          <t>Functional</t>
        </is>
      </c>
      <c r="B114" s="174" t="inlineStr">
        <is>
          <t>Regulatory &amp; BFSI Domain</t>
        </is>
      </c>
      <c r="C114" s="174" t="inlineStr">
        <is>
          <t>Understands regulators, returns, filings and BFSI rules.</t>
        </is>
      </c>
      <c r="D114" s="174" t="inlineStr">
        <is>
          <t>—</t>
        </is>
      </c>
      <c r="E114" s="175" t="n">
        <v>1</v>
      </c>
      <c r="F114" s="175" t="n">
        <v>2</v>
      </c>
      <c r="G114" s="175" t="n">
        <v>3</v>
      </c>
      <c r="H114" s="175" t="n">
        <v>3</v>
      </c>
      <c r="I114" s="175" t="n">
        <v>4</v>
      </c>
      <c r="J114" s="175" t="n">
        <v>4</v>
      </c>
      <c r="K114" s="175" t="n">
        <v>4</v>
      </c>
      <c r="L114" s="175" t="n">
        <v>4</v>
      </c>
      <c r="M114" s="175" t="n">
        <v>5</v>
      </c>
      <c r="N114" s="175" t="n">
        <v>5</v>
      </c>
      <c r="O114" s="175" t="n">
        <v>4</v>
      </c>
      <c r="P114" s="174" t="inlineStr">
        <is>
          <t>3 · Knows the relevant regulators, returns and rules
4 · Interprets new regulation; advises clients and product</t>
        </is>
      </c>
      <c r="Q114" s="174" t="inlineStr">
        <is>
          <t>—</t>
        </is>
      </c>
      <c r="R114" s="174" t="inlineStr">
        <is>
          <t>Domain interview</t>
        </is>
      </c>
      <c r="S114" s="174" t="inlineStr">
        <is>
          <t>Domain certifications · optional</t>
        </is>
      </c>
      <c r="T114" s="174" t="inlineStr">
        <is>
          <t>Family set</t>
        </is>
      </c>
    </row>
    <row r="115" ht="54" customHeight="1">
      <c r="A115" s="174" t="inlineStr">
        <is>
          <t>Functional</t>
        </is>
      </c>
      <c r="B115" s="174" t="inlineStr">
        <is>
          <t>Data Analytics, BI &amp; Visualisation</t>
        </is>
      </c>
      <c r="C115" s="174" t="inlineStr">
        <is>
          <t>Turns data into MIS, dashboards and insight.</t>
        </is>
      </c>
      <c r="D115" s="174" t="inlineStr">
        <is>
          <t>—</t>
        </is>
      </c>
      <c r="E115" s="175" t="n">
        <v>1</v>
      </c>
      <c r="F115" s="175" t="n">
        <v>2</v>
      </c>
      <c r="G115" s="175" t="n">
        <v>3</v>
      </c>
      <c r="H115" s="175" t="n">
        <v>3</v>
      </c>
      <c r="I115" s="175" t="n">
        <v>4</v>
      </c>
      <c r="J115" s="175" t="n">
        <v>4</v>
      </c>
      <c r="K115" s="175" t="n">
        <v>4</v>
      </c>
      <c r="L115" s="175" t="n">
        <v>4</v>
      </c>
      <c r="M115" s="175" t="n">
        <v>5</v>
      </c>
      <c r="N115" s="175" t="n">
        <v>5</v>
      </c>
      <c r="O115" s="175" t="n">
        <v>4</v>
      </c>
      <c r="P115" s="174" t="inlineStr">
        <is>
          <t>3 · Builds MIS, dashboards and analysis
4 · Defines metrics and analytics approach for a business</t>
        </is>
      </c>
      <c r="Q115" s="174" t="inlineStr">
        <is>
          <t>—</t>
        </is>
      </c>
      <c r="R115" s="174" t="inlineStr">
        <is>
          <t>Data case / practical</t>
        </is>
      </c>
      <c r="S115" s="174" t="inlineStr">
        <is>
          <t>Power BI / Tableau · optional</t>
        </is>
      </c>
      <c r="T115" s="174" t="inlineStr">
        <is>
          <t>Family set</t>
        </is>
      </c>
    </row>
    <row r="116" ht="67" customHeight="1">
      <c r="A116" s="174" t="inlineStr">
        <is>
          <t>Functional</t>
        </is>
      </c>
      <c r="B116" s="174" t="inlineStr">
        <is>
          <t>Process Improvement &amp; Quality Mindset</t>
        </is>
      </c>
      <c r="C116" s="174" t="inlineStr">
        <is>
          <t>Gets it right first time; improves processes and checklists.</t>
        </is>
      </c>
      <c r="D116" s="174" t="inlineStr">
        <is>
          <t>—</t>
        </is>
      </c>
      <c r="E116" s="175" t="n">
        <v>1</v>
      </c>
      <c r="F116" s="175" t="n">
        <v>2</v>
      </c>
      <c r="G116" s="175" t="n">
        <v>3</v>
      </c>
      <c r="H116" s="175" t="n">
        <v>3</v>
      </c>
      <c r="I116" s="175" t="n">
        <v>4</v>
      </c>
      <c r="J116" s="175" t="n">
        <v>4</v>
      </c>
      <c r="K116" s="175" t="n">
        <v>4</v>
      </c>
      <c r="L116" s="175" t="n">
        <v>4</v>
      </c>
      <c r="M116" s="175" t="n">
        <v>5</v>
      </c>
      <c r="N116" s="175" t="n">
        <v>5</v>
      </c>
      <c r="O116" s="175" t="n">
        <v>4</v>
      </c>
      <c r="P116" s="174" t="inlineStr">
        <is>
          <t>3 · Delivers right-first-time; improves own checklists
4 · Redesigns team processes; reduces error rates measurably</t>
        </is>
      </c>
      <c r="Q116" s="174" t="inlineStr">
        <is>
          <t>—</t>
        </is>
      </c>
      <c r="R116" s="174" t="inlineStr">
        <is>
          <t>Work sample / case</t>
        </is>
      </c>
      <c r="S116" s="174" t="inlineStr">
        <is>
          <t>Lean / Six Sigma · optional</t>
        </is>
      </c>
      <c r="T116" s="174" t="inlineStr">
        <is>
          <t>Family set</t>
        </is>
      </c>
    </row>
    <row r="117" ht="54" customHeight="1">
      <c r="A117" s="174" t="inlineStr">
        <is>
          <t>Functional</t>
        </is>
      </c>
      <c r="B117" s="174" t="inlineStr">
        <is>
          <t>★ Strategic Thinking &amp; Business Acumen</t>
        </is>
      </c>
      <c r="C117" s="174" t="inlineStr">
        <is>
          <t>Links work to business outcomes, budgets and strategy.</t>
        </is>
      </c>
      <c r="D117" s="174" t="inlineStr">
        <is>
          <t>Executive Leadership</t>
        </is>
      </c>
      <c r="E117" s="175" t="n">
        <v>1</v>
      </c>
      <c r="F117" s="175" t="n">
        <v>2</v>
      </c>
      <c r="G117" s="175" t="n">
        <v>3</v>
      </c>
      <c r="H117" s="175" t="n">
        <v>3</v>
      </c>
      <c r="I117" s="175" t="n">
        <v>4</v>
      </c>
      <c r="J117" s="175" t="n">
        <v>4</v>
      </c>
      <c r="K117" s="175" t="n">
        <v>4</v>
      </c>
      <c r="L117" s="175" t="n">
        <v>4</v>
      </c>
      <c r="M117" s="175" t="n">
        <v>5</v>
      </c>
      <c r="N117" s="175" t="n">
        <v>5</v>
      </c>
      <c r="O117" s="175" t="n">
        <v>4</v>
      </c>
      <c r="P117" s="174" t="inlineStr">
        <is>
          <t>3 · Connects work to business goals and budgets
4 · Shapes strategy, pricing or investment choices</t>
        </is>
      </c>
      <c r="Q117" s="174" t="inlineStr">
        <is>
          <t>—</t>
        </is>
      </c>
      <c r="R117" s="174" t="inlineStr">
        <is>
          <t>Case interview</t>
        </is>
      </c>
      <c r="S117" s="174" t="inlineStr">
        <is>
          <t>MBA / PGDM · preferred at C+</t>
        </is>
      </c>
      <c r="T117" s="174" t="inlineStr">
        <is>
          <t>Family set</t>
        </is>
      </c>
    </row>
    <row r="118" ht="54" customHeight="1">
      <c r="A118" s="174" t="inlineStr">
        <is>
          <t>Functional</t>
        </is>
      </c>
      <c r="B118" s="174" t="inlineStr">
        <is>
          <t>★ People Leadership &amp; Mentoring</t>
        </is>
      </c>
      <c r="C118" s="174" t="inlineStr">
        <is>
          <t>Allocates, coaches and develops people.</t>
        </is>
      </c>
      <c r="D118" s="174" t="inlineStr">
        <is>
          <t>Executive Leadership</t>
        </is>
      </c>
      <c r="E118" s="175" t="n">
        <v>1</v>
      </c>
      <c r="F118" s="175" t="n">
        <v>2</v>
      </c>
      <c r="G118" s="175" t="n">
        <v>3</v>
      </c>
      <c r="H118" s="175" t="n">
        <v>3</v>
      </c>
      <c r="I118" s="175" t="n">
        <v>4</v>
      </c>
      <c r="J118" s="175" t="n">
        <v>4</v>
      </c>
      <c r="K118" s="175" t="n">
        <v>4</v>
      </c>
      <c r="L118" s="175" t="n">
        <v>4</v>
      </c>
      <c r="M118" s="175" t="n">
        <v>5</v>
      </c>
      <c r="N118" s="175" t="n">
        <v>5</v>
      </c>
      <c r="O118" s="175" t="n">
        <v>4</v>
      </c>
      <c r="P118" s="174" t="inlineStr">
        <is>
          <t>3 · Coaches and allocates work
4 · Leads leaders; builds succession</t>
        </is>
      </c>
      <c r="Q118" s="174" t="inlineStr">
        <is>
          <t>—</t>
        </is>
      </c>
      <c r="R118" s="174" t="inlineStr">
        <is>
          <t>Behavioural interview</t>
        </is>
      </c>
      <c r="S118" s="174" t="inlineStr">
        <is>
          <t>—</t>
        </is>
      </c>
      <c r="T118" s="174" t="inlineStr">
        <is>
          <t>Family set</t>
        </is>
      </c>
    </row>
    <row r="119" ht="67" customHeight="1">
      <c r="A119" s="174" t="inlineStr">
        <is>
          <t>Functional</t>
        </is>
      </c>
      <c r="B119" s="174" t="inlineStr">
        <is>
          <t>Stakeholder &amp; Client Management</t>
        </is>
      </c>
      <c r="C119" s="174" t="inlineStr">
        <is>
          <t>Manages clients and stakeholders; handles changing requests.</t>
        </is>
      </c>
      <c r="D119" s="174" t="inlineStr">
        <is>
          <t>—</t>
        </is>
      </c>
      <c r="E119" s="175" t="n">
        <v>1</v>
      </c>
      <c r="F119" s="175" t="n">
        <v>2</v>
      </c>
      <c r="G119" s="175" t="n">
        <v>3</v>
      </c>
      <c r="H119" s="175" t="n">
        <v>3</v>
      </c>
      <c r="I119" s="175" t="n">
        <v>4</v>
      </c>
      <c r="J119" s="175" t="n">
        <v>4</v>
      </c>
      <c r="K119" s="175" t="n">
        <v>4</v>
      </c>
      <c r="L119" s="175" t="n">
        <v>4</v>
      </c>
      <c r="M119" s="175" t="n">
        <v>5</v>
      </c>
      <c r="N119" s="175" t="n">
        <v>5</v>
      </c>
      <c r="O119" s="175" t="n">
        <v>4</v>
      </c>
      <c r="P119" s="174" t="inlineStr">
        <is>
          <t>3 · Manages client communication and expectations for own work
4 · Owns key relationships; resolves escalations</t>
        </is>
      </c>
      <c r="Q119" s="174" t="inlineStr">
        <is>
          <t>—</t>
        </is>
      </c>
      <c r="R119" s="174" t="inlineStr">
        <is>
          <t>Role play / behavioural interview</t>
        </is>
      </c>
      <c r="S119" s="174" t="inlineStr">
        <is>
          <t>—</t>
        </is>
      </c>
      <c r="T119" s="174" t="inlineStr">
        <is>
          <t>Family set</t>
        </is>
      </c>
    </row>
    <row r="120" ht="54" customHeight="1">
      <c r="A120" s="174" t="inlineStr">
        <is>
          <t>Functional</t>
        </is>
      </c>
      <c r="B120" s="174" t="inlineStr">
        <is>
          <t>Product, Platform &amp; Domain Knowledge</t>
        </is>
      </c>
      <c r="C120" s="174" t="inlineStr">
        <is>
          <t>Knows IRIS products, platforms and the client's domain.</t>
        </is>
      </c>
      <c r="D120" s="174" t="inlineStr">
        <is>
          <t>—</t>
        </is>
      </c>
      <c r="E120" s="175" t="n">
        <v>1</v>
      </c>
      <c r="F120" s="175" t="n">
        <v>2</v>
      </c>
      <c r="G120" s="175" t="n">
        <v>3</v>
      </c>
      <c r="H120" s="175" t="n">
        <v>3</v>
      </c>
      <c r="I120" s="175" t="n">
        <v>4</v>
      </c>
      <c r="J120" s="175" t="n">
        <v>4</v>
      </c>
      <c r="K120" s="175" t="n">
        <v>4</v>
      </c>
      <c r="L120" s="175" t="n">
        <v>4</v>
      </c>
      <c r="M120" s="175" t="n">
        <v>5</v>
      </c>
      <c r="N120" s="175" t="n">
        <v>5</v>
      </c>
      <c r="O120" s="175" t="n">
        <v>4</v>
      </c>
      <c r="P120" s="174" t="inlineStr">
        <is>
          <t>3 · Handles most product and domain scenarios
4 · Recognised product / domain expert; trains others</t>
        </is>
      </c>
      <c r="Q120" s="174" t="inlineStr">
        <is>
          <t>—</t>
        </is>
      </c>
      <c r="R120" s="174" t="inlineStr">
        <is>
          <t>Scenario interview</t>
        </is>
      </c>
      <c r="S120" s="174" t="inlineStr">
        <is>
          <t>Internal product certification</t>
        </is>
      </c>
      <c r="T120" s="174" t="inlineStr">
        <is>
          <t>Family set</t>
        </is>
      </c>
    </row>
    <row r="121" ht="54" customHeight="1">
      <c r="A121" s="174" t="inlineStr">
        <is>
          <t>Functional</t>
        </is>
      </c>
      <c r="B121" s="174" t="inlineStr">
        <is>
          <t>Communication &amp; Presentation</t>
        </is>
      </c>
      <c r="C121" s="174" t="inlineStr">
        <is>
          <t>Writes and presents clearly to clients and teams.</t>
        </is>
      </c>
      <c r="D121" s="174" t="inlineStr">
        <is>
          <t>—</t>
        </is>
      </c>
      <c r="E121" s="175" t="n">
        <v>1</v>
      </c>
      <c r="F121" s="175" t="n">
        <v>2</v>
      </c>
      <c r="G121" s="175" t="n">
        <v>3</v>
      </c>
      <c r="H121" s="175" t="n">
        <v>3</v>
      </c>
      <c r="I121" s="175" t="n">
        <v>4</v>
      </c>
      <c r="J121" s="175" t="n">
        <v>4</v>
      </c>
      <c r="K121" s="175" t="n">
        <v>4</v>
      </c>
      <c r="L121" s="175" t="n">
        <v>4</v>
      </c>
      <c r="M121" s="175" t="n">
        <v>5</v>
      </c>
      <c r="N121" s="175" t="n">
        <v>5</v>
      </c>
      <c r="O121" s="175" t="n">
        <v>4</v>
      </c>
      <c r="P121" s="174" t="inlineStr">
        <is>
          <t>3 · Writes and presents clearly to clients and teams
4 · Presents to senior stakeholders; shapes messaging</t>
        </is>
      </c>
      <c r="Q121" s="174" t="inlineStr">
        <is>
          <t>—</t>
        </is>
      </c>
      <c r="R121" s="174" t="inlineStr">
        <is>
          <t>Presentation / writing test</t>
        </is>
      </c>
      <c r="S121" s="174" t="inlineStr">
        <is>
          <t>—</t>
        </is>
      </c>
      <c r="T121" s="174" t="inlineStr">
        <is>
          <t>Family set</t>
        </is>
      </c>
    </row>
    <row r="122" ht="119" customHeight="1">
      <c r="A122" s="120" t="inlineStr">
        <is>
          <t>Department technical</t>
        </is>
      </c>
      <c r="B122" s="120" t="inlineStr">
        <is>
          <t>Financial Accounting, Close &amp; Reporting · Ind AS</t>
        </is>
      </c>
      <c r="C122" s="120" t="inlineStr">
        <is>
          <t>Keeps books accurate and closes on time; prepares financial statements.</t>
        </is>
      </c>
      <c r="D122" s="120" t="inlineStr">
        <is>
          <t>Department</t>
        </is>
      </c>
      <c r="E122" s="176" t="n">
        <v>1</v>
      </c>
      <c r="F122" s="176" t="n">
        <v>2</v>
      </c>
      <c r="G122" s="176" t="n">
        <v>3</v>
      </c>
      <c r="H122" s="176" t="n">
        <v>3</v>
      </c>
      <c r="I122" s="176" t="n">
        <v>4</v>
      </c>
      <c r="J122" s="176" t="n">
        <v>4</v>
      </c>
      <c r="K122" s="176" t="n">
        <v>4</v>
      </c>
      <c r="L122" s="176" t="n">
        <v>4</v>
      </c>
      <c r="M122" s="176" t="n">
        <v>5</v>
      </c>
      <c r="N122" s="176" t="n">
        <v>5</v>
      </c>
      <c r="O122" s="176" t="n">
        <v>4</v>
      </c>
      <c r="P122" s="120" t="inlineStr">
        <is>
          <t>1–2 · Posts entries, reconciles accounts
3 · Runs month-end close for an entity; prepares schedules and MIS
4 · Owns statutory financial statements and consolidation
5 · Sets the reporting framework across entities</t>
        </is>
      </c>
      <c r="Q122" s="120" t="inlineStr">
        <is>
          <t>To be rated next cycle</t>
        </is>
      </c>
      <c r="R122" s="120" t="inlineStr">
        <is>
          <t>Accounting test + close walk-through</t>
        </is>
      </c>
      <c r="S122" s="120" t="inlineStr">
        <is>
          <t>CA / CMA / ACCA</t>
        </is>
      </c>
      <c r="T122" s="120" t="inlineStr">
        <is>
          <t>IMA — Reporting &amp; Control; ICAI</t>
        </is>
      </c>
    </row>
    <row r="123" ht="119" customHeight="1">
      <c r="A123" s="120" t="inlineStr">
        <is>
          <t>Department technical</t>
        </is>
      </c>
      <c r="B123" s="120" t="inlineStr">
        <is>
          <t>Taxation &amp; Statutory Compliance · GST, TDS, Income-tax</t>
        </is>
      </c>
      <c r="C123" s="120" t="inlineStr">
        <is>
          <t>Computes, files and defends taxes on time.</t>
        </is>
      </c>
      <c r="D123" s="120" t="inlineStr">
        <is>
          <t>Department</t>
        </is>
      </c>
      <c r="E123" s="176" t="n">
        <v>1</v>
      </c>
      <c r="F123" s="176" t="n">
        <v>2</v>
      </c>
      <c r="G123" s="176" t="n">
        <v>3</v>
      </c>
      <c r="H123" s="176" t="n">
        <v>3</v>
      </c>
      <c r="I123" s="176" t="n">
        <v>4</v>
      </c>
      <c r="J123" s="176" t="n">
        <v>4</v>
      </c>
      <c r="K123" s="176" t="n">
        <v>4</v>
      </c>
      <c r="L123" s="176" t="n">
        <v>4</v>
      </c>
      <c r="M123" s="176" t="n">
        <v>5</v>
      </c>
      <c r="N123" s="176" t="n">
        <v>5</v>
      </c>
      <c r="O123" s="176" t="n">
        <v>4</v>
      </c>
      <c r="P123" s="120" t="inlineStr">
        <is>
          <t>1–2 · Prepares GST / TDS working papers
3 · Files returns; handles notices; transfer-pricing documentation support
4 · Plans tax position; manages assessments and advisors
5 · Sets the tax strategy across geographies</t>
        </is>
      </c>
      <c r="Q123" s="120" t="inlineStr">
        <is>
          <t>To be rated next cycle</t>
        </is>
      </c>
      <c r="R123" s="120" t="inlineStr">
        <is>
          <t>Tax case</t>
        </is>
      </c>
      <c r="S123" s="120" t="inlineStr">
        <is>
          <t>CA / CMA</t>
        </is>
      </c>
      <c r="T123" s="120" t="inlineStr">
        <is>
          <t>IMA — Reporting &amp; Control; CBIC / CBDT rules</t>
        </is>
      </c>
    </row>
    <row r="124" ht="132" customHeight="1">
      <c r="A124" s="120" t="inlineStr">
        <is>
          <t>Department technical</t>
        </is>
      </c>
      <c r="B124" s="120" t="inlineStr">
        <is>
          <t>FP&amp;A, Budgeting &amp; Business Partnering</t>
        </is>
      </c>
      <c r="C124" s="120" t="inlineStr">
        <is>
          <t>Plans, forecasts and explains performance to business leaders.</t>
        </is>
      </c>
      <c r="D124" s="120" t="inlineStr">
        <is>
          <t>Department</t>
        </is>
      </c>
      <c r="E124" s="176" t="n">
        <v>1</v>
      </c>
      <c r="F124" s="176" t="n">
        <v>2</v>
      </c>
      <c r="G124" s="176" t="n">
        <v>3</v>
      </c>
      <c r="H124" s="176" t="n">
        <v>3</v>
      </c>
      <c r="I124" s="176" t="n">
        <v>4</v>
      </c>
      <c r="J124" s="176" t="n">
        <v>4</v>
      </c>
      <c r="K124" s="176" t="n">
        <v>4</v>
      </c>
      <c r="L124" s="176" t="n">
        <v>4</v>
      </c>
      <c r="M124" s="176" t="n">
        <v>5</v>
      </c>
      <c r="N124" s="176" t="n">
        <v>5</v>
      </c>
      <c r="O124" s="176" t="n">
        <v>4</v>
      </c>
      <c r="P124" s="120" t="inlineStr">
        <is>
          <t>1–2 · Updates budget templates
3 · Builds budgets and forecasts for a business; variance analysis
4 · Leads planning cycle; partners business heads on pricing and investment
5 · Sets planning and capital-allocation approach</t>
        </is>
      </c>
      <c r="Q124" s="120" t="inlineStr">
        <is>
          <t>To be rated next cycle</t>
        </is>
      </c>
      <c r="R124" s="120" t="inlineStr">
        <is>
          <t>Modelling case</t>
        </is>
      </c>
      <c r="S124" s="120" t="inlineStr">
        <is>
          <t>CMA / CFA · optional</t>
        </is>
      </c>
      <c r="T124" s="120" t="inlineStr">
        <is>
          <t>IMA — Strategy, Planning &amp; Performance</t>
        </is>
      </c>
    </row>
    <row r="125" ht="106" customHeight="1">
      <c r="A125" s="120" t="inlineStr">
        <is>
          <t>Department technical</t>
        </is>
      </c>
      <c r="B125" s="120" t="inlineStr">
        <is>
          <t>Audit, Internal Controls &amp; Risk</t>
        </is>
      </c>
      <c r="C125" s="120" t="inlineStr">
        <is>
          <t>Designs and tests controls; supports statutory and internal audit.</t>
        </is>
      </c>
      <c r="D125" s="120" t="inlineStr">
        <is>
          <t>Department</t>
        </is>
      </c>
      <c r="E125" s="176" t="n">
        <v>1</v>
      </c>
      <c r="F125" s="176" t="n">
        <v>2</v>
      </c>
      <c r="G125" s="176" t="n">
        <v>3</v>
      </c>
      <c r="H125" s="176" t="n">
        <v>3</v>
      </c>
      <c r="I125" s="176" t="n">
        <v>4</v>
      </c>
      <c r="J125" s="176" t="n">
        <v>4</v>
      </c>
      <c r="K125" s="176" t="n">
        <v>4</v>
      </c>
      <c r="L125" s="176" t="n">
        <v>4</v>
      </c>
      <c r="M125" s="176" t="n">
        <v>5</v>
      </c>
      <c r="N125" s="176" t="n">
        <v>5</v>
      </c>
      <c r="O125" s="176" t="n">
        <v>4</v>
      </c>
      <c r="P125" s="120" t="inlineStr">
        <is>
          <t>1–2 · Prepares audit samples and documentation
3 · Runs internal-control testing; closes audit points
4 · Designs control framework · IFC; leads audits
5 · Sets risk and controls governance with the board</t>
        </is>
      </c>
      <c r="Q125" s="120" t="inlineStr">
        <is>
          <t>To be rated next cycle</t>
        </is>
      </c>
      <c r="R125" s="120" t="inlineStr">
        <is>
          <t>Controls case</t>
        </is>
      </c>
      <c r="S125" s="120" t="inlineStr">
        <is>
          <t>CA / CIA</t>
        </is>
      </c>
      <c r="T125" s="120" t="inlineStr">
        <is>
          <t>IMA — Reporting &amp; Control; Companies Act IFC</t>
        </is>
      </c>
    </row>
    <row r="126" ht="106" customHeight="1">
      <c r="A126" s="120" t="inlineStr">
        <is>
          <t>Department technical</t>
        </is>
      </c>
      <c r="B126" s="120" t="inlineStr">
        <is>
          <t>Treasury, Receivables &amp; Collections</t>
        </is>
      </c>
      <c r="C126" s="120" t="inlineStr">
        <is>
          <t>Manages cash, receivables, payments and banking.</t>
        </is>
      </c>
      <c r="D126" s="120" t="inlineStr">
        <is>
          <t>Department</t>
        </is>
      </c>
      <c r="E126" s="176" t="n">
        <v>1</v>
      </c>
      <c r="F126" s="176" t="n">
        <v>2</v>
      </c>
      <c r="G126" s="176" t="n">
        <v>3</v>
      </c>
      <c r="H126" s="176" t="n">
        <v>3</v>
      </c>
      <c r="I126" s="176" t="n">
        <v>4</v>
      </c>
      <c r="J126" s="176" t="n">
        <v>4</v>
      </c>
      <c r="K126" s="176" t="n">
        <v>4</v>
      </c>
      <c r="L126" s="176" t="n">
        <v>4</v>
      </c>
      <c r="M126" s="176" t="n">
        <v>5</v>
      </c>
      <c r="N126" s="176" t="n">
        <v>5</v>
      </c>
      <c r="O126" s="176" t="n">
        <v>4</v>
      </c>
      <c r="P126" s="120" t="inlineStr">
        <is>
          <t>1–2 · Records receipts and payments
3 · Runs collections and cash forecasting; bank relationships
4 · Optimises working capital and FX exposure
5 · Sets treasury policy</t>
        </is>
      </c>
      <c r="Q126" s="120" t="inlineStr">
        <is>
          <t>To be rated next cycle</t>
        </is>
      </c>
      <c r="R126" s="120" t="inlineStr">
        <is>
          <t>Cash-flow case</t>
        </is>
      </c>
      <c r="S126" s="120" t="inlineStr">
        <is>
          <t>—</t>
        </is>
      </c>
      <c r="T126" s="120" t="inlineStr">
        <is>
          <t>IMA — Business Acumen &amp; Operations</t>
        </is>
      </c>
    </row>
    <row r="127" ht="106" customHeight="1">
      <c r="A127" s="120" t="inlineStr">
        <is>
          <t>Department technical</t>
        </is>
      </c>
      <c r="B127" s="120" t="inlineStr">
        <is>
          <t>Finance Systems &amp; Automation · ERP</t>
        </is>
      </c>
      <c r="C127" s="120" t="inlineStr">
        <is>
          <t>Uses and improves finance systems and automation.</t>
        </is>
      </c>
      <c r="D127" s="120" t="inlineStr">
        <is>
          <t>Department</t>
        </is>
      </c>
      <c r="E127" s="176" t="n">
        <v>1</v>
      </c>
      <c r="F127" s="176" t="n">
        <v>2</v>
      </c>
      <c r="G127" s="176" t="n">
        <v>3</v>
      </c>
      <c r="H127" s="176" t="n">
        <v>3</v>
      </c>
      <c r="I127" s="176" t="n">
        <v>4</v>
      </c>
      <c r="J127" s="176" t="n">
        <v>4</v>
      </c>
      <c r="K127" s="176" t="n">
        <v>4</v>
      </c>
      <c r="L127" s="176" t="n">
        <v>4</v>
      </c>
      <c r="M127" s="176" t="n">
        <v>5</v>
      </c>
      <c r="N127" s="176" t="n">
        <v>5</v>
      </c>
      <c r="O127" s="176" t="n">
        <v>4</v>
      </c>
      <c r="P127" s="120" t="inlineStr">
        <is>
          <t>1–2 · Uses the ERP / accounting system for own tasks
3 · Builds reports and automates reconciliations
4 · Leads ERP changes and finance automation
5 · Sets the finance-technology roadmap</t>
        </is>
      </c>
      <c r="Q127" s="120" t="inlineStr">
        <is>
          <t>To be rated next cycle</t>
        </is>
      </c>
      <c r="R127" s="120" t="inlineStr">
        <is>
          <t>Practical test</t>
        </is>
      </c>
      <c r="S127" s="120" t="inlineStr">
        <is>
          <t>ERP certification · optional</t>
        </is>
      </c>
      <c r="T127" s="120" t="inlineStr">
        <is>
          <t>IMA — Technology &amp; Analytics</t>
        </is>
      </c>
    </row>
    <row r="128" ht="28" customHeight="1">
      <c r="A128" s="134" t="inlineStr">
        <is>
          <t>Leadership</t>
        </is>
      </c>
      <c r="B128" s="134" t="inlineStr">
        <is>
          <t>Leadership cluster · 4 competencies, part C</t>
        </is>
      </c>
      <c r="C128" s="134" t="inlineStr">
        <is>
          <t>Leading people, decisions, strategy and change</t>
        </is>
      </c>
      <c r="D128" s="134" t="inlineStr">
        <is>
          <t>POD Leads and People Managers</t>
        </is>
      </c>
      <c r="E128" s="47" t="inlineStr">
        <is>
          <t>—</t>
        </is>
      </c>
      <c r="F128" s="47" t="inlineStr">
        <is>
          <t>—</t>
        </is>
      </c>
      <c r="G128" s="47" t="inlineStr">
        <is>
          <t>—</t>
        </is>
      </c>
      <c r="H128" s="47" t="inlineStr">
        <is>
          <t>1/2</t>
        </is>
      </c>
      <c r="I128" s="47" t="inlineStr">
        <is>
          <t>2/3</t>
        </is>
      </c>
      <c r="J128" s="47" t="inlineStr">
        <is>
          <t>3/4</t>
        </is>
      </c>
      <c r="K128" s="47" t="inlineStr">
        <is>
          <t>4/4</t>
        </is>
      </c>
      <c r="L128" s="47" t="inlineStr">
        <is>
          <t>4/4</t>
        </is>
      </c>
      <c r="M128" s="47" t="inlineStr">
        <is>
          <t>4/4</t>
        </is>
      </c>
      <c r="N128" s="47" t="inlineStr">
        <is>
          <t>5/5</t>
        </is>
      </c>
      <c r="O128" s="47" t="inlineStr">
        <is>
          <t>5/5</t>
        </is>
      </c>
      <c r="P128" s="134" t="inlineStr">
        <is>
          <t>Required level shown as IC / Manager</t>
        </is>
      </c>
      <c r="Q128" s="134" t="inlineStr">
        <is>
          <t>—</t>
        </is>
      </c>
      <c r="R128" s="134" t="inlineStr">
        <is>
          <t>Behavioural interview; 360 feedback</t>
        </is>
      </c>
      <c r="S128" s="134" t="inlineStr">
        <is>
          <t>—</t>
        </is>
      </c>
      <c r="T128" s="134" t="inlineStr">
        <is>
          <t>S14, S15, S16</t>
        </is>
      </c>
    </row>
    <row r="129" ht="15" customHeight="1"/>
    <row r="130" ht="15" customHeight="1">
      <c r="A130" s="12" t="inlineStr">
        <is>
          <t>Job family</t>
        </is>
      </c>
      <c r="B130" s="12" t="inlineStr">
        <is>
          <t>Education / credentials</t>
        </is>
      </c>
      <c r="C130" s="211" t="n"/>
      <c r="D130" s="12" t="inlineStr">
        <is>
          <t>Gate requirements</t>
        </is>
      </c>
      <c r="E130" s="211" t="n"/>
      <c r="F130" s="12" t="inlineStr">
        <is>
          <t>Learning focus — Band A</t>
        </is>
      </c>
      <c r="G130" s="212" t="n"/>
      <c r="H130" s="212" t="n"/>
      <c r="I130" s="212" t="n"/>
      <c r="J130" s="212" t="n"/>
      <c r="K130" s="211" t="n"/>
      <c r="L130" s="12" t="inlineStr">
        <is>
          <t>Learning focus — Band B</t>
        </is>
      </c>
      <c r="M130" s="212" t="n"/>
      <c r="N130" s="212" t="n"/>
      <c r="O130" s="212" t="n"/>
      <c r="P130" s="211" t="n"/>
      <c r="Q130" s="12" t="inlineStr">
        <is>
          <t>Learning focus — Band C+</t>
        </is>
      </c>
      <c r="R130" s="211" t="n"/>
      <c r="S130" s="12" t="inlineStr">
        <is>
          <t>Future skills</t>
        </is>
      </c>
      <c r="T130" s="211" t="n"/>
    </row>
    <row r="131" ht="93" customHeight="1">
      <c r="A131" s="13" t="inlineStr">
        <is>
          <t>Finance &amp; Accounts</t>
        </is>
      </c>
      <c r="B131" s="16" t="inlineStr">
        <is>
          <t>B.Com / M.Com / CA / CMA</t>
        </is>
      </c>
      <c r="C131" s="211" t="n"/>
      <c r="D131" s="16" t="inlineStr">
        <is>
          <t>Statutory compliance · GST, TDS, audit</t>
        </is>
      </c>
      <c r="E131" s="211" t="n"/>
      <c r="F131" s="16" t="inlineStr">
        <is>
          <t>Mandatory path · POSH, Code of Conduct, InfoSec; Accounting &amp; Reporting Standards · IFRS/US GAAP, Advanced Excel &amp; Productivity Tools to Working → Practitioner; AI literacy to 2; learn by mentoring and KT.</t>
        </is>
      </c>
      <c r="G131" s="212" t="n"/>
      <c r="H131" s="212" t="n"/>
      <c r="I131" s="212" t="n"/>
      <c r="J131" s="212" t="n"/>
      <c r="K131" s="211" t="n"/>
      <c r="L131" s="16" t="inlineStr">
        <is>
          <t>Accounting &amp; Reporting Standards · IFRS/US GAAP, Advanced Excel &amp; Productivity Tools to Advanced; Regulatory &amp; BFSI Domain, Data Analytics, BI &amp; Visualisation, Process Improvement &amp; Quality Mindset to Practitioner; POD Leads / Managers: leading people, delegation, feedback.</t>
        </is>
      </c>
      <c r="M131" s="212" t="n"/>
      <c r="N131" s="212" t="n"/>
      <c r="O131" s="212" t="n"/>
      <c r="P131" s="211" t="n"/>
      <c r="Q131" s="16" t="inlineStr">
        <is>
          <t>Expert in one must-have; strategy &amp; business acumen; building the bench; AI-enabled processes for the function.</t>
        </is>
      </c>
      <c r="R131" s="211" t="n"/>
      <c r="S131" s="16" t="inlineStr">
        <is>
          <t>Finance automation, FP&amp;A analytics, AI in close &amp; reconciliation</t>
        </is>
      </c>
      <c r="T131" s="211" t="n"/>
    </row>
    <row r="132" ht="80" customHeight="1">
      <c r="A132" s="13" t="inlineStr">
        <is>
          <t>Executive Leadership</t>
        </is>
      </c>
      <c r="B132" s="16" t="inlineStr">
        <is>
          <t>Postgraduate / professional qualification</t>
        </is>
      </c>
      <c r="C132" s="211" t="n"/>
      <c r="D132" s="16" t="inlineStr">
        <is>
          <t>Governance, risk and regulatory accountability</t>
        </is>
      </c>
      <c r="E132" s="211" t="n"/>
      <c r="F132" s="16" t="inlineStr">
        <is>
          <t>Mandatory path · POSH, Code of Conduct, InfoSec; Strategic Thinking &amp; Business Acumen, People Leadership &amp; Mentoring to Working → Practitioner; AI literacy to 2; learn by mentoring and KT.</t>
        </is>
      </c>
      <c r="G132" s="212" t="n"/>
      <c r="H132" s="212" t="n"/>
      <c r="I132" s="212" t="n"/>
      <c r="J132" s="212" t="n"/>
      <c r="K132" s="211" t="n"/>
      <c r="L132" s="16" t="inlineStr">
        <is>
          <t>Strategic Thinking &amp; Business Acumen, People Leadership &amp; Mentoring to Advanced; Stakeholder &amp; Client Management, Product, Platform &amp; Domain Knowledge, Regulatory &amp; BFSI Domain to Practitioner; POD Leads / Managers: leading people, delegation, feedback.</t>
        </is>
      </c>
      <c r="M132" s="212" t="n"/>
      <c r="N132" s="212" t="n"/>
      <c r="O132" s="212" t="n"/>
      <c r="P132" s="211" t="n"/>
      <c r="Q132" s="16" t="inlineStr">
        <is>
          <t>Expert in one must-have; strategy &amp; business acumen; building the bench; AI-enabled processes for the function.</t>
        </is>
      </c>
      <c r="R132" s="211" t="n"/>
      <c r="S132" s="16" t="inlineStr">
        <is>
          <t>AI strategy &amp; governance, sustainability, digital business models</t>
        </is>
      </c>
      <c r="T132" s="211" t="n"/>
    </row>
    <row r="133" ht="15" customHeight="1"/>
    <row r="134" ht="15" customHeight="1"/>
    <row r="135" ht="20" customHeight="1">
      <c r="A135" s="173" t="inlineStr">
        <is>
          <t>HR — 8 people · Corporate functions · levels A2–D2</t>
        </is>
      </c>
    </row>
    <row r="136" ht="15" customHeight="1">
      <c r="A136" s="17" t="inlineStr">
        <is>
          <t>Job families: Human Resources</t>
        </is>
      </c>
    </row>
    <row r="137" ht="15" customHeight="1">
      <c r="A137" s="12" t="inlineStr">
        <is>
          <t>Capability health today · indicative, from survey + KRAs</t>
        </is>
      </c>
      <c r="B137" s="212" t="n"/>
      <c r="C137" s="212" t="n"/>
      <c r="D137" s="212" t="n"/>
      <c r="E137" s="211" t="n"/>
      <c r="F137" s="12" t="inlineStr">
        <is>
          <t>Result</t>
        </is>
      </c>
      <c r="G137" s="212" t="n"/>
      <c r="H137" s="212" t="n"/>
      <c r="I137" s="212" t="n"/>
      <c r="J137" s="212" t="n"/>
      <c r="K137" s="212" t="n"/>
      <c r="L137" s="212" t="n"/>
      <c r="M137" s="212" t="n"/>
      <c r="N137" s="212" t="n"/>
      <c r="O137" s="212" t="n"/>
      <c r="P137" s="212" t="n"/>
      <c r="Q137" s="212" t="n"/>
      <c r="R137" s="211" t="n"/>
    </row>
    <row r="138" ht="15" customHeight="1">
      <c r="A138" s="13" t="inlineStr">
        <is>
          <t>People assessed · meet or exceed their level</t>
        </is>
      </c>
      <c r="B138" s="212" t="n"/>
      <c r="C138" s="212" t="n"/>
      <c r="D138" s="212" t="n"/>
      <c r="E138" s="211" t="n"/>
      <c r="F138" s="16" t="inlineStr">
        <is>
          <t>6 · 0</t>
        </is>
      </c>
      <c r="G138" s="212" t="n"/>
      <c r="H138" s="212" t="n"/>
      <c r="I138" s="212" t="n"/>
      <c r="J138" s="212" t="n"/>
      <c r="K138" s="212" t="n"/>
      <c r="L138" s="212" t="n"/>
      <c r="M138" s="212" t="n"/>
      <c r="N138" s="212" t="n"/>
      <c r="O138" s="212" t="n"/>
      <c r="P138" s="212" t="n"/>
      <c r="Q138" s="212" t="n"/>
      <c r="R138" s="211" t="n"/>
    </row>
    <row r="139" ht="15" customHeight="1">
      <c r="A139" s="13" t="inlineStr">
        <is>
          <t>Average index · Core · Future-ready · Functional · Leadership · % of required</t>
        </is>
      </c>
      <c r="B139" s="212" t="n"/>
      <c r="C139" s="212" t="n"/>
      <c r="D139" s="212" t="n"/>
      <c r="E139" s="211" t="n"/>
      <c r="F139" s="16" t="inlineStr">
        <is>
          <t>81% · 91% · 65% · 81% · 77%</t>
        </is>
      </c>
      <c r="G139" s="212" t="n"/>
      <c r="H139" s="212" t="n"/>
      <c r="I139" s="212" t="n"/>
      <c r="J139" s="212" t="n"/>
      <c r="K139" s="212" t="n"/>
      <c r="L139" s="212" t="n"/>
      <c r="M139" s="212" t="n"/>
      <c r="N139" s="212" t="n"/>
      <c r="O139" s="212" t="n"/>
      <c r="P139" s="212" t="n"/>
      <c r="Q139" s="212" t="n"/>
      <c r="R139" s="211" t="n"/>
    </row>
    <row r="140" ht="15" customHeight="1">
      <c r="A140" s="13" t="inlineStr">
        <is>
          <t>Most common competency gaps · people</t>
        </is>
      </c>
      <c r="B140" s="212" t="n"/>
      <c r="C140" s="212" t="n"/>
      <c r="D140" s="212" t="n"/>
      <c r="E140" s="211" t="n"/>
      <c r="F140" s="16" t="inlineStr">
        <is>
          <t>Analytics &amp; BI · Communication · People leadership · Stakeholder mgmt · Quality &amp; process</t>
        </is>
      </c>
      <c r="G140" s="212" t="n"/>
      <c r="H140" s="212" t="n"/>
      <c r="I140" s="212" t="n"/>
      <c r="J140" s="212" t="n"/>
      <c r="K140" s="212" t="n"/>
      <c r="L140" s="212" t="n"/>
      <c r="M140" s="212" t="n"/>
      <c r="N140" s="212" t="n"/>
      <c r="O140" s="212" t="n"/>
      <c r="P140" s="212" t="n"/>
      <c r="Q140" s="212" t="n"/>
      <c r="R140" s="211" t="n"/>
    </row>
    <row r="141" ht="28" customHeight="1">
      <c r="A141" s="13" t="inlineStr">
        <is>
          <t>Role-based development priorities · people</t>
        </is>
      </c>
      <c r="B141" s="212" t="n"/>
      <c r="C141" s="212" t="n"/>
      <c r="D141" s="212" t="n"/>
      <c r="E141" s="211" t="n"/>
      <c r="F141" s="16" t="inlineStr">
        <is>
          <t>Project, Program &amp; Agile Management · Strategic Thinking &amp; Business Acumen · People Leadership &amp; Mentoring · Process Improvement &amp; Quality Mindset · AI, GenAI &amp; Prompt Engineering · Stakeholder &amp; Client Management</t>
        </is>
      </c>
      <c r="G141" s="212" t="n"/>
      <c r="H141" s="212" t="n"/>
      <c r="I141" s="212" t="n"/>
      <c r="J141" s="212" t="n"/>
      <c r="K141" s="212" t="n"/>
      <c r="L141" s="212" t="n"/>
      <c r="M141" s="212" t="n"/>
      <c r="N141" s="212" t="n"/>
      <c r="O141" s="212" t="n"/>
      <c r="P141" s="212" t="n"/>
      <c r="Q141" s="212" t="n"/>
      <c r="R141" s="211" t="n"/>
    </row>
    <row r="142" ht="15" customHeight="1">
      <c r="A142" s="13" t="inlineStr">
        <is>
          <t>Manager-identified training themes</t>
        </is>
      </c>
      <c r="B142" s="212" t="n"/>
      <c r="C142" s="212" t="n"/>
      <c r="D142" s="212" t="n"/>
      <c r="E142" s="211" t="n"/>
      <c r="F142" s="16" t="inlineStr">
        <is>
          <t>—</t>
        </is>
      </c>
      <c r="G142" s="212" t="n"/>
      <c r="H142" s="212" t="n"/>
      <c r="I142" s="212" t="n"/>
      <c r="J142" s="212" t="n"/>
      <c r="K142" s="212" t="n"/>
      <c r="L142" s="212" t="n"/>
      <c r="M142" s="212" t="n"/>
      <c r="N142" s="212" t="n"/>
      <c r="O142" s="212" t="n"/>
      <c r="P142" s="212" t="n"/>
      <c r="Q142" s="212" t="n"/>
      <c r="R142" s="211" t="n"/>
    </row>
    <row r="143" ht="15" customHeight="1">
      <c r="A143" s="13" t="inlineStr">
        <is>
          <t>What helped people learn · survey</t>
        </is>
      </c>
      <c r="B143" s="212" t="n"/>
      <c r="C143" s="212" t="n"/>
      <c r="D143" s="212" t="n"/>
      <c r="E143" s="211" t="n"/>
      <c r="F143" s="16" t="inlineStr">
        <is>
          <t>On-the-job / hands-on · Mentoring / guidance from seniors</t>
        </is>
      </c>
      <c r="G143" s="212" t="n"/>
      <c r="H143" s="212" t="n"/>
      <c r="I143" s="212" t="n"/>
      <c r="J143" s="212" t="n"/>
      <c r="K143" s="212" t="n"/>
      <c r="L143" s="212" t="n"/>
      <c r="M143" s="212" t="n"/>
      <c r="N143" s="212" t="n"/>
      <c r="O143" s="212" t="n"/>
      <c r="P143" s="212" t="n"/>
      <c r="Q143" s="212" t="n"/>
      <c r="R143" s="211" t="n"/>
    </row>
    <row r="144" ht="15" customHeight="1">
      <c r="A144" s="13" t="inlineStr">
        <is>
          <t>How the work is changing</t>
        </is>
      </c>
      <c r="B144" s="212" t="n"/>
      <c r="C144" s="212" t="n"/>
      <c r="D144" s="212" t="n"/>
      <c r="E144" s="211" t="n"/>
      <c r="F144" s="16" t="inlineStr">
        <is>
          <t>2 of 4 say the role is changing because of AI / automation</t>
        </is>
      </c>
      <c r="G144" s="212" t="n"/>
      <c r="H144" s="212" t="n"/>
      <c r="I144" s="212" t="n"/>
      <c r="J144" s="212" t="n"/>
      <c r="K144" s="212" t="n"/>
      <c r="L144" s="212" t="n"/>
      <c r="M144" s="212" t="n"/>
      <c r="N144" s="212" t="n"/>
      <c r="O144" s="212" t="n"/>
      <c r="P144" s="212" t="n"/>
      <c r="Q144" s="212" t="n"/>
      <c r="R144" s="211" t="n"/>
    </row>
    <row r="145" ht="15" customHeight="1">
      <c r="A145" s="13" t="inlineStr">
        <is>
          <t>Lateral moves the evidence supports · people</t>
        </is>
      </c>
      <c r="B145" s="212" t="n"/>
      <c r="C145" s="212" t="n"/>
      <c r="D145" s="212" t="n"/>
      <c r="E145" s="211" t="n"/>
      <c r="F145" s="16" t="inlineStr">
        <is>
          <t>No strong match yet</t>
        </is>
      </c>
      <c r="G145" s="212" t="n"/>
      <c r="H145" s="212" t="n"/>
      <c r="I145" s="212" t="n"/>
      <c r="J145" s="212" t="n"/>
      <c r="K145" s="212" t="n"/>
      <c r="L145" s="212" t="n"/>
      <c r="M145" s="212" t="n"/>
      <c r="N145" s="212" t="n"/>
      <c r="O145" s="212" t="n"/>
      <c r="P145" s="212" t="n"/>
      <c r="Q145" s="212" t="n"/>
      <c r="R145" s="211" t="n"/>
    </row>
    <row r="146" ht="15" customHeight="1"/>
    <row r="147" ht="28" customHeight="1">
      <c r="A147" s="12" t="inlineStr">
        <is>
          <t>Cluster</t>
        </is>
      </c>
      <c r="B147" s="12" t="inlineStr">
        <is>
          <t>Competency · ★ = must-have</t>
        </is>
      </c>
      <c r="C147" s="12" t="inlineStr">
        <is>
          <t>Definition</t>
        </is>
      </c>
      <c r="D147" s="12" t="inlineStr">
        <is>
          <t>Must-have for</t>
        </is>
      </c>
      <c r="E147" s="12" t="inlineStr">
        <is>
          <t>A1</t>
        </is>
      </c>
      <c r="F147" s="12" t="inlineStr">
        <is>
          <t>A2</t>
        </is>
      </c>
      <c r="G147" s="12" t="inlineStr">
        <is>
          <t>A3</t>
        </is>
      </c>
      <c r="H147" s="12" t="inlineStr">
        <is>
          <t>B1</t>
        </is>
      </c>
      <c r="I147" s="12" t="inlineStr">
        <is>
          <t>B2</t>
        </is>
      </c>
      <c r="J147" s="12" t="inlineStr">
        <is>
          <t>B3</t>
        </is>
      </c>
      <c r="K147" s="12" t="inlineStr">
        <is>
          <t>B+</t>
        </is>
      </c>
      <c r="L147" s="12" t="inlineStr">
        <is>
          <t>C1</t>
        </is>
      </c>
      <c r="M147" s="12" t="inlineStr">
        <is>
          <t>C2</t>
        </is>
      </c>
      <c r="N147" s="12" t="inlineStr">
        <is>
          <t>C+</t>
        </is>
      </c>
      <c r="O147" s="12" t="inlineStr">
        <is>
          <t>D1</t>
        </is>
      </c>
      <c r="P147" s="12" t="inlineStr">
        <is>
          <t>What good looks like · by proficiency</t>
        </is>
      </c>
      <c r="Q147" s="12" t="inlineStr">
        <is>
          <t>What IRIS top performers do · survey</t>
        </is>
      </c>
      <c r="R147" s="12" t="inlineStr">
        <is>
          <t>How to assess</t>
        </is>
      </c>
      <c r="S147" s="12" t="inlineStr">
        <is>
          <t>Credentials</t>
        </is>
      </c>
      <c r="T147" s="12" t="inlineStr">
        <is>
          <t>Reference</t>
        </is>
      </c>
    </row>
    <row r="148" ht="67" customHeight="1">
      <c r="A148" s="174" t="inlineStr">
        <is>
          <t>Functional</t>
        </is>
      </c>
      <c r="B148" s="174" t="inlineStr">
        <is>
          <t>★ Stakeholder &amp; Client Management</t>
        </is>
      </c>
      <c r="C148" s="174" t="inlineStr">
        <is>
          <t>Manages clients and stakeholders; handles changing requests.</t>
        </is>
      </c>
      <c r="D148" s="174" t="inlineStr">
        <is>
          <t>Human Resources</t>
        </is>
      </c>
      <c r="E148" s="175" t="n">
        <v>1</v>
      </c>
      <c r="F148" s="175" t="n">
        <v>2</v>
      </c>
      <c r="G148" s="175" t="n">
        <v>3</v>
      </c>
      <c r="H148" s="175" t="n">
        <v>3</v>
      </c>
      <c r="I148" s="175" t="n">
        <v>4</v>
      </c>
      <c r="J148" s="175" t="n">
        <v>4</v>
      </c>
      <c r="K148" s="175" t="n">
        <v>4</v>
      </c>
      <c r="L148" s="175" t="n">
        <v>4</v>
      </c>
      <c r="M148" s="175" t="n">
        <v>5</v>
      </c>
      <c r="N148" s="175" t="n">
        <v>5</v>
      </c>
      <c r="O148" s="175" t="n">
        <v>4</v>
      </c>
      <c r="P148" s="174" t="inlineStr">
        <is>
          <t>3 · Manages client communication and expectations for own work
4 · Owns key relationships; resolves escalations</t>
        </is>
      </c>
      <c r="Q148" s="174" t="inlineStr">
        <is>
          <t>—</t>
        </is>
      </c>
      <c r="R148" s="174" t="inlineStr">
        <is>
          <t>Role play / behavioural interview</t>
        </is>
      </c>
      <c r="S148" s="174" t="inlineStr">
        <is>
          <t>—</t>
        </is>
      </c>
      <c r="T148" s="174" t="inlineStr">
        <is>
          <t>Family set</t>
        </is>
      </c>
    </row>
    <row r="149" ht="54" customHeight="1">
      <c r="A149" s="174" t="inlineStr">
        <is>
          <t>Functional</t>
        </is>
      </c>
      <c r="B149" s="174" t="inlineStr">
        <is>
          <t>★ Communication &amp; Presentation</t>
        </is>
      </c>
      <c r="C149" s="174" t="inlineStr">
        <is>
          <t>Writes and presents clearly to clients and teams.</t>
        </is>
      </c>
      <c r="D149" s="174" t="inlineStr">
        <is>
          <t>Human Resources</t>
        </is>
      </c>
      <c r="E149" s="175" t="n">
        <v>1</v>
      </c>
      <c r="F149" s="175" t="n">
        <v>2</v>
      </c>
      <c r="G149" s="175" t="n">
        <v>3</v>
      </c>
      <c r="H149" s="175" t="n">
        <v>3</v>
      </c>
      <c r="I149" s="175" t="n">
        <v>4</v>
      </c>
      <c r="J149" s="175" t="n">
        <v>4</v>
      </c>
      <c r="K149" s="175" t="n">
        <v>4</v>
      </c>
      <c r="L149" s="175" t="n">
        <v>4</v>
      </c>
      <c r="M149" s="175" t="n">
        <v>5</v>
      </c>
      <c r="N149" s="175" t="n">
        <v>5</v>
      </c>
      <c r="O149" s="175" t="n">
        <v>4</v>
      </c>
      <c r="P149" s="174" t="inlineStr">
        <is>
          <t>3 · Writes and presents clearly to clients and teams
4 · Presents to senior stakeholders; shapes messaging</t>
        </is>
      </c>
      <c r="Q149" s="174" t="inlineStr">
        <is>
          <t>—</t>
        </is>
      </c>
      <c r="R149" s="174" t="inlineStr">
        <is>
          <t>Presentation / writing test</t>
        </is>
      </c>
      <c r="S149" s="174" t="inlineStr">
        <is>
          <t>—</t>
        </is>
      </c>
      <c r="T149" s="174" t="inlineStr">
        <is>
          <t>Family set</t>
        </is>
      </c>
    </row>
    <row r="150" ht="54" customHeight="1">
      <c r="A150" s="174" t="inlineStr">
        <is>
          <t>Functional</t>
        </is>
      </c>
      <c r="B150" s="174" t="inlineStr">
        <is>
          <t>Data Analytics, BI &amp; Visualisation</t>
        </is>
      </c>
      <c r="C150" s="174" t="inlineStr">
        <is>
          <t>Turns data into MIS, dashboards and insight.</t>
        </is>
      </c>
      <c r="D150" s="174" t="inlineStr">
        <is>
          <t>—</t>
        </is>
      </c>
      <c r="E150" s="175" t="n">
        <v>1</v>
      </c>
      <c r="F150" s="175" t="n">
        <v>2</v>
      </c>
      <c r="G150" s="175" t="n">
        <v>3</v>
      </c>
      <c r="H150" s="175" t="n">
        <v>3</v>
      </c>
      <c r="I150" s="175" t="n">
        <v>4</v>
      </c>
      <c r="J150" s="175" t="n">
        <v>4</v>
      </c>
      <c r="K150" s="175" t="n">
        <v>4</v>
      </c>
      <c r="L150" s="175" t="n">
        <v>4</v>
      </c>
      <c r="M150" s="175" t="n">
        <v>5</v>
      </c>
      <c r="N150" s="175" t="n">
        <v>5</v>
      </c>
      <c r="O150" s="175" t="n">
        <v>4</v>
      </c>
      <c r="P150" s="174" t="inlineStr">
        <is>
          <t>3 · Builds MIS, dashboards and analysis
4 · Defines metrics and analytics approach for a business</t>
        </is>
      </c>
      <c r="Q150" s="174" t="inlineStr">
        <is>
          <t>—</t>
        </is>
      </c>
      <c r="R150" s="174" t="inlineStr">
        <is>
          <t>Data case / practical</t>
        </is>
      </c>
      <c r="S150" s="174" t="inlineStr">
        <is>
          <t>Power BI / Tableau · optional</t>
        </is>
      </c>
      <c r="T150" s="174" t="inlineStr">
        <is>
          <t>Family set</t>
        </is>
      </c>
    </row>
    <row r="151" ht="67" customHeight="1">
      <c r="A151" s="174" t="inlineStr">
        <is>
          <t>Functional</t>
        </is>
      </c>
      <c r="B151" s="174" t="inlineStr">
        <is>
          <t>Process Improvement &amp; Quality Mindset</t>
        </is>
      </c>
      <c r="C151" s="174" t="inlineStr">
        <is>
          <t>Gets it right first time; improves processes and checklists.</t>
        </is>
      </c>
      <c r="D151" s="174" t="inlineStr">
        <is>
          <t>—</t>
        </is>
      </c>
      <c r="E151" s="175" t="n">
        <v>1</v>
      </c>
      <c r="F151" s="175" t="n">
        <v>2</v>
      </c>
      <c r="G151" s="175" t="n">
        <v>3</v>
      </c>
      <c r="H151" s="175" t="n">
        <v>3</v>
      </c>
      <c r="I151" s="175" t="n">
        <v>4</v>
      </c>
      <c r="J151" s="175" t="n">
        <v>4</v>
      </c>
      <c r="K151" s="175" t="n">
        <v>4</v>
      </c>
      <c r="L151" s="175" t="n">
        <v>4</v>
      </c>
      <c r="M151" s="175" t="n">
        <v>5</v>
      </c>
      <c r="N151" s="175" t="n">
        <v>5</v>
      </c>
      <c r="O151" s="175" t="n">
        <v>4</v>
      </c>
      <c r="P151" s="174" t="inlineStr">
        <is>
          <t>3 · Delivers right-first-time; improves own checklists
4 · Redesigns team processes; reduces error rates measurably</t>
        </is>
      </c>
      <c r="Q151" s="174" t="inlineStr">
        <is>
          <t>—</t>
        </is>
      </c>
      <c r="R151" s="174" t="inlineStr">
        <is>
          <t>Work sample / case</t>
        </is>
      </c>
      <c r="S151" s="174" t="inlineStr">
        <is>
          <t>Lean / Six Sigma · optional</t>
        </is>
      </c>
      <c r="T151" s="174" t="inlineStr">
        <is>
          <t>Family set</t>
        </is>
      </c>
    </row>
    <row r="152" ht="54" customHeight="1">
      <c r="A152" s="174" t="inlineStr">
        <is>
          <t>Functional</t>
        </is>
      </c>
      <c r="B152" s="174" t="inlineStr">
        <is>
          <t>People Leadership &amp; Mentoring</t>
        </is>
      </c>
      <c r="C152" s="174" t="inlineStr">
        <is>
          <t>Allocates, coaches and develops people.</t>
        </is>
      </c>
      <c r="D152" s="174" t="inlineStr">
        <is>
          <t>—</t>
        </is>
      </c>
      <c r="E152" s="175" t="n">
        <v>1</v>
      </c>
      <c r="F152" s="175" t="n">
        <v>2</v>
      </c>
      <c r="G152" s="175" t="n">
        <v>3</v>
      </c>
      <c r="H152" s="175" t="n">
        <v>3</v>
      </c>
      <c r="I152" s="175" t="n">
        <v>4</v>
      </c>
      <c r="J152" s="175" t="n">
        <v>4</v>
      </c>
      <c r="K152" s="175" t="n">
        <v>4</v>
      </c>
      <c r="L152" s="175" t="n">
        <v>4</v>
      </c>
      <c r="M152" s="175" t="n">
        <v>5</v>
      </c>
      <c r="N152" s="175" t="n">
        <v>5</v>
      </c>
      <c r="O152" s="175" t="n">
        <v>4</v>
      </c>
      <c r="P152" s="174" t="inlineStr">
        <is>
          <t>3 · Coaches and allocates work
4 · Leads leaders; builds succession</t>
        </is>
      </c>
      <c r="Q152" s="174" t="inlineStr">
        <is>
          <t>—</t>
        </is>
      </c>
      <c r="R152" s="174" t="inlineStr">
        <is>
          <t>Behavioural interview</t>
        </is>
      </c>
      <c r="S152" s="174" t="inlineStr">
        <is>
          <t>—</t>
        </is>
      </c>
      <c r="T152" s="174" t="inlineStr">
        <is>
          <t>Family set</t>
        </is>
      </c>
    </row>
    <row r="153" ht="67" customHeight="1">
      <c r="A153" s="174" t="inlineStr">
        <is>
          <t>Functional</t>
        </is>
      </c>
      <c r="B153" s="174" t="inlineStr">
        <is>
          <t>Advanced Excel &amp; Productivity Tools</t>
        </is>
      </c>
      <c r="C153" s="174" t="inlineStr">
        <is>
          <t>Uses Excel, Word, HTML and conversion tools expertly.</t>
        </is>
      </c>
      <c r="D153" s="174" t="inlineStr">
        <is>
          <t>—</t>
        </is>
      </c>
      <c r="E153" s="175" t="n">
        <v>1</v>
      </c>
      <c r="F153" s="175" t="n">
        <v>2</v>
      </c>
      <c r="G153" s="175" t="n">
        <v>3</v>
      </c>
      <c r="H153" s="175" t="n">
        <v>3</v>
      </c>
      <c r="I153" s="175" t="n">
        <v>4</v>
      </c>
      <c r="J153" s="175" t="n">
        <v>4</v>
      </c>
      <c r="K153" s="175" t="n">
        <v>4</v>
      </c>
      <c r="L153" s="175" t="n">
        <v>4</v>
      </c>
      <c r="M153" s="175" t="n">
        <v>5</v>
      </c>
      <c r="N153" s="175" t="n">
        <v>5</v>
      </c>
      <c r="O153" s="175" t="n">
        <v>4</v>
      </c>
      <c r="P153" s="174" t="inlineStr">
        <is>
          <t>3 · Uses advanced Excel, Word, HTML and conversion tools fluently
4 · Builds templates and automation used by the team</t>
        </is>
      </c>
      <c r="Q153" s="174" t="inlineStr">
        <is>
          <t>—</t>
        </is>
      </c>
      <c r="R153" s="174" t="inlineStr">
        <is>
          <t>Practical test</t>
        </is>
      </c>
      <c r="S153" s="174" t="inlineStr">
        <is>
          <t>MOS Excel · optional</t>
        </is>
      </c>
      <c r="T153" s="174" t="inlineStr">
        <is>
          <t>Family set</t>
        </is>
      </c>
    </row>
    <row r="154" ht="158" customHeight="1">
      <c r="A154" s="120" t="inlineStr">
        <is>
          <t>Department technical</t>
        </is>
      </c>
      <c r="B154" s="120" t="inlineStr">
        <is>
          <t>Talent Acquisition &amp; Employer Brand</t>
        </is>
      </c>
      <c r="C154" s="120" t="inlineStr">
        <is>
          <t>Sources, assesses and closes the right talent; builds IRIS's employer brand.</t>
        </is>
      </c>
      <c r="D154" s="120" t="inlineStr">
        <is>
          <t>Department</t>
        </is>
      </c>
      <c r="E154" s="176" t="n">
        <v>1</v>
      </c>
      <c r="F154" s="176" t="n">
        <v>2</v>
      </c>
      <c r="G154" s="176" t="n">
        <v>3</v>
      </c>
      <c r="H154" s="176" t="n">
        <v>3</v>
      </c>
      <c r="I154" s="176" t="n">
        <v>4</v>
      </c>
      <c r="J154" s="176" t="n">
        <v>4</v>
      </c>
      <c r="K154" s="176" t="n">
        <v>4</v>
      </c>
      <c r="L154" s="176" t="n">
        <v>4</v>
      </c>
      <c r="M154" s="176" t="n">
        <v>5</v>
      </c>
      <c r="N154" s="176" t="n">
        <v>5</v>
      </c>
      <c r="O154" s="176" t="n">
        <v>4</v>
      </c>
      <c r="P154" s="120" t="inlineStr">
        <is>
          <t>1–2 · Screens profiles, schedules interviews, keeps the tracker clean
3 · Runs end-to-end hiring for roles; structured interviews; offer closure
4 · Designs sourcing strategy, campus and lateral programmes; hiring analytics
5 · Sets the talent strategy and employer value proposition for IRIS</t>
        </is>
      </c>
      <c r="Q154" s="120" t="inlineStr">
        <is>
          <t>To be rated next cycle</t>
        </is>
      </c>
      <c r="R154" s="120" t="inlineStr">
        <is>
          <t>Hiring case + interview simulation</t>
        </is>
      </c>
      <c r="S154" s="120" t="inlineStr">
        <is>
          <t>SHRM-CP / LinkedIn Talent certifications · optional</t>
        </is>
      </c>
      <c r="T154" s="120" t="inlineStr">
        <is>
          <t>SHRM BASK; CIPD Profession Map — Resourcing</t>
        </is>
      </c>
    </row>
    <row r="155" ht="145" customHeight="1">
      <c r="A155" s="120" t="inlineStr">
        <is>
          <t>Department technical</t>
        </is>
      </c>
      <c r="B155" s="120" t="inlineStr">
        <is>
          <t>HR Operations, Payroll &amp; Labour-Law Compliance</t>
        </is>
      </c>
      <c r="C155" s="120" t="inlineStr">
        <is>
          <t>Runs the employee lifecycle, payroll inputs and statutory compliance accurately.</t>
        </is>
      </c>
      <c r="D155" s="120" t="inlineStr">
        <is>
          <t>Department</t>
        </is>
      </c>
      <c r="E155" s="176" t="n">
        <v>1</v>
      </c>
      <c r="F155" s="176" t="n">
        <v>2</v>
      </c>
      <c r="G155" s="176" t="n">
        <v>3</v>
      </c>
      <c r="H155" s="176" t="n">
        <v>3</v>
      </c>
      <c r="I155" s="176" t="n">
        <v>4</v>
      </c>
      <c r="J155" s="176" t="n">
        <v>4</v>
      </c>
      <c r="K155" s="176" t="n">
        <v>4</v>
      </c>
      <c r="L155" s="176" t="n">
        <v>4</v>
      </c>
      <c r="M155" s="176" t="n">
        <v>5</v>
      </c>
      <c r="N155" s="176" t="n">
        <v>5</v>
      </c>
      <c r="O155" s="176" t="n">
        <v>4</v>
      </c>
      <c r="P155" s="120" t="inlineStr">
        <is>
          <t>1–2 · Processes joining, exits and records in Keka
3 · Owns payroll inputs, PF / ESI / gratuity, statutory registers; audit-ready
4 · Designs HR operations, policies and controls; handles inspections
5 · Sets the compliance and HR-operations model across entities</t>
        </is>
      </c>
      <c r="Q155" s="120" t="inlineStr">
        <is>
          <t>To be rated next cycle</t>
        </is>
      </c>
      <c r="R155" s="120" t="inlineStr">
        <is>
          <t>Process walk-through + compliance quiz</t>
        </is>
      </c>
      <c r="S155" s="120" t="inlineStr">
        <is>
          <t>Labour-law certificate · optional</t>
        </is>
      </c>
      <c r="T155" s="120" t="inlineStr">
        <is>
          <t>SHRM BASK — HR Expertise; Indian labour codes</t>
        </is>
      </c>
    </row>
    <row r="156" ht="132" customHeight="1">
      <c r="A156" s="120" t="inlineStr">
        <is>
          <t>Department technical</t>
        </is>
      </c>
      <c r="B156" s="120" t="inlineStr">
        <is>
          <t>Employee Relations, Engagement &amp; POSH</t>
        </is>
      </c>
      <c r="C156" s="120" t="inlineStr">
        <is>
          <t>Builds a fair, safe and engaged workplace; handles grievances and investigations.</t>
        </is>
      </c>
      <c r="D156" s="120" t="inlineStr">
        <is>
          <t>Department</t>
        </is>
      </c>
      <c r="E156" s="176" t="n">
        <v>1</v>
      </c>
      <c r="F156" s="176" t="n">
        <v>2</v>
      </c>
      <c r="G156" s="176" t="n">
        <v>3</v>
      </c>
      <c r="H156" s="176" t="n">
        <v>3</v>
      </c>
      <c r="I156" s="176" t="n">
        <v>4</v>
      </c>
      <c r="J156" s="176" t="n">
        <v>4</v>
      </c>
      <c r="K156" s="176" t="n">
        <v>4</v>
      </c>
      <c r="L156" s="176" t="n">
        <v>4</v>
      </c>
      <c r="M156" s="176" t="n">
        <v>5</v>
      </c>
      <c r="N156" s="176" t="n">
        <v>5</v>
      </c>
      <c r="O156" s="176" t="n">
        <v>4</v>
      </c>
      <c r="P156" s="120" t="inlineStr">
        <is>
          <t>1–2 · Runs engagement activities; logs grievances
3 · Handles grievances and POSH process steps; runs engagement surveys
4 · Leads investigations and engagement strategy; coaches managers
5 · Shapes culture and ER policy for the enterprise</t>
        </is>
      </c>
      <c r="Q156" s="120" t="inlineStr">
        <is>
          <t>To be rated next cycle</t>
        </is>
      </c>
      <c r="R156" s="120" t="inlineStr">
        <is>
          <t>Case role-play</t>
        </is>
      </c>
      <c r="S156" s="120" t="inlineStr">
        <is>
          <t>POSH IC training</t>
        </is>
      </c>
      <c r="T156" s="120" t="inlineStr">
        <is>
          <t>CIPD — Employee Relations; POSH Act 2013</t>
        </is>
      </c>
    </row>
    <row r="157" ht="132" customHeight="1">
      <c r="A157" s="120" t="inlineStr">
        <is>
          <t>Department technical</t>
        </is>
      </c>
      <c r="B157" s="120" t="inlineStr">
        <is>
          <t>Performance, Rewards &amp; Job Architecture</t>
        </is>
      </c>
      <c r="C157" s="120" t="inlineStr">
        <is>
          <t>Runs performance cycles, pay reviews, levelling and benefits.</t>
        </is>
      </c>
      <c r="D157" s="120" t="inlineStr">
        <is>
          <t>Department</t>
        </is>
      </c>
      <c r="E157" s="176" t="n">
        <v>1</v>
      </c>
      <c r="F157" s="176" t="n">
        <v>2</v>
      </c>
      <c r="G157" s="176" t="n">
        <v>3</v>
      </c>
      <c r="H157" s="176" t="n">
        <v>3</v>
      </c>
      <c r="I157" s="176" t="n">
        <v>4</v>
      </c>
      <c r="J157" s="176" t="n">
        <v>4</v>
      </c>
      <c r="K157" s="176" t="n">
        <v>4</v>
      </c>
      <c r="L157" s="176" t="n">
        <v>4</v>
      </c>
      <c r="M157" s="176" t="n">
        <v>5</v>
      </c>
      <c r="N157" s="176" t="n">
        <v>5</v>
      </c>
      <c r="O157" s="176" t="n">
        <v>4</v>
      </c>
      <c r="P157" s="120" t="inlineStr">
        <is>
          <t>1–2 · Prepares cycle trackers and letters
3 · Runs appraisal cycle; benchmarks pay for roles; applies the level framework
4 · Designs reward structures, pay ranges and incentive plans
5 · Sets total-rewards philosophy and governance</t>
        </is>
      </c>
      <c r="Q157" s="120" t="inlineStr">
        <is>
          <t>To be rated next cycle</t>
        </is>
      </c>
      <c r="R157" s="120" t="inlineStr">
        <is>
          <t>Pay-benchmarking case</t>
        </is>
      </c>
      <c r="S157" s="120" t="inlineStr">
        <is>
          <t>WorldatWork / Mercer certificates · optional</t>
        </is>
      </c>
      <c r="T157" s="120" t="inlineStr">
        <is>
          <t>Mercer IPE; Aon Radford; CIPD — Reward</t>
        </is>
      </c>
    </row>
    <row r="158" ht="132" customHeight="1">
      <c r="A158" s="120" t="inlineStr">
        <is>
          <t>Department technical</t>
        </is>
      </c>
      <c r="B158" s="120" t="inlineStr">
        <is>
          <t>Learning &amp; Organisation Development</t>
        </is>
      </c>
      <c r="C158" s="120" t="inlineStr">
        <is>
          <t>Builds capability through learning paths, career frameworks and org design.</t>
        </is>
      </c>
      <c r="D158" s="120" t="inlineStr">
        <is>
          <t>Department</t>
        </is>
      </c>
      <c r="E158" s="176" t="n">
        <v>1</v>
      </c>
      <c r="F158" s="176" t="n">
        <v>2</v>
      </c>
      <c r="G158" s="176" t="n">
        <v>3</v>
      </c>
      <c r="H158" s="176" t="n">
        <v>3</v>
      </c>
      <c r="I158" s="176" t="n">
        <v>4</v>
      </c>
      <c r="J158" s="176" t="n">
        <v>4</v>
      </c>
      <c r="K158" s="176" t="n">
        <v>4</v>
      </c>
      <c r="L158" s="176" t="n">
        <v>4</v>
      </c>
      <c r="M158" s="176" t="n">
        <v>5</v>
      </c>
      <c r="N158" s="176" t="n">
        <v>5</v>
      </c>
      <c r="O158" s="176" t="n">
        <v>4</v>
      </c>
      <c r="P158" s="120" t="inlineStr">
        <is>
          <t>1–2 · Coordinates trainings and attendance
3 · Designs programmes from the competency framework; measures impact
4 · Leads career frameworks, leadership development and org design
5 · Sets the capability strategy for IRIS</t>
        </is>
      </c>
      <c r="Q158" s="120" t="inlineStr">
        <is>
          <t>To be rated next cycle</t>
        </is>
      </c>
      <c r="R158" s="120" t="inlineStr">
        <is>
          <t>Programme design case</t>
        </is>
      </c>
      <c r="S158" s="120" t="inlineStr">
        <is>
          <t>ATD / CIPD L&amp;D · optional</t>
        </is>
      </c>
      <c r="T158" s="120" t="inlineStr">
        <is>
          <t>CIPD — Learning &amp; Development; SHRM BASK</t>
        </is>
      </c>
    </row>
    <row r="159" ht="119" customHeight="1">
      <c r="A159" s="120" t="inlineStr">
        <is>
          <t>Department technical</t>
        </is>
      </c>
      <c r="B159" s="120" t="inlineStr">
        <is>
          <t>People Analytics &amp; HRIS</t>
        </is>
      </c>
      <c r="C159" s="120" t="inlineStr">
        <is>
          <t>Uses HR data and systems · Keka to inform people decisions.</t>
        </is>
      </c>
      <c r="D159" s="120" t="inlineStr">
        <is>
          <t>Department</t>
        </is>
      </c>
      <c r="E159" s="176" t="n">
        <v>1</v>
      </c>
      <c r="F159" s="176" t="n">
        <v>2</v>
      </c>
      <c r="G159" s="176" t="n">
        <v>3</v>
      </c>
      <c r="H159" s="176" t="n">
        <v>3</v>
      </c>
      <c r="I159" s="176" t="n">
        <v>4</v>
      </c>
      <c r="J159" s="176" t="n">
        <v>4</v>
      </c>
      <c r="K159" s="176" t="n">
        <v>4</v>
      </c>
      <c r="L159" s="176" t="n">
        <v>4</v>
      </c>
      <c r="M159" s="176" t="n">
        <v>5</v>
      </c>
      <c r="N159" s="176" t="n">
        <v>5</v>
      </c>
      <c r="O159" s="176" t="n">
        <v>4</v>
      </c>
      <c r="P159" s="120" t="inlineStr">
        <is>
          <t>1–2 · Maintains HRIS data and standard reports
3 · Builds dashboards on attrition, hiring, cost
4 · Defines people metrics; predictive analysis for workforce planning
5 · Sets the people-data strategy</t>
        </is>
      </c>
      <c r="Q159" s="120" t="inlineStr">
        <is>
          <t>To be rated next cycle</t>
        </is>
      </c>
      <c r="R159" s="120" t="inlineStr">
        <is>
          <t>Data case in Excel / BI</t>
        </is>
      </c>
      <c r="S159" s="120" t="inlineStr">
        <is>
          <t>People-analytics certificate · optional</t>
        </is>
      </c>
      <c r="T159" s="120" t="inlineStr">
        <is>
          <t>WEF 2025 — AI &amp; big data; SHRM BASK — Critical Evaluation</t>
        </is>
      </c>
    </row>
    <row r="160" ht="28" customHeight="1">
      <c r="A160" s="134" t="inlineStr">
        <is>
          <t>Leadership</t>
        </is>
      </c>
      <c r="B160" s="134" t="inlineStr">
        <is>
          <t>Leadership cluster · 4 competencies, part C</t>
        </is>
      </c>
      <c r="C160" s="134" t="inlineStr">
        <is>
          <t>Leading people, decisions, strategy and change</t>
        </is>
      </c>
      <c r="D160" s="134" t="inlineStr">
        <is>
          <t>POD Leads and People Managers</t>
        </is>
      </c>
      <c r="E160" s="47" t="inlineStr">
        <is>
          <t>—</t>
        </is>
      </c>
      <c r="F160" s="47" t="inlineStr">
        <is>
          <t>—</t>
        </is>
      </c>
      <c r="G160" s="47" t="inlineStr">
        <is>
          <t>—</t>
        </is>
      </c>
      <c r="H160" s="47" t="inlineStr">
        <is>
          <t>1/2</t>
        </is>
      </c>
      <c r="I160" s="47" t="inlineStr">
        <is>
          <t>2/3</t>
        </is>
      </c>
      <c r="J160" s="47" t="inlineStr">
        <is>
          <t>3/4</t>
        </is>
      </c>
      <c r="K160" s="47" t="inlineStr">
        <is>
          <t>4/4</t>
        </is>
      </c>
      <c r="L160" s="47" t="inlineStr">
        <is>
          <t>4/4</t>
        </is>
      </c>
      <c r="M160" s="47" t="inlineStr">
        <is>
          <t>4/4</t>
        </is>
      </c>
      <c r="N160" s="47" t="inlineStr">
        <is>
          <t>5/5</t>
        </is>
      </c>
      <c r="O160" s="47" t="inlineStr">
        <is>
          <t>5/5</t>
        </is>
      </c>
      <c r="P160" s="134" t="inlineStr">
        <is>
          <t>Required level shown as IC / Manager</t>
        </is>
      </c>
      <c r="Q160" s="134" t="inlineStr">
        <is>
          <t>—</t>
        </is>
      </c>
      <c r="R160" s="134" t="inlineStr">
        <is>
          <t>Behavioural interview; 360 feedback</t>
        </is>
      </c>
      <c r="S160" s="134" t="inlineStr">
        <is>
          <t>—</t>
        </is>
      </c>
      <c r="T160" s="134" t="inlineStr">
        <is>
          <t>S14, S15, S16</t>
        </is>
      </c>
    </row>
    <row r="161" ht="15" customHeight="1"/>
    <row r="162" ht="15" customHeight="1">
      <c r="A162" s="12" t="inlineStr">
        <is>
          <t>Job family</t>
        </is>
      </c>
      <c r="B162" s="12" t="inlineStr">
        <is>
          <t>Education / credentials</t>
        </is>
      </c>
      <c r="C162" s="211" t="n"/>
      <c r="D162" s="12" t="inlineStr">
        <is>
          <t>Gate requirements</t>
        </is>
      </c>
      <c r="E162" s="211" t="n"/>
      <c r="F162" s="12" t="inlineStr">
        <is>
          <t>Learning focus — Band A</t>
        </is>
      </c>
      <c r="G162" s="212" t="n"/>
      <c r="H162" s="212" t="n"/>
      <c r="I162" s="212" t="n"/>
      <c r="J162" s="212" t="n"/>
      <c r="K162" s="211" t="n"/>
      <c r="L162" s="12" t="inlineStr">
        <is>
          <t>Learning focus — Band B</t>
        </is>
      </c>
      <c r="M162" s="212" t="n"/>
      <c r="N162" s="212" t="n"/>
      <c r="O162" s="212" t="n"/>
      <c r="P162" s="211" t="n"/>
      <c r="Q162" s="12" t="inlineStr">
        <is>
          <t>Learning focus — Band C+</t>
        </is>
      </c>
      <c r="R162" s="211" t="n"/>
      <c r="S162" s="12" t="inlineStr">
        <is>
          <t>Future skills</t>
        </is>
      </c>
      <c r="T162" s="211" t="n"/>
    </row>
    <row r="163" ht="80" customHeight="1">
      <c r="A163" s="13" t="inlineStr">
        <is>
          <t>Human Resources</t>
        </is>
      </c>
      <c r="B163" s="16" t="inlineStr">
        <is>
          <t>MBA / PGDM · HR or MA / MSW</t>
        </is>
      </c>
      <c r="C163" s="211" t="n"/>
      <c r="D163" s="16" t="inlineStr">
        <is>
          <t>Labour law, POSH, data privacy</t>
        </is>
      </c>
      <c r="E163" s="211" t="n"/>
      <c r="F163" s="16" t="inlineStr">
        <is>
          <t>Mandatory path · POSH, Code of Conduct, InfoSec; Stakeholder &amp; Client Management, Communication &amp; Presentation to Working → Practitioner; AI literacy to 2; learn by mentoring and KT.</t>
        </is>
      </c>
      <c r="G163" s="212" t="n"/>
      <c r="H163" s="212" t="n"/>
      <c r="I163" s="212" t="n"/>
      <c r="J163" s="212" t="n"/>
      <c r="K163" s="211" t="n"/>
      <c r="L163" s="16" t="inlineStr">
        <is>
          <t>Stakeholder &amp; Client Management, Communication &amp; Presentation to Advanced; Data Analytics, BI &amp; Visualisation, Process Improvement &amp; Quality Mindset, People Leadership &amp; Mentoring to Practitioner; POD Leads / Managers: leading people, delegation, feedback.</t>
        </is>
      </c>
      <c r="M163" s="212" t="n"/>
      <c r="N163" s="212" t="n"/>
      <c r="O163" s="212" t="n"/>
      <c r="P163" s="211" t="n"/>
      <c r="Q163" s="16" t="inlineStr">
        <is>
          <t>Expert in one must-have; strategy &amp; business acumen; building the bench; AI-enabled processes for the function.</t>
        </is>
      </c>
      <c r="R163" s="211" t="n"/>
      <c r="S163" s="16" t="inlineStr">
        <is>
          <t>People analytics, AI in talent acquisition, skills-based organisation</t>
        </is>
      </c>
      <c r="T163" s="211" t="n"/>
    </row>
    <row r="164" ht="15" customHeight="1"/>
    <row r="165" ht="15" customHeight="1"/>
    <row r="166" ht="20" customHeight="1">
      <c r="A166" s="173" t="inlineStr">
        <is>
          <t>Administration — 6 people · Corporate functions · levels A3–B2 + X1</t>
        </is>
      </c>
    </row>
    <row r="167" ht="15" customHeight="1">
      <c r="A167" s="17" t="inlineStr">
        <is>
          <t>Job families: Administration, Legal &amp; Secretarial</t>
        </is>
      </c>
    </row>
    <row r="168" ht="15" customHeight="1">
      <c r="A168" s="12" t="inlineStr">
        <is>
          <t>Capability health today · indicative, from survey + KRAs</t>
        </is>
      </c>
      <c r="B168" s="212" t="n"/>
      <c r="C168" s="212" t="n"/>
      <c r="D168" s="212" t="n"/>
      <c r="E168" s="211" t="n"/>
      <c r="F168" s="12" t="inlineStr">
        <is>
          <t>Result</t>
        </is>
      </c>
      <c r="G168" s="212" t="n"/>
      <c r="H168" s="212" t="n"/>
      <c r="I168" s="212" t="n"/>
      <c r="J168" s="212" t="n"/>
      <c r="K168" s="212" t="n"/>
      <c r="L168" s="212" t="n"/>
      <c r="M168" s="212" t="n"/>
      <c r="N168" s="212" t="n"/>
      <c r="O168" s="212" t="n"/>
      <c r="P168" s="212" t="n"/>
      <c r="Q168" s="212" t="n"/>
      <c r="R168" s="211" t="n"/>
    </row>
    <row r="169" ht="15" customHeight="1">
      <c r="A169" s="13" t="inlineStr">
        <is>
          <t>People assessed · meet or exceed their level</t>
        </is>
      </c>
      <c r="B169" s="212" t="n"/>
      <c r="C169" s="212" t="n"/>
      <c r="D169" s="212" t="n"/>
      <c r="E169" s="211" t="n"/>
      <c r="F169" s="16" t="inlineStr">
        <is>
          <t>2 · 1</t>
        </is>
      </c>
      <c r="G169" s="212" t="n"/>
      <c r="H169" s="212" t="n"/>
      <c r="I169" s="212" t="n"/>
      <c r="J169" s="212" t="n"/>
      <c r="K169" s="212" t="n"/>
      <c r="L169" s="212" t="n"/>
      <c r="M169" s="212" t="n"/>
      <c r="N169" s="212" t="n"/>
      <c r="O169" s="212" t="n"/>
      <c r="P169" s="212" t="n"/>
      <c r="Q169" s="212" t="n"/>
      <c r="R169" s="211" t="n"/>
    </row>
    <row r="170" ht="15" customHeight="1">
      <c r="A170" s="13" t="inlineStr">
        <is>
          <t>Average index · Core · Future-ready · Functional · Leadership · % of required</t>
        </is>
      </c>
      <c r="B170" s="212" t="n"/>
      <c r="C170" s="212" t="n"/>
      <c r="D170" s="212" t="n"/>
      <c r="E170" s="211" t="n"/>
      <c r="F170" s="16" t="inlineStr">
        <is>
          <t>96% · 102% · 79% · 100% · 105%</t>
        </is>
      </c>
      <c r="G170" s="212" t="n"/>
      <c r="H170" s="212" t="n"/>
      <c r="I170" s="212" t="n"/>
      <c r="J170" s="212" t="n"/>
      <c r="K170" s="212" t="n"/>
      <c r="L170" s="212" t="n"/>
      <c r="M170" s="212" t="n"/>
      <c r="N170" s="212" t="n"/>
      <c r="O170" s="212" t="n"/>
      <c r="P170" s="212" t="n"/>
      <c r="Q170" s="212" t="n"/>
      <c r="R170" s="211" t="n"/>
    </row>
    <row r="171" ht="15" customHeight="1">
      <c r="A171" s="13" t="inlineStr">
        <is>
          <t>Most common competency gaps · people</t>
        </is>
      </c>
      <c r="B171" s="212" t="n"/>
      <c r="C171" s="212" t="n"/>
      <c r="D171" s="212" t="n"/>
      <c r="E171" s="211" t="n"/>
      <c r="F171" s="16" t="inlineStr">
        <is>
          <t>Prioritisation · Learning agility · AI literacy · Regulatory domain · Quality &amp; process · Communication</t>
        </is>
      </c>
      <c r="G171" s="212" t="n"/>
      <c r="H171" s="212" t="n"/>
      <c r="I171" s="212" t="n"/>
      <c r="J171" s="212" t="n"/>
      <c r="K171" s="212" t="n"/>
      <c r="L171" s="212" t="n"/>
      <c r="M171" s="212" t="n"/>
      <c r="N171" s="212" t="n"/>
      <c r="O171" s="212" t="n"/>
      <c r="P171" s="212" t="n"/>
      <c r="Q171" s="212" t="n"/>
      <c r="R171" s="211" t="n"/>
    </row>
    <row r="172" ht="28" customHeight="1">
      <c r="A172" s="13" t="inlineStr">
        <is>
          <t>Role-based development priorities · people</t>
        </is>
      </c>
      <c r="B172" s="212" t="n"/>
      <c r="C172" s="212" t="n"/>
      <c r="D172" s="212" t="n"/>
      <c r="E172" s="211" t="n"/>
      <c r="F172" s="16" t="inlineStr">
        <is>
          <t>AD.OFF-F: vendor coordination · service scheduling · purchasing controls · Project, Program &amp; Agile Management · People Leadership &amp; Mentoring · Strategic Thinking &amp; Business Acumen</t>
        </is>
      </c>
      <c r="G172" s="212" t="n"/>
      <c r="H172" s="212" t="n"/>
      <c r="I172" s="212" t="n"/>
      <c r="J172" s="212" t="n"/>
      <c r="K172" s="212" t="n"/>
      <c r="L172" s="212" t="n"/>
      <c r="M172" s="212" t="n"/>
      <c r="N172" s="212" t="n"/>
      <c r="O172" s="212" t="n"/>
      <c r="P172" s="212" t="n"/>
      <c r="Q172" s="212" t="n"/>
      <c r="R172" s="211" t="n"/>
    </row>
    <row r="173" ht="15" customHeight="1">
      <c r="A173" s="13" t="inlineStr">
        <is>
          <t>Manager-identified training themes</t>
        </is>
      </c>
      <c r="B173" s="212" t="n"/>
      <c r="C173" s="212" t="n"/>
      <c r="D173" s="212" t="n"/>
      <c r="E173" s="211" t="n"/>
      <c r="F173" s="16" t="inlineStr">
        <is>
          <t>—</t>
        </is>
      </c>
      <c r="G173" s="212" t="n"/>
      <c r="H173" s="212" t="n"/>
      <c r="I173" s="212" t="n"/>
      <c r="J173" s="212" t="n"/>
      <c r="K173" s="212" t="n"/>
      <c r="L173" s="212" t="n"/>
      <c r="M173" s="212" t="n"/>
      <c r="N173" s="212" t="n"/>
      <c r="O173" s="212" t="n"/>
      <c r="P173" s="212" t="n"/>
      <c r="Q173" s="212" t="n"/>
      <c r="R173" s="211" t="n"/>
    </row>
    <row r="174" ht="15" customHeight="1">
      <c r="A174" s="13" t="inlineStr">
        <is>
          <t>What helped people learn · survey</t>
        </is>
      </c>
      <c r="B174" s="212" t="n"/>
      <c r="C174" s="212" t="n"/>
      <c r="D174" s="212" t="n"/>
      <c r="E174" s="211" t="n"/>
      <c r="F174" s="16" t="inlineStr">
        <is>
          <r>
            <rPr>
              <rFont val="Calibri"/>
              <b val="1"/>
              <sz val="10"/>
            </rPr>
            <t>Withheld:</t>
          </r>
          <r>
            <rPr>
              <rFont val="Calibri"/>
              <sz val="10"/>
            </rPr>
            <t xml:space="preserve"> fewer than 3 role-holders answered the survey, so answers would identify a person · IRIS role catalogue entry to follow</t>
          </r>
        </is>
      </c>
      <c r="G174" s="212" t="n"/>
      <c r="H174" s="212" t="n"/>
      <c r="I174" s="212" t="n"/>
      <c r="J174" s="212" t="n"/>
      <c r="K174" s="212" t="n"/>
      <c r="L174" s="212" t="n"/>
      <c r="M174" s="212" t="n"/>
      <c r="N174" s="212" t="n"/>
      <c r="O174" s="212" t="n"/>
      <c r="P174" s="212" t="n"/>
      <c r="Q174" s="212" t="n"/>
      <c r="R174" s="211" t="n"/>
    </row>
    <row r="175" ht="15" customHeight="1">
      <c r="A175" s="13" t="inlineStr">
        <is>
          <t>How the work is changing</t>
        </is>
      </c>
      <c r="B175" s="212" t="n"/>
      <c r="C175" s="212" t="n"/>
      <c r="D175" s="212" t="n"/>
      <c r="E175" s="211" t="n"/>
      <c r="F175" s="16" t="inlineStr">
        <is>
          <t>—</t>
        </is>
      </c>
      <c r="G175" s="212" t="n"/>
      <c r="H175" s="212" t="n"/>
      <c r="I175" s="212" t="n"/>
      <c r="J175" s="212" t="n"/>
      <c r="K175" s="212" t="n"/>
      <c r="L175" s="212" t="n"/>
      <c r="M175" s="212" t="n"/>
      <c r="N175" s="212" t="n"/>
      <c r="O175" s="212" t="n"/>
      <c r="P175" s="212" t="n"/>
      <c r="Q175" s="212" t="n"/>
      <c r="R175" s="211" t="n"/>
    </row>
    <row r="176" ht="15" customHeight="1">
      <c r="A176" s="13" t="inlineStr">
        <is>
          <t>Lateral moves the evidence supports · people</t>
        </is>
      </c>
      <c r="B176" s="212" t="n"/>
      <c r="C176" s="212" t="n"/>
      <c r="D176" s="212" t="n"/>
      <c r="E176" s="211" t="n"/>
      <c r="F176" s="16" t="inlineStr">
        <is>
          <t>Project &amp; Program Management · Customer Success &amp; Support</t>
        </is>
      </c>
      <c r="G176" s="212" t="n"/>
      <c r="H176" s="212" t="n"/>
      <c r="I176" s="212" t="n"/>
      <c r="J176" s="212" t="n"/>
      <c r="K176" s="212" t="n"/>
      <c r="L176" s="212" t="n"/>
      <c r="M176" s="212" t="n"/>
      <c r="N176" s="212" t="n"/>
      <c r="O176" s="212" t="n"/>
      <c r="P176" s="212" t="n"/>
      <c r="Q176" s="212" t="n"/>
      <c r="R176" s="211" t="n"/>
    </row>
    <row r="177" ht="15" customHeight="1"/>
    <row r="178" ht="28" customHeight="1">
      <c r="A178" s="12" t="inlineStr">
        <is>
          <t>Cluster</t>
        </is>
      </c>
      <c r="B178" s="12" t="inlineStr">
        <is>
          <t>Competency · ★ = must-have</t>
        </is>
      </c>
      <c r="C178" s="12" t="inlineStr">
        <is>
          <t>Definition</t>
        </is>
      </c>
      <c r="D178" s="12" t="inlineStr">
        <is>
          <t>Must-have for</t>
        </is>
      </c>
      <c r="E178" s="12" t="inlineStr">
        <is>
          <t>A1</t>
        </is>
      </c>
      <c r="F178" s="12" t="inlineStr">
        <is>
          <t>A2</t>
        </is>
      </c>
      <c r="G178" s="12" t="inlineStr">
        <is>
          <t>A3</t>
        </is>
      </c>
      <c r="H178" s="12" t="inlineStr">
        <is>
          <t>B1</t>
        </is>
      </c>
      <c r="I178" s="12" t="inlineStr">
        <is>
          <t>B2</t>
        </is>
      </c>
      <c r="J178" s="12" t="inlineStr">
        <is>
          <t>B3</t>
        </is>
      </c>
      <c r="K178" s="12" t="inlineStr">
        <is>
          <t>B+</t>
        </is>
      </c>
      <c r="L178" s="12" t="inlineStr">
        <is>
          <t>C1</t>
        </is>
      </c>
      <c r="M178" s="12" t="inlineStr">
        <is>
          <t>C2</t>
        </is>
      </c>
      <c r="N178" s="12" t="inlineStr">
        <is>
          <t>C+</t>
        </is>
      </c>
      <c r="O178" s="12" t="inlineStr">
        <is>
          <t>D1</t>
        </is>
      </c>
      <c r="P178" s="12" t="inlineStr">
        <is>
          <t>What good looks like · by proficiency</t>
        </is>
      </c>
      <c r="Q178" s="12" t="inlineStr">
        <is>
          <t>What IRIS top performers do · survey</t>
        </is>
      </c>
      <c r="R178" s="12" t="inlineStr">
        <is>
          <t>How to assess</t>
        </is>
      </c>
      <c r="S178" s="12" t="inlineStr">
        <is>
          <t>Credentials</t>
        </is>
      </c>
      <c r="T178" s="12" t="inlineStr">
        <is>
          <t>Reference</t>
        </is>
      </c>
    </row>
    <row r="179" ht="54" customHeight="1">
      <c r="A179" s="174" t="inlineStr">
        <is>
          <t>Functional</t>
        </is>
      </c>
      <c r="B179" s="174" t="inlineStr">
        <is>
          <t>★ Regulatory &amp; BFSI Domain</t>
        </is>
      </c>
      <c r="C179" s="174" t="inlineStr">
        <is>
          <t>Understands regulators, returns, filings and BFSI rules.</t>
        </is>
      </c>
      <c r="D179" s="174" t="inlineStr">
        <is>
          <t>Administration, Legal &amp; Secretarial</t>
        </is>
      </c>
      <c r="E179" s="175" t="n">
        <v>1</v>
      </c>
      <c r="F179" s="175" t="n">
        <v>2</v>
      </c>
      <c r="G179" s="175" t="n">
        <v>3</v>
      </c>
      <c r="H179" s="175" t="n">
        <v>3</v>
      </c>
      <c r="I179" s="175" t="n">
        <v>4</v>
      </c>
      <c r="J179" s="175" t="n">
        <v>4</v>
      </c>
      <c r="K179" s="175" t="n">
        <v>4</v>
      </c>
      <c r="L179" s="175" t="n">
        <v>4</v>
      </c>
      <c r="M179" s="175" t="n">
        <v>5</v>
      </c>
      <c r="N179" s="175" t="n">
        <v>5</v>
      </c>
      <c r="O179" s="175" t="n">
        <v>4</v>
      </c>
      <c r="P179" s="174" t="inlineStr">
        <is>
          <t>3 · Knows the relevant regulators, returns and rules
4 · Interprets new regulation; advises clients and product</t>
        </is>
      </c>
      <c r="Q179" s="174" t="inlineStr">
        <is>
          <t>—</t>
        </is>
      </c>
      <c r="R179" s="174" t="inlineStr">
        <is>
          <t>Domain interview</t>
        </is>
      </c>
      <c r="S179" s="174" t="inlineStr">
        <is>
          <t>Domain certifications · optional</t>
        </is>
      </c>
      <c r="T179" s="174" t="inlineStr">
        <is>
          <t>Family set</t>
        </is>
      </c>
    </row>
    <row r="180" ht="67" customHeight="1">
      <c r="A180" s="174" t="inlineStr">
        <is>
          <t>Functional</t>
        </is>
      </c>
      <c r="B180" s="174" t="inlineStr">
        <is>
          <t>★ Stakeholder &amp; Client Management</t>
        </is>
      </c>
      <c r="C180" s="174" t="inlineStr">
        <is>
          <t>Manages clients and stakeholders; handles changing requests.</t>
        </is>
      </c>
      <c r="D180" s="174" t="inlineStr">
        <is>
          <t>Administration, Legal &amp; Secretarial</t>
        </is>
      </c>
      <c r="E180" s="175" t="n">
        <v>1</v>
      </c>
      <c r="F180" s="175" t="n">
        <v>2</v>
      </c>
      <c r="G180" s="175" t="n">
        <v>3</v>
      </c>
      <c r="H180" s="175" t="n">
        <v>3</v>
      </c>
      <c r="I180" s="175" t="n">
        <v>4</v>
      </c>
      <c r="J180" s="175" t="n">
        <v>4</v>
      </c>
      <c r="K180" s="175" t="n">
        <v>4</v>
      </c>
      <c r="L180" s="175" t="n">
        <v>4</v>
      </c>
      <c r="M180" s="175" t="n">
        <v>5</v>
      </c>
      <c r="N180" s="175" t="n">
        <v>5</v>
      </c>
      <c r="O180" s="175" t="n">
        <v>4</v>
      </c>
      <c r="P180" s="174" t="inlineStr">
        <is>
          <t>3 · Manages client communication and expectations for own work
4 · Owns key relationships; resolves escalations</t>
        </is>
      </c>
      <c r="Q180" s="174" t="inlineStr">
        <is>
          <t>—</t>
        </is>
      </c>
      <c r="R180" s="174" t="inlineStr">
        <is>
          <t>Role play / behavioural interview</t>
        </is>
      </c>
      <c r="S180" s="174" t="inlineStr">
        <is>
          <t>—</t>
        </is>
      </c>
      <c r="T180" s="174" t="inlineStr">
        <is>
          <t>Family set</t>
        </is>
      </c>
    </row>
    <row r="181" ht="67" customHeight="1">
      <c r="A181" s="174" t="inlineStr">
        <is>
          <t>Functional</t>
        </is>
      </c>
      <c r="B181" s="174" t="inlineStr">
        <is>
          <t>Process Improvement &amp; Quality Mindset</t>
        </is>
      </c>
      <c r="C181" s="174" t="inlineStr">
        <is>
          <t>Gets it right first time; improves processes and checklists.</t>
        </is>
      </c>
      <c r="D181" s="174" t="inlineStr">
        <is>
          <t>—</t>
        </is>
      </c>
      <c r="E181" s="175" t="n">
        <v>1</v>
      </c>
      <c r="F181" s="175" t="n">
        <v>2</v>
      </c>
      <c r="G181" s="175" t="n">
        <v>3</v>
      </c>
      <c r="H181" s="175" t="n">
        <v>3</v>
      </c>
      <c r="I181" s="175" t="n">
        <v>4</v>
      </c>
      <c r="J181" s="175" t="n">
        <v>4</v>
      </c>
      <c r="K181" s="175" t="n">
        <v>4</v>
      </c>
      <c r="L181" s="175" t="n">
        <v>4</v>
      </c>
      <c r="M181" s="175" t="n">
        <v>5</v>
      </c>
      <c r="N181" s="175" t="n">
        <v>5</v>
      </c>
      <c r="O181" s="175" t="n">
        <v>4</v>
      </c>
      <c r="P181" s="174" t="inlineStr">
        <is>
          <t>3 · Delivers right-first-time; improves own checklists
4 · Redesigns team processes; reduces error rates measurably</t>
        </is>
      </c>
      <c r="Q181" s="174" t="inlineStr">
        <is>
          <t>—</t>
        </is>
      </c>
      <c r="R181" s="174" t="inlineStr">
        <is>
          <t>Work sample / case</t>
        </is>
      </c>
      <c r="S181" s="174" t="inlineStr">
        <is>
          <t>Lean / Six Sigma · optional</t>
        </is>
      </c>
      <c r="T181" s="174" t="inlineStr">
        <is>
          <t>Family set</t>
        </is>
      </c>
    </row>
    <row r="182" ht="67" customHeight="1">
      <c r="A182" s="174" t="inlineStr">
        <is>
          <t>Functional</t>
        </is>
      </c>
      <c r="B182" s="174" t="inlineStr">
        <is>
          <t>Advanced Excel &amp; Productivity Tools</t>
        </is>
      </c>
      <c r="C182" s="174" t="inlineStr">
        <is>
          <t>Uses Excel, Word, HTML and conversion tools expertly.</t>
        </is>
      </c>
      <c r="D182" s="174" t="inlineStr">
        <is>
          <t>—</t>
        </is>
      </c>
      <c r="E182" s="175" t="n">
        <v>1</v>
      </c>
      <c r="F182" s="175" t="n">
        <v>2</v>
      </c>
      <c r="G182" s="175" t="n">
        <v>3</v>
      </c>
      <c r="H182" s="175" t="n">
        <v>3</v>
      </c>
      <c r="I182" s="175" t="n">
        <v>4</v>
      </c>
      <c r="J182" s="175" t="n">
        <v>4</v>
      </c>
      <c r="K182" s="175" t="n">
        <v>4</v>
      </c>
      <c r="L182" s="175" t="n">
        <v>4</v>
      </c>
      <c r="M182" s="175" t="n">
        <v>5</v>
      </c>
      <c r="N182" s="175" t="n">
        <v>5</v>
      </c>
      <c r="O182" s="175" t="n">
        <v>4</v>
      </c>
      <c r="P182" s="174" t="inlineStr">
        <is>
          <t>3 · Uses advanced Excel, Word, HTML and conversion tools fluently
4 · Builds templates and automation used by the team</t>
        </is>
      </c>
      <c r="Q182" s="174" t="inlineStr">
        <is>
          <t>—</t>
        </is>
      </c>
      <c r="R182" s="174" t="inlineStr">
        <is>
          <t>Practical test</t>
        </is>
      </c>
      <c r="S182" s="174" t="inlineStr">
        <is>
          <t>MOS Excel · optional</t>
        </is>
      </c>
      <c r="T182" s="174" t="inlineStr">
        <is>
          <t>Family set</t>
        </is>
      </c>
    </row>
    <row r="183" ht="54" customHeight="1">
      <c r="A183" s="174" t="inlineStr">
        <is>
          <t>Functional</t>
        </is>
      </c>
      <c r="B183" s="174" t="inlineStr">
        <is>
          <t>Communication &amp; Presentation</t>
        </is>
      </c>
      <c r="C183" s="174" t="inlineStr">
        <is>
          <t>Writes and presents clearly to clients and teams.</t>
        </is>
      </c>
      <c r="D183" s="174" t="inlineStr">
        <is>
          <t>—</t>
        </is>
      </c>
      <c r="E183" s="175" t="n">
        <v>1</v>
      </c>
      <c r="F183" s="175" t="n">
        <v>2</v>
      </c>
      <c r="G183" s="175" t="n">
        <v>3</v>
      </c>
      <c r="H183" s="175" t="n">
        <v>3</v>
      </c>
      <c r="I183" s="175" t="n">
        <v>4</v>
      </c>
      <c r="J183" s="175" t="n">
        <v>4</v>
      </c>
      <c r="K183" s="175" t="n">
        <v>4</v>
      </c>
      <c r="L183" s="175" t="n">
        <v>4</v>
      </c>
      <c r="M183" s="175" t="n">
        <v>5</v>
      </c>
      <c r="N183" s="175" t="n">
        <v>5</v>
      </c>
      <c r="O183" s="175" t="n">
        <v>4</v>
      </c>
      <c r="P183" s="174" t="inlineStr">
        <is>
          <t>3 · Writes and presents clearly to clients and teams
4 · Presents to senior stakeholders; shapes messaging</t>
        </is>
      </c>
      <c r="Q183" s="174" t="inlineStr">
        <is>
          <t>—</t>
        </is>
      </c>
      <c r="R183" s="174" t="inlineStr">
        <is>
          <t>Presentation / writing test</t>
        </is>
      </c>
      <c r="S183" s="174" t="inlineStr">
        <is>
          <t>—</t>
        </is>
      </c>
      <c r="T183" s="174" t="inlineStr">
        <is>
          <t>Family set</t>
        </is>
      </c>
    </row>
    <row r="184" ht="54" customHeight="1">
      <c r="A184" s="174" t="inlineStr">
        <is>
          <t>Functional</t>
        </is>
      </c>
      <c r="B184" s="174" t="inlineStr">
        <is>
          <t>Time, Priority &amp; Self-Management</t>
        </is>
      </c>
      <c r="C184" s="174" t="inlineStr">
        <is>
          <t>Manages volume, deadlines and priorities.</t>
        </is>
      </c>
      <c r="D184" s="174" t="inlineStr">
        <is>
          <t>—</t>
        </is>
      </c>
      <c r="E184" s="175" t="n">
        <v>1</v>
      </c>
      <c r="F184" s="175" t="n">
        <v>2</v>
      </c>
      <c r="G184" s="175" t="n">
        <v>3</v>
      </c>
      <c r="H184" s="175" t="n">
        <v>3</v>
      </c>
      <c r="I184" s="175" t="n">
        <v>4</v>
      </c>
      <c r="J184" s="175" t="n">
        <v>4</v>
      </c>
      <c r="K184" s="175" t="n">
        <v>4</v>
      </c>
      <c r="L184" s="175" t="n">
        <v>4</v>
      </c>
      <c r="M184" s="175" t="n">
        <v>5</v>
      </c>
      <c r="N184" s="175" t="n">
        <v>5</v>
      </c>
      <c r="O184" s="175" t="n">
        <v>4</v>
      </c>
      <c r="P184" s="174" t="inlineStr">
        <is>
          <t>3 · Manages volume and deadlines without slippage
4 · Plans team capacity and peak-season loads</t>
        </is>
      </c>
      <c r="Q184" s="174" t="inlineStr">
        <is>
          <t>—</t>
        </is>
      </c>
      <c r="R184" s="174" t="inlineStr">
        <is>
          <t>Behavioural interview</t>
        </is>
      </c>
      <c r="S184" s="174" t="inlineStr">
        <is>
          <t>—</t>
        </is>
      </c>
      <c r="T184" s="174" t="inlineStr">
        <is>
          <t>Family set</t>
        </is>
      </c>
    </row>
    <row r="185" ht="106" customHeight="1">
      <c r="A185" s="120" t="inlineStr">
        <is>
          <t>Department technical</t>
        </is>
      </c>
      <c r="B185" s="120" t="inlineStr">
        <is>
          <t>Facilities &amp; Workplace Management</t>
        </is>
      </c>
      <c r="C185" s="120" t="inlineStr">
        <is>
          <t>Keeps offices safe, running and fit for purpose.</t>
        </is>
      </c>
      <c r="D185" s="120" t="inlineStr">
        <is>
          <t>Department</t>
        </is>
      </c>
      <c r="E185" s="176" t="n">
        <v>1</v>
      </c>
      <c r="F185" s="176" t="n">
        <v>2</v>
      </c>
      <c r="G185" s="176" t="n">
        <v>3</v>
      </c>
      <c r="H185" s="176" t="n">
        <v>3</v>
      </c>
      <c r="I185" s="176" t="n">
        <v>4</v>
      </c>
      <c r="J185" s="176" t="n">
        <v>4</v>
      </c>
      <c r="K185" s="176" t="n">
        <v>4</v>
      </c>
      <c r="L185" s="176" t="n">
        <v>4</v>
      </c>
      <c r="M185" s="176" t="n">
        <v>5</v>
      </c>
      <c r="N185" s="176" t="n">
        <v>5</v>
      </c>
      <c r="O185" s="176" t="n">
        <v>4</v>
      </c>
      <c r="P185" s="120" t="inlineStr">
        <is>
          <t>1–2 · Handles day-to-day facility requests
3 · Runs a site: maintenance, housekeeping, security, seating
4 · Plans space and facility budgets across sites
5 · Sets workplace strategy</t>
        </is>
      </c>
      <c r="Q185" s="120" t="inlineStr">
        <is>
          <t>To be rated next cycle</t>
        </is>
      </c>
      <c r="R185" s="120" t="inlineStr">
        <is>
          <t>Site walk-through case</t>
        </is>
      </c>
      <c r="S185" s="120" t="inlineStr">
        <is>
          <t>IFMA FMP · optional</t>
        </is>
      </c>
      <c r="T185" s="120" t="inlineStr">
        <is>
          <t>IFMA core competencies</t>
        </is>
      </c>
    </row>
    <row r="186" ht="93" customHeight="1">
      <c r="A186" s="120" t="inlineStr">
        <is>
          <t>Department technical</t>
        </is>
      </c>
      <c r="B186" s="120" t="inlineStr">
        <is>
          <t>Procurement &amp; Vendor Management</t>
        </is>
      </c>
      <c r="C186" s="120" t="inlineStr">
        <is>
          <t>Buys well and manages vendors to contract and SLA.</t>
        </is>
      </c>
      <c r="D186" s="120" t="inlineStr">
        <is>
          <t>Department</t>
        </is>
      </c>
      <c r="E186" s="176" t="n">
        <v>1</v>
      </c>
      <c r="F186" s="176" t="n">
        <v>2</v>
      </c>
      <c r="G186" s="176" t="n">
        <v>3</v>
      </c>
      <c r="H186" s="176" t="n">
        <v>3</v>
      </c>
      <c r="I186" s="176" t="n">
        <v>4</v>
      </c>
      <c r="J186" s="176" t="n">
        <v>4</v>
      </c>
      <c r="K186" s="176" t="n">
        <v>4</v>
      </c>
      <c r="L186" s="176" t="n">
        <v>4</v>
      </c>
      <c r="M186" s="176" t="n">
        <v>5</v>
      </c>
      <c r="N186" s="176" t="n">
        <v>5</v>
      </c>
      <c r="O186" s="176" t="n">
        <v>4</v>
      </c>
      <c r="P186" s="120" t="inlineStr">
        <is>
          <t>1–2 · Raises POs and tracks deliveries
3 · Runs quotations, negotiates, manages vendor SLAs
4 · Designs procurement policy and category strategy
5 · Sets sourcing governance</t>
        </is>
      </c>
      <c r="Q186" s="120" t="inlineStr">
        <is>
          <t>To be rated next cycle</t>
        </is>
      </c>
      <c r="R186" s="120" t="inlineStr">
        <is>
          <t>Negotiation role-play</t>
        </is>
      </c>
      <c r="S186" s="120" t="inlineStr">
        <is>
          <t>CIPS · optional</t>
        </is>
      </c>
      <c r="T186" s="120" t="inlineStr">
        <is>
          <t>CIPS Global Standard</t>
        </is>
      </c>
    </row>
    <row r="187" ht="93" customHeight="1">
      <c r="A187" s="120" t="inlineStr">
        <is>
          <t>Department technical</t>
        </is>
      </c>
      <c r="B187" s="120" t="inlineStr">
        <is>
          <t>Assets, Travel &amp; Events</t>
        </is>
      </c>
      <c r="C187" s="120" t="inlineStr">
        <is>
          <t>Manages company assets, travel and events efficiently.</t>
        </is>
      </c>
      <c r="D187" s="120" t="inlineStr">
        <is>
          <t>Department</t>
        </is>
      </c>
      <c r="E187" s="176" t="n">
        <v>1</v>
      </c>
      <c r="F187" s="176" t="n">
        <v>2</v>
      </c>
      <c r="G187" s="176" t="n">
        <v>3</v>
      </c>
      <c r="H187" s="176" t="n">
        <v>3</v>
      </c>
      <c r="I187" s="176" t="n">
        <v>4</v>
      </c>
      <c r="J187" s="176" t="n">
        <v>4</v>
      </c>
      <c r="K187" s="176" t="n">
        <v>4</v>
      </c>
      <c r="L187" s="176" t="n">
        <v>4</v>
      </c>
      <c r="M187" s="176" t="n">
        <v>5</v>
      </c>
      <c r="N187" s="176" t="n">
        <v>5</v>
      </c>
      <c r="O187" s="176" t="n">
        <v>4</v>
      </c>
      <c r="P187" s="120" t="inlineStr">
        <is>
          <t>1–2 · Books travel; maintains asset register
3 · Runs travel desk and events within budget
4 · Sets travel and asset policy; vendor tie-ups
5 · —</t>
        </is>
      </c>
      <c r="Q187" s="120" t="inlineStr">
        <is>
          <t>To be rated next cycle</t>
        </is>
      </c>
      <c r="R187" s="120" t="inlineStr">
        <is>
          <t>Work sample</t>
        </is>
      </c>
      <c r="S187" s="120" t="inlineStr">
        <is>
          <t>—</t>
        </is>
      </c>
      <c r="T187" s="120" t="inlineStr">
        <is>
          <t>IFMA core competencies</t>
        </is>
      </c>
    </row>
    <row r="188" ht="106" customHeight="1">
      <c r="A188" s="120" t="inlineStr">
        <is>
          <t>Department technical</t>
        </is>
      </c>
      <c r="B188" s="120" t="inlineStr">
        <is>
          <t>Health, Safety &amp; Business Continuity</t>
        </is>
      </c>
      <c r="C188" s="120" t="inlineStr">
        <is>
          <t>Keeps people safe and the business running in disruption.</t>
        </is>
      </c>
      <c r="D188" s="120" t="inlineStr">
        <is>
          <t>Department</t>
        </is>
      </c>
      <c r="E188" s="176" t="n">
        <v>1</v>
      </c>
      <c r="F188" s="176" t="n">
        <v>2</v>
      </c>
      <c r="G188" s="176" t="n">
        <v>3</v>
      </c>
      <c r="H188" s="176" t="n">
        <v>3</v>
      </c>
      <c r="I188" s="176" t="n">
        <v>4</v>
      </c>
      <c r="J188" s="176" t="n">
        <v>4</v>
      </c>
      <c r="K188" s="176" t="n">
        <v>4</v>
      </c>
      <c r="L188" s="176" t="n">
        <v>4</v>
      </c>
      <c r="M188" s="176" t="n">
        <v>5</v>
      </c>
      <c r="N188" s="176" t="n">
        <v>5</v>
      </c>
      <c r="O188" s="176" t="n">
        <v>4</v>
      </c>
      <c r="P188" s="120" t="inlineStr">
        <is>
          <t>1–2 · Follows safety checklists
3 · Runs drills, statutory safety compliance and BCP tests
4 · Designs BCP and safety programme
5 · Sets enterprise resilience policy</t>
        </is>
      </c>
      <c r="Q188" s="120" t="inlineStr">
        <is>
          <t>To be rated next cycle</t>
        </is>
      </c>
      <c r="R188" s="120" t="inlineStr">
        <is>
          <t>Scenario exercise</t>
        </is>
      </c>
      <c r="S188" s="120" t="inlineStr">
        <is>
          <t>ISO 22301 awareness · optional</t>
        </is>
      </c>
      <c r="T188" s="120" t="inlineStr">
        <is>
          <t>ISO 22301; Factories / Shops &amp; Establishments rules</t>
        </is>
      </c>
    </row>
    <row r="189" ht="28" customHeight="1">
      <c r="A189" s="134" t="inlineStr">
        <is>
          <t>Leadership</t>
        </is>
      </c>
      <c r="B189" s="134" t="inlineStr">
        <is>
          <t>Leadership cluster · 4 competencies, part C</t>
        </is>
      </c>
      <c r="C189" s="134" t="inlineStr">
        <is>
          <t>Leading people, decisions, strategy and change</t>
        </is>
      </c>
      <c r="D189" s="134" t="inlineStr">
        <is>
          <t>POD Leads and People Managers</t>
        </is>
      </c>
      <c r="E189" s="47" t="inlineStr">
        <is>
          <t>—</t>
        </is>
      </c>
      <c r="F189" s="47" t="inlineStr">
        <is>
          <t>—</t>
        </is>
      </c>
      <c r="G189" s="47" t="inlineStr">
        <is>
          <t>—</t>
        </is>
      </c>
      <c r="H189" s="47" t="inlineStr">
        <is>
          <t>1/2</t>
        </is>
      </c>
      <c r="I189" s="47" t="inlineStr">
        <is>
          <t>2/3</t>
        </is>
      </c>
      <c r="J189" s="47" t="inlineStr">
        <is>
          <t>3/4</t>
        </is>
      </c>
      <c r="K189" s="47" t="inlineStr">
        <is>
          <t>4/4</t>
        </is>
      </c>
      <c r="L189" s="47" t="inlineStr">
        <is>
          <t>4/4</t>
        </is>
      </c>
      <c r="M189" s="47" t="inlineStr">
        <is>
          <t>4/4</t>
        </is>
      </c>
      <c r="N189" s="47" t="inlineStr">
        <is>
          <t>5/5</t>
        </is>
      </c>
      <c r="O189" s="47" t="inlineStr">
        <is>
          <t>5/5</t>
        </is>
      </c>
      <c r="P189" s="134" t="inlineStr">
        <is>
          <t>Required level shown as IC / Manager</t>
        </is>
      </c>
      <c r="Q189" s="134" t="inlineStr">
        <is>
          <t>—</t>
        </is>
      </c>
      <c r="R189" s="134" t="inlineStr">
        <is>
          <t>Behavioural interview; 360 feedback</t>
        </is>
      </c>
      <c r="S189" s="134" t="inlineStr">
        <is>
          <t>—</t>
        </is>
      </c>
      <c r="T189" s="134" t="inlineStr">
        <is>
          <t>S14, S15, S16</t>
        </is>
      </c>
    </row>
    <row r="190" ht="15" customHeight="1"/>
    <row r="191" ht="15" customHeight="1">
      <c r="A191" s="12" t="inlineStr">
        <is>
          <t>Job family</t>
        </is>
      </c>
      <c r="B191" s="12" t="inlineStr">
        <is>
          <t>Education / credentials</t>
        </is>
      </c>
      <c r="C191" s="211" t="n"/>
      <c r="D191" s="12" t="inlineStr">
        <is>
          <t>Gate requirements</t>
        </is>
      </c>
      <c r="E191" s="211" t="n"/>
      <c r="F191" s="12" t="inlineStr">
        <is>
          <t>Learning focus — Band A</t>
        </is>
      </c>
      <c r="G191" s="212" t="n"/>
      <c r="H191" s="212" t="n"/>
      <c r="I191" s="212" t="n"/>
      <c r="J191" s="212" t="n"/>
      <c r="K191" s="211" t="n"/>
      <c r="L191" s="12" t="inlineStr">
        <is>
          <t>Learning focus — Band B</t>
        </is>
      </c>
      <c r="M191" s="212" t="n"/>
      <c r="N191" s="212" t="n"/>
      <c r="O191" s="212" t="n"/>
      <c r="P191" s="211" t="n"/>
      <c r="Q191" s="12" t="inlineStr">
        <is>
          <t>Learning focus — Band C+</t>
        </is>
      </c>
      <c r="R191" s="211" t="n"/>
      <c r="S191" s="12" t="inlineStr">
        <is>
          <t>Future skills</t>
        </is>
      </c>
      <c r="T191" s="211" t="n"/>
    </row>
    <row r="192" ht="80" customHeight="1">
      <c r="A192" s="13" t="inlineStr">
        <is>
          <t>Administration, Legal &amp; Secretarial</t>
        </is>
      </c>
      <c r="B192" s="16" t="inlineStr">
        <is>
          <t>Graduate; ICSI · CS / LLB for secretarial &amp; legal</t>
        </is>
      </c>
      <c r="C192" s="211" t="n"/>
      <c r="D192" s="16" t="inlineStr">
        <is>
          <t>Companies Act / statutory filings; vendor contracts</t>
        </is>
      </c>
      <c r="E192" s="211" t="n"/>
      <c r="F192" s="16" t="inlineStr">
        <is>
          <t>Mandatory path · POSH, Code of Conduct, InfoSec; Regulatory &amp; BFSI Domain, Stakeholder &amp; Client Management to Working → Practitioner; AI literacy to 2; learn by mentoring and KT.</t>
        </is>
      </c>
      <c r="G192" s="212" t="n"/>
      <c r="H192" s="212" t="n"/>
      <c r="I192" s="212" t="n"/>
      <c r="J192" s="212" t="n"/>
      <c r="K192" s="211" t="n"/>
      <c r="L192" s="16" t="inlineStr">
        <is>
          <t>Regulatory &amp; BFSI Domain, Stakeholder &amp; Client Management to Advanced; Process Improvement &amp; Quality Mindset, Advanced Excel &amp; Productivity Tools, Communication &amp; Presentation to Practitioner; POD Leads / Managers: leading people, delegation, feedback.</t>
        </is>
      </c>
      <c r="M192" s="212" t="n"/>
      <c r="N192" s="212" t="n"/>
      <c r="O192" s="212" t="n"/>
      <c r="P192" s="211" t="n"/>
      <c r="Q192" s="16" t="inlineStr">
        <is>
          <t>Expert in one must-have; strategy &amp; business acumen; building the bench; AI-enabled processes for the function.</t>
        </is>
      </c>
      <c r="R192" s="211" t="n"/>
      <c r="S192" s="16" t="inlineStr">
        <is>
          <t>Digital compliance tools, contract automation</t>
        </is>
      </c>
      <c r="T192" s="211" t="n"/>
    </row>
    <row r="193" ht="15" customHeight="1"/>
    <row r="194" ht="15" customHeight="1"/>
    <row r="195" ht="20" customHeight="1">
      <c r="A195" s="173" t="inlineStr">
        <is>
          <t>Marketing — 3 people · Sales &amp; marketing · levels A3–B2</t>
        </is>
      </c>
    </row>
    <row r="196" ht="15" customHeight="1">
      <c r="A196" s="17" t="inlineStr">
        <is>
          <t>Job families: Marketing &amp; Communications · Design &amp; Creative</t>
        </is>
      </c>
    </row>
    <row r="197" ht="15" customHeight="1">
      <c r="A197" s="12" t="inlineStr">
        <is>
          <t>Capability health today · indicative, from survey + KRAs</t>
        </is>
      </c>
      <c r="B197" s="212" t="n"/>
      <c r="C197" s="212" t="n"/>
      <c r="D197" s="212" t="n"/>
      <c r="E197" s="211" t="n"/>
      <c r="F197" s="12" t="inlineStr">
        <is>
          <t>Result</t>
        </is>
      </c>
      <c r="G197" s="212" t="n"/>
      <c r="H197" s="212" t="n"/>
      <c r="I197" s="212" t="n"/>
      <c r="J197" s="212" t="n"/>
      <c r="K197" s="212" t="n"/>
      <c r="L197" s="212" t="n"/>
      <c r="M197" s="212" t="n"/>
      <c r="N197" s="212" t="n"/>
      <c r="O197" s="212" t="n"/>
      <c r="P197" s="212" t="n"/>
      <c r="Q197" s="212" t="n"/>
      <c r="R197" s="211" t="n"/>
    </row>
    <row r="198" ht="15" customHeight="1">
      <c r="A198" s="13" t="inlineStr">
        <is>
          <t>People assessed · meet or exceed their level</t>
        </is>
      </c>
      <c r="B198" s="212" t="n"/>
      <c r="C198" s="212" t="n"/>
      <c r="D198" s="212" t="n"/>
      <c r="E198" s="211" t="n"/>
      <c r="F198" s="16" t="inlineStr">
        <is>
          <t>3 · 3</t>
        </is>
      </c>
      <c r="G198" s="212" t="n"/>
      <c r="H198" s="212" t="n"/>
      <c r="I198" s="212" t="n"/>
      <c r="J198" s="212" t="n"/>
      <c r="K198" s="212" t="n"/>
      <c r="L198" s="212" t="n"/>
      <c r="M198" s="212" t="n"/>
      <c r="N198" s="212" t="n"/>
      <c r="O198" s="212" t="n"/>
      <c r="P198" s="212" t="n"/>
      <c r="Q198" s="212" t="n"/>
      <c r="R198" s="211" t="n"/>
    </row>
    <row r="199" ht="15" customHeight="1">
      <c r="A199" s="13" t="inlineStr">
        <is>
          <t>Average index · Core · Future-ready · Functional · Leadership · % of required</t>
        </is>
      </c>
      <c r="B199" s="212" t="n"/>
      <c r="C199" s="212" t="n"/>
      <c r="D199" s="212" t="n"/>
      <c r="E199" s="211" t="n"/>
      <c r="F199" s="16" t="inlineStr">
        <is>
          <t>95% · 91% · 90% · 101% · 92%</t>
        </is>
      </c>
      <c r="G199" s="212" t="n"/>
      <c r="H199" s="212" t="n"/>
      <c r="I199" s="212" t="n"/>
      <c r="J199" s="212" t="n"/>
      <c r="K199" s="212" t="n"/>
      <c r="L199" s="212" t="n"/>
      <c r="M199" s="212" t="n"/>
      <c r="N199" s="212" t="n"/>
      <c r="O199" s="212" t="n"/>
      <c r="P199" s="212" t="n"/>
      <c r="Q199" s="212" t="n"/>
      <c r="R199" s="211" t="n"/>
    </row>
    <row r="200" ht="15" customHeight="1">
      <c r="A200" s="13" t="inlineStr">
        <is>
          <t>Most common competency gaps · people</t>
        </is>
      </c>
      <c r="B200" s="212" t="n"/>
      <c r="C200" s="212" t="n"/>
      <c r="D200" s="212" t="n"/>
      <c r="E200" s="211" t="n"/>
      <c r="F200" s="16" t="inlineStr">
        <is>
          <t>AI / GenAI · Learning agility · Digital fluency · Stakeholder mgmt · Problem solving · Product &amp; domain</t>
        </is>
      </c>
      <c r="G200" s="212" t="n"/>
      <c r="H200" s="212" t="n"/>
      <c r="I200" s="212" t="n"/>
      <c r="J200" s="212" t="n"/>
      <c r="K200" s="212" t="n"/>
      <c r="L200" s="212" t="n"/>
      <c r="M200" s="212" t="n"/>
      <c r="N200" s="212" t="n"/>
      <c r="O200" s="212" t="n"/>
      <c r="P200" s="212" t="n"/>
      <c r="Q200" s="212" t="n"/>
      <c r="R200" s="211" t="n"/>
    </row>
    <row r="201" ht="28" customHeight="1">
      <c r="A201" s="13" t="inlineStr">
        <is>
          <t>Role-based development priorities · people</t>
        </is>
      </c>
      <c r="B201" s="212" t="n"/>
      <c r="C201" s="212" t="n"/>
      <c r="D201" s="212" t="n"/>
      <c r="E201" s="211" t="n"/>
      <c r="F201" s="16" t="inlineStr">
        <is>
          <t>Project, Program &amp; Agile Management · People Leadership &amp; Mentoring · Stakeholder &amp; Client Management · Marketing Tech &amp; Digital Marketing · AI, GenAI &amp; Prompt Engineering</t>
        </is>
      </c>
      <c r="G201" s="212" t="n"/>
      <c r="H201" s="212" t="n"/>
      <c r="I201" s="212" t="n"/>
      <c r="J201" s="212" t="n"/>
      <c r="K201" s="212" t="n"/>
      <c r="L201" s="212" t="n"/>
      <c r="M201" s="212" t="n"/>
      <c r="N201" s="212" t="n"/>
      <c r="O201" s="212" t="n"/>
      <c r="P201" s="212" t="n"/>
      <c r="Q201" s="212" t="n"/>
      <c r="R201" s="211" t="n"/>
    </row>
    <row r="202" ht="15" customHeight="1">
      <c r="A202" s="13" t="inlineStr">
        <is>
          <t>Manager-identified training themes</t>
        </is>
      </c>
      <c r="B202" s="212" t="n"/>
      <c r="C202" s="212" t="n"/>
      <c r="D202" s="212" t="n"/>
      <c r="E202" s="211" t="n"/>
      <c r="F202" s="16" t="inlineStr">
        <is>
          <t>Creative Workshops in the orld of AI , brand &amp; creative best practices. AI tools for design</t>
        </is>
      </c>
      <c r="G202" s="212" t="n"/>
      <c r="H202" s="212" t="n"/>
      <c r="I202" s="212" t="n"/>
      <c r="J202" s="212" t="n"/>
      <c r="K202" s="212" t="n"/>
      <c r="L202" s="212" t="n"/>
      <c r="M202" s="212" t="n"/>
      <c r="N202" s="212" t="n"/>
      <c r="O202" s="212" t="n"/>
      <c r="P202" s="212" t="n"/>
      <c r="Q202" s="212" t="n"/>
      <c r="R202" s="211" t="n"/>
    </row>
    <row r="203" ht="15" customHeight="1">
      <c r="A203" s="13" t="inlineStr">
        <is>
          <t>What helped people learn · survey</t>
        </is>
      </c>
      <c r="B203" s="212" t="n"/>
      <c r="C203" s="212" t="n"/>
      <c r="D203" s="212" t="n"/>
      <c r="E203" s="211" t="n"/>
      <c r="F203" s="16" t="inlineStr">
        <is>
          <t>On-the-job / hands-on</t>
        </is>
      </c>
      <c r="G203" s="212" t="n"/>
      <c r="H203" s="212" t="n"/>
      <c r="I203" s="212" t="n"/>
      <c r="J203" s="212" t="n"/>
      <c r="K203" s="212" t="n"/>
      <c r="L203" s="212" t="n"/>
      <c r="M203" s="212" t="n"/>
      <c r="N203" s="212" t="n"/>
      <c r="O203" s="212" t="n"/>
      <c r="P203" s="212" t="n"/>
      <c r="Q203" s="212" t="n"/>
      <c r="R203" s="211" t="n"/>
    </row>
    <row r="204" ht="15" customHeight="1">
      <c r="A204" s="13" t="inlineStr">
        <is>
          <t>How the work is changing</t>
        </is>
      </c>
      <c r="B204" s="212" t="n"/>
      <c r="C204" s="212" t="n"/>
      <c r="D204" s="212" t="n"/>
      <c r="E204" s="211" t="n"/>
      <c r="F204" s="16" t="inlineStr">
        <is>
          <t>1 of 2 say the role is changing because of AI / automation</t>
        </is>
      </c>
      <c r="G204" s="212" t="n"/>
      <c r="H204" s="212" t="n"/>
      <c r="I204" s="212" t="n"/>
      <c r="J204" s="212" t="n"/>
      <c r="K204" s="212" t="n"/>
      <c r="L204" s="212" t="n"/>
      <c r="M204" s="212" t="n"/>
      <c r="N204" s="212" t="n"/>
      <c r="O204" s="212" t="n"/>
      <c r="P204" s="212" t="n"/>
      <c r="Q204" s="212" t="n"/>
      <c r="R204" s="211" t="n"/>
    </row>
    <row r="205" ht="15" customHeight="1">
      <c r="A205" s="13" t="inlineStr">
        <is>
          <t>Lateral moves the evidence supports · people</t>
        </is>
      </c>
      <c r="B205" s="212" t="n"/>
      <c r="C205" s="212" t="n"/>
      <c r="D205" s="212" t="n"/>
      <c r="E205" s="211" t="n"/>
      <c r="F205" s="16" t="inlineStr">
        <is>
          <t>Design &amp; Creative</t>
        </is>
      </c>
      <c r="G205" s="212" t="n"/>
      <c r="H205" s="212" t="n"/>
      <c r="I205" s="212" t="n"/>
      <c r="J205" s="212" t="n"/>
      <c r="K205" s="212" t="n"/>
      <c r="L205" s="212" t="n"/>
      <c r="M205" s="212" t="n"/>
      <c r="N205" s="212" t="n"/>
      <c r="O205" s="212" t="n"/>
      <c r="P205" s="212" t="n"/>
      <c r="Q205" s="212" t="n"/>
      <c r="R205" s="211" t="n"/>
    </row>
    <row r="206" ht="15" customHeight="1"/>
    <row r="207" ht="28" customHeight="1">
      <c r="A207" s="12" t="inlineStr">
        <is>
          <t>Cluster</t>
        </is>
      </c>
      <c r="B207" s="12" t="inlineStr">
        <is>
          <t>Competency · ★ = must-have</t>
        </is>
      </c>
      <c r="C207" s="12" t="inlineStr">
        <is>
          <t>Definition</t>
        </is>
      </c>
      <c r="D207" s="12" t="inlineStr">
        <is>
          <t>Must-have for</t>
        </is>
      </c>
      <c r="E207" s="12" t="inlineStr">
        <is>
          <t>A1</t>
        </is>
      </c>
      <c r="F207" s="12" t="inlineStr">
        <is>
          <t>A2</t>
        </is>
      </c>
      <c r="G207" s="12" t="inlineStr">
        <is>
          <t>A3</t>
        </is>
      </c>
      <c r="H207" s="12" t="inlineStr">
        <is>
          <t>B1</t>
        </is>
      </c>
      <c r="I207" s="12" t="inlineStr">
        <is>
          <t>B2</t>
        </is>
      </c>
      <c r="J207" s="12" t="inlineStr">
        <is>
          <t>B3</t>
        </is>
      </c>
      <c r="K207" s="12" t="inlineStr">
        <is>
          <t>B+</t>
        </is>
      </c>
      <c r="L207" s="12" t="inlineStr">
        <is>
          <t>C1</t>
        </is>
      </c>
      <c r="M207" s="12" t="inlineStr">
        <is>
          <t>C2</t>
        </is>
      </c>
      <c r="N207" s="12" t="inlineStr">
        <is>
          <t>C+</t>
        </is>
      </c>
      <c r="O207" s="12" t="inlineStr">
        <is>
          <t>D1</t>
        </is>
      </c>
      <c r="P207" s="12" t="inlineStr">
        <is>
          <t>What good looks like · by proficiency</t>
        </is>
      </c>
      <c r="Q207" s="12" t="inlineStr">
        <is>
          <t>What IRIS top performers do · survey</t>
        </is>
      </c>
      <c r="R207" s="12" t="inlineStr">
        <is>
          <t>How to assess</t>
        </is>
      </c>
      <c r="S207" s="12" t="inlineStr">
        <is>
          <t>Credentials</t>
        </is>
      </c>
      <c r="T207" s="12" t="inlineStr">
        <is>
          <t>Reference</t>
        </is>
      </c>
    </row>
    <row r="208" ht="54" customHeight="1">
      <c r="A208" s="174" t="inlineStr">
        <is>
          <t>Functional</t>
        </is>
      </c>
      <c r="B208" s="174" t="inlineStr">
        <is>
          <t>★ Marketing Tech &amp; Digital Marketing</t>
        </is>
      </c>
      <c r="C208" s="174" t="inlineStr">
        <is>
          <t>Runs CRM, campaigns, SEO and digital channels.</t>
        </is>
      </c>
      <c r="D208" s="174" t="inlineStr">
        <is>
          <t>Marketing &amp; Communications</t>
        </is>
      </c>
      <c r="E208" s="175" t="n">
        <v>1</v>
      </c>
      <c r="F208" s="175" t="n">
        <v>2</v>
      </c>
      <c r="G208" s="175" t="n">
        <v>3</v>
      </c>
      <c r="H208" s="175" t="n">
        <v>3</v>
      </c>
      <c r="I208" s="175" t="n">
        <v>4</v>
      </c>
      <c r="J208" s="175" t="n">
        <v>4</v>
      </c>
      <c r="K208" s="175" t="n">
        <v>4</v>
      </c>
      <c r="L208" s="175" t="n">
        <v>4</v>
      </c>
      <c r="M208" s="175" t="n">
        <v>5</v>
      </c>
      <c r="N208" s="175" t="n">
        <v>5</v>
      </c>
      <c r="O208" s="175" t="n">
        <v>4</v>
      </c>
      <c r="P208" s="174" t="inlineStr">
        <is>
          <t>3 · Runs campaigns, CRM, SEO and social channels
4 · Owns digital strategy, funnel and marketing analytics</t>
        </is>
      </c>
      <c r="Q208" s="174" t="inlineStr">
        <is>
          <t>content, SEO, social media</t>
        </is>
      </c>
      <c r="R208" s="174" t="inlineStr">
        <is>
          <t>Portfolio / case</t>
        </is>
      </c>
      <c r="S208" s="174" t="inlineStr">
        <is>
          <t>Google / HubSpot certifications</t>
        </is>
      </c>
      <c r="T208" s="174" t="inlineStr">
        <is>
          <t>Family set</t>
        </is>
      </c>
    </row>
    <row r="209" ht="54" customHeight="1">
      <c r="A209" s="174" t="inlineStr">
        <is>
          <t>Functional</t>
        </is>
      </c>
      <c r="B209" s="174" t="inlineStr">
        <is>
          <t>★ Communication &amp; Presentation</t>
        </is>
      </c>
      <c r="C209" s="174" t="inlineStr">
        <is>
          <t>Writes and presents clearly to clients and teams.</t>
        </is>
      </c>
      <c r="D209" s="174" t="inlineStr">
        <is>
          <t>Marketing &amp; Communications, Design &amp; Creative</t>
        </is>
      </c>
      <c r="E209" s="175" t="n">
        <v>1</v>
      </c>
      <c r="F209" s="175" t="n">
        <v>2</v>
      </c>
      <c r="G209" s="175" t="n">
        <v>3</v>
      </c>
      <c r="H209" s="175" t="n">
        <v>3</v>
      </c>
      <c r="I209" s="175" t="n">
        <v>4</v>
      </c>
      <c r="J209" s="175" t="n">
        <v>4</v>
      </c>
      <c r="K209" s="175" t="n">
        <v>4</v>
      </c>
      <c r="L209" s="175" t="n">
        <v>4</v>
      </c>
      <c r="M209" s="175" t="n">
        <v>5</v>
      </c>
      <c r="N209" s="175" t="n">
        <v>5</v>
      </c>
      <c r="O209" s="175" t="n">
        <v>4</v>
      </c>
      <c r="P209" s="174" t="inlineStr">
        <is>
          <t>3 · Writes and presents clearly to clients and teams
4 · Presents to senior stakeholders; shapes messaging</t>
        </is>
      </c>
      <c r="Q209" s="174" t="inlineStr">
        <is>
          <t>writing, email</t>
        </is>
      </c>
      <c r="R209" s="174" t="inlineStr">
        <is>
          <t>Presentation / writing test</t>
        </is>
      </c>
      <c r="S209" s="174" t="inlineStr">
        <is>
          <t>—</t>
        </is>
      </c>
      <c r="T209" s="174" t="inlineStr">
        <is>
          <t>Family set</t>
        </is>
      </c>
    </row>
    <row r="210" ht="54" customHeight="1">
      <c r="A210" s="174" t="inlineStr">
        <is>
          <t>Functional</t>
        </is>
      </c>
      <c r="B210" s="174" t="inlineStr">
        <is>
          <t>Data Analytics, BI &amp; Visualisation</t>
        </is>
      </c>
      <c r="C210" s="174" t="inlineStr">
        <is>
          <t>Turns data into MIS, dashboards and insight.</t>
        </is>
      </c>
      <c r="D210" s="174" t="inlineStr">
        <is>
          <t>—</t>
        </is>
      </c>
      <c r="E210" s="175" t="n">
        <v>1</v>
      </c>
      <c r="F210" s="175" t="n">
        <v>2</v>
      </c>
      <c r="G210" s="175" t="n">
        <v>3</v>
      </c>
      <c r="H210" s="175" t="n">
        <v>3</v>
      </c>
      <c r="I210" s="175" t="n">
        <v>4</v>
      </c>
      <c r="J210" s="175" t="n">
        <v>4</v>
      </c>
      <c r="K210" s="175" t="n">
        <v>4</v>
      </c>
      <c r="L210" s="175" t="n">
        <v>4</v>
      </c>
      <c r="M210" s="175" t="n">
        <v>5</v>
      </c>
      <c r="N210" s="175" t="n">
        <v>5</v>
      </c>
      <c r="O210" s="175" t="n">
        <v>4</v>
      </c>
      <c r="P210" s="174" t="inlineStr">
        <is>
          <t>3 · Builds MIS, dashboards and analysis
4 · Defines metrics and analytics approach for a business</t>
        </is>
      </c>
      <c r="Q210" s="174" t="inlineStr">
        <is>
          <t>—</t>
        </is>
      </c>
      <c r="R210" s="174" t="inlineStr">
        <is>
          <t>Data case / practical</t>
        </is>
      </c>
      <c r="S210" s="174" t="inlineStr">
        <is>
          <t>Power BI / Tableau · optional</t>
        </is>
      </c>
      <c r="T210" s="174" t="inlineStr">
        <is>
          <t>Family set</t>
        </is>
      </c>
    </row>
    <row r="211" ht="67" customHeight="1">
      <c r="A211" s="174" t="inlineStr">
        <is>
          <t>Functional</t>
        </is>
      </c>
      <c r="B211" s="174" t="inlineStr">
        <is>
          <t>AI, GenAI &amp; Prompt Engineering</t>
        </is>
      </c>
      <c r="C211" s="174" t="inlineStr">
        <is>
          <t>Uses or builds AI and LLM solutions to improve products and work.</t>
        </is>
      </c>
      <c r="D211" s="174" t="inlineStr">
        <is>
          <t>—</t>
        </is>
      </c>
      <c r="E211" s="175" t="n">
        <v>1</v>
      </c>
      <c r="F211" s="175" t="n">
        <v>2</v>
      </c>
      <c r="G211" s="175" t="n">
        <v>3</v>
      </c>
      <c r="H211" s="175" t="n">
        <v>3</v>
      </c>
      <c r="I211" s="175" t="n">
        <v>4</v>
      </c>
      <c r="J211" s="175" t="n">
        <v>4</v>
      </c>
      <c r="K211" s="175" t="n">
        <v>4</v>
      </c>
      <c r="L211" s="175" t="n">
        <v>4</v>
      </c>
      <c r="M211" s="175" t="n">
        <v>5</v>
      </c>
      <c r="N211" s="175" t="n">
        <v>5</v>
      </c>
      <c r="O211" s="175" t="n">
        <v>4</v>
      </c>
      <c r="P211" s="174" t="inlineStr">
        <is>
          <t>3 · Uses AI / LLM tools in own work and validates output
4 · Builds AI features or AI-enabled processes; sets safe-use practice</t>
        </is>
      </c>
      <c r="Q211" s="174" t="inlineStr">
        <is>
          <t>claude, gemini</t>
        </is>
      </c>
      <c r="R211" s="174" t="inlineStr">
        <is>
          <t>Work sample / portfolio</t>
        </is>
      </c>
      <c r="S211" s="174" t="inlineStr">
        <is>
          <t>Vendor AI certifications · optional</t>
        </is>
      </c>
      <c r="T211" s="174" t="inlineStr">
        <is>
          <t>Family set</t>
        </is>
      </c>
    </row>
    <row r="212" ht="54" customHeight="1">
      <c r="A212" s="174" t="inlineStr">
        <is>
          <t>Functional</t>
        </is>
      </c>
      <c r="B212" s="174" t="inlineStr">
        <is>
          <t>★ Product, Platform &amp; Domain Knowledge</t>
        </is>
      </c>
      <c r="C212" s="174" t="inlineStr">
        <is>
          <t>Knows IRIS products, platforms and the client's domain.</t>
        </is>
      </c>
      <c r="D212" s="174" t="inlineStr">
        <is>
          <t>Design &amp; Creative</t>
        </is>
      </c>
      <c r="E212" s="175" t="n">
        <v>1</v>
      </c>
      <c r="F212" s="175" t="n">
        <v>2</v>
      </c>
      <c r="G212" s="175" t="n">
        <v>3</v>
      </c>
      <c r="H212" s="175" t="n">
        <v>3</v>
      </c>
      <c r="I212" s="175" t="n">
        <v>4</v>
      </c>
      <c r="J212" s="175" t="n">
        <v>4</v>
      </c>
      <c r="K212" s="175" t="n">
        <v>4</v>
      </c>
      <c r="L212" s="175" t="n">
        <v>4</v>
      </c>
      <c r="M212" s="175" t="n">
        <v>5</v>
      </c>
      <c r="N212" s="175" t="n">
        <v>5</v>
      </c>
      <c r="O212" s="175" t="n">
        <v>4</v>
      </c>
      <c r="P212" s="174" t="inlineStr">
        <is>
          <t>3 · Handles most product and domain scenarios
4 · Recognised product / domain expert; trains others</t>
        </is>
      </c>
      <c r="Q212" s="174" t="inlineStr">
        <is>
          <t>—</t>
        </is>
      </c>
      <c r="R212" s="174" t="inlineStr">
        <is>
          <t>Scenario interview</t>
        </is>
      </c>
      <c r="S212" s="174" t="inlineStr">
        <is>
          <t>Internal product certification</t>
        </is>
      </c>
      <c r="T212" s="174" t="inlineStr">
        <is>
          <t>Family set</t>
        </is>
      </c>
    </row>
    <row r="213" ht="54" customHeight="1">
      <c r="A213" s="174" t="inlineStr">
        <is>
          <t>Functional</t>
        </is>
      </c>
      <c r="B213" s="174" t="inlineStr">
        <is>
          <t>Strategic Thinking &amp; Business Acumen</t>
        </is>
      </c>
      <c r="C213" s="174" t="inlineStr">
        <is>
          <t>Links work to business outcomes, budgets and strategy.</t>
        </is>
      </c>
      <c r="D213" s="174" t="inlineStr">
        <is>
          <t>—</t>
        </is>
      </c>
      <c r="E213" s="175" t="n">
        <v>1</v>
      </c>
      <c r="F213" s="175" t="n">
        <v>2</v>
      </c>
      <c r="G213" s="175" t="n">
        <v>3</v>
      </c>
      <c r="H213" s="175" t="n">
        <v>3</v>
      </c>
      <c r="I213" s="175" t="n">
        <v>4</v>
      </c>
      <c r="J213" s="175" t="n">
        <v>4</v>
      </c>
      <c r="K213" s="175" t="n">
        <v>4</v>
      </c>
      <c r="L213" s="175" t="n">
        <v>4</v>
      </c>
      <c r="M213" s="175" t="n">
        <v>5</v>
      </c>
      <c r="N213" s="175" t="n">
        <v>5</v>
      </c>
      <c r="O213" s="175" t="n">
        <v>4</v>
      </c>
      <c r="P213" s="174" t="inlineStr">
        <is>
          <t>3 · Connects work to business goals and budgets
4 · Shapes strategy, pricing or investment choices</t>
        </is>
      </c>
      <c r="Q213" s="174" t="inlineStr">
        <is>
          <t>market</t>
        </is>
      </c>
      <c r="R213" s="174" t="inlineStr">
        <is>
          <t>Case interview</t>
        </is>
      </c>
      <c r="S213" s="174" t="inlineStr">
        <is>
          <t>MBA / PGDM · preferred at C+</t>
        </is>
      </c>
      <c r="T213" s="174" t="inlineStr">
        <is>
          <t>Family set</t>
        </is>
      </c>
    </row>
    <row r="214" ht="67" customHeight="1">
      <c r="A214" s="174" t="inlineStr">
        <is>
          <t>Functional</t>
        </is>
      </c>
      <c r="B214" s="174" t="inlineStr">
        <is>
          <t>Process Improvement &amp; Quality Mindset</t>
        </is>
      </c>
      <c r="C214" s="174" t="inlineStr">
        <is>
          <t>Gets it right first time; improves processes and checklists.</t>
        </is>
      </c>
      <c r="D214" s="174" t="inlineStr">
        <is>
          <t>—</t>
        </is>
      </c>
      <c r="E214" s="175" t="n">
        <v>1</v>
      </c>
      <c r="F214" s="175" t="n">
        <v>2</v>
      </c>
      <c r="G214" s="175" t="n">
        <v>3</v>
      </c>
      <c r="H214" s="175" t="n">
        <v>3</v>
      </c>
      <c r="I214" s="175" t="n">
        <v>4</v>
      </c>
      <c r="J214" s="175" t="n">
        <v>4</v>
      </c>
      <c r="K214" s="175" t="n">
        <v>4</v>
      </c>
      <c r="L214" s="175" t="n">
        <v>4</v>
      </c>
      <c r="M214" s="175" t="n">
        <v>5</v>
      </c>
      <c r="N214" s="175" t="n">
        <v>5</v>
      </c>
      <c r="O214" s="175" t="n">
        <v>4</v>
      </c>
      <c r="P214" s="174" t="inlineStr">
        <is>
          <t>3 · Delivers right-first-time; improves own checklists
4 · Redesigns team processes; reduces error rates measurably</t>
        </is>
      </c>
      <c r="Q214" s="174" t="inlineStr">
        <is>
          <t>review</t>
        </is>
      </c>
      <c r="R214" s="174" t="inlineStr">
        <is>
          <t>Work sample / case</t>
        </is>
      </c>
      <c r="S214" s="174" t="inlineStr">
        <is>
          <t>Lean / Six Sigma · optional</t>
        </is>
      </c>
      <c r="T214" s="174" t="inlineStr">
        <is>
          <t>Family set</t>
        </is>
      </c>
    </row>
    <row r="215" ht="67" customHeight="1">
      <c r="A215" s="174" t="inlineStr">
        <is>
          <t>Functional</t>
        </is>
      </c>
      <c r="B215" s="174" t="inlineStr">
        <is>
          <t>Stakeholder &amp; Client Management</t>
        </is>
      </c>
      <c r="C215" s="174" t="inlineStr">
        <is>
          <t>Manages clients and stakeholders; handles changing requests.</t>
        </is>
      </c>
      <c r="D215" s="174" t="inlineStr">
        <is>
          <t>—</t>
        </is>
      </c>
      <c r="E215" s="175" t="n">
        <v>1</v>
      </c>
      <c r="F215" s="175" t="n">
        <v>2</v>
      </c>
      <c r="G215" s="175" t="n">
        <v>3</v>
      </c>
      <c r="H215" s="175" t="n">
        <v>3</v>
      </c>
      <c r="I215" s="175" t="n">
        <v>4</v>
      </c>
      <c r="J215" s="175" t="n">
        <v>4</v>
      </c>
      <c r="K215" s="175" t="n">
        <v>4</v>
      </c>
      <c r="L215" s="175" t="n">
        <v>4</v>
      </c>
      <c r="M215" s="175" t="n">
        <v>5</v>
      </c>
      <c r="N215" s="175" t="n">
        <v>5</v>
      </c>
      <c r="O215" s="175" t="n">
        <v>4</v>
      </c>
      <c r="P215" s="174" t="inlineStr">
        <is>
          <t>3 · Manages client communication and expectations for own work
4 · Owns key relationships; resolves escalations</t>
        </is>
      </c>
      <c r="Q215" s="174" t="inlineStr">
        <is>
          <t>—</t>
        </is>
      </c>
      <c r="R215" s="174" t="inlineStr">
        <is>
          <t>Role play / behavioural interview</t>
        </is>
      </c>
      <c r="S215" s="174" t="inlineStr">
        <is>
          <t>—</t>
        </is>
      </c>
      <c r="T215" s="174" t="inlineStr">
        <is>
          <t>Family set</t>
        </is>
      </c>
    </row>
    <row r="216" ht="28" customHeight="1">
      <c r="A216" s="134" t="inlineStr">
        <is>
          <t>Leadership</t>
        </is>
      </c>
      <c r="B216" s="134" t="inlineStr">
        <is>
          <t>Leadership cluster · 4 competencies, part C</t>
        </is>
      </c>
      <c r="C216" s="134" t="inlineStr">
        <is>
          <t>Leading people, decisions, strategy and change</t>
        </is>
      </c>
      <c r="D216" s="134" t="inlineStr">
        <is>
          <t>POD Leads and People Managers</t>
        </is>
      </c>
      <c r="E216" s="47" t="inlineStr">
        <is>
          <t>—</t>
        </is>
      </c>
      <c r="F216" s="47" t="inlineStr">
        <is>
          <t>—</t>
        </is>
      </c>
      <c r="G216" s="47" t="inlineStr">
        <is>
          <t>—</t>
        </is>
      </c>
      <c r="H216" s="47" t="inlineStr">
        <is>
          <t>1/2</t>
        </is>
      </c>
      <c r="I216" s="47" t="inlineStr">
        <is>
          <t>2/3</t>
        </is>
      </c>
      <c r="J216" s="47" t="inlineStr">
        <is>
          <t>3/4</t>
        </is>
      </c>
      <c r="K216" s="47" t="inlineStr">
        <is>
          <t>4/4</t>
        </is>
      </c>
      <c r="L216" s="47" t="inlineStr">
        <is>
          <t>4/4</t>
        </is>
      </c>
      <c r="M216" s="47" t="inlineStr">
        <is>
          <t>4/4</t>
        </is>
      </c>
      <c r="N216" s="47" t="inlineStr">
        <is>
          <t>5/5</t>
        </is>
      </c>
      <c r="O216" s="47" t="inlineStr">
        <is>
          <t>5/5</t>
        </is>
      </c>
      <c r="P216" s="134" t="inlineStr">
        <is>
          <t>Required level shown as IC / Manager</t>
        </is>
      </c>
      <c r="Q216" s="134" t="inlineStr">
        <is>
          <t>—</t>
        </is>
      </c>
      <c r="R216" s="134" t="inlineStr">
        <is>
          <t>Behavioural interview; 360 feedback</t>
        </is>
      </c>
      <c r="S216" s="134" t="inlineStr">
        <is>
          <t>—</t>
        </is>
      </c>
      <c r="T216" s="134" t="inlineStr">
        <is>
          <t>S14, S15, S16</t>
        </is>
      </c>
    </row>
    <row r="217" ht="15" customHeight="1"/>
    <row r="218" ht="15" customHeight="1">
      <c r="A218" s="12" t="inlineStr">
        <is>
          <t>Job family</t>
        </is>
      </c>
      <c r="B218" s="12" t="inlineStr">
        <is>
          <t>Education / credentials</t>
        </is>
      </c>
      <c r="C218" s="211" t="n"/>
      <c r="D218" s="12" t="inlineStr">
        <is>
          <t>Gate requirements</t>
        </is>
      </c>
      <c r="E218" s="211" t="n"/>
      <c r="F218" s="12" t="inlineStr">
        <is>
          <t>Learning focus — Band A</t>
        </is>
      </c>
      <c r="G218" s="212" t="n"/>
      <c r="H218" s="212" t="n"/>
      <c r="I218" s="212" t="n"/>
      <c r="J218" s="212" t="n"/>
      <c r="K218" s="211" t="n"/>
      <c r="L218" s="12" t="inlineStr">
        <is>
          <t>Learning focus — Band B</t>
        </is>
      </c>
      <c r="M218" s="212" t="n"/>
      <c r="N218" s="212" t="n"/>
      <c r="O218" s="212" t="n"/>
      <c r="P218" s="211" t="n"/>
      <c r="Q218" s="12" t="inlineStr">
        <is>
          <t>Learning focus — Band C+</t>
        </is>
      </c>
      <c r="R218" s="211" t="n"/>
      <c r="S218" s="12" t="inlineStr">
        <is>
          <t>Future skills</t>
        </is>
      </c>
      <c r="T218" s="211" t="n"/>
    </row>
    <row r="219" ht="80" customHeight="1">
      <c r="A219" s="13" t="inlineStr">
        <is>
          <t>Marketing &amp; Communications</t>
        </is>
      </c>
      <c r="B219" s="16" t="inlineStr">
        <is>
          <t>Graduate / MBA · marketing</t>
        </is>
      </c>
      <c r="C219" s="211" t="n"/>
      <c r="D219" s="16" t="inlineStr">
        <is>
          <t>Brand and data-privacy rules for campaigns</t>
        </is>
      </c>
      <c r="E219" s="211" t="n"/>
      <c r="F219" s="16" t="inlineStr">
        <is>
          <t>Mandatory path · POSH, Code of Conduct, InfoSec; Marketing Tech &amp; Digital Marketing, Communication &amp; Presentation to Working → Practitioner; AI literacy to 2; learn by mentoring and KT.</t>
        </is>
      </c>
      <c r="G219" s="212" t="n"/>
      <c r="H219" s="212" t="n"/>
      <c r="I219" s="212" t="n"/>
      <c r="J219" s="212" t="n"/>
      <c r="K219" s="211" t="n"/>
      <c r="L219" s="16" t="inlineStr">
        <is>
          <t>Marketing Tech &amp; Digital Marketing, Communication &amp; Presentation to Advanced; Data Analytics, BI &amp; Visualisation, AI, GenAI &amp; Prompt Engineering, Product, Platform &amp; Domain Knowledge to Practitioner; POD Leads / Managers: leading people, delegation, feedback.</t>
        </is>
      </c>
      <c r="M219" s="212" t="n"/>
      <c r="N219" s="212" t="n"/>
      <c r="O219" s="212" t="n"/>
      <c r="P219" s="211" t="n"/>
      <c r="Q219" s="16" t="inlineStr">
        <is>
          <t>Expert in one must-have; strategy &amp; business acumen; building the bench; AI-enabled processes for the function.</t>
        </is>
      </c>
      <c r="R219" s="211" t="n"/>
      <c r="S219" s="16" t="inlineStr">
        <is>
          <t>AI content &amp; marketing automation, marketing analytics</t>
        </is>
      </c>
      <c r="T219" s="211" t="n"/>
    </row>
    <row r="220" ht="80" customHeight="1">
      <c r="A220" s="13" t="inlineStr">
        <is>
          <t>Design &amp; Creative</t>
        </is>
      </c>
      <c r="B220" s="16" t="inlineStr">
        <is>
          <t>Graduate in design / communication</t>
        </is>
      </c>
      <c r="C220" s="211" t="n"/>
      <c r="D220" s="16" t="inlineStr">
        <is>
          <t>Brand and accessibility standards · WCAG</t>
        </is>
      </c>
      <c r="E220" s="211" t="n"/>
      <c r="F220" s="16" t="inlineStr">
        <is>
          <t>Mandatory path · POSH, Code of Conduct, InfoSec; Product, Platform &amp; Domain Knowledge, Communication &amp; Presentation to Working → Practitioner; AI literacy to 2; learn by mentoring and KT.</t>
        </is>
      </c>
      <c r="G220" s="212" t="n"/>
      <c r="H220" s="212" t="n"/>
      <c r="I220" s="212" t="n"/>
      <c r="J220" s="212" t="n"/>
      <c r="K220" s="211" t="n"/>
      <c r="L220" s="16" t="inlineStr">
        <is>
          <t>Product, Platform &amp; Domain Knowledge, Communication &amp; Presentation to Advanced; Marketing Tech &amp; Digital Marketing, Process Improvement &amp; Quality Mindset, AI, GenAI &amp; Prompt Engineering to Practitioner; POD Leads / Managers: leading people, delegation, feedback.</t>
        </is>
      </c>
      <c r="M220" s="212" t="n"/>
      <c r="N220" s="212" t="n"/>
      <c r="O220" s="212" t="n"/>
      <c r="P220" s="211" t="n"/>
      <c r="Q220" s="16" t="inlineStr">
        <is>
          <t>Expert in one must-have; strategy &amp; business acumen; building the bench; AI-enabled processes for the function.</t>
        </is>
      </c>
      <c r="R220" s="211" t="n"/>
      <c r="S220" s="16" t="inlineStr">
        <is>
          <t>AI-assisted design, design systems</t>
        </is>
      </c>
      <c r="T220" s="211" t="n"/>
    </row>
    <row r="221" ht="15" customHeight="1"/>
    <row r="222" ht="15" customHeight="1"/>
    <row r="223" ht="20" customHeight="1">
      <c r="A223" s="173" t="inlineStr">
        <is>
          <t>Secretarial &amp; Legal — 3 people · Corporate functions · levels A1–C1</t>
        </is>
      </c>
    </row>
    <row r="224" ht="15" customHeight="1">
      <c r="A224" s="17" t="inlineStr">
        <is>
          <t>Job families: Administration, Legal &amp; Secretarial</t>
        </is>
      </c>
    </row>
    <row r="225" ht="15" customHeight="1">
      <c r="A225" s="12" t="inlineStr">
        <is>
          <t>Capability health today · indicative, from survey + KRAs</t>
        </is>
      </c>
      <c r="B225" s="212" t="n"/>
      <c r="C225" s="212" t="n"/>
      <c r="D225" s="212" t="n"/>
      <c r="E225" s="211" t="n"/>
      <c r="F225" s="12" t="inlineStr">
        <is>
          <t>Result</t>
        </is>
      </c>
      <c r="G225" s="212" t="n"/>
      <c r="H225" s="212" t="n"/>
      <c r="I225" s="212" t="n"/>
      <c r="J225" s="212" t="n"/>
      <c r="K225" s="212" t="n"/>
      <c r="L225" s="212" t="n"/>
      <c r="M225" s="212" t="n"/>
      <c r="N225" s="212" t="n"/>
      <c r="O225" s="212" t="n"/>
      <c r="P225" s="212" t="n"/>
      <c r="Q225" s="212" t="n"/>
      <c r="R225" s="211" t="n"/>
    </row>
    <row r="226" ht="15" customHeight="1">
      <c r="A226" s="13" t="inlineStr">
        <is>
          <t>People assessed · meet or exceed their level</t>
        </is>
      </c>
      <c r="B226" s="212" t="n"/>
      <c r="C226" s="212" t="n"/>
      <c r="D226" s="212" t="n"/>
      <c r="E226" s="211" t="n"/>
      <c r="F226" s="16" t="inlineStr">
        <is>
          <t>2 · 2</t>
        </is>
      </c>
      <c r="G226" s="212" t="n"/>
      <c r="H226" s="212" t="n"/>
      <c r="I226" s="212" t="n"/>
      <c r="J226" s="212" t="n"/>
      <c r="K226" s="212" t="n"/>
      <c r="L226" s="212" t="n"/>
      <c r="M226" s="212" t="n"/>
      <c r="N226" s="212" t="n"/>
      <c r="O226" s="212" t="n"/>
      <c r="P226" s="212" t="n"/>
      <c r="Q226" s="212" t="n"/>
      <c r="R226" s="211" t="n"/>
    </row>
    <row r="227" ht="15" customHeight="1">
      <c r="A227" s="13" t="inlineStr">
        <is>
          <t>Average index · Core · Future-ready · Functional · Leadership · % of required</t>
        </is>
      </c>
      <c r="B227" s="212" t="n"/>
      <c r="C227" s="212" t="n"/>
      <c r="D227" s="212" t="n"/>
      <c r="E227" s="211" t="n"/>
      <c r="F227" s="16" t="inlineStr">
        <is>
          <t>101% · 92% · 94% · 108% · —%</t>
        </is>
      </c>
      <c r="G227" s="212" t="n"/>
      <c r="H227" s="212" t="n"/>
      <c r="I227" s="212" t="n"/>
      <c r="J227" s="212" t="n"/>
      <c r="K227" s="212" t="n"/>
      <c r="L227" s="212" t="n"/>
      <c r="M227" s="212" t="n"/>
      <c r="N227" s="212" t="n"/>
      <c r="O227" s="212" t="n"/>
      <c r="P227" s="212" t="n"/>
      <c r="Q227" s="212" t="n"/>
      <c r="R227" s="211" t="n"/>
    </row>
    <row r="228" ht="15" customHeight="1">
      <c r="A228" s="13" t="inlineStr">
        <is>
          <t>Most common competency gaps · people</t>
        </is>
      </c>
      <c r="B228" s="212" t="n"/>
      <c r="C228" s="212" t="n"/>
      <c r="D228" s="212" t="n"/>
      <c r="E228" s="211" t="n"/>
      <c r="F228" s="16" t="inlineStr">
        <is>
          <t>Ownership · Problem solving · Learning agility</t>
        </is>
      </c>
      <c r="G228" s="212" t="n"/>
      <c r="H228" s="212" t="n"/>
      <c r="I228" s="212" t="n"/>
      <c r="J228" s="212" t="n"/>
      <c r="K228" s="212" t="n"/>
      <c r="L228" s="212" t="n"/>
      <c r="M228" s="212" t="n"/>
      <c r="N228" s="212" t="n"/>
      <c r="O228" s="212" t="n"/>
      <c r="P228" s="212" t="n"/>
      <c r="Q228" s="212" t="n"/>
      <c r="R228" s="211" t="n"/>
    </row>
    <row r="229" ht="28" customHeight="1">
      <c r="A229" s="13" t="inlineStr">
        <is>
          <t>Role-based development priorities · people</t>
        </is>
      </c>
      <c r="B229" s="212" t="n"/>
      <c r="C229" s="212" t="n"/>
      <c r="D229" s="212" t="n"/>
      <c r="E229" s="211" t="n"/>
      <c r="F229" s="16" t="inlineStr">
        <is>
          <t>Regulatory &amp; BFSI Domain · AI, GenAI &amp; Prompt Engineering · People Leadership &amp; Mentoring · Strategic Thinking &amp; Business Acumen · Product, Platform &amp; Domain Knowledge · Advanced Excel &amp; Productivity Tools</t>
        </is>
      </c>
      <c r="G229" s="212" t="n"/>
      <c r="H229" s="212" t="n"/>
      <c r="I229" s="212" t="n"/>
      <c r="J229" s="212" t="n"/>
      <c r="K229" s="212" t="n"/>
      <c r="L229" s="212" t="n"/>
      <c r="M229" s="212" t="n"/>
      <c r="N229" s="212" t="n"/>
      <c r="O229" s="212" t="n"/>
      <c r="P229" s="212" t="n"/>
      <c r="Q229" s="212" t="n"/>
      <c r="R229" s="211" t="n"/>
    </row>
    <row r="230" ht="15" customHeight="1">
      <c r="A230" s="13" t="inlineStr">
        <is>
          <t>Manager-identified training themes</t>
        </is>
      </c>
      <c r="B230" s="212" t="n"/>
      <c r="C230" s="212" t="n"/>
      <c r="D230" s="212" t="n"/>
      <c r="E230" s="211" t="n"/>
      <c r="F230" s="16" t="inlineStr">
        <is>
          <t>—</t>
        </is>
      </c>
      <c r="G230" s="212" t="n"/>
      <c r="H230" s="212" t="n"/>
      <c r="I230" s="212" t="n"/>
      <c r="J230" s="212" t="n"/>
      <c r="K230" s="212" t="n"/>
      <c r="L230" s="212" t="n"/>
      <c r="M230" s="212" t="n"/>
      <c r="N230" s="212" t="n"/>
      <c r="O230" s="212" t="n"/>
      <c r="P230" s="212" t="n"/>
      <c r="Q230" s="212" t="n"/>
      <c r="R230" s="211" t="n"/>
    </row>
    <row r="231" ht="15" customHeight="1">
      <c r="A231" s="13" t="inlineStr">
        <is>
          <t>What helped people learn · survey</t>
        </is>
      </c>
      <c r="B231" s="212" t="n"/>
      <c r="C231" s="212" t="n"/>
      <c r="D231" s="212" t="n"/>
      <c r="E231" s="211" t="n"/>
      <c r="F231" s="16" t="inlineStr">
        <is>
          <r>
            <rPr>
              <rFont val="Calibri"/>
              <b val="1"/>
              <sz val="10"/>
            </rPr>
            <t>Withheld:</t>
          </r>
          <r>
            <rPr>
              <rFont val="Calibri"/>
              <sz val="10"/>
            </rPr>
            <t xml:space="preserve"> fewer than 3 role-holders answered the survey, so answers would identify a person · IRIS role catalogue entry to follow</t>
          </r>
        </is>
      </c>
      <c r="G231" s="212" t="n"/>
      <c r="H231" s="212" t="n"/>
      <c r="I231" s="212" t="n"/>
      <c r="J231" s="212" t="n"/>
      <c r="K231" s="212" t="n"/>
      <c r="L231" s="212" t="n"/>
      <c r="M231" s="212" t="n"/>
      <c r="N231" s="212" t="n"/>
      <c r="O231" s="212" t="n"/>
      <c r="P231" s="212" t="n"/>
      <c r="Q231" s="212" t="n"/>
      <c r="R231" s="211" t="n"/>
    </row>
    <row r="232" ht="15" customHeight="1">
      <c r="A232" s="13" t="inlineStr">
        <is>
          <t>How the work is changing</t>
        </is>
      </c>
      <c r="B232" s="212" t="n"/>
      <c r="C232" s="212" t="n"/>
      <c r="D232" s="212" t="n"/>
      <c r="E232" s="211" t="n"/>
      <c r="F232" s="16" t="inlineStr">
        <is>
          <t>—</t>
        </is>
      </c>
      <c r="G232" s="212" t="n"/>
      <c r="H232" s="212" t="n"/>
      <c r="I232" s="212" t="n"/>
      <c r="J232" s="212" t="n"/>
      <c r="K232" s="212" t="n"/>
      <c r="L232" s="212" t="n"/>
      <c r="M232" s="212" t="n"/>
      <c r="N232" s="212" t="n"/>
      <c r="O232" s="212" t="n"/>
      <c r="P232" s="212" t="n"/>
      <c r="Q232" s="212" t="n"/>
      <c r="R232" s="211" t="n"/>
    </row>
    <row r="233" ht="15" customHeight="1">
      <c r="A233" s="13" t="inlineStr">
        <is>
          <t>Lateral moves the evidence supports · people</t>
        </is>
      </c>
      <c r="B233" s="212" t="n"/>
      <c r="C233" s="212" t="n"/>
      <c r="D233" s="212" t="n"/>
      <c r="E233" s="211" t="n"/>
      <c r="F233" s="16" t="inlineStr">
        <is>
          <t>No strong match yet</t>
        </is>
      </c>
      <c r="G233" s="212" t="n"/>
      <c r="H233" s="212" t="n"/>
      <c r="I233" s="212" t="n"/>
      <c r="J233" s="212" t="n"/>
      <c r="K233" s="212" t="n"/>
      <c r="L233" s="212" t="n"/>
      <c r="M233" s="212" t="n"/>
      <c r="N233" s="212" t="n"/>
      <c r="O233" s="212" t="n"/>
      <c r="P233" s="212" t="n"/>
      <c r="Q233" s="212" t="n"/>
      <c r="R233" s="211" t="n"/>
    </row>
    <row r="234" ht="15" customHeight="1"/>
    <row r="235" ht="28" customHeight="1">
      <c r="A235" s="12" t="inlineStr">
        <is>
          <t>Cluster</t>
        </is>
      </c>
      <c r="B235" s="12" t="inlineStr">
        <is>
          <t>Competency · ★ = must-have</t>
        </is>
      </c>
      <c r="C235" s="12" t="inlineStr">
        <is>
          <t>Definition</t>
        </is>
      </c>
      <c r="D235" s="12" t="inlineStr">
        <is>
          <t>Must-have for</t>
        </is>
      </c>
      <c r="E235" s="12" t="inlineStr">
        <is>
          <t>A1</t>
        </is>
      </c>
      <c r="F235" s="12" t="inlineStr">
        <is>
          <t>A2</t>
        </is>
      </c>
      <c r="G235" s="12" t="inlineStr">
        <is>
          <t>A3</t>
        </is>
      </c>
      <c r="H235" s="12" t="inlineStr">
        <is>
          <t>B1</t>
        </is>
      </c>
      <c r="I235" s="12" t="inlineStr">
        <is>
          <t>B2</t>
        </is>
      </c>
      <c r="J235" s="12" t="inlineStr">
        <is>
          <t>B3</t>
        </is>
      </c>
      <c r="K235" s="12" t="inlineStr">
        <is>
          <t>B+</t>
        </is>
      </c>
      <c r="L235" s="12" t="inlineStr">
        <is>
          <t>C1</t>
        </is>
      </c>
      <c r="M235" s="12" t="inlineStr">
        <is>
          <t>C2</t>
        </is>
      </c>
      <c r="N235" s="12" t="inlineStr">
        <is>
          <t>C+</t>
        </is>
      </c>
      <c r="O235" s="12" t="inlineStr">
        <is>
          <t>D1</t>
        </is>
      </c>
      <c r="P235" s="12" t="inlineStr">
        <is>
          <t>What good looks like · by proficiency</t>
        </is>
      </c>
      <c r="Q235" s="12" t="inlineStr">
        <is>
          <t>What IRIS top performers do · survey</t>
        </is>
      </c>
      <c r="R235" s="12" t="inlineStr">
        <is>
          <t>How to assess</t>
        </is>
      </c>
      <c r="S235" s="12" t="inlineStr">
        <is>
          <t>Credentials</t>
        </is>
      </c>
      <c r="T235" s="12" t="inlineStr">
        <is>
          <t>Reference</t>
        </is>
      </c>
    </row>
    <row r="236" ht="54" customHeight="1">
      <c r="A236" s="174" t="inlineStr">
        <is>
          <t>Functional</t>
        </is>
      </c>
      <c r="B236" s="174" t="inlineStr">
        <is>
          <t>★ Regulatory &amp; BFSI Domain</t>
        </is>
      </c>
      <c r="C236" s="174" t="inlineStr">
        <is>
          <t>Understands regulators, returns, filings and BFSI rules.</t>
        </is>
      </c>
      <c r="D236" s="174" t="inlineStr">
        <is>
          <t>Administration, Legal &amp; Secretarial</t>
        </is>
      </c>
      <c r="E236" s="175" t="n">
        <v>1</v>
      </c>
      <c r="F236" s="175" t="n">
        <v>2</v>
      </c>
      <c r="G236" s="175" t="n">
        <v>3</v>
      </c>
      <c r="H236" s="175" t="n">
        <v>3</v>
      </c>
      <c r="I236" s="175" t="n">
        <v>4</v>
      </c>
      <c r="J236" s="175" t="n">
        <v>4</v>
      </c>
      <c r="K236" s="175" t="n">
        <v>4</v>
      </c>
      <c r="L236" s="175" t="n">
        <v>4</v>
      </c>
      <c r="M236" s="175" t="n">
        <v>5</v>
      </c>
      <c r="N236" s="175" t="n">
        <v>5</v>
      </c>
      <c r="O236" s="175" t="n">
        <v>4</v>
      </c>
      <c r="P236" s="174" t="inlineStr">
        <is>
          <t>3 · Knows the relevant regulators, returns and rules
4 · Interprets new regulation; advises clients and product</t>
        </is>
      </c>
      <c r="Q236" s="174" t="inlineStr">
        <is>
          <t>—</t>
        </is>
      </c>
      <c r="R236" s="174" t="inlineStr">
        <is>
          <t>Domain interview</t>
        </is>
      </c>
      <c r="S236" s="174" t="inlineStr">
        <is>
          <t>Domain certifications · optional</t>
        </is>
      </c>
      <c r="T236" s="174" t="inlineStr">
        <is>
          <t>Family set</t>
        </is>
      </c>
    </row>
    <row r="237" ht="67" customHeight="1">
      <c r="A237" s="174" t="inlineStr">
        <is>
          <t>Functional</t>
        </is>
      </c>
      <c r="B237" s="174" t="inlineStr">
        <is>
          <t>★ Stakeholder &amp; Client Management</t>
        </is>
      </c>
      <c r="C237" s="174" t="inlineStr">
        <is>
          <t>Manages clients and stakeholders; handles changing requests.</t>
        </is>
      </c>
      <c r="D237" s="174" t="inlineStr">
        <is>
          <t>Administration, Legal &amp; Secretarial</t>
        </is>
      </c>
      <c r="E237" s="175" t="n">
        <v>1</v>
      </c>
      <c r="F237" s="175" t="n">
        <v>2</v>
      </c>
      <c r="G237" s="175" t="n">
        <v>3</v>
      </c>
      <c r="H237" s="175" t="n">
        <v>3</v>
      </c>
      <c r="I237" s="175" t="n">
        <v>4</v>
      </c>
      <c r="J237" s="175" t="n">
        <v>4</v>
      </c>
      <c r="K237" s="175" t="n">
        <v>4</v>
      </c>
      <c r="L237" s="175" t="n">
        <v>4</v>
      </c>
      <c r="M237" s="175" t="n">
        <v>5</v>
      </c>
      <c r="N237" s="175" t="n">
        <v>5</v>
      </c>
      <c r="O237" s="175" t="n">
        <v>4</v>
      </c>
      <c r="P237" s="174" t="inlineStr">
        <is>
          <t>3 · Manages client communication and expectations for own work
4 · Owns key relationships; resolves escalations</t>
        </is>
      </c>
      <c r="Q237" s="174" t="inlineStr">
        <is>
          <t>—</t>
        </is>
      </c>
      <c r="R237" s="174" t="inlineStr">
        <is>
          <t>Role play / behavioural interview</t>
        </is>
      </c>
      <c r="S237" s="174" t="inlineStr">
        <is>
          <t>—</t>
        </is>
      </c>
      <c r="T237" s="174" t="inlineStr">
        <is>
          <t>Family set</t>
        </is>
      </c>
    </row>
    <row r="238" ht="67" customHeight="1">
      <c r="A238" s="174" t="inlineStr">
        <is>
          <t>Functional</t>
        </is>
      </c>
      <c r="B238" s="174" t="inlineStr">
        <is>
          <t>Process Improvement &amp; Quality Mindset</t>
        </is>
      </c>
      <c r="C238" s="174" t="inlineStr">
        <is>
          <t>Gets it right first time; improves processes and checklists.</t>
        </is>
      </c>
      <c r="D238" s="174" t="inlineStr">
        <is>
          <t>—</t>
        </is>
      </c>
      <c r="E238" s="175" t="n">
        <v>1</v>
      </c>
      <c r="F238" s="175" t="n">
        <v>2</v>
      </c>
      <c r="G238" s="175" t="n">
        <v>3</v>
      </c>
      <c r="H238" s="175" t="n">
        <v>3</v>
      </c>
      <c r="I238" s="175" t="n">
        <v>4</v>
      </c>
      <c r="J238" s="175" t="n">
        <v>4</v>
      </c>
      <c r="K238" s="175" t="n">
        <v>4</v>
      </c>
      <c r="L238" s="175" t="n">
        <v>4</v>
      </c>
      <c r="M238" s="175" t="n">
        <v>5</v>
      </c>
      <c r="N238" s="175" t="n">
        <v>5</v>
      </c>
      <c r="O238" s="175" t="n">
        <v>4</v>
      </c>
      <c r="P238" s="174" t="inlineStr">
        <is>
          <t>3 · Delivers right-first-time; improves own checklists
4 · Redesigns team processes; reduces error rates measurably</t>
        </is>
      </c>
      <c r="Q238" s="174" t="inlineStr">
        <is>
          <t>—</t>
        </is>
      </c>
      <c r="R238" s="174" t="inlineStr">
        <is>
          <t>Work sample / case</t>
        </is>
      </c>
      <c r="S238" s="174" t="inlineStr">
        <is>
          <t>Lean / Six Sigma · optional</t>
        </is>
      </c>
      <c r="T238" s="174" t="inlineStr">
        <is>
          <t>Family set</t>
        </is>
      </c>
    </row>
    <row r="239" ht="67" customHeight="1">
      <c r="A239" s="174" t="inlineStr">
        <is>
          <t>Functional</t>
        </is>
      </c>
      <c r="B239" s="174" t="inlineStr">
        <is>
          <t>Advanced Excel &amp; Productivity Tools</t>
        </is>
      </c>
      <c r="C239" s="174" t="inlineStr">
        <is>
          <t>Uses Excel, Word, HTML and conversion tools expertly.</t>
        </is>
      </c>
      <c r="D239" s="174" t="inlineStr">
        <is>
          <t>—</t>
        </is>
      </c>
      <c r="E239" s="175" t="n">
        <v>1</v>
      </c>
      <c r="F239" s="175" t="n">
        <v>2</v>
      </c>
      <c r="G239" s="175" t="n">
        <v>3</v>
      </c>
      <c r="H239" s="175" t="n">
        <v>3</v>
      </c>
      <c r="I239" s="175" t="n">
        <v>4</v>
      </c>
      <c r="J239" s="175" t="n">
        <v>4</v>
      </c>
      <c r="K239" s="175" t="n">
        <v>4</v>
      </c>
      <c r="L239" s="175" t="n">
        <v>4</v>
      </c>
      <c r="M239" s="175" t="n">
        <v>5</v>
      </c>
      <c r="N239" s="175" t="n">
        <v>5</v>
      </c>
      <c r="O239" s="175" t="n">
        <v>4</v>
      </c>
      <c r="P239" s="174" t="inlineStr">
        <is>
          <t>3 · Uses advanced Excel, Word, HTML and conversion tools fluently
4 · Builds templates and automation used by the team</t>
        </is>
      </c>
      <c r="Q239" s="174" t="inlineStr">
        <is>
          <t>—</t>
        </is>
      </c>
      <c r="R239" s="174" t="inlineStr">
        <is>
          <t>Practical test</t>
        </is>
      </c>
      <c r="S239" s="174" t="inlineStr">
        <is>
          <t>MOS Excel · optional</t>
        </is>
      </c>
      <c r="T239" s="174" t="inlineStr">
        <is>
          <t>Family set</t>
        </is>
      </c>
    </row>
    <row r="240" ht="54" customHeight="1">
      <c r="A240" s="174" t="inlineStr">
        <is>
          <t>Functional</t>
        </is>
      </c>
      <c r="B240" s="174" t="inlineStr">
        <is>
          <t>Communication &amp; Presentation</t>
        </is>
      </c>
      <c r="C240" s="174" t="inlineStr">
        <is>
          <t>Writes and presents clearly to clients and teams.</t>
        </is>
      </c>
      <c r="D240" s="174" t="inlineStr">
        <is>
          <t>—</t>
        </is>
      </c>
      <c r="E240" s="175" t="n">
        <v>1</v>
      </c>
      <c r="F240" s="175" t="n">
        <v>2</v>
      </c>
      <c r="G240" s="175" t="n">
        <v>3</v>
      </c>
      <c r="H240" s="175" t="n">
        <v>3</v>
      </c>
      <c r="I240" s="175" t="n">
        <v>4</v>
      </c>
      <c r="J240" s="175" t="n">
        <v>4</v>
      </c>
      <c r="K240" s="175" t="n">
        <v>4</v>
      </c>
      <c r="L240" s="175" t="n">
        <v>4</v>
      </c>
      <c r="M240" s="175" t="n">
        <v>5</v>
      </c>
      <c r="N240" s="175" t="n">
        <v>5</v>
      </c>
      <c r="O240" s="175" t="n">
        <v>4</v>
      </c>
      <c r="P240" s="174" t="inlineStr">
        <is>
          <t>3 · Writes and presents clearly to clients and teams
4 · Presents to senior stakeholders; shapes messaging</t>
        </is>
      </c>
      <c r="Q240" s="174" t="inlineStr">
        <is>
          <t>—</t>
        </is>
      </c>
      <c r="R240" s="174" t="inlineStr">
        <is>
          <t>Presentation / writing test</t>
        </is>
      </c>
      <c r="S240" s="174" t="inlineStr">
        <is>
          <t>—</t>
        </is>
      </c>
      <c r="T240" s="174" t="inlineStr">
        <is>
          <t>Family set</t>
        </is>
      </c>
    </row>
    <row r="241" ht="54" customHeight="1">
      <c r="A241" s="174" t="inlineStr">
        <is>
          <t>Functional</t>
        </is>
      </c>
      <c r="B241" s="174" t="inlineStr">
        <is>
          <t>Time, Priority &amp; Self-Management</t>
        </is>
      </c>
      <c r="C241" s="174" t="inlineStr">
        <is>
          <t>Manages volume, deadlines and priorities.</t>
        </is>
      </c>
      <c r="D241" s="174" t="inlineStr">
        <is>
          <t>—</t>
        </is>
      </c>
      <c r="E241" s="175" t="n">
        <v>1</v>
      </c>
      <c r="F241" s="175" t="n">
        <v>2</v>
      </c>
      <c r="G241" s="175" t="n">
        <v>3</v>
      </c>
      <c r="H241" s="175" t="n">
        <v>3</v>
      </c>
      <c r="I241" s="175" t="n">
        <v>4</v>
      </c>
      <c r="J241" s="175" t="n">
        <v>4</v>
      </c>
      <c r="K241" s="175" t="n">
        <v>4</v>
      </c>
      <c r="L241" s="175" t="n">
        <v>4</v>
      </c>
      <c r="M241" s="175" t="n">
        <v>5</v>
      </c>
      <c r="N241" s="175" t="n">
        <v>5</v>
      </c>
      <c r="O241" s="175" t="n">
        <v>4</v>
      </c>
      <c r="P241" s="174" t="inlineStr">
        <is>
          <t>3 · Manages volume and deadlines without slippage
4 · Plans team capacity and peak-season loads</t>
        </is>
      </c>
      <c r="Q241" s="174" t="inlineStr">
        <is>
          <t>—</t>
        </is>
      </c>
      <c r="R241" s="174" t="inlineStr">
        <is>
          <t>Behavioural interview</t>
        </is>
      </c>
      <c r="S241" s="174" t="inlineStr">
        <is>
          <t>—</t>
        </is>
      </c>
      <c r="T241" s="174" t="inlineStr">
        <is>
          <t>Family set</t>
        </is>
      </c>
    </row>
    <row r="242" ht="132" customHeight="1">
      <c r="A242" s="120" t="inlineStr">
        <is>
          <t>Department technical</t>
        </is>
      </c>
      <c r="B242" s="120" t="inlineStr">
        <is>
          <t>Corporate Law &amp; Secretarial Compliance</t>
        </is>
      </c>
      <c r="C242" s="120" t="inlineStr">
        <is>
          <t>Keeps IRIS compliant with the Companies Act, SEBI LODR and FEMA.</t>
        </is>
      </c>
      <c r="D242" s="120" t="inlineStr">
        <is>
          <t>Department</t>
        </is>
      </c>
      <c r="E242" s="176" t="n">
        <v>1</v>
      </c>
      <c r="F242" s="176" t="n">
        <v>2</v>
      </c>
      <c r="G242" s="176" t="n">
        <v>3</v>
      </c>
      <c r="H242" s="176" t="n">
        <v>3</v>
      </c>
      <c r="I242" s="176" t="n">
        <v>4</v>
      </c>
      <c r="J242" s="176" t="n">
        <v>4</v>
      </c>
      <c r="K242" s="176" t="n">
        <v>4</v>
      </c>
      <c r="L242" s="176" t="n">
        <v>4</v>
      </c>
      <c r="M242" s="176" t="n">
        <v>5</v>
      </c>
      <c r="N242" s="176" t="n">
        <v>5</v>
      </c>
      <c r="O242" s="176" t="n">
        <v>4</v>
      </c>
      <c r="P242" s="120" t="inlineStr">
        <is>
          <t>1–2 · Prepares forms and registers
3 · Files MCA / stock-exchange returns; drafts minutes and resolutions
4 · Advises the board on compliance; manages listings and corporate actions
5 · Sets governance framework · Company Secretary</t>
        </is>
      </c>
      <c r="Q242" s="120" t="inlineStr">
        <is>
          <t>To be rated next cycle</t>
        </is>
      </c>
      <c r="R242" s="120" t="inlineStr">
        <is>
          <t>Compliance case</t>
        </is>
      </c>
      <c r="S242" s="120" t="inlineStr">
        <is>
          <t>ICSI · CS — statutory for Company Secretary</t>
        </is>
      </c>
      <c r="T242" s="120" t="inlineStr">
        <is>
          <t>ICSI; Companies Act 2013; SEBI LODR</t>
        </is>
      </c>
    </row>
    <row r="243" ht="119" customHeight="1">
      <c r="A243" s="120" t="inlineStr">
        <is>
          <t>Department technical</t>
        </is>
      </c>
      <c r="B243" s="120" t="inlineStr">
        <is>
          <t>Contract Drafting, Review &amp; Negotiation</t>
        </is>
      </c>
      <c r="C243" s="120" t="inlineStr">
        <is>
          <t>Drafts and negotiates client, vendor and employment contracts.</t>
        </is>
      </c>
      <c r="D243" s="120" t="inlineStr">
        <is>
          <t>Department</t>
        </is>
      </c>
      <c r="E243" s="176" t="n">
        <v>1</v>
      </c>
      <c r="F243" s="176" t="n">
        <v>2</v>
      </c>
      <c r="G243" s="176" t="n">
        <v>3</v>
      </c>
      <c r="H243" s="176" t="n">
        <v>3</v>
      </c>
      <c r="I243" s="176" t="n">
        <v>4</v>
      </c>
      <c r="J243" s="176" t="n">
        <v>4</v>
      </c>
      <c r="K243" s="176" t="n">
        <v>4</v>
      </c>
      <c r="L243" s="176" t="n">
        <v>4</v>
      </c>
      <c r="M243" s="176" t="n">
        <v>5</v>
      </c>
      <c r="N243" s="176" t="n">
        <v>5</v>
      </c>
      <c r="O243" s="176" t="n">
        <v>4</v>
      </c>
      <c r="P243" s="120" t="inlineStr">
        <is>
          <t>1–2 · Uses templates; tracks contract dates
3 · Reviews and redlines standard contracts; flags risk
4 · Negotiates complex / cross-border contracts; builds templates
5 · Sets legal-risk appetite and policy</t>
        </is>
      </c>
      <c r="Q243" s="120" t="inlineStr">
        <is>
          <t>To be rated next cycle</t>
        </is>
      </c>
      <c r="R243" s="120" t="inlineStr">
        <is>
          <t>Redline exercise</t>
        </is>
      </c>
      <c r="S243" s="120" t="inlineStr">
        <is>
          <t>LLB</t>
        </is>
      </c>
      <c r="T243" s="120" t="inlineStr">
        <is>
          <t>Indian Contract Act; ICSI</t>
        </is>
      </c>
    </row>
    <row r="244" ht="80" customHeight="1">
      <c r="A244" s="120" t="inlineStr">
        <is>
          <t>Department technical</t>
        </is>
      </c>
      <c r="B244" s="120" t="inlineStr">
        <is>
          <t>Board &amp; Governance Support</t>
        </is>
      </c>
      <c r="C244" s="120" t="inlineStr">
        <is>
          <t>Runs board and committee processes and records.</t>
        </is>
      </c>
      <c r="D244" s="120" t="inlineStr">
        <is>
          <t>Department</t>
        </is>
      </c>
      <c r="E244" s="176" t="n">
        <v>1</v>
      </c>
      <c r="F244" s="176" t="n">
        <v>2</v>
      </c>
      <c r="G244" s="176" t="n">
        <v>3</v>
      </c>
      <c r="H244" s="176" t="n">
        <v>3</v>
      </c>
      <c r="I244" s="176" t="n">
        <v>4</v>
      </c>
      <c r="J244" s="176" t="n">
        <v>4</v>
      </c>
      <c r="K244" s="176" t="n">
        <v>4</v>
      </c>
      <c r="L244" s="176" t="n">
        <v>4</v>
      </c>
      <c r="M244" s="176" t="n">
        <v>5</v>
      </c>
      <c r="N244" s="176" t="n">
        <v>5</v>
      </c>
      <c r="O244" s="176" t="n">
        <v>4</v>
      </c>
      <c r="P244" s="120" t="inlineStr">
        <is>
          <t>1–2 · Prepares agenda packs
3 · Runs board / committee meetings and statutory records
4 · Advises chair and directors on governance
5 · Shapes board governance</t>
        </is>
      </c>
      <c r="Q244" s="120" t="inlineStr">
        <is>
          <t>To be rated next cycle</t>
        </is>
      </c>
      <c r="R244" s="120" t="inlineStr">
        <is>
          <t>Work sample</t>
        </is>
      </c>
      <c r="S244" s="120" t="inlineStr">
        <is>
          <t>ICSI · CS</t>
        </is>
      </c>
      <c r="T244" s="120" t="inlineStr">
        <is>
          <t>ICSI Secretarial Standards</t>
        </is>
      </c>
    </row>
    <row r="245" ht="93" customHeight="1">
      <c r="A245" s="120" t="inlineStr">
        <is>
          <t>Department technical</t>
        </is>
      </c>
      <c r="B245" s="120" t="inlineStr">
        <is>
          <t>Regulatory &amp; Data-Privacy Compliance · DPDP Act</t>
        </is>
      </c>
      <c r="C245" s="120" t="inlineStr">
        <is>
          <t>Keeps IRIS compliant with data-protection and sector rules.</t>
        </is>
      </c>
      <c r="D245" s="120" t="inlineStr">
        <is>
          <t>Department</t>
        </is>
      </c>
      <c r="E245" s="176" t="n">
        <v>1</v>
      </c>
      <c r="F245" s="176" t="n">
        <v>2</v>
      </c>
      <c r="G245" s="176" t="n">
        <v>3</v>
      </c>
      <c r="H245" s="176" t="n">
        <v>3</v>
      </c>
      <c r="I245" s="176" t="n">
        <v>4</v>
      </c>
      <c r="J245" s="176" t="n">
        <v>4</v>
      </c>
      <c r="K245" s="176" t="n">
        <v>4</v>
      </c>
      <c r="L245" s="176" t="n">
        <v>4</v>
      </c>
      <c r="M245" s="176" t="n">
        <v>5</v>
      </c>
      <c r="N245" s="176" t="n">
        <v>5</v>
      </c>
      <c r="O245" s="176" t="n">
        <v>4</v>
      </c>
      <c r="P245" s="120" t="inlineStr">
        <is>
          <t>1–2 · Knows the policies
3 · Maintains compliance registers; supports DPIAs
4 · Designs privacy programme and responds to regulators
5 · Sets the compliance strategy</t>
        </is>
      </c>
      <c r="Q245" s="120" t="inlineStr">
        <is>
          <t>To be rated next cycle</t>
        </is>
      </c>
      <c r="R245" s="120" t="inlineStr">
        <is>
          <t>Case</t>
        </is>
      </c>
      <c r="S245" s="120" t="inlineStr">
        <is>
          <t>CIPP · optional</t>
        </is>
      </c>
      <c r="T245" s="120" t="inlineStr">
        <is>
          <t>Digital Personal Data Protection Act 2023</t>
        </is>
      </c>
    </row>
    <row r="246" ht="28" customHeight="1">
      <c r="A246" s="134" t="inlineStr">
        <is>
          <t>Leadership</t>
        </is>
      </c>
      <c r="B246" s="134" t="inlineStr">
        <is>
          <t>Leadership cluster · 4 competencies, part C</t>
        </is>
      </c>
      <c r="C246" s="134" t="inlineStr">
        <is>
          <t>Leading people, decisions, strategy and change</t>
        </is>
      </c>
      <c r="D246" s="134" t="inlineStr">
        <is>
          <t>POD Leads and People Managers</t>
        </is>
      </c>
      <c r="E246" s="47" t="inlineStr">
        <is>
          <t>—</t>
        </is>
      </c>
      <c r="F246" s="47" t="inlineStr">
        <is>
          <t>—</t>
        </is>
      </c>
      <c r="G246" s="47" t="inlineStr">
        <is>
          <t>—</t>
        </is>
      </c>
      <c r="H246" s="47" t="inlineStr">
        <is>
          <t>1/2</t>
        </is>
      </c>
      <c r="I246" s="47" t="inlineStr">
        <is>
          <t>2/3</t>
        </is>
      </c>
      <c r="J246" s="47" t="inlineStr">
        <is>
          <t>3/4</t>
        </is>
      </c>
      <c r="K246" s="47" t="inlineStr">
        <is>
          <t>4/4</t>
        </is>
      </c>
      <c r="L246" s="47" t="inlineStr">
        <is>
          <t>4/4</t>
        </is>
      </c>
      <c r="M246" s="47" t="inlineStr">
        <is>
          <t>4/4</t>
        </is>
      </c>
      <c r="N246" s="47" t="inlineStr">
        <is>
          <t>5/5</t>
        </is>
      </c>
      <c r="O246" s="47" t="inlineStr">
        <is>
          <t>5/5</t>
        </is>
      </c>
      <c r="P246" s="134" t="inlineStr">
        <is>
          <t>Required level shown as IC / Manager</t>
        </is>
      </c>
      <c r="Q246" s="134" t="inlineStr">
        <is>
          <t>—</t>
        </is>
      </c>
      <c r="R246" s="134" t="inlineStr">
        <is>
          <t>Behavioural interview; 360 feedback</t>
        </is>
      </c>
      <c r="S246" s="134" t="inlineStr">
        <is>
          <t>—</t>
        </is>
      </c>
      <c r="T246" s="134" t="inlineStr">
        <is>
          <t>S14, S15, S16</t>
        </is>
      </c>
    </row>
    <row r="247" ht="15" customHeight="1"/>
    <row r="248" ht="15" customHeight="1">
      <c r="A248" s="12" t="inlineStr">
        <is>
          <t>Job family</t>
        </is>
      </c>
      <c r="B248" s="12" t="inlineStr">
        <is>
          <t>Education / credentials</t>
        </is>
      </c>
      <c r="C248" s="211" t="n"/>
      <c r="D248" s="12" t="inlineStr">
        <is>
          <t>Gate requirements</t>
        </is>
      </c>
      <c r="E248" s="211" t="n"/>
      <c r="F248" s="12" t="inlineStr">
        <is>
          <t>Learning focus — Band A</t>
        </is>
      </c>
      <c r="G248" s="212" t="n"/>
      <c r="H248" s="212" t="n"/>
      <c r="I248" s="212" t="n"/>
      <c r="J248" s="212" t="n"/>
      <c r="K248" s="211" t="n"/>
      <c r="L248" s="12" t="inlineStr">
        <is>
          <t>Learning focus — Band B</t>
        </is>
      </c>
      <c r="M248" s="212" t="n"/>
      <c r="N248" s="212" t="n"/>
      <c r="O248" s="212" t="n"/>
      <c r="P248" s="211" t="n"/>
      <c r="Q248" s="12" t="inlineStr">
        <is>
          <t>Learning focus — Band C+</t>
        </is>
      </c>
      <c r="R248" s="211" t="n"/>
      <c r="S248" s="12" t="inlineStr">
        <is>
          <t>Future skills</t>
        </is>
      </c>
      <c r="T248" s="211" t="n"/>
    </row>
    <row r="249" ht="80" customHeight="1">
      <c r="A249" s="13" t="inlineStr">
        <is>
          <t>Administration, Legal &amp; Secretarial</t>
        </is>
      </c>
      <c r="B249" s="16" t="inlineStr">
        <is>
          <t>Graduate; ICSI · CS / LLB for secretarial &amp; legal</t>
        </is>
      </c>
      <c r="C249" s="211" t="n"/>
      <c r="D249" s="16" t="inlineStr">
        <is>
          <t>Companies Act / statutory filings; vendor contracts</t>
        </is>
      </c>
      <c r="E249" s="211" t="n"/>
      <c r="F249" s="16" t="inlineStr">
        <is>
          <t>Mandatory path · POSH, Code of Conduct, InfoSec; Regulatory &amp; BFSI Domain, Stakeholder &amp; Client Management to Working → Practitioner; AI literacy to 2; learn by mentoring and KT.</t>
        </is>
      </c>
      <c r="G249" s="212" t="n"/>
      <c r="H249" s="212" t="n"/>
      <c r="I249" s="212" t="n"/>
      <c r="J249" s="212" t="n"/>
      <c r="K249" s="211" t="n"/>
      <c r="L249" s="16" t="inlineStr">
        <is>
          <t>Regulatory &amp; BFSI Domain, Stakeholder &amp; Client Management to Advanced; Process Improvement &amp; Quality Mindset, Advanced Excel &amp; Productivity Tools, Communication &amp; Presentation to Practitioner; POD Leads / Managers: leading people, delegation, feedback.</t>
        </is>
      </c>
      <c r="M249" s="212" t="n"/>
      <c r="N249" s="212" t="n"/>
      <c r="O249" s="212" t="n"/>
      <c r="P249" s="211" t="n"/>
      <c r="Q249" s="16" t="inlineStr">
        <is>
          <t>Expert in one must-have; strategy &amp; business acumen; building the bench; AI-enabled processes for the function.</t>
        </is>
      </c>
      <c r="R249" s="211" t="n"/>
      <c r="S249" s="16" t="inlineStr">
        <is>
          <t>Digital compliance tools, contract automation</t>
        </is>
      </c>
      <c r="T249" s="211" t="n"/>
    </row>
    <row r="250" ht="15" customHeight="1"/>
    <row r="251" ht="15" customHeight="1"/>
    <row r="252" ht="20" customHeight="1">
      <c r="A252" s="173" t="inlineStr">
        <is>
          <t>Management — 2 people · General management · levels E1–E2</t>
        </is>
      </c>
    </row>
    <row r="253" ht="15" customHeight="1">
      <c r="A253" s="17" t="inlineStr">
        <is>
          <t>Job families: Executive Leadership</t>
        </is>
      </c>
    </row>
    <row r="254" ht="15" customHeight="1">
      <c r="A254" s="12" t="inlineStr">
        <is>
          <t>Capability health today · indicative, from survey + KRAs</t>
        </is>
      </c>
      <c r="B254" s="212" t="n"/>
      <c r="C254" s="212" t="n"/>
      <c r="D254" s="212" t="n"/>
      <c r="E254" s="211" t="n"/>
      <c r="F254" s="12" t="inlineStr">
        <is>
          <t>Result</t>
        </is>
      </c>
      <c r="G254" s="212" t="n"/>
      <c r="H254" s="212" t="n"/>
      <c r="I254" s="212" t="n"/>
      <c r="J254" s="212" t="n"/>
      <c r="K254" s="212" t="n"/>
      <c r="L254" s="212" t="n"/>
      <c r="M254" s="212" t="n"/>
      <c r="N254" s="212" t="n"/>
      <c r="O254" s="212" t="n"/>
      <c r="P254" s="212" t="n"/>
      <c r="Q254" s="212" t="n"/>
      <c r="R254" s="211" t="n"/>
    </row>
    <row r="255" ht="15" customHeight="1">
      <c r="A255" s="13" t="inlineStr">
        <is>
          <t>People assessed · meet or exceed their level</t>
        </is>
      </c>
      <c r="B255" s="212" t="n"/>
      <c r="C255" s="212" t="n"/>
      <c r="D255" s="212" t="n"/>
      <c r="E255" s="211" t="n"/>
      <c r="F255" s="16" t="inlineStr">
        <is>
          <t>0 · 0</t>
        </is>
      </c>
      <c r="G255" s="212" t="n"/>
      <c r="H255" s="212" t="n"/>
      <c r="I255" s="212" t="n"/>
      <c r="J255" s="212" t="n"/>
      <c r="K255" s="212" t="n"/>
      <c r="L255" s="212" t="n"/>
      <c r="M255" s="212" t="n"/>
      <c r="N255" s="212" t="n"/>
      <c r="O255" s="212" t="n"/>
      <c r="P255" s="212" t="n"/>
      <c r="Q255" s="212" t="n"/>
      <c r="R255" s="211" t="n"/>
    </row>
    <row r="256" ht="15" customHeight="1">
      <c r="A256" s="13" t="inlineStr">
        <is>
          <t>Average index · Core · Future-ready · Functional · Leadership · % of required</t>
        </is>
      </c>
      <c r="B256" s="212" t="n"/>
      <c r="C256" s="212" t="n"/>
      <c r="D256" s="212" t="n"/>
      <c r="E256" s="211" t="n"/>
      <c r="F256" s="16" t="inlineStr">
        <is>
          <t>—% · —% · —% · —% · —%</t>
        </is>
      </c>
      <c r="G256" s="212" t="n"/>
      <c r="H256" s="212" t="n"/>
      <c r="I256" s="212" t="n"/>
      <c r="J256" s="212" t="n"/>
      <c r="K256" s="212" t="n"/>
      <c r="L256" s="212" t="n"/>
      <c r="M256" s="212" t="n"/>
      <c r="N256" s="212" t="n"/>
      <c r="O256" s="212" t="n"/>
      <c r="P256" s="212" t="n"/>
      <c r="Q256" s="212" t="n"/>
      <c r="R256" s="211" t="n"/>
    </row>
    <row r="257" ht="15" customHeight="1">
      <c r="A257" s="13" t="inlineStr">
        <is>
          <t>Most common competency gaps · people</t>
        </is>
      </c>
      <c r="B257" s="212" t="n"/>
      <c r="C257" s="212" t="n"/>
      <c r="D257" s="212" t="n"/>
      <c r="E257" s="211" t="n"/>
      <c r="F257" s="16" t="inlineStr">
        <is>
          <t>—</t>
        </is>
      </c>
      <c r="G257" s="212" t="n"/>
      <c r="H257" s="212" t="n"/>
      <c r="I257" s="212" t="n"/>
      <c r="J257" s="212" t="n"/>
      <c r="K257" s="212" t="n"/>
      <c r="L257" s="212" t="n"/>
      <c r="M257" s="212" t="n"/>
      <c r="N257" s="212" t="n"/>
      <c r="O257" s="212" t="n"/>
      <c r="P257" s="212" t="n"/>
      <c r="Q257" s="212" t="n"/>
      <c r="R257" s="211" t="n"/>
    </row>
    <row r="258" ht="15" customHeight="1">
      <c r="A258" s="13" t="inlineStr">
        <is>
          <t>Role-based development priorities · people</t>
        </is>
      </c>
      <c r="B258" s="212" t="n"/>
      <c r="C258" s="212" t="n"/>
      <c r="D258" s="212" t="n"/>
      <c r="E258" s="211" t="n"/>
      <c r="F258" s="16" t="inlineStr">
        <is>
          <t>Strategic Thinking &amp; Business Acumen</t>
        </is>
      </c>
      <c r="G258" s="212" t="n"/>
      <c r="H258" s="212" t="n"/>
      <c r="I258" s="212" t="n"/>
      <c r="J258" s="212" t="n"/>
      <c r="K258" s="212" t="n"/>
      <c r="L258" s="212" t="n"/>
      <c r="M258" s="212" t="n"/>
      <c r="N258" s="212" t="n"/>
      <c r="O258" s="212" t="n"/>
      <c r="P258" s="212" t="n"/>
      <c r="Q258" s="212" t="n"/>
      <c r="R258" s="211" t="n"/>
    </row>
    <row r="259" ht="15" customHeight="1">
      <c r="A259" s="13" t="inlineStr">
        <is>
          <t>Manager-identified training themes</t>
        </is>
      </c>
      <c r="B259" s="212" t="n"/>
      <c r="C259" s="212" t="n"/>
      <c r="D259" s="212" t="n"/>
      <c r="E259" s="211" t="n"/>
      <c r="F259" s="16" t="inlineStr">
        <is>
          <t>—</t>
        </is>
      </c>
      <c r="G259" s="212" t="n"/>
      <c r="H259" s="212" t="n"/>
      <c r="I259" s="212" t="n"/>
      <c r="J259" s="212" t="n"/>
      <c r="K259" s="212" t="n"/>
      <c r="L259" s="212" t="n"/>
      <c r="M259" s="212" t="n"/>
      <c r="N259" s="212" t="n"/>
      <c r="O259" s="212" t="n"/>
      <c r="P259" s="212" t="n"/>
      <c r="Q259" s="212" t="n"/>
      <c r="R259" s="211" t="n"/>
    </row>
    <row r="260" ht="15" customHeight="1">
      <c r="A260" s="13" t="inlineStr">
        <is>
          <t>What helped people learn · survey</t>
        </is>
      </c>
      <c r="B260" s="212" t="n"/>
      <c r="C260" s="212" t="n"/>
      <c r="D260" s="212" t="n"/>
      <c r="E260" s="211" t="n"/>
      <c r="F260" s="16" t="inlineStr">
        <is>
          <r>
            <rPr>
              <rFont val="Calibri"/>
              <b val="1"/>
              <sz val="10"/>
            </rPr>
            <t>Withheld:</t>
          </r>
          <r>
            <rPr>
              <rFont val="Calibri"/>
              <sz val="10"/>
            </rPr>
            <t xml:space="preserve"> fewer than 3 role-holders answered the survey, so answers would identify a person · IRIS role catalogue entry to follow</t>
          </r>
        </is>
      </c>
      <c r="G260" s="212" t="n"/>
      <c r="H260" s="212" t="n"/>
      <c r="I260" s="212" t="n"/>
      <c r="J260" s="212" t="n"/>
      <c r="K260" s="212" t="n"/>
      <c r="L260" s="212" t="n"/>
      <c r="M260" s="212" t="n"/>
      <c r="N260" s="212" t="n"/>
      <c r="O260" s="212" t="n"/>
      <c r="P260" s="212" t="n"/>
      <c r="Q260" s="212" t="n"/>
      <c r="R260" s="211" t="n"/>
    </row>
    <row r="261" ht="15" customHeight="1">
      <c r="A261" s="13" t="inlineStr">
        <is>
          <t>How the work is changing</t>
        </is>
      </c>
      <c r="B261" s="212" t="n"/>
      <c r="C261" s="212" t="n"/>
      <c r="D261" s="212" t="n"/>
      <c r="E261" s="211" t="n"/>
      <c r="F261" s="16" t="inlineStr">
        <is>
          <t>—</t>
        </is>
      </c>
      <c r="G261" s="212" t="n"/>
      <c r="H261" s="212" t="n"/>
      <c r="I261" s="212" t="n"/>
      <c r="J261" s="212" t="n"/>
      <c r="K261" s="212" t="n"/>
      <c r="L261" s="212" t="n"/>
      <c r="M261" s="212" t="n"/>
      <c r="N261" s="212" t="n"/>
      <c r="O261" s="212" t="n"/>
      <c r="P261" s="212" t="n"/>
      <c r="Q261" s="212" t="n"/>
      <c r="R261" s="211" t="n"/>
    </row>
    <row r="262" ht="15" customHeight="1">
      <c r="A262" s="13" t="inlineStr">
        <is>
          <t>Lateral moves the evidence supports · people</t>
        </is>
      </c>
      <c r="B262" s="212" t="n"/>
      <c r="C262" s="212" t="n"/>
      <c r="D262" s="212" t="n"/>
      <c r="E262" s="211" t="n"/>
      <c r="F262" s="16" t="inlineStr">
        <is>
          <t>No strong match yet</t>
        </is>
      </c>
      <c r="G262" s="212" t="n"/>
      <c r="H262" s="212" t="n"/>
      <c r="I262" s="212" t="n"/>
      <c r="J262" s="212" t="n"/>
      <c r="K262" s="212" t="n"/>
      <c r="L262" s="212" t="n"/>
      <c r="M262" s="212" t="n"/>
      <c r="N262" s="212" t="n"/>
      <c r="O262" s="212" t="n"/>
      <c r="P262" s="212" t="n"/>
      <c r="Q262" s="212" t="n"/>
      <c r="R262" s="211" t="n"/>
    </row>
    <row r="263" ht="15" customHeight="1"/>
    <row r="264" ht="28" customHeight="1">
      <c r="A264" s="12" t="inlineStr">
        <is>
          <t>Cluster</t>
        </is>
      </c>
      <c r="B264" s="12" t="inlineStr">
        <is>
          <t>Competency · ★ = must-have</t>
        </is>
      </c>
      <c r="C264" s="12" t="inlineStr">
        <is>
          <t>Definition</t>
        </is>
      </c>
      <c r="D264" s="12" t="inlineStr">
        <is>
          <t>Must-have for</t>
        </is>
      </c>
      <c r="E264" s="12" t="inlineStr">
        <is>
          <t>A1</t>
        </is>
      </c>
      <c r="F264" s="12" t="inlineStr">
        <is>
          <t>A2</t>
        </is>
      </c>
      <c r="G264" s="12" t="inlineStr">
        <is>
          <t>A3</t>
        </is>
      </c>
      <c r="H264" s="12" t="inlineStr">
        <is>
          <t>B1</t>
        </is>
      </c>
      <c r="I264" s="12" t="inlineStr">
        <is>
          <t>B2</t>
        </is>
      </c>
      <c r="J264" s="12" t="inlineStr">
        <is>
          <t>B3</t>
        </is>
      </c>
      <c r="K264" s="12" t="inlineStr">
        <is>
          <t>B+</t>
        </is>
      </c>
      <c r="L264" s="12" t="inlineStr">
        <is>
          <t>C1</t>
        </is>
      </c>
      <c r="M264" s="12" t="inlineStr">
        <is>
          <t>C2</t>
        </is>
      </c>
      <c r="N264" s="12" t="inlineStr">
        <is>
          <t>C+</t>
        </is>
      </c>
      <c r="O264" s="12" t="inlineStr">
        <is>
          <t>D1</t>
        </is>
      </c>
      <c r="P264" s="12" t="inlineStr">
        <is>
          <t>What good looks like · by proficiency</t>
        </is>
      </c>
      <c r="Q264" s="12" t="inlineStr">
        <is>
          <t>What IRIS top performers do · survey</t>
        </is>
      </c>
      <c r="R264" s="12" t="inlineStr">
        <is>
          <t>How to assess</t>
        </is>
      </c>
      <c r="S264" s="12" t="inlineStr">
        <is>
          <t>Credentials</t>
        </is>
      </c>
      <c r="T264" s="12" t="inlineStr">
        <is>
          <t>Reference</t>
        </is>
      </c>
    </row>
    <row r="265" ht="54" customHeight="1">
      <c r="A265" s="174" t="inlineStr">
        <is>
          <t>Functional</t>
        </is>
      </c>
      <c r="B265" s="174" t="inlineStr">
        <is>
          <t>★ Strategic Thinking &amp; Business Acumen</t>
        </is>
      </c>
      <c r="C265" s="174" t="inlineStr">
        <is>
          <t>Links work to business outcomes, budgets and strategy.</t>
        </is>
      </c>
      <c r="D265" s="174" t="inlineStr">
        <is>
          <t>Executive Leadership</t>
        </is>
      </c>
      <c r="E265" s="175" t="n">
        <v>1</v>
      </c>
      <c r="F265" s="175" t="n">
        <v>2</v>
      </c>
      <c r="G265" s="175" t="n">
        <v>3</v>
      </c>
      <c r="H265" s="175" t="n">
        <v>3</v>
      </c>
      <c r="I265" s="175" t="n">
        <v>4</v>
      </c>
      <c r="J265" s="175" t="n">
        <v>4</v>
      </c>
      <c r="K265" s="175" t="n">
        <v>4</v>
      </c>
      <c r="L265" s="175" t="n">
        <v>4</v>
      </c>
      <c r="M265" s="175" t="n">
        <v>5</v>
      </c>
      <c r="N265" s="175" t="n">
        <v>5</v>
      </c>
      <c r="O265" s="175" t="n">
        <v>4</v>
      </c>
      <c r="P265" s="174" t="inlineStr">
        <is>
          <t>3 · Connects work to business goals and budgets
4 · Shapes strategy, pricing or investment choices</t>
        </is>
      </c>
      <c r="Q265" s="174" t="inlineStr">
        <is>
          <t>—</t>
        </is>
      </c>
      <c r="R265" s="174" t="inlineStr">
        <is>
          <t>Case interview</t>
        </is>
      </c>
      <c r="S265" s="174" t="inlineStr">
        <is>
          <t>MBA / PGDM · preferred at C+</t>
        </is>
      </c>
      <c r="T265" s="174" t="inlineStr">
        <is>
          <t>Family set</t>
        </is>
      </c>
    </row>
    <row r="266" ht="54" customHeight="1">
      <c r="A266" s="174" t="inlineStr">
        <is>
          <t>Functional</t>
        </is>
      </c>
      <c r="B266" s="174" t="inlineStr">
        <is>
          <t>★ People Leadership &amp; Mentoring</t>
        </is>
      </c>
      <c r="C266" s="174" t="inlineStr">
        <is>
          <t>Allocates, coaches and develops people.</t>
        </is>
      </c>
      <c r="D266" s="174" t="inlineStr">
        <is>
          <t>Executive Leadership</t>
        </is>
      </c>
      <c r="E266" s="175" t="n">
        <v>1</v>
      </c>
      <c r="F266" s="175" t="n">
        <v>2</v>
      </c>
      <c r="G266" s="175" t="n">
        <v>3</v>
      </c>
      <c r="H266" s="175" t="n">
        <v>3</v>
      </c>
      <c r="I266" s="175" t="n">
        <v>4</v>
      </c>
      <c r="J266" s="175" t="n">
        <v>4</v>
      </c>
      <c r="K266" s="175" t="n">
        <v>4</v>
      </c>
      <c r="L266" s="175" t="n">
        <v>4</v>
      </c>
      <c r="M266" s="175" t="n">
        <v>5</v>
      </c>
      <c r="N266" s="175" t="n">
        <v>5</v>
      </c>
      <c r="O266" s="175" t="n">
        <v>4</v>
      </c>
      <c r="P266" s="174" t="inlineStr">
        <is>
          <t>3 · Coaches and allocates work
4 · Leads leaders; builds succession</t>
        </is>
      </c>
      <c r="Q266" s="174" t="inlineStr">
        <is>
          <t>—</t>
        </is>
      </c>
      <c r="R266" s="174" t="inlineStr">
        <is>
          <t>Behavioural interview</t>
        </is>
      </c>
      <c r="S266" s="174" t="inlineStr">
        <is>
          <t>—</t>
        </is>
      </c>
      <c r="T266" s="174" t="inlineStr">
        <is>
          <t>Family set</t>
        </is>
      </c>
    </row>
    <row r="267" ht="67" customHeight="1">
      <c r="A267" s="174" t="inlineStr">
        <is>
          <t>Functional</t>
        </is>
      </c>
      <c r="B267" s="174" t="inlineStr">
        <is>
          <t>Stakeholder &amp; Client Management</t>
        </is>
      </c>
      <c r="C267" s="174" t="inlineStr">
        <is>
          <t>Manages clients and stakeholders; handles changing requests.</t>
        </is>
      </c>
      <c r="D267" s="174" t="inlineStr">
        <is>
          <t>—</t>
        </is>
      </c>
      <c r="E267" s="175" t="n">
        <v>1</v>
      </c>
      <c r="F267" s="175" t="n">
        <v>2</v>
      </c>
      <c r="G267" s="175" t="n">
        <v>3</v>
      </c>
      <c r="H267" s="175" t="n">
        <v>3</v>
      </c>
      <c r="I267" s="175" t="n">
        <v>4</v>
      </c>
      <c r="J267" s="175" t="n">
        <v>4</v>
      </c>
      <c r="K267" s="175" t="n">
        <v>4</v>
      </c>
      <c r="L267" s="175" t="n">
        <v>4</v>
      </c>
      <c r="M267" s="175" t="n">
        <v>5</v>
      </c>
      <c r="N267" s="175" t="n">
        <v>5</v>
      </c>
      <c r="O267" s="175" t="n">
        <v>4</v>
      </c>
      <c r="P267" s="174" t="inlineStr">
        <is>
          <t>3 · Manages client communication and expectations for own work
4 · Owns key relationships; resolves escalations</t>
        </is>
      </c>
      <c r="Q267" s="174" t="inlineStr">
        <is>
          <t>—</t>
        </is>
      </c>
      <c r="R267" s="174" t="inlineStr">
        <is>
          <t>Role play / behavioural interview</t>
        </is>
      </c>
      <c r="S267" s="174" t="inlineStr">
        <is>
          <t>—</t>
        </is>
      </c>
      <c r="T267" s="174" t="inlineStr">
        <is>
          <t>Family set</t>
        </is>
      </c>
    </row>
    <row r="268" ht="54" customHeight="1">
      <c r="A268" s="174" t="inlineStr">
        <is>
          <t>Functional</t>
        </is>
      </c>
      <c r="B268" s="174" t="inlineStr">
        <is>
          <t>Product, Platform &amp; Domain Knowledge</t>
        </is>
      </c>
      <c r="C268" s="174" t="inlineStr">
        <is>
          <t>Knows IRIS products, platforms and the client's domain.</t>
        </is>
      </c>
      <c r="D268" s="174" t="inlineStr">
        <is>
          <t>—</t>
        </is>
      </c>
      <c r="E268" s="175" t="n">
        <v>1</v>
      </c>
      <c r="F268" s="175" t="n">
        <v>2</v>
      </c>
      <c r="G268" s="175" t="n">
        <v>3</v>
      </c>
      <c r="H268" s="175" t="n">
        <v>3</v>
      </c>
      <c r="I268" s="175" t="n">
        <v>4</v>
      </c>
      <c r="J268" s="175" t="n">
        <v>4</v>
      </c>
      <c r="K268" s="175" t="n">
        <v>4</v>
      </c>
      <c r="L268" s="175" t="n">
        <v>4</v>
      </c>
      <c r="M268" s="175" t="n">
        <v>5</v>
      </c>
      <c r="N268" s="175" t="n">
        <v>5</v>
      </c>
      <c r="O268" s="175" t="n">
        <v>4</v>
      </c>
      <c r="P268" s="174" t="inlineStr">
        <is>
          <t>3 · Handles most product and domain scenarios
4 · Recognised product / domain expert; trains others</t>
        </is>
      </c>
      <c r="Q268" s="174" t="inlineStr">
        <is>
          <t>—</t>
        </is>
      </c>
      <c r="R268" s="174" t="inlineStr">
        <is>
          <t>Scenario interview</t>
        </is>
      </c>
      <c r="S268" s="174" t="inlineStr">
        <is>
          <t>Internal product certification</t>
        </is>
      </c>
      <c r="T268" s="174" t="inlineStr">
        <is>
          <t>Family set</t>
        </is>
      </c>
    </row>
    <row r="269" ht="54" customHeight="1">
      <c r="A269" s="174" t="inlineStr">
        <is>
          <t>Functional</t>
        </is>
      </c>
      <c r="B269" s="174" t="inlineStr">
        <is>
          <t>Regulatory &amp; BFSI Domain</t>
        </is>
      </c>
      <c r="C269" s="174" t="inlineStr">
        <is>
          <t>Understands regulators, returns, filings and BFSI rules.</t>
        </is>
      </c>
      <c r="D269" s="174" t="inlineStr">
        <is>
          <t>—</t>
        </is>
      </c>
      <c r="E269" s="175" t="n">
        <v>1</v>
      </c>
      <c r="F269" s="175" t="n">
        <v>2</v>
      </c>
      <c r="G269" s="175" t="n">
        <v>3</v>
      </c>
      <c r="H269" s="175" t="n">
        <v>3</v>
      </c>
      <c r="I269" s="175" t="n">
        <v>4</v>
      </c>
      <c r="J269" s="175" t="n">
        <v>4</v>
      </c>
      <c r="K269" s="175" t="n">
        <v>4</v>
      </c>
      <c r="L269" s="175" t="n">
        <v>4</v>
      </c>
      <c r="M269" s="175" t="n">
        <v>5</v>
      </c>
      <c r="N269" s="175" t="n">
        <v>5</v>
      </c>
      <c r="O269" s="175" t="n">
        <v>4</v>
      </c>
      <c r="P269" s="174" t="inlineStr">
        <is>
          <t>3 · Knows the relevant regulators, returns and rules
4 · Interprets new regulation; advises clients and product</t>
        </is>
      </c>
      <c r="Q269" s="174" t="inlineStr">
        <is>
          <t>—</t>
        </is>
      </c>
      <c r="R269" s="174" t="inlineStr">
        <is>
          <t>Domain interview</t>
        </is>
      </c>
      <c r="S269" s="174" t="inlineStr">
        <is>
          <t>Domain certifications · optional</t>
        </is>
      </c>
      <c r="T269" s="174" t="inlineStr">
        <is>
          <t>Family set</t>
        </is>
      </c>
    </row>
    <row r="270" ht="54" customHeight="1">
      <c r="A270" s="174" t="inlineStr">
        <is>
          <t>Functional</t>
        </is>
      </c>
      <c r="B270" s="174" t="inlineStr">
        <is>
          <t>Communication &amp; Presentation</t>
        </is>
      </c>
      <c r="C270" s="174" t="inlineStr">
        <is>
          <t>Writes and presents clearly to clients and teams.</t>
        </is>
      </c>
      <c r="D270" s="174" t="inlineStr">
        <is>
          <t>—</t>
        </is>
      </c>
      <c r="E270" s="175" t="n">
        <v>1</v>
      </c>
      <c r="F270" s="175" t="n">
        <v>2</v>
      </c>
      <c r="G270" s="175" t="n">
        <v>3</v>
      </c>
      <c r="H270" s="175" t="n">
        <v>3</v>
      </c>
      <c r="I270" s="175" t="n">
        <v>4</v>
      </c>
      <c r="J270" s="175" t="n">
        <v>4</v>
      </c>
      <c r="K270" s="175" t="n">
        <v>4</v>
      </c>
      <c r="L270" s="175" t="n">
        <v>4</v>
      </c>
      <c r="M270" s="175" t="n">
        <v>5</v>
      </c>
      <c r="N270" s="175" t="n">
        <v>5</v>
      </c>
      <c r="O270" s="175" t="n">
        <v>4</v>
      </c>
      <c r="P270" s="174" t="inlineStr">
        <is>
          <t>3 · Writes and presents clearly to clients and teams
4 · Presents to senior stakeholders; shapes messaging</t>
        </is>
      </c>
      <c r="Q270" s="174" t="inlineStr">
        <is>
          <t>—</t>
        </is>
      </c>
      <c r="R270" s="174" t="inlineStr">
        <is>
          <t>Presentation / writing test</t>
        </is>
      </c>
      <c r="S270" s="174" t="inlineStr">
        <is>
          <t>—</t>
        </is>
      </c>
      <c r="T270" s="174" t="inlineStr">
        <is>
          <t>Family set</t>
        </is>
      </c>
    </row>
    <row r="271" ht="28" customHeight="1">
      <c r="A271" s="134" t="inlineStr">
        <is>
          <t>Leadership</t>
        </is>
      </c>
      <c r="B271" s="134" t="inlineStr">
        <is>
          <t>Leadership cluster · 4 competencies, part C</t>
        </is>
      </c>
      <c r="C271" s="134" t="inlineStr">
        <is>
          <t>Leading people, decisions, strategy and change</t>
        </is>
      </c>
      <c r="D271" s="134" t="inlineStr">
        <is>
          <t>POD Leads and People Managers</t>
        </is>
      </c>
      <c r="E271" s="47" t="inlineStr">
        <is>
          <t>—</t>
        </is>
      </c>
      <c r="F271" s="47" t="inlineStr">
        <is>
          <t>—</t>
        </is>
      </c>
      <c r="G271" s="47" t="inlineStr">
        <is>
          <t>—</t>
        </is>
      </c>
      <c r="H271" s="47" t="inlineStr">
        <is>
          <t>1/2</t>
        </is>
      </c>
      <c r="I271" s="47" t="inlineStr">
        <is>
          <t>2/3</t>
        </is>
      </c>
      <c r="J271" s="47" t="inlineStr">
        <is>
          <t>3/4</t>
        </is>
      </c>
      <c r="K271" s="47" t="inlineStr">
        <is>
          <t>4/4</t>
        </is>
      </c>
      <c r="L271" s="47" t="inlineStr">
        <is>
          <t>4/4</t>
        </is>
      </c>
      <c r="M271" s="47" t="inlineStr">
        <is>
          <t>4/4</t>
        </is>
      </c>
      <c r="N271" s="47" t="inlineStr">
        <is>
          <t>5/5</t>
        </is>
      </c>
      <c r="O271" s="47" t="inlineStr">
        <is>
          <t>5/5</t>
        </is>
      </c>
      <c r="P271" s="134" t="inlineStr">
        <is>
          <t>Required level shown as IC / Manager</t>
        </is>
      </c>
      <c r="Q271" s="134" t="inlineStr">
        <is>
          <t>—</t>
        </is>
      </c>
      <c r="R271" s="134" t="inlineStr">
        <is>
          <t>Behavioural interview; 360 feedback</t>
        </is>
      </c>
      <c r="S271" s="134" t="inlineStr">
        <is>
          <t>—</t>
        </is>
      </c>
      <c r="T271" s="134" t="inlineStr">
        <is>
          <t>S14, S15, S16</t>
        </is>
      </c>
    </row>
    <row r="272" ht="15" customHeight="1"/>
    <row r="273" ht="15" customHeight="1">
      <c r="A273" s="12" t="inlineStr">
        <is>
          <t>Job family</t>
        </is>
      </c>
      <c r="B273" s="12" t="inlineStr">
        <is>
          <t>Education / credentials</t>
        </is>
      </c>
      <c r="C273" s="211" t="n"/>
      <c r="D273" s="12" t="inlineStr">
        <is>
          <t>Gate requirements</t>
        </is>
      </c>
      <c r="E273" s="211" t="n"/>
      <c r="F273" s="12" t="inlineStr">
        <is>
          <t>Learning focus — Band A</t>
        </is>
      </c>
      <c r="G273" s="212" t="n"/>
      <c r="H273" s="212" t="n"/>
      <c r="I273" s="212" t="n"/>
      <c r="J273" s="212" t="n"/>
      <c r="K273" s="211" t="n"/>
      <c r="L273" s="12" t="inlineStr">
        <is>
          <t>Learning focus — Band B</t>
        </is>
      </c>
      <c r="M273" s="212" t="n"/>
      <c r="N273" s="212" t="n"/>
      <c r="O273" s="212" t="n"/>
      <c r="P273" s="211" t="n"/>
      <c r="Q273" s="12" t="inlineStr">
        <is>
          <t>Learning focus — Band C+</t>
        </is>
      </c>
      <c r="R273" s="211" t="n"/>
      <c r="S273" s="12" t="inlineStr">
        <is>
          <t>Future skills</t>
        </is>
      </c>
      <c r="T273" s="211" t="n"/>
    </row>
    <row r="274" ht="80" customHeight="1">
      <c r="A274" s="13" t="inlineStr">
        <is>
          <t>Executive Leadership</t>
        </is>
      </c>
      <c r="B274" s="16" t="inlineStr">
        <is>
          <t>Postgraduate / professional qualification</t>
        </is>
      </c>
      <c r="C274" s="211" t="n"/>
      <c r="D274" s="16" t="inlineStr">
        <is>
          <t>Governance, risk and regulatory accountability</t>
        </is>
      </c>
      <c r="E274" s="211" t="n"/>
      <c r="F274" s="16" t="inlineStr">
        <is>
          <t>Mandatory path · POSH, Code of Conduct, InfoSec; Strategic Thinking &amp; Business Acumen, People Leadership &amp; Mentoring to Working → Practitioner; AI literacy to 2; learn by mentoring and KT.</t>
        </is>
      </c>
      <c r="G274" s="212" t="n"/>
      <c r="H274" s="212" t="n"/>
      <c r="I274" s="212" t="n"/>
      <c r="J274" s="212" t="n"/>
      <c r="K274" s="211" t="n"/>
      <c r="L274" s="16" t="inlineStr">
        <is>
          <t>Strategic Thinking &amp; Business Acumen, People Leadership &amp; Mentoring to Advanced; Stakeholder &amp; Client Management, Product, Platform &amp; Domain Knowledge, Regulatory &amp; BFSI Domain to Practitioner; POD Leads / Managers: leading people, delegation, feedback.</t>
        </is>
      </c>
      <c r="M274" s="212" t="n"/>
      <c r="N274" s="212" t="n"/>
      <c r="O274" s="212" t="n"/>
      <c r="P274" s="211" t="n"/>
      <c r="Q274" s="16" t="inlineStr">
        <is>
          <t>Expert in one must-have; strategy &amp; business acumen; building the bench; AI-enabled processes for the function.</t>
        </is>
      </c>
      <c r="R274" s="211" t="n"/>
      <c r="S274" s="16" t="inlineStr">
        <is>
          <t>AI strategy &amp; governance, sustainability, digital business models</t>
        </is>
      </c>
      <c r="T274" s="211" t="n"/>
    </row>
    <row r="275" ht="15" customHeight="1"/>
    <row r="276" ht="15" customHeight="1"/>
    <row r="277" ht="20" customHeight="1">
      <c r="A277" s="173" t="inlineStr">
        <is>
          <t>Technology — 2 people · Technology &amp; engineering · levels B3–E1</t>
        </is>
      </c>
    </row>
    <row r="278" ht="15" customHeight="1">
      <c r="A278" s="17" t="inlineStr">
        <is>
          <t>Job families: Executive Leadership · Project &amp; Program Management</t>
        </is>
      </c>
    </row>
    <row r="279" ht="15" customHeight="1">
      <c r="A279" s="12" t="inlineStr">
        <is>
          <t>Capability health today · indicative, from survey + KRAs</t>
        </is>
      </c>
      <c r="B279" s="212" t="n"/>
      <c r="C279" s="212" t="n"/>
      <c r="D279" s="212" t="n"/>
      <c r="E279" s="211" t="n"/>
      <c r="F279" s="12" t="inlineStr">
        <is>
          <t>Result</t>
        </is>
      </c>
      <c r="G279" s="212" t="n"/>
      <c r="H279" s="212" t="n"/>
      <c r="I279" s="212" t="n"/>
      <c r="J279" s="212" t="n"/>
      <c r="K279" s="212" t="n"/>
      <c r="L279" s="212" t="n"/>
      <c r="M279" s="212" t="n"/>
      <c r="N279" s="212" t="n"/>
      <c r="O279" s="212" t="n"/>
      <c r="P279" s="212" t="n"/>
      <c r="Q279" s="212" t="n"/>
      <c r="R279" s="211" t="n"/>
    </row>
    <row r="280" ht="15" customHeight="1">
      <c r="A280" s="13" t="inlineStr">
        <is>
          <t>People assessed · meet or exceed their level</t>
        </is>
      </c>
      <c r="B280" s="212" t="n"/>
      <c r="C280" s="212" t="n"/>
      <c r="D280" s="212" t="n"/>
      <c r="E280" s="211" t="n"/>
      <c r="F280" s="16" t="inlineStr">
        <is>
          <t>0 · 0</t>
        </is>
      </c>
      <c r="G280" s="212" t="n"/>
      <c r="H280" s="212" t="n"/>
      <c r="I280" s="212" t="n"/>
      <c r="J280" s="212" t="n"/>
      <c r="K280" s="212" t="n"/>
      <c r="L280" s="212" t="n"/>
      <c r="M280" s="212" t="n"/>
      <c r="N280" s="212" t="n"/>
      <c r="O280" s="212" t="n"/>
      <c r="P280" s="212" t="n"/>
      <c r="Q280" s="212" t="n"/>
      <c r="R280" s="211" t="n"/>
    </row>
    <row r="281" ht="15" customHeight="1">
      <c r="A281" s="13" t="inlineStr">
        <is>
          <t>Average index · Core · Future-ready · Functional · Leadership · % of required</t>
        </is>
      </c>
      <c r="B281" s="212" t="n"/>
      <c r="C281" s="212" t="n"/>
      <c r="D281" s="212" t="n"/>
      <c r="E281" s="211" t="n"/>
      <c r="F281" s="16" t="inlineStr">
        <is>
          <t>—% · —% · —% · —% · —%</t>
        </is>
      </c>
      <c r="G281" s="212" t="n"/>
      <c r="H281" s="212" t="n"/>
      <c r="I281" s="212" t="n"/>
      <c r="J281" s="212" t="n"/>
      <c r="K281" s="212" t="n"/>
      <c r="L281" s="212" t="n"/>
      <c r="M281" s="212" t="n"/>
      <c r="N281" s="212" t="n"/>
      <c r="O281" s="212" t="n"/>
      <c r="P281" s="212" t="n"/>
      <c r="Q281" s="212" t="n"/>
      <c r="R281" s="211" t="n"/>
    </row>
    <row r="282" ht="15" customHeight="1">
      <c r="A282" s="13" t="inlineStr">
        <is>
          <t>Most common competency gaps · people</t>
        </is>
      </c>
      <c r="B282" s="212" t="n"/>
      <c r="C282" s="212" t="n"/>
      <c r="D282" s="212" t="n"/>
      <c r="E282" s="211" t="n"/>
      <c r="F282" s="16" t="inlineStr">
        <is>
          <t>—</t>
        </is>
      </c>
      <c r="G282" s="212" t="n"/>
      <c r="H282" s="212" t="n"/>
      <c r="I282" s="212" t="n"/>
      <c r="J282" s="212" t="n"/>
      <c r="K282" s="212" t="n"/>
      <c r="L282" s="212" t="n"/>
      <c r="M282" s="212" t="n"/>
      <c r="N282" s="212" t="n"/>
      <c r="O282" s="212" t="n"/>
      <c r="P282" s="212" t="n"/>
      <c r="Q282" s="212" t="n"/>
      <c r="R282" s="211" t="n"/>
    </row>
    <row r="283" ht="15" customHeight="1">
      <c r="A283" s="13" t="inlineStr">
        <is>
          <t>Role-based development priorities · people</t>
        </is>
      </c>
      <c r="B283" s="212" t="n"/>
      <c r="C283" s="212" t="n"/>
      <c r="D283" s="212" t="n"/>
      <c r="E283" s="211" t="n"/>
      <c r="F283" s="16" t="inlineStr">
        <is>
          <t>Strategic Thinking &amp; Business Acumen · People Leadership &amp; Mentoring · Stakeholder &amp; Client Management</t>
        </is>
      </c>
      <c r="G283" s="212" t="n"/>
      <c r="H283" s="212" t="n"/>
      <c r="I283" s="212" t="n"/>
      <c r="J283" s="212" t="n"/>
      <c r="K283" s="212" t="n"/>
      <c r="L283" s="212" t="n"/>
      <c r="M283" s="212" t="n"/>
      <c r="N283" s="212" t="n"/>
      <c r="O283" s="212" t="n"/>
      <c r="P283" s="212" t="n"/>
      <c r="Q283" s="212" t="n"/>
      <c r="R283" s="211" t="n"/>
    </row>
    <row r="284" ht="15" customHeight="1">
      <c r="A284" s="13" t="inlineStr">
        <is>
          <t>Manager-identified training themes</t>
        </is>
      </c>
      <c r="B284" s="212" t="n"/>
      <c r="C284" s="212" t="n"/>
      <c r="D284" s="212" t="n"/>
      <c r="E284" s="211" t="n"/>
      <c r="F284" s="16" t="inlineStr">
        <is>
          <t>—</t>
        </is>
      </c>
      <c r="G284" s="212" t="n"/>
      <c r="H284" s="212" t="n"/>
      <c r="I284" s="212" t="n"/>
      <c r="J284" s="212" t="n"/>
      <c r="K284" s="212" t="n"/>
      <c r="L284" s="212" t="n"/>
      <c r="M284" s="212" t="n"/>
      <c r="N284" s="212" t="n"/>
      <c r="O284" s="212" t="n"/>
      <c r="P284" s="212" t="n"/>
      <c r="Q284" s="212" t="n"/>
      <c r="R284" s="211" t="n"/>
    </row>
    <row r="285" ht="15" customHeight="1">
      <c r="A285" s="13" t="inlineStr">
        <is>
          <t>What helped people learn · survey</t>
        </is>
      </c>
      <c r="B285" s="212" t="n"/>
      <c r="C285" s="212" t="n"/>
      <c r="D285" s="212" t="n"/>
      <c r="E285" s="211" t="n"/>
      <c r="F285" s="16" t="inlineStr">
        <is>
          <r>
            <rPr>
              <rFont val="Calibri"/>
              <b val="1"/>
              <sz val="10"/>
            </rPr>
            <t>Withheld:</t>
          </r>
          <r>
            <rPr>
              <rFont val="Calibri"/>
              <sz val="10"/>
            </rPr>
            <t xml:space="preserve"> fewer than 3 role-holders answered the survey, so answers would identify a person · IRIS role catalogue entry to follow</t>
          </r>
        </is>
      </c>
      <c r="G285" s="212" t="n"/>
      <c r="H285" s="212" t="n"/>
      <c r="I285" s="212" t="n"/>
      <c r="J285" s="212" t="n"/>
      <c r="K285" s="212" t="n"/>
      <c r="L285" s="212" t="n"/>
      <c r="M285" s="212" t="n"/>
      <c r="N285" s="212" t="n"/>
      <c r="O285" s="212" t="n"/>
      <c r="P285" s="212" t="n"/>
      <c r="Q285" s="212" t="n"/>
      <c r="R285" s="211" t="n"/>
    </row>
    <row r="286" ht="15" customHeight="1">
      <c r="A286" s="13" t="inlineStr">
        <is>
          <t>How the work is changing</t>
        </is>
      </c>
      <c r="B286" s="212" t="n"/>
      <c r="C286" s="212" t="n"/>
      <c r="D286" s="212" t="n"/>
      <c r="E286" s="211" t="n"/>
      <c r="F286" s="16" t="inlineStr">
        <is>
          <t>—</t>
        </is>
      </c>
      <c r="G286" s="212" t="n"/>
      <c r="H286" s="212" t="n"/>
      <c r="I286" s="212" t="n"/>
      <c r="J286" s="212" t="n"/>
      <c r="K286" s="212" t="n"/>
      <c r="L286" s="212" t="n"/>
      <c r="M286" s="212" t="n"/>
      <c r="N286" s="212" t="n"/>
      <c r="O286" s="212" t="n"/>
      <c r="P286" s="212" t="n"/>
      <c r="Q286" s="212" t="n"/>
      <c r="R286" s="211" t="n"/>
    </row>
    <row r="287" ht="15" customHeight="1">
      <c r="A287" s="13" t="inlineStr">
        <is>
          <t>Lateral moves the evidence supports · people</t>
        </is>
      </c>
      <c r="B287" s="212" t="n"/>
      <c r="C287" s="212" t="n"/>
      <c r="D287" s="212" t="n"/>
      <c r="E287" s="211" t="n"/>
      <c r="F287" s="16" t="inlineStr">
        <is>
          <t>No strong match yet</t>
        </is>
      </c>
      <c r="G287" s="212" t="n"/>
      <c r="H287" s="212" t="n"/>
      <c r="I287" s="212" t="n"/>
      <c r="J287" s="212" t="n"/>
      <c r="K287" s="212" t="n"/>
      <c r="L287" s="212" t="n"/>
      <c r="M287" s="212" t="n"/>
      <c r="N287" s="212" t="n"/>
      <c r="O287" s="212" t="n"/>
      <c r="P287" s="212" t="n"/>
      <c r="Q287" s="212" t="n"/>
      <c r="R287" s="211" t="n"/>
    </row>
    <row r="288" ht="15" customHeight="1"/>
    <row r="289" ht="28" customHeight="1">
      <c r="A289" s="12" t="inlineStr">
        <is>
          <t>Cluster</t>
        </is>
      </c>
      <c r="B289" s="12" t="inlineStr">
        <is>
          <t>Competency · ★ = must-have</t>
        </is>
      </c>
      <c r="C289" s="12" t="inlineStr">
        <is>
          <t>Definition</t>
        </is>
      </c>
      <c r="D289" s="12" t="inlineStr">
        <is>
          <t>Must-have for</t>
        </is>
      </c>
      <c r="E289" s="12" t="inlineStr">
        <is>
          <t>A1</t>
        </is>
      </c>
      <c r="F289" s="12" t="inlineStr">
        <is>
          <t>A2</t>
        </is>
      </c>
      <c r="G289" s="12" t="inlineStr">
        <is>
          <t>A3</t>
        </is>
      </c>
      <c r="H289" s="12" t="inlineStr">
        <is>
          <t>B1</t>
        </is>
      </c>
      <c r="I289" s="12" t="inlineStr">
        <is>
          <t>B2</t>
        </is>
      </c>
      <c r="J289" s="12" t="inlineStr">
        <is>
          <t>B3</t>
        </is>
      </c>
      <c r="K289" s="12" t="inlineStr">
        <is>
          <t>B+</t>
        </is>
      </c>
      <c r="L289" s="12" t="inlineStr">
        <is>
          <t>C1</t>
        </is>
      </c>
      <c r="M289" s="12" t="inlineStr">
        <is>
          <t>C2</t>
        </is>
      </c>
      <c r="N289" s="12" t="inlineStr">
        <is>
          <t>C+</t>
        </is>
      </c>
      <c r="O289" s="12" t="inlineStr">
        <is>
          <t>D1</t>
        </is>
      </c>
      <c r="P289" s="12" t="inlineStr">
        <is>
          <t>What good looks like · by proficiency</t>
        </is>
      </c>
      <c r="Q289" s="12" t="inlineStr">
        <is>
          <t>What IRIS top performers do · survey</t>
        </is>
      </c>
      <c r="R289" s="12" t="inlineStr">
        <is>
          <t>How to assess</t>
        </is>
      </c>
      <c r="S289" s="12" t="inlineStr">
        <is>
          <t>Credentials</t>
        </is>
      </c>
      <c r="T289" s="12" t="inlineStr">
        <is>
          <t>Reference</t>
        </is>
      </c>
    </row>
    <row r="290" ht="54" customHeight="1">
      <c r="A290" s="174" t="inlineStr">
        <is>
          <t>Functional</t>
        </is>
      </c>
      <c r="B290" s="174" t="inlineStr">
        <is>
          <t>★ Strategic Thinking &amp; Business Acumen</t>
        </is>
      </c>
      <c r="C290" s="174" t="inlineStr">
        <is>
          <t>Links work to business outcomes, budgets and strategy.</t>
        </is>
      </c>
      <c r="D290" s="174" t="inlineStr">
        <is>
          <t>Executive Leadership</t>
        </is>
      </c>
      <c r="E290" s="175" t="n">
        <v>1</v>
      </c>
      <c r="F290" s="175" t="n">
        <v>2</v>
      </c>
      <c r="G290" s="175" t="n">
        <v>3</v>
      </c>
      <c r="H290" s="175" t="n">
        <v>3</v>
      </c>
      <c r="I290" s="175" t="n">
        <v>4</v>
      </c>
      <c r="J290" s="175" t="n">
        <v>4</v>
      </c>
      <c r="K290" s="175" t="n">
        <v>4</v>
      </c>
      <c r="L290" s="175" t="n">
        <v>4</v>
      </c>
      <c r="M290" s="175" t="n">
        <v>5</v>
      </c>
      <c r="N290" s="175" t="n">
        <v>5</v>
      </c>
      <c r="O290" s="175" t="n">
        <v>4</v>
      </c>
      <c r="P290" s="174" t="inlineStr">
        <is>
          <t>3 · Connects work to business goals and budgets
4 · Shapes strategy, pricing or investment choices</t>
        </is>
      </c>
      <c r="Q290" s="174" t="inlineStr">
        <is>
          <t>—</t>
        </is>
      </c>
      <c r="R290" s="174" t="inlineStr">
        <is>
          <t>Case interview</t>
        </is>
      </c>
      <c r="S290" s="174" t="inlineStr">
        <is>
          <t>MBA / PGDM · preferred at C+</t>
        </is>
      </c>
      <c r="T290" s="174" t="inlineStr">
        <is>
          <t>Family set</t>
        </is>
      </c>
    </row>
    <row r="291" ht="54" customHeight="1">
      <c r="A291" s="174" t="inlineStr">
        <is>
          <t>Functional</t>
        </is>
      </c>
      <c r="B291" s="174" t="inlineStr">
        <is>
          <t>★ People Leadership &amp; Mentoring</t>
        </is>
      </c>
      <c r="C291" s="174" t="inlineStr">
        <is>
          <t>Allocates, coaches and develops people.</t>
        </is>
      </c>
      <c r="D291" s="174" t="inlineStr">
        <is>
          <t>Executive Leadership</t>
        </is>
      </c>
      <c r="E291" s="175" t="n">
        <v>1</v>
      </c>
      <c r="F291" s="175" t="n">
        <v>2</v>
      </c>
      <c r="G291" s="175" t="n">
        <v>3</v>
      </c>
      <c r="H291" s="175" t="n">
        <v>3</v>
      </c>
      <c r="I291" s="175" t="n">
        <v>4</v>
      </c>
      <c r="J291" s="175" t="n">
        <v>4</v>
      </c>
      <c r="K291" s="175" t="n">
        <v>4</v>
      </c>
      <c r="L291" s="175" t="n">
        <v>4</v>
      </c>
      <c r="M291" s="175" t="n">
        <v>5</v>
      </c>
      <c r="N291" s="175" t="n">
        <v>5</v>
      </c>
      <c r="O291" s="175" t="n">
        <v>4</v>
      </c>
      <c r="P291" s="174" t="inlineStr">
        <is>
          <t>3 · Coaches and allocates work
4 · Leads leaders; builds succession</t>
        </is>
      </c>
      <c r="Q291" s="174" t="inlineStr">
        <is>
          <t>—</t>
        </is>
      </c>
      <c r="R291" s="174" t="inlineStr">
        <is>
          <t>Behavioural interview</t>
        </is>
      </c>
      <c r="S291" s="174" t="inlineStr">
        <is>
          <t>—</t>
        </is>
      </c>
      <c r="T291" s="174" t="inlineStr">
        <is>
          <t>Family set</t>
        </is>
      </c>
    </row>
    <row r="292" ht="67" customHeight="1">
      <c r="A292" s="174" t="inlineStr">
        <is>
          <t>Functional</t>
        </is>
      </c>
      <c r="B292" s="174" t="inlineStr">
        <is>
          <t>★ Stakeholder &amp; Client Management</t>
        </is>
      </c>
      <c r="C292" s="174" t="inlineStr">
        <is>
          <t>Manages clients and stakeholders; handles changing requests.</t>
        </is>
      </c>
      <c r="D292" s="174" t="inlineStr">
        <is>
          <t>Project &amp; Program Management</t>
        </is>
      </c>
      <c r="E292" s="175" t="n">
        <v>1</v>
      </c>
      <c r="F292" s="175" t="n">
        <v>2</v>
      </c>
      <c r="G292" s="175" t="n">
        <v>3</v>
      </c>
      <c r="H292" s="175" t="n">
        <v>3</v>
      </c>
      <c r="I292" s="175" t="n">
        <v>4</v>
      </c>
      <c r="J292" s="175" t="n">
        <v>4</v>
      </c>
      <c r="K292" s="175" t="n">
        <v>4</v>
      </c>
      <c r="L292" s="175" t="n">
        <v>4</v>
      </c>
      <c r="M292" s="175" t="n">
        <v>5</v>
      </c>
      <c r="N292" s="175" t="n">
        <v>5</v>
      </c>
      <c r="O292" s="175" t="n">
        <v>4</v>
      </c>
      <c r="P292" s="174" t="inlineStr">
        <is>
          <t>3 · Manages client communication and expectations for own work
4 · Owns key relationships; resolves escalations</t>
        </is>
      </c>
      <c r="Q292" s="174" t="inlineStr">
        <is>
          <t>—</t>
        </is>
      </c>
      <c r="R292" s="174" t="inlineStr">
        <is>
          <t>Role play / behavioural interview</t>
        </is>
      </c>
      <c r="S292" s="174" t="inlineStr">
        <is>
          <t>—</t>
        </is>
      </c>
      <c r="T292" s="174" t="inlineStr">
        <is>
          <t>Family set</t>
        </is>
      </c>
    </row>
    <row r="293" ht="54" customHeight="1">
      <c r="A293" s="174" t="inlineStr">
        <is>
          <t>Functional</t>
        </is>
      </c>
      <c r="B293" s="174" t="inlineStr">
        <is>
          <t>Product, Platform &amp; Domain Knowledge</t>
        </is>
      </c>
      <c r="C293" s="174" t="inlineStr">
        <is>
          <t>Knows IRIS products, platforms and the client's domain.</t>
        </is>
      </c>
      <c r="D293" s="174" t="inlineStr">
        <is>
          <t>—</t>
        </is>
      </c>
      <c r="E293" s="175" t="n">
        <v>1</v>
      </c>
      <c r="F293" s="175" t="n">
        <v>2</v>
      </c>
      <c r="G293" s="175" t="n">
        <v>3</v>
      </c>
      <c r="H293" s="175" t="n">
        <v>3</v>
      </c>
      <c r="I293" s="175" t="n">
        <v>4</v>
      </c>
      <c r="J293" s="175" t="n">
        <v>4</v>
      </c>
      <c r="K293" s="175" t="n">
        <v>4</v>
      </c>
      <c r="L293" s="175" t="n">
        <v>4</v>
      </c>
      <c r="M293" s="175" t="n">
        <v>5</v>
      </c>
      <c r="N293" s="175" t="n">
        <v>5</v>
      </c>
      <c r="O293" s="175" t="n">
        <v>4</v>
      </c>
      <c r="P293" s="174" t="inlineStr">
        <is>
          <t>3 · Handles most product and domain scenarios
4 · Recognised product / domain expert; trains others</t>
        </is>
      </c>
      <c r="Q293" s="174" t="inlineStr">
        <is>
          <t>—</t>
        </is>
      </c>
      <c r="R293" s="174" t="inlineStr">
        <is>
          <t>Scenario interview</t>
        </is>
      </c>
      <c r="S293" s="174" t="inlineStr">
        <is>
          <t>Internal product certification</t>
        </is>
      </c>
      <c r="T293" s="174" t="inlineStr">
        <is>
          <t>Family set</t>
        </is>
      </c>
    </row>
    <row r="294" ht="54" customHeight="1">
      <c r="A294" s="174" t="inlineStr">
        <is>
          <t>Functional</t>
        </is>
      </c>
      <c r="B294" s="174" t="inlineStr">
        <is>
          <t>Regulatory &amp; BFSI Domain</t>
        </is>
      </c>
      <c r="C294" s="174" t="inlineStr">
        <is>
          <t>Understands regulators, returns, filings and BFSI rules.</t>
        </is>
      </c>
      <c r="D294" s="174" t="inlineStr">
        <is>
          <t>—</t>
        </is>
      </c>
      <c r="E294" s="175" t="n">
        <v>1</v>
      </c>
      <c r="F294" s="175" t="n">
        <v>2</v>
      </c>
      <c r="G294" s="175" t="n">
        <v>3</v>
      </c>
      <c r="H294" s="175" t="n">
        <v>3</v>
      </c>
      <c r="I294" s="175" t="n">
        <v>4</v>
      </c>
      <c r="J294" s="175" t="n">
        <v>4</v>
      </c>
      <c r="K294" s="175" t="n">
        <v>4</v>
      </c>
      <c r="L294" s="175" t="n">
        <v>4</v>
      </c>
      <c r="M294" s="175" t="n">
        <v>5</v>
      </c>
      <c r="N294" s="175" t="n">
        <v>5</v>
      </c>
      <c r="O294" s="175" t="n">
        <v>4</v>
      </c>
      <c r="P294" s="174" t="inlineStr">
        <is>
          <t>3 · Knows the relevant regulators, returns and rules
4 · Interprets new regulation; advises clients and product</t>
        </is>
      </c>
      <c r="Q294" s="174" t="inlineStr">
        <is>
          <t>—</t>
        </is>
      </c>
      <c r="R294" s="174" t="inlineStr">
        <is>
          <t>Domain interview</t>
        </is>
      </c>
      <c r="S294" s="174" t="inlineStr">
        <is>
          <t>Domain certifications · optional</t>
        </is>
      </c>
      <c r="T294" s="174" t="inlineStr">
        <is>
          <t>Family set</t>
        </is>
      </c>
    </row>
    <row r="295" ht="54" customHeight="1">
      <c r="A295" s="174" t="inlineStr">
        <is>
          <t>Functional</t>
        </is>
      </c>
      <c r="B295" s="174" t="inlineStr">
        <is>
          <t>Communication &amp; Presentation</t>
        </is>
      </c>
      <c r="C295" s="174" t="inlineStr">
        <is>
          <t>Writes and presents clearly to clients and teams.</t>
        </is>
      </c>
      <c r="D295" s="174" t="inlineStr">
        <is>
          <t>—</t>
        </is>
      </c>
      <c r="E295" s="175" t="n">
        <v>1</v>
      </c>
      <c r="F295" s="175" t="n">
        <v>2</v>
      </c>
      <c r="G295" s="175" t="n">
        <v>3</v>
      </c>
      <c r="H295" s="175" t="n">
        <v>3</v>
      </c>
      <c r="I295" s="175" t="n">
        <v>4</v>
      </c>
      <c r="J295" s="175" t="n">
        <v>4</v>
      </c>
      <c r="K295" s="175" t="n">
        <v>4</v>
      </c>
      <c r="L295" s="175" t="n">
        <v>4</v>
      </c>
      <c r="M295" s="175" t="n">
        <v>5</v>
      </c>
      <c r="N295" s="175" t="n">
        <v>5</v>
      </c>
      <c r="O295" s="175" t="n">
        <v>4</v>
      </c>
      <c r="P295" s="174" t="inlineStr">
        <is>
          <t>3 · Writes and presents clearly to clients and teams
4 · Presents to senior stakeholders; shapes messaging</t>
        </is>
      </c>
      <c r="Q295" s="174" t="inlineStr">
        <is>
          <t>—</t>
        </is>
      </c>
      <c r="R295" s="174" t="inlineStr">
        <is>
          <t>Presentation / writing test</t>
        </is>
      </c>
      <c r="S295" s="174" t="inlineStr">
        <is>
          <t>—</t>
        </is>
      </c>
      <c r="T295" s="174" t="inlineStr">
        <is>
          <t>Family set</t>
        </is>
      </c>
    </row>
    <row r="296" ht="67" customHeight="1">
      <c r="A296" s="174" t="inlineStr">
        <is>
          <t>Functional</t>
        </is>
      </c>
      <c r="B296" s="174" t="inlineStr">
        <is>
          <t>★ Project, Program &amp; Agile Management</t>
        </is>
      </c>
      <c r="C296" s="174" t="inlineStr">
        <is>
          <t>Plans, tracks and delivers on time using agile / hybrid practice.</t>
        </is>
      </c>
      <c r="D296" s="174" t="inlineStr">
        <is>
          <t>Project &amp; Program Management</t>
        </is>
      </c>
      <c r="E296" s="175" t="n">
        <v>1</v>
      </c>
      <c r="F296" s="175" t="n">
        <v>2</v>
      </c>
      <c r="G296" s="175" t="n">
        <v>3</v>
      </c>
      <c r="H296" s="175" t="n">
        <v>3</v>
      </c>
      <c r="I296" s="175" t="n">
        <v>4</v>
      </c>
      <c r="J296" s="175" t="n">
        <v>4</v>
      </c>
      <c r="K296" s="175" t="n">
        <v>4</v>
      </c>
      <c r="L296" s="175" t="n">
        <v>4</v>
      </c>
      <c r="M296" s="175" t="n">
        <v>5</v>
      </c>
      <c r="N296" s="175" t="n">
        <v>5</v>
      </c>
      <c r="O296" s="175" t="n">
        <v>4</v>
      </c>
      <c r="P296" s="174" t="inlineStr">
        <is>
          <t>3 · Plans and tracks delivery; manages risk and scope
4 · Runs programmes across teams; improves delivery methods</t>
        </is>
      </c>
      <c r="Q296" s="174" t="inlineStr">
        <is>
          <t>scrum, milestone, project management, Jira, timeline</t>
        </is>
      </c>
      <c r="R296" s="174" t="inlineStr">
        <is>
          <t>Case interview</t>
        </is>
      </c>
      <c r="S296" s="174" t="inlineStr">
        <is>
          <t>PMP / PRINCE2 / CSM / SAFe</t>
        </is>
      </c>
      <c r="T296" s="174" t="inlineStr">
        <is>
          <t>Family set</t>
        </is>
      </c>
    </row>
    <row r="297" ht="67" customHeight="1">
      <c r="A297" s="174" t="inlineStr">
        <is>
          <t>Functional</t>
        </is>
      </c>
      <c r="B297" s="174" t="inlineStr">
        <is>
          <t>Process Improvement &amp; Quality Mindset</t>
        </is>
      </c>
      <c r="C297" s="174" t="inlineStr">
        <is>
          <t>Gets it right first time; improves processes and checklists.</t>
        </is>
      </c>
      <c r="D297" s="174" t="inlineStr">
        <is>
          <t>—</t>
        </is>
      </c>
      <c r="E297" s="175" t="n">
        <v>1</v>
      </c>
      <c r="F297" s="175" t="n">
        <v>2</v>
      </c>
      <c r="G297" s="175" t="n">
        <v>3</v>
      </c>
      <c r="H297" s="175" t="n">
        <v>3</v>
      </c>
      <c r="I297" s="175" t="n">
        <v>4</v>
      </c>
      <c r="J297" s="175" t="n">
        <v>4</v>
      </c>
      <c r="K297" s="175" t="n">
        <v>4</v>
      </c>
      <c r="L297" s="175" t="n">
        <v>4</v>
      </c>
      <c r="M297" s="175" t="n">
        <v>5</v>
      </c>
      <c r="N297" s="175" t="n">
        <v>5</v>
      </c>
      <c r="O297" s="175" t="n">
        <v>4</v>
      </c>
      <c r="P297" s="174" t="inlineStr">
        <is>
          <t>3 · Delivers right-first-time; improves own checklists
4 · Redesigns team processes; reduces error rates measurably</t>
        </is>
      </c>
      <c r="Q297" s="174" t="inlineStr">
        <is>
          <t>accura</t>
        </is>
      </c>
      <c r="R297" s="174" t="inlineStr">
        <is>
          <t>Work sample / case</t>
        </is>
      </c>
      <c r="S297" s="174" t="inlineStr">
        <is>
          <t>Lean / Six Sigma · optional</t>
        </is>
      </c>
      <c r="T297" s="174" t="inlineStr">
        <is>
          <t>Family set</t>
        </is>
      </c>
    </row>
    <row r="298" ht="28" customHeight="1">
      <c r="A298" s="134" t="inlineStr">
        <is>
          <t>Leadership</t>
        </is>
      </c>
      <c r="B298" s="134" t="inlineStr">
        <is>
          <t>Leadership cluster · 4 competencies, part C</t>
        </is>
      </c>
      <c r="C298" s="134" t="inlineStr">
        <is>
          <t>Leading people, decisions, strategy and change</t>
        </is>
      </c>
      <c r="D298" s="134" t="inlineStr">
        <is>
          <t>POD Leads and People Managers</t>
        </is>
      </c>
      <c r="E298" s="47" t="inlineStr">
        <is>
          <t>—</t>
        </is>
      </c>
      <c r="F298" s="47" t="inlineStr">
        <is>
          <t>—</t>
        </is>
      </c>
      <c r="G298" s="47" t="inlineStr">
        <is>
          <t>—</t>
        </is>
      </c>
      <c r="H298" s="47" t="inlineStr">
        <is>
          <t>1/2</t>
        </is>
      </c>
      <c r="I298" s="47" t="inlineStr">
        <is>
          <t>2/3</t>
        </is>
      </c>
      <c r="J298" s="47" t="inlineStr">
        <is>
          <t>3/4</t>
        </is>
      </c>
      <c r="K298" s="47" t="inlineStr">
        <is>
          <t>4/4</t>
        </is>
      </c>
      <c r="L298" s="47" t="inlineStr">
        <is>
          <t>4/4</t>
        </is>
      </c>
      <c r="M298" s="47" t="inlineStr">
        <is>
          <t>4/4</t>
        </is>
      </c>
      <c r="N298" s="47" t="inlineStr">
        <is>
          <t>5/5</t>
        </is>
      </c>
      <c r="O298" s="47" t="inlineStr">
        <is>
          <t>5/5</t>
        </is>
      </c>
      <c r="P298" s="134" t="inlineStr">
        <is>
          <t>Required level shown as IC / Manager</t>
        </is>
      </c>
      <c r="Q298" s="134" t="inlineStr">
        <is>
          <t>—</t>
        </is>
      </c>
      <c r="R298" s="134" t="inlineStr">
        <is>
          <t>Behavioural interview; 360 feedback</t>
        </is>
      </c>
      <c r="S298" s="134" t="inlineStr">
        <is>
          <t>—</t>
        </is>
      </c>
      <c r="T298" s="134" t="inlineStr">
        <is>
          <t>S14, S15, S16</t>
        </is>
      </c>
    </row>
    <row r="299" ht="15" customHeight="1"/>
    <row r="300" ht="15" customHeight="1">
      <c r="A300" s="12" t="inlineStr">
        <is>
          <t>Job family</t>
        </is>
      </c>
      <c r="B300" s="12" t="inlineStr">
        <is>
          <t>Education / credentials</t>
        </is>
      </c>
      <c r="C300" s="211" t="n"/>
      <c r="D300" s="12" t="inlineStr">
        <is>
          <t>Gate requirements</t>
        </is>
      </c>
      <c r="E300" s="211" t="n"/>
      <c r="F300" s="12" t="inlineStr">
        <is>
          <t>Learning focus — Band A</t>
        </is>
      </c>
      <c r="G300" s="212" t="n"/>
      <c r="H300" s="212" t="n"/>
      <c r="I300" s="212" t="n"/>
      <c r="J300" s="212" t="n"/>
      <c r="K300" s="211" t="n"/>
      <c r="L300" s="12" t="inlineStr">
        <is>
          <t>Learning focus — Band B</t>
        </is>
      </c>
      <c r="M300" s="212" t="n"/>
      <c r="N300" s="212" t="n"/>
      <c r="O300" s="212" t="n"/>
      <c r="P300" s="211" t="n"/>
      <c r="Q300" s="12" t="inlineStr">
        <is>
          <t>Learning focus — Band C+</t>
        </is>
      </c>
      <c r="R300" s="211" t="n"/>
      <c r="S300" s="12" t="inlineStr">
        <is>
          <t>Future skills</t>
        </is>
      </c>
      <c r="T300" s="211" t="n"/>
    </row>
    <row r="301" ht="80" customHeight="1">
      <c r="A301" s="13" t="inlineStr">
        <is>
          <t>Executive Leadership</t>
        </is>
      </c>
      <c r="B301" s="16" t="inlineStr">
        <is>
          <t>Postgraduate / professional qualification</t>
        </is>
      </c>
      <c r="C301" s="211" t="n"/>
      <c r="D301" s="16" t="inlineStr">
        <is>
          <t>Governance, risk and regulatory accountability</t>
        </is>
      </c>
      <c r="E301" s="211" t="n"/>
      <c r="F301" s="16" t="inlineStr">
        <is>
          <t>Mandatory path · POSH, Code of Conduct, InfoSec; Strategic Thinking &amp; Business Acumen, People Leadership &amp; Mentoring to Working → Practitioner; AI literacy to 2; learn by mentoring and KT.</t>
        </is>
      </c>
      <c r="G301" s="212" t="n"/>
      <c r="H301" s="212" t="n"/>
      <c r="I301" s="212" t="n"/>
      <c r="J301" s="212" t="n"/>
      <c r="K301" s="211" t="n"/>
      <c r="L301" s="16" t="inlineStr">
        <is>
          <t>Strategic Thinking &amp; Business Acumen, People Leadership &amp; Mentoring to Advanced; Stakeholder &amp; Client Management, Product, Platform &amp; Domain Knowledge, Regulatory &amp; BFSI Domain to Practitioner; POD Leads / Managers: leading people, delegation, feedback.</t>
        </is>
      </c>
      <c r="M301" s="212" t="n"/>
      <c r="N301" s="212" t="n"/>
      <c r="O301" s="212" t="n"/>
      <c r="P301" s="211" t="n"/>
      <c r="Q301" s="16" t="inlineStr">
        <is>
          <t>Expert in one must-have; strategy &amp; business acumen; building the bench; AI-enabled processes for the function.</t>
        </is>
      </c>
      <c r="R301" s="211" t="n"/>
      <c r="S301" s="16" t="inlineStr">
        <is>
          <t>AI strategy &amp; governance, sustainability, digital business models</t>
        </is>
      </c>
      <c r="T301" s="211" t="n"/>
    </row>
    <row r="302" ht="80" customHeight="1">
      <c r="A302" s="13" t="inlineStr">
        <is>
          <t>Project &amp; Program Management</t>
        </is>
      </c>
      <c r="B302" s="16" t="inlineStr">
        <is>
          <t>Graduate; PMP / PRINCE2 / CSM preferred from B2</t>
        </is>
      </c>
      <c r="C302" s="211" t="n"/>
      <c r="D302" s="16" t="inlineStr">
        <is>
          <t>Hybrid delivery governance</t>
        </is>
      </c>
      <c r="E302" s="211" t="n"/>
      <c r="F302" s="16" t="inlineStr">
        <is>
          <t>Mandatory path · POSH, Code of Conduct, InfoSec; Project, Program &amp; Agile Management, Stakeholder &amp; Client Management to Working → Practitioner; AI literacy to 2; learn by mentoring and KT.</t>
        </is>
      </c>
      <c r="G302" s="212" t="n"/>
      <c r="H302" s="212" t="n"/>
      <c r="I302" s="212" t="n"/>
      <c r="J302" s="212" t="n"/>
      <c r="K302" s="211" t="n"/>
      <c r="L302" s="16" t="inlineStr">
        <is>
          <t>Project, Program &amp; Agile Management, Stakeholder &amp; Client Management to Advanced; Communication &amp; Presentation, Process Improvement &amp; Quality Mindset, Strategic Thinking &amp; Business Acumen to Practitioner; POD Leads / Managers: leading people, delegation, feedback.</t>
        </is>
      </c>
      <c r="M302" s="212" t="n"/>
      <c r="N302" s="212" t="n"/>
      <c r="O302" s="212" t="n"/>
      <c r="P302" s="211" t="n"/>
      <c r="Q302" s="16" t="inlineStr">
        <is>
          <t>Expert in one must-have; strategy &amp; business acumen; building the bench; AI-enabled processes for the function.</t>
        </is>
      </c>
      <c r="R302" s="211" t="n"/>
      <c r="S302" s="16" t="inlineStr">
        <is>
          <t>AI-assisted planning, value / outcome-based delivery</t>
        </is>
      </c>
      <c r="T302" s="211" t="n"/>
    </row>
  </sheetData>
  <mergeCells count="576">
    <mergeCell ref="C25:H25"/>
    <mergeCell ref="L42:N42"/>
    <mergeCell ref="F259:R259"/>
    <mergeCell ref="A142:E142"/>
    <mergeCell ref="A64:T64"/>
    <mergeCell ref="F219:K219"/>
    <mergeCell ref="D53:F53"/>
    <mergeCell ref="D47:F47"/>
    <mergeCell ref="F261:R261"/>
    <mergeCell ref="B248:C248"/>
    <mergeCell ref="O32:P32"/>
    <mergeCell ref="A137:E137"/>
    <mergeCell ref="A252:T252"/>
    <mergeCell ref="F69:R69"/>
    <mergeCell ref="B249:C249"/>
    <mergeCell ref="A139:E139"/>
    <mergeCell ref="O55:P55"/>
    <mergeCell ref="O40:P40"/>
    <mergeCell ref="J31:K31"/>
    <mergeCell ref="A203:E203"/>
    <mergeCell ref="F173:R173"/>
    <mergeCell ref="B55:C55"/>
    <mergeCell ref="I22:R22"/>
    <mergeCell ref="L32:N32"/>
    <mergeCell ref="A135:T135"/>
    <mergeCell ref="M50:N50"/>
    <mergeCell ref="Q302:R302"/>
    <mergeCell ref="G59:H59"/>
    <mergeCell ref="A261:E261"/>
    <mergeCell ref="I46:J46"/>
    <mergeCell ref="Q37:R37"/>
    <mergeCell ref="F105:R105"/>
    <mergeCell ref="A138:E138"/>
    <mergeCell ref="B131:C131"/>
    <mergeCell ref="D131:E131"/>
    <mergeCell ref="O45:P45"/>
    <mergeCell ref="G48:H48"/>
    <mergeCell ref="B220:C220"/>
    <mergeCell ref="A69:E69"/>
    <mergeCell ref="F107:R107"/>
    <mergeCell ref="A61:T61"/>
    <mergeCell ref="A256:E256"/>
    <mergeCell ref="I54:J54"/>
    <mergeCell ref="Q38:R38"/>
    <mergeCell ref="Q274:R274"/>
    <mergeCell ref="F42:G42"/>
    <mergeCell ref="F171:R171"/>
    <mergeCell ref="S274:T274"/>
    <mergeCell ref="A198:E198"/>
    <mergeCell ref="Q249:R249"/>
    <mergeCell ref="B53:C53"/>
    <mergeCell ref="I56:J56"/>
    <mergeCell ref="D55:F55"/>
    <mergeCell ref="K56:L56"/>
    <mergeCell ref="E14:H14"/>
    <mergeCell ref="S249:T249"/>
    <mergeCell ref="Q40:R40"/>
    <mergeCell ref="A277:T277"/>
    <mergeCell ref="O51:P51"/>
    <mergeCell ref="L301:P301"/>
    <mergeCell ref="O58:P58"/>
    <mergeCell ref="F204:R204"/>
    <mergeCell ref="F198:R198"/>
    <mergeCell ref="A280:E280"/>
    <mergeCell ref="I59:J59"/>
    <mergeCell ref="F262:R262"/>
    <mergeCell ref="A67:E67"/>
    <mergeCell ref="B302:C302"/>
    <mergeCell ref="F199:R199"/>
    <mergeCell ref="D302:E302"/>
    <mergeCell ref="D300:E300"/>
    <mergeCell ref="K54:L54"/>
    <mergeCell ref="A1:T1"/>
    <mergeCell ref="L40:N40"/>
    <mergeCell ref="F257:R257"/>
    <mergeCell ref="A65:T65"/>
    <mergeCell ref="A66:E66"/>
    <mergeCell ref="D51:F51"/>
    <mergeCell ref="O59:P59"/>
    <mergeCell ref="L162:P162"/>
    <mergeCell ref="A204:E204"/>
    <mergeCell ref="Q59:R59"/>
    <mergeCell ref="B34:C34"/>
    <mergeCell ref="O46:P46"/>
    <mergeCell ref="B28:C28"/>
    <mergeCell ref="Q46:R46"/>
    <mergeCell ref="D28:E28"/>
    <mergeCell ref="A141:E141"/>
    <mergeCell ref="I16:R16"/>
    <mergeCell ref="L220:P220"/>
    <mergeCell ref="E13:H13"/>
    <mergeCell ref="O48:P48"/>
    <mergeCell ref="B30:C30"/>
    <mergeCell ref="G51:H51"/>
    <mergeCell ref="Q48:R48"/>
    <mergeCell ref="D30:E30"/>
    <mergeCell ref="I51:J51"/>
    <mergeCell ref="Q219:R219"/>
    <mergeCell ref="A72:E72"/>
    <mergeCell ref="A199:E199"/>
    <mergeCell ref="I18:R18"/>
    <mergeCell ref="K57:L57"/>
    <mergeCell ref="E15:H15"/>
    <mergeCell ref="Q41:R41"/>
    <mergeCell ref="B94:C94"/>
    <mergeCell ref="D94:E94"/>
    <mergeCell ref="S302:T302"/>
    <mergeCell ref="F141:R141"/>
    <mergeCell ref="A24:B24"/>
    <mergeCell ref="Q56:R56"/>
    <mergeCell ref="Q130:R130"/>
    <mergeCell ref="S130:T130"/>
    <mergeCell ref="L273:P273"/>
    <mergeCell ref="A283:E283"/>
    <mergeCell ref="Q132:R132"/>
    <mergeCell ref="S132:T132"/>
    <mergeCell ref="F205:R205"/>
    <mergeCell ref="Q34:R34"/>
    <mergeCell ref="A285:E285"/>
    <mergeCell ref="F38:G38"/>
    <mergeCell ref="D274:E274"/>
    <mergeCell ref="F202:R202"/>
    <mergeCell ref="D301:E301"/>
    <mergeCell ref="Q36:R36"/>
    <mergeCell ref="F283:R283"/>
    <mergeCell ref="M57:N57"/>
    <mergeCell ref="S94:T94"/>
    <mergeCell ref="H33:I33"/>
    <mergeCell ref="J33:K33"/>
    <mergeCell ref="B36:C36"/>
    <mergeCell ref="A230:E230"/>
    <mergeCell ref="B163:C163"/>
    <mergeCell ref="A143:E143"/>
    <mergeCell ref="I24:R24"/>
    <mergeCell ref="H35:I35"/>
    <mergeCell ref="A232:E232"/>
    <mergeCell ref="F29:G29"/>
    <mergeCell ref="I17:R17"/>
    <mergeCell ref="J28:K28"/>
    <mergeCell ref="B31:C31"/>
    <mergeCell ref="D31:E31"/>
    <mergeCell ref="H39:I39"/>
    <mergeCell ref="Q51:R51"/>
    <mergeCell ref="S191:T191"/>
    <mergeCell ref="K50:L50"/>
    <mergeCell ref="F197:R197"/>
    <mergeCell ref="A99:T99"/>
    <mergeCell ref="B9:P9"/>
    <mergeCell ref="I58:J58"/>
    <mergeCell ref="K58:L58"/>
    <mergeCell ref="Q220:R220"/>
    <mergeCell ref="K52:L52"/>
    <mergeCell ref="S220:T220"/>
    <mergeCell ref="B191:C191"/>
    <mergeCell ref="A223:T223"/>
    <mergeCell ref="A2:T2"/>
    <mergeCell ref="Q9:R9"/>
    <mergeCell ref="M45:N45"/>
    <mergeCell ref="B49:C49"/>
    <mergeCell ref="F142:R142"/>
    <mergeCell ref="F300:K300"/>
    <mergeCell ref="K53:L53"/>
    <mergeCell ref="Q11:R11"/>
    <mergeCell ref="M47:N47"/>
    <mergeCell ref="F144:R144"/>
    <mergeCell ref="L191:P191"/>
    <mergeCell ref="B32:C32"/>
    <mergeCell ref="F301:K301"/>
    <mergeCell ref="I14:R14"/>
    <mergeCell ref="F95:K95"/>
    <mergeCell ref="A284:E284"/>
    <mergeCell ref="Q273:R273"/>
    <mergeCell ref="Q248:R248"/>
    <mergeCell ref="S273:T273"/>
    <mergeCell ref="H41:I41"/>
    <mergeCell ref="S248:T248"/>
    <mergeCell ref="Q52:R52"/>
    <mergeCell ref="K55:L55"/>
    <mergeCell ref="Q39:R39"/>
    <mergeCell ref="L249:P249"/>
    <mergeCell ref="F226:R226"/>
    <mergeCell ref="H34:I34"/>
    <mergeCell ref="J34:K34"/>
    <mergeCell ref="F284:R284"/>
    <mergeCell ref="H36:I36"/>
    <mergeCell ref="J36:K36"/>
    <mergeCell ref="A233:E233"/>
    <mergeCell ref="Q162:R162"/>
    <mergeCell ref="F172:R172"/>
    <mergeCell ref="F286:R286"/>
    <mergeCell ref="A104:E104"/>
    <mergeCell ref="L302:P302"/>
    <mergeCell ref="B37:C37"/>
    <mergeCell ref="A175:E175"/>
    <mergeCell ref="D37:E37"/>
    <mergeCell ref="I25:R25"/>
    <mergeCell ref="A106:E106"/>
    <mergeCell ref="F287:R287"/>
    <mergeCell ref="A100:T100"/>
    <mergeCell ref="D46:F46"/>
    <mergeCell ref="L37:N37"/>
    <mergeCell ref="D38:E38"/>
    <mergeCell ref="A170:E170"/>
    <mergeCell ref="M53:N53"/>
    <mergeCell ref="J29:K29"/>
    <mergeCell ref="A226:E226"/>
    <mergeCell ref="A201:E201"/>
    <mergeCell ref="M55:N55"/>
    <mergeCell ref="A166:T166"/>
    <mergeCell ref="I20:R20"/>
    <mergeCell ref="H31:I31"/>
    <mergeCell ref="B96:C96"/>
    <mergeCell ref="F176:R176"/>
    <mergeCell ref="F170:R170"/>
    <mergeCell ref="D96:E96"/>
    <mergeCell ref="M48:N48"/>
    <mergeCell ref="A228:E228"/>
    <mergeCell ref="B58:C58"/>
    <mergeCell ref="I13:R13"/>
    <mergeCell ref="B52:C52"/>
    <mergeCell ref="A172:E172"/>
    <mergeCell ref="A286:E286"/>
    <mergeCell ref="I15:R15"/>
    <mergeCell ref="F96:K96"/>
    <mergeCell ref="F280:R280"/>
    <mergeCell ref="B162:C162"/>
    <mergeCell ref="D162:E162"/>
    <mergeCell ref="A21:B21"/>
    <mergeCell ref="A136:T136"/>
    <mergeCell ref="D59:F59"/>
    <mergeCell ref="D220:E220"/>
    <mergeCell ref="A23:B23"/>
    <mergeCell ref="A254:E254"/>
    <mergeCell ref="O47:P47"/>
    <mergeCell ref="F162:K162"/>
    <mergeCell ref="B7:P7"/>
    <mergeCell ref="G54:H54"/>
    <mergeCell ref="F101:R101"/>
    <mergeCell ref="H42:I42"/>
    <mergeCell ref="O38:P38"/>
    <mergeCell ref="J42:K42"/>
    <mergeCell ref="B45:C45"/>
    <mergeCell ref="F231:R231"/>
    <mergeCell ref="G56:H56"/>
    <mergeCell ref="A176:E176"/>
    <mergeCell ref="J39:K39"/>
    <mergeCell ref="B47:C47"/>
    <mergeCell ref="B218:C218"/>
    <mergeCell ref="B59:C59"/>
    <mergeCell ref="F102:R102"/>
    <mergeCell ref="A257:E257"/>
    <mergeCell ref="F229:R229"/>
    <mergeCell ref="B46:C46"/>
    <mergeCell ref="I49:J49"/>
    <mergeCell ref="D48:F48"/>
    <mergeCell ref="O33:P33"/>
    <mergeCell ref="J37:K37"/>
    <mergeCell ref="A107:E107"/>
    <mergeCell ref="Q33:R33"/>
    <mergeCell ref="D40:E40"/>
    <mergeCell ref="F40:G40"/>
    <mergeCell ref="C21:H21"/>
    <mergeCell ref="Q8:R8"/>
    <mergeCell ref="L38:N38"/>
    <mergeCell ref="B48:C48"/>
    <mergeCell ref="B219:C219"/>
    <mergeCell ref="D248:E248"/>
    <mergeCell ref="D219:E219"/>
    <mergeCell ref="S300:T300"/>
    <mergeCell ref="C23:H23"/>
    <mergeCell ref="D56:F56"/>
    <mergeCell ref="Q10:R10"/>
    <mergeCell ref="D41:E41"/>
    <mergeCell ref="F41:G41"/>
    <mergeCell ref="F35:G35"/>
    <mergeCell ref="F255:R255"/>
    <mergeCell ref="H32:I32"/>
    <mergeCell ref="J32:K32"/>
    <mergeCell ref="L94:P94"/>
    <mergeCell ref="B300:C300"/>
    <mergeCell ref="B16:D16"/>
    <mergeCell ref="A231:E231"/>
    <mergeCell ref="D130:E130"/>
    <mergeCell ref="F232:R232"/>
    <mergeCell ref="Q191:R191"/>
    <mergeCell ref="A262:E262"/>
    <mergeCell ref="B18:D18"/>
    <mergeCell ref="A102:E102"/>
    <mergeCell ref="Q163:R163"/>
    <mergeCell ref="D132:E132"/>
    <mergeCell ref="D49:F49"/>
    <mergeCell ref="A44:T44"/>
    <mergeCell ref="F248:K248"/>
    <mergeCell ref="K49:L49"/>
    <mergeCell ref="L33:N33"/>
    <mergeCell ref="M59:N59"/>
    <mergeCell ref="S192:T192"/>
    <mergeCell ref="A103:E103"/>
    <mergeCell ref="B8:P8"/>
    <mergeCell ref="L35:N35"/>
    <mergeCell ref="D36:E36"/>
    <mergeCell ref="A168:E168"/>
    <mergeCell ref="B10:P10"/>
    <mergeCell ref="M54:N54"/>
    <mergeCell ref="O54:P54"/>
    <mergeCell ref="G57:H57"/>
    <mergeCell ref="A255:E255"/>
    <mergeCell ref="O41:P41"/>
    <mergeCell ref="O35:P35"/>
    <mergeCell ref="Q35:R35"/>
    <mergeCell ref="F103:R103"/>
    <mergeCell ref="F130:K130"/>
    <mergeCell ref="F174:R174"/>
    <mergeCell ref="F168:R168"/>
    <mergeCell ref="G58:H58"/>
    <mergeCell ref="F132:K132"/>
    <mergeCell ref="Q49:R49"/>
    <mergeCell ref="I52:J52"/>
    <mergeCell ref="Q30:R30"/>
    <mergeCell ref="C24:H24"/>
    <mergeCell ref="S163:T163"/>
    <mergeCell ref="F169:R169"/>
    <mergeCell ref="F70:R70"/>
    <mergeCell ref="B51:C51"/>
    <mergeCell ref="F200:R200"/>
    <mergeCell ref="D57:F57"/>
    <mergeCell ref="L95:P95"/>
    <mergeCell ref="L131:P131"/>
    <mergeCell ref="F71:R71"/>
    <mergeCell ref="B301:C301"/>
    <mergeCell ref="B17:D17"/>
    <mergeCell ref="F258:R258"/>
    <mergeCell ref="Q54:R54"/>
    <mergeCell ref="I57:J57"/>
    <mergeCell ref="F260:R260"/>
    <mergeCell ref="L41:N41"/>
    <mergeCell ref="O29:P29"/>
    <mergeCell ref="A205:E205"/>
    <mergeCell ref="Q29:R29"/>
    <mergeCell ref="F274:K274"/>
    <mergeCell ref="F33:G33"/>
    <mergeCell ref="F249:K249"/>
    <mergeCell ref="L34:N34"/>
    <mergeCell ref="O31:P31"/>
    <mergeCell ref="Q131:R131"/>
    <mergeCell ref="Q31:R31"/>
    <mergeCell ref="S131:T131"/>
    <mergeCell ref="F68:R68"/>
    <mergeCell ref="B29:C29"/>
    <mergeCell ref="L36:N36"/>
    <mergeCell ref="D273:E273"/>
    <mergeCell ref="F31:G31"/>
    <mergeCell ref="F28:G28"/>
    <mergeCell ref="O56:P56"/>
    <mergeCell ref="H28:I28"/>
    <mergeCell ref="D39:E39"/>
    <mergeCell ref="F39:G39"/>
    <mergeCell ref="A200:E200"/>
    <mergeCell ref="B95:C95"/>
    <mergeCell ref="A63:T63"/>
    <mergeCell ref="O57:P57"/>
    <mergeCell ref="A202:E202"/>
    <mergeCell ref="A258:E258"/>
    <mergeCell ref="Q57:R57"/>
    <mergeCell ref="B11:P11"/>
    <mergeCell ref="B14:D14"/>
    <mergeCell ref="A73:E73"/>
    <mergeCell ref="A260:E260"/>
    <mergeCell ref="L218:P218"/>
    <mergeCell ref="E16:H16"/>
    <mergeCell ref="B13:D13"/>
    <mergeCell ref="Q42:R42"/>
    <mergeCell ref="I45:J45"/>
    <mergeCell ref="K45:L45"/>
    <mergeCell ref="A197:E197"/>
    <mergeCell ref="E18:H18"/>
    <mergeCell ref="I47:J47"/>
    <mergeCell ref="K47:L47"/>
    <mergeCell ref="B42:C42"/>
    <mergeCell ref="D58:F58"/>
    <mergeCell ref="F73:R73"/>
    <mergeCell ref="K46:L46"/>
    <mergeCell ref="F137:R137"/>
    <mergeCell ref="F74:R74"/>
    <mergeCell ref="F201:R201"/>
    <mergeCell ref="F139:R139"/>
    <mergeCell ref="A144:E144"/>
    <mergeCell ref="Q95:R95"/>
    <mergeCell ref="F138:R138"/>
    <mergeCell ref="S95:T95"/>
    <mergeCell ref="F203:R203"/>
    <mergeCell ref="Q45:R45"/>
    <mergeCell ref="Q32:R32"/>
    <mergeCell ref="C20:H20"/>
    <mergeCell ref="F192:K192"/>
    <mergeCell ref="H30:I30"/>
    <mergeCell ref="Q47:R47"/>
    <mergeCell ref="Q96:R96"/>
    <mergeCell ref="L300:P300"/>
    <mergeCell ref="H29:I29"/>
    <mergeCell ref="C22:H22"/>
    <mergeCell ref="L39:N39"/>
    <mergeCell ref="A70:E70"/>
    <mergeCell ref="F279:R279"/>
    <mergeCell ref="F254:R254"/>
    <mergeCell ref="L130:P130"/>
    <mergeCell ref="Q58:R58"/>
    <mergeCell ref="F281:R281"/>
    <mergeCell ref="G53:H53"/>
    <mergeCell ref="Q50:R50"/>
    <mergeCell ref="I53:J53"/>
    <mergeCell ref="B15:D15"/>
    <mergeCell ref="F256:R256"/>
    <mergeCell ref="A74:E74"/>
    <mergeCell ref="B274:C274"/>
    <mergeCell ref="L132:P132"/>
    <mergeCell ref="A145:E145"/>
    <mergeCell ref="K59:L59"/>
    <mergeCell ref="E17:H17"/>
    <mergeCell ref="A101:E101"/>
    <mergeCell ref="I55:J55"/>
    <mergeCell ref="A3:T3"/>
    <mergeCell ref="M46:N46"/>
    <mergeCell ref="F285:R285"/>
    <mergeCell ref="I48:J48"/>
    <mergeCell ref="K48:L48"/>
    <mergeCell ref="A5:T5"/>
    <mergeCell ref="A140:E140"/>
    <mergeCell ref="F37:G37"/>
    <mergeCell ref="F145:R145"/>
    <mergeCell ref="L192:P192"/>
    <mergeCell ref="A224:T224"/>
    <mergeCell ref="Q218:R218"/>
    <mergeCell ref="S218:T218"/>
    <mergeCell ref="L219:P219"/>
    <mergeCell ref="M56:N56"/>
    <mergeCell ref="Q7:R7"/>
    <mergeCell ref="A279:E279"/>
    <mergeCell ref="F140:R140"/>
    <mergeCell ref="O53:P53"/>
    <mergeCell ref="F67:R67"/>
    <mergeCell ref="A287:E287"/>
    <mergeCell ref="S96:T96"/>
    <mergeCell ref="A281:E281"/>
    <mergeCell ref="Q55:R55"/>
    <mergeCell ref="F131:K131"/>
    <mergeCell ref="F220:K220"/>
    <mergeCell ref="A282:E282"/>
    <mergeCell ref="A105:E105"/>
    <mergeCell ref="A27:T27"/>
    <mergeCell ref="B38:C38"/>
    <mergeCell ref="L163:P163"/>
    <mergeCell ref="A71:E71"/>
    <mergeCell ref="H37:I37"/>
    <mergeCell ref="B40:C40"/>
    <mergeCell ref="A278:T278"/>
    <mergeCell ref="A22:B22"/>
    <mergeCell ref="F282:R282"/>
    <mergeCell ref="B33:C33"/>
    <mergeCell ref="A171:E171"/>
    <mergeCell ref="Q300:R300"/>
    <mergeCell ref="D33:E33"/>
    <mergeCell ref="I21:R21"/>
    <mergeCell ref="B41:C41"/>
    <mergeCell ref="F72:R72"/>
    <mergeCell ref="B35:C35"/>
    <mergeCell ref="A173:E173"/>
    <mergeCell ref="Q53:R53"/>
    <mergeCell ref="D35:E35"/>
    <mergeCell ref="A229:E229"/>
    <mergeCell ref="I23:R23"/>
    <mergeCell ref="A167:T167"/>
    <mergeCell ref="Q301:R301"/>
    <mergeCell ref="D34:E34"/>
    <mergeCell ref="F34:G34"/>
    <mergeCell ref="F302:K302"/>
    <mergeCell ref="K51:L51"/>
    <mergeCell ref="F30:G30"/>
    <mergeCell ref="B130:C130"/>
    <mergeCell ref="M51:N51"/>
    <mergeCell ref="S219:T219"/>
    <mergeCell ref="B132:C132"/>
    <mergeCell ref="G49:H49"/>
    <mergeCell ref="F108:R108"/>
    <mergeCell ref="D54:F54"/>
    <mergeCell ref="F143:R143"/>
    <mergeCell ref="A195:T195"/>
    <mergeCell ref="L28:N28"/>
    <mergeCell ref="D29:E29"/>
    <mergeCell ref="A253:T253"/>
    <mergeCell ref="B54:C54"/>
    <mergeCell ref="D218:E218"/>
    <mergeCell ref="F230:R230"/>
    <mergeCell ref="H38:I38"/>
    <mergeCell ref="O34:P34"/>
    <mergeCell ref="J38:K38"/>
    <mergeCell ref="O28:P28"/>
    <mergeCell ref="F94:K94"/>
    <mergeCell ref="Q28:R28"/>
    <mergeCell ref="M52:N52"/>
    <mergeCell ref="M49:N49"/>
    <mergeCell ref="B56:C56"/>
    <mergeCell ref="O39:P39"/>
    <mergeCell ref="H40:I40"/>
    <mergeCell ref="D249:E249"/>
    <mergeCell ref="O36:P36"/>
    <mergeCell ref="J40:K40"/>
    <mergeCell ref="O30:P30"/>
    <mergeCell ref="L248:P248"/>
    <mergeCell ref="F225:R225"/>
    <mergeCell ref="A174:E174"/>
    <mergeCell ref="A108:E108"/>
    <mergeCell ref="F175:R175"/>
    <mergeCell ref="F36:G36"/>
    <mergeCell ref="D163:E163"/>
    <mergeCell ref="Q94:R94"/>
    <mergeCell ref="B57:C57"/>
    <mergeCell ref="F227:R227"/>
    <mergeCell ref="J35:K35"/>
    <mergeCell ref="Q6:R6"/>
    <mergeCell ref="D50:F50"/>
    <mergeCell ref="Q192:R192"/>
    <mergeCell ref="F218:K218"/>
    <mergeCell ref="L96:P96"/>
    <mergeCell ref="S162:T162"/>
    <mergeCell ref="G50:H50"/>
    <mergeCell ref="F66:R66"/>
    <mergeCell ref="D45:F45"/>
    <mergeCell ref="I50:J50"/>
    <mergeCell ref="F109:R109"/>
    <mergeCell ref="M58:N58"/>
    <mergeCell ref="D191:E191"/>
    <mergeCell ref="G52:H52"/>
    <mergeCell ref="F163:K163"/>
    <mergeCell ref="S301:T301"/>
    <mergeCell ref="A169:E169"/>
    <mergeCell ref="A225:E225"/>
    <mergeCell ref="L30:N30"/>
    <mergeCell ref="B273:C273"/>
    <mergeCell ref="L29:N29"/>
    <mergeCell ref="B39:C39"/>
    <mergeCell ref="J30:K30"/>
    <mergeCell ref="D95:E95"/>
    <mergeCell ref="A227:E227"/>
    <mergeCell ref="A25:B25"/>
    <mergeCell ref="O49:P49"/>
    <mergeCell ref="F273:K273"/>
    <mergeCell ref="L31:N31"/>
    <mergeCell ref="D32:E32"/>
    <mergeCell ref="A196:T196"/>
    <mergeCell ref="F32:G32"/>
    <mergeCell ref="B6:P6"/>
    <mergeCell ref="O50:P50"/>
    <mergeCell ref="F233:R233"/>
    <mergeCell ref="J41:K41"/>
    <mergeCell ref="L274:P274"/>
    <mergeCell ref="O42:P42"/>
    <mergeCell ref="G45:H45"/>
    <mergeCell ref="F104:R104"/>
    <mergeCell ref="F191:K191"/>
    <mergeCell ref="A259:E259"/>
    <mergeCell ref="O52:P52"/>
    <mergeCell ref="G55:H55"/>
    <mergeCell ref="B192:C192"/>
    <mergeCell ref="A20:B20"/>
    <mergeCell ref="A109:E109"/>
    <mergeCell ref="D192:E192"/>
    <mergeCell ref="D42:E42"/>
    <mergeCell ref="G47:H47"/>
    <mergeCell ref="A68:E68"/>
    <mergeCell ref="F106:R106"/>
    <mergeCell ref="F228:R228"/>
    <mergeCell ref="G46:H46"/>
    <mergeCell ref="B50:C50"/>
    <mergeCell ref="D52:F52"/>
    <mergeCell ref="O37:P37"/>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2.xml><?xml version="1.0" encoding="utf-8"?>
<worksheet xmlns="http://schemas.openxmlformats.org/spreadsheetml/2006/main">
  <sheetPr>
    <tabColor rgb="00C55A11"/>
    <outlinePr summaryBelow="1" summaryRight="1"/>
    <pageSetUpPr fitToPage="1"/>
  </sheetPr>
  <dimension ref="A1:AZ44"/>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8" customWidth="1" min="2" max="2"/>
    <col width="22" customWidth="1" min="3" max="3"/>
    <col width="6" customWidth="1" min="4" max="4"/>
    <col width="14" customWidth="1" min="5" max="5"/>
    <col width="9" customWidth="1" min="6" max="6"/>
    <col width="28" customWidth="1" min="7" max="7"/>
    <col width="7" customWidth="1" min="8" max="8"/>
    <col width="18" customWidth="1" min="9" max="9"/>
    <col width="7" customWidth="1" min="10" max="10"/>
    <col width="24" customWidth="1" min="11" max="11"/>
    <col width="18" customWidth="1" min="12" max="12"/>
    <col width="44" customWidth="1" min="13" max="13"/>
    <col width="40" customWidth="1" min="14" max="14"/>
    <col width="32" customWidth="1" min="15" max="15"/>
    <col width="30" customWidth="1" min="16" max="16"/>
    <col width="30" customWidth="1" min="17" max="17"/>
    <col width="34" customWidth="1" min="18" max="18"/>
    <col width="28" customWidth="1" min="19" max="19"/>
    <col width="26" customWidth="1" min="20" max="20"/>
    <col width="26" customWidth="1" min="21" max="21"/>
    <col width="24" customWidth="1" min="22" max="22"/>
    <col width="22" customWidth="1" min="23" max="23"/>
    <col width="22" customWidth="1" min="24" max="24"/>
    <col width="22" customWidth="1" min="25" max="25"/>
    <col width="10" customWidth="1" min="26" max="26"/>
    <col width="22" customWidth="1" min="27" max="27"/>
    <col width="20" customWidth="1" min="28" max="28"/>
    <col width="18" customWidth="1" min="29" max="29"/>
    <col width="22" customWidth="1" min="30" max="30"/>
    <col width="30" customWidth="1" min="31" max="31"/>
    <col width="30" customWidth="1" min="32" max="32"/>
    <col width="9" customWidth="1" min="33" max="33"/>
    <col width="8" customWidth="1" min="34" max="34"/>
    <col width="34" customWidth="1" min="35" max="35"/>
    <col width="26" customWidth="1" min="36" max="36"/>
    <col width="26" customWidth="1" min="37" max="37"/>
    <col width="28" customWidth="1" min="38" max="38"/>
    <col width="26" customWidth="1" min="39" max="39"/>
    <col width="24" customWidth="1" min="40" max="40"/>
    <col width="26" customWidth="1" min="41" max="41"/>
    <col width="26" customWidth="1" min="42" max="42"/>
    <col width="24" customWidth="1" min="43" max="43"/>
    <col width="34" customWidth="1" min="44" max="44"/>
    <col width="22" customWidth="1" min="45" max="45"/>
    <col width="32" customWidth="1" min="46" max="46"/>
    <col width="28" customWidth="1" min="47" max="47"/>
    <col width="28" customWidth="1" min="48" max="48"/>
    <col width="30" customWidth="1" min="49" max="49"/>
    <col width="22" customWidth="1" min="50" max="50"/>
    <col width="22" customWidth="1" min="51" max="51"/>
    <col width="13" customWidth="1" min="52" max="52"/>
  </cols>
  <sheetData>
    <row r="1" ht="34" customHeight="1">
      <c r="A1" s="1" t="inlineStr">
        <is>
          <t>Role Catalogue — the roles held in this workbook, as defined once for all of IRIS</t>
        </is>
      </c>
      <c r="AZ1" s="242" t="inlineStr">
        <is>
          <t>◂ Contents</t>
        </is>
      </c>
    </row>
    <row r="2" ht="30" customHeight="1">
      <c r="A2" s="3" t="inlineStr">
        <is>
          <t>Sheet 6 · One row per catalogue role · job family × sub-family × level × track that someone here holds. The entry is the same IRIS-wide in every workbook: purpose and responsibilities are written in catalogue language · the sub-family definition and the level standard, followed by the common themes in the role-holders' own answers · 3+ answered — the role itself, else its sub-family across levels; the 'Evidence basis' column says which. Views of the role are counted themes, never quoted. The full catalogue is in IRIS_JA_3_Framework_and_Model_Master.xlsx.</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row>
    <row r="5" ht="32" customHeight="1">
      <c r="A5" s="73" t="inlineStr">
        <is>
          <t>ROLE</t>
        </is>
      </c>
      <c r="J5" s="74" t="inlineStr">
        <is>
          <t>IN THIS WORKBOOK</t>
        </is>
      </c>
      <c r="M5" s="76" t="inlineStr">
        <is>
          <t>PURPOSE &amp; RESPONSIBILITIES · catalogue text + common themes from role-holders' own answers</t>
        </is>
      </c>
      <c r="U5" s="77" t="inlineStr">
        <is>
          <t>WHAT THE LEVEL REQUIRES · framework standard</t>
        </is>
      </c>
      <c r="AD5" s="79" t="inlineStr">
        <is>
          <t>CAPABILITY</t>
        </is>
      </c>
      <c r="AG5" s="81" t="inlineStr">
        <is>
          <t>MARKET &amp; CAREER</t>
        </is>
      </c>
      <c r="AL5" s="83" t="inlineStr">
        <is>
          <t>LEARNING &amp; VOICE OF THE ROLE · counted themes — never quoted</t>
        </is>
      </c>
      <c r="AR5" s="85" t="inlineStr">
        <is>
          <t>DISCIPLINE DETAIL — from IRIS Career Architecture V2 · HR research, adopted 7 Oct 2026; comparable stage by scope, not a grade</t>
        </is>
      </c>
      <c r="AX5" s="87" t="inlineStr">
        <is>
          <t>EVIDENCE</t>
        </is>
      </c>
    </row>
    <row r="6" ht="46" customHeight="1">
      <c r="A6" s="91" t="inlineStr">
        <is>
          <t>Catalogue ID</t>
        </is>
      </c>
      <c r="B6" s="92" t="inlineStr">
        <is>
          <t>Job family</t>
        </is>
      </c>
      <c r="C6" s="92" t="inlineStr">
        <is>
          <t>Sub-family</t>
        </is>
      </c>
      <c r="D6" s="92" t="inlineStr">
        <is>
          <t>Level</t>
        </is>
      </c>
      <c r="E6" s="92" t="inlineStr">
        <is>
          <t>Level title</t>
        </is>
      </c>
      <c r="F6" s="92" t="inlineStr">
        <is>
          <t>Track</t>
        </is>
      </c>
      <c r="G6" s="92" t="inlineStr">
        <is>
          <t>Designations used at IRIS</t>
        </is>
      </c>
      <c r="H6" s="92" t="inlineStr">
        <is>
          <t>Holders</t>
        </is>
      </c>
      <c r="I6" s="92" t="inlineStr">
        <is>
          <t>Holders by business</t>
        </is>
      </c>
      <c r="J6" s="93" t="inlineStr">
        <is>
          <t>Holders here</t>
        </is>
      </c>
      <c r="K6" s="12" t="inlineStr">
        <is>
          <t>Who</t>
        </is>
      </c>
      <c r="L6" s="12" t="inlineStr">
        <is>
          <t>Department · s here</t>
        </is>
      </c>
      <c r="M6" s="94" t="inlineStr">
        <is>
          <t>Purpose</t>
        </is>
      </c>
      <c r="N6" s="156" t="inlineStr">
        <is>
          <t>Key responsibilities</t>
        </is>
      </c>
      <c r="O6" s="156" t="inlineStr">
        <is>
          <t>Deliverables</t>
        </is>
      </c>
      <c r="P6" s="156" t="inlineStr">
        <is>
          <t>Accountable for</t>
        </is>
      </c>
      <c r="Q6" s="156" t="inlineStr">
        <is>
          <t>Decision rights</t>
        </is>
      </c>
      <c r="R6" s="156" t="inlineStr">
        <is>
          <t>Manager-set KRAs · common themes</t>
        </is>
      </c>
      <c r="S6" s="156" t="inlineStr">
        <is>
          <t>Skills &amp; knowledge · counts</t>
        </is>
      </c>
      <c r="T6" s="156" t="inlineStr">
        <is>
          <t>Tools &amp; platforms · counts</t>
        </is>
      </c>
      <c r="U6" s="95" t="inlineStr">
        <is>
          <t>What the role owns</t>
        </is>
      </c>
      <c r="V6" s="96" t="inlineStr">
        <is>
          <t>Complexity &amp; expertise</t>
        </is>
      </c>
      <c r="W6" s="96" t="inlineStr">
        <is>
          <t>Autonomy &amp; decisions</t>
        </is>
      </c>
      <c r="X6" s="96" t="inlineStr">
        <is>
          <t>Accountability &amp; impact</t>
        </is>
      </c>
      <c r="Y6" s="96" t="inlineStr">
        <is>
          <t>Leadership</t>
        </is>
      </c>
      <c r="Z6" s="96" t="inlineStr">
        <is>
          <t>Experience · guide</t>
        </is>
      </c>
      <c r="AA6" s="96" t="inlineStr">
        <is>
          <t>Education</t>
        </is>
      </c>
      <c r="AB6" s="96" t="inlineStr">
        <is>
          <t>Credentials</t>
        </is>
      </c>
      <c r="AC6" s="96" t="inlineStr">
        <is>
          <t>Span of control</t>
        </is>
      </c>
      <c r="AD6" s="97" t="inlineStr">
        <is>
          <t>Proficiency by cluster</t>
        </is>
      </c>
      <c r="AE6" s="98" t="inlineStr">
        <is>
          <t>★ Must-have competencies</t>
        </is>
      </c>
      <c r="AF6" s="98" t="inlineStr">
        <is>
          <t>Other functional competencies</t>
        </is>
      </c>
      <c r="AG6" s="99" t="inlineStr">
        <is>
          <t>Radford / Mercer</t>
        </is>
      </c>
      <c r="AH6" s="100" t="inlineStr">
        <is>
          <t>SFIA 9</t>
        </is>
      </c>
      <c r="AI6" s="100" t="inlineStr">
        <is>
          <t>Peer equivalents</t>
        </is>
      </c>
      <c r="AJ6" s="100" t="inlineStr">
        <is>
          <t>Professional standard</t>
        </is>
      </c>
      <c r="AK6" s="100" t="inlineStr">
        <is>
          <t>Next step</t>
        </is>
      </c>
      <c r="AL6" s="101" t="inlineStr">
        <is>
          <t>Learning needs · topics, people</t>
        </is>
      </c>
      <c r="AM6" s="102" t="inlineStr">
        <is>
          <t>Manager-identified training</t>
        </is>
      </c>
      <c r="AN6" s="102" t="inlineStr">
        <is>
          <t>What helped people learn</t>
        </is>
      </c>
      <c r="AO6" s="102" t="inlineStr">
        <is>
          <t>What slows the role down · themes</t>
        </is>
      </c>
      <c r="AP6" s="102" t="inlineStr">
        <is>
          <t>If one thing could change · themes</t>
        </is>
      </c>
      <c r="AQ6" s="102" t="inlineStr">
        <is>
          <t>How the role is changing</t>
        </is>
      </c>
      <c r="AR6" s="103" t="inlineStr">
        <is>
          <t>Family boundary · purpose · includes · excludes</t>
        </is>
      </c>
      <c r="AS6" s="104" t="inlineStr">
        <is>
          <t>Comparable V2 stage · external research label</t>
        </is>
      </c>
      <c r="AT6" s="104" t="inlineStr">
        <is>
          <t>Discipline work expectation</t>
        </is>
      </c>
      <c r="AU6" s="104" t="inlineStr">
        <is>
          <t>Readiness evidence</t>
        </is>
      </c>
      <c r="AV6" s="104" t="inlineStr">
        <is>
          <t>Typical work sample</t>
        </is>
      </c>
      <c r="AW6" s="104" t="inlineStr">
        <is>
          <t>Peer evidence · observed titles</t>
        </is>
      </c>
      <c r="AX6" s="105" t="inlineStr">
        <is>
          <t>Evidence basis for purpose and responsibilities</t>
        </is>
      </c>
      <c r="AY6" s="106" t="inlineStr">
        <is>
          <t>Respondents</t>
        </is>
      </c>
    </row>
    <row r="7">
      <c r="A7" s="160" t="inlineStr">
        <is>
          <t>Administration, Legal &amp; Secretarial</t>
        </is>
      </c>
    </row>
    <row r="8" ht="171" customHeight="1">
      <c r="A8" s="177" t="inlineStr">
        <is>
          <t>RC-001</t>
        </is>
      </c>
      <c r="B8" s="111" t="inlineStr">
        <is>
          <t>Administration, Legal &amp; Secretarial</t>
        </is>
      </c>
      <c r="C8" s="111" t="inlineStr">
        <is>
          <t>Administration &amp; Facilities</t>
        </is>
      </c>
      <c r="D8" s="151" t="inlineStr">
        <is>
          <t>A3</t>
        </is>
      </c>
      <c r="E8" s="139" t="inlineStr">
        <is>
          <t>Senior Associate</t>
        </is>
      </c>
      <c r="F8" s="111" t="inlineStr">
        <is>
          <t>IC</t>
        </is>
      </c>
      <c r="G8" s="111" t="inlineStr">
        <is>
          <t>Senior Administration Executive</t>
        </is>
      </c>
      <c r="H8" s="112" t="n">
        <v>4</v>
      </c>
      <c r="I8" s="111" t="inlineStr">
        <is>
          <t>Corporate 4</t>
        </is>
      </c>
      <c r="J8" s="162" t="n">
        <v>4</v>
      </c>
      <c r="K8" s="114" t="inlineStr">
        <is>
          <t>Ashish Pawar, Mangesh Kosty, Rajesh Khurambe, Sunil Pawar</t>
        </is>
      </c>
      <c r="L8" s="114" t="inlineStr">
        <is>
          <t>Administration</t>
        </is>
      </c>
      <c r="M8" s="118" t="inlineStr">
        <is>
          <t>Manages travel, facilities, office administration and vendors. At A3: varied work; reviews juniors; go-to for a process.</t>
        </is>
      </c>
      <c r="N8" s="164" t="inlineStr">
        <is>
          <t>Manages travel, facilities, office administration and vendors; Varied and non-standard work; handles exceptions; A module / process, or work with client or regulatory consequences</t>
        </is>
      </c>
      <c r="O8" s="164" t="inlineStr">
        <is>
          <t>A module / process, or work with client or regulatory consequences</t>
        </is>
      </c>
      <c r="P8" s="164" t="inlineStr">
        <is>
          <t>A module / process, or work with client or regulatory consequences</t>
        </is>
      </c>
      <c r="Q8" s="164" t="inlineStr">
        <is>
          <t>Technical / QC / client calls on own work</t>
        </is>
      </c>
      <c r="R8" s="164" t="inlineStr">
        <is>
          <t>—</t>
        </is>
      </c>
      <c r="S8" s="164" t="inlineStr">
        <is>
          <t>Administration</t>
        </is>
      </c>
      <c r="T8" s="164" t="inlineStr">
        <is>
          <t>—</t>
        </is>
      </c>
      <c r="U8" s="119" t="inlineStr">
        <is>
          <t>Varied work; reviews juniors; go-to for a process</t>
        </is>
      </c>
      <c r="V8" s="165" t="inlineStr">
        <is>
          <t>Varied and non-standard work; handles exceptions</t>
        </is>
      </c>
      <c r="W8" s="165" t="inlineStr">
        <is>
          <t>Technical / QC / client calls on own work</t>
        </is>
      </c>
      <c r="X8" s="165" t="inlineStr">
        <is>
          <t>A module / process, or work with client or regulatory consequences</t>
        </is>
      </c>
      <c r="Y8" s="165" t="inlineStr">
        <is>
          <t>Not scored in Band A</t>
        </is>
      </c>
      <c r="Z8" s="165" t="inlineStr">
        <is>
          <t>2–4 yrs</t>
        </is>
      </c>
      <c r="AA8" s="165" t="inlineStr">
        <is>
          <t>Graduate; relevant certification preferred</t>
        </is>
      </c>
      <c r="AB8" s="165" t="inlineStr">
        <is>
          <t>Domain certifications · optional</t>
        </is>
      </c>
      <c r="AC8" s="165" t="inlineStr">
        <is>
          <t>None · guides 1–3 juniors informally</t>
        </is>
      </c>
      <c r="AD8" s="121" t="inlineStr">
        <is>
          <t>Core 2 · Future-ready 2 · Functional 3 · Leadership —</t>
        </is>
      </c>
      <c r="AE8" s="122" t="inlineStr">
        <is>
          <t>Regulatory &amp; BFSI Domain · Stakeholder &amp; Client Management</t>
        </is>
      </c>
      <c r="AF8" s="122" t="inlineStr">
        <is>
          <t>Process Improvement &amp; Quality Mindset · Advanced Excel &amp; Productivity Tools · Communication &amp; Presentation · Time, Priority &amp; Self-Management</t>
        </is>
      </c>
      <c r="AG8" s="178" t="inlineStr">
        <is>
          <t>P2</t>
        </is>
      </c>
      <c r="AH8" s="128" t="inlineStr">
        <is>
          <t>3 Apply</t>
        </is>
      </c>
      <c r="AI8" s="179" t="inlineStr">
        <is>
          <t>IRIS Vs Competitor Benchmark — corporate services ladder: Senior Executive</t>
        </is>
      </c>
      <c r="AJ8" s="179" t="inlineStr">
        <is>
          <t>ICSI · Company Secretary; Companies Act 2013; IFMA · facilities; CIPS · procurement</t>
        </is>
      </c>
      <c r="AK8" s="179" t="inlineStr">
        <is>
          <t>B1 · Specialist</t>
        </is>
      </c>
      <c r="AL8" s="129" t="inlineStr">
        <is>
          <t>Data, SQL &amp; analytics</t>
        </is>
      </c>
      <c r="AM8" s="130" t="inlineStr">
        <is>
          <t>—</t>
        </is>
      </c>
      <c r="AN8" s="130" t="inlineStr">
        <is>
          <t>—</t>
        </is>
      </c>
      <c r="AO8" s="130" t="inlineStr">
        <is>
          <t>—</t>
        </is>
      </c>
      <c r="AP8" s="130" t="inlineStr">
        <is>
          <t>—</t>
        </is>
      </c>
      <c r="AQ8" s="130" t="inlineStr">
        <is>
          <t>—</t>
        </is>
      </c>
      <c r="AR8" s="131"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AS8" s="132" t="inlineStr">
        <is>
          <t>ADM01-2 · Workplace / Facilities Coordinator</t>
        </is>
      </c>
      <c r="AT8" s="132" t="inlineStr">
        <is>
          <t>Coordinate workplace services, vendors and issue resolution.</t>
        </is>
      </c>
      <c r="AU8" s="132" t="inlineStr">
        <is>
          <t>Demonstrate routine delivery plus judgement in bounded exceptions.</t>
        </is>
      </c>
      <c r="AV8" s="132" t="inlineStr">
        <is>
          <t>A workplace service plan with vendor controls, risk assessment and service measures</t>
        </is>
      </c>
      <c r="AW8" s="132" t="inlineStr">
        <is>
          <r>
            <rPr>
              <rFont val="Calibri"/>
              <b val="1"/>
              <sz val="10"/>
            </rPr>
            <t>Workiva:</t>
          </r>
          <r>
            <rPr>
              <rFont val="Calibri"/>
              <sz val="10"/>
            </rPr>
            <t xml:space="preserve"> Senior AV Engineer · Related work. Gap: Vendor coordination without purchasing authority is informative but not facilities leadership</t>
          </r>
        </is>
      </c>
      <c r="AX8" s="133" t="inlineStr">
        <is>
          <t>Framework only · fewer than 3 answered</t>
        </is>
      </c>
      <c r="AY8" s="134" t="inlineStr">
        <is>
          <t>4 holders, 1 answered the survey; sub-family 2 answered</t>
        </is>
      </c>
    </row>
    <row r="9" ht="171" customHeight="1">
      <c r="A9" s="177" t="inlineStr">
        <is>
          <t>RC-002</t>
        </is>
      </c>
      <c r="B9" s="111" t="inlineStr">
        <is>
          <t>Administration, Legal &amp; Secretarial</t>
        </is>
      </c>
      <c r="C9" s="111" t="inlineStr">
        <is>
          <t>Administration &amp; Facilities</t>
        </is>
      </c>
      <c r="D9" s="150" t="inlineStr">
        <is>
          <t>B2</t>
        </is>
      </c>
      <c r="E9" s="21" t="inlineStr">
        <is>
          <t>Manager</t>
        </is>
      </c>
      <c r="F9" s="111" t="inlineStr">
        <is>
          <t>Manager</t>
        </is>
      </c>
      <c r="G9" s="111" t="inlineStr">
        <is>
          <t>Manager – Administration</t>
        </is>
      </c>
      <c r="H9" s="112" t="n">
        <v>1</v>
      </c>
      <c r="I9" s="111" t="inlineStr">
        <is>
          <t>Corporate 1</t>
        </is>
      </c>
      <c r="J9" s="162" t="n">
        <v>1</v>
      </c>
      <c r="K9" s="114" t="inlineStr">
        <is>
          <t>Sujit Acharya</t>
        </is>
      </c>
      <c r="L9" s="114" t="inlineStr">
        <is>
          <t>Administration</t>
        </is>
      </c>
      <c r="M9" s="118" t="inlineStr">
        <is>
          <t>Manages travel, facilities, office administration and vendors. At B2: deep domain expertise, or one team.</t>
        </is>
      </c>
      <c r="N9" s="164" t="inlineStr">
        <is>
          <t>Manages travel, facilities, office administration and vendors; Hardest problems in the domain; One team or a client portfolio</t>
        </is>
      </c>
      <c r="O9" s="164" t="inlineStr">
        <is>
          <t>One team or a client portfolio</t>
        </is>
      </c>
      <c r="P9" s="164" t="inlineStr">
        <is>
          <t>One team or a client portfolio</t>
        </is>
      </c>
      <c r="Q9" s="164" t="inlineStr">
        <is>
          <t>Allocates people and sets team priorities</t>
        </is>
      </c>
      <c r="R9" s="164" t="inlineStr">
        <is>
          <t>—</t>
        </is>
      </c>
      <c r="S9" s="164" t="inlineStr">
        <is>
          <t>Administration</t>
        </is>
      </c>
      <c r="T9" s="164" t="inlineStr">
        <is>
          <t>—</t>
        </is>
      </c>
      <c r="U9" s="119" t="inlineStr">
        <is>
          <t>Deep domain expertise, or one team</t>
        </is>
      </c>
      <c r="V9" s="165" t="inlineStr">
        <is>
          <t>Hardest problems in the domain</t>
        </is>
      </c>
      <c r="W9" s="165" t="inlineStr">
        <is>
          <t>Allocates people and sets team priorities</t>
        </is>
      </c>
      <c r="X9" s="165" t="inlineStr">
        <is>
          <t>One team or a client portfolio</t>
        </is>
      </c>
      <c r="Y9" s="165" t="inlineStr">
        <is>
          <r>
            <rPr>
              <rFont val="Calibri"/>
              <b val="1"/>
              <sz val="10"/>
            </rPr>
            <t>IC:</t>
          </r>
          <r>
            <rPr>
              <rFont val="Calibri"/>
              <sz val="10"/>
            </rPr>
            <t xml:space="preserve"> guides others in the domain · People: manages a team of 6+</t>
          </r>
        </is>
      </c>
      <c r="Z9" s="165" t="inlineStr">
        <is>
          <t>6–9 yrs</t>
        </is>
      </c>
      <c r="AA9" s="165" t="inlineStr">
        <is>
          <t>Graduate or postgraduate; professional qualification preferred</t>
        </is>
      </c>
      <c r="AB9" s="165" t="inlineStr">
        <is>
          <t>Domain certifications · optional</t>
        </is>
      </c>
      <c r="AC9" s="165" t="inlineStr">
        <is>
          <r>
            <rPr>
              <rFont val="Calibri"/>
              <b val="1"/>
              <sz val="10"/>
            </rPr>
            <t>IC:</t>
          </r>
          <r>
            <rPr>
              <rFont val="Calibri"/>
              <sz val="10"/>
            </rPr>
            <t xml:space="preserve"> none · People: 6–8 knowledge work, 8–12 standardised delivery</t>
          </r>
        </is>
      </c>
      <c r="AD9" s="121" t="inlineStr">
        <is>
          <t>Core 3 · Future-ready 3 · Functional 4 · Leadership 3</t>
        </is>
      </c>
      <c r="AE9" s="122" t="inlineStr">
        <is>
          <t>Regulatory &amp; BFSI Domain · Stakeholder &amp; Client Management</t>
        </is>
      </c>
      <c r="AF9" s="122" t="inlineStr">
        <is>
          <t>Process Improvement &amp; Quality Mindset · Advanced Excel &amp; Productivity Tools · Communication &amp; Presentation · Time, Priority &amp; Self-Management</t>
        </is>
      </c>
      <c r="AG9" s="178" t="inlineStr">
        <is>
          <t>P4 / M3</t>
        </is>
      </c>
      <c r="AH9" s="128" t="inlineStr">
        <is>
          <t>4–5</t>
        </is>
      </c>
      <c r="AI9" s="179" t="inlineStr">
        <is>
          <t>IRIS Vs Competitor Benchmark — corporate services ladder: Manager</t>
        </is>
      </c>
      <c r="AJ9" s="179" t="inlineStr">
        <is>
          <t>ICSI · Company Secretary; Companies Act 2013; IFMA · facilities; CIPS · procurement</t>
        </is>
      </c>
      <c r="AK9" s="179" t="inlineStr">
        <is>
          <t>B3 · Lead Specialist</t>
        </is>
      </c>
      <c r="AL9" s="129" t="inlineStr">
        <is>
          <t>Strategy &amp; business acumen · Broader exposure &amp; ownership</t>
        </is>
      </c>
      <c r="AM9" s="130" t="inlineStr">
        <is>
          <t>—</t>
        </is>
      </c>
      <c r="AN9" s="130" t="inlineStr">
        <is>
          <t>—</t>
        </is>
      </c>
      <c r="AO9" s="130" t="inlineStr">
        <is>
          <t>—</t>
        </is>
      </c>
      <c r="AP9" s="130" t="inlineStr">
        <is>
          <t>—</t>
        </is>
      </c>
      <c r="AQ9" s="130" t="inlineStr">
        <is>
          <t>—</t>
        </is>
      </c>
      <c r="AR9" s="131"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AS9" s="132" t="inlineStr">
        <is>
          <t>LD16-1 · Facilities / Workplace Manager</t>
        </is>
      </c>
      <c r="AT9" s="132" t="inlineStr">
        <is>
          <t>Own staffing decisions, performance support, service quality and delegated team resources</t>
        </is>
      </c>
      <c r="AU9" s="132" t="inlineStr">
        <is>
          <t>Do not manufacture three reporting layers. Choose roles the organisation needs. A specialist may remain on an equally valued expert path.</t>
        </is>
      </c>
      <c r="AV9" s="132" t="inlineStr">
        <is>
          <t>—</t>
        </is>
      </c>
      <c r="AW9" s="132" t="inlineStr">
        <is>
          <t>—</t>
        </is>
      </c>
      <c r="AX9" s="133" t="inlineStr">
        <is>
          <t>Framework only · fewer than 3 answered</t>
        </is>
      </c>
      <c r="AY9" s="134" t="inlineStr">
        <is>
          <t>1 holder, 1 answered the survey; sub-family 2 answered</t>
        </is>
      </c>
    </row>
    <row r="10" ht="171" customHeight="1">
      <c r="A10" s="177" t="inlineStr">
        <is>
          <t>RC-003</t>
        </is>
      </c>
      <c r="B10" s="111" t="inlineStr">
        <is>
          <t>Administration, Legal &amp; Secretarial</t>
        </is>
      </c>
      <c r="C10" s="111" t="inlineStr">
        <is>
          <t>Administration &amp; Facilities</t>
        </is>
      </c>
      <c r="D10" s="143" t="inlineStr">
        <is>
          <t>X1</t>
        </is>
      </c>
      <c r="E10" s="136" t="inlineStr">
        <is>
          <t>Associate Consultant</t>
        </is>
      </c>
      <c r="F10" s="111" t="inlineStr">
        <is>
          <t>IC</t>
        </is>
      </c>
      <c r="G10" s="111" t="inlineStr">
        <is>
          <t>Associate Consultant – Administration &amp; Facilities</t>
        </is>
      </c>
      <c r="H10" s="112" t="n">
        <v>1</v>
      </c>
      <c r="I10" s="111" t="inlineStr">
        <is>
          <t>Corporate 1</t>
        </is>
      </c>
      <c r="J10" s="162" t="n">
        <v>1</v>
      </c>
      <c r="K10" s="114" t="inlineStr">
        <is>
          <t>Ganesh Prabhakar Amrutsagar</t>
        </is>
      </c>
      <c r="L10" s="114" t="inlineStr">
        <is>
          <t>Administration</t>
        </is>
      </c>
      <c r="M10" s="118" t="inlineStr">
        <is>
          <t>Manages travel, facilities, office administration and vendors. At X1: defined deliverables under a statement of work · ≈ A2–A3.</t>
        </is>
      </c>
      <c r="N10" s="164" t="inlineStr">
        <is>
          <t>Manages travel, facilities, office administration and vendors</t>
        </is>
      </c>
      <c r="O10" s="164" t="inlineStr">
        <is>
          <t>Manages travel, facilities, office administration and vendors.</t>
        </is>
      </c>
      <c r="P10" s="164" t="inlineStr">
        <is>
          <t>Deliverables under the statement of work</t>
        </is>
      </c>
      <c r="Q10" s="164" t="inlineStr">
        <is>
          <t>Within the statement of work</t>
        </is>
      </c>
      <c r="R10" s="164" t="inlineStr">
        <is>
          <t>—</t>
        </is>
      </c>
      <c r="S10" s="164" t="inlineStr">
        <is>
          <t>Administration</t>
        </is>
      </c>
      <c r="T10" s="164" t="inlineStr">
        <is>
          <t>—</t>
        </is>
      </c>
      <c r="U10" s="119" t="inlineStr">
        <is>
          <t>Defined deliverables under a statement of work · ≈ A2–A3</t>
        </is>
      </c>
      <c r="V10" s="165" t="inlineStr">
        <is>
          <t>—</t>
        </is>
      </c>
      <c r="W10" s="165" t="inlineStr">
        <is>
          <t>—</t>
        </is>
      </c>
      <c r="X10" s="165" t="inlineStr">
        <is>
          <t>—</t>
        </is>
      </c>
      <c r="Y10" s="165" t="inlineStr">
        <is>
          <t>—</t>
        </is>
      </c>
      <c r="Z10" s="165" t="inlineStr">
        <is>
          <t>0–5 yrs</t>
        </is>
      </c>
      <c r="AA10" s="165" t="inlineStr">
        <is>
          <t>As for equivalent role</t>
        </is>
      </c>
      <c r="AB10" s="165" t="inlineStr">
        <is>
          <t>Domain certifications · optional</t>
        </is>
      </c>
      <c r="AC10" s="165" t="inlineStr">
        <is>
          <t>Not counted in spans</t>
        </is>
      </c>
      <c r="AD10" s="121" t="inlineStr">
        <is>
          <t>Per statement of work</t>
        </is>
      </c>
      <c r="AE10" s="122" t="inlineStr">
        <is>
          <t>Regulatory &amp; BFSI Domain · Stakeholder &amp; Client Management</t>
        </is>
      </c>
      <c r="AF10" s="122" t="inlineStr">
        <is>
          <t>Process Improvement &amp; Quality Mindset · Advanced Excel &amp; Productivity Tools · Communication &amp; Presentation · Time, Priority &amp; Self-Management</t>
        </is>
      </c>
      <c r="AG10" s="178" t="inlineStr">
        <is>
          <t>Contractor</t>
        </is>
      </c>
      <c r="AH10" s="128" t="inlineStr">
        <is>
          <t>—</t>
        </is>
      </c>
      <c r="AI10" s="179" t="inlineStr">
        <is>
          <t>—</t>
        </is>
      </c>
      <c r="AJ10" s="179" t="inlineStr">
        <is>
          <t>ICSI · Company Secretary; Companies Act 2013; IFMA · facilities; CIPS · procurement</t>
        </is>
      </c>
      <c r="AK10" s="179" t="inlineStr">
        <is>
          <t>—</t>
        </is>
      </c>
      <c r="AL10" s="129" t="inlineStr">
        <is>
          <t>—</t>
        </is>
      </c>
      <c r="AM10" s="130" t="inlineStr">
        <is>
          <t>—</t>
        </is>
      </c>
      <c r="AN10" s="130" t="inlineStr">
        <is>
          <t>—</t>
        </is>
      </c>
      <c r="AO10" s="130" t="inlineStr">
        <is>
          <t>—</t>
        </is>
      </c>
      <c r="AP10" s="130" t="inlineStr">
        <is>
          <t>—</t>
        </is>
      </c>
      <c r="AQ10" s="130" t="inlineStr">
        <is>
          <t>—</t>
        </is>
      </c>
      <c r="AR10" s="131"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AS10" s="132" t="inlineStr">
        <is>
          <t>—</t>
        </is>
      </c>
      <c r="AT10" s="132" t="inlineStr">
        <is>
          <t>—</t>
        </is>
      </c>
      <c r="AU10" s="132" t="inlineStr">
        <is>
          <t>—</t>
        </is>
      </c>
      <c r="AV10" s="132" t="inlineStr">
        <is>
          <t>—</t>
        </is>
      </c>
      <c r="AW10" s="132" t="inlineStr">
        <is>
          <t>—</t>
        </is>
      </c>
      <c r="AX10" s="133" t="inlineStr">
        <is>
          <t>Framework only · fewer than 3 answered</t>
        </is>
      </c>
      <c r="AY10" s="134" t="inlineStr">
        <is>
          <t>1 holder, 0 answered the survey; sub-family 2 answered</t>
        </is>
      </c>
    </row>
    <row r="11" ht="171" customHeight="1">
      <c r="A11" s="177" t="inlineStr">
        <is>
          <t>RC-004</t>
        </is>
      </c>
      <c r="B11" s="111" t="inlineStr">
        <is>
          <t>Administration, Legal &amp; Secretarial</t>
        </is>
      </c>
      <c r="C11" s="111" t="inlineStr">
        <is>
          <t>Company Secretarial &amp; Legal</t>
        </is>
      </c>
      <c r="D11" s="151" t="inlineStr">
        <is>
          <t>A1</t>
        </is>
      </c>
      <c r="E11" s="139" t="inlineStr">
        <is>
          <t>Intern / Trainee</t>
        </is>
      </c>
      <c r="F11" s="111" t="inlineStr">
        <is>
          <t>IC</t>
        </is>
      </c>
      <c r="G11" s="111" t="inlineStr">
        <is>
          <t>Intern – Company Secretarial &amp; Legal</t>
        </is>
      </c>
      <c r="H11" s="112" t="n">
        <v>1</v>
      </c>
      <c r="I11" s="111" t="inlineStr">
        <is>
          <t>Corporate 1</t>
        </is>
      </c>
      <c r="J11" s="162" t="n">
        <v>1</v>
      </c>
      <c r="K11" s="114" t="inlineStr">
        <is>
          <t>Sneha Pillai</t>
        </is>
      </c>
      <c r="L11" s="114" t="inlineStr">
        <is>
          <t>Secretarial &amp; Legal</t>
        </is>
      </c>
      <c r="M11" s="118" t="inlineStr">
        <is>
          <t>Handles statutory filings, board matters, contracts and legal compliance. At A1: learning the role; all work reviewed.</t>
        </is>
      </c>
      <c r="N11" s="164" t="inlineStr">
        <is>
          <t>Handles statutory filings, board matters, contracts and legal compliance; Learning; follows worked examples; Learning tasks</t>
        </is>
      </c>
      <c r="O11" s="164" t="inlineStr">
        <is>
          <t>Learning tasks</t>
        </is>
      </c>
      <c r="P11" s="164" t="inlineStr">
        <is>
          <t>Learning tasks</t>
        </is>
      </c>
      <c r="Q11" s="164" t="inlineStr">
        <is>
          <t>Needs approval / close guidance</t>
        </is>
      </c>
      <c r="R11" s="164" t="inlineStr">
        <is>
          <t>—</t>
        </is>
      </c>
      <c r="S11" s="164" t="inlineStr">
        <is>
          <t>Secretarial · Legal</t>
        </is>
      </c>
      <c r="T11" s="164" t="inlineStr">
        <is>
          <t>—</t>
        </is>
      </c>
      <c r="U11" s="119" t="inlineStr">
        <is>
          <t>Learning the role; all work reviewed</t>
        </is>
      </c>
      <c r="V11" s="165" t="inlineStr">
        <is>
          <t>Learning; follows worked examples</t>
        </is>
      </c>
      <c r="W11" s="165" t="inlineStr">
        <is>
          <t>Needs approval / close guidance</t>
        </is>
      </c>
      <c r="X11" s="165" t="inlineStr">
        <is>
          <t>Learning tasks</t>
        </is>
      </c>
      <c r="Y11" s="165" t="inlineStr">
        <is>
          <t>Not scored in Band A</t>
        </is>
      </c>
      <c r="Z11" s="165" t="inlineStr">
        <is>
          <t>0 yrs · fresher / intern</t>
        </is>
      </c>
      <c r="AA11" s="165" t="inlineStr">
        <is>
          <t>Pursuing or completed graduation / diploma</t>
        </is>
      </c>
      <c r="AB11" s="165" t="inlineStr">
        <is>
          <t>Domain certifications · optional</t>
        </is>
      </c>
      <c r="AC11" s="165" t="inlineStr">
        <is>
          <t>No direct reports</t>
        </is>
      </c>
      <c r="AD11" s="121" t="inlineStr">
        <is>
          <t>Core 1 · Future-ready 1 · Functional 1 · Leadership —</t>
        </is>
      </c>
      <c r="AE11" s="122" t="inlineStr">
        <is>
          <t>Regulatory &amp; BFSI Domain · Stakeholder &amp; Client Management</t>
        </is>
      </c>
      <c r="AF11" s="122" t="inlineStr">
        <is>
          <t>Process Improvement &amp; Quality Mindset · Advanced Excel &amp; Productivity Tools · Communication &amp; Presentation · Time, Priority &amp; Self-Management</t>
        </is>
      </c>
      <c r="AG11" s="178" t="inlineStr">
        <is>
          <t>Entry / P1 · intern</t>
        </is>
      </c>
      <c r="AH11" s="128" t="inlineStr">
        <is>
          <t>1 Follow</t>
        </is>
      </c>
      <c r="AI11" s="179" t="inlineStr">
        <is>
          <t>IRIS Vs Competitor Benchmark — corporate services ladder: Trainee</t>
        </is>
      </c>
      <c r="AJ11" s="179" t="inlineStr">
        <is>
          <t>ICSI · Company Secretary; Companies Act 2013; IFMA · facilities; CIPS · procurement</t>
        </is>
      </c>
      <c r="AK11" s="179" t="inlineStr">
        <is>
          <t>A2 · Associate</t>
        </is>
      </c>
      <c r="AL11" s="129" t="inlineStr">
        <is>
          <t>Domain, regulatory &amp; XBRL · Broader exposure &amp; ownership</t>
        </is>
      </c>
      <c r="AM11" s="130" t="inlineStr">
        <is>
          <t>—</t>
        </is>
      </c>
      <c r="AN11" s="130" t="inlineStr">
        <is>
          <t>—</t>
        </is>
      </c>
      <c r="AO11" s="130" t="inlineStr">
        <is>
          <t>—</t>
        </is>
      </c>
      <c r="AP11" s="130" t="inlineStr">
        <is>
          <t>—</t>
        </is>
      </c>
      <c r="AQ11" s="130" t="inlineStr">
        <is>
          <t>—</t>
        </is>
      </c>
      <c r="AR11" s="131"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AS11" s="132" t="inlineStr">
        <is>
          <t>LEG01-0 · Secretarial Intern</t>
        </is>
      </c>
      <c r="AT11" s="132" t="inlineStr">
        <is>
          <r>
            <rPr>
              <rFont val="Calibri"/>
              <b val="1"/>
              <sz val="10"/>
            </rPr>
            <t>Assist with a supervised work sample:</t>
          </r>
          <r>
            <rPr>
              <rFont val="Calibri"/>
              <sz val="10"/>
            </rPr>
            <t xml:space="preserve"> maintain governance records and coordinate prescribed processes.</t>
          </r>
        </is>
      </c>
      <c r="AU11" s="132" t="inlineStr">
        <is>
          <t>Reviewed learning assignment; no independent material sign-off.</t>
        </is>
      </c>
      <c r="AV11" s="132" t="inlineStr">
        <is>
          <t>A board-cycle and compliance pack with accurate records and escalation of material issues</t>
        </is>
      </c>
      <c r="AW11" s="132" t="inlineStr">
        <is>
          <r>
            <rPr>
              <rFont val="Calibri"/>
              <b val="1"/>
              <sz val="10"/>
            </rPr>
            <t>SAP:</t>
          </r>
          <r>
            <rPr>
              <rFont val="Calibri"/>
              <sz val="10"/>
            </rPr>
            <t xml:space="preserve"> Legal counsel · Adjacent sector, related profession. Gap: Privacy counsel is not company-secretarial work; separate professional pathway retained</t>
          </r>
        </is>
      </c>
      <c r="AX11" s="133" t="inlineStr">
        <is>
          <t>Framework only · fewer than 3 answered</t>
        </is>
      </c>
      <c r="AY11" s="134" t="inlineStr">
        <is>
          <t>1 holder, 1 answered the survey; sub-family 2 answered</t>
        </is>
      </c>
    </row>
    <row r="12" ht="171" customHeight="1">
      <c r="A12" s="177" t="inlineStr">
        <is>
          <t>RC-005</t>
        </is>
      </c>
      <c r="B12" s="111" t="inlineStr">
        <is>
          <t>Administration, Legal &amp; Secretarial</t>
        </is>
      </c>
      <c r="C12" s="111" t="inlineStr">
        <is>
          <t>Company Secretarial &amp; Legal</t>
        </is>
      </c>
      <c r="D12" s="151" t="inlineStr">
        <is>
          <t>A3</t>
        </is>
      </c>
      <c r="E12" s="139" t="inlineStr">
        <is>
          <t>Senior Associate</t>
        </is>
      </c>
      <c r="F12" s="111" t="inlineStr">
        <is>
          <t>IC</t>
        </is>
      </c>
      <c r="G12" s="111" t="inlineStr">
        <is>
          <t>Senior Secretarial Executive</t>
        </is>
      </c>
      <c r="H12" s="112" t="n">
        <v>1</v>
      </c>
      <c r="I12" s="111" t="inlineStr">
        <is>
          <t>Corporate 1</t>
        </is>
      </c>
      <c r="J12" s="162" t="n">
        <v>1</v>
      </c>
      <c r="K12" s="114" t="inlineStr">
        <is>
          <t>Melita Suares</t>
        </is>
      </c>
      <c r="L12" s="114" t="inlineStr">
        <is>
          <t>Secretarial &amp; Legal</t>
        </is>
      </c>
      <c r="M12" s="118" t="inlineStr">
        <is>
          <t>Handles statutory filings, board matters, contracts and legal compliance. At A3: varied work; reviews juniors; go-to for a process.</t>
        </is>
      </c>
      <c r="N12" s="164" t="inlineStr">
        <is>
          <t>Handles statutory filings, board matters, contracts and legal compliance; Varied and non-standard work; handles exceptions; A module / process, or work with client or regulatory consequences</t>
        </is>
      </c>
      <c r="O12" s="164" t="inlineStr">
        <is>
          <t>A module / process, or work with client or regulatory consequences</t>
        </is>
      </c>
      <c r="P12" s="164" t="inlineStr">
        <is>
          <t>A module / process, or work with client or regulatory consequences</t>
        </is>
      </c>
      <c r="Q12" s="164" t="inlineStr">
        <is>
          <t>Technical / QC / client calls on own work</t>
        </is>
      </c>
      <c r="R12" s="164" t="inlineStr">
        <is>
          <t>—</t>
        </is>
      </c>
      <c r="S12" s="164" t="inlineStr">
        <is>
          <t>Secretarial · Legal</t>
        </is>
      </c>
      <c r="T12" s="164" t="inlineStr">
        <is>
          <t>—</t>
        </is>
      </c>
      <c r="U12" s="119" t="inlineStr">
        <is>
          <t>Varied work; reviews juniors; go-to for a process</t>
        </is>
      </c>
      <c r="V12" s="165" t="inlineStr">
        <is>
          <t>Varied and non-standard work; handles exceptions</t>
        </is>
      </c>
      <c r="W12" s="165" t="inlineStr">
        <is>
          <t>Technical / QC / client calls on own work</t>
        </is>
      </c>
      <c r="X12" s="165" t="inlineStr">
        <is>
          <t>A module / process, or work with client or regulatory consequences</t>
        </is>
      </c>
      <c r="Y12" s="165" t="inlineStr">
        <is>
          <t>Not scored in Band A</t>
        </is>
      </c>
      <c r="Z12" s="165" t="inlineStr">
        <is>
          <t>2–4 yrs</t>
        </is>
      </c>
      <c r="AA12" s="165" t="inlineStr">
        <is>
          <t>Graduate; relevant certification preferred</t>
        </is>
      </c>
      <c r="AB12" s="165" t="inlineStr">
        <is>
          <t>Domain certifications · optional</t>
        </is>
      </c>
      <c r="AC12" s="165" t="inlineStr">
        <is>
          <t>None · guides 1–3 juniors informally</t>
        </is>
      </c>
      <c r="AD12" s="121" t="inlineStr">
        <is>
          <t>Core 2 · Future-ready 2 · Functional 3 · Leadership —</t>
        </is>
      </c>
      <c r="AE12" s="122" t="inlineStr">
        <is>
          <t>Regulatory &amp; BFSI Domain · Stakeholder &amp; Client Management</t>
        </is>
      </c>
      <c r="AF12" s="122" t="inlineStr">
        <is>
          <t>Process Improvement &amp; Quality Mindset · Advanced Excel &amp; Productivity Tools · Communication &amp; Presentation · Time, Priority &amp; Self-Management</t>
        </is>
      </c>
      <c r="AG12" s="178" t="inlineStr">
        <is>
          <t>P2</t>
        </is>
      </c>
      <c r="AH12" s="128" t="inlineStr">
        <is>
          <t>3 Apply</t>
        </is>
      </c>
      <c r="AI12" s="179" t="inlineStr">
        <is>
          <t>IRIS Vs Competitor Benchmark — corporate services ladder: Senior Executive</t>
        </is>
      </c>
      <c r="AJ12" s="179" t="inlineStr">
        <is>
          <t>ICSI · Company Secretary; Companies Act 2013; IFMA · facilities; CIPS · procurement</t>
        </is>
      </c>
      <c r="AK12" s="179" t="inlineStr">
        <is>
          <t>B1 · Specialist</t>
        </is>
      </c>
      <c r="AL12" s="129" t="inlineStr">
        <is>
          <t>Leadership &amp; people management · Domain, regulatory &amp; XBRL · Client, sales &amp; stakeholders · Strategy &amp; business acumen · Broader exposure &amp; ownership</t>
        </is>
      </c>
      <c r="AM12" s="130" t="inlineStr">
        <is>
          <t>—</t>
        </is>
      </c>
      <c r="AN12" s="130" t="inlineStr">
        <is>
          <t>—</t>
        </is>
      </c>
      <c r="AO12" s="130" t="inlineStr">
        <is>
          <t>—</t>
        </is>
      </c>
      <c r="AP12" s="130" t="inlineStr">
        <is>
          <t>—</t>
        </is>
      </c>
      <c r="AQ12" s="130" t="inlineStr">
        <is>
          <t>—</t>
        </is>
      </c>
      <c r="AR12" s="131"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AS12" s="132" t="inlineStr">
        <is>
          <t>LEG01-2 · Governance Executive</t>
        </is>
      </c>
      <c r="AT12" s="132" t="inlineStr">
        <is>
          <t>Maintain governance records and coordinate prescribed processes.</t>
        </is>
      </c>
      <c r="AU12" s="132" t="inlineStr">
        <is>
          <t>Demonstrate routine delivery plus judgement in bounded exceptions.</t>
        </is>
      </c>
      <c r="AV12" s="132" t="inlineStr">
        <is>
          <t>A board-cycle and compliance pack with accurate records and escalation of material issues</t>
        </is>
      </c>
      <c r="AW12" s="132" t="inlineStr">
        <is>
          <r>
            <rPr>
              <rFont val="Calibri"/>
              <b val="1"/>
              <sz val="10"/>
            </rPr>
            <t>SAP:</t>
          </r>
          <r>
            <rPr>
              <rFont val="Calibri"/>
              <sz val="10"/>
            </rPr>
            <t xml:space="preserve"> Legal counsel · Adjacent sector, related profession. Gap: Privacy counsel is not company-secretarial work; separate professional pathway retained</t>
          </r>
        </is>
      </c>
      <c r="AX12" s="133" t="inlineStr">
        <is>
          <t>Framework only · fewer than 3 answered</t>
        </is>
      </c>
      <c r="AY12" s="134" t="inlineStr">
        <is>
          <t>1 holder, 1 answered the survey; sub-family 2 answered</t>
        </is>
      </c>
    </row>
    <row r="13" ht="171" customHeight="1">
      <c r="A13" s="177" t="inlineStr">
        <is>
          <t>RC-006</t>
        </is>
      </c>
      <c r="B13" s="111" t="inlineStr">
        <is>
          <t>Administration, Legal &amp; Secretarial</t>
        </is>
      </c>
      <c r="C13" s="111" t="inlineStr">
        <is>
          <t>Company Secretarial &amp; Legal</t>
        </is>
      </c>
      <c r="D13" s="180" t="inlineStr">
        <is>
          <t>C1</t>
        </is>
      </c>
      <c r="E13" s="146" t="inlineStr">
        <is>
          <t>Principal</t>
        </is>
      </c>
      <c r="F13" s="111" t="inlineStr">
        <is>
          <t>IC</t>
        </is>
      </c>
      <c r="G13" s="111" t="inlineStr">
        <is>
          <t>Company Secretary – POD Lead</t>
        </is>
      </c>
      <c r="H13" s="112" t="n">
        <v>1</v>
      </c>
      <c r="I13" s="111" t="inlineStr">
        <is>
          <t>Corporate 1</t>
        </is>
      </c>
      <c r="J13" s="162" t="n">
        <v>1</v>
      </c>
      <c r="K13" s="114" t="inlineStr">
        <is>
          <t>Santosh Sharma</t>
        </is>
      </c>
      <c r="L13" s="114" t="inlineStr">
        <is>
          <t>Secretarial &amp; Legal</t>
        </is>
      </c>
      <c r="M13" s="118" t="inlineStr">
        <is>
          <t>Handles statutory filings, board matters, contracts and legal compliance. At C1: a sub-function, or principal authority across products.</t>
        </is>
      </c>
      <c r="N13" s="164" t="inlineStr">
        <is>
          <t>Handles statutory filings, board matters, contracts and legal compliance; Ambiguous, cross-product problems; Sub-function results or domain quality across products</t>
        </is>
      </c>
      <c r="O13" s="164" t="inlineStr">
        <is>
          <t>Sub-function results or domain quality across products</t>
        </is>
      </c>
      <c r="P13" s="164" t="inlineStr">
        <is>
          <t>Sub-function results or domain quality across products</t>
        </is>
      </c>
      <c r="Q13" s="164" t="inlineStr">
        <is>
          <t>Sets direction for a sub-function or domain</t>
        </is>
      </c>
      <c r="R13" s="164" t="inlineStr">
        <is>
          <t>—</t>
        </is>
      </c>
      <c r="S13" s="164" t="inlineStr">
        <is>
          <t>Secretarial · Legal</t>
        </is>
      </c>
      <c r="T13" s="164" t="inlineStr">
        <is>
          <t>—</t>
        </is>
      </c>
      <c r="U13" s="119" t="inlineStr">
        <is>
          <t>A sub-function, or principal authority across products</t>
        </is>
      </c>
      <c r="V13" s="165" t="inlineStr">
        <is>
          <t>Ambiguous, cross-product problems</t>
        </is>
      </c>
      <c r="W13" s="165" t="inlineStr">
        <is>
          <t>Sets direction for a sub-function or domain</t>
        </is>
      </c>
      <c r="X13" s="165" t="inlineStr">
        <is>
          <t>Sub-function results or domain quality across products</t>
        </is>
      </c>
      <c r="Y13" s="165" t="inlineStr">
        <is>
          <t>Leads managers or a community of practice</t>
        </is>
      </c>
      <c r="Z13" s="165" t="inlineStr">
        <is>
          <t>10–14 yrs</t>
        </is>
      </c>
      <c r="AA13" s="165" t="inlineStr">
        <is>
          <t>Postgraduate / professional qualification preferred</t>
        </is>
      </c>
      <c r="AB13" s="165" t="inlineStr">
        <is>
          <t>Domain certifications · optional</t>
        </is>
      </c>
      <c r="AC13" s="165" t="inlineStr">
        <is>
          <t>5–8, mostly managers</t>
        </is>
      </c>
      <c r="AD13" s="121" t="inlineStr">
        <is>
          <t>Core 4 · Future-ready 4 · Functional 4 · Leadership 4</t>
        </is>
      </c>
      <c r="AE13" s="122" t="inlineStr">
        <is>
          <t>Regulatory &amp; BFSI Domain · Stakeholder &amp; Client Management</t>
        </is>
      </c>
      <c r="AF13" s="122" t="inlineStr">
        <is>
          <t>Process Improvement &amp; Quality Mindset · Advanced Excel &amp; Productivity Tools · Communication &amp; Presentation · Time, Priority &amp; Self-Management</t>
        </is>
      </c>
      <c r="AG13" s="178" t="inlineStr">
        <is>
          <t>P6 / M5</t>
        </is>
      </c>
      <c r="AH13" s="128" t="inlineStr">
        <is>
          <t>5–6</t>
        </is>
      </c>
      <c r="AI13" s="179" t="inlineStr">
        <is>
          <t>IRIS Vs Competitor Benchmark — corporate services ladder: Company Secretary</t>
        </is>
      </c>
      <c r="AJ13" s="179" t="inlineStr">
        <is>
          <t>ICSI · Company Secretary; Companies Act 2013; IFMA · facilities; CIPS · procurement</t>
        </is>
      </c>
      <c r="AK13" s="179" t="inlineStr">
        <is>
          <t>C2 · Senior Principal / Architect</t>
        </is>
      </c>
      <c r="AL13" s="129" t="inlineStr">
        <is>
          <t>—</t>
        </is>
      </c>
      <c r="AM13" s="130" t="inlineStr">
        <is>
          <t>—</t>
        </is>
      </c>
      <c r="AN13" s="130" t="inlineStr">
        <is>
          <t>—</t>
        </is>
      </c>
      <c r="AO13" s="130" t="inlineStr">
        <is>
          <t>—</t>
        </is>
      </c>
      <c r="AP13" s="130" t="inlineStr">
        <is>
          <t>—</t>
        </is>
      </c>
      <c r="AQ13" s="130" t="inlineStr">
        <is>
          <t>—</t>
        </is>
      </c>
      <c r="AR13" s="131"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AS13" s="132" t="inlineStr">
        <is>
          <t>LEG01-5 · Company Secretary · appointed role</t>
        </is>
      </c>
      <c r="AT13" s="132" t="inlineStr">
        <is>
          <t>Own the governance advisory mandate and board interface after required appointment checks, across multiple products, units or a wider professional mandate.</t>
        </is>
      </c>
      <c r="AU13" s="132" t="inlineStr">
        <is>
          <t>Sustained cross-domain mandate and evidence of enterprise-relevant decisions; not simply a new title.</t>
        </is>
      </c>
      <c r="AV13" s="132" t="inlineStr">
        <is>
          <t>A board-cycle and compliance pack with accurate records and escalation of material issues</t>
        </is>
      </c>
      <c r="AW13" s="132" t="inlineStr">
        <is>
          <r>
            <rPr>
              <rFont val="Calibri"/>
              <b val="1"/>
              <sz val="10"/>
            </rPr>
            <t>SAP:</t>
          </r>
          <r>
            <rPr>
              <rFont val="Calibri"/>
              <sz val="10"/>
            </rPr>
            <t xml:space="preserve"> Legal counsel · Adjacent sector, related profession. Gap: Privacy counsel is not company-secretarial work; separate professional pathway retained</t>
          </r>
        </is>
      </c>
      <c r="AX13" s="133" t="inlineStr">
        <is>
          <t>Framework only · fewer than 3 answered</t>
        </is>
      </c>
      <c r="AY13" s="134" t="inlineStr">
        <is>
          <t>1 holder, 0 answered the survey; sub-family 2 answered</t>
        </is>
      </c>
    </row>
    <row r="14">
      <c r="A14" s="160" t="inlineStr">
        <is>
          <t>Design &amp; Creative</t>
        </is>
      </c>
    </row>
    <row r="15" ht="106" customHeight="1">
      <c r="A15" s="177" t="inlineStr">
        <is>
          <t>RC-052</t>
        </is>
      </c>
      <c r="B15" s="111" t="inlineStr">
        <is>
          <t>Design &amp; Creative</t>
        </is>
      </c>
      <c r="C15" s="111" t="inlineStr">
        <is>
          <t>Brand, Graphic &amp; Video Design</t>
        </is>
      </c>
      <c r="D15" s="151" t="inlineStr">
        <is>
          <t>A3</t>
        </is>
      </c>
      <c r="E15" s="139" t="inlineStr">
        <is>
          <t>Senior Associate</t>
        </is>
      </c>
      <c r="F15" s="111" t="inlineStr">
        <is>
          <t>IC</t>
        </is>
      </c>
      <c r="G15" s="111" t="inlineStr">
        <is>
          <t>Senior Designer</t>
        </is>
      </c>
      <c r="H15" s="112" t="n">
        <v>2</v>
      </c>
      <c r="I15" s="111" t="inlineStr">
        <is>
          <t>CARBON 1 · Corporate 1</t>
        </is>
      </c>
      <c r="J15" s="162" t="n">
        <v>1</v>
      </c>
      <c r="K15" s="114" t="inlineStr">
        <is>
          <t>Abhishek Sharma</t>
        </is>
      </c>
      <c r="L15" s="114" t="inlineStr">
        <is>
          <t>Marketing</t>
        </is>
      </c>
      <c r="M15" s="118" t="inlineStr">
        <is>
          <r>
            <rPr>
              <rFont val="Calibri"/>
              <sz val="10"/>
            </rPr>
            <t xml:space="preserve">Creates brand assets, creatives, decks, motion graphics and video. At A3: varied work; reviews juniors; go-to for a process.
</t>
          </r>
          <r>
            <rPr>
              <rFont val="Calibri"/>
              <b val="1"/>
              <sz val="10"/>
            </rPr>
            <t>Common themes in sub-family holders, all levels' answers:</t>
          </r>
          <r>
            <rPr>
              <rFont val="Calibri"/>
              <sz val="10"/>
            </rPr>
            <t xml:space="preserve"> media · social · collaterals · designing · shobhan · reports</t>
          </r>
        </is>
      </c>
      <c r="N15" s="164" t="inlineStr">
        <is>
          <r>
            <rPr>
              <rFont val="Calibri"/>
              <sz val="10"/>
            </rPr>
            <t xml:space="preserve">Creates brand assets, creatives, decks, motion graphics and video; Varied and non-standard work; handles exceptions; A module / process, or work with client or regulatory consequences
</t>
          </r>
          <r>
            <rPr>
              <rFont val="Calibri"/>
              <b val="1"/>
              <sz val="10"/>
            </rPr>
            <t>Common themes in sub-family holders, all levels' answers:</t>
          </r>
          <r>
            <rPr>
              <rFont val="Calibri"/>
              <sz val="10"/>
            </rPr>
            <t xml:space="preserve"> sales · event · collaterals</t>
          </r>
        </is>
      </c>
      <c r="O15"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decks · assets · video · event · presentation · social</t>
          </r>
        </is>
      </c>
      <c r="P15"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visual · design · presentation · solution</t>
          </r>
        </is>
      </c>
      <c r="Q15" s="164" t="inlineStr">
        <is>
          <r>
            <rPr>
              <rFont val="Calibri"/>
              <sz val="10"/>
            </rPr>
            <t xml:space="preserve">Technical / QC / client calls on own work
</t>
          </r>
          <r>
            <rPr>
              <rFont val="Calibri"/>
              <b val="1"/>
              <sz val="10"/>
            </rPr>
            <t>Common themes in sub-family holders, all levels' answers:</t>
          </r>
          <r>
            <rPr>
              <rFont val="Calibri"/>
              <sz val="10"/>
            </rPr>
            <t xml:space="preserve"> design</t>
          </r>
        </is>
      </c>
      <c r="R15" s="164" t="inlineStr">
        <is>
          <t>—</t>
        </is>
      </c>
      <c r="S15" s="164" t="inlineStr">
        <is>
          <t>Graphic design</t>
        </is>
      </c>
      <c r="T15" s="164" t="inlineStr">
        <is>
          <t>Canva</t>
        </is>
      </c>
      <c r="U15" s="119" t="inlineStr">
        <is>
          <t>Varied work; reviews juniors; go-to for a process</t>
        </is>
      </c>
      <c r="V15" s="165" t="inlineStr">
        <is>
          <t>Varied and non-standard work; handles exceptions</t>
        </is>
      </c>
      <c r="W15" s="165" t="inlineStr">
        <is>
          <t>Technical / QC / client calls on own work</t>
        </is>
      </c>
      <c r="X15" s="165" t="inlineStr">
        <is>
          <t>A module / process, or work with client or regulatory consequences</t>
        </is>
      </c>
      <c r="Y15" s="165" t="inlineStr">
        <is>
          <t>Not scored in Band A</t>
        </is>
      </c>
      <c r="Z15" s="165" t="inlineStr">
        <is>
          <t>2–4 yrs</t>
        </is>
      </c>
      <c r="AA15" s="165" t="inlineStr">
        <is>
          <t>Graduate; relevant certification preferred</t>
        </is>
      </c>
      <c r="AB15" s="165" t="inlineStr">
        <is>
          <t>Internal product certification</t>
        </is>
      </c>
      <c r="AC15" s="165" t="inlineStr">
        <is>
          <t>None · guides 1–3 juniors informally</t>
        </is>
      </c>
      <c r="AD15" s="121" t="inlineStr">
        <is>
          <t>Core 2 · Future-ready 2 · Functional 3 · Leadership —</t>
        </is>
      </c>
      <c r="AE15" s="122" t="inlineStr">
        <is>
          <t>Product, Platform &amp; Domain Knowledge · Communication &amp; Presentation</t>
        </is>
      </c>
      <c r="AF15" s="122" t="inlineStr">
        <is>
          <t>Marketing Tech &amp; Digital Marketing · Process Improvement &amp; Quality Mindset · AI, GenAI &amp; Prompt Engineering · Stakeholder &amp; Client Management</t>
        </is>
      </c>
      <c r="AG15" s="178" t="inlineStr">
        <is>
          <t>P2</t>
        </is>
      </c>
      <c r="AH15" s="128" t="inlineStr">
        <is>
          <t>3 Apply</t>
        </is>
      </c>
      <c r="AI15" s="179" t="inlineStr">
        <is>
          <t>IRIS Vs Competitor Benchmark — UX / design ladder: Designer</t>
        </is>
      </c>
      <c r="AJ15" s="179" t="inlineStr">
        <is>
          <t>UX career ladder Junior → Designer → Senior → Lead → Principal; WCAG accessibility</t>
        </is>
      </c>
      <c r="AK15" s="179" t="inlineStr">
        <is>
          <t>B1 · Specialist</t>
        </is>
      </c>
      <c r="AL15" s="129" t="inlineStr">
        <is>
          <t>Leadership &amp; people management · Project / programme management · Strategy &amp; business acumen</t>
        </is>
      </c>
      <c r="AM15" s="130" t="inlineStr">
        <is>
          <t>Creative Workshops in the orld of AI , brand &amp; creative best practices. AI tools for design</t>
        </is>
      </c>
      <c r="AN15" s="130" t="inlineStr">
        <is>
          <t>Knowledge transfer · KT · Mentoring / guidance from seniors</t>
        </is>
      </c>
      <c r="AO15" s="130" t="inlineStr">
        <is>
          <t>No common theme</t>
        </is>
      </c>
      <c r="AP15" s="130" t="inlineStr">
        <is>
          <t>No common theme</t>
        </is>
      </c>
      <c r="AQ15" s="130" t="inlineStr">
        <is>
          <t>2 of 4 say the role is changing because of AI / automation</t>
        </is>
      </c>
      <c r="AR15" s="131" t="inlineStr">
        <is>
          <t>Shape usable experiences and visual communication. Includes: Brand creative, product design and user research. Excludes: Marketing campaign ownership; frontend implementation.</t>
        </is>
      </c>
      <c r="AS15" s="132" t="inlineStr">
        <is>
          <t>DES01-2 · Graphic / Brand Designer</t>
        </is>
      </c>
      <c r="AT15" s="132" t="inlineStr">
        <is>
          <t>Produce usable brand assets with correct production specifications.</t>
        </is>
      </c>
      <c r="AU15" s="132" t="inlineStr">
        <is>
          <t>Demonstrate routine delivery plus judgement in bounded exceptions.</t>
        </is>
      </c>
      <c r="AV15" s="132" t="inlineStr">
        <is>
          <t>A brand or creative portfolio with audience fit, design rationale and production quality</t>
        </is>
      </c>
      <c r="AW15" s="132" t="inlineStr">
        <is>
          <r>
            <rPr>
              <rFont val="Calibri"/>
              <b val="1"/>
              <sz val="10"/>
            </rPr>
            <t>Workiva:</t>
          </r>
          <r>
            <rPr>
              <rFont val="Calibri"/>
              <sz val="10"/>
            </rPr>
            <t xml:space="preserve"> Brand Graphic Design Intern, 2027 cohort · Entry only. Gap: Brand internship directly observed; product-design principal levels cannot be borrowed</t>
          </r>
        </is>
      </c>
      <c r="AX15" s="181" t="inlineStr">
        <is>
          <t>Framework + sub-family themes · 3+ answered</t>
        </is>
      </c>
      <c r="AY15" s="134" t="inlineStr">
        <is>
          <t>2 holders, 2 answered the survey; sub-family 4 answered</t>
        </is>
      </c>
    </row>
    <row r="16">
      <c r="A16" s="160" t="inlineStr">
        <is>
          <t>Engineering &amp; Development</t>
        </is>
      </c>
    </row>
    <row r="17" ht="158" customHeight="1">
      <c r="A17" s="177" t="inlineStr">
        <is>
          <t>RC-076</t>
        </is>
      </c>
      <c r="B17" s="111" t="inlineStr">
        <is>
          <t>Engineering &amp; Development</t>
        </is>
      </c>
      <c r="C17" s="111" t="inlineStr">
        <is>
          <t>DevOps &amp; Release Engineering</t>
        </is>
      </c>
      <c r="D17" s="151" t="inlineStr">
        <is>
          <t>A3</t>
        </is>
      </c>
      <c r="E17" s="139" t="inlineStr">
        <is>
          <t>Senior Associate</t>
        </is>
      </c>
      <c r="F17" s="111" t="inlineStr">
        <is>
          <t>IC</t>
        </is>
      </c>
      <c r="G17" s="111" t="inlineStr">
        <is>
          <t>Senior DevOps Engineer</t>
        </is>
      </c>
      <c r="H17" s="112" t="n">
        <v>2</v>
      </c>
      <c r="I17" s="111" t="inlineStr">
        <is>
          <t>iFile 1 · Corporate 1</t>
        </is>
      </c>
      <c r="J17" s="162" t="n">
        <v>1</v>
      </c>
      <c r="K17" s="114" t="inlineStr">
        <is>
          <t>Parthiban Thangaraj</t>
        </is>
      </c>
      <c r="L17" s="114" t="inlineStr">
        <is>
          <t>IT &amp; Infrastructure</t>
        </is>
      </c>
      <c r="M17" s="118" t="inlineStr">
        <is>
          <r>
            <rPr>
              <rFont val="Calibri"/>
              <sz val="10"/>
            </rPr>
            <t xml:space="preserve">Builds and runs CI/CD pipelines, environments, deployments and release automation. At A3: varied work; reviews juniors; go-to for a process.
</t>
          </r>
          <r>
            <rPr>
              <rFont val="Calibri"/>
              <b val="1"/>
              <sz val="10"/>
            </rPr>
            <t>Common themes in sub-family holders, all levels' answers:</t>
          </r>
          <r>
            <rPr>
              <rFont val="Calibri"/>
              <sz val="10"/>
            </rPr>
            <t xml:space="preserve"> support · devops activities</t>
          </r>
        </is>
      </c>
      <c r="N17" s="164" t="inlineStr">
        <is>
          <t>Builds and runs CI/CD pipelines, environments, deployments and release automation; Varied and non-standard work; handles exceptions; A module / process, or work with client or regulatory consequences</t>
        </is>
      </c>
      <c r="O17" s="164" t="inlineStr">
        <is>
          <t>A module / process, or work with client or regulatory consequences</t>
        </is>
      </c>
      <c r="P17"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application</t>
          </r>
        </is>
      </c>
      <c r="Q17" s="164" t="inlineStr">
        <is>
          <t>Technical / QC / client calls on own work</t>
        </is>
      </c>
      <c r="R17" s="164" t="inlineStr">
        <is>
          <t>—</t>
        </is>
      </c>
      <c r="S17" s="164" t="inlineStr">
        <is>
          <t>—</t>
        </is>
      </c>
      <c r="T17" s="164" t="inlineStr">
        <is>
          <t>—</t>
        </is>
      </c>
      <c r="U17" s="119" t="inlineStr">
        <is>
          <t>Varied work; reviews juniors; go-to for a process</t>
        </is>
      </c>
      <c r="V17" s="165" t="inlineStr">
        <is>
          <t>Varied and non-standard work; handles exceptions</t>
        </is>
      </c>
      <c r="W17" s="165" t="inlineStr">
        <is>
          <t>Technical / QC / client calls on own work</t>
        </is>
      </c>
      <c r="X17" s="165" t="inlineStr">
        <is>
          <t>A module / process, or work with client or regulatory consequences</t>
        </is>
      </c>
      <c r="Y17" s="165" t="inlineStr">
        <is>
          <t>Not scored in Band A</t>
        </is>
      </c>
      <c r="Z17" s="165" t="inlineStr">
        <is>
          <t>2–4 yrs</t>
        </is>
      </c>
      <c r="AA17" s="165" t="inlineStr">
        <is>
          <t>Graduate; relevant certification preferred</t>
        </is>
      </c>
      <c r="AB17" s="165" t="inlineStr">
        <is>
          <t>Cloud / language certifications · optional; AWS / Azure architect · optional</t>
        </is>
      </c>
      <c r="AC17" s="165" t="inlineStr">
        <is>
          <t>None · guides 1–3 juniors informally</t>
        </is>
      </c>
      <c r="AD17" s="121" t="inlineStr">
        <is>
          <t>Core 2 · Future-ready 2 · Functional 3 · Leadership —</t>
        </is>
      </c>
      <c r="AE17" s="122" t="inlineStr">
        <is>
          <t>Programming &amp; Tech-Stack Depth · System Design &amp; Architecture</t>
        </is>
      </c>
      <c r="AF17" s="122" t="inlineStr">
        <is>
          <t>Database, SQL &amp; Data Engineering · Cloud, DevOps &amp; CI/CD · AI, GenAI &amp; Prompt Engineering · Product, Platform &amp; Domain Knowledge</t>
        </is>
      </c>
      <c r="AG17" s="178" t="inlineStr">
        <is>
          <t>P2</t>
        </is>
      </c>
      <c r="AH17" s="128" t="inlineStr">
        <is>
          <t>3 Apply</t>
        </is>
      </c>
      <c r="AI17" s="179" t="inlineStr">
        <is>
          <r>
            <rPr>
              <rFont val="Calibri"/>
              <b val="1"/>
              <sz val="10"/>
            </rPr>
            <t>Workiva:</t>
          </r>
          <r>
            <rPr>
              <rFont val="Calibri"/>
              <sz val="10"/>
            </rPr>
            <t xml:space="preserve"> SE · Broadridge India: SE · Nasdaq / AxiomSL: SE · Salesforce: MTS</t>
          </r>
        </is>
      </c>
      <c r="AJ17" s="179" t="inlineStr">
        <is>
          <t>SFIA 9 · software development, programming; OWASP secure coding; cloud vendor certifications</t>
        </is>
      </c>
      <c r="AK17" s="179" t="inlineStr">
        <is>
          <t>B1 · Specialist</t>
        </is>
      </c>
      <c r="AL17" s="129" t="inlineStr">
        <is>
          <t>Technical depth &amp; architecture · Product &amp; tool knowledge · AI / automation</t>
        </is>
      </c>
      <c r="AM17" s="130" t="inlineStr">
        <is>
          <t>Advanced Software Deployment;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AN17" s="130" t="inlineStr">
        <is>
          <t>On-the-job / hands-on · Mentoring / guidance from seniors</t>
        </is>
      </c>
      <c r="AO17" s="130" t="inlineStr">
        <is>
          <t>No common theme</t>
        </is>
      </c>
      <c r="AP17" s="130" t="inlineStr">
        <is>
          <t>No common theme</t>
        </is>
      </c>
      <c r="AQ17" s="130" t="inlineStr">
        <is>
          <t>1 of 3 say the role is changing because of AI / automation</t>
        </is>
      </c>
      <c r="AR17" s="131" t="inlineStr">
        <is>
          <t>Build and operate software capabilities. Includes: Application code, data/ML engineering and product reliability. Excludes: Product investment decisions; internal IT service desk.</t>
        </is>
      </c>
      <c r="AS17" s="132" t="inlineStr">
        <is>
          <t>ENG07-2 · DevOps Engineer / Release Engineer</t>
        </is>
      </c>
      <c r="AT17" s="132" t="inlineStr">
        <is>
          <t>Run repeatable releases with tested rollback procedures.</t>
        </is>
      </c>
      <c r="AU17" s="132" t="inlineStr">
        <is>
          <t>Demonstrate routine delivery plus judgement in bounded exceptions.</t>
        </is>
      </c>
      <c r="AV17" s="132" t="inlineStr">
        <is>
          <t>A reproducible release pipeline with security gates, rollback and reliability measures</t>
        </is>
      </c>
      <c r="AW17" s="132" t="inlineStr">
        <is>
          <r>
            <rPr>
              <rFont val="Calibri"/>
              <b val="1"/>
              <sz val="10"/>
            </rPr>
            <t>Regnology:</t>
          </r>
          <r>
            <rPr>
              <rFont val="Calibri"/>
              <sz val="10"/>
            </rPr>
            <t xml:space="preserve"> Release Engineer, Pune · Selected role. Gap: Strong release scope; DevOps and platform extensions remain design choices</t>
          </r>
        </is>
      </c>
      <c r="AX17" s="181" t="inlineStr">
        <is>
          <t>Framework + sub-family themes · 3+ answered</t>
        </is>
      </c>
      <c r="AY17" s="134" t="inlineStr">
        <is>
          <t>2 holders, 2 answered the survey; sub-family 3 answered</t>
        </is>
      </c>
    </row>
    <row r="18">
      <c r="A18" s="160" t="inlineStr">
        <is>
          <t>Executive Leadership</t>
        </is>
      </c>
    </row>
    <row r="19" ht="80" customHeight="1">
      <c r="A19" s="177" t="inlineStr">
        <is>
          <t>RC-092</t>
        </is>
      </c>
      <c r="B19" s="111" t="inlineStr">
        <is>
          <t>Executive Leadership</t>
        </is>
      </c>
      <c r="C19" s="111" t="inlineStr">
        <is>
          <t>Enterprise Leadership</t>
        </is>
      </c>
      <c r="D19" s="182" t="inlineStr">
        <is>
          <t>E1</t>
        </is>
      </c>
      <c r="E19" s="145" t="inlineStr">
        <is>
          <t>CXO / President</t>
        </is>
      </c>
      <c r="F19" s="111" t="inlineStr">
        <is>
          <t>Manager</t>
        </is>
      </c>
      <c r="G19" s="111" t="inlineStr">
        <is>
          <t>Chief Revenue Officer · Chief Financial Officer · Chief Operating Officer · Chief Technology Officer</t>
        </is>
      </c>
      <c r="H19" s="112" t="n">
        <v>4</v>
      </c>
      <c r="I19" s="111" t="inlineStr">
        <is>
          <t>Corporate 3 · CARBON 1</t>
        </is>
      </c>
      <c r="J19" s="162" t="n">
        <v>3</v>
      </c>
      <c r="K19" s="114" t="inlineStr">
        <is>
          <t>Deepta Rangarajan, P K X Thomas, Vineet Kandoi</t>
        </is>
      </c>
      <c r="L19" s="114" t="inlineStr">
        <is>
          <t>Finance · Management · Technology</t>
        </is>
      </c>
      <c r="M19" s="118" t="inlineStr">
        <is>
          <t>Sets enterprise strategy; leads the executive team. At E1: an enterprise-wide function.</t>
        </is>
      </c>
      <c r="N19" s="164" t="inlineStr">
        <is>
          <t>Sets enterprise strategy; leads the executive team; Enterprise-level functional strategy; Enterprise-wide functional results</t>
        </is>
      </c>
      <c r="O19" s="164" t="inlineStr">
        <is>
          <t>Enterprise-wide functional results</t>
        </is>
      </c>
      <c r="P19" s="164" t="inlineStr">
        <is>
          <t>Enterprise-wide functional results</t>
        </is>
      </c>
      <c r="Q19" s="164" t="inlineStr">
        <is>
          <t>Sets enterprise priorities for the function</t>
        </is>
      </c>
      <c r="R19" s="164" t="inlineStr">
        <is>
          <t>—</t>
        </is>
      </c>
      <c r="S19" s="164" t="inlineStr">
        <is>
          <t>Management · Sales</t>
        </is>
      </c>
      <c r="T19" s="164" t="inlineStr">
        <is>
          <t>—</t>
        </is>
      </c>
      <c r="U19" s="119" t="inlineStr">
        <is>
          <t>An enterprise-wide function</t>
        </is>
      </c>
      <c r="V19" s="165" t="inlineStr">
        <is>
          <t>Enterprise-level functional strategy</t>
        </is>
      </c>
      <c r="W19" s="165" t="inlineStr">
        <is>
          <t>Sets enterprise priorities for the function</t>
        </is>
      </c>
      <c r="X19" s="165" t="inlineStr">
        <is>
          <t>Enterprise-wide functional results</t>
        </is>
      </c>
      <c r="Y19" s="165" t="inlineStr">
        <is>
          <t>Shapes enterprise strategy</t>
        </is>
      </c>
      <c r="Z19" s="165" t="inlineStr">
        <is>
          <t>20+ yrs</t>
        </is>
      </c>
      <c r="AA19" s="165" t="inlineStr">
        <is>
          <t>Postgraduate / professional qualification; business leadership record</t>
        </is>
      </c>
      <c r="AB19" s="165" t="inlineStr">
        <is>
          <t>MBA / PGDM · preferred at C+</t>
        </is>
      </c>
      <c r="AC19" s="165" t="inlineStr">
        <is>
          <t>5–8 function heads</t>
        </is>
      </c>
      <c r="AD19" s="121" t="inlineStr">
        <is>
          <t>Core 5 · Future-ready 5 · Functional 4 · Leadership 5</t>
        </is>
      </c>
      <c r="AE19" s="122" t="inlineStr">
        <is>
          <t>Strategic Thinking &amp; Business Acumen · People Leadership &amp; Mentoring</t>
        </is>
      </c>
      <c r="AF19" s="122" t="inlineStr">
        <is>
          <t>Stakeholder &amp; Client Management · Product, Platform &amp; Domain Knowledge · Regulatory &amp; BFSI Domain · Communication &amp; Presentation</t>
        </is>
      </c>
      <c r="AG19" s="178" t="inlineStr">
        <is>
          <t>E5</t>
        </is>
      </c>
      <c r="AH19" s="128" t="inlineStr">
        <is>
          <t>7</t>
        </is>
      </c>
      <c r="AI19" s="179" t="inlineStr">
        <is>
          <t>IRIS Vs Market Benchmark — Aon Radford / Mercer executive codes: E5 C-level · functional · IRIS Vs Competitor Benchmark — regtech / SaaS executive titles: CTO · CFO · CRO · CCO · COO</t>
        </is>
      </c>
      <c r="AJ19" s="179" t="inlineStr">
        <is>
          <t>Aon Radford executive levels E1–E6; Mercer ET1–ET3; Korn Ferry Leadership Architect</t>
        </is>
      </c>
      <c r="AK19" s="179" t="inlineStr">
        <is>
          <t>E2 · —</t>
        </is>
      </c>
      <c r="AL19" s="129" t="inlineStr">
        <is>
          <t>—</t>
        </is>
      </c>
      <c r="AM19" s="130" t="inlineStr">
        <is>
          <t>—</t>
        </is>
      </c>
      <c r="AN19" s="130" t="inlineStr">
        <is>
          <t>—</t>
        </is>
      </c>
      <c r="AO19" s="130" t="inlineStr">
        <is>
          <t>—</t>
        </is>
      </c>
      <c r="AP19" s="130" t="inlineStr">
        <is>
          <t>—</t>
        </is>
      </c>
      <c r="AQ19" s="130" t="inlineStr">
        <is>
          <t>—</t>
        </is>
      </c>
      <c r="AR19" s="131" t="inlineStr">
        <is>
          <t>Integrate enterprise or business outcomes. Includes: Business-unit, enterprise and exceptional expert mandates. Excludes: A generic promotion destination without a new accountable role.</t>
        </is>
      </c>
      <c r="AS19" s="132" t="inlineStr">
        <is>
          <t>EX02 · President / Chief Operating Officer</t>
        </is>
      </c>
      <c r="AT19" s="132" t="inlineStr">
        <is>
          <t>Own enterprise operating strategy and cross-functional resource trade-offs</t>
        </is>
      </c>
      <c r="AU19" s="132" t="inlineStr">
        <is>
          <t>CEO, president and COO are alternative mandates; no compulsory intermediate title.</t>
        </is>
      </c>
      <c r="AV19" s="132" t="inlineStr">
        <is>
          <t>—</t>
        </is>
      </c>
      <c r="AW19" s="132" t="inlineStr">
        <is>
          <t>—</t>
        </is>
      </c>
      <c r="AX19" s="133" t="inlineStr">
        <is>
          <t>Framework only · fewer than 3 answered</t>
        </is>
      </c>
      <c r="AY19" s="134" t="inlineStr">
        <is>
          <t>4 holders, 0 answered the survey; sub-family 0 answered</t>
        </is>
      </c>
    </row>
    <row r="20" ht="80" customHeight="1">
      <c r="A20" s="177" t="inlineStr">
        <is>
          <t>RC-093</t>
        </is>
      </c>
      <c r="B20" s="111" t="inlineStr">
        <is>
          <t>Executive Leadership</t>
        </is>
      </c>
      <c r="C20" s="111" t="inlineStr">
        <is>
          <t>Enterprise Leadership</t>
        </is>
      </c>
      <c r="D20" s="182" t="inlineStr">
        <is>
          <t>E2</t>
        </is>
      </c>
      <c r="E20" s="145" t="inlineStr">
        <is>
          <t>Chief Executive Officer</t>
        </is>
      </c>
      <c r="F20" s="111" t="inlineStr">
        <is>
          <t>Manager</t>
        </is>
      </c>
      <c r="G20" s="111" t="inlineStr">
        <is>
          <t>Chief Executive Officer</t>
        </is>
      </c>
      <c r="H20" s="112" t="n">
        <v>1</v>
      </c>
      <c r="I20" s="111" t="inlineStr">
        <is>
          <t>Corporate 1</t>
        </is>
      </c>
      <c r="J20" s="162" t="n">
        <v>1</v>
      </c>
      <c r="K20" s="114" t="inlineStr">
        <is>
          <t>Balachandran K</t>
        </is>
      </c>
      <c r="L20" s="114" t="inlineStr">
        <is>
          <t>Management</t>
        </is>
      </c>
      <c r="M20" s="118" t="inlineStr">
        <is>
          <t>Sets enterprise strategy; leads the executive team. At E2: the enterprise.</t>
        </is>
      </c>
      <c r="N20" s="164" t="inlineStr">
        <is>
          <t>Sets enterprise strategy; leads the executive team; Enterprise-wide uncertainty, transformation and external forces; Enterprise results, risk, culture and long-term viability</t>
        </is>
      </c>
      <c r="O20" s="164" t="inlineStr">
        <is>
          <t>Enterprise results, risk, culture and long-term viability</t>
        </is>
      </c>
      <c r="P20" s="164" t="inlineStr">
        <is>
          <t>Enterprise results, risk, culture and long-term viability</t>
        </is>
      </c>
      <c r="Q20" s="164" t="inlineStr">
        <is>
          <t>Accountable to the board</t>
        </is>
      </c>
      <c r="R20" s="164" t="inlineStr">
        <is>
          <t>—</t>
        </is>
      </c>
      <c r="S20" s="164" t="inlineStr">
        <is>
          <t>Management · Sales</t>
        </is>
      </c>
      <c r="T20" s="164" t="inlineStr">
        <is>
          <t>—</t>
        </is>
      </c>
      <c r="U20" s="119" t="inlineStr">
        <is>
          <t>The enterprise</t>
        </is>
      </c>
      <c r="V20" s="165" t="inlineStr">
        <is>
          <t>Enterprise-wide uncertainty, transformation and external forces</t>
        </is>
      </c>
      <c r="W20" s="165" t="inlineStr">
        <is>
          <t>Accountable to the board</t>
        </is>
      </c>
      <c r="X20" s="165" t="inlineStr">
        <is>
          <t>Enterprise results, risk, culture and long-term viability</t>
        </is>
      </c>
      <c r="Y20" s="165" t="inlineStr">
        <is>
          <t>Sets enterprise strategy; leads the executive team</t>
        </is>
      </c>
      <c r="Z20" s="165" t="inlineStr">
        <is>
          <t>20+ yrs</t>
        </is>
      </c>
      <c r="AA20" s="165" t="inlineStr">
        <is>
          <t>Postgraduate / professional qualification; proven business leadership</t>
        </is>
      </c>
      <c r="AB20" s="165" t="inlineStr">
        <is>
          <t>MBA / PGDM · preferred at C+</t>
        </is>
      </c>
      <c r="AC20" s="165" t="inlineStr">
        <is>
          <t>Executive team</t>
        </is>
      </c>
      <c r="AD20" s="121" t="inlineStr">
        <is>
          <t>Core 5 · Future-ready 5 · Functional 4 · Leadership 5</t>
        </is>
      </c>
      <c r="AE20" s="122" t="inlineStr">
        <is>
          <t>Strategic Thinking &amp; Business Acumen · People Leadership &amp; Mentoring</t>
        </is>
      </c>
      <c r="AF20" s="122" t="inlineStr">
        <is>
          <t>Stakeholder &amp; Client Management · Product, Platform &amp; Domain Knowledge · Regulatory &amp; BFSI Domain · Communication &amp; Presentation</t>
        </is>
      </c>
      <c r="AG20" s="178" t="inlineStr">
        <is>
          <t>E6</t>
        </is>
      </c>
      <c r="AH20" s="128" t="inlineStr">
        <is>
          <t>7</t>
        </is>
      </c>
      <c r="AI20" s="179" t="inlineStr">
        <is>
          <t>IRIS Vs Market Benchmark — Aon Radford / Mercer executive codes: E6 CEO · IRIS Vs Competitor Benchmark — regtech / SaaS executive titles: CEO</t>
        </is>
      </c>
      <c r="AJ20" s="179" t="inlineStr">
        <is>
          <t>Aon Radford executive levels E1–E6; Mercer ET1–ET3; Korn Ferry Leadership Architect</t>
        </is>
      </c>
      <c r="AK20" s="179" t="inlineStr">
        <is>
          <t>—</t>
        </is>
      </c>
      <c r="AL20" s="129" t="inlineStr">
        <is>
          <t>—</t>
        </is>
      </c>
      <c r="AM20" s="130" t="inlineStr">
        <is>
          <t>—</t>
        </is>
      </c>
      <c r="AN20" s="130" t="inlineStr">
        <is>
          <t>—</t>
        </is>
      </c>
      <c r="AO20" s="130" t="inlineStr">
        <is>
          <t>—</t>
        </is>
      </c>
      <c r="AP20" s="130" t="inlineStr">
        <is>
          <t>—</t>
        </is>
      </c>
      <c r="AQ20" s="130" t="inlineStr">
        <is>
          <t>—</t>
        </is>
      </c>
      <c r="AR20" s="131" t="inlineStr">
        <is>
          <t>Integrate enterprise or business outcomes. Includes: Business-unit, enterprise and exceptional expert mandates. Excludes: A generic promotion destination without a new accountable role.</t>
        </is>
      </c>
      <c r="AS20" s="132" t="inlineStr">
        <is>
          <t>EX03 · Chief Executive Officer / Managing Director</t>
        </is>
      </c>
      <c r="AT20" s="132" t="inlineStr">
        <is>
          <t>Own enterprise direction and outcomes under governing-body authority</t>
        </is>
      </c>
      <c r="AU20" s="132" t="inlineStr">
        <is>
          <t>The highest organisational office is not automatically the largest market job. Scale determines job size. Board roles are outside the employee ladder.</t>
        </is>
      </c>
      <c r="AV20" s="132" t="inlineStr">
        <is>
          <t>—</t>
        </is>
      </c>
      <c r="AW20" s="132" t="inlineStr">
        <is>
          <t>—</t>
        </is>
      </c>
      <c r="AX20" s="133" t="inlineStr">
        <is>
          <t>Framework only · fewer than 3 answered</t>
        </is>
      </c>
      <c r="AY20" s="134" t="inlineStr">
        <is>
          <t>1 holder, 0 answered the survey; sub-family 0 answered</t>
        </is>
      </c>
    </row>
    <row r="21">
      <c r="A21" s="160" t="inlineStr">
        <is>
          <t>Finance &amp; Accounts</t>
        </is>
      </c>
    </row>
    <row r="22" ht="106" customHeight="1">
      <c r="A22" s="177" t="inlineStr">
        <is>
          <t>RC-095</t>
        </is>
      </c>
      <c r="B22" s="111" t="inlineStr">
        <is>
          <t>Finance &amp; Accounts</t>
        </is>
      </c>
      <c r="C22" s="111" t="inlineStr">
        <is>
          <t>Accounting &amp; Transaction Processing</t>
        </is>
      </c>
      <c r="D22" s="151" t="inlineStr">
        <is>
          <t>A3</t>
        </is>
      </c>
      <c r="E22" s="139" t="inlineStr">
        <is>
          <t>Senior Associate</t>
        </is>
      </c>
      <c r="F22" s="111" t="inlineStr">
        <is>
          <t>IC</t>
        </is>
      </c>
      <c r="G22" s="111" t="inlineStr">
        <is>
          <t>Senior Accounts Executive</t>
        </is>
      </c>
      <c r="H22" s="112" t="n">
        <v>2</v>
      </c>
      <c r="I22" s="111" t="inlineStr">
        <is>
          <t>Corporate 2</t>
        </is>
      </c>
      <c r="J22" s="162" t="n">
        <v>2</v>
      </c>
      <c r="K22" s="114" t="inlineStr">
        <is>
          <t>Bhushan Kashid, Riddhi Narkar</t>
        </is>
      </c>
      <c r="L22" s="114" t="inlineStr">
        <is>
          <t>Finance</t>
        </is>
      </c>
      <c r="M22" s="118" t="inlineStr">
        <is>
          <r>
            <rPr>
              <rFont val="Calibri"/>
              <sz val="10"/>
            </rPr>
            <t xml:space="preserve">Processes payments, entries and reconciliations. At A3: varied work; reviews juniors; go-to for a process.
</t>
          </r>
          <r>
            <rPr>
              <rFont val="Calibri"/>
              <b val="1"/>
              <sz val="10"/>
            </rPr>
            <t>Common themes in sub-family holders, all levels' answers:</t>
          </r>
          <r>
            <rPr>
              <rFont val="Calibri"/>
              <sz val="10"/>
            </rPr>
            <t xml:space="preserve"> compliance · reporting · bank</t>
          </r>
        </is>
      </c>
      <c r="N22" s="164" t="inlineStr">
        <is>
          <r>
            <rPr>
              <rFont val="Calibri"/>
              <sz val="10"/>
            </rPr>
            <t xml:space="preserve">Processes payments, entries and reconciliations; Varied and non-standard work; handles exceptions; A module / process, or work with client or regulatory consequences
</t>
          </r>
          <r>
            <rPr>
              <rFont val="Calibri"/>
              <b val="1"/>
              <sz val="10"/>
            </rPr>
            <t>Common themes in sub-family holders, all levels' answers:</t>
          </r>
          <r>
            <rPr>
              <rFont val="Calibri"/>
              <sz val="10"/>
            </rPr>
            <t xml:space="preserve"> bank · employee · compliance · gst · sales · creation</t>
          </r>
        </is>
      </c>
      <c r="O22"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timely</t>
          </r>
        </is>
      </c>
      <c r="P22"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bank</t>
          </r>
        </is>
      </c>
      <c r="Q22" s="164" t="inlineStr">
        <is>
          <r>
            <rPr>
              <rFont val="Calibri"/>
              <sz val="10"/>
            </rPr>
            <t xml:space="preserve">Technical / QC / client calls on own work
</t>
          </r>
          <r>
            <rPr>
              <rFont val="Calibri"/>
              <b val="1"/>
              <sz val="10"/>
            </rPr>
            <t>Common themes in sub-family holders, all levels' answers:</t>
          </r>
          <r>
            <rPr>
              <rFont val="Calibri"/>
              <sz val="10"/>
            </rPr>
            <t xml:space="preserve"> compliance</t>
          </r>
        </is>
      </c>
      <c r="R22" s="164" t="inlineStr">
        <is>
          <t>—</t>
        </is>
      </c>
      <c r="S22" s="164" t="inlineStr">
        <is>
          <t>accounting</t>
        </is>
      </c>
      <c r="T22" s="164" t="inlineStr">
        <is>
          <t>—</t>
        </is>
      </c>
      <c r="U22" s="119" t="inlineStr">
        <is>
          <t>Varied work; reviews juniors; go-to for a process</t>
        </is>
      </c>
      <c r="V22" s="165" t="inlineStr">
        <is>
          <t>Varied and non-standard work; handles exceptions</t>
        </is>
      </c>
      <c r="W22" s="165" t="inlineStr">
        <is>
          <t>Technical / QC / client calls on own work</t>
        </is>
      </c>
      <c r="X22" s="165" t="inlineStr">
        <is>
          <t>A module / process, or work with client or regulatory consequences</t>
        </is>
      </c>
      <c r="Y22" s="165" t="inlineStr">
        <is>
          <t>Not scored in Band A</t>
        </is>
      </c>
      <c r="Z22" s="165" t="inlineStr">
        <is>
          <t>2–4 yrs</t>
        </is>
      </c>
      <c r="AA22" s="165" t="inlineStr">
        <is>
          <t>Graduate; relevant certification preferred</t>
        </is>
      </c>
      <c r="AB22" s="165" t="inlineStr">
        <is>
          <t>CA / CMA / ACCA / CFA / IFRS certificate; MOS Excel · optional</t>
        </is>
      </c>
      <c r="AC22" s="165" t="inlineStr">
        <is>
          <t>None · guides 1–3 juniors informally</t>
        </is>
      </c>
      <c r="AD22" s="121" t="inlineStr">
        <is>
          <t>Core 2 · Future-ready 2 · Functional 3 · Leadership —</t>
        </is>
      </c>
      <c r="AE22" s="122" t="inlineStr">
        <is>
          <t>Accounting &amp; Reporting Standards · IFRS/US GAAP · Advanced Excel &amp; Productivity Tools</t>
        </is>
      </c>
      <c r="AF22" s="122" t="inlineStr">
        <is>
          <t>Regulatory &amp; BFSI Domain · Data Analytics, BI &amp; Visualisation · Process Improvement &amp; Quality Mindset · Strategic Thinking &amp; Business Acumen</t>
        </is>
      </c>
      <c r="AG22" s="178" t="inlineStr">
        <is>
          <t>P2</t>
        </is>
      </c>
      <c r="AH22" s="128" t="inlineStr">
        <is>
          <t>3 Apply</t>
        </is>
      </c>
      <c r="AI22" s="179" t="inlineStr">
        <is>
          <r>
            <rPr>
              <rFont val="Calibri"/>
              <b val="1"/>
              <sz val="10"/>
            </rPr>
            <t>Atlassian company-wide P-levels:</t>
          </r>
          <r>
            <rPr>
              <rFont val="Calibri"/>
              <sz val="10"/>
            </rPr>
            <t xml:space="preserve"> P40 · IRIS Vs Competitor Benchmark — finance ladder: Senior Accountant</t>
          </r>
        </is>
      </c>
      <c r="AJ22" s="179" t="inlineStr">
        <is>
          <t>IMA Management Accounting Competency Framework; ICAI / CA; Ind AS</t>
        </is>
      </c>
      <c r="AK22" s="179" t="inlineStr">
        <is>
          <t>B1 · Specialist</t>
        </is>
      </c>
      <c r="AL22" s="129" t="inlineStr">
        <is>
          <t>Domain, regulatory &amp; XBRL · Broader exposure &amp; ownership</t>
        </is>
      </c>
      <c r="AM22" s="130" t="inlineStr">
        <is>
          <t>—</t>
        </is>
      </c>
      <c r="AN22" s="130" t="inlineStr">
        <is>
          <t>Mentoring / guidance from seniors · On-the-job / hands-on · Online courses / self-learning · Formal / classroom training</t>
        </is>
      </c>
      <c r="AO22" s="130" t="inlineStr">
        <is>
          <t>details</t>
        </is>
      </c>
      <c r="AP22" s="130" t="inlineStr">
        <is>
          <t>timely</t>
        </is>
      </c>
      <c r="AQ22" s="130" t="inlineStr">
        <is>
          <t>3 of 4 say the role is changing because of AI / automation</t>
        </is>
      </c>
      <c r="AR22" s="131" t="inlineStr">
        <is>
          <t>Steward financial reporting, resources and controls. Includes: Accounting, reporting, FP&amp;A, tax and treasury. Excludes: Independent internal audit; client financial-data production.</t>
        </is>
      </c>
      <c r="AS22" s="132" t="inlineStr">
        <is>
          <t>FIN02-2 · Accountant</t>
        </is>
      </c>
      <c r="AT22" s="132" t="inlineStr">
        <is>
          <t>Process transactions and reconcile ledgers with exception logs.</t>
        </is>
      </c>
      <c r="AU22" s="132" t="inlineStr">
        <is>
          <t>Demonstrate routine delivery plus judgement in bounded exceptions.</t>
        </is>
      </c>
      <c r="AV22" s="132" t="inlineStr">
        <is>
          <t>A reconciled ledger and controlled transaction cycle with resolved exceptions</t>
        </is>
      </c>
      <c r="AW22" s="132" t="inlineStr">
        <is>
          <r>
            <rPr>
              <rFont val="Calibri"/>
              <b val="1"/>
              <sz val="10"/>
            </rPr>
            <t>Thomson Reuters:</t>
          </r>
          <r>
            <rPr>
              <rFont val="Calibri"/>
              <sz val="10"/>
            </rPr>
            <t xml:space="preserve"> Senior accountant · Adjacent sector, title only. Gap: Dynamic employer page could not be refreshed; only the recorded title is retained</t>
          </r>
        </is>
      </c>
      <c r="AX22" s="181" t="inlineStr">
        <is>
          <t>Framework + sub-family themes · 3+ answered</t>
        </is>
      </c>
      <c r="AY22" s="134" t="inlineStr">
        <is>
          <t>2 holders, 2 answered the survey; sub-family 4 answered</t>
        </is>
      </c>
    </row>
    <row r="23" ht="93" customHeight="1">
      <c r="A23" s="177" t="inlineStr">
        <is>
          <t>RC-096</t>
        </is>
      </c>
      <c r="B23" s="111" t="inlineStr">
        <is>
          <t>Finance &amp; Accounts</t>
        </is>
      </c>
      <c r="C23" s="111" t="inlineStr">
        <is>
          <t>Accounting &amp; Transaction Processing</t>
        </is>
      </c>
      <c r="D23" s="150" t="inlineStr">
        <is>
          <t>B1</t>
        </is>
      </c>
      <c r="E23" s="21" t="inlineStr">
        <is>
          <t>Specialist</t>
        </is>
      </c>
      <c r="F23" s="111" t="inlineStr">
        <is>
          <t>IC</t>
        </is>
      </c>
      <c r="G23" s="111" t="inlineStr">
        <is>
          <t>Accounts Specialist – POD Lead</t>
        </is>
      </c>
      <c r="H23" s="112" t="n">
        <v>2</v>
      </c>
      <c r="I23" s="111" t="inlineStr">
        <is>
          <t>Corporate 2</t>
        </is>
      </c>
      <c r="J23" s="162" t="n">
        <v>2</v>
      </c>
      <c r="K23" s="114" t="inlineStr">
        <is>
          <t>Anita Chavan, Gaurangee Gaurav Tawde</t>
        </is>
      </c>
      <c r="L23" s="114" t="inlineStr">
        <is>
          <t>Finance</t>
        </is>
      </c>
      <c r="M23" s="118" t="inlineStr">
        <is>
          <r>
            <rPr>
              <rFont val="Calibri"/>
              <sz val="10"/>
            </rPr>
            <t xml:space="preserve">Processes payments, entries and reconciliations. At B1: a domain / module, or a small team.
</t>
          </r>
          <r>
            <rPr>
              <rFont val="Calibri"/>
              <b val="1"/>
              <sz val="10"/>
            </rPr>
            <t>Common themes in sub-family holders, all levels' answers:</t>
          </r>
          <r>
            <rPr>
              <rFont val="Calibri"/>
              <sz val="10"/>
            </rPr>
            <t xml:space="preserve"> compliance · reporting · bank</t>
          </r>
        </is>
      </c>
      <c r="N23" s="164" t="inlineStr">
        <is>
          <r>
            <rPr>
              <rFont val="Calibri"/>
              <sz val="10"/>
            </rPr>
            <t xml:space="preserve">Processes payments, entries and reconciliations; Domain specialist work; A domain or a small team
</t>
          </r>
          <r>
            <rPr>
              <rFont val="Calibri"/>
              <b val="1"/>
              <sz val="10"/>
            </rPr>
            <t>Common themes in sub-family holders, all levels' answers:</t>
          </r>
          <r>
            <rPr>
              <rFont val="Calibri"/>
              <sz val="10"/>
            </rPr>
            <t xml:space="preserve"> bank · employee · compliance · gst · sales · creation</t>
          </r>
        </is>
      </c>
      <c r="O23" s="164" t="inlineStr">
        <is>
          <r>
            <rPr>
              <rFont val="Calibri"/>
              <sz val="10"/>
            </rPr>
            <t xml:space="preserve">A domain or a small team
</t>
          </r>
          <r>
            <rPr>
              <rFont val="Calibri"/>
              <b val="1"/>
              <sz val="10"/>
            </rPr>
            <t>Common themes in sub-family holders, all levels' answers:</t>
          </r>
          <r>
            <rPr>
              <rFont val="Calibri"/>
              <sz val="10"/>
            </rPr>
            <t xml:space="preserve"> timely</t>
          </r>
        </is>
      </c>
      <c r="P23" s="164" t="inlineStr">
        <is>
          <r>
            <rPr>
              <rFont val="Calibri"/>
              <sz val="10"/>
            </rPr>
            <t xml:space="preserve">A domain or a small team
</t>
          </r>
          <r>
            <rPr>
              <rFont val="Calibri"/>
              <b val="1"/>
              <sz val="10"/>
            </rPr>
            <t>Common themes in sub-family holders, all levels' answers:</t>
          </r>
          <r>
            <rPr>
              <rFont val="Calibri"/>
              <sz val="10"/>
            </rPr>
            <t xml:space="preserve"> bank</t>
          </r>
        </is>
      </c>
      <c r="Q23" s="164" t="inlineStr">
        <is>
          <r>
            <rPr>
              <rFont val="Calibri"/>
              <sz val="10"/>
            </rPr>
            <t xml:space="preserve">Technical / QC / client calls for the domain
</t>
          </r>
          <r>
            <rPr>
              <rFont val="Calibri"/>
              <b val="1"/>
              <sz val="10"/>
            </rPr>
            <t>Common themes in sub-family holders, all levels' answers:</t>
          </r>
          <r>
            <rPr>
              <rFont val="Calibri"/>
              <sz val="10"/>
            </rPr>
            <t xml:space="preserve"> compliance</t>
          </r>
        </is>
      </c>
      <c r="R23" s="164" t="inlineStr">
        <is>
          <t>—</t>
        </is>
      </c>
      <c r="S23" s="164" t="inlineStr">
        <is>
          <t>accounting</t>
        </is>
      </c>
      <c r="T23" s="164" t="inlineStr">
        <is>
          <t>—</t>
        </is>
      </c>
      <c r="U23" s="119" t="inlineStr">
        <is>
          <t>A domain / module, or a small team</t>
        </is>
      </c>
      <c r="V23" s="165" t="inlineStr">
        <is>
          <t>Domain specialist work</t>
        </is>
      </c>
      <c r="W23" s="165" t="inlineStr">
        <is>
          <t>Technical / QC / client calls for the domain</t>
        </is>
      </c>
      <c r="X23" s="165" t="inlineStr">
        <is>
          <t>A domain or a small team</t>
        </is>
      </c>
      <c r="Y23" s="165" t="inlineStr">
        <is>
          <r>
            <rPr>
              <rFont val="Calibri"/>
              <b val="1"/>
              <sz val="10"/>
            </rPr>
            <t>IC:</t>
          </r>
          <r>
            <rPr>
              <rFont val="Calibri"/>
              <sz val="10"/>
            </rPr>
            <t xml:space="preserve"> mentors and reviews · People: hands-on team lead of 3–5</t>
          </r>
        </is>
      </c>
      <c r="Z23" s="165" t="inlineStr">
        <is>
          <t>4–7 yrs</t>
        </is>
      </c>
      <c r="AA23" s="165" t="inlineStr">
        <is>
          <t>Graduate + relevant qualification or certification preferred</t>
        </is>
      </c>
      <c r="AB23" s="165" t="inlineStr">
        <is>
          <t>CA / CMA / ACCA / CFA / IFRS certificate; MOS Excel · optional</t>
        </is>
      </c>
      <c r="AC23" s="165" t="inlineStr">
        <is>
          <r>
            <rPr>
              <rFont val="Calibri"/>
              <b val="1"/>
              <sz val="10"/>
            </rPr>
            <t>IC:</t>
          </r>
          <r>
            <rPr>
              <rFont val="Calibri"/>
              <sz val="10"/>
            </rPr>
            <t xml:space="preserve"> none · Team Lead: 3–5</t>
          </r>
        </is>
      </c>
      <c r="AD23" s="121" t="inlineStr">
        <is>
          <t>Core 3 · Future-ready 3 · Functional 3 · Leadership 1</t>
        </is>
      </c>
      <c r="AE23" s="122" t="inlineStr">
        <is>
          <t>Accounting &amp; Reporting Standards · IFRS/US GAAP · Advanced Excel &amp; Productivity Tools</t>
        </is>
      </c>
      <c r="AF23" s="122" t="inlineStr">
        <is>
          <t>Regulatory &amp; BFSI Domain · Data Analytics, BI &amp; Visualisation · Process Improvement &amp; Quality Mindset · Strategic Thinking &amp; Business Acumen</t>
        </is>
      </c>
      <c r="AG23" s="178" t="inlineStr">
        <is>
          <t>P3 / M2</t>
        </is>
      </c>
      <c r="AH23" s="128" t="inlineStr">
        <is>
          <t>4 Enable</t>
        </is>
      </c>
      <c r="AI23" s="179" t="inlineStr">
        <is>
          <r>
            <rPr>
              <rFont val="Calibri"/>
              <b val="1"/>
              <sz val="10"/>
            </rPr>
            <t>Toppan Merrill:</t>
          </r>
          <r>
            <rPr>
              <rFont val="Calibri"/>
              <sz val="10"/>
            </rPr>
            <t xml:space="preserve"> Senior Accountant · IRIS Vs Competitor Benchmark — finance ladder: Finance Specialist / Asst. Manager</t>
          </r>
        </is>
      </c>
      <c r="AJ23" s="179" t="inlineStr">
        <is>
          <t>IMA Management Accounting Competency Framework; ICAI / CA; Ind AS</t>
        </is>
      </c>
      <c r="AK23" s="179" t="inlineStr">
        <is>
          <t>B2 · Senior Specialist</t>
        </is>
      </c>
      <c r="AL23" s="129" t="inlineStr">
        <is>
          <t>Leadership &amp; people management</t>
        </is>
      </c>
      <c r="AM23" s="130" t="inlineStr">
        <is>
          <t>—</t>
        </is>
      </c>
      <c r="AN23" s="130" t="inlineStr">
        <is>
          <t>Mentoring / guidance from seniors · On-the-job / hands-on · Online courses / self-learning · Formal / classroom training</t>
        </is>
      </c>
      <c r="AO23" s="130" t="inlineStr">
        <is>
          <t>details</t>
        </is>
      </c>
      <c r="AP23" s="130" t="inlineStr">
        <is>
          <t>timely</t>
        </is>
      </c>
      <c r="AQ23" s="130" t="inlineStr">
        <is>
          <t>3 of 4 say the role is changing because of AI / automation</t>
        </is>
      </c>
      <c r="AR23" s="131" t="inlineStr">
        <is>
          <t>Steward financial reporting, resources and controls. Includes: Accounting, reporting, FP&amp;A, tax and treasury. Excludes: Independent internal audit; client financial-data production.</t>
        </is>
      </c>
      <c r="AS23" s="132" t="inlineStr">
        <is>
          <t>FIN02-3 · Senior Accountant</t>
        </is>
      </c>
      <c r="AT23" s="132" t="inlineStr">
        <is>
          <t>Own difficult reconciliations and period-close accuracy.</t>
        </is>
      </c>
      <c r="AU23" s="132" t="inlineStr">
        <is>
          <t>Evidence of complex work, decisions and outcomes beyond routine delivery.</t>
        </is>
      </c>
      <c r="AV23" s="132" t="inlineStr">
        <is>
          <t>A reconciled ledger and controlled transaction cycle with resolved exceptions</t>
        </is>
      </c>
      <c r="AW23" s="132" t="inlineStr">
        <is>
          <r>
            <rPr>
              <rFont val="Calibri"/>
              <b val="1"/>
              <sz val="10"/>
            </rPr>
            <t>Thomson Reuters:</t>
          </r>
          <r>
            <rPr>
              <rFont val="Calibri"/>
              <sz val="10"/>
            </rPr>
            <t xml:space="preserve"> Senior accountant · Adjacent sector, title only. Gap: Dynamic employer page could not be refreshed; only the recorded title is retained</t>
          </r>
        </is>
      </c>
      <c r="AX23" s="181" t="inlineStr">
        <is>
          <t>Framework + sub-family themes · 3+ answered</t>
        </is>
      </c>
      <c r="AY23" s="134" t="inlineStr">
        <is>
          <t>2 holders, 2 answered the survey; sub-family 4 answered</t>
        </is>
      </c>
    </row>
    <row r="24" ht="80" customHeight="1">
      <c r="A24" s="177" t="inlineStr">
        <is>
          <t>RC-097</t>
        </is>
      </c>
      <c r="B24" s="111" t="inlineStr">
        <is>
          <t>Finance &amp; Accounts</t>
        </is>
      </c>
      <c r="C24" s="111" t="inlineStr">
        <is>
          <t>Finance Leadership</t>
        </is>
      </c>
      <c r="D24" s="180" t="inlineStr">
        <is>
          <t>C1</t>
        </is>
      </c>
      <c r="E24" s="146" t="inlineStr">
        <is>
          <t>Associate Head</t>
        </is>
      </c>
      <c r="F24" s="111" t="inlineStr">
        <is>
          <t>Manager</t>
        </is>
      </c>
      <c r="G24" s="111" t="inlineStr">
        <is>
          <t>Associate Head – Admin &amp; Internal Audit · Associate Head – Finance &amp; Accounts</t>
        </is>
      </c>
      <c r="H24" s="112" t="n">
        <v>2</v>
      </c>
      <c r="I24" s="111" t="inlineStr">
        <is>
          <t>Corporate 2</t>
        </is>
      </c>
      <c r="J24" s="162" t="n">
        <v>2</v>
      </c>
      <c r="K24" s="114" t="inlineStr">
        <is>
          <t>Nishant Gupta, Sudhakar Sawant</t>
        </is>
      </c>
      <c r="L24" s="114" t="inlineStr">
        <is>
          <t>Finance</t>
        </is>
      </c>
      <c r="M24" s="118" t="inlineStr">
        <is>
          <t>Leads the finance &amp; accounts function. At C1: a sub-function, or principal authority across products.</t>
        </is>
      </c>
      <c r="N24" s="164" t="inlineStr">
        <is>
          <t>Leads the finance &amp; accounts function; Ambiguous, cross-product problems; Sub-function results or domain quality across products</t>
        </is>
      </c>
      <c r="O24" s="164" t="inlineStr">
        <is>
          <t>Sub-function results or domain quality across products</t>
        </is>
      </c>
      <c r="P24" s="164" t="inlineStr">
        <is>
          <t>Sub-function results or domain quality across products</t>
        </is>
      </c>
      <c r="Q24" s="164" t="inlineStr">
        <is>
          <t>Sets direction for a sub-function or domain</t>
        </is>
      </c>
      <c r="R24" s="164" t="inlineStr">
        <is>
          <t>—</t>
        </is>
      </c>
      <c r="S24" s="164" t="inlineStr">
        <is>
          <t>Accounting</t>
        </is>
      </c>
      <c r="T24" s="164" t="inlineStr">
        <is>
          <t>—</t>
        </is>
      </c>
      <c r="U24" s="119" t="inlineStr">
        <is>
          <t>A sub-function, or principal authority across products</t>
        </is>
      </c>
      <c r="V24" s="165" t="inlineStr">
        <is>
          <t>Ambiguous, cross-product problems</t>
        </is>
      </c>
      <c r="W24" s="165" t="inlineStr">
        <is>
          <t>Sets direction for a sub-function or domain</t>
        </is>
      </c>
      <c r="X24" s="165" t="inlineStr">
        <is>
          <t>Sub-function results or domain quality across products</t>
        </is>
      </c>
      <c r="Y24" s="165" t="inlineStr">
        <is>
          <t>Leads managers or a community of practice</t>
        </is>
      </c>
      <c r="Z24" s="165" t="inlineStr">
        <is>
          <t>10–14 yrs</t>
        </is>
      </c>
      <c r="AA24" s="165" t="inlineStr">
        <is>
          <t>Postgraduate / professional qualification preferred</t>
        </is>
      </c>
      <c r="AB24" s="165" t="inlineStr">
        <is>
          <t>CA / CMA / ACCA / CFA / IFRS certificate; MOS Excel · optional</t>
        </is>
      </c>
      <c r="AC24" s="165" t="inlineStr">
        <is>
          <t>5–8, mostly managers</t>
        </is>
      </c>
      <c r="AD24" s="121" t="inlineStr">
        <is>
          <t>Core 4 · Future-ready 4 · Functional 4 · Leadership 4</t>
        </is>
      </c>
      <c r="AE24" s="122" t="inlineStr">
        <is>
          <t>Accounting &amp; Reporting Standards · IFRS/US GAAP · Advanced Excel &amp; Productivity Tools</t>
        </is>
      </c>
      <c r="AF24" s="122" t="inlineStr">
        <is>
          <t>Regulatory &amp; BFSI Domain · Data Analytics, BI &amp; Visualisation · Process Improvement &amp; Quality Mindset · Strategic Thinking &amp; Business Acumen</t>
        </is>
      </c>
      <c r="AG24" s="178" t="inlineStr">
        <is>
          <t>P6 / M5</t>
        </is>
      </c>
      <c r="AH24" s="128" t="inlineStr">
        <is>
          <t>5–6</t>
        </is>
      </c>
      <c r="AI24" s="179" t="inlineStr">
        <is>
          <r>
            <rPr>
              <rFont val="Calibri"/>
              <b val="1"/>
              <sz val="10"/>
            </rPr>
            <t>Atlassian company-wide P-levels:</t>
          </r>
          <r>
            <rPr>
              <rFont val="Calibri"/>
              <sz val="10"/>
            </rPr>
            <t xml:space="preserve"> P60 Accountant · Principal · IRIS Vs Competitor Benchmark — finance ladder: Associate Director Finance</t>
          </r>
        </is>
      </c>
      <c r="AJ24" s="179" t="inlineStr">
        <is>
          <t>IMA Management Accounting Competency Framework; ICAI / CA; Ind AS</t>
        </is>
      </c>
      <c r="AK24" s="179" t="inlineStr">
        <is>
          <t>C2 · Senior Principal / Architect</t>
        </is>
      </c>
      <c r="AL24" s="129" t="inlineStr">
        <is>
          <t>—</t>
        </is>
      </c>
      <c r="AM24" s="130" t="inlineStr">
        <is>
          <t>—</t>
        </is>
      </c>
      <c r="AN24" s="130" t="inlineStr">
        <is>
          <t>—</t>
        </is>
      </c>
      <c r="AO24" s="130" t="inlineStr">
        <is>
          <t>—</t>
        </is>
      </c>
      <c r="AP24" s="130" t="inlineStr">
        <is>
          <t>—</t>
        </is>
      </c>
      <c r="AQ24" s="130" t="inlineStr">
        <is>
          <t>—</t>
        </is>
      </c>
      <c r="AR24" s="131" t="inlineStr">
        <is>
          <t>Steward financial reporting, resources and controls. Includes: Accounting, reporting, FP&amp;A, tax and treasury. Excludes: Independent internal audit; client financial-data production.</t>
        </is>
      </c>
      <c r="AS24" s="132" t="inlineStr">
        <is>
          <t>LD15-2 · Financial Controller / Finance Director</t>
        </is>
      </c>
      <c r="AT24" s="132" t="inlineStr">
        <is>
          <t>Own integrated function strategy, capacity, controls and cross-team trade-offs</t>
        </is>
      </c>
      <c r="AU24" s="132" t="inlineStr">
        <is>
          <t>Do not manufacture three reporting layers. Choose roles the organisation needs. A specialist may remain on an equally valued expert path.</t>
        </is>
      </c>
      <c r="AV24" s="132" t="inlineStr">
        <is>
          <t>—</t>
        </is>
      </c>
      <c r="AW24" s="132" t="inlineStr">
        <is>
          <t>—</t>
        </is>
      </c>
      <c r="AX24" s="133" t="inlineStr">
        <is>
          <t>Framework only · fewer than 3 answered</t>
        </is>
      </c>
      <c r="AY24" s="134" t="inlineStr">
        <is>
          <t>2 holders, 0 answered the survey; sub-family 0 answered</t>
        </is>
      </c>
    </row>
    <row r="25" ht="93" customHeight="1">
      <c r="A25" s="177" t="inlineStr">
        <is>
          <t>RC-098</t>
        </is>
      </c>
      <c r="B25" s="111" t="inlineStr">
        <is>
          <t>Finance &amp; Accounts</t>
        </is>
      </c>
      <c r="C25" s="111" t="inlineStr">
        <is>
          <t>Financial Reporting, Compliance &amp; Audit</t>
        </is>
      </c>
      <c r="D25" s="150" t="inlineStr">
        <is>
          <t>B1</t>
        </is>
      </c>
      <c r="E25" s="21" t="inlineStr">
        <is>
          <t>Specialist</t>
        </is>
      </c>
      <c r="F25" s="111" t="inlineStr">
        <is>
          <t>IC</t>
        </is>
      </c>
      <c r="G25" s="111" t="inlineStr">
        <is>
          <t>Finance Specialist · Finance Specialist – POD Lead</t>
        </is>
      </c>
      <c r="H25" s="112" t="n">
        <v>3</v>
      </c>
      <c r="I25" s="111" t="inlineStr">
        <is>
          <t>Corporate 3</t>
        </is>
      </c>
      <c r="J25" s="162" t="n">
        <v>3</v>
      </c>
      <c r="K25" s="114" t="inlineStr">
        <is>
          <t>Lalit Choudhary, Radhika Karnani, Shreya Singh</t>
        </is>
      </c>
      <c r="L25" s="114" t="inlineStr">
        <is>
          <t>Finance</t>
        </is>
      </c>
      <c r="M25" s="118" t="inlineStr">
        <is>
          <r>
            <rPr>
              <rFont val="Calibri"/>
              <sz val="10"/>
            </rPr>
            <t xml:space="preserve">Prepares financial statements, subsidiary closings, statutory compliance, budgets and audits. At B1: a domain / module, or a small team.
</t>
          </r>
          <r>
            <rPr>
              <rFont val="Calibri"/>
              <b val="1"/>
              <sz val="10"/>
            </rPr>
            <t>Common themes in role-holders' answers:</t>
          </r>
          <r>
            <rPr>
              <rFont val="Calibri"/>
              <sz val="10"/>
            </rPr>
            <t xml:space="preserve"> business · financial · reason · management</t>
          </r>
        </is>
      </c>
      <c r="N25" s="164" t="inlineStr">
        <is>
          <r>
            <rPr>
              <rFont val="Calibri"/>
              <sz val="10"/>
            </rPr>
            <t xml:space="preserve">Prepares financial statements, subsidiary closings, statutory compliance, budgets and audits; Domain specialist work; A domain or a small team
</t>
          </r>
          <r>
            <rPr>
              <rFont val="Calibri"/>
              <b val="1"/>
              <sz val="10"/>
            </rPr>
            <t>Common themes in role-holders' answers:</t>
          </r>
          <r>
            <rPr>
              <rFont val="Calibri"/>
              <sz val="10"/>
            </rPr>
            <t xml:space="preserve"> order · business · sales · invoice</t>
          </r>
        </is>
      </c>
      <c r="O25" s="164" t="inlineStr">
        <is>
          <r>
            <rPr>
              <rFont val="Calibri"/>
              <sz val="10"/>
            </rPr>
            <t xml:space="preserve">A domain or a small team
</t>
          </r>
          <r>
            <rPr>
              <rFont val="Calibri"/>
              <b val="1"/>
              <sz val="10"/>
            </rPr>
            <t>Common themes in role-holders' answers:</t>
          </r>
          <r>
            <rPr>
              <rFont val="Calibri"/>
              <sz val="10"/>
            </rPr>
            <t xml:space="preserve"> financial statements</t>
          </r>
        </is>
      </c>
      <c r="P25" s="164" t="inlineStr">
        <is>
          <r>
            <rPr>
              <rFont val="Calibri"/>
              <sz val="10"/>
            </rPr>
            <t xml:space="preserve">A domain or a small team
</t>
          </r>
          <r>
            <rPr>
              <rFont val="Calibri"/>
              <b val="1"/>
              <sz val="10"/>
            </rPr>
            <t>Common themes in role-holders' answers:</t>
          </r>
          <r>
            <rPr>
              <rFont val="Calibri"/>
              <sz val="10"/>
            </rPr>
            <t xml:space="preserve"> order</t>
          </r>
        </is>
      </c>
      <c r="Q25" s="164" t="inlineStr">
        <is>
          <t>Technical / QC / client calls for the domain</t>
        </is>
      </c>
      <c r="R25" s="164" t="inlineStr">
        <is>
          <t>—</t>
        </is>
      </c>
      <c r="S25" s="164" t="inlineStr">
        <is>
          <t>accounting · Finance</t>
        </is>
      </c>
      <c r="T25" s="164" t="inlineStr">
        <is>
          <t>ERP</t>
        </is>
      </c>
      <c r="U25" s="119" t="inlineStr">
        <is>
          <t>A domain / module, or a small team</t>
        </is>
      </c>
      <c r="V25" s="165" t="inlineStr">
        <is>
          <t>Domain specialist work</t>
        </is>
      </c>
      <c r="W25" s="165" t="inlineStr">
        <is>
          <t>Technical / QC / client calls for the domain</t>
        </is>
      </c>
      <c r="X25" s="165" t="inlineStr">
        <is>
          <t>A domain or a small team</t>
        </is>
      </c>
      <c r="Y25" s="165" t="inlineStr">
        <is>
          <r>
            <rPr>
              <rFont val="Calibri"/>
              <b val="1"/>
              <sz val="10"/>
            </rPr>
            <t>IC:</t>
          </r>
          <r>
            <rPr>
              <rFont val="Calibri"/>
              <sz val="10"/>
            </rPr>
            <t xml:space="preserve"> mentors and reviews · People: hands-on team lead of 3–5</t>
          </r>
        </is>
      </c>
      <c r="Z25" s="165" t="inlineStr">
        <is>
          <t>4–7 yrs</t>
        </is>
      </c>
      <c r="AA25" s="165" t="inlineStr">
        <is>
          <t>Graduate + relevant qualification or certification preferred</t>
        </is>
      </c>
      <c r="AB25" s="165" t="inlineStr">
        <is>
          <t>CA / CMA / ACCA / CFA / IFRS certificate; MOS Excel · optional</t>
        </is>
      </c>
      <c r="AC25" s="165" t="inlineStr">
        <is>
          <r>
            <rPr>
              <rFont val="Calibri"/>
              <b val="1"/>
              <sz val="10"/>
            </rPr>
            <t>IC:</t>
          </r>
          <r>
            <rPr>
              <rFont val="Calibri"/>
              <sz val="10"/>
            </rPr>
            <t xml:space="preserve"> none · Team Lead: 3–5</t>
          </r>
        </is>
      </c>
      <c r="AD25" s="121" t="inlineStr">
        <is>
          <t>Core 3 · Future-ready 3 · Functional 3 · Leadership 1</t>
        </is>
      </c>
      <c r="AE25" s="122" t="inlineStr">
        <is>
          <t>Accounting &amp; Reporting Standards · IFRS/US GAAP · Advanced Excel &amp; Productivity Tools</t>
        </is>
      </c>
      <c r="AF25" s="122" t="inlineStr">
        <is>
          <t>Regulatory &amp; BFSI Domain · Data Analytics, BI &amp; Visualisation · Process Improvement &amp; Quality Mindset · Strategic Thinking &amp; Business Acumen</t>
        </is>
      </c>
      <c r="AG25" s="178" t="inlineStr">
        <is>
          <t>P3 / M2</t>
        </is>
      </c>
      <c r="AH25" s="128" t="inlineStr">
        <is>
          <t>4 Enable</t>
        </is>
      </c>
      <c r="AI25" s="179" t="inlineStr">
        <is>
          <r>
            <rPr>
              <rFont val="Calibri"/>
              <b val="1"/>
              <sz val="10"/>
            </rPr>
            <t>Toppan Merrill:</t>
          </r>
          <r>
            <rPr>
              <rFont val="Calibri"/>
              <sz val="10"/>
            </rPr>
            <t xml:space="preserve"> Senior Accountant · IRIS Vs Competitor Benchmark — finance ladder: Finance Specialist / Asst. Manager</t>
          </r>
        </is>
      </c>
      <c r="AJ25" s="179" t="inlineStr">
        <is>
          <t>IMA Management Accounting Competency Framework; ICAI / CA; Ind AS</t>
        </is>
      </c>
      <c r="AK25" s="179" t="inlineStr">
        <is>
          <t>B2 · Senior Specialist</t>
        </is>
      </c>
      <c r="AL25" s="129" t="inlineStr">
        <is>
          <t>Strategy &amp; business acumen · Certification / formal course · Broader exposure &amp; ownership</t>
        </is>
      </c>
      <c r="AM25" s="130" t="inlineStr">
        <is>
          <t>—</t>
        </is>
      </c>
      <c r="AN25" s="130" t="inlineStr">
        <is>
          <t>Formal / classroom training</t>
        </is>
      </c>
      <c r="AO25" s="130" t="inlineStr">
        <is>
          <t>data · incomplete information</t>
        </is>
      </c>
      <c r="AP25" s="130" t="inlineStr">
        <is>
          <t>clear</t>
        </is>
      </c>
      <c r="AQ25" s="130" t="inlineStr">
        <is>
          <t>0 of 2 say the role is changing because of AI / automation</t>
        </is>
      </c>
      <c r="AR25" s="131" t="inlineStr">
        <is>
          <t>Steward financial reporting, resources and controls. Includes: Accounting, reporting, FP&amp;A, tax and treasury. Excludes: Independent internal audit; client financial-data production.</t>
        </is>
      </c>
      <c r="AS25" s="132" t="inlineStr">
        <is>
          <t>FIN01-3 · Senior Financial Reporting Analyst</t>
        </is>
      </c>
      <c r="AT25" s="132" t="inlineStr">
        <is>
          <t>Resolve complex accounting treatments and review reporting controls.</t>
        </is>
      </c>
      <c r="AU25" s="132" t="inlineStr">
        <is>
          <t>Evidence of complex work, decisions and outcomes beyond routine delivery.</t>
        </is>
      </c>
      <c r="AV25" s="132" t="inlineStr">
        <is>
          <t>A reconciled close or financial-reporting process with defensible accounting judgments</t>
        </is>
      </c>
      <c r="AW25" s="132" t="inlineStr">
        <is>
          <r>
            <rPr>
              <rFont val="Calibri"/>
              <b val="1"/>
              <sz val="10"/>
            </rPr>
            <t>Thomson Reuters:</t>
          </r>
          <r>
            <rPr>
              <rFont val="Calibri"/>
              <sz val="10"/>
            </rPr>
            <t xml:space="preserve"> Senior accountant · Adjacent sector, title only. Gap: Dynamic employer page could not be refreshed; only the recorded title is retained</t>
          </r>
        </is>
      </c>
      <c r="AX25" s="183" t="inlineStr">
        <is>
          <t>Framework + role-holders' themes · 3+ answered</t>
        </is>
      </c>
      <c r="AY25" s="134" t="inlineStr">
        <is>
          <t>3 holders, 3 answered the survey; sub-family 4 answered</t>
        </is>
      </c>
    </row>
    <row r="26" ht="93" customHeight="1">
      <c r="A26" s="177" t="inlineStr">
        <is>
          <t>RC-099</t>
        </is>
      </c>
      <c r="B26" s="111" t="inlineStr">
        <is>
          <t>Finance &amp; Accounts</t>
        </is>
      </c>
      <c r="C26" s="111" t="inlineStr">
        <is>
          <t>Financial Reporting, Compliance &amp; Audit</t>
        </is>
      </c>
      <c r="D26" s="150" t="inlineStr">
        <is>
          <t>B2</t>
        </is>
      </c>
      <c r="E26" s="21" t="inlineStr">
        <is>
          <t>Senior Specialist</t>
        </is>
      </c>
      <c r="F26" s="111" t="inlineStr">
        <is>
          <t>IC</t>
        </is>
      </c>
      <c r="G26" s="111" t="inlineStr">
        <is>
          <t>Senior Finance Specialist – POD Lead</t>
        </is>
      </c>
      <c r="H26" s="112" t="n">
        <v>1</v>
      </c>
      <c r="I26" s="111" t="inlineStr">
        <is>
          <t>Corporate 1</t>
        </is>
      </c>
      <c r="J26" s="162" t="n">
        <v>1</v>
      </c>
      <c r="K26" s="114" t="inlineStr">
        <is>
          <t>Winny Nair</t>
        </is>
      </c>
      <c r="L26" s="114" t="inlineStr">
        <is>
          <t>Finance</t>
        </is>
      </c>
      <c r="M26" s="118" t="inlineStr">
        <is>
          <r>
            <rPr>
              <rFont val="Calibri"/>
              <sz val="10"/>
            </rPr>
            <t xml:space="preserve">Prepares financial statements, subsidiary closings, statutory compliance, budgets and audits. At B2: deep domain expertise, or one team.
</t>
          </r>
          <r>
            <rPr>
              <rFont val="Calibri"/>
              <b val="1"/>
              <sz val="10"/>
            </rPr>
            <t>Common themes in sub-family holders, all levels' answers:</t>
          </r>
          <r>
            <rPr>
              <rFont val="Calibri"/>
              <sz val="10"/>
            </rPr>
            <t xml:space="preserve"> financial · company · business · reason · management</t>
          </r>
        </is>
      </c>
      <c r="N26" s="164" t="inlineStr">
        <is>
          <r>
            <rPr>
              <rFont val="Calibri"/>
              <sz val="10"/>
            </rPr>
            <t xml:space="preserve">Prepares financial statements, subsidiary closings, statutory compliance, budgets and audits; Hardest problems in the domain; One team or a client portfolio
</t>
          </r>
          <r>
            <rPr>
              <rFont val="Calibri"/>
              <b val="1"/>
              <sz val="10"/>
            </rPr>
            <t>Common themes in sub-family holders, all levels' answers:</t>
          </r>
          <r>
            <rPr>
              <rFont val="Calibri"/>
              <sz val="10"/>
            </rPr>
            <t xml:space="preserve"> order · approval · business · sales · invoice</t>
          </r>
        </is>
      </c>
      <c r="O26" s="164" t="inlineStr">
        <is>
          <r>
            <rPr>
              <rFont val="Calibri"/>
              <sz val="10"/>
            </rPr>
            <t xml:space="preserve">One team or a client portfolio
</t>
          </r>
          <r>
            <rPr>
              <rFont val="Calibri"/>
              <b val="1"/>
              <sz val="10"/>
            </rPr>
            <t>Common themes in sub-family holders, all levels' answers:</t>
          </r>
          <r>
            <rPr>
              <rFont val="Calibri"/>
              <sz val="10"/>
            </rPr>
            <t xml:space="preserve"> financial statements</t>
          </r>
        </is>
      </c>
      <c r="P26" s="164" t="inlineStr">
        <is>
          <r>
            <rPr>
              <rFont val="Calibri"/>
              <sz val="10"/>
            </rPr>
            <t xml:space="preserve">One team or a client portfolio
</t>
          </r>
          <r>
            <rPr>
              <rFont val="Calibri"/>
              <b val="1"/>
              <sz val="10"/>
            </rPr>
            <t>Common themes in sub-family holders, all levels' answers:</t>
          </r>
          <r>
            <rPr>
              <rFont val="Calibri"/>
              <sz val="10"/>
            </rPr>
            <t xml:space="preserve"> book · subsidiary · report · order</t>
          </r>
        </is>
      </c>
      <c r="Q26" s="164" t="inlineStr">
        <is>
          <t>Allocates people and sets team priorities</t>
        </is>
      </c>
      <c r="R26" s="164" t="inlineStr">
        <is>
          <t>—</t>
        </is>
      </c>
      <c r="S26" s="164" t="inlineStr">
        <is>
          <t>accounting · finance · MS office · Excel</t>
        </is>
      </c>
      <c r="T26" s="164" t="inlineStr">
        <is>
          <t>Excel · ERP</t>
        </is>
      </c>
      <c r="U26" s="119" t="inlineStr">
        <is>
          <t>Deep domain expertise, or one team</t>
        </is>
      </c>
      <c r="V26" s="165" t="inlineStr">
        <is>
          <t>Hardest problems in the domain</t>
        </is>
      </c>
      <c r="W26" s="165" t="inlineStr">
        <is>
          <t>Allocates people and sets team priorities</t>
        </is>
      </c>
      <c r="X26" s="165" t="inlineStr">
        <is>
          <t>One team or a client portfolio</t>
        </is>
      </c>
      <c r="Y26" s="165" t="inlineStr">
        <is>
          <r>
            <rPr>
              <rFont val="Calibri"/>
              <b val="1"/>
              <sz val="10"/>
            </rPr>
            <t>IC:</t>
          </r>
          <r>
            <rPr>
              <rFont val="Calibri"/>
              <sz val="10"/>
            </rPr>
            <t xml:space="preserve"> guides others in the domain · People: manages a team of 6+</t>
          </r>
        </is>
      </c>
      <c r="Z26" s="165" t="inlineStr">
        <is>
          <t>6–9 yrs</t>
        </is>
      </c>
      <c r="AA26" s="165" t="inlineStr">
        <is>
          <t>Graduate or postgraduate; professional qualification preferred</t>
        </is>
      </c>
      <c r="AB26" s="165" t="inlineStr">
        <is>
          <t>CA / CMA / ACCA / CFA / IFRS certificate; MOS Excel · optional</t>
        </is>
      </c>
      <c r="AC26" s="165" t="inlineStr">
        <is>
          <r>
            <rPr>
              <rFont val="Calibri"/>
              <b val="1"/>
              <sz val="10"/>
            </rPr>
            <t>IC:</t>
          </r>
          <r>
            <rPr>
              <rFont val="Calibri"/>
              <sz val="10"/>
            </rPr>
            <t xml:space="preserve"> none · People: 6–8 knowledge work, 8–12 standardised delivery</t>
          </r>
        </is>
      </c>
      <c r="AD26" s="121" t="inlineStr">
        <is>
          <t>Core 3 · Future-ready 3 · Functional 4 · Leadership 2</t>
        </is>
      </c>
      <c r="AE26" s="122" t="inlineStr">
        <is>
          <t>Accounting &amp; Reporting Standards · IFRS/US GAAP · Advanced Excel &amp; Productivity Tools</t>
        </is>
      </c>
      <c r="AF26" s="122" t="inlineStr">
        <is>
          <t>Regulatory &amp; BFSI Domain · Data Analytics, BI &amp; Visualisation · Process Improvement &amp; Quality Mindset · Strategic Thinking &amp; Business Acumen</t>
        </is>
      </c>
      <c r="AG26" s="178" t="inlineStr">
        <is>
          <t>P4 / M3</t>
        </is>
      </c>
      <c r="AH26" s="128" t="inlineStr">
        <is>
          <t>4–5</t>
        </is>
      </c>
      <c r="AI26" s="179" t="inlineStr">
        <is>
          <r>
            <rPr>
              <rFont val="Calibri"/>
              <b val="1"/>
              <sz val="10"/>
            </rPr>
            <t>Atlassian company-wide P-levels:</t>
          </r>
          <r>
            <rPr>
              <rFont val="Calibri"/>
              <sz val="10"/>
            </rPr>
            <t xml:space="preserve"> P50 Senior · Toppan Merrill: Senior Financial Analyst · IRIS Vs Competitor Benchmark — finance ladder: Finance Manager</t>
          </r>
        </is>
      </c>
      <c r="AJ26" s="179" t="inlineStr">
        <is>
          <t>IMA Management Accounting Competency Framework; ICAI / CA; Ind AS</t>
        </is>
      </c>
      <c r="AK26" s="179" t="inlineStr">
        <is>
          <t>B3 · Lead Specialist</t>
        </is>
      </c>
      <c r="AL26" s="129" t="inlineStr">
        <is>
          <t>Leadership &amp; people management</t>
        </is>
      </c>
      <c r="AM26" s="130" t="inlineStr">
        <is>
          <t>—</t>
        </is>
      </c>
      <c r="AN26" s="130" t="inlineStr">
        <is>
          <t>Mentoring / guidance from seniors · Formal / classroom training</t>
        </is>
      </c>
      <c r="AO26" s="130" t="inlineStr">
        <is>
          <t>data · reply · incomplete information</t>
        </is>
      </c>
      <c r="AP26" s="130" t="inlineStr">
        <is>
          <t>area · clear</t>
        </is>
      </c>
      <c r="AQ26" s="130" t="inlineStr">
        <is>
          <t>1 of 3 say the role is changing because of AI / automation</t>
        </is>
      </c>
      <c r="AR26" s="131" t="inlineStr">
        <is>
          <t>Steward financial reporting, resources and controls. Includes: Accounting, reporting, FP&amp;A, tax and treasury. Excludes: Independent internal audit; client financial-data production.</t>
        </is>
      </c>
      <c r="AS26" s="132" t="inlineStr">
        <is>
          <t>FIN01-3 · Senior Financial Reporting Analyst</t>
        </is>
      </c>
      <c r="AT26" s="132" t="inlineStr">
        <is>
          <t>Resolve complex accounting treatments and review reporting controls.</t>
        </is>
      </c>
      <c r="AU26" s="132" t="inlineStr">
        <is>
          <t>Evidence of complex work, decisions and outcomes beyond routine delivery.</t>
        </is>
      </c>
      <c r="AV26" s="132" t="inlineStr">
        <is>
          <t>A reconciled close or financial-reporting process with defensible accounting judgments</t>
        </is>
      </c>
      <c r="AW26" s="132" t="inlineStr">
        <is>
          <r>
            <rPr>
              <rFont val="Calibri"/>
              <b val="1"/>
              <sz val="10"/>
            </rPr>
            <t>Thomson Reuters:</t>
          </r>
          <r>
            <rPr>
              <rFont val="Calibri"/>
              <sz val="10"/>
            </rPr>
            <t xml:space="preserve"> Senior accountant · Adjacent sector, title only. Gap: Dynamic employer page could not be refreshed; only the recorded title is retained</t>
          </r>
        </is>
      </c>
      <c r="AX26" s="181" t="inlineStr">
        <is>
          <t>Framework + sub-family themes · 3+ answered</t>
        </is>
      </c>
      <c r="AY26" s="134" t="inlineStr">
        <is>
          <t>1 holder, 1 answered the survey; sub-family 4 answered</t>
        </is>
      </c>
    </row>
    <row r="27">
      <c r="A27" s="160" t="inlineStr">
        <is>
          <t>Human Resources</t>
        </is>
      </c>
    </row>
    <row r="28" ht="80" customHeight="1">
      <c r="A28" s="177" t="inlineStr">
        <is>
          <t>RC-100</t>
        </is>
      </c>
      <c r="B28" s="111" t="inlineStr">
        <is>
          <t>Human Resources</t>
        </is>
      </c>
      <c r="C28" s="111" t="inlineStr">
        <is>
          <t>HR Leadership</t>
        </is>
      </c>
      <c r="D28" s="184" t="inlineStr">
        <is>
          <t>D2</t>
        </is>
      </c>
      <c r="E28" s="149" t="inlineStr">
        <is>
          <t>Vice President</t>
        </is>
      </c>
      <c r="F28" s="111" t="inlineStr">
        <is>
          <t>Manager</t>
        </is>
      </c>
      <c r="G28" s="111" t="inlineStr">
        <is>
          <t>Vice President – Human Resources</t>
        </is>
      </c>
      <c r="H28" s="112" t="n">
        <v>1</v>
      </c>
      <c r="I28" s="111" t="inlineStr">
        <is>
          <t>Corporate 1</t>
        </is>
      </c>
      <c r="J28" s="162" t="n">
        <v>1</v>
      </c>
      <c r="K28" s="114" t="inlineStr">
        <is>
          <t>Shweta Jha</t>
        </is>
      </c>
      <c r="L28" s="114" t="inlineStr">
        <is>
          <t>HR</t>
        </is>
      </c>
      <c r="M28" s="118" t="inlineStr">
        <is>
          <t>Leads the human resources function. At D2: several business lines or an executive-scope enterprise function.</t>
        </is>
      </c>
      <c r="N28" s="164" t="inlineStr">
        <is>
          <t>Leads the human resources function; Portfolio-level strategic, financial and regulatory trade-offs; Multi-business results</t>
        </is>
      </c>
      <c r="O28" s="164" t="inlineStr">
        <is>
          <t>Multi-business results</t>
        </is>
      </c>
      <c r="P28" s="164" t="inlineStr">
        <is>
          <t>Multi-business results</t>
        </is>
      </c>
      <c r="Q28" s="164" t="inlineStr">
        <is>
          <t>Sets direction across business lines</t>
        </is>
      </c>
      <c r="R28" s="164" t="inlineStr">
        <is>
          <t>—</t>
        </is>
      </c>
      <c r="S28" s="164" t="inlineStr">
        <is>
          <t>—</t>
        </is>
      </c>
      <c r="T28" s="164" t="inlineStr">
        <is>
          <t>—</t>
        </is>
      </c>
      <c r="U28" s="119" t="inlineStr">
        <is>
          <t>Several business lines or an executive-scope enterprise function</t>
        </is>
      </c>
      <c r="V28" s="165" t="inlineStr">
        <is>
          <t>Portfolio-level strategic, financial and regulatory trade-offs</t>
        </is>
      </c>
      <c r="W28" s="165" t="inlineStr">
        <is>
          <t>Sets direction across business lines</t>
        </is>
      </c>
      <c r="X28" s="165" t="inlineStr">
        <is>
          <t>Multi-business results</t>
        </is>
      </c>
      <c r="Y28" s="165" t="inlineStr">
        <is>
          <t>Builds the leadership team across businesses</t>
        </is>
      </c>
      <c r="Z28" s="165" t="inlineStr">
        <is>
          <t>18–24 yrs</t>
        </is>
      </c>
      <c r="AA28" s="165" t="inlineStr">
        <is>
          <t>Postgraduate / professional qualification preferred</t>
        </is>
      </c>
      <c r="AB28" s="165" t="inlineStr">
        <is>
          <t>—</t>
        </is>
      </c>
      <c r="AC28" s="165" t="inlineStr">
        <is>
          <t>5–8 AVPs / heads</t>
        </is>
      </c>
      <c r="AD28" s="121" t="inlineStr">
        <is>
          <t>Core 5 · Future-ready 4 · Functional 4 · Leadership 5</t>
        </is>
      </c>
      <c r="AE28" s="122" t="inlineStr">
        <is>
          <t>Stakeholder &amp; Client Management · Communication &amp; Presentation</t>
        </is>
      </c>
      <c r="AF28" s="122" t="inlineStr">
        <is>
          <t>Data Analytics, BI &amp; Visualisation · Process Improvement &amp; Quality Mindset · People Leadership &amp; Mentoring · Advanced Excel &amp; Productivity Tools</t>
        </is>
      </c>
      <c r="AG28" s="178" t="inlineStr">
        <is>
          <t>E3–E4</t>
        </is>
      </c>
      <c r="AH28" s="128" t="inlineStr">
        <is>
          <t>7 Set strategy</t>
        </is>
      </c>
      <c r="AI28" s="179" t="inlineStr">
        <is>
          <t>IRIS Vs Competitor Benchmark — HR ladder: VP HR</t>
        </is>
      </c>
      <c r="AJ28" s="179" t="inlineStr">
        <is>
          <t>SHRM BASK · SHRM-CP → SHRM-SCP; CIPD Profession Map</t>
        </is>
      </c>
      <c r="AK28" s="179" t="inlineStr">
        <is>
          <t>E1 · —</t>
        </is>
      </c>
      <c r="AL28" s="129" t="inlineStr">
        <is>
          <t>—</t>
        </is>
      </c>
      <c r="AM28" s="130" t="inlineStr">
        <is>
          <t>—</t>
        </is>
      </c>
      <c r="AN28" s="130" t="inlineStr">
        <is>
          <t>—</t>
        </is>
      </c>
      <c r="AO28" s="130" t="inlineStr">
        <is>
          <t>—</t>
        </is>
      </c>
      <c r="AP28" s="130" t="inlineStr">
        <is>
          <t>—</t>
        </is>
      </c>
      <c r="AQ28" s="130" t="inlineStr">
        <is>
          <t>—</t>
        </is>
      </c>
      <c r="AR28" s="131" t="inlineStr">
        <is>
          <t>Enable workforce and organisational capability. Includes: HR operations, TA, OD, learning, reward, analytics and partnering. Excludes: Line-manager accountability for the operating business.</t>
        </is>
      </c>
      <c r="AS28" s="132" t="inlineStr">
        <is>
          <t>LD18-3 · Chief People Officer / CHRO</t>
        </is>
      </c>
      <c r="AT28" s="132" t="inlineStr">
        <is>
          <t>Own broader enterprise strategy, risk and resources within a formal charter</t>
        </is>
      </c>
      <c r="AU28" s="132" t="inlineStr">
        <is>
          <t>Do not manufacture three reporting layers. Choose roles the organisation needs. A specialist may remain on an equally valued expert path.</t>
        </is>
      </c>
      <c r="AV28" s="132" t="inlineStr">
        <is>
          <t>—</t>
        </is>
      </c>
      <c r="AW28" s="132" t="inlineStr">
        <is>
          <t>—</t>
        </is>
      </c>
      <c r="AX28" s="133" t="inlineStr">
        <is>
          <t>Framework only · fewer than 3 answered</t>
        </is>
      </c>
      <c r="AY28" s="134" t="inlineStr">
        <is>
          <t>1 holder, 0 answered the survey; sub-family 0 answered</t>
        </is>
      </c>
    </row>
    <row r="29" ht="80" customHeight="1">
      <c r="A29" s="177" t="inlineStr">
        <is>
          <t>RC-101</t>
        </is>
      </c>
      <c r="B29" s="111" t="inlineStr">
        <is>
          <t>Human Resources</t>
        </is>
      </c>
      <c r="C29" s="111" t="inlineStr">
        <is>
          <t>HR Operations &amp; Payroll</t>
        </is>
      </c>
      <c r="D29" s="151" t="inlineStr">
        <is>
          <t>A2</t>
        </is>
      </c>
      <c r="E29" s="139" t="inlineStr">
        <is>
          <t>Associate</t>
        </is>
      </c>
      <c r="F29" s="111" t="inlineStr">
        <is>
          <t>IC</t>
        </is>
      </c>
      <c r="G29" s="111" t="inlineStr">
        <is>
          <t>HR Executive</t>
        </is>
      </c>
      <c r="H29" s="112" t="n">
        <v>1</v>
      </c>
      <c r="I29" s="111" t="inlineStr">
        <is>
          <t>Corporate 1</t>
        </is>
      </c>
      <c r="J29" s="162" t="n">
        <v>1</v>
      </c>
      <c r="K29" s="114" t="inlineStr">
        <is>
          <t>Blossom Dsouza</t>
        </is>
      </c>
      <c r="L29" s="114" t="inlineStr">
        <is>
          <t>HR</t>
        </is>
      </c>
      <c r="M29" s="118" t="inlineStr">
        <is>
          <r>
            <rPr>
              <rFont val="Calibri"/>
              <sz val="10"/>
            </rPr>
            <t xml:space="preserve">Runs payroll, HRIS, onboarding, engagement and exits. At A2: standard work delivered independently.
</t>
          </r>
          <r>
            <rPr>
              <rFont val="Calibri"/>
              <b val="1"/>
              <sz val="10"/>
            </rPr>
            <t>Common themes in sub-family holders, all levels' answers:</t>
          </r>
          <r>
            <rPr>
              <rFont val="Calibri"/>
              <sz val="10"/>
            </rPr>
            <t xml:space="preserve"> employees</t>
          </r>
        </is>
      </c>
      <c r="N29" s="164" t="inlineStr">
        <is>
          <r>
            <rPr>
              <rFont val="Calibri"/>
              <sz val="10"/>
            </rPr>
            <t xml:space="preserve">Runs payroll, HRIS, onboarding, engagement and exits; Standard work of the discipline; Own deliverables · accuracy, TAT
</t>
          </r>
          <r>
            <rPr>
              <rFont val="Calibri"/>
              <b val="1"/>
              <sz val="10"/>
            </rPr>
            <t>Common themes in sub-family holders, all levels' answers:</t>
          </r>
          <r>
            <rPr>
              <rFont val="Calibri"/>
              <sz val="10"/>
            </rPr>
            <t xml:space="preserve"> employee · onboarding · support</t>
          </r>
        </is>
      </c>
      <c r="O29" s="164" t="inlineStr">
        <is>
          <r>
            <rPr>
              <rFont val="Calibri"/>
              <sz val="10"/>
            </rPr>
            <t xml:space="preserve">Own deliverables · accuracy, TAT
</t>
          </r>
          <r>
            <rPr>
              <rFont val="Calibri"/>
              <b val="1"/>
              <sz val="10"/>
            </rPr>
            <t>Common themes in sub-family holders, all levels' answers:</t>
          </r>
          <r>
            <rPr>
              <rFont val="Calibri"/>
              <sz val="10"/>
            </rPr>
            <t xml:space="preserve"> experience · onboarding</t>
          </r>
        </is>
      </c>
      <c r="P29" s="164" t="inlineStr">
        <is>
          <r>
            <rPr>
              <rFont val="Calibri"/>
              <sz val="10"/>
            </rPr>
            <t xml:space="preserve">Own deliverables · accuracy, TAT
</t>
          </r>
          <r>
            <rPr>
              <rFont val="Calibri"/>
              <b val="1"/>
              <sz val="10"/>
            </rPr>
            <t>Common themes in sub-family holders, all levels' answers:</t>
          </r>
          <r>
            <rPr>
              <rFont val="Calibri"/>
              <sz val="10"/>
            </rPr>
            <t xml:space="preserve"> onboarding</t>
          </r>
        </is>
      </c>
      <c r="Q29" s="164" t="inlineStr">
        <is>
          <r>
            <rPr>
              <rFont val="Calibri"/>
              <sz val="10"/>
            </rPr>
            <t xml:space="preserve">Chooses own approach within standards
</t>
          </r>
          <r>
            <rPr>
              <rFont val="Calibri"/>
              <b val="1"/>
              <sz val="10"/>
            </rPr>
            <t>Common themes in sub-family holders, all levels' answers:</t>
          </r>
          <r>
            <rPr>
              <rFont val="Calibri"/>
              <sz val="10"/>
            </rPr>
            <t xml:space="preserve"> engagement · employee · activities</t>
          </r>
        </is>
      </c>
      <c r="R29" s="164" t="inlineStr">
        <is>
          <t>—</t>
        </is>
      </c>
      <c r="S29" s="164" t="inlineStr">
        <is>
          <t>HR</t>
        </is>
      </c>
      <c r="T29" s="164" t="inlineStr">
        <is>
          <t>MS Excel · Keka · Ongrid</t>
        </is>
      </c>
      <c r="U29" s="119" t="inlineStr">
        <is>
          <t>Standard work delivered independently</t>
        </is>
      </c>
      <c r="V29" s="165" t="inlineStr">
        <is>
          <t>Standard work of the discipline</t>
        </is>
      </c>
      <c r="W29" s="165" t="inlineStr">
        <is>
          <t>Chooses own approach within standards</t>
        </is>
      </c>
      <c r="X29" s="165" t="inlineStr">
        <is>
          <t>Own deliverables · accuracy, TAT</t>
        </is>
      </c>
      <c r="Y29" s="165" t="inlineStr">
        <is>
          <t>Not scored in Band A</t>
        </is>
      </c>
      <c r="Z29" s="165" t="inlineStr">
        <is>
          <t>0–2 yrs</t>
        </is>
      </c>
      <c r="AA29" s="165" t="inlineStr">
        <is>
          <t>Graduate · or diploma with experience</t>
        </is>
      </c>
      <c r="AB29" s="165" t="inlineStr">
        <is>
          <t>—</t>
        </is>
      </c>
      <c r="AC29" s="165" t="inlineStr">
        <is>
          <t>No direct reports</t>
        </is>
      </c>
      <c r="AD29" s="121" t="inlineStr">
        <is>
          <t>Core 2 · Future-ready 2 · Functional 2 · Leadership —</t>
        </is>
      </c>
      <c r="AE29" s="122" t="inlineStr">
        <is>
          <t>Stakeholder &amp; Client Management · Communication &amp; Presentation</t>
        </is>
      </c>
      <c r="AF29" s="122" t="inlineStr">
        <is>
          <t>Data Analytics, BI &amp; Visualisation · Process Improvement &amp; Quality Mindset · People Leadership &amp; Mentoring · Advanced Excel &amp; Productivity Tools</t>
        </is>
      </c>
      <c r="AG29" s="178" t="inlineStr">
        <is>
          <t>P1–P2</t>
        </is>
      </c>
      <c r="AH29" s="128" t="inlineStr">
        <is>
          <t>2 Assist</t>
        </is>
      </c>
      <c r="AI29" s="179" t="inlineStr">
        <is>
          <t>IRIS Vs Competitor Benchmark — HR ladder: HR Executive</t>
        </is>
      </c>
      <c r="AJ29" s="179" t="inlineStr">
        <is>
          <t>SHRM BASK · SHRM-CP → SHRM-SCP; CIPD Profession Map</t>
        </is>
      </c>
      <c r="AK29" s="179" t="inlineStr">
        <is>
          <t>A3 · Senior Associate</t>
        </is>
      </c>
      <c r="AL29" s="129" t="inlineStr">
        <is>
          <t>Broader exposure &amp; ownership</t>
        </is>
      </c>
      <c r="AM29" s="130" t="inlineStr">
        <is>
          <t>—</t>
        </is>
      </c>
      <c r="AN29" s="130" t="inlineStr">
        <is>
          <t>On-the-job / hands-on · Mentoring / guidance from seniors</t>
        </is>
      </c>
      <c r="AO29" s="130" t="inlineStr">
        <is>
          <t>No common theme</t>
        </is>
      </c>
      <c r="AP29" s="130" t="inlineStr">
        <is>
          <t>better</t>
        </is>
      </c>
      <c r="AQ29" s="130" t="inlineStr">
        <is>
          <t>0 of 2 say the role is changing because of AI / automation</t>
        </is>
      </c>
      <c r="AR29" s="131" t="inlineStr">
        <is>
          <t>Enable workforce and organisational capability. Includes: HR operations, TA, OD, learning, reward, analytics and partnering. Excludes: Line-manager accountability for the operating business.</t>
        </is>
      </c>
      <c r="AS29" s="132" t="inlineStr">
        <is>
          <t>HR01-1 · HR Operations Associate</t>
        </is>
      </c>
      <c r="AT29" s="132" t="inlineStr">
        <is>
          <r>
            <rPr>
              <rFont val="Calibri"/>
              <b val="1"/>
              <sz val="10"/>
            </rPr>
            <t>Complete defined parts under review:</t>
          </r>
          <r>
            <rPr>
              <rFont val="Calibri"/>
              <sz val="10"/>
            </rPr>
            <t xml:space="preserve"> administer accurate employee/payroll records and reconciliations.</t>
          </r>
        </is>
      </c>
      <c r="AU29" s="132" t="inlineStr">
        <is>
          <t>Repeatable correct delivery, safe escalation and required entry eligibility.</t>
        </is>
      </c>
      <c r="AV29" s="132" t="inlineStr">
        <is>
          <t>A controlled people or payroll cycle with reconciliations and resolved service exceptions</t>
        </is>
      </c>
      <c r="AW29" s="132" t="inlineStr">
        <is>
          <r>
            <rPr>
              <rFont val="Calibri"/>
              <b val="1"/>
              <sz val="10"/>
            </rPr>
            <t>Workiva:</t>
          </r>
          <r>
            <rPr>
              <rFont val="Calibri"/>
              <sz val="10"/>
            </rPr>
            <t xml:space="preserve"> Senior People Business Partner · Related work. Gap: HRBP collaborates with specialities; not direct payroll, recruiter or rewards evidence</t>
          </r>
        </is>
      </c>
      <c r="AX29" s="181" t="inlineStr">
        <is>
          <t>Framework + sub-family themes · 3+ answered</t>
        </is>
      </c>
      <c r="AY29" s="134" t="inlineStr">
        <is>
          <t>1 holder, 1 answered the survey; sub-family 3 answered</t>
        </is>
      </c>
    </row>
    <row r="30" ht="80" customHeight="1">
      <c r="A30" s="177" t="inlineStr">
        <is>
          <t>RC-102</t>
        </is>
      </c>
      <c r="B30" s="111" t="inlineStr">
        <is>
          <t>Human Resources</t>
        </is>
      </c>
      <c r="C30" s="111" t="inlineStr">
        <is>
          <t>HR Operations &amp; Payroll</t>
        </is>
      </c>
      <c r="D30" s="150" t="inlineStr">
        <is>
          <t>B1</t>
        </is>
      </c>
      <c r="E30" s="21" t="inlineStr">
        <is>
          <t>Specialist</t>
        </is>
      </c>
      <c r="F30" s="111" t="inlineStr">
        <is>
          <t>IC</t>
        </is>
      </c>
      <c r="G30" s="111" t="inlineStr">
        <is>
          <t>HR Specialist · HR Specialist – POD Lead</t>
        </is>
      </c>
      <c r="H30" s="112" t="n">
        <v>2</v>
      </c>
      <c r="I30" s="111" t="inlineStr">
        <is>
          <t>Corporate 2</t>
        </is>
      </c>
      <c r="J30" s="162" t="n">
        <v>2</v>
      </c>
      <c r="K30" s="114" t="inlineStr">
        <is>
          <t>Chandrakumar Moopanar, Nikitha Nair</t>
        </is>
      </c>
      <c r="L30" s="114" t="inlineStr">
        <is>
          <t>HR</t>
        </is>
      </c>
      <c r="M30" s="118" t="inlineStr">
        <is>
          <r>
            <rPr>
              <rFont val="Calibri"/>
              <sz val="10"/>
            </rPr>
            <t xml:space="preserve">Runs payroll, HRIS, onboarding, engagement and exits. At B1: a domain / module, or a small team.
</t>
          </r>
          <r>
            <rPr>
              <rFont val="Calibri"/>
              <b val="1"/>
              <sz val="10"/>
            </rPr>
            <t>Common themes in sub-family holders, all levels' answers:</t>
          </r>
          <r>
            <rPr>
              <rFont val="Calibri"/>
              <sz val="10"/>
            </rPr>
            <t xml:space="preserve"> employees</t>
          </r>
        </is>
      </c>
      <c r="N30" s="164" t="inlineStr">
        <is>
          <r>
            <rPr>
              <rFont val="Calibri"/>
              <sz val="10"/>
            </rPr>
            <t xml:space="preserve">Runs payroll, HRIS, onboarding, engagement and exits; Domain specialist work; A domain or a small team
</t>
          </r>
          <r>
            <rPr>
              <rFont val="Calibri"/>
              <b val="1"/>
              <sz val="10"/>
            </rPr>
            <t>Common themes in sub-family holders, all levels' answers:</t>
          </r>
          <r>
            <rPr>
              <rFont val="Calibri"/>
              <sz val="10"/>
            </rPr>
            <t xml:space="preserve"> employee · onboarding · support</t>
          </r>
        </is>
      </c>
      <c r="O30" s="164" t="inlineStr">
        <is>
          <r>
            <rPr>
              <rFont val="Calibri"/>
              <sz val="10"/>
            </rPr>
            <t xml:space="preserve">A domain or a small team
</t>
          </r>
          <r>
            <rPr>
              <rFont val="Calibri"/>
              <b val="1"/>
              <sz val="10"/>
            </rPr>
            <t>Common themes in sub-family holders, all levels' answers:</t>
          </r>
          <r>
            <rPr>
              <rFont val="Calibri"/>
              <sz val="10"/>
            </rPr>
            <t xml:space="preserve"> experience · onboarding</t>
          </r>
        </is>
      </c>
      <c r="P30" s="164" t="inlineStr">
        <is>
          <r>
            <rPr>
              <rFont val="Calibri"/>
              <sz val="10"/>
            </rPr>
            <t xml:space="preserve">A domain or a small team
</t>
          </r>
          <r>
            <rPr>
              <rFont val="Calibri"/>
              <b val="1"/>
              <sz val="10"/>
            </rPr>
            <t>Common themes in sub-family holders, all levels' answers:</t>
          </r>
          <r>
            <rPr>
              <rFont val="Calibri"/>
              <sz val="10"/>
            </rPr>
            <t xml:space="preserve"> onboarding</t>
          </r>
        </is>
      </c>
      <c r="Q30" s="164" t="inlineStr">
        <is>
          <r>
            <rPr>
              <rFont val="Calibri"/>
              <sz val="10"/>
            </rPr>
            <t xml:space="preserve">Technical / QC / client calls for the domain
</t>
          </r>
          <r>
            <rPr>
              <rFont val="Calibri"/>
              <b val="1"/>
              <sz val="10"/>
            </rPr>
            <t>Common themes in sub-family holders, all levels' answers:</t>
          </r>
          <r>
            <rPr>
              <rFont val="Calibri"/>
              <sz val="10"/>
            </rPr>
            <t xml:space="preserve"> engagement · employee · activities</t>
          </r>
        </is>
      </c>
      <c r="R30" s="164" t="inlineStr">
        <is>
          <t>—</t>
        </is>
      </c>
      <c r="S30" s="164" t="inlineStr">
        <is>
          <t>HR</t>
        </is>
      </c>
      <c r="T30" s="164" t="inlineStr">
        <is>
          <t>MS Excel · Keka · Ongrid</t>
        </is>
      </c>
      <c r="U30" s="119" t="inlineStr">
        <is>
          <t>A domain / module, or a small team</t>
        </is>
      </c>
      <c r="V30" s="165" t="inlineStr">
        <is>
          <t>Domain specialist work</t>
        </is>
      </c>
      <c r="W30" s="165" t="inlineStr">
        <is>
          <t>Technical / QC / client calls for the domain</t>
        </is>
      </c>
      <c r="X30" s="165" t="inlineStr">
        <is>
          <t>A domain or a small team</t>
        </is>
      </c>
      <c r="Y30" s="165" t="inlineStr">
        <is>
          <r>
            <rPr>
              <rFont val="Calibri"/>
              <b val="1"/>
              <sz val="10"/>
            </rPr>
            <t>IC:</t>
          </r>
          <r>
            <rPr>
              <rFont val="Calibri"/>
              <sz val="10"/>
            </rPr>
            <t xml:space="preserve"> mentors and reviews · People: hands-on team lead of 3–5</t>
          </r>
        </is>
      </c>
      <c r="Z30" s="165" t="inlineStr">
        <is>
          <t>4–7 yrs</t>
        </is>
      </c>
      <c r="AA30" s="165" t="inlineStr">
        <is>
          <t>Graduate + relevant qualification or certification preferred</t>
        </is>
      </c>
      <c r="AB30" s="165" t="inlineStr">
        <is>
          <t>—</t>
        </is>
      </c>
      <c r="AC30" s="165" t="inlineStr">
        <is>
          <r>
            <rPr>
              <rFont val="Calibri"/>
              <b val="1"/>
              <sz val="10"/>
            </rPr>
            <t>IC:</t>
          </r>
          <r>
            <rPr>
              <rFont val="Calibri"/>
              <sz val="10"/>
            </rPr>
            <t xml:space="preserve"> none · Team Lead: 3–5</t>
          </r>
        </is>
      </c>
      <c r="AD30" s="121" t="inlineStr">
        <is>
          <t>Core 3 · Future-ready 3 · Functional 3 · Leadership 1</t>
        </is>
      </c>
      <c r="AE30" s="122" t="inlineStr">
        <is>
          <t>Stakeholder &amp; Client Management · Communication &amp; Presentation</t>
        </is>
      </c>
      <c r="AF30" s="122" t="inlineStr">
        <is>
          <t>Data Analytics, BI &amp; Visualisation · Process Improvement &amp; Quality Mindset · People Leadership &amp; Mentoring · Advanced Excel &amp; Productivity Tools</t>
        </is>
      </c>
      <c r="AG30" s="178" t="inlineStr">
        <is>
          <t>P3 / M2</t>
        </is>
      </c>
      <c r="AH30" s="128" t="inlineStr">
        <is>
          <t>4 Enable</t>
        </is>
      </c>
      <c r="AI30" s="179" t="inlineStr">
        <is>
          <t>IRIS Vs Competitor Benchmark — HR ladder: HR Specialist / HRBP</t>
        </is>
      </c>
      <c r="AJ30" s="179" t="inlineStr">
        <is>
          <t>SHRM BASK · SHRM-CP → SHRM-SCP; CIPD Profession Map</t>
        </is>
      </c>
      <c r="AK30" s="179" t="inlineStr">
        <is>
          <t>B2 · Senior Specialist</t>
        </is>
      </c>
      <c r="AL30" s="129" t="inlineStr">
        <is>
          <t>Data, SQL &amp; analytics · AI / automation · Product &amp; tool knowledge · Strategy &amp; business acumen · Broader exposure &amp; ownership</t>
        </is>
      </c>
      <c r="AM30" s="130" t="inlineStr">
        <is>
          <t>—</t>
        </is>
      </c>
      <c r="AN30" s="130" t="inlineStr">
        <is>
          <t>On-the-job / hands-on · Mentoring / guidance from seniors</t>
        </is>
      </c>
      <c r="AO30" s="130" t="inlineStr">
        <is>
          <t>No common theme</t>
        </is>
      </c>
      <c r="AP30" s="130" t="inlineStr">
        <is>
          <t>better</t>
        </is>
      </c>
      <c r="AQ30" s="130" t="inlineStr">
        <is>
          <t>0 of 2 say the role is changing because of AI / automation</t>
        </is>
      </c>
      <c r="AR30" s="131" t="inlineStr">
        <is>
          <t>Enable workforce and organisational capability. Includes: HR operations, TA, OD, learning, reward, analytics and partnering. Excludes: Line-manager accountability for the operating business.</t>
        </is>
      </c>
      <c r="AS30" s="132" t="inlineStr">
        <is>
          <t>HR01-3 · Senior HR Operations Specialist</t>
        </is>
      </c>
      <c r="AT30" s="132" t="inlineStr">
        <is>
          <t>Resolve complex service exceptions and improve process controls.</t>
        </is>
      </c>
      <c r="AU30" s="132" t="inlineStr">
        <is>
          <t>Evidence of complex work, decisions and outcomes beyond routine delivery.</t>
        </is>
      </c>
      <c r="AV30" s="132" t="inlineStr">
        <is>
          <t>A controlled people or payroll cycle with reconciliations and resolved service exceptions</t>
        </is>
      </c>
      <c r="AW30" s="132" t="inlineStr">
        <is>
          <r>
            <rPr>
              <rFont val="Calibri"/>
              <b val="1"/>
              <sz val="10"/>
            </rPr>
            <t>Workiva:</t>
          </r>
          <r>
            <rPr>
              <rFont val="Calibri"/>
              <sz val="10"/>
            </rPr>
            <t xml:space="preserve"> Senior People Business Partner · Related work. Gap: HRBP collaborates with specialities; not direct payroll, recruiter or rewards evidence</t>
          </r>
        </is>
      </c>
      <c r="AX30" s="181" t="inlineStr">
        <is>
          <t>Framework + sub-family themes · 3+ answered</t>
        </is>
      </c>
      <c r="AY30" s="134" t="inlineStr">
        <is>
          <t>2 holders, 2 answered the survey; sub-family 3 answered</t>
        </is>
      </c>
    </row>
    <row r="31" ht="80" customHeight="1">
      <c r="A31" s="177" t="inlineStr">
        <is>
          <t>RC-103</t>
        </is>
      </c>
      <c r="B31" s="111" t="inlineStr">
        <is>
          <t>Human Resources</t>
        </is>
      </c>
      <c r="C31" s="111" t="inlineStr">
        <is>
          <t>HR Transformation &amp; OD</t>
        </is>
      </c>
      <c r="D31" s="150" t="inlineStr">
        <is>
          <t>B3</t>
        </is>
      </c>
      <c r="E31" s="21" t="inlineStr">
        <is>
          <t>Lead Specialist</t>
        </is>
      </c>
      <c r="F31" s="111" t="inlineStr">
        <is>
          <t>IC</t>
        </is>
      </c>
      <c r="G31" s="111" t="inlineStr">
        <is>
          <t>Lead HR Specialist – Transformation &amp; OD</t>
        </is>
      </c>
      <c r="H31" s="112" t="n">
        <v>1</v>
      </c>
      <c r="I31" s="111" t="inlineStr">
        <is>
          <t>Corporate 1</t>
        </is>
      </c>
      <c r="J31" s="162" t="n">
        <v>1</v>
      </c>
      <c r="K31" s="114" t="inlineStr">
        <is>
          <t>Mohammed Hanzala Shaikh</t>
        </is>
      </c>
      <c r="L31" s="114" t="inlineStr">
        <is>
          <t>HR</t>
        </is>
      </c>
      <c r="M31" s="118" t="inlineStr">
        <is>
          <t>Designs HR transformation, capability and OD programmes. At B3: a practice, or several teams through team leads.</t>
        </is>
      </c>
      <c r="N31" s="164" t="inlineStr">
        <is>
          <t>Designs HR transformation, capability and OD programmes; Sets standards for a practice; cross-team problems; Several teams or a practice</t>
        </is>
      </c>
      <c r="O31" s="164" t="inlineStr">
        <is>
          <t>Several teams or a practice</t>
        </is>
      </c>
      <c r="P31" s="164" t="inlineStr">
        <is>
          <t>Several teams or a practice</t>
        </is>
      </c>
      <c r="Q31" s="164" t="inlineStr">
        <is>
          <t>Commercial / strategic calls for the unit</t>
        </is>
      </c>
      <c r="R31" s="164" t="inlineStr">
        <is>
          <t>—</t>
        </is>
      </c>
      <c r="S31" s="164" t="inlineStr">
        <is>
          <t>—</t>
        </is>
      </c>
      <c r="T31" s="164" t="inlineStr">
        <is>
          <t>—</t>
        </is>
      </c>
      <c r="U31" s="119" t="inlineStr">
        <is>
          <t>A practice, or several teams through team leads</t>
        </is>
      </c>
      <c r="V31" s="165" t="inlineStr">
        <is>
          <t>Sets standards for a practice; cross-team problems</t>
        </is>
      </c>
      <c r="W31" s="165" t="inlineStr">
        <is>
          <t>Commercial / strategic calls for the unit</t>
        </is>
      </c>
      <c r="X31" s="165" t="inlineStr">
        <is>
          <t>Several teams or a practice</t>
        </is>
      </c>
      <c r="Y31" s="165" t="inlineStr">
        <is>
          <r>
            <rPr>
              <rFont val="Calibri"/>
              <b val="1"/>
              <sz val="10"/>
            </rPr>
            <t>IC:</t>
          </r>
          <r>
            <rPr>
              <rFont val="Calibri"/>
              <sz val="10"/>
            </rPr>
            <t xml:space="preserve"> leads a practice · People: team leads / managers report in</t>
          </r>
        </is>
      </c>
      <c r="Z31" s="165" t="inlineStr">
        <is>
          <t>8–12 yrs</t>
        </is>
      </c>
      <c r="AA31" s="165" t="inlineStr">
        <is>
          <t>Postgraduate or professional qualification preferred</t>
        </is>
      </c>
      <c r="AB31" s="165" t="inlineStr">
        <is>
          <t>—</t>
        </is>
      </c>
      <c r="AC31" s="165" t="inlineStr">
        <is>
          <r>
            <rPr>
              <rFont val="Calibri"/>
              <b val="1"/>
              <sz val="10"/>
            </rPr>
            <t>IC:</t>
          </r>
          <r>
            <rPr>
              <rFont val="Calibri"/>
              <sz val="10"/>
            </rPr>
            <t xml:space="preserve"> none · People: 5–8 incl. team leads</t>
          </r>
        </is>
      </c>
      <c r="AD31" s="121" t="inlineStr">
        <is>
          <t>Core 4 · Future-ready 3 · Functional 4 · Leadership 3</t>
        </is>
      </c>
      <c r="AE31" s="122" t="inlineStr">
        <is>
          <t>Stakeholder &amp; Client Management · Communication &amp; Presentation</t>
        </is>
      </c>
      <c r="AF31" s="122" t="inlineStr">
        <is>
          <t>Data Analytics, BI &amp; Visualisation · Process Improvement &amp; Quality Mindset · People Leadership &amp; Mentoring · Advanced Excel &amp; Productivity Tools</t>
        </is>
      </c>
      <c r="AG31" s="178" t="inlineStr">
        <is>
          <t>P5 / M4</t>
        </is>
      </c>
      <c r="AH31" s="128" t="inlineStr">
        <is>
          <t>5 Ensure, advise</t>
        </is>
      </c>
      <c r="AI31" s="179" t="inlineStr">
        <is>
          <t>IRIS Vs Competitor Benchmark — HR ladder: Senior HR Manager · SHRM-SCP</t>
        </is>
      </c>
      <c r="AJ31" s="179" t="inlineStr">
        <is>
          <t>SHRM BASK · SHRM-CP → SHRM-SCP; CIPD Profession Map</t>
        </is>
      </c>
      <c r="AK31" s="179" t="inlineStr">
        <is>
          <t>C1 · Principal · or B+ · Player-Coach transition step if leading people hands-on</t>
        </is>
      </c>
      <c r="AL31" s="129" t="inlineStr">
        <is>
          <t>—</t>
        </is>
      </c>
      <c r="AM31" s="130" t="inlineStr">
        <is>
          <t>—</t>
        </is>
      </c>
      <c r="AN31" s="130" t="inlineStr">
        <is>
          <t>—</t>
        </is>
      </c>
      <c r="AO31" s="130" t="inlineStr">
        <is>
          <t>—</t>
        </is>
      </c>
      <c r="AP31" s="130" t="inlineStr">
        <is>
          <t>—</t>
        </is>
      </c>
      <c r="AQ31" s="130" t="inlineStr">
        <is>
          <t>—</t>
        </is>
      </c>
      <c r="AR31" s="131" t="inlineStr">
        <is>
          <t>Enable workforce and organisational capability. Includes: HR operations, TA, OD, learning, reward, analytics and partnering. Excludes: Line-manager accountability for the operating business.</t>
        </is>
      </c>
      <c r="AS31" s="132" t="inlineStr">
        <is>
          <t>HR03-4 · OD Consultant</t>
        </is>
      </c>
      <c r="AT31" s="132" t="inlineStr">
        <is>
          <t>Advise enterprise leaders on organisation effectiveness and operating models.</t>
        </is>
      </c>
      <c r="AU31" s="132" t="inlineStr">
        <is>
          <t>Adoption beyond own work; recurring authority and measurable wider outcomes.</t>
        </is>
      </c>
      <c r="AV31" s="132" t="inlineStr">
        <is>
          <t>An organisation-change case with role clarity, stakeholder adoption and measured effectiveness</t>
        </is>
      </c>
      <c r="AW31" s="132" t="inlineStr">
        <is>
          <r>
            <rPr>
              <rFont val="Calibri"/>
              <b val="1"/>
              <sz val="10"/>
            </rPr>
            <t>Workiva:</t>
          </r>
          <r>
            <rPr>
              <rFont val="Calibri"/>
              <sz val="10"/>
            </rPr>
            <t xml:space="preserve"> Senior People Business Partner · Selected / closely related role. Gap: HRBP duties inform OD scope, but the two purposes remain distinct</t>
          </r>
        </is>
      </c>
      <c r="AX31" s="133" t="inlineStr">
        <is>
          <t>Framework only · fewer than 3 answered</t>
        </is>
      </c>
      <c r="AY31" s="134" t="inlineStr">
        <is>
          <t>1 holder, 0 answered the survey; sub-family 0 answered</t>
        </is>
      </c>
    </row>
    <row r="32" ht="80" customHeight="1">
      <c r="A32" s="177" t="inlineStr">
        <is>
          <t>RC-104</t>
        </is>
      </c>
      <c r="B32" s="111" t="inlineStr">
        <is>
          <t>Human Resources</t>
        </is>
      </c>
      <c r="C32" s="111" t="inlineStr">
        <is>
          <t>Talent Acquisition</t>
        </is>
      </c>
      <c r="D32" s="151" t="inlineStr">
        <is>
          <t>A3</t>
        </is>
      </c>
      <c r="E32" s="139" t="inlineStr">
        <is>
          <t>Senior Associate</t>
        </is>
      </c>
      <c r="F32" s="111" t="inlineStr">
        <is>
          <t>IC</t>
        </is>
      </c>
      <c r="G32" s="111" t="inlineStr">
        <is>
          <t>Senior Talent Acquisition Executive</t>
        </is>
      </c>
      <c r="H32" s="112" t="n">
        <v>2</v>
      </c>
      <c r="I32" s="111" t="inlineStr">
        <is>
          <t>Corporate 2</t>
        </is>
      </c>
      <c r="J32" s="162" t="n">
        <v>2</v>
      </c>
      <c r="K32" s="114" t="inlineStr">
        <is>
          <t>Renuka Badhoria, Shruti Gawas</t>
        </is>
      </c>
      <c r="L32" s="114" t="inlineStr">
        <is>
          <t>HR</t>
        </is>
      </c>
      <c r="M32" s="118" t="inlineStr">
        <is>
          <r>
            <rPr>
              <rFont val="Calibri"/>
              <sz val="10"/>
            </rPr>
            <t xml:space="preserve">Sources, screens and hires talent. At A3: varied work; reviews juniors; go-to for a process.
</t>
          </r>
          <r>
            <rPr>
              <rFont val="Calibri"/>
              <b val="1"/>
              <sz val="10"/>
            </rPr>
            <t>Common themes in sub-family holders, all levels' answers:</t>
          </r>
          <r>
            <rPr>
              <rFont val="Calibri"/>
              <sz val="10"/>
            </rPr>
            <t xml:space="preserve"> hiring · right · stakeholders · talent · end recruitment · requirements</t>
          </r>
        </is>
      </c>
      <c r="N32" s="164" t="inlineStr">
        <is>
          <r>
            <rPr>
              <rFont val="Calibri"/>
              <sz val="10"/>
            </rPr>
            <t xml:space="preserve">Sources, screens and hires talent; Varied and non-standard work; handles exceptions; A module / process, or work with client or regulatory consequences
</t>
          </r>
          <r>
            <rPr>
              <rFont val="Calibri"/>
              <b val="1"/>
              <sz val="10"/>
            </rPr>
            <t>Common themes in sub-family holders, all levels' answers:</t>
          </r>
          <r>
            <rPr>
              <rFont val="Calibri"/>
              <sz val="10"/>
            </rPr>
            <t xml:space="preserve"> end end</t>
          </r>
        </is>
      </c>
      <c r="O32"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hiring</t>
          </r>
        </is>
      </c>
      <c r="P32" s="164" t="inlineStr">
        <is>
          <t>A module / process, or work with client or regulatory consequences</t>
        </is>
      </c>
      <c r="Q32" s="164" t="inlineStr">
        <is>
          <t>Technical / QC / client calls on own work</t>
        </is>
      </c>
      <c r="R32" s="164" t="inlineStr">
        <is>
          <t>—</t>
        </is>
      </c>
      <c r="S32" s="164" t="inlineStr">
        <is>
          <t>HR · Stakeholder Management</t>
        </is>
      </c>
      <c r="T32" s="164" t="inlineStr">
        <is>
          <t>Naukri · Keka Hiro</t>
        </is>
      </c>
      <c r="U32" s="119" t="inlineStr">
        <is>
          <t>Varied work; reviews juniors; go-to for a process</t>
        </is>
      </c>
      <c r="V32" s="165" t="inlineStr">
        <is>
          <t>Varied and non-standard work; handles exceptions</t>
        </is>
      </c>
      <c r="W32" s="165" t="inlineStr">
        <is>
          <t>Technical / QC / client calls on own work</t>
        </is>
      </c>
      <c r="X32" s="165" t="inlineStr">
        <is>
          <t>A module / process, or work with client or regulatory consequences</t>
        </is>
      </c>
      <c r="Y32" s="165" t="inlineStr">
        <is>
          <t>Not scored in Band A</t>
        </is>
      </c>
      <c r="Z32" s="165" t="inlineStr">
        <is>
          <t>2–4 yrs</t>
        </is>
      </c>
      <c r="AA32" s="165" t="inlineStr">
        <is>
          <t>Graduate; relevant certification preferred</t>
        </is>
      </c>
      <c r="AB32" s="165" t="inlineStr">
        <is>
          <t>—</t>
        </is>
      </c>
      <c r="AC32" s="165" t="inlineStr">
        <is>
          <t>None · guides 1–3 juniors informally</t>
        </is>
      </c>
      <c r="AD32" s="121" t="inlineStr">
        <is>
          <t>Core 2 · Future-ready 2 · Functional 3 · Leadership —</t>
        </is>
      </c>
      <c r="AE32" s="122" t="inlineStr">
        <is>
          <t>Stakeholder &amp; Client Management · Communication &amp; Presentation</t>
        </is>
      </c>
      <c r="AF32" s="122" t="inlineStr">
        <is>
          <t>Data Analytics, BI &amp; Visualisation · Process Improvement &amp; Quality Mindset · People Leadership &amp; Mentoring · Advanced Excel &amp; Productivity Tools</t>
        </is>
      </c>
      <c r="AG32" s="178" t="inlineStr">
        <is>
          <t>P2</t>
        </is>
      </c>
      <c r="AH32" s="128" t="inlineStr">
        <is>
          <t>3 Apply</t>
        </is>
      </c>
      <c r="AI32" s="179" t="inlineStr">
        <is>
          <t>IRIS Vs Competitor Benchmark — HR ladder: Senior HR Executive · SHRM-CP</t>
        </is>
      </c>
      <c r="AJ32" s="179" t="inlineStr">
        <is>
          <t>SHRM BASK · SHRM-CP → SHRM-SCP; CIPD Profession Map</t>
        </is>
      </c>
      <c r="AK32" s="179" t="inlineStr">
        <is>
          <t>B1 · Specialist</t>
        </is>
      </c>
      <c r="AL32" s="129" t="inlineStr">
        <is>
          <t>Data, SQL &amp; analytics · Leadership &amp; people management · Strategy &amp; business acumen</t>
        </is>
      </c>
      <c r="AM32" s="130" t="inlineStr">
        <is>
          <t>—</t>
        </is>
      </c>
      <c r="AN32" s="130" t="inlineStr">
        <is>
          <t>Mentoring / guidance from seniors · On-the-job / hands-on</t>
        </is>
      </c>
      <c r="AO32" s="130" t="inlineStr">
        <is>
          <t>panel · availability</t>
        </is>
      </c>
      <c r="AP32" s="130" t="inlineStr">
        <is>
          <t>interviewer · requirements</t>
        </is>
      </c>
      <c r="AQ32" s="130" t="inlineStr">
        <is>
          <t>2 of 2 say the role is changing because of AI / automation</t>
        </is>
      </c>
      <c r="AR32" s="131" t="inlineStr">
        <is>
          <t>Enable workforce and organisational capability. Includes: HR operations, TA, OD, learning, reward, analytics and partnering. Excludes: Line-manager accountability for the operating business.</t>
        </is>
      </c>
      <c r="AS32" s="132" t="inlineStr">
        <is>
          <t>HR02-2 · Talent Acquisition Specialist</t>
        </is>
      </c>
      <c r="AT32" s="132" t="inlineStr">
        <is>
          <t>Run structured sourcing and selection coordination.</t>
        </is>
      </c>
      <c r="AU32" s="132" t="inlineStr">
        <is>
          <t>Demonstrate routine delivery plus judgement in bounded exceptions.</t>
        </is>
      </c>
      <c r="AV32" s="132" t="inlineStr">
        <is>
          <t>A hiring process with role-based criteria, consistent assessment and quality outcomes</t>
        </is>
      </c>
      <c r="AW32" s="132" t="inlineStr">
        <is>
          <r>
            <rPr>
              <rFont val="Calibri"/>
              <b val="1"/>
              <sz val="10"/>
            </rPr>
            <t>Workiva:</t>
          </r>
          <r>
            <rPr>
              <rFont val="Calibri"/>
              <sz val="10"/>
            </rPr>
            <t xml:space="preserve"> Senior People Business Partner · Related work. Gap: HRBP collaborates with specialities; not direct payroll, recruiter or rewards evidence</t>
          </r>
        </is>
      </c>
      <c r="AX32" s="181" t="inlineStr">
        <is>
          <t>Framework + sub-family themes · 3+ answered</t>
        </is>
      </c>
      <c r="AY32" s="134" t="inlineStr">
        <is>
          <t>2 holders, 2 answered the survey; sub-family 3 answered</t>
        </is>
      </c>
    </row>
    <row r="33" ht="80" customHeight="1">
      <c r="A33" s="177" t="inlineStr">
        <is>
          <t>RC-105</t>
        </is>
      </c>
      <c r="B33" s="111" t="inlineStr">
        <is>
          <t>Human Resources</t>
        </is>
      </c>
      <c r="C33" s="111" t="inlineStr">
        <is>
          <t>Talent Acquisition</t>
        </is>
      </c>
      <c r="D33" s="150" t="inlineStr">
        <is>
          <t>B2</t>
        </is>
      </c>
      <c r="E33" s="21" t="inlineStr">
        <is>
          <t>Senior Specialist</t>
        </is>
      </c>
      <c r="F33" s="111" t="inlineStr">
        <is>
          <t>IC</t>
        </is>
      </c>
      <c r="G33" s="111" t="inlineStr">
        <is>
          <t>Senior Talent Acquisition Specialist</t>
        </is>
      </c>
      <c r="H33" s="112" t="n">
        <v>1</v>
      </c>
      <c r="I33" s="111" t="inlineStr">
        <is>
          <t>Corporate 1</t>
        </is>
      </c>
      <c r="J33" s="162" t="n">
        <v>1</v>
      </c>
      <c r="K33" s="114" t="inlineStr">
        <is>
          <t>Simran Kaur Raina</t>
        </is>
      </c>
      <c r="L33" s="114" t="inlineStr">
        <is>
          <t>HR</t>
        </is>
      </c>
      <c r="M33" s="118" t="inlineStr">
        <is>
          <r>
            <rPr>
              <rFont val="Calibri"/>
              <sz val="10"/>
            </rPr>
            <t xml:space="preserve">Sources, screens and hires talent. At B2: deep domain expertise, or one team.
</t>
          </r>
          <r>
            <rPr>
              <rFont val="Calibri"/>
              <b val="1"/>
              <sz val="10"/>
            </rPr>
            <t>Common themes in sub-family holders, all levels' answers:</t>
          </r>
          <r>
            <rPr>
              <rFont val="Calibri"/>
              <sz val="10"/>
            </rPr>
            <t xml:space="preserve"> hiring · right · stakeholders · talent · end recruitment · requirements</t>
          </r>
        </is>
      </c>
      <c r="N33" s="164" t="inlineStr">
        <is>
          <r>
            <rPr>
              <rFont val="Calibri"/>
              <sz val="10"/>
            </rPr>
            <t xml:space="preserve">Sources, screens and hires talent; Hardest problems in the domain; One team or a client portfolio
</t>
          </r>
          <r>
            <rPr>
              <rFont val="Calibri"/>
              <b val="1"/>
              <sz val="10"/>
            </rPr>
            <t>Common themes in sub-family holders, all levels' answers:</t>
          </r>
          <r>
            <rPr>
              <rFont val="Calibri"/>
              <sz val="10"/>
            </rPr>
            <t xml:space="preserve"> end end</t>
          </r>
        </is>
      </c>
      <c r="O33" s="164" t="inlineStr">
        <is>
          <r>
            <rPr>
              <rFont val="Calibri"/>
              <sz val="10"/>
            </rPr>
            <t xml:space="preserve">One team or a client portfolio
</t>
          </r>
          <r>
            <rPr>
              <rFont val="Calibri"/>
              <b val="1"/>
              <sz val="10"/>
            </rPr>
            <t>Common themes in sub-family holders, all levels' answers:</t>
          </r>
          <r>
            <rPr>
              <rFont val="Calibri"/>
              <sz val="10"/>
            </rPr>
            <t xml:space="preserve"> hiring</t>
          </r>
        </is>
      </c>
      <c r="P33" s="164" t="inlineStr">
        <is>
          <t>One team or a client portfolio</t>
        </is>
      </c>
      <c r="Q33" s="164" t="inlineStr">
        <is>
          <t>Allocates people and sets team priorities</t>
        </is>
      </c>
      <c r="R33" s="164" t="inlineStr">
        <is>
          <t>—</t>
        </is>
      </c>
      <c r="S33" s="164" t="inlineStr">
        <is>
          <t>HR · Stakeholder Management</t>
        </is>
      </c>
      <c r="T33" s="164" t="inlineStr">
        <is>
          <t>Naukri · Keka Hiro</t>
        </is>
      </c>
      <c r="U33" s="119" t="inlineStr">
        <is>
          <t>Deep domain expertise, or one team</t>
        </is>
      </c>
      <c r="V33" s="165" t="inlineStr">
        <is>
          <t>Hardest problems in the domain</t>
        </is>
      </c>
      <c r="W33" s="165" t="inlineStr">
        <is>
          <t>Allocates people and sets team priorities</t>
        </is>
      </c>
      <c r="X33" s="165" t="inlineStr">
        <is>
          <t>One team or a client portfolio</t>
        </is>
      </c>
      <c r="Y33" s="165" t="inlineStr">
        <is>
          <r>
            <rPr>
              <rFont val="Calibri"/>
              <b val="1"/>
              <sz val="10"/>
            </rPr>
            <t>IC:</t>
          </r>
          <r>
            <rPr>
              <rFont val="Calibri"/>
              <sz val="10"/>
            </rPr>
            <t xml:space="preserve"> guides others in the domain · People: manages a team of 6+</t>
          </r>
        </is>
      </c>
      <c r="Z33" s="165" t="inlineStr">
        <is>
          <t>6–9 yrs</t>
        </is>
      </c>
      <c r="AA33" s="165" t="inlineStr">
        <is>
          <t>Graduate or postgraduate; professional qualification preferred</t>
        </is>
      </c>
      <c r="AB33" s="165" t="inlineStr">
        <is>
          <t>—</t>
        </is>
      </c>
      <c r="AC33" s="165" t="inlineStr">
        <is>
          <r>
            <rPr>
              <rFont val="Calibri"/>
              <b val="1"/>
              <sz val="10"/>
            </rPr>
            <t>IC:</t>
          </r>
          <r>
            <rPr>
              <rFont val="Calibri"/>
              <sz val="10"/>
            </rPr>
            <t xml:space="preserve"> none · People: 6–8 knowledge work, 8–12 standardised delivery</t>
          </r>
        </is>
      </c>
      <c r="AD33" s="121" t="inlineStr">
        <is>
          <t>Core 3 · Future-ready 3 · Functional 4 · Leadership 2</t>
        </is>
      </c>
      <c r="AE33" s="122" t="inlineStr">
        <is>
          <t>Stakeholder &amp; Client Management · Communication &amp; Presentation</t>
        </is>
      </c>
      <c r="AF33" s="122" t="inlineStr">
        <is>
          <t>Data Analytics, BI &amp; Visualisation · Process Improvement &amp; Quality Mindset · People Leadership &amp; Mentoring · Advanced Excel &amp; Productivity Tools</t>
        </is>
      </c>
      <c r="AG33" s="178" t="inlineStr">
        <is>
          <t>P4 / M3</t>
        </is>
      </c>
      <c r="AH33" s="128" t="inlineStr">
        <is>
          <t>4–5</t>
        </is>
      </c>
      <c r="AI33" s="179" t="inlineStr">
        <is>
          <t>IRIS Vs Competitor Benchmark — HR ladder: HR Manager / Senior HRBP</t>
        </is>
      </c>
      <c r="AJ33" s="179" t="inlineStr">
        <is>
          <t>SHRM BASK · SHRM-CP → SHRM-SCP; CIPD Profession Map</t>
        </is>
      </c>
      <c r="AK33" s="179" t="inlineStr">
        <is>
          <t>B3 · Lead Specialist</t>
        </is>
      </c>
      <c r="AL33" s="129" t="inlineStr">
        <is>
          <t>Leadership &amp; people management</t>
        </is>
      </c>
      <c r="AM33" s="130" t="inlineStr">
        <is>
          <t>—</t>
        </is>
      </c>
      <c r="AN33" s="130" t="inlineStr">
        <is>
          <t>Mentoring / guidance from seniors · On-the-job / hands-on</t>
        </is>
      </c>
      <c r="AO33" s="130" t="inlineStr">
        <is>
          <t>panel · availability</t>
        </is>
      </c>
      <c r="AP33" s="130" t="inlineStr">
        <is>
          <t>interviewer · requirements</t>
        </is>
      </c>
      <c r="AQ33" s="130" t="inlineStr">
        <is>
          <t>2 of 2 say the role is changing because of AI / automation</t>
        </is>
      </c>
      <c r="AR33" s="131" t="inlineStr">
        <is>
          <t>Enable workforce and organisational capability. Includes: HR operations, TA, OD, learning, reward, analytics and partnering. Excludes: Line-manager accountability for the operating business.</t>
        </is>
      </c>
      <c r="AS33" s="132" t="inlineStr">
        <is>
          <t>HR02-3 · Senior Recruiter</t>
        </is>
      </c>
      <c r="AT33" s="132" t="inlineStr">
        <is>
          <t>Own difficult searches and advise on selection quality.</t>
        </is>
      </c>
      <c r="AU33" s="132" t="inlineStr">
        <is>
          <t>Evidence of complex work, decisions and outcomes beyond routine delivery.</t>
        </is>
      </c>
      <c r="AV33" s="132" t="inlineStr">
        <is>
          <t>A hiring process with role-based criteria, consistent assessment and quality outcomes</t>
        </is>
      </c>
      <c r="AW33" s="132" t="inlineStr">
        <is>
          <r>
            <rPr>
              <rFont val="Calibri"/>
              <b val="1"/>
              <sz val="10"/>
            </rPr>
            <t>Workiva:</t>
          </r>
          <r>
            <rPr>
              <rFont val="Calibri"/>
              <sz val="10"/>
            </rPr>
            <t xml:space="preserve"> Senior People Business Partner · Related work. Gap: HRBP collaborates with specialities; not direct payroll, recruiter or rewards evidence</t>
          </r>
        </is>
      </c>
      <c r="AX33" s="181" t="inlineStr">
        <is>
          <t>Framework + sub-family themes · 3+ answered</t>
        </is>
      </c>
      <c r="AY33" s="134" t="inlineStr">
        <is>
          <t>1 holder, 1 answered the survey; sub-family 3 answered</t>
        </is>
      </c>
    </row>
    <row r="34">
      <c r="A34" s="160" t="inlineStr">
        <is>
          <t>IT &amp; Infrastructure</t>
        </is>
      </c>
    </row>
    <row r="35" ht="80" customHeight="1">
      <c r="A35" s="177" t="inlineStr">
        <is>
          <t>RC-106</t>
        </is>
      </c>
      <c r="B35" s="111" t="inlineStr">
        <is>
          <t>IT &amp; Infrastructure</t>
        </is>
      </c>
      <c r="C35" s="111" t="inlineStr">
        <is>
          <t>End-User Support</t>
        </is>
      </c>
      <c r="D35" s="151" t="inlineStr">
        <is>
          <t>A3</t>
        </is>
      </c>
      <c r="E35" s="139" t="inlineStr">
        <is>
          <t>Senior Associate</t>
        </is>
      </c>
      <c r="F35" s="111" t="inlineStr">
        <is>
          <t>IC</t>
        </is>
      </c>
      <c r="G35" s="111" t="inlineStr">
        <is>
          <t>Senior Desktop Support Engineer</t>
        </is>
      </c>
      <c r="H35" s="112" t="n">
        <v>1</v>
      </c>
      <c r="I35" s="111" t="inlineStr">
        <is>
          <t>Corporate 1</t>
        </is>
      </c>
      <c r="J35" s="162" t="n">
        <v>1</v>
      </c>
      <c r="K35" s="114" t="inlineStr">
        <is>
          <t>Sagar Jamadar</t>
        </is>
      </c>
      <c r="L35" s="114" t="inlineStr">
        <is>
          <t>IT &amp; Infrastructure</t>
        </is>
      </c>
      <c r="M35" s="118" t="inlineStr">
        <is>
          <r>
            <rPr>
              <rFont val="Calibri"/>
              <b val="1"/>
              <sz val="10"/>
            </rPr>
            <t>At A3:</t>
          </r>
          <r>
            <rPr>
              <rFont val="Calibri"/>
              <sz val="10"/>
            </rPr>
            <t xml:space="preserve"> varied work; reviews juniors; go-to for a process.</t>
          </r>
        </is>
      </c>
      <c r="N35" s="164" t="inlineStr">
        <is>
          <t>Varied and non-standard work; handles exceptions; A module / process, or work with client or regulatory consequences</t>
        </is>
      </c>
      <c r="O35" s="164" t="inlineStr">
        <is>
          <t>A module / process, or work with client or regulatory consequences</t>
        </is>
      </c>
      <c r="P35" s="164" t="inlineStr">
        <is>
          <t>A module / process, or work with client or regulatory consequences</t>
        </is>
      </c>
      <c r="Q35" s="164" t="inlineStr">
        <is>
          <t>Technical / QC / client calls on own work</t>
        </is>
      </c>
      <c r="R35" s="164" t="inlineStr">
        <is>
          <t>—</t>
        </is>
      </c>
      <c r="S35" s="164" t="inlineStr">
        <is>
          <t>—</t>
        </is>
      </c>
      <c r="T35" s="164" t="inlineStr">
        <is>
          <t>—</t>
        </is>
      </c>
      <c r="U35" s="119" t="inlineStr">
        <is>
          <t>Varied work; reviews juniors; go-to for a process</t>
        </is>
      </c>
      <c r="V35" s="165" t="inlineStr">
        <is>
          <t>Varied and non-standard work; handles exceptions</t>
        </is>
      </c>
      <c r="W35" s="165" t="inlineStr">
        <is>
          <t>Technical / QC / client calls on own work</t>
        </is>
      </c>
      <c r="X35" s="165" t="inlineStr">
        <is>
          <t>A module / process, or work with client or regulatory consequences</t>
        </is>
      </c>
      <c r="Y35" s="165" t="inlineStr">
        <is>
          <t>Not scored in Band A</t>
        </is>
      </c>
      <c r="Z35" s="165" t="inlineStr">
        <is>
          <t>2–4 yrs</t>
        </is>
      </c>
      <c r="AA35" s="165" t="inlineStr">
        <is>
          <t>Graduate; relevant certification preferred</t>
        </is>
      </c>
      <c r="AB35" s="165" t="inlineStr">
        <is>
          <t>Microsoft / CCNA / ISO 27001 / ITIL; AWS / Azure / Kubernetes certifications</t>
        </is>
      </c>
      <c r="AC35" s="165" t="inlineStr">
        <is>
          <t>None · guides 1–3 juniors informally</t>
        </is>
      </c>
      <c r="AD35" s="121" t="inlineStr">
        <is>
          <t>Core 2 · Future-ready 2 · Functional 3 · Leadership —</t>
        </is>
      </c>
      <c r="AE35" s="122" t="inlineStr">
        <is>
          <t>Cybersecurity &amp; Infrastructure · Cloud, DevOps &amp; CI/CD</t>
        </is>
      </c>
      <c r="AF35" s="122" t="inlineStr">
        <is>
          <t>Process Improvement &amp; Quality Mindset · Stakeholder &amp; Client Management · Time, Priority &amp; Self-Management · AI, GenAI &amp; Prompt Engineering</t>
        </is>
      </c>
      <c r="AG35" s="178" t="inlineStr">
        <is>
          <t>P2</t>
        </is>
      </c>
      <c r="AH35" s="128" t="inlineStr">
        <is>
          <t>3 Apply</t>
        </is>
      </c>
      <c r="AI35" s="179" t="inlineStr">
        <is>
          <r>
            <rPr>
              <rFont val="Calibri"/>
              <b val="1"/>
              <sz val="10"/>
            </rPr>
            <t>Atlassian company-wide P-levels:</t>
          </r>
          <r>
            <rPr>
              <rFont val="Calibri"/>
              <sz val="10"/>
            </rPr>
            <t xml:space="preserve"> P40 · IRIS Vs Competitor Benchmark — infrastructure ladder: System Administrator</t>
          </r>
        </is>
      </c>
      <c r="AJ35" s="179" t="inlineStr">
        <is>
          <t>ITIL 4; ISO/IEC 27001:2022; SFIA infrastructure</t>
        </is>
      </c>
      <c r="AK35" s="179" t="inlineStr">
        <is>
          <t>B1 · Specialist</t>
        </is>
      </c>
      <c r="AL35" s="129" t="inlineStr">
        <is>
          <t>AI / automation · Technical depth &amp; architecture · Broader exposure &amp; ownership</t>
        </is>
      </c>
      <c r="AM35" s="130" t="inlineStr">
        <is>
          <t>—</t>
        </is>
      </c>
      <c r="AN35" s="130" t="inlineStr">
        <is>
          <t>—</t>
        </is>
      </c>
      <c r="AO35" s="130" t="inlineStr">
        <is>
          <t>—</t>
        </is>
      </c>
      <c r="AP35" s="130" t="inlineStr">
        <is>
          <t>—</t>
        </is>
      </c>
      <c r="AQ35" s="130" t="inlineStr">
        <is>
          <t>—</t>
        </is>
      </c>
      <c r="AR35" s="131" t="inlineStr">
        <is>
          <t>Provide secure organisational technology services. Includes: Internal infrastructure, employee technology and enterprise security. Excludes: Customer product support; application development.</t>
        </is>
      </c>
      <c r="AS35" s="132" t="inlineStr">
        <is>
          <t>IT02-2 · IT Support Analyst</t>
        </is>
      </c>
      <c r="AT35" s="132" t="inlineStr">
        <is>
          <t>Resolve employee incidents and administer approved access requests.</t>
        </is>
      </c>
      <c r="AU35" s="132" t="inlineStr">
        <is>
          <t>Demonstrate routine delivery plus judgement in bounded exceptions.</t>
        </is>
      </c>
      <c r="AV35" s="132" t="inlineStr">
        <is>
          <t>A resolved service set with secure access practices and accurate asset records</t>
        </is>
      </c>
      <c r="AW35" s="132" t="inlineStr">
        <is>
          <r>
            <rPr>
              <rFont val="Calibri"/>
              <b val="1"/>
              <sz val="10"/>
            </rPr>
            <t>Workiva:</t>
          </r>
          <r>
            <rPr>
              <rFont val="Calibri"/>
              <sz val="10"/>
            </rPr>
            <t xml:space="preserve"> Senior AV Engineer · Selected adjacent specialism. Gap: AV support is a workplace IT example, not a full service-desk ladder</t>
          </r>
        </is>
      </c>
      <c r="AX35" s="133" t="inlineStr">
        <is>
          <t>Framework only · fewer than 3 answered</t>
        </is>
      </c>
      <c r="AY35" s="134" t="inlineStr">
        <is>
          <t>1 holder, 1 answered the survey; sub-family 1 answered</t>
        </is>
      </c>
    </row>
    <row r="36" ht="80" customHeight="1">
      <c r="A36" s="177" t="inlineStr">
        <is>
          <t>RC-107</t>
        </is>
      </c>
      <c r="B36" s="111" t="inlineStr">
        <is>
          <t>IT &amp; Infrastructure</t>
        </is>
      </c>
      <c r="C36" s="111" t="inlineStr">
        <is>
          <t>IT Infrastructure Leadership</t>
        </is>
      </c>
      <c r="D36" s="150" t="inlineStr">
        <is>
          <t>B2</t>
        </is>
      </c>
      <c r="E36" s="21" t="inlineStr">
        <is>
          <t>Manager</t>
        </is>
      </c>
      <c r="F36" s="111" t="inlineStr">
        <is>
          <t>Manager</t>
        </is>
      </c>
      <c r="G36" s="111" t="inlineStr">
        <is>
          <t>Senior IT Manager</t>
        </is>
      </c>
      <c r="H36" s="112" t="n">
        <v>1</v>
      </c>
      <c r="I36" s="111" t="inlineStr">
        <is>
          <t>Corporate 1</t>
        </is>
      </c>
      <c r="J36" s="162" t="n">
        <v>1</v>
      </c>
      <c r="K36" s="114" t="inlineStr">
        <is>
          <t>Mahesh Tilave</t>
        </is>
      </c>
      <c r="L36" s="114" t="inlineStr">
        <is>
          <t>IT &amp; Infrastructure</t>
        </is>
      </c>
      <c r="M36" s="118" t="inlineStr">
        <is>
          <t>Leads infrastructure operations, ISO governance and IT vendors. At B2: deep domain expertise, or one team.</t>
        </is>
      </c>
      <c r="N36" s="164" t="inlineStr">
        <is>
          <t>Leads infrastructure operations, ISO governance and IT vendors; Hardest problems in the domain; One team or a client portfolio</t>
        </is>
      </c>
      <c r="O36" s="164" t="inlineStr">
        <is>
          <t>One team or a client portfolio</t>
        </is>
      </c>
      <c r="P36" s="164" t="inlineStr">
        <is>
          <t>One team or a client portfolio</t>
        </is>
      </c>
      <c r="Q36" s="164" t="inlineStr">
        <is>
          <t>Allocates people and sets team priorities</t>
        </is>
      </c>
      <c r="R36" s="164" t="inlineStr">
        <is>
          <t>—</t>
        </is>
      </c>
      <c r="S36" s="164" t="inlineStr">
        <is>
          <t>—</t>
        </is>
      </c>
      <c r="T36" s="164" t="inlineStr">
        <is>
          <t>—</t>
        </is>
      </c>
      <c r="U36" s="119" t="inlineStr">
        <is>
          <t>Deep domain expertise, or one team</t>
        </is>
      </c>
      <c r="V36" s="165" t="inlineStr">
        <is>
          <t>Hardest problems in the domain</t>
        </is>
      </c>
      <c r="W36" s="165" t="inlineStr">
        <is>
          <t>Allocates people and sets team priorities</t>
        </is>
      </c>
      <c r="X36" s="165" t="inlineStr">
        <is>
          <t>One team or a client portfolio</t>
        </is>
      </c>
      <c r="Y36" s="165" t="inlineStr">
        <is>
          <r>
            <rPr>
              <rFont val="Calibri"/>
              <b val="1"/>
              <sz val="10"/>
            </rPr>
            <t>IC:</t>
          </r>
          <r>
            <rPr>
              <rFont val="Calibri"/>
              <sz val="10"/>
            </rPr>
            <t xml:space="preserve"> guides others in the domain · People: manages a team of 6+</t>
          </r>
        </is>
      </c>
      <c r="Z36" s="165" t="inlineStr">
        <is>
          <t>6–9 yrs</t>
        </is>
      </c>
      <c r="AA36" s="165" t="inlineStr">
        <is>
          <t>Graduate or postgraduate; professional qualification preferred</t>
        </is>
      </c>
      <c r="AB36" s="165" t="inlineStr">
        <is>
          <t>Microsoft / CCNA / ISO 27001 / ITIL; AWS / Azure / Kubernetes certifications</t>
        </is>
      </c>
      <c r="AC36" s="165" t="inlineStr">
        <is>
          <r>
            <rPr>
              <rFont val="Calibri"/>
              <b val="1"/>
              <sz val="10"/>
            </rPr>
            <t>IC:</t>
          </r>
          <r>
            <rPr>
              <rFont val="Calibri"/>
              <sz val="10"/>
            </rPr>
            <t xml:space="preserve"> none · People: 6–8 knowledge work, 8–12 standardised delivery</t>
          </r>
        </is>
      </c>
      <c r="AD36" s="121" t="inlineStr">
        <is>
          <t>Core 3 · Future-ready 3 · Functional 4 · Leadership 3</t>
        </is>
      </c>
      <c r="AE36" s="122" t="inlineStr">
        <is>
          <t>Cybersecurity &amp; Infrastructure · Cloud, DevOps &amp; CI/CD</t>
        </is>
      </c>
      <c r="AF36" s="122" t="inlineStr">
        <is>
          <t>Process Improvement &amp; Quality Mindset · Stakeholder &amp; Client Management · Time, Priority &amp; Self-Management · AI, GenAI &amp; Prompt Engineering</t>
        </is>
      </c>
      <c r="AG36" s="178" t="inlineStr">
        <is>
          <t>P4 / M3</t>
        </is>
      </c>
      <c r="AH36" s="128" t="inlineStr">
        <is>
          <t>4–5</t>
        </is>
      </c>
      <c r="AI36" s="179" t="inlineStr">
        <is>
          <r>
            <rPr>
              <rFont val="Calibri"/>
              <b val="1"/>
              <sz val="10"/>
            </rPr>
            <t>Atlassian company-wide P-levels:</t>
          </r>
          <r>
            <rPr>
              <rFont val="Calibri"/>
              <sz val="10"/>
            </rPr>
            <t xml:space="preserve"> P50 Senior · IRIS Vs Competitor Benchmark — infrastructure ladder: Infrastructure Lead</t>
          </r>
        </is>
      </c>
      <c r="AJ36" s="179" t="inlineStr">
        <is>
          <t>ITIL 4; ISO/IEC 27001:2022; SFIA infrastructure</t>
        </is>
      </c>
      <c r="AK36" s="179" t="inlineStr">
        <is>
          <t>B3 · Lead Specialist</t>
        </is>
      </c>
      <c r="AL36" s="129" t="inlineStr">
        <is>
          <t>Project / programme management</t>
        </is>
      </c>
      <c r="AM36" s="130" t="inlineStr">
        <is>
          <t>—</t>
        </is>
      </c>
      <c r="AN36" s="130" t="inlineStr">
        <is>
          <t>—</t>
        </is>
      </c>
      <c r="AO36" s="130" t="inlineStr">
        <is>
          <t>—</t>
        </is>
      </c>
      <c r="AP36" s="130" t="inlineStr">
        <is>
          <t>—</t>
        </is>
      </c>
      <c r="AQ36" s="130" t="inlineStr">
        <is>
          <t>—</t>
        </is>
      </c>
      <c r="AR36" s="131" t="inlineStr">
        <is>
          <t>Provide secure organisational technology services. Includes: Internal infrastructure, employee technology and enterprise security. Excludes: Customer product support; application development.</t>
        </is>
      </c>
      <c r="AS36" s="132" t="inlineStr">
        <is>
          <t>LD13-1 · IT Operations / Security Manager</t>
        </is>
      </c>
      <c r="AT36" s="132" t="inlineStr">
        <is>
          <t>Own staffing decisions, performance support, service quality and delegated team resources</t>
        </is>
      </c>
      <c r="AU36" s="132" t="inlineStr">
        <is>
          <t>Do not manufacture three reporting layers. Choose roles the organisation needs. A specialist may remain on an equally valued expert path.</t>
        </is>
      </c>
      <c r="AV36" s="132" t="inlineStr">
        <is>
          <t>—</t>
        </is>
      </c>
      <c r="AW36" s="132" t="inlineStr">
        <is>
          <t>—</t>
        </is>
      </c>
      <c r="AX36" s="133" t="inlineStr">
        <is>
          <t>Framework only · fewer than 3 answered</t>
        </is>
      </c>
      <c r="AY36" s="134" t="inlineStr">
        <is>
          <t>1 holder, 1 answered the survey; sub-family 1 answered</t>
        </is>
      </c>
    </row>
    <row r="37" ht="106" customHeight="1">
      <c r="A37" s="177" t="inlineStr">
        <is>
          <t>RC-108</t>
        </is>
      </c>
      <c r="B37" s="111" t="inlineStr">
        <is>
          <t>IT &amp; Infrastructure</t>
        </is>
      </c>
      <c r="C37" s="111" t="inlineStr">
        <is>
          <t>Infrastructure &amp; Cloud Operations</t>
        </is>
      </c>
      <c r="D37" s="151" t="inlineStr">
        <is>
          <t>A3</t>
        </is>
      </c>
      <c r="E37" s="139" t="inlineStr">
        <is>
          <t>Senior Associate</t>
        </is>
      </c>
      <c r="F37" s="111" t="inlineStr">
        <is>
          <t>IC</t>
        </is>
      </c>
      <c r="G37" s="111" t="inlineStr">
        <is>
          <t>Senior System Administrator · Infrastructure Specialist</t>
        </is>
      </c>
      <c r="H37" s="112" t="n">
        <v>8</v>
      </c>
      <c r="I37" s="111" t="inlineStr">
        <is>
          <t>Corporate 8</t>
        </is>
      </c>
      <c r="J37" s="162" t="n">
        <v>8</v>
      </c>
      <c r="K37" s="114" t="inlineStr">
        <is>
          <t>Amit Gangaram Kamble, Gouri Kohale, Hemant Chordekar, Ketan Balbhadra Yadav, Nimit Sadafal, Rajyalakshmi Koyagura, Sandip Mane, Vishal Vare</t>
        </is>
      </c>
      <c r="L37" s="114" t="inlineStr">
        <is>
          <t>IT &amp; Infrastructure</t>
        </is>
      </c>
      <c r="M37" s="118" t="inlineStr">
        <is>
          <r>
            <rPr>
              <rFont val="Calibri"/>
              <sz val="10"/>
            </rPr>
            <t xml:space="preserve">Runs servers, AD/DNS, network, cloud, hosting, backup and DR. At A3: varied work; reviews juniors; go-to for a process.
</t>
          </r>
          <r>
            <rPr>
              <rFont val="Calibri"/>
              <b val="1"/>
              <sz val="10"/>
            </rPr>
            <t>Common themes in role-holders' answers:</t>
          </r>
          <r>
            <rPr>
              <rFont val="Calibri"/>
              <sz val="10"/>
            </rPr>
            <t xml:space="preserve"> server · support · security · windows · infrastructure · system</t>
          </r>
        </is>
      </c>
      <c r="N37" s="164" t="inlineStr">
        <is>
          <r>
            <rPr>
              <rFont val="Calibri"/>
              <sz val="10"/>
            </rPr>
            <t xml:space="preserve">Runs servers, AD/DNS, network, cloud, hosting, backup and DR; Varied and non-standard work; handles exceptions; A module / process, or work with client or regulatory consequences
</t>
          </r>
          <r>
            <rPr>
              <rFont val="Calibri"/>
              <b val="1"/>
              <sz val="10"/>
            </rPr>
            <t>Common themes in role-holders' answers:</t>
          </r>
          <r>
            <rPr>
              <rFont val="Calibri"/>
              <sz val="10"/>
            </rPr>
            <t xml:space="preserve"> server · dns · security · cloud · monitoring · administration</t>
          </r>
        </is>
      </c>
      <c r="O37"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system · infrastructure · secure · availability · monitoring · disaster</t>
          </r>
        </is>
      </c>
      <c r="P37"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availability · am · accountable · uptime · security · server</t>
          </r>
        </is>
      </c>
      <c r="Q37" s="164" t="inlineStr">
        <is>
          <r>
            <rPr>
              <rFont val="Calibri"/>
              <sz val="10"/>
            </rPr>
            <t xml:space="preserve">Technical / QC / client calls on own work
</t>
          </r>
          <r>
            <rPr>
              <rFont val="Calibri"/>
              <b val="1"/>
              <sz val="10"/>
            </rPr>
            <t>Common themes in role-holders' answers:</t>
          </r>
          <r>
            <rPr>
              <rFont val="Calibri"/>
              <sz val="10"/>
            </rPr>
            <t xml:space="preserve"> backup · optimize · monitor · resolve</t>
          </r>
        </is>
      </c>
      <c r="R37" s="164" t="inlineStr">
        <is>
          <t>—</t>
        </is>
      </c>
      <c r="S37" s="164" t="inlineStr">
        <is>
          <t>Infra</t>
        </is>
      </c>
      <c r="T37" s="164" t="inlineStr">
        <is>
          <t>—</t>
        </is>
      </c>
      <c r="U37" s="119" t="inlineStr">
        <is>
          <t>Varied work; reviews juniors; go-to for a process</t>
        </is>
      </c>
      <c r="V37" s="165" t="inlineStr">
        <is>
          <t>Varied and non-standard work; handles exceptions</t>
        </is>
      </c>
      <c r="W37" s="165" t="inlineStr">
        <is>
          <t>Technical / QC / client calls on own work</t>
        </is>
      </c>
      <c r="X37" s="165" t="inlineStr">
        <is>
          <t>A module / process, or work with client or regulatory consequences</t>
        </is>
      </c>
      <c r="Y37" s="165" t="inlineStr">
        <is>
          <t>Not scored in Band A</t>
        </is>
      </c>
      <c r="Z37" s="165" t="inlineStr">
        <is>
          <t>2–4 yrs</t>
        </is>
      </c>
      <c r="AA37" s="165" t="inlineStr">
        <is>
          <t>Graduate; relevant certification preferred</t>
        </is>
      </c>
      <c r="AB37" s="165" t="inlineStr">
        <is>
          <t>Microsoft / CCNA / ISO 27001 / ITIL; AWS / Azure / Kubernetes certifications</t>
        </is>
      </c>
      <c r="AC37" s="165" t="inlineStr">
        <is>
          <t>None · guides 1–3 juniors informally</t>
        </is>
      </c>
      <c r="AD37" s="121" t="inlineStr">
        <is>
          <t>Core 2 · Future-ready 2 · Functional 3 · Leadership —</t>
        </is>
      </c>
      <c r="AE37" s="122" t="inlineStr">
        <is>
          <t>Cybersecurity &amp; Infrastructure · Cloud, DevOps &amp; CI/CD</t>
        </is>
      </c>
      <c r="AF37" s="122" t="inlineStr">
        <is>
          <t>Process Improvement &amp; Quality Mindset · Stakeholder &amp; Client Management · Time, Priority &amp; Self-Management · AI, GenAI &amp; Prompt Engineering</t>
        </is>
      </c>
      <c r="AG37" s="178" t="inlineStr">
        <is>
          <t>P2</t>
        </is>
      </c>
      <c r="AH37" s="128" t="inlineStr">
        <is>
          <t>3 Apply</t>
        </is>
      </c>
      <c r="AI37" s="179" t="inlineStr">
        <is>
          <r>
            <rPr>
              <rFont val="Calibri"/>
              <b val="1"/>
              <sz val="10"/>
            </rPr>
            <t>Atlassian company-wide P-levels:</t>
          </r>
          <r>
            <rPr>
              <rFont val="Calibri"/>
              <sz val="10"/>
            </rPr>
            <t xml:space="preserve"> P40 · IRIS Vs Competitor Benchmark — infrastructure ladder: System Administrator</t>
          </r>
        </is>
      </c>
      <c r="AJ37" s="179" t="inlineStr">
        <is>
          <t>ITIL 4; ISO/IEC 27001:2022; SFIA infrastructure</t>
        </is>
      </c>
      <c r="AK37" s="179" t="inlineStr">
        <is>
          <t>B1 · Specialist</t>
        </is>
      </c>
      <c r="AL37" s="129" t="inlineStr">
        <is>
          <t>Technical depth &amp; architecture · Leadership &amp; people management · Project / programme management · Data, SQL &amp; analytics · Strategy &amp; business acumen</t>
        </is>
      </c>
      <c r="AM37" s="130" t="inlineStr">
        <is>
          <t>—</t>
        </is>
      </c>
      <c r="AN37" s="130" t="inlineStr">
        <is>
          <t>On-the-job / hands-on · Formal / classroom training · Mentoring / guidance from seniors · Certification</t>
        </is>
      </c>
      <c r="AO37" s="130" t="inlineStr">
        <is>
          <t>delays · dependency · approval</t>
        </is>
      </c>
      <c r="AP37" s="130" t="inlineStr">
        <is>
          <t>faster · monitoring · support · improve · clearer</t>
        </is>
      </c>
      <c r="AQ37" s="130" t="inlineStr">
        <is>
          <t>3 of 6 say the role is changing because of AI / automation</t>
        </is>
      </c>
      <c r="AR37" s="131" t="inlineStr">
        <is>
          <t>Provide secure organisational technology services. Includes: Internal infrastructure, employee technology and enterprise security. Excludes: Customer product support; application development.</t>
        </is>
      </c>
      <c r="AS37" s="132" t="inlineStr">
        <is>
          <t>IT01-2 · Cloud Infrastructure Engineer</t>
        </is>
      </c>
      <c r="AT37" s="132" t="inlineStr">
        <is>
          <t>Operate secure infrastructure and verify restoration.</t>
        </is>
      </c>
      <c r="AU37" s="132" t="inlineStr">
        <is>
          <t>Demonstrate routine delivery plus judgement in bounded exceptions.</t>
        </is>
      </c>
      <c r="AV37" s="132" t="inlineStr">
        <is>
          <t>A supported environment with secure configuration and tested restoration</t>
        </is>
      </c>
      <c r="AW37" s="132" t="inlineStr">
        <is>
          <r>
            <rPr>
              <rFont val="Calibri"/>
              <b val="1"/>
              <sz val="10"/>
            </rPr>
            <t>Workiva:</t>
          </r>
          <r>
            <rPr>
              <rFont val="Calibri"/>
              <sz val="10"/>
            </rPr>
            <t xml:space="preserve"> Principal Security Engineer · Related work. Gap: Security architecture context does not establish infrastructure operations grades</t>
          </r>
        </is>
      </c>
      <c r="AX37" s="183" t="inlineStr">
        <is>
          <t>Framework + role-holders' themes · 3+ answered</t>
        </is>
      </c>
      <c r="AY37" s="134" t="inlineStr">
        <is>
          <t>8 holders, 6 answered the survey; sub-family 9 answered</t>
        </is>
      </c>
    </row>
    <row r="38" ht="93" customHeight="1">
      <c r="A38" s="177" t="inlineStr">
        <is>
          <t>RC-109</t>
        </is>
      </c>
      <c r="B38" s="111" t="inlineStr">
        <is>
          <t>IT &amp; Infrastructure</t>
        </is>
      </c>
      <c r="C38" s="111" t="inlineStr">
        <is>
          <t>Infrastructure &amp; Cloud Operations</t>
        </is>
      </c>
      <c r="D38" s="150" t="inlineStr">
        <is>
          <t>B1</t>
        </is>
      </c>
      <c r="E38" s="21" t="inlineStr">
        <is>
          <t>Specialist</t>
        </is>
      </c>
      <c r="F38" s="111" t="inlineStr">
        <is>
          <t>IC</t>
        </is>
      </c>
      <c r="G38" s="111" t="inlineStr">
        <is>
          <t>Infrastructure Specialist · Infrastructure Specialist – POD Lead</t>
        </is>
      </c>
      <c r="H38" s="112" t="n">
        <v>2</v>
      </c>
      <c r="I38" s="111" t="inlineStr">
        <is>
          <t>Corporate 2</t>
        </is>
      </c>
      <c r="J38" s="162" t="n">
        <v>2</v>
      </c>
      <c r="K38" s="114" t="inlineStr">
        <is>
          <t>Rajit Kumar Sahu, Ramesh Kone</t>
        </is>
      </c>
      <c r="L38" s="114" t="inlineStr">
        <is>
          <t>IT &amp; Infrastructure</t>
        </is>
      </c>
      <c r="M38" s="118" t="inlineStr">
        <is>
          <r>
            <rPr>
              <rFont val="Calibri"/>
              <sz val="10"/>
            </rPr>
            <t xml:space="preserve">Runs servers, AD/DNS, network, cloud, hosting, backup and DR. At B1: a domain / module, or a small team.
</t>
          </r>
          <r>
            <rPr>
              <rFont val="Calibri"/>
              <b val="1"/>
              <sz val="10"/>
            </rPr>
            <t>Common themes in sub-family holders, all levels' answers:</t>
          </r>
          <r>
            <rPr>
              <rFont val="Calibri"/>
              <sz val="10"/>
            </rPr>
            <t xml:space="preserve"> support · infra · services · secure · availability · windows</t>
          </r>
        </is>
      </c>
      <c r="N38" s="164" t="inlineStr">
        <is>
          <r>
            <rPr>
              <rFont val="Calibri"/>
              <sz val="10"/>
            </rPr>
            <t xml:space="preserve">Runs servers, AD/DNS, network, cloud, hosting, backup and DR; Domain specialist work; A domain or a small team
</t>
          </r>
          <r>
            <rPr>
              <rFont val="Calibri"/>
              <b val="1"/>
              <sz val="10"/>
            </rPr>
            <t>Common themes in sub-family holders, all levels' answers:</t>
          </r>
          <r>
            <rPr>
              <rFont val="Calibri"/>
              <sz val="10"/>
            </rPr>
            <t xml:space="preserve"> management · server · cloud · administration · dns · incident</t>
          </r>
        </is>
      </c>
      <c r="O38" s="164" t="inlineStr">
        <is>
          <r>
            <rPr>
              <rFont val="Calibri"/>
              <sz val="10"/>
            </rPr>
            <t xml:space="preserve">A domain or a small team
</t>
          </r>
          <r>
            <rPr>
              <rFont val="Calibri"/>
              <b val="1"/>
              <sz val="10"/>
            </rPr>
            <t>Common themes in sub-family holders, all levels' answers:</t>
          </r>
          <r>
            <rPr>
              <rFont val="Calibri"/>
              <sz val="10"/>
            </rPr>
            <t xml:space="preserve"> secure · system · infrastructure · server · support · availability</t>
          </r>
        </is>
      </c>
      <c r="P38" s="164" t="inlineStr">
        <is>
          <r>
            <rPr>
              <rFont val="Calibri"/>
              <sz val="10"/>
            </rPr>
            <t xml:space="preserve">A domain or a small team
</t>
          </r>
          <r>
            <rPr>
              <rFont val="Calibri"/>
              <b val="1"/>
              <sz val="10"/>
            </rPr>
            <t>Common themes in sub-family holders, all levels' answers:</t>
          </r>
          <r>
            <rPr>
              <rFont val="Calibri"/>
              <sz val="10"/>
            </rPr>
            <t xml:space="preserve"> availability · security · accountable · am · performance · infrastructure</t>
          </r>
        </is>
      </c>
      <c r="Q38" s="164" t="inlineStr">
        <is>
          <r>
            <rPr>
              <rFont val="Calibri"/>
              <sz val="10"/>
            </rPr>
            <t xml:space="preserve">Technical / QC / client calls for the domain
</t>
          </r>
          <r>
            <rPr>
              <rFont val="Calibri"/>
              <b val="1"/>
              <sz val="10"/>
            </rPr>
            <t>Common themes in sub-family holders, all levels' answers:</t>
          </r>
          <r>
            <rPr>
              <rFont val="Calibri"/>
              <sz val="10"/>
            </rPr>
            <t xml:space="preserve"> backup · tuning · incident · failed · performance · optimize</t>
          </r>
        </is>
      </c>
      <c r="R38" s="164" t="inlineStr">
        <is>
          <t>—</t>
        </is>
      </c>
      <c r="S38" s="164" t="inlineStr">
        <is>
          <t>Infra</t>
        </is>
      </c>
      <c r="T38" s="164" t="inlineStr">
        <is>
          <t>AWS</t>
        </is>
      </c>
      <c r="U38" s="119" t="inlineStr">
        <is>
          <t>A domain / module, or a small team</t>
        </is>
      </c>
      <c r="V38" s="165" t="inlineStr">
        <is>
          <t>Domain specialist work</t>
        </is>
      </c>
      <c r="W38" s="165" t="inlineStr">
        <is>
          <t>Technical / QC / client calls for the domain</t>
        </is>
      </c>
      <c r="X38" s="165" t="inlineStr">
        <is>
          <t>A domain or a small team</t>
        </is>
      </c>
      <c r="Y38" s="165" t="inlineStr">
        <is>
          <r>
            <rPr>
              <rFont val="Calibri"/>
              <b val="1"/>
              <sz val="10"/>
            </rPr>
            <t>IC:</t>
          </r>
          <r>
            <rPr>
              <rFont val="Calibri"/>
              <sz val="10"/>
            </rPr>
            <t xml:space="preserve"> mentors and reviews · People: hands-on team lead of 3–5</t>
          </r>
        </is>
      </c>
      <c r="Z38" s="165" t="inlineStr">
        <is>
          <t>4–7 yrs</t>
        </is>
      </c>
      <c r="AA38" s="165" t="inlineStr">
        <is>
          <t>Graduate + relevant qualification or certification preferred</t>
        </is>
      </c>
      <c r="AB38" s="165" t="inlineStr">
        <is>
          <t>Microsoft / CCNA / ISO 27001 / ITIL; AWS / Azure / Kubernetes certifications</t>
        </is>
      </c>
      <c r="AC38" s="165" t="inlineStr">
        <is>
          <r>
            <rPr>
              <rFont val="Calibri"/>
              <b val="1"/>
              <sz val="10"/>
            </rPr>
            <t>IC:</t>
          </r>
          <r>
            <rPr>
              <rFont val="Calibri"/>
              <sz val="10"/>
            </rPr>
            <t xml:space="preserve"> none · Team Lead: 3–5</t>
          </r>
        </is>
      </c>
      <c r="AD38" s="121" t="inlineStr">
        <is>
          <t>Core 3 · Future-ready 3 · Functional 3 · Leadership 1</t>
        </is>
      </c>
      <c r="AE38" s="122" t="inlineStr">
        <is>
          <t>Cybersecurity &amp; Infrastructure · Cloud, DevOps &amp; CI/CD</t>
        </is>
      </c>
      <c r="AF38" s="122" t="inlineStr">
        <is>
          <t>Process Improvement &amp; Quality Mindset · Stakeholder &amp; Client Management · Time, Priority &amp; Self-Management · AI, GenAI &amp; Prompt Engineering</t>
        </is>
      </c>
      <c r="AG38" s="178" t="inlineStr">
        <is>
          <t>P3 / M2</t>
        </is>
      </c>
      <c r="AH38" s="128" t="inlineStr">
        <is>
          <t>4 Enable</t>
        </is>
      </c>
      <c r="AI38" s="179" t="inlineStr">
        <is>
          <r>
            <rPr>
              <rFont val="Calibri"/>
              <b val="1"/>
              <sz val="10"/>
            </rPr>
            <t>Atlassian company-wide P-levels:</t>
          </r>
          <r>
            <rPr>
              <rFont val="Calibri"/>
              <sz val="10"/>
            </rPr>
            <t xml:space="preserve"> P40 · IRIS Vs Competitor Benchmark — infrastructure ladder: Senior SysAdmin</t>
          </r>
        </is>
      </c>
      <c r="AJ38" s="179" t="inlineStr">
        <is>
          <t>ITIL 4; ISO/IEC 27001:2022; SFIA infrastructure</t>
        </is>
      </c>
      <c r="AK38" s="179" t="inlineStr">
        <is>
          <t>B2 · Senior Specialist</t>
        </is>
      </c>
      <c r="AL38" s="129" t="inlineStr">
        <is>
          <t>Technical depth &amp; architecture · Leadership &amp; people management · Domain, regulatory &amp; XBRL · Strategy &amp; business acumen</t>
        </is>
      </c>
      <c r="AM38" s="130" t="inlineStr">
        <is>
          <t>—</t>
        </is>
      </c>
      <c r="AN38" s="130" t="inlineStr">
        <is>
          <t>On-the-job / hands-on · Formal / classroom training · Mentoring / guidance from seniors · Certification</t>
        </is>
      </c>
      <c r="AO38" s="130" t="inlineStr">
        <is>
          <t>delays · approval · dependencies · dependency · unplanned</t>
        </is>
      </c>
      <c r="AP38" s="130" t="inlineStr">
        <is>
          <t>faster · monitoring · support · improve · strengthen</t>
        </is>
      </c>
      <c r="AQ38" s="130" t="inlineStr">
        <is>
          <t>6 of 9 say the role is changing because of AI / automation</t>
        </is>
      </c>
      <c r="AR38" s="131" t="inlineStr">
        <is>
          <t>Provide secure organisational technology services. Includes: Internal infrastructure, employee technology and enterprise security. Excludes: Customer product support; application development.</t>
        </is>
      </c>
      <c r="AS38" s="132" t="inlineStr">
        <is>
          <t>IT01-3 · Senior Infrastructure Engineer</t>
        </is>
      </c>
      <c r="AT38" s="132" t="inlineStr">
        <is>
          <t>Own availability, identity and complex infrastructure changes.</t>
        </is>
      </c>
      <c r="AU38" s="132" t="inlineStr">
        <is>
          <t>Evidence of complex work, decisions and outcomes beyond routine delivery.</t>
        </is>
      </c>
      <c r="AV38" s="132" t="inlineStr">
        <is>
          <t>A supported environment with secure configuration and tested restoration</t>
        </is>
      </c>
      <c r="AW38" s="132" t="inlineStr">
        <is>
          <r>
            <rPr>
              <rFont val="Calibri"/>
              <b val="1"/>
              <sz val="10"/>
            </rPr>
            <t>Workiva:</t>
          </r>
          <r>
            <rPr>
              <rFont val="Calibri"/>
              <sz val="10"/>
            </rPr>
            <t xml:space="preserve"> Principal Security Engineer · Related work. Gap: Security architecture context does not establish infrastructure operations grades</t>
          </r>
        </is>
      </c>
      <c r="AX38" s="181" t="inlineStr">
        <is>
          <t>Framework + sub-family themes · 3+ answered</t>
        </is>
      </c>
      <c r="AY38" s="134" t="inlineStr">
        <is>
          <t>2 holders, 2 answered the survey; sub-family 9 answered</t>
        </is>
      </c>
    </row>
    <row r="39" ht="93" customHeight="1">
      <c r="A39" s="177" t="inlineStr">
        <is>
          <t>RC-110</t>
        </is>
      </c>
      <c r="B39" s="111" t="inlineStr">
        <is>
          <t>IT &amp; Infrastructure</t>
        </is>
      </c>
      <c r="C39" s="111" t="inlineStr">
        <is>
          <t>Infrastructure &amp; Cloud Operations</t>
        </is>
      </c>
      <c r="D39" s="150" t="inlineStr">
        <is>
          <t>B1</t>
        </is>
      </c>
      <c r="E39" s="21" t="inlineStr">
        <is>
          <t>Team Lead</t>
        </is>
      </c>
      <c r="F39" s="111" t="inlineStr">
        <is>
          <t>Manager</t>
        </is>
      </c>
      <c r="G39" s="111" t="inlineStr">
        <is>
          <t>IT Infrastructure Manager</t>
        </is>
      </c>
      <c r="H39" s="112" t="n">
        <v>1</v>
      </c>
      <c r="I39" s="111" t="inlineStr">
        <is>
          <t>Corporate 1</t>
        </is>
      </c>
      <c r="J39" s="162" t="n">
        <v>1</v>
      </c>
      <c r="K39" s="114" t="inlineStr">
        <is>
          <t>Vikas Mithbawkar</t>
        </is>
      </c>
      <c r="L39" s="114" t="inlineStr">
        <is>
          <t>IT &amp; Infrastructure</t>
        </is>
      </c>
      <c r="M39" s="118" t="inlineStr">
        <is>
          <r>
            <rPr>
              <rFont val="Calibri"/>
              <sz val="10"/>
            </rPr>
            <t xml:space="preserve">Runs servers, AD/DNS, network, cloud, hosting, backup and DR. At B1: a domain / module, or a small team.
</t>
          </r>
          <r>
            <rPr>
              <rFont val="Calibri"/>
              <b val="1"/>
              <sz val="10"/>
            </rPr>
            <t>Common themes in sub-family holders, all levels' answers:</t>
          </r>
          <r>
            <rPr>
              <rFont val="Calibri"/>
              <sz val="10"/>
            </rPr>
            <t xml:space="preserve"> support · infra · services · secure · availability · windows</t>
          </r>
        </is>
      </c>
      <c r="N39" s="164" t="inlineStr">
        <is>
          <r>
            <rPr>
              <rFont val="Calibri"/>
              <sz val="10"/>
            </rPr>
            <t xml:space="preserve">Runs servers, AD/DNS, network, cloud, hosting, backup and DR; Domain specialist work; A domain or a small team
</t>
          </r>
          <r>
            <rPr>
              <rFont val="Calibri"/>
              <b val="1"/>
              <sz val="10"/>
            </rPr>
            <t>Common themes in sub-family holders, all levels' answers:</t>
          </r>
          <r>
            <rPr>
              <rFont val="Calibri"/>
              <sz val="10"/>
            </rPr>
            <t xml:space="preserve"> management · server · cloud · administration · dns · incident</t>
          </r>
        </is>
      </c>
      <c r="O39" s="164" t="inlineStr">
        <is>
          <r>
            <rPr>
              <rFont val="Calibri"/>
              <sz val="10"/>
            </rPr>
            <t xml:space="preserve">A domain or a small team
</t>
          </r>
          <r>
            <rPr>
              <rFont val="Calibri"/>
              <b val="1"/>
              <sz val="10"/>
            </rPr>
            <t>Common themes in sub-family holders, all levels' answers:</t>
          </r>
          <r>
            <rPr>
              <rFont val="Calibri"/>
              <sz val="10"/>
            </rPr>
            <t xml:space="preserve"> secure · system · infrastructure · server · support · availability</t>
          </r>
        </is>
      </c>
      <c r="P39" s="164" t="inlineStr">
        <is>
          <r>
            <rPr>
              <rFont val="Calibri"/>
              <sz val="10"/>
            </rPr>
            <t xml:space="preserve">A domain or a small team
</t>
          </r>
          <r>
            <rPr>
              <rFont val="Calibri"/>
              <b val="1"/>
              <sz val="10"/>
            </rPr>
            <t>Common themes in sub-family holders, all levels' answers:</t>
          </r>
          <r>
            <rPr>
              <rFont val="Calibri"/>
              <sz val="10"/>
            </rPr>
            <t xml:space="preserve"> availability · security · accountable · am · performance · infrastructure</t>
          </r>
        </is>
      </c>
      <c r="Q39" s="164" t="inlineStr">
        <is>
          <r>
            <rPr>
              <rFont val="Calibri"/>
              <sz val="10"/>
            </rPr>
            <t xml:space="preserve">Technical / QC / client calls for the domain
</t>
          </r>
          <r>
            <rPr>
              <rFont val="Calibri"/>
              <b val="1"/>
              <sz val="10"/>
            </rPr>
            <t>Common themes in sub-family holders, all levels' answers:</t>
          </r>
          <r>
            <rPr>
              <rFont val="Calibri"/>
              <sz val="10"/>
            </rPr>
            <t xml:space="preserve"> backup · tuning · incident · failed · performance · optimize</t>
          </r>
        </is>
      </c>
      <c r="R39" s="164" t="inlineStr">
        <is>
          <t>—</t>
        </is>
      </c>
      <c r="S39" s="164" t="inlineStr">
        <is>
          <t>Infra</t>
        </is>
      </c>
      <c r="T39" s="164" t="inlineStr">
        <is>
          <t>AWS</t>
        </is>
      </c>
      <c r="U39" s="119" t="inlineStr">
        <is>
          <t>A domain / module, or a small team</t>
        </is>
      </c>
      <c r="V39" s="165" t="inlineStr">
        <is>
          <t>Domain specialist work</t>
        </is>
      </c>
      <c r="W39" s="165" t="inlineStr">
        <is>
          <t>Technical / QC / client calls for the domain</t>
        </is>
      </c>
      <c r="X39" s="165" t="inlineStr">
        <is>
          <t>A domain or a small team</t>
        </is>
      </c>
      <c r="Y39" s="165" t="inlineStr">
        <is>
          <r>
            <rPr>
              <rFont val="Calibri"/>
              <b val="1"/>
              <sz val="10"/>
            </rPr>
            <t>IC:</t>
          </r>
          <r>
            <rPr>
              <rFont val="Calibri"/>
              <sz val="10"/>
            </rPr>
            <t xml:space="preserve"> mentors and reviews · People: hands-on team lead of 3–5</t>
          </r>
        </is>
      </c>
      <c r="Z39" s="165" t="inlineStr">
        <is>
          <t>4–7 yrs</t>
        </is>
      </c>
      <c r="AA39" s="165" t="inlineStr">
        <is>
          <t>Graduate + relevant qualification or certification preferred</t>
        </is>
      </c>
      <c r="AB39" s="165" t="inlineStr">
        <is>
          <t>Microsoft / CCNA / ISO 27001 / ITIL; AWS / Azure / Kubernetes certifications</t>
        </is>
      </c>
      <c r="AC39" s="165" t="inlineStr">
        <is>
          <r>
            <rPr>
              <rFont val="Calibri"/>
              <b val="1"/>
              <sz val="10"/>
            </rPr>
            <t>IC:</t>
          </r>
          <r>
            <rPr>
              <rFont val="Calibri"/>
              <sz val="10"/>
            </rPr>
            <t xml:space="preserve"> none · Team Lead: 3–5</t>
          </r>
        </is>
      </c>
      <c r="AD39" s="121" t="inlineStr">
        <is>
          <t>Core 3 · Future-ready 3 · Functional 3 · Leadership 2</t>
        </is>
      </c>
      <c r="AE39" s="122" t="inlineStr">
        <is>
          <t>Cybersecurity &amp; Infrastructure · Cloud, DevOps &amp; CI/CD</t>
        </is>
      </c>
      <c r="AF39" s="122" t="inlineStr">
        <is>
          <t>Process Improvement &amp; Quality Mindset · Stakeholder &amp; Client Management · Time, Priority &amp; Self-Management · AI, GenAI &amp; Prompt Engineering</t>
        </is>
      </c>
      <c r="AG39" s="178" t="inlineStr">
        <is>
          <t>P3 / M2</t>
        </is>
      </c>
      <c r="AH39" s="128" t="inlineStr">
        <is>
          <t>4 Enable</t>
        </is>
      </c>
      <c r="AI39" s="179" t="inlineStr">
        <is>
          <r>
            <rPr>
              <rFont val="Calibri"/>
              <b val="1"/>
              <sz val="10"/>
            </rPr>
            <t>Atlassian company-wide P-levels:</t>
          </r>
          <r>
            <rPr>
              <rFont val="Calibri"/>
              <sz val="10"/>
            </rPr>
            <t xml:space="preserve"> P40 · IRIS Vs Competitor Benchmark — infrastructure ladder: Senior SysAdmin</t>
          </r>
        </is>
      </c>
      <c r="AJ39" s="179" t="inlineStr">
        <is>
          <t>ITIL 4; ISO/IEC 27001:2022; SFIA infrastructure</t>
        </is>
      </c>
      <c r="AK39" s="179" t="inlineStr">
        <is>
          <t>B2 · Senior Specialist</t>
        </is>
      </c>
      <c r="AL39" s="129" t="inlineStr">
        <is>
          <t>AI / automation · Leadership &amp; people management · Technical depth &amp; architecture</t>
        </is>
      </c>
      <c r="AM39" s="130" t="inlineStr">
        <is>
          <t>—</t>
        </is>
      </c>
      <c r="AN39" s="130" t="inlineStr">
        <is>
          <t>On-the-job / hands-on · Formal / classroom training · Mentoring / guidance from seniors · Certification</t>
        </is>
      </c>
      <c r="AO39" s="130" t="inlineStr">
        <is>
          <t>delays · approval · dependencies · dependency · unplanned</t>
        </is>
      </c>
      <c r="AP39" s="130" t="inlineStr">
        <is>
          <t>faster · monitoring · support · improve · strengthen</t>
        </is>
      </c>
      <c r="AQ39" s="130" t="inlineStr">
        <is>
          <t>6 of 9 say the role is changing because of AI / automation</t>
        </is>
      </c>
      <c r="AR39" s="131" t="inlineStr">
        <is>
          <t>Provide secure organisational technology services. Includes: Internal infrastructure, employee technology and enterprise security. Excludes: Customer product support; application development.</t>
        </is>
      </c>
      <c r="AS39" s="132" t="inlineStr">
        <is>
          <t>LD13-1 · IT Operations / Security Manager</t>
        </is>
      </c>
      <c r="AT39" s="132" t="inlineStr">
        <is>
          <t>Own staffing decisions, performance support, service quality and delegated team resources</t>
        </is>
      </c>
      <c r="AU39" s="132" t="inlineStr">
        <is>
          <t>Do not manufacture three reporting layers. Choose roles the organisation needs. A specialist may remain on an equally valued expert path.</t>
        </is>
      </c>
      <c r="AV39" s="132" t="inlineStr">
        <is>
          <t>—</t>
        </is>
      </c>
      <c r="AW39" s="132" t="inlineStr">
        <is>
          <t>—</t>
        </is>
      </c>
      <c r="AX39" s="181" t="inlineStr">
        <is>
          <t>Framework + sub-family themes · 3+ answered</t>
        </is>
      </c>
      <c r="AY39" s="134" t="inlineStr">
        <is>
          <t>1 holder, 1 answered the survey; sub-family 9 answered</t>
        </is>
      </c>
    </row>
    <row r="40">
      <c r="A40" s="160" t="inlineStr">
        <is>
          <t>Marketing &amp; Communications</t>
        </is>
      </c>
    </row>
    <row r="41" ht="93" customHeight="1">
      <c r="A41" s="177" t="inlineStr">
        <is>
          <t>RC-113</t>
        </is>
      </c>
      <c r="B41" s="111" t="inlineStr">
        <is>
          <t>Marketing &amp; Communications</t>
        </is>
      </c>
      <c r="C41" s="111" t="inlineStr">
        <is>
          <t>Content Marketing</t>
        </is>
      </c>
      <c r="D41" s="150" t="inlineStr">
        <is>
          <t>B2</t>
        </is>
      </c>
      <c r="E41" s="21" t="inlineStr">
        <is>
          <t>Senior Specialist</t>
        </is>
      </c>
      <c r="F41" s="111" t="inlineStr">
        <is>
          <t>IC</t>
        </is>
      </c>
      <c r="G41" s="111" t="inlineStr">
        <is>
          <t>Senior Content Marketing Specialist</t>
        </is>
      </c>
      <c r="H41" s="112" t="n">
        <v>1</v>
      </c>
      <c r="I41" s="111" t="inlineStr">
        <is>
          <t>Corporate 1</t>
        </is>
      </c>
      <c r="J41" s="162" t="n">
        <v>1</v>
      </c>
      <c r="K41" s="114" t="inlineStr">
        <is>
          <t>Barsha Gloria Gomes</t>
        </is>
      </c>
      <c r="L41" s="114" t="inlineStr">
        <is>
          <t>Marketing</t>
        </is>
      </c>
      <c r="M41" s="118" t="inlineStr">
        <is>
          <r>
            <rPr>
              <rFont val="Calibri"/>
              <sz val="10"/>
            </rPr>
            <t xml:space="preserve">Writes blogs, web copy, collateral and social content. At B2: deep domain expertise, or one team.
</t>
          </r>
          <r>
            <rPr>
              <rFont val="Calibri"/>
              <b val="1"/>
              <sz val="10"/>
            </rPr>
            <t>Common themes in sub-family holders, all levels' answers:</t>
          </r>
          <r>
            <rPr>
              <rFont val="Calibri"/>
              <sz val="10"/>
            </rPr>
            <t xml:space="preserve"> content · creation · brand · marketing · leads · through</t>
          </r>
        </is>
      </c>
      <c r="N41" s="164" t="inlineStr">
        <is>
          <r>
            <rPr>
              <rFont val="Calibri"/>
              <sz val="10"/>
            </rPr>
            <t xml:space="preserve">Writes blogs, web copy, collateral and social content; Hardest problems in the domain; One team or a client portfolio
</t>
          </r>
          <r>
            <rPr>
              <rFont val="Calibri"/>
              <b val="1"/>
              <sz val="10"/>
            </rPr>
            <t>Common themes in sub-family holders, all levels' answers:</t>
          </r>
          <r>
            <rPr>
              <rFont val="Calibri"/>
              <sz val="10"/>
            </rPr>
            <t xml:space="preserve"> content · blogs · week · research · campaign · assets</t>
          </r>
        </is>
      </c>
      <c r="O41" s="164" t="inlineStr">
        <is>
          <r>
            <rPr>
              <rFont val="Calibri"/>
              <sz val="10"/>
            </rPr>
            <t xml:space="preserve">One team or a client portfolio
</t>
          </r>
          <r>
            <rPr>
              <rFont val="Calibri"/>
              <b val="1"/>
              <sz val="10"/>
            </rPr>
            <t>Common themes in sub-family holders, all levels' answers:</t>
          </r>
          <r>
            <rPr>
              <rFont val="Calibri"/>
              <sz val="10"/>
            </rPr>
            <t xml:space="preserve"> content · media · social · marketing · blogs · campaigns</t>
          </r>
        </is>
      </c>
      <c r="P41" s="164" t="inlineStr">
        <is>
          <r>
            <rPr>
              <rFont val="Calibri"/>
              <sz val="10"/>
            </rPr>
            <t xml:space="preserve">One team or a client portfolio
</t>
          </r>
          <r>
            <rPr>
              <rFont val="Calibri"/>
              <b val="1"/>
              <sz val="10"/>
            </rPr>
            <t>Common themes in sub-family holders, all levels' answers:</t>
          </r>
          <r>
            <rPr>
              <rFont val="Calibri"/>
              <sz val="10"/>
            </rPr>
            <t xml:space="preserve"> content · social media · website · accountable · marketing · brand</t>
          </r>
        </is>
      </c>
      <c r="Q41" s="164" t="inlineStr">
        <is>
          <r>
            <rPr>
              <rFont val="Calibri"/>
              <sz val="10"/>
            </rPr>
            <t xml:space="preserve">Allocates people and sets team priorities
</t>
          </r>
          <r>
            <rPr>
              <rFont val="Calibri"/>
              <b val="1"/>
              <sz val="10"/>
            </rPr>
            <t>Common themes in sub-family holders, all levels' answers:</t>
          </r>
          <r>
            <rPr>
              <rFont val="Calibri"/>
              <sz val="10"/>
            </rPr>
            <t xml:space="preserve"> seo · blogs · content</t>
          </r>
        </is>
      </c>
      <c r="R41" s="164" t="inlineStr">
        <is>
          <t>—</t>
        </is>
      </c>
      <c r="S41" s="164" t="inlineStr">
        <is>
          <t>Marketing · Research skills · Content strategy · Copywriting</t>
        </is>
      </c>
      <c r="T41" s="164" t="inlineStr">
        <is>
          <t>Semrush · Google Analytics · Canva · Hubspot · Buffer · Claude</t>
        </is>
      </c>
      <c r="U41" s="119" t="inlineStr">
        <is>
          <t>Deep domain expertise, or one team</t>
        </is>
      </c>
      <c r="V41" s="165" t="inlineStr">
        <is>
          <t>Hardest problems in the domain</t>
        </is>
      </c>
      <c r="W41" s="165" t="inlineStr">
        <is>
          <t>Allocates people and sets team priorities</t>
        </is>
      </c>
      <c r="X41" s="165" t="inlineStr">
        <is>
          <t>One team or a client portfolio</t>
        </is>
      </c>
      <c r="Y41" s="165" t="inlineStr">
        <is>
          <r>
            <rPr>
              <rFont val="Calibri"/>
              <b val="1"/>
              <sz val="10"/>
            </rPr>
            <t>IC:</t>
          </r>
          <r>
            <rPr>
              <rFont val="Calibri"/>
              <sz val="10"/>
            </rPr>
            <t xml:space="preserve"> guides others in the domain · People: manages a team of 6+</t>
          </r>
        </is>
      </c>
      <c r="Z41" s="165" t="inlineStr">
        <is>
          <t>6–9 yrs</t>
        </is>
      </c>
      <c r="AA41" s="165" t="inlineStr">
        <is>
          <t>Graduate or postgraduate; professional qualification preferred</t>
        </is>
      </c>
      <c r="AB41" s="165" t="inlineStr">
        <is>
          <t>Google / HubSpot certifications</t>
        </is>
      </c>
      <c r="AC41" s="165" t="inlineStr">
        <is>
          <r>
            <rPr>
              <rFont val="Calibri"/>
              <b val="1"/>
              <sz val="10"/>
            </rPr>
            <t>IC:</t>
          </r>
          <r>
            <rPr>
              <rFont val="Calibri"/>
              <sz val="10"/>
            </rPr>
            <t xml:space="preserve"> none · People: 6–8 knowledge work, 8–12 standardised delivery</t>
          </r>
        </is>
      </c>
      <c r="AD41" s="121" t="inlineStr">
        <is>
          <t>Core 3 · Future-ready 3 · Functional 4 · Leadership 2</t>
        </is>
      </c>
      <c r="AE41" s="122" t="inlineStr">
        <is>
          <t>Marketing Tech &amp; Digital Marketing · Communication &amp; Presentation</t>
        </is>
      </c>
      <c r="AF41" s="122" t="inlineStr">
        <is>
          <t>Data Analytics, BI &amp; Visualisation · AI, GenAI &amp; Prompt Engineering · Product, Platform &amp; Domain Knowledge · Strategic Thinking &amp; Business Acumen</t>
        </is>
      </c>
      <c r="AG41" s="178" t="inlineStr">
        <is>
          <t>P4 / M3</t>
        </is>
      </c>
      <c r="AH41" s="128" t="inlineStr">
        <is>
          <t>4–5</t>
        </is>
      </c>
      <c r="AI41" s="179" t="inlineStr">
        <is>
          <t>IRIS Vs Market Benchmark — CIM proficiency scale: 3–4 · IRIS Vs Competitor Benchmark — SaaS marketing ladder: Marketing Manager</t>
        </is>
      </c>
      <c r="AJ41" s="179" t="inlineStr">
        <is>
          <t>CIM Global Professional Marketing Framework — proficiency Aware → Active learner → Able → Accomplished → Authoritative</t>
        </is>
      </c>
      <c r="AK41" s="179" t="inlineStr">
        <is>
          <t>B3 · Lead Specialist</t>
        </is>
      </c>
      <c r="AL41" s="129" t="inlineStr">
        <is>
          <t>Leadership &amp; people management</t>
        </is>
      </c>
      <c r="AM41" s="130" t="inlineStr">
        <is>
          <t>—</t>
        </is>
      </c>
      <c r="AN41" s="130" t="inlineStr">
        <is>
          <t>Formal / classroom training · Mentoring / guidance from seniors · Knowledge transfer · KT</t>
        </is>
      </c>
      <c r="AO41" s="130" t="inlineStr">
        <is>
          <t>delay · approvals · review</t>
        </is>
      </c>
      <c r="AP41" s="130" t="inlineStr">
        <is>
          <t>clarity · content</t>
        </is>
      </c>
      <c r="AQ41" s="130" t="inlineStr">
        <is>
          <t>0 of 6 say the role is changing because of AI / automation</t>
        </is>
      </c>
      <c r="AR41" s="131" t="inlineStr">
        <is>
          <t>Create market understanding, demand and reputation. Includes: Content, demand, digital, product marketing, operations and communications. Excludes: Account closing; product UX design.</t>
        </is>
      </c>
      <c r="AS41" s="132" t="inlineStr">
        <is>
          <t>MKT01-3 · Senior Content Marketing Specialist</t>
        </is>
      </c>
      <c r="AT41" s="132" t="inlineStr">
        <is>
          <t>Own an editorial programme and diagnose conversion/quality issues.</t>
        </is>
      </c>
      <c r="AU41" s="132" t="inlineStr">
        <is>
          <t>Evidence of complex work, decisions and outcomes beyond routine delivery.</t>
        </is>
      </c>
      <c r="AV41" s="132" t="inlineStr">
        <is>
          <t>A content portfolio with source accuracy, audience fit and measured qualified engagement</t>
        </is>
      </c>
      <c r="AW41" s="132" t="inlineStr">
        <is>
          <r>
            <rPr>
              <rFont val="Calibri"/>
              <b val="1"/>
              <sz val="10"/>
            </rPr>
            <t>Workiva:</t>
          </r>
          <r>
            <rPr>
              <rFont val="Calibri"/>
              <sz val="10"/>
            </rPr>
            <t xml:space="preserve"> Marketing Intern, 2027 cohort · Entry only. Gap: Peer entry content work observed; senior content ladder is proposed</t>
          </r>
        </is>
      </c>
      <c r="AX41" s="181" t="inlineStr">
        <is>
          <t>Framework + sub-family themes · 3+ answered</t>
        </is>
      </c>
      <c r="AY41" s="134" t="inlineStr">
        <is>
          <t>1 holder, 1 answered the survey; sub-family 8 answered</t>
        </is>
      </c>
    </row>
    <row r="42" ht="106" customHeight="1">
      <c r="A42" s="177" t="inlineStr">
        <is>
          <t>RC-122</t>
        </is>
      </c>
      <c r="B42" s="111" t="inlineStr">
        <is>
          <t>Marketing &amp; Communications</t>
        </is>
      </c>
      <c r="C42" s="111" t="inlineStr">
        <is>
          <t>Marketing Operations &amp; Automation</t>
        </is>
      </c>
      <c r="D42" s="151" t="inlineStr">
        <is>
          <t>A3</t>
        </is>
      </c>
      <c r="E42" s="139" t="inlineStr">
        <is>
          <t>Senior Associate</t>
        </is>
      </c>
      <c r="F42" s="111" t="inlineStr">
        <is>
          <t>IC</t>
        </is>
      </c>
      <c r="G42" s="111" t="inlineStr">
        <is>
          <t>Senior Marketing Operations Associate</t>
        </is>
      </c>
      <c r="H42" s="112" t="n">
        <v>3</v>
      </c>
      <c r="I42" s="111" t="inlineStr">
        <is>
          <t>CARBON 1 · iFile 1 · Corporate 1</t>
        </is>
      </c>
      <c r="J42" s="162" t="n">
        <v>1</v>
      </c>
      <c r="K42" s="114" t="inlineStr">
        <is>
          <t>Esther Kanagaselvam D</t>
        </is>
      </c>
      <c r="L42" s="114" t="inlineStr">
        <is>
          <t>Marketing</t>
        </is>
      </c>
      <c r="M42" s="118" t="inlineStr">
        <is>
          <r>
            <rPr>
              <rFont val="Calibri"/>
              <sz val="10"/>
            </rPr>
            <t xml:space="preserve">Maintains CRM/ICP data, marketing automation, reporting and dashboards. At A3: varied work; reviews juniors; go-to for a process.
</t>
          </r>
          <r>
            <rPr>
              <rFont val="Calibri"/>
              <b val="1"/>
              <sz val="10"/>
            </rPr>
            <t>Common themes in role-holders' answers:</t>
          </r>
          <r>
            <rPr>
              <rFont val="Calibri"/>
              <sz val="10"/>
            </rPr>
            <t xml:space="preserve"> business · management · crm · lead</t>
          </r>
        </is>
      </c>
      <c r="N42" s="164" t="inlineStr">
        <is>
          <r>
            <rPr>
              <rFont val="Calibri"/>
              <sz val="10"/>
            </rPr>
            <t xml:space="preserve">Maintains CRM/ICP data, marketing automation, reporting and dashboards; Varied and non-standard work; handles exceptions; A module / process, or work with client or regulatory consequences
</t>
          </r>
          <r>
            <rPr>
              <rFont val="Calibri"/>
              <b val="1"/>
              <sz val="10"/>
            </rPr>
            <t>Common themes in role-holders' answers:</t>
          </r>
          <r>
            <rPr>
              <rFont val="Calibri"/>
              <sz val="10"/>
            </rPr>
            <t xml:space="preserve"> data · crm · lead routing · hygiene · campaign</t>
          </r>
        </is>
      </c>
      <c r="O42"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data · lead</t>
          </r>
        </is>
      </c>
      <c r="P42"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data · accuracy · crm · lead routing · reporting · leads</t>
          </r>
        </is>
      </c>
      <c r="Q42" s="164" t="inlineStr">
        <is>
          <r>
            <rPr>
              <rFont val="Calibri"/>
              <sz val="10"/>
            </rPr>
            <t xml:space="preserve">Technical / QC / client calls on own work
</t>
          </r>
          <r>
            <rPr>
              <rFont val="Calibri"/>
              <b val="1"/>
              <sz val="10"/>
            </rPr>
            <t>Common themes in role-holders' answers:</t>
          </r>
          <r>
            <rPr>
              <rFont val="Calibri"/>
              <sz val="10"/>
            </rPr>
            <t xml:space="preserve"> hygiene · data · crm · campaign</t>
          </r>
        </is>
      </c>
      <c r="R42" s="164" t="inlineStr">
        <is>
          <t>—</t>
        </is>
      </c>
      <c r="S42" s="164" t="inlineStr">
        <is>
          <t>Marketing</t>
        </is>
      </c>
      <c r="T42" s="164" t="inlineStr">
        <is>
          <t>Google Ads · Google analytics</t>
        </is>
      </c>
      <c r="U42" s="119" t="inlineStr">
        <is>
          <t>Varied work; reviews juniors; go-to for a process</t>
        </is>
      </c>
      <c r="V42" s="165" t="inlineStr">
        <is>
          <t>Varied and non-standard work; handles exceptions</t>
        </is>
      </c>
      <c r="W42" s="165" t="inlineStr">
        <is>
          <t>Technical / QC / client calls on own work</t>
        </is>
      </c>
      <c r="X42" s="165" t="inlineStr">
        <is>
          <t>A module / process, or work with client or regulatory consequences</t>
        </is>
      </c>
      <c r="Y42" s="165" t="inlineStr">
        <is>
          <t>Not scored in Band A</t>
        </is>
      </c>
      <c r="Z42" s="165" t="inlineStr">
        <is>
          <t>2–4 yrs</t>
        </is>
      </c>
      <c r="AA42" s="165" t="inlineStr">
        <is>
          <t>Graduate; relevant certification preferred</t>
        </is>
      </c>
      <c r="AB42" s="165" t="inlineStr">
        <is>
          <t>Google / HubSpot certifications</t>
        </is>
      </c>
      <c r="AC42" s="165" t="inlineStr">
        <is>
          <t>None · guides 1–3 juniors informally</t>
        </is>
      </c>
      <c r="AD42" s="121" t="inlineStr">
        <is>
          <t>Core 2 · Future-ready 2 · Functional 3 · Leadership —</t>
        </is>
      </c>
      <c r="AE42" s="122" t="inlineStr">
        <is>
          <t>Marketing Tech &amp; Digital Marketing · Communication &amp; Presentation</t>
        </is>
      </c>
      <c r="AF42" s="122" t="inlineStr">
        <is>
          <t>Data Analytics, BI &amp; Visualisation · AI, GenAI &amp; Prompt Engineering · Product, Platform &amp; Domain Knowledge · Strategic Thinking &amp; Business Acumen</t>
        </is>
      </c>
      <c r="AG42" s="178" t="inlineStr">
        <is>
          <t>P2</t>
        </is>
      </c>
      <c r="AH42" s="128" t="inlineStr">
        <is>
          <t>3 Apply</t>
        </is>
      </c>
      <c r="AI42" s="179" t="inlineStr">
        <is>
          <t>IRIS Vs Market Benchmark — CIM proficiency scale: 2–3 · IRIS Vs Competitor Benchmark — SaaS marketing ladder: Marketing Specialist</t>
        </is>
      </c>
      <c r="AJ42" s="179" t="inlineStr">
        <is>
          <t>CIM Global Professional Marketing Framework — proficiency Aware → Active learner → Able → Accomplished → Authoritative</t>
        </is>
      </c>
      <c r="AK42" s="179" t="inlineStr">
        <is>
          <t>B1 · Specialist</t>
        </is>
      </c>
      <c r="AL42" s="129" t="inlineStr">
        <is>
          <t>Strategy &amp; business acumen · AI / automation · Data, SQL &amp; analytics · Product &amp; tool knowledge · Marketing &amp; content</t>
        </is>
      </c>
      <c r="AM42" s="130" t="inlineStr">
        <is>
          <t>Yes</t>
        </is>
      </c>
      <c r="AN42" s="130" t="inlineStr">
        <is>
          <t>On-the-job / hands-on</t>
        </is>
      </c>
      <c r="AO42" s="130" t="inlineStr">
        <is>
          <t>inconsistent · data</t>
        </is>
      </c>
      <c r="AP42" s="130" t="inlineStr">
        <is>
          <t>No common theme</t>
        </is>
      </c>
      <c r="AQ42" s="130" t="inlineStr">
        <is>
          <t>2 of 2 say the role is changing because of AI / automation</t>
        </is>
      </c>
      <c r="AR42" s="131" t="inlineStr">
        <is>
          <t>Create market understanding, demand and reputation. Includes: Content, demand, digital, product marketing, operations and communications. Excludes: Account closing; product UX design.</t>
        </is>
      </c>
      <c r="AS42" s="132" t="inlineStr">
        <is>
          <t>MKT02-2 · Marketing Operations Specialist</t>
        </is>
      </c>
      <c r="AT42" s="132" t="inlineStr">
        <is>
          <t>Operate clean CRM/automation flows with reliable tracking.</t>
        </is>
      </c>
      <c r="AU42" s="132" t="inlineStr">
        <is>
          <t>Demonstrate routine delivery plus judgement in bounded exceptions.</t>
        </is>
      </c>
      <c r="AV42" s="132" t="inlineStr">
        <is>
          <t>An automated journey with consent controls, data reconciliation and conversion analysis</t>
        </is>
      </c>
      <c r="AW42" s="132" t="inlineStr">
        <is>
          <r>
            <rPr>
              <rFont val="Calibri"/>
              <b val="1"/>
              <sz val="10"/>
            </rPr>
            <t>Workiva:</t>
          </r>
          <r>
            <rPr>
              <rFont val="Calibri"/>
              <sz val="10"/>
            </rPr>
            <t xml:space="preserve"> Marketing Intern, 2027 cohort
</t>
          </r>
          <r>
            <rPr>
              <rFont val="Calibri"/>
              <b val="1"/>
              <sz val="10"/>
            </rPr>
            <t>Workiva:</t>
          </r>
          <r>
            <rPr>
              <rFont val="Calibri"/>
              <sz val="10"/>
            </rPr>
            <t xml:space="preserve"> Product Marketing Operations Director · Entry and adjacent senior work. Gap: CRM automation and strategic operating cadence must remain distinct</t>
          </r>
        </is>
      </c>
      <c r="AX42" s="183" t="inlineStr">
        <is>
          <t>Framework + role-holders' themes · 3+ answered</t>
        </is>
      </c>
      <c r="AY42" s="134" t="inlineStr">
        <is>
          <t>3 holders, 3 answered the survey; sub-family 6 answered</t>
        </is>
      </c>
    </row>
    <row r="43">
      <c r="A43" s="160" t="inlineStr">
        <is>
          <t>Project &amp; Program Management</t>
        </is>
      </c>
    </row>
    <row r="44" ht="80" customHeight="1">
      <c r="A44" s="177" t="inlineStr">
        <is>
          <t>RC-133</t>
        </is>
      </c>
      <c r="B44" s="111" t="inlineStr">
        <is>
          <t>Project &amp; Program Management</t>
        </is>
      </c>
      <c r="C44" s="111" t="inlineStr">
        <is>
          <t>PMO &amp; Delivery Excellence</t>
        </is>
      </c>
      <c r="D44" s="150" t="inlineStr">
        <is>
          <t>B3</t>
        </is>
      </c>
      <c r="E44" s="21" t="inlineStr">
        <is>
          <t>Lead Specialist</t>
        </is>
      </c>
      <c r="F44" s="111" t="inlineStr">
        <is>
          <t>IC</t>
        </is>
      </c>
      <c r="G44" s="111" t="inlineStr">
        <is>
          <t>Agile Coach</t>
        </is>
      </c>
      <c r="H44" s="112" t="n">
        <v>1</v>
      </c>
      <c r="I44" s="111" t="inlineStr">
        <is>
          <t>Corporate 1</t>
        </is>
      </c>
      <c r="J44" s="162" t="n">
        <v>1</v>
      </c>
      <c r="K44" s="114" t="inlineStr">
        <is>
          <t>Vikas Thakur</t>
        </is>
      </c>
      <c r="L44" s="114" t="inlineStr">
        <is>
          <t>Technology</t>
        </is>
      </c>
      <c r="M44" s="118" t="inlineStr">
        <is>
          <t>Runs delivery governance, tracking, risk and process-improvement; coaches teams on delivery practices. At B3: a practice, or several teams through team leads.</t>
        </is>
      </c>
      <c r="N44" s="164" t="inlineStr">
        <is>
          <t>Runs delivery governance, tracking, risk and process-improvement; coaches teams on delivery practices; Sets standards for a practice; cross-team problems; Several teams or a practice</t>
        </is>
      </c>
      <c r="O44" s="164" t="inlineStr">
        <is>
          <t>Several teams or a practice</t>
        </is>
      </c>
      <c r="P44" s="164" t="inlineStr">
        <is>
          <t>Several teams or a practice</t>
        </is>
      </c>
      <c r="Q44" s="164" t="inlineStr">
        <is>
          <t>Commercial / strategic calls for the unit</t>
        </is>
      </c>
      <c r="R44" s="164" t="inlineStr">
        <is>
          <t>—</t>
        </is>
      </c>
      <c r="S44" s="164" t="inlineStr">
        <is>
          <t>—</t>
        </is>
      </c>
      <c r="T44" s="164" t="inlineStr">
        <is>
          <t>—</t>
        </is>
      </c>
      <c r="U44" s="119" t="inlineStr">
        <is>
          <t>A practice, or several teams through team leads</t>
        </is>
      </c>
      <c r="V44" s="165" t="inlineStr">
        <is>
          <t>Sets standards for a practice; cross-team problems</t>
        </is>
      </c>
      <c r="W44" s="165" t="inlineStr">
        <is>
          <t>Commercial / strategic calls for the unit</t>
        </is>
      </c>
      <c r="X44" s="165" t="inlineStr">
        <is>
          <t>Several teams or a practice</t>
        </is>
      </c>
      <c r="Y44" s="165" t="inlineStr">
        <is>
          <r>
            <rPr>
              <rFont val="Calibri"/>
              <b val="1"/>
              <sz val="10"/>
            </rPr>
            <t>IC:</t>
          </r>
          <r>
            <rPr>
              <rFont val="Calibri"/>
              <sz val="10"/>
            </rPr>
            <t xml:space="preserve"> leads a practice · People: team leads / managers report in</t>
          </r>
        </is>
      </c>
      <c r="Z44" s="165" t="inlineStr">
        <is>
          <t>8–12 yrs</t>
        </is>
      </c>
      <c r="AA44" s="165" t="inlineStr">
        <is>
          <t>Postgraduate or professional qualification preferred</t>
        </is>
      </c>
      <c r="AB44" s="165" t="inlineStr">
        <is>
          <t>PMP / PRINCE2 / CSM / SAFe</t>
        </is>
      </c>
      <c r="AC44" s="165" t="inlineStr">
        <is>
          <r>
            <rPr>
              <rFont val="Calibri"/>
              <b val="1"/>
              <sz val="10"/>
            </rPr>
            <t>IC:</t>
          </r>
          <r>
            <rPr>
              <rFont val="Calibri"/>
              <sz val="10"/>
            </rPr>
            <t xml:space="preserve"> none · People: 5–8 incl. team leads</t>
          </r>
        </is>
      </c>
      <c r="AD44" s="121" t="inlineStr">
        <is>
          <t>Core 4 · Future-ready 3 · Functional 4 · Leadership 3</t>
        </is>
      </c>
      <c r="AE44" s="122" t="inlineStr">
        <is>
          <t>Project, Program &amp; Agile Management · Stakeholder &amp; Client Management</t>
        </is>
      </c>
      <c r="AF44" s="122" t="inlineStr">
        <is>
          <t>Communication &amp; Presentation · Process Improvement &amp; Quality Mindset · Strategic Thinking &amp; Business Acumen · Product, Platform &amp; Domain Knowledge</t>
        </is>
      </c>
      <c r="AG44" s="178" t="inlineStr">
        <is>
          <t>P5 / M4</t>
        </is>
      </c>
      <c r="AH44" s="128" t="inlineStr">
        <is>
          <t>5 Ensure, advise</t>
        </is>
      </c>
      <c r="AI44" s="179" t="inlineStr">
        <is>
          <t>IRIS Vs Competitor Benchmark — PMI pathway + SaaS delivery ladder: Program Manager · PgMP · Infosys / Accenture: JL6B Project Manager · L7 Manager</t>
        </is>
      </c>
      <c r="AJ44" s="179" t="inlineStr">
        <is>
          <t>PMI PMBOK and Talent Triangle; CAPM · entry → PMP → PgMP; Scrum / SAFe</t>
        </is>
      </c>
      <c r="AK44" s="179" t="inlineStr">
        <is>
          <t>C1 · Principal · or B+ · Player-Coach transition step if leading people hands-on</t>
        </is>
      </c>
      <c r="AL44" s="129" t="inlineStr">
        <is>
          <t>—</t>
        </is>
      </c>
      <c r="AM44" s="130" t="inlineStr">
        <is>
          <t>—</t>
        </is>
      </c>
      <c r="AN44" s="130" t="inlineStr">
        <is>
          <t>—</t>
        </is>
      </c>
      <c r="AO44" s="130" t="inlineStr">
        <is>
          <t>—</t>
        </is>
      </c>
      <c r="AP44" s="130" t="inlineStr">
        <is>
          <t>—</t>
        </is>
      </c>
      <c r="AQ44" s="130" t="inlineStr">
        <is>
          <t>—</t>
        </is>
      </c>
      <c r="AR44" s="131" t="inlineStr">
        <is>
          <t>Deliver change and govern investment execution. Includes: Project, programme, portfolio and PMO work with distinct mandates. Excludes: Ongoing product strategy; routine service operations.</t>
        </is>
      </c>
      <c r="AS44" s="132" t="inlineStr">
        <is>
          <t>PMO02-4 · PMO Lead</t>
        </is>
      </c>
      <c r="AT44" s="132" t="inlineStr">
        <is>
          <t>Design governance that changes investment and delivery decisions.</t>
        </is>
      </c>
      <c r="AU44" s="132" t="inlineStr">
        <is>
          <t>Adoption beyond own work; recurring authority and measurable wider outcomes.</t>
        </is>
      </c>
      <c r="AV44" s="132" t="inlineStr">
        <is>
          <t>A PMO decision pack with reconciled data, risks and actions that improve delivery</t>
        </is>
      </c>
      <c r="AW44" s="132" t="inlineStr">
        <is>
          <r>
            <rPr>
              <rFont val="Calibri"/>
              <b val="1"/>
              <sz val="10"/>
            </rPr>
            <t>Workiva:</t>
          </r>
          <r>
            <rPr>
              <rFont val="Calibri"/>
              <sz val="10"/>
            </rPr>
            <t xml:space="preserve"> Lead program manager · Related work. Gap: Programme posting supports complex delivery, not every project or PMO stage</t>
          </r>
        </is>
      </c>
      <c r="AX44" s="133" t="inlineStr">
        <is>
          <t>Framework only · fewer than 3 answered</t>
        </is>
      </c>
      <c r="AY44" s="134" t="inlineStr">
        <is>
          <t>1 holder, 0 answered the survey; sub-family 1 answered</t>
        </is>
      </c>
    </row>
  </sheetData>
  <autoFilter ref="A6:AY44"/>
  <mergeCells count="22">
    <mergeCell ref="A4:D4"/>
    <mergeCell ref="A1:AY1"/>
    <mergeCell ref="M5:T5"/>
    <mergeCell ref="A7:AY7"/>
    <mergeCell ref="A16:AY16"/>
    <mergeCell ref="A5:I5"/>
    <mergeCell ref="A27:AY27"/>
    <mergeCell ref="AL5:AQ5"/>
    <mergeCell ref="AR5:AW5"/>
    <mergeCell ref="A18:AY18"/>
    <mergeCell ref="A3:AY3"/>
    <mergeCell ref="A21:AY21"/>
    <mergeCell ref="A2:AY2"/>
    <mergeCell ref="U5:AC5"/>
    <mergeCell ref="A14:AY14"/>
    <mergeCell ref="A43:AY43"/>
    <mergeCell ref="J5:L5"/>
    <mergeCell ref="AD5:AF5"/>
    <mergeCell ref="AG5:AK5"/>
    <mergeCell ref="A34:AY34"/>
    <mergeCell ref="A40:AY40"/>
    <mergeCell ref="AX5:AY5"/>
  </mergeCells>
  <hyperlinks>
    <hyperlink xmlns:r="http://schemas.openxmlformats.org/officeDocument/2006/relationships" ref="AZ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3.xml><?xml version="1.0" encoding="utf-8"?>
<worksheet xmlns="http://schemas.openxmlformats.org/spreadsheetml/2006/main">
  <sheetPr>
    <tabColor rgb="00548235"/>
    <outlinePr summaryBelow="1" summaryRight="1"/>
    <pageSetUpPr fitToPage="1"/>
  </sheetPr>
  <dimension ref="A1:AR57"/>
  <sheetViews>
    <sheetView showGridLines="0" zoomScale="90"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7" customWidth="1" min="2" max="2"/>
    <col width="22" customWidth="1" min="3" max="3"/>
    <col width="24" customWidth="1" min="4" max="4"/>
    <col width="6" customWidth="1" min="5" max="5"/>
    <col width="13" customWidth="1" min="6" max="6"/>
    <col width="10" customWidth="1" min="7" max="7"/>
    <col width="6" customWidth="1" min="8" max="8"/>
    <col width="24" customWidth="1" min="9" max="9"/>
    <col width="22" customWidth="1" min="10" max="10"/>
    <col width="20" customWidth="1" min="11" max="11"/>
    <col width="20" customWidth="1" min="12" max="12"/>
    <col width="20" customWidth="1" min="13" max="13"/>
    <col width="9" customWidth="1" min="14" max="14"/>
    <col width="24" customWidth="1" min="15" max="15"/>
    <col width="20" customWidth="1" min="16" max="16"/>
    <col width="20" customWidth="1" min="17" max="17"/>
    <col width="8" customWidth="1" min="18" max="18"/>
    <col width="7" customWidth="1" min="19" max="19"/>
    <col width="7" customWidth="1" min="20" max="20"/>
    <col width="8" customWidth="1" min="21" max="21"/>
    <col width="7" customWidth="1" min="22" max="22"/>
    <col width="7" customWidth="1" min="23" max="23"/>
    <col width="7" customWidth="1" min="24" max="24"/>
    <col width="30" customWidth="1" min="25" max="25"/>
    <col width="30" customWidth="1" min="26" max="26"/>
    <col width="26" customWidth="1" min="27" max="27"/>
    <col width="22" customWidth="1" min="28" max="28"/>
    <col width="16" customWidth="1" min="29" max="29"/>
    <col width="8" customWidth="1" min="30" max="30"/>
    <col width="11" customWidth="1" min="31" max="31"/>
    <col width="9" customWidth="1" min="32" max="32"/>
    <col width="22" customWidth="1" min="33" max="33"/>
    <col width="22" customWidth="1" min="34" max="34"/>
    <col width="26" customWidth="1" min="35" max="35"/>
    <col width="22" customWidth="1" min="36" max="36"/>
    <col width="14" customWidth="1" min="37" max="37"/>
    <col width="34" customWidth="1" min="38" max="38"/>
    <col width="26" customWidth="1" min="39" max="39"/>
    <col width="18" customWidth="1" min="40" max="40"/>
    <col width="16" customWidth="1" min="41" max="41"/>
    <col width="16" customWidth="1" min="42" max="42"/>
    <col width="24" customWidth="1" min="43" max="43"/>
    <col width="13" customWidth="1" min="44" max="44"/>
  </cols>
  <sheetData>
    <row r="1" ht="34" customHeight="1">
      <c r="A1" s="1" t="inlineStr">
        <is>
          <t>Role Requirements &amp; Market Benchmarks — department → band → role · bottom to top</t>
        </is>
      </c>
      <c r="AR1" s="242" t="inlineStr">
        <is>
          <t>◂ Contents</t>
        </is>
      </c>
    </row>
    <row r="2" ht="30" customHeight="1">
      <c r="A2" s="3" t="inlineStr">
        <is>
          <t>Sheet 7 · One row per role · designation × level × track inside each department, lowest level first. Columns follow the Master steps: what the level expects, entry requirements, the weight set used, required capability, structure, the market crosswalk and progression.</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D4" s="68" t="inlineStr">
        <is>
          <t>Player-Coach · B+ · C+</t>
        </is>
      </c>
    </row>
    <row r="5" ht="30" customHeight="1">
      <c r="A5" s="73" t="inlineStr">
        <is>
          <t>ROLE</t>
        </is>
      </c>
      <c r="I5" s="74" t="inlineStr">
        <is>
          <t>STEP 4 · WHAT THE LEVEL EXPECTS</t>
        </is>
      </c>
      <c r="N5" s="76" t="inlineStr">
        <is>
          <t>ENTRY REQUIREMENTS</t>
        </is>
      </c>
      <c r="R5" s="77" t="inlineStr">
        <is>
          <t>STEP 5 · WEIGHTS</t>
        </is>
      </c>
      <c r="Y5" s="79" t="inlineStr">
        <is>
          <t>STEP 10 · CAPABILITY REQUIRED</t>
        </is>
      </c>
      <c r="AC5" s="81" t="inlineStr">
        <is>
          <t>STEP 3 · STRUCTURE</t>
        </is>
      </c>
      <c r="AD5" s="83" t="inlineStr">
        <is>
          <t>STEP 9 · MARKET BENCHMARK</t>
        </is>
      </c>
      <c r="AN5" s="85" t="inlineStr">
        <is>
          <t>STEP 11 · PROGRESSION</t>
        </is>
      </c>
    </row>
    <row r="6" ht="48" customHeight="1">
      <c r="A6" s="91" t="inlineStr">
        <is>
          <t>Department</t>
        </is>
      </c>
      <c r="B6" s="92" t="inlineStr">
        <is>
          <t>Job family</t>
        </is>
      </c>
      <c r="C6" s="92" t="inlineStr">
        <is>
          <t>Sub-family · ies</t>
        </is>
      </c>
      <c r="D6" s="92" t="inlineStr">
        <is>
          <t>Role · designation</t>
        </is>
      </c>
      <c r="E6" s="92" t="inlineStr">
        <is>
          <t>Level</t>
        </is>
      </c>
      <c r="F6" s="92" t="inlineStr">
        <is>
          <t>Level title</t>
        </is>
      </c>
      <c r="G6" s="92" t="inlineStr">
        <is>
          <t>Track</t>
        </is>
      </c>
      <c r="H6" s="92" t="inlineStr">
        <is>
          <t>People</t>
        </is>
      </c>
      <c r="I6" s="93" t="inlineStr">
        <is>
          <t>What the role owns</t>
        </is>
      </c>
      <c r="J6" s="12" t="inlineStr">
        <is>
          <t>Complexity &amp; expertise</t>
        </is>
      </c>
      <c r="K6" s="12" t="inlineStr">
        <is>
          <t>Autonomy &amp; decisions</t>
        </is>
      </c>
      <c r="L6" s="12" t="inlineStr">
        <is>
          <t>Accountability &amp; impact</t>
        </is>
      </c>
      <c r="M6" s="12" t="inlineStr">
        <is>
          <t>Leadership</t>
        </is>
      </c>
      <c r="N6" s="94" t="inlineStr">
        <is>
          <t>Experience · yrs, guide</t>
        </is>
      </c>
      <c r="O6" s="156" t="inlineStr">
        <is>
          <t>Education &amp; qualification</t>
        </is>
      </c>
      <c r="P6" s="156" t="inlineStr">
        <is>
          <t>Credentials</t>
        </is>
      </c>
      <c r="Q6" s="156" t="inlineStr">
        <is>
          <t>Gate requirements</t>
        </is>
      </c>
      <c r="R6" s="95" t="inlineStr">
        <is>
          <t>Set ID</t>
        </is>
      </c>
      <c r="S6" s="96" t="inlineStr">
        <is>
          <t>Complexity %</t>
        </is>
      </c>
      <c r="T6" s="96" t="inlineStr">
        <is>
          <t>Autonomy %</t>
        </is>
      </c>
      <c r="U6" s="96" t="inlineStr">
        <is>
          <t>Accountability %</t>
        </is>
      </c>
      <c r="V6" s="96" t="inlineStr">
        <is>
          <t>Leadership %</t>
        </is>
      </c>
      <c r="W6" s="96" t="inlineStr">
        <is>
          <t>Exp. &amp; Qual. %</t>
        </is>
      </c>
      <c r="X6" s="96" t="inlineStr">
        <is>
          <t>Bus. Impact %</t>
        </is>
      </c>
      <c r="Y6" s="97" t="inlineStr">
        <is>
          <t>Must-have competencies · proficiency 1–5</t>
        </is>
      </c>
      <c r="Z6" s="98" t="inlineStr">
        <is>
          <t>Other functional competencies</t>
        </is>
      </c>
      <c r="AA6" s="98" t="inlineStr">
        <is>
          <t>Department technical competencies</t>
        </is>
      </c>
      <c r="AB6" s="98" t="inlineStr">
        <is>
          <t>Proficiency by cluster</t>
        </is>
      </c>
      <c r="AC6" s="99" t="inlineStr">
        <is>
          <t>Span of control</t>
        </is>
      </c>
      <c r="AD6" s="101" t="inlineStr">
        <is>
          <t>Radford / Mercer</t>
        </is>
      </c>
      <c r="AE6" s="102" t="inlineStr">
        <is>
          <t>Pave level</t>
        </is>
      </c>
      <c r="AF6" s="102" t="inlineStr">
        <is>
          <t>SFIA 9</t>
        </is>
      </c>
      <c r="AG6" s="102" t="inlineStr">
        <is>
          <t>Typical market title based on competitor/market benchmark</t>
        </is>
      </c>
      <c r="AH6" s="102" t="inlineStr">
        <is>
          <t>Product companies · Google · MS · Workiva</t>
        </is>
      </c>
      <c r="AI6" s="102" t="inlineStr">
        <is>
          <t>Indian IT services · Infosys · TCS · Accenture</t>
        </is>
      </c>
      <c r="AJ6" s="102" t="inlineStr">
        <is>
          <t>Consulting &amp; XBRL services · Big Four · DataTracks</t>
        </is>
      </c>
      <c r="AK6" s="102" t="inlineStr">
        <is>
          <t>Reference</t>
        </is>
      </c>
      <c r="AL6" s="102" t="inlineStr">
        <is>
          <t>Competitors, regtech &amp; SaaS leaders — this family at this level</t>
        </is>
      </c>
      <c r="AM6" s="102" t="inlineStr">
        <is>
          <t>Professional standard · best standard</t>
        </is>
      </c>
      <c r="AN6" s="103" t="inlineStr">
        <is>
          <t>Hiring route</t>
        </is>
      </c>
      <c r="AO6" s="104" t="inlineStr">
        <is>
          <t>Next step — IC</t>
        </is>
      </c>
      <c r="AP6" s="104" t="inlineStr">
        <is>
          <t>Next step — Manager</t>
        </is>
      </c>
      <c r="AQ6" s="104" t="inlineStr">
        <is>
          <t>Future skills</t>
        </is>
      </c>
    </row>
    <row r="7" ht="20" customHeight="1">
      <c r="A7" s="160" t="inlineStr">
        <is>
          <t>Administration — 6 people · 3 roles · Corporate functions · levels A3–B2 + X1</t>
        </is>
      </c>
    </row>
    <row r="8" ht="80" customHeight="1">
      <c r="A8" s="109" t="inlineStr">
        <is>
          <t>Administration</t>
        </is>
      </c>
      <c r="B8" s="111" t="inlineStr">
        <is>
          <t>Administration, Legal &amp; Secretarial</t>
        </is>
      </c>
      <c r="C8" s="111" t="inlineStr">
        <is>
          <t>Administration &amp; Facilities</t>
        </is>
      </c>
      <c r="D8" s="111" t="inlineStr">
        <is>
          <t>Senior Administration Executive</t>
        </is>
      </c>
      <c r="E8" s="26" t="inlineStr">
        <is>
          <t>A3</t>
        </is>
      </c>
      <c r="F8" s="139" t="inlineStr">
        <is>
          <t>Senior Associate</t>
        </is>
      </c>
      <c r="G8" s="111" t="inlineStr">
        <is>
          <t>IC</t>
        </is>
      </c>
      <c r="H8" s="112" t="n">
        <v>4</v>
      </c>
      <c r="I8" s="113" t="inlineStr">
        <is>
          <t>Varied work; reviews juniors; go-to for a process</t>
        </is>
      </c>
      <c r="J8" s="114" t="inlineStr">
        <is>
          <t>Varied and non-standard work; handles exceptions</t>
        </is>
      </c>
      <c r="K8" s="114" t="inlineStr">
        <is>
          <t>Technical / QC / client calls on own work</t>
        </is>
      </c>
      <c r="L8" s="114" t="inlineStr">
        <is>
          <t>A module / process, or work with client or regulatory consequences</t>
        </is>
      </c>
      <c r="M8" s="114" t="inlineStr">
        <is>
          <t>Not scored in Band A</t>
        </is>
      </c>
      <c r="N8" s="185" t="inlineStr">
        <is>
          <t>2–4 yrs</t>
        </is>
      </c>
      <c r="O8" s="164" t="inlineStr">
        <is>
          <r>
            <rPr>
              <rFont val="Calibri"/>
              <sz val="10"/>
            </rPr>
            <t xml:space="preserve">Graduate; relevant certification preferred
</t>
          </r>
          <r>
            <rPr>
              <rFont val="Calibri"/>
              <b val="1"/>
              <sz val="10"/>
            </rPr>
            <t>Family:</t>
          </r>
          <r>
            <rPr>
              <rFont val="Calibri"/>
              <sz val="10"/>
            </rPr>
            <t xml:space="preserve"> Graduate; ICSI · CS / LLB for secretarial &amp; legal</t>
          </r>
        </is>
      </c>
      <c r="P8" s="164" t="inlineStr">
        <is>
          <t>Domain certifications · optional</t>
        </is>
      </c>
      <c r="Q8" s="164" t="inlineStr">
        <is>
          <t>Companies Act / statutory filings; vendor contracts</t>
        </is>
      </c>
      <c r="R8" s="186" t="inlineStr">
        <is>
          <t>CF-A</t>
        </is>
      </c>
      <c r="S8" s="187" t="n">
        <v>0.54</v>
      </c>
      <c r="T8" s="187" t="n">
        <v>0.16</v>
      </c>
      <c r="U8" s="187" t="n">
        <v>0.09</v>
      </c>
      <c r="V8" s="187" t="n">
        <v>0</v>
      </c>
      <c r="W8" s="187" t="n">
        <v>0.15</v>
      </c>
      <c r="X8" s="187" t="n">
        <v>0.06</v>
      </c>
      <c r="Y8" s="121" t="inlineStr">
        <is>
          <t>★ Regulatory &amp; BFSI Domain · ★ Stakeholder &amp; Client Management</t>
        </is>
      </c>
      <c r="Z8" s="122" t="inlineStr">
        <is>
          <t>Process Improvement &amp; Quality Mindset · Advanced Excel &amp; Productivity Tools · Communication &amp; Presentation · Time, Priority &amp; Self-Management</t>
        </is>
      </c>
      <c r="AA8" s="122" t="inlineStr">
        <is>
          <t>Facilities &amp; Workplace Management · Procurement &amp; Vendor Management · Assets, Travel &amp; Events · Health, Safety &amp; Business Continuity</t>
        </is>
      </c>
      <c r="AB8" s="122" t="inlineStr">
        <is>
          <t>Core 2 · Future-ready 2 · Functional 3 · Leadership —</t>
        </is>
      </c>
      <c r="AC8" s="123" t="inlineStr">
        <is>
          <t>None · guides 1–3 juniors informally</t>
        </is>
      </c>
      <c r="AD8" s="188" t="inlineStr">
        <is>
          <t>P2</t>
        </is>
      </c>
      <c r="AE8" s="130" t="inlineStr">
        <is>
          <t>Developing</t>
        </is>
      </c>
      <c r="AF8" s="189" t="inlineStr">
        <is>
          <t>3 Apply</t>
        </is>
      </c>
      <c r="AG8" s="130" t="inlineStr">
        <is>
          <t>Admin / Secretarial Executive</t>
        </is>
      </c>
      <c r="AH8" s="130" t="inlineStr">
        <is>
          <t>L3–L4 · MS 61–62 · —</t>
        </is>
      </c>
      <c r="AI8" s="130" t="inlineStr">
        <is>
          <t>JL3A · C1 · L11–L10 · Senior Analyst</t>
        </is>
      </c>
      <c r="AJ8" s="130" t="inlineStr">
        <is>
          <t>Consultant · DataTracks Senior Associate · 2–5 yrs</t>
        </is>
      </c>
      <c r="AK8" s="130" t="inlineStr">
        <is>
          <t>Mercer</t>
        </is>
      </c>
      <c r="AL8" s="130" t="inlineStr">
        <is>
          <t>IRIS Vs Competitor Benchmark — corporate services ladder: Senior Executive</t>
        </is>
      </c>
      <c r="AM8" s="130" t="inlineStr">
        <is>
          <t>ICSI · Company Secretary; Companies Act 2013; IFMA · facilities; CIPS · procurement</t>
        </is>
      </c>
      <c r="AN8" s="131" t="inlineStr">
        <is>
          <t>Lateral or campus · CT2 at 12 months; CT3 in programme</t>
        </is>
      </c>
      <c r="AO8" s="132" t="inlineStr">
        <is>
          <t>B1 · Specialist</t>
        </is>
      </c>
      <c r="AP8" s="132" t="inlineStr">
        <is>
          <t>B1 · Team Lead</t>
        </is>
      </c>
      <c r="AQ8" s="132" t="inlineStr">
        <is>
          <t>Digital compliance tools, contract automation</t>
        </is>
      </c>
    </row>
    <row r="9" ht="80" customHeight="1">
      <c r="A9" s="109" t="inlineStr">
        <is>
          <t>Administration</t>
        </is>
      </c>
      <c r="B9" s="111" t="inlineStr">
        <is>
          <t>Administration, Legal &amp; Secretarial</t>
        </is>
      </c>
      <c r="C9" s="111" t="inlineStr">
        <is>
          <t>Administration &amp; Facilities</t>
        </is>
      </c>
      <c r="D9" s="111" t="inlineStr">
        <is>
          <t>Manager – Administration</t>
        </is>
      </c>
      <c r="E9" s="23" t="inlineStr">
        <is>
          <t>B2</t>
        </is>
      </c>
      <c r="F9" s="21" t="inlineStr">
        <is>
          <t>Manager</t>
        </is>
      </c>
      <c r="G9" s="111" t="inlineStr">
        <is>
          <t>People Manager</t>
        </is>
      </c>
      <c r="H9" s="112" t="n">
        <v>1</v>
      </c>
      <c r="I9" s="113" t="inlineStr">
        <is>
          <t>Deep domain expertise, or one team</t>
        </is>
      </c>
      <c r="J9" s="114" t="inlineStr">
        <is>
          <t>Hardest problems in the domain</t>
        </is>
      </c>
      <c r="K9" s="114" t="inlineStr">
        <is>
          <t>Allocates people and sets team priorities</t>
        </is>
      </c>
      <c r="L9" s="114" t="inlineStr">
        <is>
          <t>One team or a client portfolio</t>
        </is>
      </c>
      <c r="M9" s="114" t="inlineStr">
        <is>
          <r>
            <rPr>
              <rFont val="Calibri"/>
              <b val="1"/>
              <sz val="10"/>
            </rPr>
            <t>IC:</t>
          </r>
          <r>
            <rPr>
              <rFont val="Calibri"/>
              <sz val="10"/>
            </rPr>
            <t xml:space="preserve"> guides others in the domain · People: manages a team of 6+</t>
          </r>
        </is>
      </c>
      <c r="N9" s="185" t="inlineStr">
        <is>
          <t>6–9 yrs</t>
        </is>
      </c>
      <c r="O9" s="164" t="inlineStr">
        <is>
          <r>
            <rPr>
              <rFont val="Calibri"/>
              <sz val="10"/>
            </rPr>
            <t xml:space="preserve">Graduate or postgraduate; professional qualification preferred
</t>
          </r>
          <r>
            <rPr>
              <rFont val="Calibri"/>
              <b val="1"/>
              <sz val="10"/>
            </rPr>
            <t>Family:</t>
          </r>
          <r>
            <rPr>
              <rFont val="Calibri"/>
              <sz val="10"/>
            </rPr>
            <t xml:space="preserve"> Graduate; ICSI · CS / LLB for secretarial &amp; legal</t>
          </r>
        </is>
      </c>
      <c r="P9" s="164" t="inlineStr">
        <is>
          <t>Domain certifications · optional</t>
        </is>
      </c>
      <c r="Q9" s="164" t="inlineStr">
        <is>
          <t>Companies Act / statutory filings; vendor contracts</t>
        </is>
      </c>
      <c r="R9" s="186" t="inlineStr">
        <is>
          <t>CF-B-M</t>
        </is>
      </c>
      <c r="S9" s="187" t="n">
        <v>0.32</v>
      </c>
      <c r="T9" s="187" t="n">
        <v>0.18</v>
      </c>
      <c r="U9" s="187" t="n">
        <v>0.11</v>
      </c>
      <c r="V9" s="187" t="n">
        <v>0.15</v>
      </c>
      <c r="W9" s="187" t="n">
        <v>0.15</v>
      </c>
      <c r="X9" s="187" t="n">
        <v>0.09</v>
      </c>
      <c r="Y9" s="121" t="inlineStr">
        <is>
          <t>★ Regulatory &amp; BFSI Domain · ★ Stakeholder &amp; Client Management</t>
        </is>
      </c>
      <c r="Z9" s="122" t="inlineStr">
        <is>
          <t>Process Improvement &amp; Quality Mindset · Advanced Excel &amp; Productivity Tools · Communication &amp; Presentation · Time, Priority &amp; Self-Management</t>
        </is>
      </c>
      <c r="AA9" s="122" t="inlineStr">
        <is>
          <t>Facilities &amp; Workplace Management · Procurement &amp; Vendor Management · Assets, Travel &amp; Events · Health, Safety &amp; Business Continuity</t>
        </is>
      </c>
      <c r="AB9" s="122" t="inlineStr">
        <is>
          <t>Core 3 · Future-ready 3 · Functional 4 · Leadership 3</t>
        </is>
      </c>
      <c r="AC9" s="123" t="inlineStr">
        <is>
          <r>
            <rPr>
              <rFont val="Calibri"/>
              <b val="1"/>
              <sz val="10"/>
            </rPr>
            <t>IC:</t>
          </r>
          <r>
            <rPr>
              <rFont val="Calibri"/>
              <sz val="10"/>
            </rPr>
            <t xml:space="preserve"> none · People: 6–8 knowledge work, 8–12 standardised delivery</t>
          </r>
        </is>
      </c>
      <c r="AD9" s="188" t="inlineStr">
        <is>
          <t>M3</t>
        </is>
      </c>
      <c r="AE9" s="130" t="inlineStr">
        <is>
          <t>Senior / Manager</t>
        </is>
      </c>
      <c r="AF9" s="189" t="inlineStr">
        <is>
          <t>4–5</t>
        </is>
      </c>
      <c r="AG9" s="130" t="inlineStr">
        <is>
          <t>Manager</t>
        </is>
      </c>
      <c r="AH9" s="130" t="inlineStr">
        <is>
          <t>L5 · MS 63 · —</t>
        </is>
      </c>
      <c r="AI9" s="130" t="inlineStr">
        <is>
          <t>JL5 · C3A · L8 Associate Manager</t>
        </is>
      </c>
      <c r="AJ9" s="130" t="inlineStr">
        <is>
          <t>Manager</t>
        </is>
      </c>
      <c r="AK9" s="130" t="inlineStr">
        <is>
          <t>Mercer</t>
        </is>
      </c>
      <c r="AL9" s="130" t="inlineStr">
        <is>
          <t>IRIS Vs Competitor Benchmark — corporate services ladder: Manager</t>
        </is>
      </c>
      <c r="AM9" s="130" t="inlineStr">
        <is>
          <t>ICSI · Company Secretary; Companies Act 2013; IFMA · facilities; CIPS · procurement</t>
        </is>
      </c>
      <c r="AN9" s="131" t="inlineStr">
        <is>
          <t>Lateral</t>
        </is>
      </c>
      <c r="AO9" s="132" t="inlineStr">
        <is>
          <t>B3 · Lead Specialist</t>
        </is>
      </c>
      <c r="AP9" s="132" t="inlineStr">
        <is>
          <t>B3 · Senior Manager</t>
        </is>
      </c>
      <c r="AQ9" s="132" t="inlineStr">
        <is>
          <t>Digital compliance tools, contract automation</t>
        </is>
      </c>
    </row>
    <row r="10" ht="54" customHeight="1">
      <c r="A10" s="109" t="inlineStr">
        <is>
          <t>Administration</t>
        </is>
      </c>
      <c r="B10" s="111" t="inlineStr">
        <is>
          <t>Administration, Legal &amp; Secretarial</t>
        </is>
      </c>
      <c r="C10" s="111" t="inlineStr">
        <is>
          <t>Administration &amp; Facilities</t>
        </is>
      </c>
      <c r="D10" s="111" t="inlineStr">
        <is>
          <t>Associate Consultant – Administration &amp; Facilities</t>
        </is>
      </c>
      <c r="E10" s="45" t="inlineStr">
        <is>
          <t>X1</t>
        </is>
      </c>
      <c r="F10" s="136" t="inlineStr">
        <is>
          <t>Associate Consultant</t>
        </is>
      </c>
      <c r="G10" s="111" t="inlineStr">
        <is>
          <t>Consultant</t>
        </is>
      </c>
      <c r="H10" s="112" t="n">
        <v>1</v>
      </c>
      <c r="I10" s="113" t="inlineStr">
        <is>
          <t>Defined deliverables under a statement of work · ≈ A2–A3</t>
        </is>
      </c>
      <c r="J10" s="114" t="inlineStr">
        <is>
          <t>—</t>
        </is>
      </c>
      <c r="K10" s="114" t="inlineStr">
        <is>
          <t>—</t>
        </is>
      </c>
      <c r="L10" s="114" t="inlineStr">
        <is>
          <t>—</t>
        </is>
      </c>
      <c r="M10" s="114" t="inlineStr">
        <is>
          <t>—</t>
        </is>
      </c>
      <c r="N10" s="185" t="inlineStr">
        <is>
          <t>0–5 yrs</t>
        </is>
      </c>
      <c r="O10" s="164" t="inlineStr">
        <is>
          <r>
            <rPr>
              <rFont val="Calibri"/>
              <sz val="10"/>
            </rPr>
            <t xml:space="preserve">As for equivalent role
</t>
          </r>
          <r>
            <rPr>
              <rFont val="Calibri"/>
              <b val="1"/>
              <sz val="10"/>
            </rPr>
            <t>Family:</t>
          </r>
          <r>
            <rPr>
              <rFont val="Calibri"/>
              <sz val="10"/>
            </rPr>
            <t xml:space="preserve"> Graduate; ICSI · CS / LLB for secretarial &amp; legal</t>
          </r>
        </is>
      </c>
      <c r="P10" s="164" t="inlineStr">
        <is>
          <t>Domain certifications · optional</t>
        </is>
      </c>
      <c r="Q10" s="164" t="inlineStr">
        <is>
          <t>Companies Act / statutory filings; vendor contracts</t>
        </is>
      </c>
      <c r="R10" s="186" t="inlineStr">
        <is>
          <t>—</t>
        </is>
      </c>
      <c r="S10" s="165" t="n"/>
      <c r="T10" s="165" t="n"/>
      <c r="U10" s="165" t="n"/>
      <c r="V10" s="165" t="n"/>
      <c r="W10" s="165" t="n"/>
      <c r="X10" s="165" t="n"/>
      <c r="Y10" s="121" t="inlineStr">
        <is>
          <t>Per statement of work</t>
        </is>
      </c>
      <c r="Z10" s="122" t="inlineStr">
        <is>
          <t>—</t>
        </is>
      </c>
      <c r="AA10" s="122" t="inlineStr">
        <is>
          <t>—</t>
        </is>
      </c>
      <c r="AB10" s="122" t="inlineStr">
        <is>
          <t>Per statement of work</t>
        </is>
      </c>
      <c r="AC10" s="123" t="inlineStr">
        <is>
          <t>Not counted in spans</t>
        </is>
      </c>
      <c r="AD10" s="188" t="inlineStr">
        <is>
          <t>Contractor</t>
        </is>
      </c>
      <c r="AE10" s="130" t="inlineStr">
        <is>
          <t>Contractor</t>
        </is>
      </c>
      <c r="AF10" s="189" t="inlineStr">
        <is>
          <t>—</t>
        </is>
      </c>
      <c r="AG10" s="130" t="inlineStr">
        <is>
          <t>Contractor · rate card</t>
        </is>
      </c>
      <c r="AH10" s="130" t="inlineStr">
        <is>
          <t>—</t>
        </is>
      </c>
      <c r="AI10" s="130" t="inlineStr">
        <is>
          <t>—</t>
        </is>
      </c>
      <c r="AJ10" s="130" t="inlineStr">
        <is>
          <t>—</t>
        </is>
      </c>
      <c r="AK10" s="130" t="inlineStr">
        <is>
          <t>Mercer</t>
        </is>
      </c>
      <c r="AL10" s="130" t="inlineStr">
        <is>
          <t>—</t>
        </is>
      </c>
      <c r="AM10" s="130" t="inlineStr">
        <is>
          <t>ICSI · Company Secretary; Companies Act 2013; IFMA · facilities; CIPS · procurement</t>
        </is>
      </c>
      <c r="AN10" s="131" t="inlineStr">
        <is>
          <t>Statement of work</t>
        </is>
      </c>
      <c r="AO10" s="132" t="inlineStr">
        <is>
          <t>—</t>
        </is>
      </c>
      <c r="AP10" s="132" t="inlineStr">
        <is>
          <t>—</t>
        </is>
      </c>
      <c r="AQ10" s="132" t="inlineStr">
        <is>
          <t>Digital compliance tools, contract automation</t>
        </is>
      </c>
    </row>
    <row r="11">
      <c r="A11" s="190" t="n"/>
      <c r="B11" s="191" t="n"/>
      <c r="C11" s="191" t="n"/>
      <c r="D11" s="191" t="n"/>
      <c r="E11" s="191" t="n"/>
      <c r="F11" s="191" t="n"/>
      <c r="G11" s="191" t="n"/>
      <c r="H11" s="191" t="n"/>
      <c r="I11" s="192" t="n"/>
      <c r="J11" s="193" t="n"/>
      <c r="K11" s="193" t="n"/>
      <c r="L11" s="193" t="n"/>
      <c r="M11" s="193" t="n"/>
      <c r="N11" s="194" t="n"/>
      <c r="O11" s="195" t="n"/>
      <c r="P11" s="195" t="n"/>
      <c r="Q11" s="195" t="n"/>
      <c r="R11" s="196" t="n"/>
      <c r="S11" s="197" t="n"/>
      <c r="T11" s="197" t="n"/>
      <c r="U11" s="197" t="n"/>
      <c r="V11" s="197" t="n"/>
      <c r="W11" s="197" t="n"/>
      <c r="X11" s="197" t="n"/>
      <c r="Y11" s="198" t="n"/>
      <c r="Z11" s="199" t="n"/>
      <c r="AA11" s="199" t="n"/>
      <c r="AB11" s="199" t="n"/>
      <c r="AC11" s="200" t="n"/>
      <c r="AD11" s="201" t="n"/>
      <c r="AE11" s="202" t="n"/>
      <c r="AF11" s="202" t="n"/>
      <c r="AG11" s="202" t="n"/>
      <c r="AH11" s="202" t="n"/>
      <c r="AI11" s="202" t="n"/>
      <c r="AJ11" s="202" t="n"/>
      <c r="AK11" s="202" t="n"/>
      <c r="AL11" s="202" t="n"/>
      <c r="AM11" s="202" t="n"/>
      <c r="AN11" s="203" t="n"/>
      <c r="AO11" s="204" t="n"/>
      <c r="AP11" s="204" t="n"/>
      <c r="AQ11" s="204" t="n"/>
    </row>
    <row r="12" ht="20" customHeight="1">
      <c r="A12" s="160" t="inlineStr">
        <is>
          <t>Finance — 11 people · 8 roles · Corporate functions · levels A3–E1</t>
        </is>
      </c>
    </row>
    <row r="13" ht="145" customHeight="1">
      <c r="A13" s="109" t="inlineStr">
        <is>
          <t>Finance</t>
        </is>
      </c>
      <c r="B13" s="111" t="inlineStr">
        <is>
          <t>Finance &amp; Accounts</t>
        </is>
      </c>
      <c r="C13" s="111" t="inlineStr">
        <is>
          <t>Accounting &amp; Transaction Processing</t>
        </is>
      </c>
      <c r="D13" s="111" t="inlineStr">
        <is>
          <t>Senior Accounts Executive</t>
        </is>
      </c>
      <c r="E13" s="26" t="inlineStr">
        <is>
          <t>A3</t>
        </is>
      </c>
      <c r="F13" s="139" t="inlineStr">
        <is>
          <t>Senior Associate</t>
        </is>
      </c>
      <c r="G13" s="111" t="inlineStr">
        <is>
          <t>IC</t>
        </is>
      </c>
      <c r="H13" s="112" t="n">
        <v>2</v>
      </c>
      <c r="I13" s="113" t="inlineStr">
        <is>
          <t>Varied work; reviews juniors; go-to for a process</t>
        </is>
      </c>
      <c r="J13" s="114" t="inlineStr">
        <is>
          <t>Varied and non-standard work; handles exceptions</t>
        </is>
      </c>
      <c r="K13" s="114" t="inlineStr">
        <is>
          <t>Technical / QC / client calls on own work</t>
        </is>
      </c>
      <c r="L13" s="114" t="inlineStr">
        <is>
          <t>A module / process, or work with client or regulatory consequences</t>
        </is>
      </c>
      <c r="M13" s="114" t="inlineStr">
        <is>
          <t>Not scored in Band A</t>
        </is>
      </c>
      <c r="N13" s="185" t="inlineStr">
        <is>
          <t>2–4 yrs</t>
        </is>
      </c>
      <c r="O13" s="164" t="inlineStr">
        <is>
          <r>
            <rPr>
              <rFont val="Calibri"/>
              <sz val="10"/>
            </rPr>
            <t xml:space="preserve">Graduate; relevant certification preferred
</t>
          </r>
          <r>
            <rPr>
              <rFont val="Calibri"/>
              <b val="1"/>
              <sz val="10"/>
            </rPr>
            <t>Family:</t>
          </r>
          <r>
            <rPr>
              <rFont val="Calibri"/>
              <sz val="10"/>
            </rPr>
            <t xml:space="preserve"> B.Com / M.Com / CA / CMA</t>
          </r>
        </is>
      </c>
      <c r="P13" s="164" t="inlineStr">
        <is>
          <t>CA / CMA / ACCA / CFA / IFRS certificate; MOS Excel · optional</t>
        </is>
      </c>
      <c r="Q13" s="164" t="inlineStr">
        <is>
          <t>Statutory compliance · GST, TDS, audit</t>
        </is>
      </c>
      <c r="R13" s="186" t="inlineStr">
        <is>
          <t>CF-A</t>
        </is>
      </c>
      <c r="S13" s="187" t="n">
        <v>0.54</v>
      </c>
      <c r="T13" s="187" t="n">
        <v>0.16</v>
      </c>
      <c r="U13" s="187" t="n">
        <v>0.09</v>
      </c>
      <c r="V13" s="187" t="n">
        <v>0</v>
      </c>
      <c r="W13" s="187" t="n">
        <v>0.15</v>
      </c>
      <c r="X13" s="187" t="n">
        <v>0.06</v>
      </c>
      <c r="Y13" s="121" t="inlineStr">
        <is>
          <t>★ Accounting &amp; Reporting Standards · IFRS/US GAAP · ★ Advanced Excel &amp; Productivity Tools</t>
        </is>
      </c>
      <c r="Z13" s="122" t="inlineStr">
        <is>
          <t>Regulatory &amp; BFSI Domain · Data Analytics, BI &amp; Visualisation · Process Improvement &amp; Quality Mindset · Strategic Thinking &amp; Business Acumen</t>
        </is>
      </c>
      <c r="AA13" s="122" t="inlineStr">
        <is>
          <t>Financial Accounting, Close &amp; Reporting · Ind AS · Taxation &amp; Statutory Compliance · GST, TDS, Income-tax · FP&amp;A, Budgeting &amp; Business Partnering · Audit, Internal Controls &amp; Risk · Treasury, Receivables &amp; Collections · Finance Systems &amp; Automation · ERP</t>
        </is>
      </c>
      <c r="AB13" s="122" t="inlineStr">
        <is>
          <t>Core 2 · Future-ready 2 · Functional 3 · Leadership —</t>
        </is>
      </c>
      <c r="AC13" s="123" t="inlineStr">
        <is>
          <t>None · guides 1–3 juniors informally</t>
        </is>
      </c>
      <c r="AD13" s="188" t="inlineStr">
        <is>
          <t>P2</t>
        </is>
      </c>
      <c r="AE13" s="130" t="inlineStr">
        <is>
          <t>Developing</t>
        </is>
      </c>
      <c r="AF13" s="189" t="inlineStr">
        <is>
          <t>3 Apply</t>
        </is>
      </c>
      <c r="AG13" s="130" t="inlineStr">
        <is>
          <t>Accounts Executive</t>
        </is>
      </c>
      <c r="AH13" s="130" t="inlineStr">
        <is>
          <t>L3–L4 · MS 61–62 · —</t>
        </is>
      </c>
      <c r="AI13" s="130" t="inlineStr">
        <is>
          <t>JL3A · C1 · L11–L10 · Senior Analyst</t>
        </is>
      </c>
      <c r="AJ13" s="130" t="inlineStr">
        <is>
          <t>Consultant · DataTracks Senior Associate · 2–5 yrs</t>
        </is>
      </c>
      <c r="AK13" s="130" t="inlineStr">
        <is>
          <t>Radford / Mercer</t>
        </is>
      </c>
      <c r="AL13" s="130" t="inlineStr">
        <is>
          <r>
            <rPr>
              <rFont val="Calibri"/>
              <b val="1"/>
              <sz val="10"/>
            </rPr>
            <t>Atlassian company-wide P-levels:</t>
          </r>
          <r>
            <rPr>
              <rFont val="Calibri"/>
              <sz val="10"/>
            </rPr>
            <t xml:space="preserve"> P40 · IRIS Vs Competitor Benchmark — finance ladder: Senior Accountant</t>
          </r>
        </is>
      </c>
      <c r="AM13" s="130" t="inlineStr">
        <is>
          <t>IMA Management Accounting Competency Framework; ICAI / CA; Ind AS</t>
        </is>
      </c>
      <c r="AN13" s="131" t="inlineStr">
        <is>
          <t>Lateral or campus · CT2 at 12 months; CT3 in programme</t>
        </is>
      </c>
      <c r="AO13" s="132" t="inlineStr">
        <is>
          <t>B1 · Specialist</t>
        </is>
      </c>
      <c r="AP13" s="132" t="inlineStr">
        <is>
          <t>B1 · Team Lead</t>
        </is>
      </c>
      <c r="AQ13" s="132" t="inlineStr">
        <is>
          <t>Finance automation, FP&amp;A analytics, AI in close &amp; reconciliation</t>
        </is>
      </c>
    </row>
    <row r="14" ht="145" customHeight="1">
      <c r="A14" s="109" t="inlineStr">
        <is>
          <t>Finance</t>
        </is>
      </c>
      <c r="B14" s="111" t="inlineStr">
        <is>
          <t>Finance &amp; Accounts</t>
        </is>
      </c>
      <c r="C14" s="111" t="inlineStr">
        <is>
          <t>Financial Reporting, Compliance &amp; Audit</t>
        </is>
      </c>
      <c r="D14" s="111" t="inlineStr">
        <is>
          <t>Finance Specialist</t>
        </is>
      </c>
      <c r="E14" s="23" t="inlineStr">
        <is>
          <t>B1</t>
        </is>
      </c>
      <c r="F14" s="21" t="inlineStr">
        <is>
          <t>Specialist</t>
        </is>
      </c>
      <c r="G14" s="111" t="inlineStr">
        <is>
          <t>IC</t>
        </is>
      </c>
      <c r="H14" s="112" t="n">
        <v>2</v>
      </c>
      <c r="I14" s="113" t="inlineStr">
        <is>
          <t>A domain / module, or a small team</t>
        </is>
      </c>
      <c r="J14" s="114" t="inlineStr">
        <is>
          <t>Domain specialist work</t>
        </is>
      </c>
      <c r="K14" s="114" t="inlineStr">
        <is>
          <t>Technical / QC / client calls for the domain</t>
        </is>
      </c>
      <c r="L14" s="114" t="inlineStr">
        <is>
          <t>A domain or a small team</t>
        </is>
      </c>
      <c r="M14" s="114" t="inlineStr">
        <is>
          <r>
            <rPr>
              <rFont val="Calibri"/>
              <b val="1"/>
              <sz val="10"/>
            </rPr>
            <t>IC:</t>
          </r>
          <r>
            <rPr>
              <rFont val="Calibri"/>
              <sz val="10"/>
            </rPr>
            <t xml:space="preserve"> mentors and reviews · People: hands-on team lead of 3–5</t>
          </r>
        </is>
      </c>
      <c r="N14" s="185" t="inlineStr">
        <is>
          <t>4–7 yrs</t>
        </is>
      </c>
      <c r="O14" s="164" t="inlineStr">
        <is>
          <r>
            <rPr>
              <rFont val="Calibri"/>
              <sz val="10"/>
            </rPr>
            <t xml:space="preserve">Graduate + relevant qualification or certification preferred
</t>
          </r>
          <r>
            <rPr>
              <rFont val="Calibri"/>
              <b val="1"/>
              <sz val="10"/>
            </rPr>
            <t>Family:</t>
          </r>
          <r>
            <rPr>
              <rFont val="Calibri"/>
              <sz val="10"/>
            </rPr>
            <t xml:space="preserve"> B.Com / M.Com / CA / CMA</t>
          </r>
        </is>
      </c>
      <c r="P14" s="164" t="inlineStr">
        <is>
          <t>CA / CMA / ACCA / CFA / IFRS certificate; MOS Excel · optional</t>
        </is>
      </c>
      <c r="Q14" s="164" t="inlineStr">
        <is>
          <t>Statutory compliance · GST, TDS, audit</t>
        </is>
      </c>
      <c r="R14" s="186" t="inlineStr">
        <is>
          <t>CF-B-IC</t>
        </is>
      </c>
      <c r="S14" s="187" t="n">
        <v>0.46</v>
      </c>
      <c r="T14" s="187" t="n">
        <v>0.17</v>
      </c>
      <c r="U14" s="187" t="n">
        <v>0.1</v>
      </c>
      <c r="V14" s="187" t="n">
        <v>0.05</v>
      </c>
      <c r="W14" s="187" t="n">
        <v>0.15</v>
      </c>
      <c r="X14" s="187" t="n">
        <v>0.07000000000000001</v>
      </c>
      <c r="Y14" s="121" t="inlineStr">
        <is>
          <t>★ Accounting &amp; Reporting Standards · IFRS/US GAAP · ★ Advanced Excel &amp; Productivity Tools</t>
        </is>
      </c>
      <c r="Z14" s="122" t="inlineStr">
        <is>
          <t>Regulatory &amp; BFSI Domain · Data Analytics, BI &amp; Visualisation · Process Improvement &amp; Quality Mindset · Strategic Thinking &amp; Business Acumen</t>
        </is>
      </c>
      <c r="AA14" s="122" t="inlineStr">
        <is>
          <t>Financial Accounting, Close &amp; Reporting · Ind AS · Taxation &amp; Statutory Compliance · GST, TDS, Income-tax · FP&amp;A, Budgeting &amp; Business Partnering · Audit, Internal Controls &amp; Risk · Treasury, Receivables &amp; Collections · Finance Systems &amp; Automation · ERP</t>
        </is>
      </c>
      <c r="AB14" s="122" t="inlineStr">
        <is>
          <t>Core 3 · Future-ready 3 · Functional 3 · Leadership 1</t>
        </is>
      </c>
      <c r="AC14" s="123" t="inlineStr">
        <is>
          <r>
            <rPr>
              <rFont val="Calibri"/>
              <b val="1"/>
              <sz val="10"/>
            </rPr>
            <t>IC:</t>
          </r>
          <r>
            <rPr>
              <rFont val="Calibri"/>
              <sz val="10"/>
            </rPr>
            <t xml:space="preserve"> none · Team Lead: 3–5</t>
          </r>
        </is>
      </c>
      <c r="AD14" s="188" t="inlineStr">
        <is>
          <t>P3</t>
        </is>
      </c>
      <c r="AE14" s="130" t="inlineStr">
        <is>
          <t>Career / · Team Lead</t>
        </is>
      </c>
      <c r="AF14" s="189" t="inlineStr">
        <is>
          <t>4 Enable</t>
        </is>
      </c>
      <c r="AG14" s="130" t="inlineStr">
        <is>
          <t>Senior Accountant</t>
        </is>
      </c>
      <c r="AH14" s="130" t="inlineStr">
        <is>
          <t>L4 · MS 62 · —</t>
        </is>
      </c>
      <c r="AI14" s="130" t="inlineStr">
        <is>
          <t>JL4 · C2 · L9 Team Lead / Consultant</t>
        </is>
      </c>
      <c r="AJ14" s="130" t="inlineStr">
        <is>
          <t>Senior Consultant / Assistant Manager</t>
        </is>
      </c>
      <c r="AK14" s="130" t="inlineStr">
        <is>
          <t>Radford / Mercer</t>
        </is>
      </c>
      <c r="AL14" s="130" t="inlineStr">
        <is>
          <r>
            <rPr>
              <rFont val="Calibri"/>
              <b val="1"/>
              <sz val="10"/>
            </rPr>
            <t>Toppan Merrill:</t>
          </r>
          <r>
            <rPr>
              <rFont val="Calibri"/>
              <sz val="10"/>
            </rPr>
            <t xml:space="preserve"> Senior Accountant · IRIS Vs Competitor Benchmark — finance ladder: Finance Specialist / Asst. Manager</t>
          </r>
        </is>
      </c>
      <c r="AM14" s="130" t="inlineStr">
        <is>
          <t>IMA Management Accounting Competency Framework; ICAI / CA; Ind AS</t>
        </is>
      </c>
      <c r="AN14" s="131" t="inlineStr">
        <is>
          <t>Lateral; Management Trainees graduate here</t>
        </is>
      </c>
      <c r="AO14" s="132" t="inlineStr">
        <is>
          <t>B2 · Senior Specialist</t>
        </is>
      </c>
      <c r="AP14" s="132" t="inlineStr">
        <is>
          <t>B2 · Manager</t>
        </is>
      </c>
      <c r="AQ14" s="132" t="inlineStr">
        <is>
          <t>Finance automation, FP&amp;A analytics, AI in close &amp; reconciliation</t>
        </is>
      </c>
    </row>
    <row r="15" ht="145" customHeight="1">
      <c r="A15" s="109" t="inlineStr">
        <is>
          <t>Finance</t>
        </is>
      </c>
      <c r="B15" s="111" t="inlineStr">
        <is>
          <t>Finance &amp; Accounts</t>
        </is>
      </c>
      <c r="C15" s="111" t="inlineStr">
        <is>
          <t>Accounting &amp; Transaction Processing</t>
        </is>
      </c>
      <c r="D15" s="111" t="inlineStr">
        <is>
          <t>Accounts Specialist – POD Lead</t>
        </is>
      </c>
      <c r="E15" s="23" t="inlineStr">
        <is>
          <t>B1</t>
        </is>
      </c>
      <c r="F15" s="21" t="inlineStr">
        <is>
          <t>Specialist · POD Lead</t>
        </is>
      </c>
      <c r="G15" s="111" t="inlineStr">
        <is>
          <t>POD Lead</t>
        </is>
      </c>
      <c r="H15" s="112" t="n">
        <v>2</v>
      </c>
      <c r="I15" s="113" t="inlineStr">
        <is>
          <t>A domain / module, or a small team</t>
        </is>
      </c>
      <c r="J15" s="114" t="inlineStr">
        <is>
          <t>Domain specialist work</t>
        </is>
      </c>
      <c r="K15" s="114" t="inlineStr">
        <is>
          <t>Technical / QC / client calls for the domain</t>
        </is>
      </c>
      <c r="L15" s="114" t="inlineStr">
        <is>
          <t>A domain or a small team</t>
        </is>
      </c>
      <c r="M15" s="114" t="inlineStr">
        <is>
          <r>
            <rPr>
              <rFont val="Calibri"/>
              <b val="1"/>
              <sz val="10"/>
            </rPr>
            <t>IC:</t>
          </r>
          <r>
            <rPr>
              <rFont val="Calibri"/>
              <sz val="10"/>
            </rPr>
            <t xml:space="preserve"> mentors and reviews · People: hands-on team lead of 3–5</t>
          </r>
        </is>
      </c>
      <c r="N15" s="185" t="inlineStr">
        <is>
          <t>4–7 yrs</t>
        </is>
      </c>
      <c r="O15" s="164" t="inlineStr">
        <is>
          <r>
            <rPr>
              <rFont val="Calibri"/>
              <sz val="10"/>
            </rPr>
            <t xml:space="preserve">Graduate + relevant qualification or certification preferred
</t>
          </r>
          <r>
            <rPr>
              <rFont val="Calibri"/>
              <b val="1"/>
              <sz val="10"/>
            </rPr>
            <t>Family:</t>
          </r>
          <r>
            <rPr>
              <rFont val="Calibri"/>
              <sz val="10"/>
            </rPr>
            <t xml:space="preserve"> B.Com / M.Com / CA / CMA</t>
          </r>
        </is>
      </c>
      <c r="P15" s="164" t="inlineStr">
        <is>
          <t>CA / CMA / ACCA / CFA / IFRS certificate; MOS Excel · optional</t>
        </is>
      </c>
      <c r="Q15" s="164" t="inlineStr">
        <is>
          <t>Statutory compliance · GST, TDS, audit</t>
        </is>
      </c>
      <c r="R15" s="186" t="inlineStr">
        <is>
          <t>CF-B-IC</t>
        </is>
      </c>
      <c r="S15" s="187" t="n">
        <v>0.46</v>
      </c>
      <c r="T15" s="187" t="n">
        <v>0.17</v>
      </c>
      <c r="U15" s="187" t="n">
        <v>0.1</v>
      </c>
      <c r="V15" s="187" t="n">
        <v>0.05</v>
      </c>
      <c r="W15" s="187" t="n">
        <v>0.15</v>
      </c>
      <c r="X15" s="187" t="n">
        <v>0.07000000000000001</v>
      </c>
      <c r="Y15" s="121" t="inlineStr">
        <is>
          <t>★ Accounting &amp; Reporting Standards · IFRS/US GAAP · ★ Advanced Excel &amp; Productivity Tools</t>
        </is>
      </c>
      <c r="Z15" s="122" t="inlineStr">
        <is>
          <t>Regulatory &amp; BFSI Domain · Data Analytics, BI &amp; Visualisation · Process Improvement &amp; Quality Mindset · Strategic Thinking &amp; Business Acumen</t>
        </is>
      </c>
      <c r="AA15" s="122" t="inlineStr">
        <is>
          <t>Financial Accounting, Close &amp; Reporting · Ind AS · Taxation &amp; Statutory Compliance · GST, TDS, Income-tax · FP&amp;A, Budgeting &amp; Business Partnering · Audit, Internal Controls &amp; Risk · Treasury, Receivables &amp; Collections · Finance Systems &amp; Automation · ERP</t>
        </is>
      </c>
      <c r="AB15" s="122" t="inlineStr">
        <is>
          <t>Core 3 · Future-ready 3 · Functional 3 · Leadership 2</t>
        </is>
      </c>
      <c r="AC15" s="123" t="inlineStr">
        <is>
          <r>
            <rPr>
              <rFont val="Calibri"/>
              <b val="1"/>
              <sz val="10"/>
            </rPr>
            <t>IC:</t>
          </r>
          <r>
            <rPr>
              <rFont val="Calibri"/>
              <sz val="10"/>
            </rPr>
            <t xml:space="preserve"> none · Team Lead: 3–5</t>
          </r>
        </is>
      </c>
      <c r="AD15" s="188" t="inlineStr">
        <is>
          <t>P3</t>
        </is>
      </c>
      <c r="AE15" s="130" t="inlineStr">
        <is>
          <t>Career / · Team Lead</t>
        </is>
      </c>
      <c r="AF15" s="189" t="inlineStr">
        <is>
          <t>4 Enable</t>
        </is>
      </c>
      <c r="AG15" s="130" t="inlineStr">
        <is>
          <t>Senior Accountant</t>
        </is>
      </c>
      <c r="AH15" s="130" t="inlineStr">
        <is>
          <t>L4 · MS 62 · —</t>
        </is>
      </c>
      <c r="AI15" s="130" t="inlineStr">
        <is>
          <t>JL4 · C2 · L9 Team Lead / Consultant</t>
        </is>
      </c>
      <c r="AJ15" s="130" t="inlineStr">
        <is>
          <t>Senior Consultant / Assistant Manager</t>
        </is>
      </c>
      <c r="AK15" s="130" t="inlineStr">
        <is>
          <t>Radford / Mercer</t>
        </is>
      </c>
      <c r="AL15" s="130" t="inlineStr">
        <is>
          <r>
            <rPr>
              <rFont val="Calibri"/>
              <b val="1"/>
              <sz val="10"/>
            </rPr>
            <t>Toppan Merrill:</t>
          </r>
          <r>
            <rPr>
              <rFont val="Calibri"/>
              <sz val="10"/>
            </rPr>
            <t xml:space="preserve"> Senior Accountant · IRIS Vs Competitor Benchmark — finance ladder: Finance Specialist / Asst. Manager</t>
          </r>
        </is>
      </c>
      <c r="AM15" s="130" t="inlineStr">
        <is>
          <t>IMA Management Accounting Competency Framework; ICAI / CA; Ind AS</t>
        </is>
      </c>
      <c r="AN15" s="131" t="inlineStr">
        <is>
          <t>Lateral; Management Trainees graduate here</t>
        </is>
      </c>
      <c r="AO15" s="132" t="inlineStr">
        <is>
          <t>B2 · Senior Specialist</t>
        </is>
      </c>
      <c r="AP15" s="132" t="inlineStr">
        <is>
          <t>B2 · Manager</t>
        </is>
      </c>
      <c r="AQ15" s="132" t="inlineStr">
        <is>
          <t>Finance automation, FP&amp;A analytics, AI in close &amp; reconciliation</t>
        </is>
      </c>
    </row>
    <row r="16" ht="145" customHeight="1">
      <c r="A16" s="109" t="inlineStr">
        <is>
          <t>Finance</t>
        </is>
      </c>
      <c r="B16" s="111" t="inlineStr">
        <is>
          <t>Finance &amp; Accounts</t>
        </is>
      </c>
      <c r="C16" s="111" t="inlineStr">
        <is>
          <t>Financial Reporting, Compliance &amp; Audit</t>
        </is>
      </c>
      <c r="D16" s="111" t="inlineStr">
        <is>
          <t>Finance Specialist – POD Lead</t>
        </is>
      </c>
      <c r="E16" s="23" t="inlineStr">
        <is>
          <t>B1</t>
        </is>
      </c>
      <c r="F16" s="21" t="inlineStr">
        <is>
          <t>Specialist · POD Lead</t>
        </is>
      </c>
      <c r="G16" s="111" t="inlineStr">
        <is>
          <t>POD Lead</t>
        </is>
      </c>
      <c r="H16" s="112" t="n">
        <v>1</v>
      </c>
      <c r="I16" s="113" t="inlineStr">
        <is>
          <t>A domain / module, or a small team</t>
        </is>
      </c>
      <c r="J16" s="114" t="inlineStr">
        <is>
          <t>Domain specialist work</t>
        </is>
      </c>
      <c r="K16" s="114" t="inlineStr">
        <is>
          <t>Technical / QC / client calls for the domain</t>
        </is>
      </c>
      <c r="L16" s="114" t="inlineStr">
        <is>
          <t>A domain or a small team</t>
        </is>
      </c>
      <c r="M16" s="114" t="inlineStr">
        <is>
          <r>
            <rPr>
              <rFont val="Calibri"/>
              <b val="1"/>
              <sz val="10"/>
            </rPr>
            <t>IC:</t>
          </r>
          <r>
            <rPr>
              <rFont val="Calibri"/>
              <sz val="10"/>
            </rPr>
            <t xml:space="preserve"> mentors and reviews · People: hands-on team lead of 3–5</t>
          </r>
        </is>
      </c>
      <c r="N16" s="185" t="inlineStr">
        <is>
          <t>4–7 yrs</t>
        </is>
      </c>
      <c r="O16" s="164" t="inlineStr">
        <is>
          <r>
            <rPr>
              <rFont val="Calibri"/>
              <sz val="10"/>
            </rPr>
            <t xml:space="preserve">Graduate + relevant qualification or certification preferred
</t>
          </r>
          <r>
            <rPr>
              <rFont val="Calibri"/>
              <b val="1"/>
              <sz val="10"/>
            </rPr>
            <t>Family:</t>
          </r>
          <r>
            <rPr>
              <rFont val="Calibri"/>
              <sz val="10"/>
            </rPr>
            <t xml:space="preserve"> B.Com / M.Com / CA / CMA</t>
          </r>
        </is>
      </c>
      <c r="P16" s="164" t="inlineStr">
        <is>
          <t>CA / CMA / ACCA / CFA / IFRS certificate; MOS Excel · optional</t>
        </is>
      </c>
      <c r="Q16" s="164" t="inlineStr">
        <is>
          <t>Statutory compliance · GST, TDS, audit</t>
        </is>
      </c>
      <c r="R16" s="186" t="inlineStr">
        <is>
          <t>CF-B-IC</t>
        </is>
      </c>
      <c r="S16" s="187" t="n">
        <v>0.46</v>
      </c>
      <c r="T16" s="187" t="n">
        <v>0.17</v>
      </c>
      <c r="U16" s="187" t="n">
        <v>0.1</v>
      </c>
      <c r="V16" s="187" t="n">
        <v>0.05</v>
      </c>
      <c r="W16" s="187" t="n">
        <v>0.15</v>
      </c>
      <c r="X16" s="187" t="n">
        <v>0.07000000000000001</v>
      </c>
      <c r="Y16" s="121" t="inlineStr">
        <is>
          <t>★ Accounting &amp; Reporting Standards · IFRS/US GAAP · ★ Advanced Excel &amp; Productivity Tools</t>
        </is>
      </c>
      <c r="Z16" s="122" t="inlineStr">
        <is>
          <t>Regulatory &amp; BFSI Domain · Data Analytics, BI &amp; Visualisation · Process Improvement &amp; Quality Mindset · Strategic Thinking &amp; Business Acumen</t>
        </is>
      </c>
      <c r="AA16" s="122" t="inlineStr">
        <is>
          <t>Financial Accounting, Close &amp; Reporting · Ind AS · Taxation &amp; Statutory Compliance · GST, TDS, Income-tax · FP&amp;A, Budgeting &amp; Business Partnering · Audit, Internal Controls &amp; Risk · Treasury, Receivables &amp; Collections · Finance Systems &amp; Automation · ERP</t>
        </is>
      </c>
      <c r="AB16" s="122" t="inlineStr">
        <is>
          <t>Core 3 · Future-ready 3 · Functional 3 · Leadership 2</t>
        </is>
      </c>
      <c r="AC16" s="123" t="inlineStr">
        <is>
          <r>
            <rPr>
              <rFont val="Calibri"/>
              <b val="1"/>
              <sz val="10"/>
            </rPr>
            <t>IC:</t>
          </r>
          <r>
            <rPr>
              <rFont val="Calibri"/>
              <sz val="10"/>
            </rPr>
            <t xml:space="preserve"> none · Team Lead: 3–5</t>
          </r>
        </is>
      </c>
      <c r="AD16" s="188" t="inlineStr">
        <is>
          <t>P3</t>
        </is>
      </c>
      <c r="AE16" s="130" t="inlineStr">
        <is>
          <t>Career / · Team Lead</t>
        </is>
      </c>
      <c r="AF16" s="189" t="inlineStr">
        <is>
          <t>4 Enable</t>
        </is>
      </c>
      <c r="AG16" s="130" t="inlineStr">
        <is>
          <t>Senior Accountant</t>
        </is>
      </c>
      <c r="AH16" s="130" t="inlineStr">
        <is>
          <t>L4 · MS 62 · —</t>
        </is>
      </c>
      <c r="AI16" s="130" t="inlineStr">
        <is>
          <t>JL4 · C2 · L9 Team Lead / Consultant</t>
        </is>
      </c>
      <c r="AJ16" s="130" t="inlineStr">
        <is>
          <t>Senior Consultant / Assistant Manager</t>
        </is>
      </c>
      <c r="AK16" s="130" t="inlineStr">
        <is>
          <t>Radford / Mercer</t>
        </is>
      </c>
      <c r="AL16" s="130" t="inlineStr">
        <is>
          <r>
            <rPr>
              <rFont val="Calibri"/>
              <b val="1"/>
              <sz val="10"/>
            </rPr>
            <t>Toppan Merrill:</t>
          </r>
          <r>
            <rPr>
              <rFont val="Calibri"/>
              <sz val="10"/>
            </rPr>
            <t xml:space="preserve"> Senior Accountant · IRIS Vs Competitor Benchmark — finance ladder: Finance Specialist / Asst. Manager</t>
          </r>
        </is>
      </c>
      <c r="AM16" s="130" t="inlineStr">
        <is>
          <t>IMA Management Accounting Competency Framework; ICAI / CA; Ind AS</t>
        </is>
      </c>
      <c r="AN16" s="131" t="inlineStr">
        <is>
          <t>Lateral; Management Trainees graduate here</t>
        </is>
      </c>
      <c r="AO16" s="132" t="inlineStr">
        <is>
          <t>B2 · Senior Specialist</t>
        </is>
      </c>
      <c r="AP16" s="132" t="inlineStr">
        <is>
          <t>B2 · Manager</t>
        </is>
      </c>
      <c r="AQ16" s="132" t="inlineStr">
        <is>
          <t>Finance automation, FP&amp;A analytics, AI in close &amp; reconciliation</t>
        </is>
      </c>
    </row>
    <row r="17" ht="145" customHeight="1">
      <c r="A17" s="109" t="inlineStr">
        <is>
          <t>Finance</t>
        </is>
      </c>
      <c r="B17" s="111" t="inlineStr">
        <is>
          <t>Finance &amp; Accounts</t>
        </is>
      </c>
      <c r="C17" s="111" t="inlineStr">
        <is>
          <t>Financial Reporting, Compliance &amp; Audit</t>
        </is>
      </c>
      <c r="D17" s="111" t="inlineStr">
        <is>
          <t>Senior Finance Specialist – POD Lead</t>
        </is>
      </c>
      <c r="E17" s="23" t="inlineStr">
        <is>
          <t>B2</t>
        </is>
      </c>
      <c r="F17" s="21" t="inlineStr">
        <is>
          <t>Senior Specialist · POD Lead</t>
        </is>
      </c>
      <c r="G17" s="111" t="inlineStr">
        <is>
          <t>POD Lead</t>
        </is>
      </c>
      <c r="H17" s="112" t="n">
        <v>1</v>
      </c>
      <c r="I17" s="113" t="inlineStr">
        <is>
          <t>Deep domain expertise, or one team</t>
        </is>
      </c>
      <c r="J17" s="114" t="inlineStr">
        <is>
          <t>Hardest problems in the domain</t>
        </is>
      </c>
      <c r="K17" s="114" t="inlineStr">
        <is>
          <t>Allocates people and sets team priorities</t>
        </is>
      </c>
      <c r="L17" s="114" t="inlineStr">
        <is>
          <t>One team or a client portfolio</t>
        </is>
      </c>
      <c r="M17" s="114" t="inlineStr">
        <is>
          <r>
            <rPr>
              <rFont val="Calibri"/>
              <b val="1"/>
              <sz val="10"/>
            </rPr>
            <t>IC:</t>
          </r>
          <r>
            <rPr>
              <rFont val="Calibri"/>
              <sz val="10"/>
            </rPr>
            <t xml:space="preserve"> guides others in the domain · People: manages a team of 6+</t>
          </r>
        </is>
      </c>
      <c r="N17" s="185" t="inlineStr">
        <is>
          <t>6–9 yrs</t>
        </is>
      </c>
      <c r="O17" s="164" t="inlineStr">
        <is>
          <r>
            <rPr>
              <rFont val="Calibri"/>
              <sz val="10"/>
            </rPr>
            <t xml:space="preserve">Graduate or postgraduate; professional qualification preferred
</t>
          </r>
          <r>
            <rPr>
              <rFont val="Calibri"/>
              <b val="1"/>
              <sz val="10"/>
            </rPr>
            <t>Family:</t>
          </r>
          <r>
            <rPr>
              <rFont val="Calibri"/>
              <sz val="10"/>
            </rPr>
            <t xml:space="preserve"> B.Com / M.Com / CA / CMA</t>
          </r>
        </is>
      </c>
      <c r="P17" s="164" t="inlineStr">
        <is>
          <t>CA / CMA / ACCA / CFA / IFRS certificate; MOS Excel · optional</t>
        </is>
      </c>
      <c r="Q17" s="164" t="inlineStr">
        <is>
          <t>Statutory compliance · GST, TDS, audit</t>
        </is>
      </c>
      <c r="R17" s="186" t="inlineStr">
        <is>
          <t>CF-B-IC</t>
        </is>
      </c>
      <c r="S17" s="187" t="n">
        <v>0.46</v>
      </c>
      <c r="T17" s="187" t="n">
        <v>0.17</v>
      </c>
      <c r="U17" s="187" t="n">
        <v>0.1</v>
      </c>
      <c r="V17" s="187" t="n">
        <v>0.05</v>
      </c>
      <c r="W17" s="187" t="n">
        <v>0.15</v>
      </c>
      <c r="X17" s="187" t="n">
        <v>0.07000000000000001</v>
      </c>
      <c r="Y17" s="121" t="inlineStr">
        <is>
          <t>★ Accounting &amp; Reporting Standards · IFRS/US GAAP · ★ Advanced Excel &amp; Productivity Tools</t>
        </is>
      </c>
      <c r="Z17" s="122" t="inlineStr">
        <is>
          <t>Regulatory &amp; BFSI Domain · Data Analytics, BI &amp; Visualisation · Process Improvement &amp; Quality Mindset · Strategic Thinking &amp; Business Acumen</t>
        </is>
      </c>
      <c r="AA17" s="122" t="inlineStr">
        <is>
          <t>Financial Accounting, Close &amp; Reporting · Ind AS · Taxation &amp; Statutory Compliance · GST, TDS, Income-tax · FP&amp;A, Budgeting &amp; Business Partnering · Audit, Internal Controls &amp; Risk · Treasury, Receivables &amp; Collections · Finance Systems &amp; Automation · ERP</t>
        </is>
      </c>
      <c r="AB17" s="122" t="inlineStr">
        <is>
          <t>Core 3 · Future-ready 3 · Functional 4 · Leadership 3</t>
        </is>
      </c>
      <c r="AC17" s="123" t="inlineStr">
        <is>
          <r>
            <rPr>
              <rFont val="Calibri"/>
              <b val="1"/>
              <sz val="10"/>
            </rPr>
            <t>IC:</t>
          </r>
          <r>
            <rPr>
              <rFont val="Calibri"/>
              <sz val="10"/>
            </rPr>
            <t xml:space="preserve"> none · People: 6–8 knowledge work, 8–12 standardised delivery</t>
          </r>
        </is>
      </c>
      <c r="AD17" s="188" t="inlineStr">
        <is>
          <t>P4</t>
        </is>
      </c>
      <c r="AE17" s="130" t="inlineStr">
        <is>
          <t>Senior / Manager</t>
        </is>
      </c>
      <c r="AF17" s="189" t="inlineStr">
        <is>
          <t>4–5</t>
        </is>
      </c>
      <c r="AG17" s="130" t="inlineStr">
        <is>
          <t>Finance Specialist / Asst. Manager</t>
        </is>
      </c>
      <c r="AH17" s="130" t="inlineStr">
        <is>
          <t>L5 · MS 63 · —</t>
        </is>
      </c>
      <c r="AI17" s="130" t="inlineStr">
        <is>
          <t>JL5 · C3A · L8 Associate Manager</t>
        </is>
      </c>
      <c r="AJ17" s="130" t="inlineStr">
        <is>
          <t>Manager</t>
        </is>
      </c>
      <c r="AK17" s="130" t="inlineStr">
        <is>
          <t>Radford / Mercer</t>
        </is>
      </c>
      <c r="AL17" s="130" t="inlineStr">
        <is>
          <r>
            <rPr>
              <rFont val="Calibri"/>
              <b val="1"/>
              <sz val="10"/>
            </rPr>
            <t>Atlassian company-wide P-levels:</t>
          </r>
          <r>
            <rPr>
              <rFont val="Calibri"/>
              <sz val="10"/>
            </rPr>
            <t xml:space="preserve"> P50 Senior · Toppan Merrill: Senior Financial Analyst · IRIS Vs Competitor Benchmark — finance ladder: Finance Manager</t>
          </r>
        </is>
      </c>
      <c r="AM17" s="130" t="inlineStr">
        <is>
          <t>IMA Management Accounting Competency Framework; ICAI / CA; Ind AS</t>
        </is>
      </c>
      <c r="AN17" s="131" t="inlineStr">
        <is>
          <t>Lateral</t>
        </is>
      </c>
      <c r="AO17" s="132" t="inlineStr">
        <is>
          <t>B3 · Lead Specialist</t>
        </is>
      </c>
      <c r="AP17" s="132" t="inlineStr">
        <is>
          <t>B3 · Senior Manager</t>
        </is>
      </c>
      <c r="AQ17" s="132" t="inlineStr">
        <is>
          <t>Finance automation, FP&amp;A analytics, AI in close &amp; reconciliation</t>
        </is>
      </c>
    </row>
    <row r="18" ht="145" customHeight="1">
      <c r="A18" s="109" t="inlineStr">
        <is>
          <t>Finance</t>
        </is>
      </c>
      <c r="B18" s="111" t="inlineStr">
        <is>
          <t>Finance &amp; Accounts</t>
        </is>
      </c>
      <c r="C18" s="111" t="inlineStr">
        <is>
          <t>Finance Leadership</t>
        </is>
      </c>
      <c r="D18" s="111" t="inlineStr">
        <is>
          <t>Associate Head – Admin &amp; Internal Audit</t>
        </is>
      </c>
      <c r="E18" s="33" t="inlineStr">
        <is>
          <t>C1</t>
        </is>
      </c>
      <c r="F18" s="146" t="inlineStr">
        <is>
          <t>Associate Head</t>
        </is>
      </c>
      <c r="G18" s="111" t="inlineStr">
        <is>
          <t>People Manager</t>
        </is>
      </c>
      <c r="H18" s="112" t="n">
        <v>1</v>
      </c>
      <c r="I18" s="113" t="inlineStr">
        <is>
          <t>A sub-function, or principal authority across products</t>
        </is>
      </c>
      <c r="J18" s="114" t="inlineStr">
        <is>
          <t>Ambiguous, cross-product problems</t>
        </is>
      </c>
      <c r="K18" s="114" t="inlineStr">
        <is>
          <t>Sets direction for a sub-function or domain</t>
        </is>
      </c>
      <c r="L18" s="114" t="inlineStr">
        <is>
          <t>Sub-function results or domain quality across products</t>
        </is>
      </c>
      <c r="M18" s="114" t="inlineStr">
        <is>
          <t>Leads managers or a community of practice</t>
        </is>
      </c>
      <c r="N18" s="185" t="inlineStr">
        <is>
          <t>10–14 yrs</t>
        </is>
      </c>
      <c r="O18" s="164" t="inlineStr">
        <is>
          <r>
            <rPr>
              <rFont val="Calibri"/>
              <sz val="10"/>
            </rPr>
            <t xml:space="preserve">Postgraduate / professional qualification preferred
</t>
          </r>
          <r>
            <rPr>
              <rFont val="Calibri"/>
              <b val="1"/>
              <sz val="10"/>
            </rPr>
            <t>Family:</t>
          </r>
          <r>
            <rPr>
              <rFont val="Calibri"/>
              <sz val="10"/>
            </rPr>
            <t xml:space="preserve"> B.Com / M.Com / CA / CMA</t>
          </r>
        </is>
      </c>
      <c r="P18" s="164" t="inlineStr">
        <is>
          <t>CA / CMA / ACCA / CFA / IFRS certificate; MOS Excel · optional</t>
        </is>
      </c>
      <c r="Q18" s="164" t="inlineStr">
        <is>
          <t>Statutory compliance · GST, TDS, audit</t>
        </is>
      </c>
      <c r="R18" s="186" t="inlineStr">
        <is>
          <t>CF-C-M</t>
        </is>
      </c>
      <c r="S18" s="187" t="n">
        <v>0.38</v>
      </c>
      <c r="T18" s="187" t="n">
        <v>0.18</v>
      </c>
      <c r="U18" s="187" t="n">
        <v>0.11</v>
      </c>
      <c r="V18" s="187" t="n">
        <v>0.15</v>
      </c>
      <c r="W18" s="187" t="n">
        <v>0.1</v>
      </c>
      <c r="X18" s="187" t="n">
        <v>0.08</v>
      </c>
      <c r="Y18" s="121" t="inlineStr">
        <is>
          <t>★ Accounting &amp; Reporting Standards · IFRS/US GAAP · ★ Advanced Excel &amp; Productivity Tools</t>
        </is>
      </c>
      <c r="Z18" s="122" t="inlineStr">
        <is>
          <t>Regulatory &amp; BFSI Domain · Data Analytics, BI &amp; Visualisation · Process Improvement &amp; Quality Mindset · Strategic Thinking &amp; Business Acumen</t>
        </is>
      </c>
      <c r="AA18" s="122" t="inlineStr">
        <is>
          <t>Financial Accounting, Close &amp; Reporting · Ind AS · Taxation &amp; Statutory Compliance · GST, TDS, Income-tax · FP&amp;A, Budgeting &amp; Business Partnering · Audit, Internal Controls &amp; Risk · Treasury, Receivables &amp; Collections · Finance Systems &amp; Automation · ERP</t>
        </is>
      </c>
      <c r="AB18" s="122" t="inlineStr">
        <is>
          <t>Core 4 · Future-ready 4 · Functional 4 · Leadership 4</t>
        </is>
      </c>
      <c r="AC18" s="123" t="inlineStr">
        <is>
          <t>5–8, mostly managers</t>
        </is>
      </c>
      <c r="AD18" s="188" t="inlineStr">
        <is>
          <t>M5</t>
        </is>
      </c>
      <c r="AE18" s="130" t="inlineStr">
        <is>
          <t>Principal / Director</t>
        </is>
      </c>
      <c r="AF18" s="189" t="inlineStr">
        <is>
          <t>5–6</t>
        </is>
      </c>
      <c r="AG18" s="130" t="inlineStr">
        <is>
          <t>Head of Function / AGM</t>
        </is>
      </c>
      <c r="AH18" s="130" t="inlineStr">
        <is>
          <t>L6 · MS 64–65 · —</t>
        </is>
      </c>
      <c r="AI18" s="130" t="inlineStr">
        <is>
          <t>JL6B · C4 · L7 Manager</t>
        </is>
      </c>
      <c r="AJ18" s="130" t="inlineStr">
        <is>
          <t>Associate Director</t>
        </is>
      </c>
      <c r="AK18" s="130" t="inlineStr">
        <is>
          <t>Radford / Mercer</t>
        </is>
      </c>
      <c r="AL18" s="130" t="inlineStr">
        <is>
          <r>
            <rPr>
              <rFont val="Calibri"/>
              <b val="1"/>
              <sz val="10"/>
            </rPr>
            <t>Atlassian company-wide P-levels:</t>
          </r>
          <r>
            <rPr>
              <rFont val="Calibri"/>
              <sz val="10"/>
            </rPr>
            <t xml:space="preserve"> P60 Accountant · Principal · IRIS Vs Competitor Benchmark — finance ladder: Associate Director Finance</t>
          </r>
        </is>
      </c>
      <c r="AM18" s="130" t="inlineStr">
        <is>
          <t>IMA Management Accounting Competency Framework; ICAI / CA; Ind AS</t>
        </is>
      </c>
      <c r="AN18" s="131" t="inlineStr">
        <is>
          <t>Internal posting first; lateral</t>
        </is>
      </c>
      <c r="AO18" s="132" t="inlineStr">
        <is>
          <t>C2 · Senior Principal / Architect</t>
        </is>
      </c>
      <c r="AP18" s="132" t="inlineStr">
        <is>
          <t>C2 · Head of Function</t>
        </is>
      </c>
      <c r="AQ18" s="132" t="inlineStr">
        <is>
          <t>Finance automation, FP&amp;A analytics, AI in close &amp; reconciliation</t>
        </is>
      </c>
    </row>
    <row r="19" ht="145" customHeight="1">
      <c r="A19" s="109" t="inlineStr">
        <is>
          <t>Finance</t>
        </is>
      </c>
      <c r="B19" s="111" t="inlineStr">
        <is>
          <t>Finance &amp; Accounts</t>
        </is>
      </c>
      <c r="C19" s="111" t="inlineStr">
        <is>
          <t>Finance Leadership</t>
        </is>
      </c>
      <c r="D19" s="111" t="inlineStr">
        <is>
          <t>Associate Head – Finance &amp; Accounts</t>
        </is>
      </c>
      <c r="E19" s="33" t="inlineStr">
        <is>
          <t>C1</t>
        </is>
      </c>
      <c r="F19" s="146" t="inlineStr">
        <is>
          <t>Associate Head</t>
        </is>
      </c>
      <c r="G19" s="111" t="inlineStr">
        <is>
          <t>People Manager</t>
        </is>
      </c>
      <c r="H19" s="112" t="n">
        <v>1</v>
      </c>
      <c r="I19" s="113" t="inlineStr">
        <is>
          <t>A sub-function, or principal authority across products</t>
        </is>
      </c>
      <c r="J19" s="114" t="inlineStr">
        <is>
          <t>Ambiguous, cross-product problems</t>
        </is>
      </c>
      <c r="K19" s="114" t="inlineStr">
        <is>
          <t>Sets direction for a sub-function or domain</t>
        </is>
      </c>
      <c r="L19" s="114" t="inlineStr">
        <is>
          <t>Sub-function results or domain quality across products</t>
        </is>
      </c>
      <c r="M19" s="114" t="inlineStr">
        <is>
          <t>Leads managers or a community of practice</t>
        </is>
      </c>
      <c r="N19" s="185" t="inlineStr">
        <is>
          <t>10–14 yrs</t>
        </is>
      </c>
      <c r="O19" s="164" t="inlineStr">
        <is>
          <r>
            <rPr>
              <rFont val="Calibri"/>
              <sz val="10"/>
            </rPr>
            <t xml:space="preserve">Postgraduate / professional qualification preferred
</t>
          </r>
          <r>
            <rPr>
              <rFont val="Calibri"/>
              <b val="1"/>
              <sz val="10"/>
            </rPr>
            <t>Family:</t>
          </r>
          <r>
            <rPr>
              <rFont val="Calibri"/>
              <sz val="10"/>
            </rPr>
            <t xml:space="preserve"> B.Com / M.Com / CA / CMA</t>
          </r>
        </is>
      </c>
      <c r="P19" s="164" t="inlineStr">
        <is>
          <t>CA / CMA / ACCA / CFA / IFRS certificate; MOS Excel · optional</t>
        </is>
      </c>
      <c r="Q19" s="164" t="inlineStr">
        <is>
          <t>Statutory compliance · GST, TDS, audit</t>
        </is>
      </c>
      <c r="R19" s="186" t="inlineStr">
        <is>
          <t>CF-C-M</t>
        </is>
      </c>
      <c r="S19" s="187" t="n">
        <v>0.38</v>
      </c>
      <c r="T19" s="187" t="n">
        <v>0.18</v>
      </c>
      <c r="U19" s="187" t="n">
        <v>0.11</v>
      </c>
      <c r="V19" s="187" t="n">
        <v>0.15</v>
      </c>
      <c r="W19" s="187" t="n">
        <v>0.1</v>
      </c>
      <c r="X19" s="187" t="n">
        <v>0.08</v>
      </c>
      <c r="Y19" s="121" t="inlineStr">
        <is>
          <t>★ Accounting &amp; Reporting Standards · IFRS/US GAAP · ★ Advanced Excel &amp; Productivity Tools</t>
        </is>
      </c>
      <c r="Z19" s="122" t="inlineStr">
        <is>
          <t>Regulatory &amp; BFSI Domain · Data Analytics, BI &amp; Visualisation · Process Improvement &amp; Quality Mindset · Strategic Thinking &amp; Business Acumen</t>
        </is>
      </c>
      <c r="AA19" s="122" t="inlineStr">
        <is>
          <t>Financial Accounting, Close &amp; Reporting · Ind AS · Taxation &amp; Statutory Compliance · GST, TDS, Income-tax · FP&amp;A, Budgeting &amp; Business Partnering · Audit, Internal Controls &amp; Risk · Treasury, Receivables &amp; Collections · Finance Systems &amp; Automation · ERP</t>
        </is>
      </c>
      <c r="AB19" s="122" t="inlineStr">
        <is>
          <t>Core 4 · Future-ready 4 · Functional 4 · Leadership 4</t>
        </is>
      </c>
      <c r="AC19" s="123" t="inlineStr">
        <is>
          <t>5–8, mostly managers</t>
        </is>
      </c>
      <c r="AD19" s="188" t="inlineStr">
        <is>
          <t>M5</t>
        </is>
      </c>
      <c r="AE19" s="130" t="inlineStr">
        <is>
          <t>Principal / Director</t>
        </is>
      </c>
      <c r="AF19" s="189" t="inlineStr">
        <is>
          <t>5–6</t>
        </is>
      </c>
      <c r="AG19" s="130" t="inlineStr">
        <is>
          <t>Head of Function / AGM</t>
        </is>
      </c>
      <c r="AH19" s="130" t="inlineStr">
        <is>
          <t>L6 · MS 64–65 · —</t>
        </is>
      </c>
      <c r="AI19" s="130" t="inlineStr">
        <is>
          <t>JL6B · C4 · L7 Manager</t>
        </is>
      </c>
      <c r="AJ19" s="130" t="inlineStr">
        <is>
          <t>Associate Director</t>
        </is>
      </c>
      <c r="AK19" s="130" t="inlineStr">
        <is>
          <t>Radford / Mercer</t>
        </is>
      </c>
      <c r="AL19" s="130" t="inlineStr">
        <is>
          <r>
            <rPr>
              <rFont val="Calibri"/>
              <b val="1"/>
              <sz val="10"/>
            </rPr>
            <t>Atlassian company-wide P-levels:</t>
          </r>
          <r>
            <rPr>
              <rFont val="Calibri"/>
              <sz val="10"/>
            </rPr>
            <t xml:space="preserve"> P60 Accountant · Principal · IRIS Vs Competitor Benchmark — finance ladder: Associate Director Finance</t>
          </r>
        </is>
      </c>
      <c r="AM19" s="130" t="inlineStr">
        <is>
          <t>IMA Management Accounting Competency Framework; ICAI / CA; Ind AS</t>
        </is>
      </c>
      <c r="AN19" s="131" t="inlineStr">
        <is>
          <t>Internal posting first; lateral</t>
        </is>
      </c>
      <c r="AO19" s="132" t="inlineStr">
        <is>
          <t>C2 · Senior Principal / Architect</t>
        </is>
      </c>
      <c r="AP19" s="132" t="inlineStr">
        <is>
          <t>C2 · Head of Function</t>
        </is>
      </c>
      <c r="AQ19" s="132" t="inlineStr">
        <is>
          <t>Finance automation, FP&amp;A analytics, AI in close &amp; reconciliation</t>
        </is>
      </c>
    </row>
    <row r="20" ht="145" customHeight="1">
      <c r="A20" s="109" t="inlineStr">
        <is>
          <t>Finance</t>
        </is>
      </c>
      <c r="B20" s="111" t="inlineStr">
        <is>
          <t>Executive Leadership</t>
        </is>
      </c>
      <c r="C20" s="111" t="inlineStr">
        <is>
          <t>Enterprise Leadership</t>
        </is>
      </c>
      <c r="D20" s="111" t="inlineStr">
        <is>
          <t>Chief Financial Officer</t>
        </is>
      </c>
      <c r="E20" s="42" t="inlineStr">
        <is>
          <t>E1</t>
        </is>
      </c>
      <c r="F20" s="145" t="inlineStr">
        <is>
          <t>CXO / President</t>
        </is>
      </c>
      <c r="G20" s="111" t="inlineStr">
        <is>
          <t>People Manager</t>
        </is>
      </c>
      <c r="H20" s="112" t="n">
        <v>1</v>
      </c>
      <c r="I20" s="113" t="inlineStr">
        <is>
          <t>An enterprise-wide function</t>
        </is>
      </c>
      <c r="J20" s="114" t="inlineStr">
        <is>
          <t>Enterprise-level functional strategy</t>
        </is>
      </c>
      <c r="K20" s="114" t="inlineStr">
        <is>
          <t>Sets enterprise priorities for the function</t>
        </is>
      </c>
      <c r="L20" s="114" t="inlineStr">
        <is>
          <t>Enterprise-wide functional results</t>
        </is>
      </c>
      <c r="M20" s="114" t="inlineStr">
        <is>
          <t>Shapes enterprise strategy</t>
        </is>
      </c>
      <c r="N20" s="185" t="inlineStr">
        <is>
          <t>20+ yrs</t>
        </is>
      </c>
      <c r="O20" s="164" t="inlineStr">
        <is>
          <r>
            <rPr>
              <rFont val="Calibri"/>
              <sz val="10"/>
            </rPr>
            <t xml:space="preserve">Postgraduate / professional qualification; business leadership record
</t>
          </r>
          <r>
            <rPr>
              <rFont val="Calibri"/>
              <b val="1"/>
              <sz val="10"/>
            </rPr>
            <t>Family:</t>
          </r>
          <r>
            <rPr>
              <rFont val="Calibri"/>
              <sz val="10"/>
            </rPr>
            <t xml:space="preserve"> Postgraduate / professional qualification</t>
          </r>
        </is>
      </c>
      <c r="P20" s="164" t="inlineStr">
        <is>
          <t>MBA / PGDM · preferred at C+</t>
        </is>
      </c>
      <c r="Q20" s="164" t="inlineStr">
        <is>
          <t>Governance, risk and regulatory accountability</t>
        </is>
      </c>
      <c r="R20" s="186" t="inlineStr">
        <is>
          <t>CF-DE</t>
        </is>
      </c>
      <c r="S20" s="187" t="n">
        <v>0.37</v>
      </c>
      <c r="T20" s="187" t="n">
        <v>0.19</v>
      </c>
      <c r="U20" s="187" t="n">
        <v>0.11</v>
      </c>
      <c r="V20" s="187" t="n">
        <v>0.2</v>
      </c>
      <c r="W20" s="187" t="n">
        <v>0.05</v>
      </c>
      <c r="X20" s="187" t="n">
        <v>0.08</v>
      </c>
      <c r="Y20" s="121" t="inlineStr">
        <is>
          <t>★ Strategic Thinking &amp; Business Acumen · ★ People Leadership &amp; Mentoring</t>
        </is>
      </c>
      <c r="Z20" s="122" t="inlineStr">
        <is>
          <t>Stakeholder &amp; Client Management · Product, Platform &amp; Domain Knowledge · Regulatory &amp; BFSI Domain · Communication &amp; Presentation</t>
        </is>
      </c>
      <c r="AA20" s="122" t="inlineStr">
        <is>
          <t>Financial Accounting, Close &amp; Reporting · Ind AS · Taxation &amp; Statutory Compliance · GST, TDS, Income-tax · FP&amp;A, Budgeting &amp; Business Partnering · Audit, Internal Controls &amp; Risk · Treasury, Receivables &amp; Collections · Finance Systems &amp; Automation · ERP</t>
        </is>
      </c>
      <c r="AB20" s="122" t="inlineStr">
        <is>
          <t>Core 5 · Future-ready 5 · Functional 4 · Leadership 5</t>
        </is>
      </c>
      <c r="AC20" s="123" t="inlineStr">
        <is>
          <t>5–8 function heads</t>
        </is>
      </c>
      <c r="AD20" s="188" t="inlineStr">
        <is>
          <t>E5</t>
        </is>
      </c>
      <c r="AE20" s="130" t="inlineStr">
        <is>
          <t>C-Level</t>
        </is>
      </c>
      <c r="AF20" s="189" t="inlineStr">
        <is>
          <t>7</t>
        </is>
      </c>
      <c r="AG20" s="130" t="inlineStr">
        <is>
          <t>CXO · functional chief</t>
        </is>
      </c>
      <c r="AH20" s="130" t="inlineStr">
        <is>
          <t>— · MS — · —</t>
        </is>
      </c>
      <c r="AI20" s="130" t="inlineStr">
        <is>
          <t>— · — · —</t>
        </is>
      </c>
      <c r="AJ20" s="130" t="inlineStr">
        <is>
          <t>—</t>
        </is>
      </c>
      <c r="AK20" s="130" t="inlineStr">
        <is>
          <t>Radford / Pave</t>
        </is>
      </c>
      <c r="AL20" s="130" t="inlineStr">
        <is>
          <t>IRIS Vs Market Benchmark — Aon Radford / Mercer executive codes: E5 C-level · functional · IRIS Vs Competitor Benchmark — regtech / SaaS executive titles: CTO · CFO · CRO · CCO · COO</t>
        </is>
      </c>
      <c r="AM20" s="130" t="inlineStr">
        <is>
          <t>Aon Radford executive levels E1–E6; Mercer ET1–ET3; Korn Ferry Leadership Architect</t>
        </is>
      </c>
      <c r="AN20" s="131" t="inlineStr">
        <is>
          <t>CEO / board appointment</t>
        </is>
      </c>
      <c r="AO20" s="132" t="inlineStr">
        <is>
          <t>—</t>
        </is>
      </c>
      <c r="AP20" s="132" t="inlineStr">
        <is>
          <t>E2 · Chief Executive Officer</t>
        </is>
      </c>
      <c r="AQ20" s="132" t="inlineStr">
        <is>
          <t>AI strategy &amp; governance, sustainability, digital business models</t>
        </is>
      </c>
    </row>
    <row r="21">
      <c r="A21" s="190" t="n"/>
      <c r="B21" s="191" t="n"/>
      <c r="C21" s="191" t="n"/>
      <c r="D21" s="191" t="n"/>
      <c r="E21" s="191" t="n"/>
      <c r="F21" s="191" t="n"/>
      <c r="G21" s="191" t="n"/>
      <c r="H21" s="191" t="n"/>
      <c r="I21" s="192" t="n"/>
      <c r="J21" s="193" t="n"/>
      <c r="K21" s="193" t="n"/>
      <c r="L21" s="193" t="n"/>
      <c r="M21" s="193" t="n"/>
      <c r="N21" s="194" t="n"/>
      <c r="O21" s="195" t="n"/>
      <c r="P21" s="195" t="n"/>
      <c r="Q21" s="195" t="n"/>
      <c r="R21" s="196" t="n"/>
      <c r="S21" s="197" t="n"/>
      <c r="T21" s="197" t="n"/>
      <c r="U21" s="197" t="n"/>
      <c r="V21" s="197" t="n"/>
      <c r="W21" s="197" t="n"/>
      <c r="X21" s="197" t="n"/>
      <c r="Y21" s="198" t="n"/>
      <c r="Z21" s="199" t="n"/>
      <c r="AA21" s="199" t="n"/>
      <c r="AB21" s="199" t="n"/>
      <c r="AC21" s="200" t="n"/>
      <c r="AD21" s="201" t="n"/>
      <c r="AE21" s="202" t="n"/>
      <c r="AF21" s="202" t="n"/>
      <c r="AG21" s="202" t="n"/>
      <c r="AH21" s="202" t="n"/>
      <c r="AI21" s="202" t="n"/>
      <c r="AJ21" s="202" t="n"/>
      <c r="AK21" s="202" t="n"/>
      <c r="AL21" s="202" t="n"/>
      <c r="AM21" s="202" t="n"/>
      <c r="AN21" s="203" t="n"/>
      <c r="AO21" s="204" t="n"/>
      <c r="AP21" s="204" t="n"/>
      <c r="AQ21" s="204" t="n"/>
    </row>
    <row r="22" ht="20" customHeight="1">
      <c r="A22" s="160" t="inlineStr">
        <is>
          <t>HR — 8 people · 7 roles · Corporate functions · levels A2–D2</t>
        </is>
      </c>
    </row>
    <row r="23" ht="132" customHeight="1">
      <c r="A23" s="109" t="inlineStr">
        <is>
          <t>HR</t>
        </is>
      </c>
      <c r="B23" s="111" t="inlineStr">
        <is>
          <t>Human Resources</t>
        </is>
      </c>
      <c r="C23" s="111" t="inlineStr">
        <is>
          <t>HR Operations &amp; Payroll</t>
        </is>
      </c>
      <c r="D23" s="111" t="inlineStr">
        <is>
          <t>HR Executive</t>
        </is>
      </c>
      <c r="E23" s="26" t="inlineStr">
        <is>
          <t>A2</t>
        </is>
      </c>
      <c r="F23" s="139" t="inlineStr">
        <is>
          <t>Associate</t>
        </is>
      </c>
      <c r="G23" s="111" t="inlineStr">
        <is>
          <t>IC</t>
        </is>
      </c>
      <c r="H23" s="112" t="n">
        <v>1</v>
      </c>
      <c r="I23" s="113" t="inlineStr">
        <is>
          <t>Standard work delivered independently</t>
        </is>
      </c>
      <c r="J23" s="114" t="inlineStr">
        <is>
          <t>Standard work of the discipline</t>
        </is>
      </c>
      <c r="K23" s="114" t="inlineStr">
        <is>
          <t>Chooses own approach within standards</t>
        </is>
      </c>
      <c r="L23" s="114" t="inlineStr">
        <is>
          <t>Own deliverables · accuracy, TAT</t>
        </is>
      </c>
      <c r="M23" s="114" t="inlineStr">
        <is>
          <t>Not scored in Band A</t>
        </is>
      </c>
      <c r="N23" s="185" t="inlineStr">
        <is>
          <t>0–2 yrs</t>
        </is>
      </c>
      <c r="O23" s="164" t="inlineStr">
        <is>
          <r>
            <rPr>
              <rFont val="Calibri"/>
              <sz val="10"/>
            </rPr>
            <t xml:space="preserve">Graduate · or diploma with experience
</t>
          </r>
          <r>
            <rPr>
              <rFont val="Calibri"/>
              <b val="1"/>
              <sz val="10"/>
            </rPr>
            <t>Family:</t>
          </r>
          <r>
            <rPr>
              <rFont val="Calibri"/>
              <sz val="10"/>
            </rPr>
            <t xml:space="preserve"> MBA / PGDM · HR or MA / MSW</t>
          </r>
        </is>
      </c>
      <c r="P23" s="164" t="inlineStr">
        <is>
          <t>—</t>
        </is>
      </c>
      <c r="Q23" s="164" t="inlineStr">
        <is>
          <t>Labour law, POSH, data privacy</t>
        </is>
      </c>
      <c r="R23" s="186" t="inlineStr">
        <is>
          <t>CF-A</t>
        </is>
      </c>
      <c r="S23" s="187" t="n">
        <v>0.54</v>
      </c>
      <c r="T23" s="187" t="n">
        <v>0.16</v>
      </c>
      <c r="U23" s="187" t="n">
        <v>0.09</v>
      </c>
      <c r="V23" s="187" t="n">
        <v>0</v>
      </c>
      <c r="W23" s="187" t="n">
        <v>0.15</v>
      </c>
      <c r="X23" s="187" t="n">
        <v>0.06</v>
      </c>
      <c r="Y23" s="121" t="inlineStr">
        <is>
          <t>★ Stakeholder &amp; Client Management · ★ Communication &amp; Presentation</t>
        </is>
      </c>
      <c r="Z23" s="122" t="inlineStr">
        <is>
          <t>Data Analytics, BI &amp; Visualisation · Process Improvement &amp; Quality Mindset · People Leadership &amp; Mentoring · Advanced Excel &amp; Productivity Tools</t>
        </is>
      </c>
      <c r="AA23" s="122" t="inlineStr">
        <is>
          <t>Talent Acquisition &amp; Employer Brand · HR Operations, Payroll &amp; Labour-Law Compliance · Employee Relations, Engagement &amp; POSH · Performance, Rewards &amp; Job Architecture · Learning &amp; Organisation Development · People Analytics &amp; HRIS</t>
        </is>
      </c>
      <c r="AB23" s="122" t="inlineStr">
        <is>
          <t>Core 2 · Future-ready 2 · Functional 2 · Leadership —</t>
        </is>
      </c>
      <c r="AC23" s="123" t="inlineStr">
        <is>
          <t>No direct reports</t>
        </is>
      </c>
      <c r="AD23" s="188" t="inlineStr">
        <is>
          <t>P1–P2</t>
        </is>
      </c>
      <c r="AE23" s="130" t="inlineStr">
        <is>
          <t>Entry / Developing</t>
        </is>
      </c>
      <c r="AF23" s="189" t="inlineStr">
        <is>
          <t>2 Assist</t>
        </is>
      </c>
      <c r="AG23" s="130" t="inlineStr">
        <is>
          <t>HR Associate / HR Executive</t>
        </is>
      </c>
      <c r="AH23" s="130" t="inlineStr">
        <is>
          <t>L3 · MS 59–60 · —</t>
        </is>
      </c>
      <c r="AI23" s="130" t="inlineStr">
        <is>
          <t>JL3B · C1 · L11 Analyst</t>
        </is>
      </c>
      <c r="AJ23" s="130" t="inlineStr">
        <is>
          <t>Analyst · DataTracks Associate</t>
        </is>
      </c>
      <c r="AK23" s="130" t="inlineStr">
        <is>
          <t>Radford / Mercer</t>
        </is>
      </c>
      <c r="AL23" s="130" t="inlineStr">
        <is>
          <t>IRIS Vs Competitor Benchmark — HR ladder: HR Executive</t>
        </is>
      </c>
      <c r="AM23" s="130" t="inlineStr">
        <is>
          <t>SHRM BASK · SHRM-CP → SHRM-SCP; CIPD Profession Map</t>
        </is>
      </c>
      <c r="AN23" s="131" t="inlineStr">
        <is>
          <t>Lateral or campus · CT1 on confirmation; CT2 on joining</t>
        </is>
      </c>
      <c r="AO23" s="132" t="inlineStr">
        <is>
          <t>A3 · Senior Associate</t>
        </is>
      </c>
      <c r="AP23" s="132" t="inlineStr">
        <is>
          <t>A3 · common path</t>
        </is>
      </c>
      <c r="AQ23" s="132" t="inlineStr">
        <is>
          <t>People analytics, AI in talent acquisition, skills-based organisation</t>
        </is>
      </c>
    </row>
    <row r="24" ht="132" customHeight="1">
      <c r="A24" s="109" t="inlineStr">
        <is>
          <t>HR</t>
        </is>
      </c>
      <c r="B24" s="111" t="inlineStr">
        <is>
          <t>Human Resources</t>
        </is>
      </c>
      <c r="C24" s="111" t="inlineStr">
        <is>
          <t>Talent Acquisition</t>
        </is>
      </c>
      <c r="D24" s="111" t="inlineStr">
        <is>
          <t>Senior Talent Acquisition Executive</t>
        </is>
      </c>
      <c r="E24" s="26" t="inlineStr">
        <is>
          <t>A3</t>
        </is>
      </c>
      <c r="F24" s="139" t="inlineStr">
        <is>
          <t>Senior Associate</t>
        </is>
      </c>
      <c r="G24" s="111" t="inlineStr">
        <is>
          <t>IC</t>
        </is>
      </c>
      <c r="H24" s="112" t="n">
        <v>2</v>
      </c>
      <c r="I24" s="113" t="inlineStr">
        <is>
          <t>Varied work; reviews juniors; go-to for a process</t>
        </is>
      </c>
      <c r="J24" s="114" t="inlineStr">
        <is>
          <t>Varied and non-standard work; handles exceptions</t>
        </is>
      </c>
      <c r="K24" s="114" t="inlineStr">
        <is>
          <t>Technical / QC / client calls on own work</t>
        </is>
      </c>
      <c r="L24" s="114" t="inlineStr">
        <is>
          <t>A module / process, or work with client or regulatory consequences</t>
        </is>
      </c>
      <c r="M24" s="114" t="inlineStr">
        <is>
          <t>Not scored in Band A</t>
        </is>
      </c>
      <c r="N24" s="185" t="inlineStr">
        <is>
          <t>2–4 yrs</t>
        </is>
      </c>
      <c r="O24" s="164" t="inlineStr">
        <is>
          <r>
            <rPr>
              <rFont val="Calibri"/>
              <sz val="10"/>
            </rPr>
            <t xml:space="preserve">Graduate; relevant certification preferred
</t>
          </r>
          <r>
            <rPr>
              <rFont val="Calibri"/>
              <b val="1"/>
              <sz val="10"/>
            </rPr>
            <t>Family:</t>
          </r>
          <r>
            <rPr>
              <rFont val="Calibri"/>
              <sz val="10"/>
            </rPr>
            <t xml:space="preserve"> MBA / PGDM · HR or MA / MSW</t>
          </r>
        </is>
      </c>
      <c r="P24" s="164" t="inlineStr">
        <is>
          <t>—</t>
        </is>
      </c>
      <c r="Q24" s="164" t="inlineStr">
        <is>
          <t>Labour law, POSH, data privacy</t>
        </is>
      </c>
      <c r="R24" s="186" t="inlineStr">
        <is>
          <t>CF-A</t>
        </is>
      </c>
      <c r="S24" s="187" t="n">
        <v>0.54</v>
      </c>
      <c r="T24" s="187" t="n">
        <v>0.16</v>
      </c>
      <c r="U24" s="187" t="n">
        <v>0.09</v>
      </c>
      <c r="V24" s="187" t="n">
        <v>0</v>
      </c>
      <c r="W24" s="187" t="n">
        <v>0.15</v>
      </c>
      <c r="X24" s="187" t="n">
        <v>0.06</v>
      </c>
      <c r="Y24" s="121" t="inlineStr">
        <is>
          <t>★ Stakeholder &amp; Client Management · ★ Communication &amp; Presentation</t>
        </is>
      </c>
      <c r="Z24" s="122" t="inlineStr">
        <is>
          <t>Data Analytics, BI &amp; Visualisation · Process Improvement &amp; Quality Mindset · People Leadership &amp; Mentoring · Advanced Excel &amp; Productivity Tools</t>
        </is>
      </c>
      <c r="AA24" s="122" t="inlineStr">
        <is>
          <t>Talent Acquisition &amp; Employer Brand · HR Operations, Payroll &amp; Labour-Law Compliance · Employee Relations, Engagement &amp; POSH · Performance, Rewards &amp; Job Architecture · Learning &amp; Organisation Development · People Analytics &amp; HRIS</t>
        </is>
      </c>
      <c r="AB24" s="122" t="inlineStr">
        <is>
          <t>Core 2 · Future-ready 2 · Functional 3 · Leadership —</t>
        </is>
      </c>
      <c r="AC24" s="123" t="inlineStr">
        <is>
          <t>None · guides 1–3 juniors informally</t>
        </is>
      </c>
      <c r="AD24" s="188" t="inlineStr">
        <is>
          <t>P2</t>
        </is>
      </c>
      <c r="AE24" s="130" t="inlineStr">
        <is>
          <t>Developing</t>
        </is>
      </c>
      <c r="AF24" s="189" t="inlineStr">
        <is>
          <t>3 Apply</t>
        </is>
      </c>
      <c r="AG24" s="130" t="inlineStr">
        <is>
          <t>HR Executive</t>
        </is>
      </c>
      <c r="AH24" s="130" t="inlineStr">
        <is>
          <t>L3–L4 · MS 61–62 · —</t>
        </is>
      </c>
      <c r="AI24" s="130" t="inlineStr">
        <is>
          <t>JL3A · C1 · L11–L10 · Senior Analyst</t>
        </is>
      </c>
      <c r="AJ24" s="130" t="inlineStr">
        <is>
          <t>Consultant · DataTracks Senior Associate · 2–5 yrs</t>
        </is>
      </c>
      <c r="AK24" s="130" t="inlineStr">
        <is>
          <t>Radford / Mercer</t>
        </is>
      </c>
      <c r="AL24" s="130" t="inlineStr">
        <is>
          <t>IRIS Vs Competitor Benchmark — HR ladder: Senior HR Executive · SHRM-CP</t>
        </is>
      </c>
      <c r="AM24" s="130" t="inlineStr">
        <is>
          <t>SHRM BASK · SHRM-CP → SHRM-SCP; CIPD Profession Map</t>
        </is>
      </c>
      <c r="AN24" s="131" t="inlineStr">
        <is>
          <t>Lateral or campus · CT2 at 12 months; CT3 in programme</t>
        </is>
      </c>
      <c r="AO24" s="132" t="inlineStr">
        <is>
          <t>B1 · Specialist</t>
        </is>
      </c>
      <c r="AP24" s="132" t="inlineStr">
        <is>
          <t>B1 · Team Lead</t>
        </is>
      </c>
      <c r="AQ24" s="132" t="inlineStr">
        <is>
          <t>People analytics, AI in talent acquisition, skills-based organisation</t>
        </is>
      </c>
    </row>
    <row r="25" ht="132" customHeight="1">
      <c r="A25" s="109" t="inlineStr">
        <is>
          <t>HR</t>
        </is>
      </c>
      <c r="B25" s="111" t="inlineStr">
        <is>
          <t>Human Resources</t>
        </is>
      </c>
      <c r="C25" s="111" t="inlineStr">
        <is>
          <t>HR Operations &amp; Payroll</t>
        </is>
      </c>
      <c r="D25" s="111" t="inlineStr">
        <is>
          <t>HR Specialist</t>
        </is>
      </c>
      <c r="E25" s="23" t="inlineStr">
        <is>
          <t>B1</t>
        </is>
      </c>
      <c r="F25" s="21" t="inlineStr">
        <is>
          <t>Specialist</t>
        </is>
      </c>
      <c r="G25" s="111" t="inlineStr">
        <is>
          <t>IC</t>
        </is>
      </c>
      <c r="H25" s="112" t="n">
        <v>1</v>
      </c>
      <c r="I25" s="113" t="inlineStr">
        <is>
          <t>A domain / module, or a small team</t>
        </is>
      </c>
      <c r="J25" s="114" t="inlineStr">
        <is>
          <t>Domain specialist work</t>
        </is>
      </c>
      <c r="K25" s="114" t="inlineStr">
        <is>
          <t>Technical / QC / client calls for the domain</t>
        </is>
      </c>
      <c r="L25" s="114" t="inlineStr">
        <is>
          <t>A domain or a small team</t>
        </is>
      </c>
      <c r="M25" s="114" t="inlineStr">
        <is>
          <r>
            <rPr>
              <rFont val="Calibri"/>
              <b val="1"/>
              <sz val="10"/>
            </rPr>
            <t>IC:</t>
          </r>
          <r>
            <rPr>
              <rFont val="Calibri"/>
              <sz val="10"/>
            </rPr>
            <t xml:space="preserve"> mentors and reviews · People: hands-on team lead of 3–5</t>
          </r>
        </is>
      </c>
      <c r="N25" s="185" t="inlineStr">
        <is>
          <t>4–7 yrs</t>
        </is>
      </c>
      <c r="O25" s="164" t="inlineStr">
        <is>
          <r>
            <rPr>
              <rFont val="Calibri"/>
              <sz val="10"/>
            </rPr>
            <t xml:space="preserve">Graduate + relevant qualification or certification preferred
</t>
          </r>
          <r>
            <rPr>
              <rFont val="Calibri"/>
              <b val="1"/>
              <sz val="10"/>
            </rPr>
            <t>Family:</t>
          </r>
          <r>
            <rPr>
              <rFont val="Calibri"/>
              <sz val="10"/>
            </rPr>
            <t xml:space="preserve"> MBA / PGDM · HR or MA / MSW</t>
          </r>
        </is>
      </c>
      <c r="P25" s="164" t="inlineStr">
        <is>
          <t>—</t>
        </is>
      </c>
      <c r="Q25" s="164" t="inlineStr">
        <is>
          <t>Labour law, POSH, data privacy</t>
        </is>
      </c>
      <c r="R25" s="186" t="inlineStr">
        <is>
          <t>CF-B-IC</t>
        </is>
      </c>
      <c r="S25" s="187" t="n">
        <v>0.46</v>
      </c>
      <c r="T25" s="187" t="n">
        <v>0.17</v>
      </c>
      <c r="U25" s="187" t="n">
        <v>0.1</v>
      </c>
      <c r="V25" s="187" t="n">
        <v>0.05</v>
      </c>
      <c r="W25" s="187" t="n">
        <v>0.15</v>
      </c>
      <c r="X25" s="187" t="n">
        <v>0.07000000000000001</v>
      </c>
      <c r="Y25" s="121" t="inlineStr">
        <is>
          <t>★ Stakeholder &amp; Client Management · ★ Communication &amp; Presentation</t>
        </is>
      </c>
      <c r="Z25" s="122" t="inlineStr">
        <is>
          <t>Data Analytics, BI &amp; Visualisation · Process Improvement &amp; Quality Mindset · People Leadership &amp; Mentoring · Advanced Excel &amp; Productivity Tools</t>
        </is>
      </c>
      <c r="AA25" s="122" t="inlineStr">
        <is>
          <t>Talent Acquisition &amp; Employer Brand · HR Operations, Payroll &amp; Labour-Law Compliance · Employee Relations, Engagement &amp; POSH · Performance, Rewards &amp; Job Architecture · Learning &amp; Organisation Development · People Analytics &amp; HRIS</t>
        </is>
      </c>
      <c r="AB25" s="122" t="inlineStr">
        <is>
          <t>Core 3 · Future-ready 3 · Functional 3 · Leadership 1</t>
        </is>
      </c>
      <c r="AC25" s="123" t="inlineStr">
        <is>
          <r>
            <rPr>
              <rFont val="Calibri"/>
              <b val="1"/>
              <sz val="10"/>
            </rPr>
            <t>IC:</t>
          </r>
          <r>
            <rPr>
              <rFont val="Calibri"/>
              <sz val="10"/>
            </rPr>
            <t xml:space="preserve"> none · Team Lead: 3–5</t>
          </r>
        </is>
      </c>
      <c r="AD25" s="188" t="inlineStr">
        <is>
          <t>P3</t>
        </is>
      </c>
      <c r="AE25" s="130" t="inlineStr">
        <is>
          <t>Career / · Team Lead</t>
        </is>
      </c>
      <c r="AF25" s="189" t="inlineStr">
        <is>
          <t>4 Enable</t>
        </is>
      </c>
      <c r="AG25" s="130" t="inlineStr">
        <is>
          <t>Senior HR Executive</t>
        </is>
      </c>
      <c r="AH25" s="130" t="inlineStr">
        <is>
          <t>L4 · MS 62 · —</t>
        </is>
      </c>
      <c r="AI25" s="130" t="inlineStr">
        <is>
          <t>JL4 · C2 · L9 Team Lead / Consultant</t>
        </is>
      </c>
      <c r="AJ25" s="130" t="inlineStr">
        <is>
          <t>Senior Consultant / Assistant Manager</t>
        </is>
      </c>
      <c r="AK25" s="130" t="inlineStr">
        <is>
          <t>Radford / Mercer</t>
        </is>
      </c>
      <c r="AL25" s="130" t="inlineStr">
        <is>
          <t>IRIS Vs Competitor Benchmark — HR ladder: HR Specialist / HRBP</t>
        </is>
      </c>
      <c r="AM25" s="130" t="inlineStr">
        <is>
          <t>SHRM BASK · SHRM-CP → SHRM-SCP; CIPD Profession Map</t>
        </is>
      </c>
      <c r="AN25" s="131" t="inlineStr">
        <is>
          <t>Lateral; Management Trainees graduate here</t>
        </is>
      </c>
      <c r="AO25" s="132" t="inlineStr">
        <is>
          <t>B2 · Senior Specialist</t>
        </is>
      </c>
      <c r="AP25" s="132" t="inlineStr">
        <is>
          <t>B2 · Manager</t>
        </is>
      </c>
      <c r="AQ25" s="132" t="inlineStr">
        <is>
          <t>People analytics, AI in talent acquisition, skills-based organisation</t>
        </is>
      </c>
    </row>
    <row r="26" ht="132" customHeight="1">
      <c r="A26" s="109" t="inlineStr">
        <is>
          <t>HR</t>
        </is>
      </c>
      <c r="B26" s="111" t="inlineStr">
        <is>
          <t>Human Resources</t>
        </is>
      </c>
      <c r="C26" s="111" t="inlineStr">
        <is>
          <t>HR Operations &amp; Payroll</t>
        </is>
      </c>
      <c r="D26" s="111" t="inlineStr">
        <is>
          <t>HR Specialist – POD Lead</t>
        </is>
      </c>
      <c r="E26" s="23" t="inlineStr">
        <is>
          <t>B1</t>
        </is>
      </c>
      <c r="F26" s="21" t="inlineStr">
        <is>
          <t>Specialist · POD Lead</t>
        </is>
      </c>
      <c r="G26" s="111" t="inlineStr">
        <is>
          <t>POD Lead</t>
        </is>
      </c>
      <c r="H26" s="112" t="n">
        <v>1</v>
      </c>
      <c r="I26" s="113" t="inlineStr">
        <is>
          <t>A domain / module, or a small team</t>
        </is>
      </c>
      <c r="J26" s="114" t="inlineStr">
        <is>
          <t>Domain specialist work</t>
        </is>
      </c>
      <c r="K26" s="114" t="inlineStr">
        <is>
          <t>Technical / QC / client calls for the domain</t>
        </is>
      </c>
      <c r="L26" s="114" t="inlineStr">
        <is>
          <t>A domain or a small team</t>
        </is>
      </c>
      <c r="M26" s="114" t="inlineStr">
        <is>
          <r>
            <rPr>
              <rFont val="Calibri"/>
              <b val="1"/>
              <sz val="10"/>
            </rPr>
            <t>IC:</t>
          </r>
          <r>
            <rPr>
              <rFont val="Calibri"/>
              <sz val="10"/>
            </rPr>
            <t xml:space="preserve"> mentors and reviews · People: hands-on team lead of 3–5</t>
          </r>
        </is>
      </c>
      <c r="N26" s="185" t="inlineStr">
        <is>
          <t>4–7 yrs</t>
        </is>
      </c>
      <c r="O26" s="164" t="inlineStr">
        <is>
          <r>
            <rPr>
              <rFont val="Calibri"/>
              <sz val="10"/>
            </rPr>
            <t xml:space="preserve">Graduate + relevant qualification or certification preferred
</t>
          </r>
          <r>
            <rPr>
              <rFont val="Calibri"/>
              <b val="1"/>
              <sz val="10"/>
            </rPr>
            <t>Family:</t>
          </r>
          <r>
            <rPr>
              <rFont val="Calibri"/>
              <sz val="10"/>
            </rPr>
            <t xml:space="preserve"> MBA / PGDM · HR or MA / MSW</t>
          </r>
        </is>
      </c>
      <c r="P26" s="164" t="inlineStr">
        <is>
          <t>—</t>
        </is>
      </c>
      <c r="Q26" s="164" t="inlineStr">
        <is>
          <t>Labour law, POSH, data privacy</t>
        </is>
      </c>
      <c r="R26" s="186" t="inlineStr">
        <is>
          <t>CF-B-IC</t>
        </is>
      </c>
      <c r="S26" s="187" t="n">
        <v>0.46</v>
      </c>
      <c r="T26" s="187" t="n">
        <v>0.17</v>
      </c>
      <c r="U26" s="187" t="n">
        <v>0.1</v>
      </c>
      <c r="V26" s="187" t="n">
        <v>0.05</v>
      </c>
      <c r="W26" s="187" t="n">
        <v>0.15</v>
      </c>
      <c r="X26" s="187" t="n">
        <v>0.07000000000000001</v>
      </c>
      <c r="Y26" s="121" t="inlineStr">
        <is>
          <t>★ Stakeholder &amp; Client Management · ★ Communication &amp; Presentation</t>
        </is>
      </c>
      <c r="Z26" s="122" t="inlineStr">
        <is>
          <t>Data Analytics, BI &amp; Visualisation · Process Improvement &amp; Quality Mindset · People Leadership &amp; Mentoring · Advanced Excel &amp; Productivity Tools</t>
        </is>
      </c>
      <c r="AA26" s="122" t="inlineStr">
        <is>
          <t>Talent Acquisition &amp; Employer Brand · HR Operations, Payroll &amp; Labour-Law Compliance · Employee Relations, Engagement &amp; POSH · Performance, Rewards &amp; Job Architecture · Learning &amp; Organisation Development · People Analytics &amp; HRIS</t>
        </is>
      </c>
      <c r="AB26" s="122" t="inlineStr">
        <is>
          <t>Core 3 · Future-ready 3 · Functional 3 · Leadership 2</t>
        </is>
      </c>
      <c r="AC26" s="123" t="inlineStr">
        <is>
          <r>
            <rPr>
              <rFont val="Calibri"/>
              <b val="1"/>
              <sz val="10"/>
            </rPr>
            <t>IC:</t>
          </r>
          <r>
            <rPr>
              <rFont val="Calibri"/>
              <sz val="10"/>
            </rPr>
            <t xml:space="preserve"> none · Team Lead: 3–5</t>
          </r>
        </is>
      </c>
      <c r="AD26" s="188" t="inlineStr">
        <is>
          <t>P3</t>
        </is>
      </c>
      <c r="AE26" s="130" t="inlineStr">
        <is>
          <t>Career / · Team Lead</t>
        </is>
      </c>
      <c r="AF26" s="189" t="inlineStr">
        <is>
          <t>4 Enable</t>
        </is>
      </c>
      <c r="AG26" s="130" t="inlineStr">
        <is>
          <t>Senior HR Executive</t>
        </is>
      </c>
      <c r="AH26" s="130" t="inlineStr">
        <is>
          <t>L4 · MS 62 · —</t>
        </is>
      </c>
      <c r="AI26" s="130" t="inlineStr">
        <is>
          <t>JL4 · C2 · L9 Team Lead / Consultant</t>
        </is>
      </c>
      <c r="AJ26" s="130" t="inlineStr">
        <is>
          <t>Senior Consultant / Assistant Manager</t>
        </is>
      </c>
      <c r="AK26" s="130" t="inlineStr">
        <is>
          <t>Radford / Mercer</t>
        </is>
      </c>
      <c r="AL26" s="130" t="inlineStr">
        <is>
          <t>IRIS Vs Competitor Benchmark — HR ladder: HR Specialist / HRBP</t>
        </is>
      </c>
      <c r="AM26" s="130" t="inlineStr">
        <is>
          <t>SHRM BASK · SHRM-CP → SHRM-SCP; CIPD Profession Map</t>
        </is>
      </c>
      <c r="AN26" s="131" t="inlineStr">
        <is>
          <t>Lateral; Management Trainees graduate here</t>
        </is>
      </c>
      <c r="AO26" s="132" t="inlineStr">
        <is>
          <t>B2 · Senior Specialist</t>
        </is>
      </c>
      <c r="AP26" s="132" t="inlineStr">
        <is>
          <t>B2 · Manager</t>
        </is>
      </c>
      <c r="AQ26" s="132" t="inlineStr">
        <is>
          <t>People analytics, AI in talent acquisition, skills-based organisation</t>
        </is>
      </c>
    </row>
    <row r="27" ht="132" customHeight="1">
      <c r="A27" s="109" t="inlineStr">
        <is>
          <t>HR</t>
        </is>
      </c>
      <c r="B27" s="111" t="inlineStr">
        <is>
          <t>Human Resources</t>
        </is>
      </c>
      <c r="C27" s="111" t="inlineStr">
        <is>
          <t>Talent Acquisition</t>
        </is>
      </c>
      <c r="D27" s="111" t="inlineStr">
        <is>
          <t>Senior Talent Acquisition Specialist</t>
        </is>
      </c>
      <c r="E27" s="23" t="inlineStr">
        <is>
          <t>B2</t>
        </is>
      </c>
      <c r="F27" s="21" t="inlineStr">
        <is>
          <t>Senior Specialist</t>
        </is>
      </c>
      <c r="G27" s="111" t="inlineStr">
        <is>
          <t>IC</t>
        </is>
      </c>
      <c r="H27" s="112" t="n">
        <v>1</v>
      </c>
      <c r="I27" s="113" t="inlineStr">
        <is>
          <t>Deep domain expertise, or one team</t>
        </is>
      </c>
      <c r="J27" s="114" t="inlineStr">
        <is>
          <t>Hardest problems in the domain</t>
        </is>
      </c>
      <c r="K27" s="114" t="inlineStr">
        <is>
          <t>Allocates people and sets team priorities</t>
        </is>
      </c>
      <c r="L27" s="114" t="inlineStr">
        <is>
          <t>One team or a client portfolio</t>
        </is>
      </c>
      <c r="M27" s="114" t="inlineStr">
        <is>
          <r>
            <rPr>
              <rFont val="Calibri"/>
              <b val="1"/>
              <sz val="10"/>
            </rPr>
            <t>IC:</t>
          </r>
          <r>
            <rPr>
              <rFont val="Calibri"/>
              <sz val="10"/>
            </rPr>
            <t xml:space="preserve"> guides others in the domain · People: manages a team of 6+</t>
          </r>
        </is>
      </c>
      <c r="N27" s="185" t="inlineStr">
        <is>
          <t>6–9 yrs</t>
        </is>
      </c>
      <c r="O27" s="164" t="inlineStr">
        <is>
          <r>
            <rPr>
              <rFont val="Calibri"/>
              <sz val="10"/>
            </rPr>
            <t xml:space="preserve">Graduate or postgraduate; professional qualification preferred
</t>
          </r>
          <r>
            <rPr>
              <rFont val="Calibri"/>
              <b val="1"/>
              <sz val="10"/>
            </rPr>
            <t>Family:</t>
          </r>
          <r>
            <rPr>
              <rFont val="Calibri"/>
              <sz val="10"/>
            </rPr>
            <t xml:space="preserve"> MBA / PGDM · HR or MA / MSW</t>
          </r>
        </is>
      </c>
      <c r="P27" s="164" t="inlineStr">
        <is>
          <t>—</t>
        </is>
      </c>
      <c r="Q27" s="164" t="inlineStr">
        <is>
          <t>Labour law, POSH, data privacy</t>
        </is>
      </c>
      <c r="R27" s="186" t="inlineStr">
        <is>
          <t>CF-B-IC</t>
        </is>
      </c>
      <c r="S27" s="187" t="n">
        <v>0.46</v>
      </c>
      <c r="T27" s="187" t="n">
        <v>0.17</v>
      </c>
      <c r="U27" s="187" t="n">
        <v>0.1</v>
      </c>
      <c r="V27" s="187" t="n">
        <v>0.05</v>
      </c>
      <c r="W27" s="187" t="n">
        <v>0.15</v>
      </c>
      <c r="X27" s="187" t="n">
        <v>0.07000000000000001</v>
      </c>
      <c r="Y27" s="121" t="inlineStr">
        <is>
          <t>★ Stakeholder &amp; Client Management · ★ Communication &amp; Presentation</t>
        </is>
      </c>
      <c r="Z27" s="122" t="inlineStr">
        <is>
          <t>Data Analytics, BI &amp; Visualisation · Process Improvement &amp; Quality Mindset · People Leadership &amp; Mentoring · Advanced Excel &amp; Productivity Tools</t>
        </is>
      </c>
      <c r="AA27" s="122" t="inlineStr">
        <is>
          <t>Talent Acquisition &amp; Employer Brand · HR Operations, Payroll &amp; Labour-Law Compliance · Employee Relations, Engagement &amp; POSH · Performance, Rewards &amp; Job Architecture · Learning &amp; Organisation Development · People Analytics &amp; HRIS</t>
        </is>
      </c>
      <c r="AB27" s="122" t="inlineStr">
        <is>
          <t>Core 3 · Future-ready 3 · Functional 4 · Leadership 2</t>
        </is>
      </c>
      <c r="AC27" s="123" t="inlineStr">
        <is>
          <r>
            <rPr>
              <rFont val="Calibri"/>
              <b val="1"/>
              <sz val="10"/>
            </rPr>
            <t>IC:</t>
          </r>
          <r>
            <rPr>
              <rFont val="Calibri"/>
              <sz val="10"/>
            </rPr>
            <t xml:space="preserve"> none · People: 6–8 knowledge work, 8–12 standardised delivery</t>
          </r>
        </is>
      </c>
      <c r="AD27" s="188" t="inlineStr">
        <is>
          <t>P4</t>
        </is>
      </c>
      <c r="AE27" s="130" t="inlineStr">
        <is>
          <t>Senior / Manager</t>
        </is>
      </c>
      <c r="AF27" s="189" t="inlineStr">
        <is>
          <t>4–5</t>
        </is>
      </c>
      <c r="AG27" s="130" t="inlineStr">
        <is>
          <t>HR Specialist / HRBP</t>
        </is>
      </c>
      <c r="AH27" s="130" t="inlineStr">
        <is>
          <t>L5 · MS 63 · —</t>
        </is>
      </c>
      <c r="AI27" s="130" t="inlineStr">
        <is>
          <t>JL5 · C3A · L8 Associate Manager</t>
        </is>
      </c>
      <c r="AJ27" s="130" t="inlineStr">
        <is>
          <t>Manager</t>
        </is>
      </c>
      <c r="AK27" s="130" t="inlineStr">
        <is>
          <t>Radford / Mercer</t>
        </is>
      </c>
      <c r="AL27" s="130" t="inlineStr">
        <is>
          <t>IRIS Vs Competitor Benchmark — HR ladder: HR Manager / Senior HRBP</t>
        </is>
      </c>
      <c r="AM27" s="130" t="inlineStr">
        <is>
          <t>SHRM BASK · SHRM-CP → SHRM-SCP; CIPD Profession Map</t>
        </is>
      </c>
      <c r="AN27" s="131" t="inlineStr">
        <is>
          <t>Lateral</t>
        </is>
      </c>
      <c r="AO27" s="132" t="inlineStr">
        <is>
          <t>B3 · Lead Specialist</t>
        </is>
      </c>
      <c r="AP27" s="132" t="inlineStr">
        <is>
          <t>B3 · Senior Manager</t>
        </is>
      </c>
      <c r="AQ27" s="132" t="inlineStr">
        <is>
          <t>People analytics, AI in talent acquisition, skills-based organisation</t>
        </is>
      </c>
    </row>
    <row r="28" ht="132" customHeight="1">
      <c r="A28" s="109" t="inlineStr">
        <is>
          <t>HR</t>
        </is>
      </c>
      <c r="B28" s="111" t="inlineStr">
        <is>
          <t>Human Resources</t>
        </is>
      </c>
      <c r="C28" s="111" t="inlineStr">
        <is>
          <t>HR Transformation &amp; OD</t>
        </is>
      </c>
      <c r="D28" s="111" t="inlineStr">
        <is>
          <t>Lead HR Specialist – Transformation &amp; OD</t>
        </is>
      </c>
      <c r="E28" s="23" t="inlineStr">
        <is>
          <t>B3</t>
        </is>
      </c>
      <c r="F28" s="21" t="inlineStr">
        <is>
          <t>Lead Specialist</t>
        </is>
      </c>
      <c r="G28" s="111" t="inlineStr">
        <is>
          <t>IC</t>
        </is>
      </c>
      <c r="H28" s="112" t="n">
        <v>1</v>
      </c>
      <c r="I28" s="113" t="inlineStr">
        <is>
          <t>A practice, or several teams through team leads</t>
        </is>
      </c>
      <c r="J28" s="114" t="inlineStr">
        <is>
          <t>Sets standards for a practice; cross-team problems</t>
        </is>
      </c>
      <c r="K28" s="114" t="inlineStr">
        <is>
          <t>Commercial / strategic calls for the unit</t>
        </is>
      </c>
      <c r="L28" s="114" t="inlineStr">
        <is>
          <t>Several teams or a practice</t>
        </is>
      </c>
      <c r="M28" s="114" t="inlineStr">
        <is>
          <r>
            <rPr>
              <rFont val="Calibri"/>
              <b val="1"/>
              <sz val="10"/>
            </rPr>
            <t>IC:</t>
          </r>
          <r>
            <rPr>
              <rFont val="Calibri"/>
              <sz val="10"/>
            </rPr>
            <t xml:space="preserve"> leads a practice · People: team leads / managers report in</t>
          </r>
        </is>
      </c>
      <c r="N28" s="185" t="inlineStr">
        <is>
          <t>8–12 yrs</t>
        </is>
      </c>
      <c r="O28" s="164" t="inlineStr">
        <is>
          <r>
            <rPr>
              <rFont val="Calibri"/>
              <sz val="10"/>
            </rPr>
            <t xml:space="preserve">Postgraduate or professional qualification preferred
</t>
          </r>
          <r>
            <rPr>
              <rFont val="Calibri"/>
              <b val="1"/>
              <sz val="10"/>
            </rPr>
            <t>Family:</t>
          </r>
          <r>
            <rPr>
              <rFont val="Calibri"/>
              <sz val="10"/>
            </rPr>
            <t xml:space="preserve"> MBA / PGDM · HR or MA / MSW</t>
          </r>
        </is>
      </c>
      <c r="P28" s="164" t="inlineStr">
        <is>
          <t>—</t>
        </is>
      </c>
      <c r="Q28" s="164" t="inlineStr">
        <is>
          <t>Labour law, POSH, data privacy</t>
        </is>
      </c>
      <c r="R28" s="186" t="inlineStr">
        <is>
          <t>CF-B-IC</t>
        </is>
      </c>
      <c r="S28" s="187" t="n">
        <v>0.46</v>
      </c>
      <c r="T28" s="187" t="n">
        <v>0.17</v>
      </c>
      <c r="U28" s="187" t="n">
        <v>0.1</v>
      </c>
      <c r="V28" s="187" t="n">
        <v>0.05</v>
      </c>
      <c r="W28" s="187" t="n">
        <v>0.15</v>
      </c>
      <c r="X28" s="187" t="n">
        <v>0.07000000000000001</v>
      </c>
      <c r="Y28" s="121" t="inlineStr">
        <is>
          <t>★ Stakeholder &amp; Client Management · ★ Communication &amp; Presentation</t>
        </is>
      </c>
      <c r="Z28" s="122" t="inlineStr">
        <is>
          <t>Data Analytics, BI &amp; Visualisation · Process Improvement &amp; Quality Mindset · People Leadership &amp; Mentoring · Advanced Excel &amp; Productivity Tools</t>
        </is>
      </c>
      <c r="AA28" s="122" t="inlineStr">
        <is>
          <t>Talent Acquisition &amp; Employer Brand · HR Operations, Payroll &amp; Labour-Law Compliance · Employee Relations, Engagement &amp; POSH · Performance, Rewards &amp; Job Architecture · Learning &amp; Organisation Development · People Analytics &amp; HRIS</t>
        </is>
      </c>
      <c r="AB28" s="122" t="inlineStr">
        <is>
          <t>Core 4 · Future-ready 3 · Functional 4 · Leadership 3</t>
        </is>
      </c>
      <c r="AC28" s="123" t="inlineStr">
        <is>
          <r>
            <rPr>
              <rFont val="Calibri"/>
              <b val="1"/>
              <sz val="10"/>
            </rPr>
            <t>IC:</t>
          </r>
          <r>
            <rPr>
              <rFont val="Calibri"/>
              <sz val="10"/>
            </rPr>
            <t xml:space="preserve"> none · People: 5–8 incl. team leads</t>
          </r>
        </is>
      </c>
      <c r="AD28" s="188" t="inlineStr">
        <is>
          <t>P4</t>
        </is>
      </c>
      <c r="AE28" s="130" t="inlineStr">
        <is>
          <t>Expert / Senior Manager</t>
        </is>
      </c>
      <c r="AF28" s="189" t="inlineStr">
        <is>
          <t>5 Ensure, advise</t>
        </is>
      </c>
      <c r="AG28" s="130" t="inlineStr">
        <is>
          <t>HR Specialist / HRBP</t>
        </is>
      </c>
      <c r="AH28" s="130" t="inlineStr">
        <is>
          <t>L5 · MS 63–64 · —</t>
        </is>
      </c>
      <c r="AI28" s="130" t="inlineStr">
        <is>
          <t>JL5–JL6B · C3B · L7 Manager</t>
        </is>
      </c>
      <c r="AJ28" s="130" t="inlineStr">
        <is>
          <t>Senior Manager</t>
        </is>
      </c>
      <c r="AK28" s="130" t="inlineStr">
        <is>
          <t>Radford / Mercer</t>
        </is>
      </c>
      <c r="AL28" s="130" t="inlineStr">
        <is>
          <t>IRIS Vs Competitor Benchmark — HR ladder: Senior HR Manager · SHRM-SCP</t>
        </is>
      </c>
      <c r="AM28" s="130" t="inlineStr">
        <is>
          <t>SHRM BASK · SHRM-CP → SHRM-SCP; CIPD Profession Map</t>
        </is>
      </c>
      <c r="AN28" s="131" t="inlineStr">
        <is>
          <t>Lateral; internal posting first</t>
        </is>
      </c>
      <c r="AO28" s="132" t="inlineStr">
        <is>
          <t>C1 · Principal · or B+ · Practice Lead · Player-Coach if leading people hands-on</t>
        </is>
      </c>
      <c r="AP28" s="132" t="inlineStr">
        <is>
          <t>C1 · Associate Head · or B+ · Practice Lead · Player-Coach if leading people hands-on</t>
        </is>
      </c>
      <c r="AQ28" s="132" t="inlineStr">
        <is>
          <t>People analytics, AI in talent acquisition, skills-based organisation</t>
        </is>
      </c>
    </row>
    <row r="29" ht="132" customHeight="1">
      <c r="A29" s="109" t="inlineStr">
        <is>
          <t>HR</t>
        </is>
      </c>
      <c r="B29" s="111" t="inlineStr">
        <is>
          <t>Human Resources</t>
        </is>
      </c>
      <c r="C29" s="111" t="inlineStr">
        <is>
          <t>HR Leadership</t>
        </is>
      </c>
      <c r="D29" s="111" t="inlineStr">
        <is>
          <t>Vice President – Human Resources</t>
        </is>
      </c>
      <c r="E29" s="39" t="inlineStr">
        <is>
          <t>D2</t>
        </is>
      </c>
      <c r="F29" s="149" t="inlineStr">
        <is>
          <t>Vice President</t>
        </is>
      </c>
      <c r="G29" s="111" t="inlineStr">
        <is>
          <t>People Manager</t>
        </is>
      </c>
      <c r="H29" s="112" t="n">
        <v>1</v>
      </c>
      <c r="I29" s="113" t="inlineStr">
        <is>
          <t>Several business lines or an executive-scope enterprise function</t>
        </is>
      </c>
      <c r="J29" s="114" t="inlineStr">
        <is>
          <t>Portfolio-level strategic, financial and regulatory trade-offs</t>
        </is>
      </c>
      <c r="K29" s="114" t="inlineStr">
        <is>
          <t>Sets direction across business lines</t>
        </is>
      </c>
      <c r="L29" s="114" t="inlineStr">
        <is>
          <t>Multi-business results</t>
        </is>
      </c>
      <c r="M29" s="114" t="inlineStr">
        <is>
          <t>Builds the leadership team across businesses</t>
        </is>
      </c>
      <c r="N29" s="185" t="inlineStr">
        <is>
          <t>18–24 yrs</t>
        </is>
      </c>
      <c r="O29" s="164" t="inlineStr">
        <is>
          <r>
            <rPr>
              <rFont val="Calibri"/>
              <sz val="10"/>
            </rPr>
            <t xml:space="preserve">Postgraduate / professional qualification preferred
</t>
          </r>
          <r>
            <rPr>
              <rFont val="Calibri"/>
              <b val="1"/>
              <sz val="10"/>
            </rPr>
            <t>Family:</t>
          </r>
          <r>
            <rPr>
              <rFont val="Calibri"/>
              <sz val="10"/>
            </rPr>
            <t xml:space="preserve"> MBA / PGDM · HR or MA / MSW</t>
          </r>
        </is>
      </c>
      <c r="P29" s="164" t="inlineStr">
        <is>
          <t>—</t>
        </is>
      </c>
      <c r="Q29" s="164" t="inlineStr">
        <is>
          <t>Labour law, POSH, data privacy</t>
        </is>
      </c>
      <c r="R29" s="186" t="inlineStr">
        <is>
          <t>CF-DE</t>
        </is>
      </c>
      <c r="S29" s="187" t="n">
        <v>0.37</v>
      </c>
      <c r="T29" s="187" t="n">
        <v>0.19</v>
      </c>
      <c r="U29" s="187" t="n">
        <v>0.11</v>
      </c>
      <c r="V29" s="187" t="n">
        <v>0.2</v>
      </c>
      <c r="W29" s="187" t="n">
        <v>0.05</v>
      </c>
      <c r="X29" s="187" t="n">
        <v>0.08</v>
      </c>
      <c r="Y29" s="121" t="inlineStr">
        <is>
          <t>★ Stakeholder &amp; Client Management · ★ Communication &amp; Presentation</t>
        </is>
      </c>
      <c r="Z29" s="122" t="inlineStr">
        <is>
          <t>Data Analytics, BI &amp; Visualisation · Process Improvement &amp; Quality Mindset · People Leadership &amp; Mentoring · Advanced Excel &amp; Productivity Tools</t>
        </is>
      </c>
      <c r="AA29" s="122" t="inlineStr">
        <is>
          <t>Talent Acquisition &amp; Employer Brand · HR Operations, Payroll &amp; Labour-Law Compliance · Employee Relations, Engagement &amp; POSH · Performance, Rewards &amp; Job Architecture · Learning &amp; Organisation Development · People Analytics &amp; HRIS</t>
        </is>
      </c>
      <c r="AB29" s="122" t="inlineStr">
        <is>
          <t>Core 5 · Future-ready 4 · Functional 4 · Leadership 5</t>
        </is>
      </c>
      <c r="AC29" s="123" t="inlineStr">
        <is>
          <t>5–8 AVPs / heads</t>
        </is>
      </c>
      <c r="AD29" s="188" t="inlineStr">
        <is>
          <t>E3–E4</t>
        </is>
      </c>
      <c r="AE29" s="130" t="inlineStr">
        <is>
          <t>SVP</t>
        </is>
      </c>
      <c r="AF29" s="189" t="inlineStr">
        <is>
          <t>7 Set strategy</t>
        </is>
      </c>
      <c r="AG29" s="130" t="inlineStr">
        <is>
          <t>Vice President / Senior Vice President / Senior Vice President</t>
        </is>
      </c>
      <c r="AH29" s="130" t="inlineStr">
        <is>
          <t>L8 · MS 68 · —</t>
        </is>
      </c>
      <c r="AI29" s="130" t="inlineStr">
        <is>
          <t>— · SP1 · —</t>
        </is>
      </c>
      <c r="AJ29" s="130" t="inlineStr">
        <is>
          <t>Partner</t>
        </is>
      </c>
      <c r="AK29" s="130" t="inlineStr">
        <is>
          <t>Radford / Mercer</t>
        </is>
      </c>
      <c r="AL29" s="130" t="inlineStr">
        <is>
          <t>IRIS Vs Competitor Benchmark — HR ladder: VP HR</t>
        </is>
      </c>
      <c r="AM29" s="130" t="inlineStr">
        <is>
          <t>SHRM BASK · SHRM-CP → SHRM-SCP; CIPD Profession Map</t>
        </is>
      </c>
      <c r="AN29" s="131" t="inlineStr">
        <is>
          <t>Internal first; lateral by exception</t>
        </is>
      </c>
      <c r="AO29" s="132" t="inlineStr">
        <is>
          <t>—</t>
        </is>
      </c>
      <c r="AP29" s="132" t="inlineStr">
        <is>
          <t>E1 · CXO / President</t>
        </is>
      </c>
      <c r="AQ29" s="132" t="inlineStr">
        <is>
          <t>People analytics, AI in talent acquisition, skills-based organisation</t>
        </is>
      </c>
    </row>
    <row r="30">
      <c r="A30" s="190" t="n"/>
      <c r="B30" s="191" t="n"/>
      <c r="C30" s="191" t="n"/>
      <c r="D30" s="191" t="n"/>
      <c r="E30" s="191" t="n"/>
      <c r="F30" s="191" t="n"/>
      <c r="G30" s="191" t="n"/>
      <c r="H30" s="191" t="n"/>
      <c r="I30" s="192" t="n"/>
      <c r="J30" s="193" t="n"/>
      <c r="K30" s="193" t="n"/>
      <c r="L30" s="193" t="n"/>
      <c r="M30" s="193" t="n"/>
      <c r="N30" s="194" t="n"/>
      <c r="O30" s="195" t="n"/>
      <c r="P30" s="195" t="n"/>
      <c r="Q30" s="195" t="n"/>
      <c r="R30" s="196" t="n"/>
      <c r="S30" s="197" t="n"/>
      <c r="T30" s="197" t="n"/>
      <c r="U30" s="197" t="n"/>
      <c r="V30" s="197" t="n"/>
      <c r="W30" s="197" t="n"/>
      <c r="X30" s="197" t="n"/>
      <c r="Y30" s="198" t="n"/>
      <c r="Z30" s="199" t="n"/>
      <c r="AA30" s="199" t="n"/>
      <c r="AB30" s="199" t="n"/>
      <c r="AC30" s="200" t="n"/>
      <c r="AD30" s="201" t="n"/>
      <c r="AE30" s="202" t="n"/>
      <c r="AF30" s="202" t="n"/>
      <c r="AG30" s="202" t="n"/>
      <c r="AH30" s="202" t="n"/>
      <c r="AI30" s="202" t="n"/>
      <c r="AJ30" s="202" t="n"/>
      <c r="AK30" s="202" t="n"/>
      <c r="AL30" s="202" t="n"/>
      <c r="AM30" s="202" t="n"/>
      <c r="AN30" s="203" t="n"/>
      <c r="AO30" s="204" t="n"/>
      <c r="AP30" s="204" t="n"/>
      <c r="AQ30" s="204" t="n"/>
    </row>
    <row r="31" ht="20" customHeight="1">
      <c r="A31" s="160" t="inlineStr">
        <is>
          <t>IT &amp; Infrastructure — 14 people · 8 roles · Technology &amp; engineering · levels A3–B2</t>
        </is>
      </c>
    </row>
    <row r="32" ht="106" customHeight="1">
      <c r="A32" s="109" t="inlineStr">
        <is>
          <t>IT &amp; Infrastructure</t>
        </is>
      </c>
      <c r="B32" s="111" t="inlineStr">
        <is>
          <t>Engineering &amp; Development</t>
        </is>
      </c>
      <c r="C32" s="111" t="inlineStr">
        <is>
          <t>DevOps &amp; Release Engineering</t>
        </is>
      </c>
      <c r="D32" s="111" t="inlineStr">
        <is>
          <t>Senior DevOps Engineer</t>
        </is>
      </c>
      <c r="E32" s="26" t="inlineStr">
        <is>
          <t>A3</t>
        </is>
      </c>
      <c r="F32" s="139" t="inlineStr">
        <is>
          <t>Senior Associate</t>
        </is>
      </c>
      <c r="G32" s="111" t="inlineStr">
        <is>
          <t>IC</t>
        </is>
      </c>
      <c r="H32" s="112" t="n">
        <v>1</v>
      </c>
      <c r="I32" s="113" t="inlineStr">
        <is>
          <t>Varied work; reviews juniors; go-to for a process</t>
        </is>
      </c>
      <c r="J32" s="114" t="inlineStr">
        <is>
          <t>Varied and non-standard work; handles exceptions</t>
        </is>
      </c>
      <c r="K32" s="114" t="inlineStr">
        <is>
          <t>Technical / QC / client calls on own work</t>
        </is>
      </c>
      <c r="L32" s="114" t="inlineStr">
        <is>
          <t>A module / process, or work with client or regulatory consequences</t>
        </is>
      </c>
      <c r="M32" s="114" t="inlineStr">
        <is>
          <t>Not scored in Band A</t>
        </is>
      </c>
      <c r="N32" s="185" t="inlineStr">
        <is>
          <t>2–4 yrs</t>
        </is>
      </c>
      <c r="O32" s="164" t="inlineStr">
        <is>
          <r>
            <rPr>
              <rFont val="Calibri"/>
              <sz val="10"/>
            </rPr>
            <t xml:space="preserve">Graduate; relevant certification preferred
</t>
          </r>
          <r>
            <rPr>
              <rFont val="Calibri"/>
              <b val="1"/>
              <sz val="10"/>
            </rPr>
            <t>Family:</t>
          </r>
          <r>
            <rPr>
              <rFont val="Calibri"/>
              <sz val="10"/>
            </rPr>
            <t xml:space="preserve"> BE / B.Tech / MCA / M.Tech / B.Sc · CS</t>
          </r>
        </is>
      </c>
      <c r="P32" s="164" t="inlineStr">
        <is>
          <t>Cloud / language certifications · optional; AWS / Azure architect · optional</t>
        </is>
      </c>
      <c r="Q32" s="164" t="inlineStr">
        <is>
          <t>Secure coding · OWASP, code review, unit testing</t>
        </is>
      </c>
      <c r="R32" s="186" t="inlineStr">
        <is>
          <t>TE-A</t>
        </is>
      </c>
      <c r="S32" s="187" t="n">
        <v>0.64</v>
      </c>
      <c r="T32" s="187" t="n">
        <v>0.16</v>
      </c>
      <c r="U32" s="187" t="n">
        <v>0.04</v>
      </c>
      <c r="V32" s="187" t="n">
        <v>0</v>
      </c>
      <c r="W32" s="187" t="n">
        <v>0.1</v>
      </c>
      <c r="X32" s="187" t="n">
        <v>0.06</v>
      </c>
      <c r="Y32" s="121" t="inlineStr">
        <is>
          <t>★ Programming &amp; Tech-Stack Depth · ★ System Design &amp; Architecture</t>
        </is>
      </c>
      <c r="Z32" s="122" t="inlineStr">
        <is>
          <t>Database, SQL &amp; Data Engineering · Cloud, DevOps &amp; CI/CD · AI, GenAI &amp; Prompt Engineering · Product, Platform &amp; Domain Knowledge</t>
        </is>
      </c>
      <c r="AA32" s="122" t="inlineStr">
        <is>
          <t>Network &amp; Systems Administration · End-User Support &amp; Service Desk · ITIL 4 · Information Security &amp; ISO 27001 Controls · Cloud &amp; Platform Operations · IT Asset &amp; Licence Management</t>
        </is>
      </c>
      <c r="AB32" s="122" t="inlineStr">
        <is>
          <t>Core 2 · Future-ready 2 · Functional 3 · Leadership —</t>
        </is>
      </c>
      <c r="AC32" s="123" t="inlineStr">
        <is>
          <t>None · guides 1–3 juniors informally</t>
        </is>
      </c>
      <c r="AD32" s="188" t="inlineStr">
        <is>
          <t>P2</t>
        </is>
      </c>
      <c r="AE32" s="130" t="inlineStr">
        <is>
          <t>Developing</t>
        </is>
      </c>
      <c r="AF32" s="189" t="inlineStr">
        <is>
          <t>3 Apply</t>
        </is>
      </c>
      <c r="AG32" s="130" t="inlineStr">
        <is>
          <t>Software Engineer</t>
        </is>
      </c>
      <c r="AH32" s="130" t="inlineStr">
        <is>
          <t>L3–L4 · MS 61–62 · Software Engineer</t>
        </is>
      </c>
      <c r="AI32" s="130" t="inlineStr">
        <is>
          <t>JL3A Senior Systems Engineer · C1 System Engineer · L11–L10 · Senior Analyst</t>
        </is>
      </c>
      <c r="AJ32" s="130" t="inlineStr">
        <is>
          <t>Consultant · DataTracks Senior Associate · 2–5 yrs</t>
        </is>
      </c>
      <c r="AK32" s="130" t="inlineStr">
        <is>
          <t>Workiva · Levels.fyi, Radford / Pave</t>
        </is>
      </c>
      <c r="AL32" s="130" t="inlineStr">
        <is>
          <r>
            <rPr>
              <rFont val="Calibri"/>
              <b val="1"/>
              <sz val="10"/>
            </rPr>
            <t>Workiva:</t>
          </r>
          <r>
            <rPr>
              <rFont val="Calibri"/>
              <sz val="10"/>
            </rPr>
            <t xml:space="preserve"> SE · Broadridge India: SE · Nasdaq / AxiomSL: SE · Salesforce: MTS · Atlassian: P40 · 3–7 yrs · Freshworks: Senior SE · Clear: SDE2</t>
          </r>
        </is>
      </c>
      <c r="AM32" s="130" t="inlineStr">
        <is>
          <t>SFIA 9 · software development, programming; OWASP secure coding; cloud vendor certifications</t>
        </is>
      </c>
      <c r="AN32" s="131" t="inlineStr">
        <is>
          <t>Lateral or campus · CT2 at 12 months; CT3 in programme</t>
        </is>
      </c>
      <c r="AO32" s="132" t="inlineStr">
        <is>
          <t>B1 · Specialist</t>
        </is>
      </c>
      <c r="AP32" s="132" t="inlineStr">
        <is>
          <t>B1 · Team Lead</t>
        </is>
      </c>
      <c r="AQ32" s="132" t="inlineStr">
        <is>
          <t>AI-assisted coding, cloud-native &amp; API-first design, LLM integration</t>
        </is>
      </c>
    </row>
    <row r="33" ht="106" customHeight="1">
      <c r="A33" s="109" t="inlineStr">
        <is>
          <t>IT &amp; Infrastructure</t>
        </is>
      </c>
      <c r="B33" s="111" t="inlineStr">
        <is>
          <t>IT &amp; Infrastructure</t>
        </is>
      </c>
      <c r="C33" s="111" t="inlineStr">
        <is>
          <t>Infrastructure &amp; Cloud Operations</t>
        </is>
      </c>
      <c r="D33" s="111" t="inlineStr">
        <is>
          <t>Infrastructure Specialist</t>
        </is>
      </c>
      <c r="E33" s="26" t="inlineStr">
        <is>
          <t>A3</t>
        </is>
      </c>
      <c r="F33" s="139" t="inlineStr">
        <is>
          <t>Senior Associate</t>
        </is>
      </c>
      <c r="G33" s="111" t="inlineStr">
        <is>
          <t>IC</t>
        </is>
      </c>
      <c r="H33" s="112" t="n">
        <v>1</v>
      </c>
      <c r="I33" s="113" t="inlineStr">
        <is>
          <t>Varied work; reviews juniors; go-to for a process</t>
        </is>
      </c>
      <c r="J33" s="114" t="inlineStr">
        <is>
          <t>Varied and non-standard work; handles exceptions</t>
        </is>
      </c>
      <c r="K33" s="114" t="inlineStr">
        <is>
          <t>Technical / QC / client calls on own work</t>
        </is>
      </c>
      <c r="L33" s="114" t="inlineStr">
        <is>
          <t>A module / process, or work with client or regulatory consequences</t>
        </is>
      </c>
      <c r="M33" s="114" t="inlineStr">
        <is>
          <t>Not scored in Band A</t>
        </is>
      </c>
      <c r="N33" s="185" t="inlineStr">
        <is>
          <t>2–4 yrs</t>
        </is>
      </c>
      <c r="O33" s="164" t="inlineStr">
        <is>
          <r>
            <rPr>
              <rFont val="Calibri"/>
              <sz val="10"/>
            </rPr>
            <t xml:space="preserve">Graduate; relevant certification preferred
</t>
          </r>
          <r>
            <rPr>
              <rFont val="Calibri"/>
              <b val="1"/>
              <sz val="10"/>
            </rPr>
            <t>Family:</t>
          </r>
          <r>
            <rPr>
              <rFont val="Calibri"/>
              <sz val="10"/>
            </rPr>
            <t xml:space="preserve"> BE / B.Sc / diploma + certifications</t>
          </r>
        </is>
      </c>
      <c r="P33" s="164" t="inlineStr">
        <is>
          <t>Microsoft / CCNA / ISO 27001 / ITIL; AWS / Azure / Kubernetes certifications</t>
        </is>
      </c>
      <c r="Q33" s="164" t="inlineStr">
        <is>
          <t>ISO 27001 / InfoSec controls</t>
        </is>
      </c>
      <c r="R33" s="186" t="inlineStr">
        <is>
          <t>TE-A</t>
        </is>
      </c>
      <c r="S33" s="187" t="n">
        <v>0.64</v>
      </c>
      <c r="T33" s="187" t="n">
        <v>0.16</v>
      </c>
      <c r="U33" s="187" t="n">
        <v>0.04</v>
      </c>
      <c r="V33" s="187" t="n">
        <v>0</v>
      </c>
      <c r="W33" s="187" t="n">
        <v>0.1</v>
      </c>
      <c r="X33" s="187" t="n">
        <v>0.06</v>
      </c>
      <c r="Y33" s="121" t="inlineStr">
        <is>
          <t>★ Cybersecurity &amp; Infrastructure · ★ Cloud, DevOps &amp; CI/CD</t>
        </is>
      </c>
      <c r="Z33" s="122" t="inlineStr">
        <is>
          <t>Process Improvement &amp; Quality Mindset · Stakeholder &amp; Client Management · Time, Priority &amp; Self-Management · AI, GenAI &amp; Prompt Engineering</t>
        </is>
      </c>
      <c r="AA33" s="122" t="inlineStr">
        <is>
          <t>Network &amp; Systems Administration · End-User Support &amp; Service Desk · ITIL 4 · Information Security &amp; ISO 27001 Controls · Cloud &amp; Platform Operations · IT Asset &amp; Licence Management</t>
        </is>
      </c>
      <c r="AB33" s="122" t="inlineStr">
        <is>
          <t>Core 2 · Future-ready 2 · Functional 3 · Leadership —</t>
        </is>
      </c>
      <c r="AC33" s="123" t="inlineStr">
        <is>
          <t>None · guides 1–3 juniors informally</t>
        </is>
      </c>
      <c r="AD33" s="188" t="inlineStr">
        <is>
          <t>P3</t>
        </is>
      </c>
      <c r="AE33" s="130" t="inlineStr">
        <is>
          <t>Developing</t>
        </is>
      </c>
      <c r="AF33" s="189" t="inlineStr">
        <is>
          <t>3 Apply</t>
        </is>
      </c>
      <c r="AG33" s="130" t="inlineStr">
        <is>
          <t>Senior System Administrator</t>
        </is>
      </c>
      <c r="AH33" s="130" t="inlineStr">
        <is>
          <t>L3–L4 · MS 61–62 · Software Engineer</t>
        </is>
      </c>
      <c r="AI33" s="130" t="inlineStr">
        <is>
          <t>JL3A Senior Systems Engineer · C1 System Engineer · L11–L10 · Senior Analyst</t>
        </is>
      </c>
      <c r="AJ33" s="130" t="inlineStr">
        <is>
          <t>Consultant · DataTracks Senior Associate · 2–5 yrs</t>
        </is>
      </c>
      <c r="AK33" s="130" t="inlineStr">
        <is>
          <t>Radford / Pave</t>
        </is>
      </c>
      <c r="AL33" s="130" t="inlineStr">
        <is>
          <r>
            <rPr>
              <rFont val="Calibri"/>
              <b val="1"/>
              <sz val="10"/>
            </rPr>
            <t>Atlassian company-wide P-levels:</t>
          </r>
          <r>
            <rPr>
              <rFont val="Calibri"/>
              <sz val="10"/>
            </rPr>
            <t xml:space="preserve"> P40 · IRIS Vs Competitor Benchmark — infrastructure ladder: System Administrator</t>
          </r>
        </is>
      </c>
      <c r="AM33" s="130" t="inlineStr">
        <is>
          <t>ITIL 4; ISO/IEC 27001:2022; SFIA infrastructure</t>
        </is>
      </c>
      <c r="AN33" s="131" t="inlineStr">
        <is>
          <t>Lateral or campus · CT2 at 12 months; CT3 in programme</t>
        </is>
      </c>
      <c r="AO33" s="132" t="inlineStr">
        <is>
          <t>B1 · Specialist</t>
        </is>
      </c>
      <c r="AP33" s="132" t="inlineStr">
        <is>
          <t>B1 · Team Lead</t>
        </is>
      </c>
      <c r="AQ33" s="132" t="inlineStr">
        <is>
          <t>Zero-trust security, cloud operations, AI-assisted IT operations</t>
        </is>
      </c>
    </row>
    <row r="34" ht="106" customHeight="1">
      <c r="A34" s="109" t="inlineStr">
        <is>
          <t>IT &amp; Infrastructure</t>
        </is>
      </c>
      <c r="B34" s="111" t="inlineStr">
        <is>
          <t>IT &amp; Infrastructure</t>
        </is>
      </c>
      <c r="C34" s="111" t="inlineStr">
        <is>
          <t>End-User Support</t>
        </is>
      </c>
      <c r="D34" s="111" t="inlineStr">
        <is>
          <t>Senior Desktop Support Engineer</t>
        </is>
      </c>
      <c r="E34" s="26" t="inlineStr">
        <is>
          <t>A3</t>
        </is>
      </c>
      <c r="F34" s="139" t="inlineStr">
        <is>
          <t>Senior Associate</t>
        </is>
      </c>
      <c r="G34" s="111" t="inlineStr">
        <is>
          <t>IC</t>
        </is>
      </c>
      <c r="H34" s="112" t="n">
        <v>1</v>
      </c>
      <c r="I34" s="113" t="inlineStr">
        <is>
          <t>Varied work; reviews juniors; go-to for a process</t>
        </is>
      </c>
      <c r="J34" s="114" t="inlineStr">
        <is>
          <t>Varied and non-standard work; handles exceptions</t>
        </is>
      </c>
      <c r="K34" s="114" t="inlineStr">
        <is>
          <t>Technical / QC / client calls on own work</t>
        </is>
      </c>
      <c r="L34" s="114" t="inlineStr">
        <is>
          <t>A module / process, or work with client or regulatory consequences</t>
        </is>
      </c>
      <c r="M34" s="114" t="inlineStr">
        <is>
          <t>Not scored in Band A</t>
        </is>
      </c>
      <c r="N34" s="185" t="inlineStr">
        <is>
          <t>2–4 yrs</t>
        </is>
      </c>
      <c r="O34" s="164" t="inlineStr">
        <is>
          <r>
            <rPr>
              <rFont val="Calibri"/>
              <sz val="10"/>
            </rPr>
            <t xml:space="preserve">Graduate; relevant certification preferred
</t>
          </r>
          <r>
            <rPr>
              <rFont val="Calibri"/>
              <b val="1"/>
              <sz val="10"/>
            </rPr>
            <t>Family:</t>
          </r>
          <r>
            <rPr>
              <rFont val="Calibri"/>
              <sz val="10"/>
            </rPr>
            <t xml:space="preserve"> BE / B.Sc / diploma + certifications</t>
          </r>
        </is>
      </c>
      <c r="P34" s="164" t="inlineStr">
        <is>
          <t>Microsoft / CCNA / ISO 27001 / ITIL; AWS / Azure / Kubernetes certifications</t>
        </is>
      </c>
      <c r="Q34" s="164" t="inlineStr">
        <is>
          <t>ISO 27001 / InfoSec controls</t>
        </is>
      </c>
      <c r="R34" s="186" t="inlineStr">
        <is>
          <t>TE-A</t>
        </is>
      </c>
      <c r="S34" s="187" t="n">
        <v>0.64</v>
      </c>
      <c r="T34" s="187" t="n">
        <v>0.16</v>
      </c>
      <c r="U34" s="187" t="n">
        <v>0.04</v>
      </c>
      <c r="V34" s="187" t="n">
        <v>0</v>
      </c>
      <c r="W34" s="187" t="n">
        <v>0.1</v>
      </c>
      <c r="X34" s="187" t="n">
        <v>0.06</v>
      </c>
      <c r="Y34" s="121" t="inlineStr">
        <is>
          <t>★ Cybersecurity &amp; Infrastructure · ★ Cloud, DevOps &amp; CI/CD</t>
        </is>
      </c>
      <c r="Z34" s="122" t="inlineStr">
        <is>
          <t>Process Improvement &amp; Quality Mindset · Stakeholder &amp; Client Management · Time, Priority &amp; Self-Management · AI, GenAI &amp; Prompt Engineering</t>
        </is>
      </c>
      <c r="AA34" s="122" t="inlineStr">
        <is>
          <t>Network &amp; Systems Administration · End-User Support &amp; Service Desk · ITIL 4 · Information Security &amp; ISO 27001 Controls · Cloud &amp; Platform Operations · IT Asset &amp; Licence Management</t>
        </is>
      </c>
      <c r="AB34" s="122" t="inlineStr">
        <is>
          <t>Core 2 · Future-ready 2 · Functional 3 · Leadership —</t>
        </is>
      </c>
      <c r="AC34" s="123" t="inlineStr">
        <is>
          <t>None · guides 1–3 juniors informally</t>
        </is>
      </c>
      <c r="AD34" s="188" t="inlineStr">
        <is>
          <t>P2</t>
        </is>
      </c>
      <c r="AE34" s="130" t="inlineStr">
        <is>
          <t>Developing</t>
        </is>
      </c>
      <c r="AF34" s="189" t="inlineStr">
        <is>
          <t>3 Apply</t>
        </is>
      </c>
      <c r="AG34" s="130" t="inlineStr">
        <is>
          <t>System Administrator</t>
        </is>
      </c>
      <c r="AH34" s="130" t="inlineStr">
        <is>
          <t>L3–L4 · MS 61–62 · Software Engineer</t>
        </is>
      </c>
      <c r="AI34" s="130" t="inlineStr">
        <is>
          <t>JL3A Senior Systems Engineer · C1 System Engineer · L11–L10 · Senior Analyst</t>
        </is>
      </c>
      <c r="AJ34" s="130" t="inlineStr">
        <is>
          <t>Consultant · DataTracks Senior Associate · 2–5 yrs</t>
        </is>
      </c>
      <c r="AK34" s="130" t="inlineStr">
        <is>
          <t>Radford / Pave</t>
        </is>
      </c>
      <c r="AL34" s="130" t="inlineStr">
        <is>
          <r>
            <rPr>
              <rFont val="Calibri"/>
              <b val="1"/>
              <sz val="10"/>
            </rPr>
            <t>Atlassian company-wide P-levels:</t>
          </r>
          <r>
            <rPr>
              <rFont val="Calibri"/>
              <sz val="10"/>
            </rPr>
            <t xml:space="preserve"> P40 · IRIS Vs Competitor Benchmark — infrastructure ladder: System Administrator</t>
          </r>
        </is>
      </c>
      <c r="AM34" s="130" t="inlineStr">
        <is>
          <t>ITIL 4; ISO/IEC 27001:2022; SFIA infrastructure</t>
        </is>
      </c>
      <c r="AN34" s="131" t="inlineStr">
        <is>
          <t>Lateral or campus · CT2 at 12 months; CT3 in programme</t>
        </is>
      </c>
      <c r="AO34" s="132" t="inlineStr">
        <is>
          <t>B1 · Specialist</t>
        </is>
      </c>
      <c r="AP34" s="132" t="inlineStr">
        <is>
          <t>B1 · Team Lead</t>
        </is>
      </c>
      <c r="AQ34" s="132" t="inlineStr">
        <is>
          <t>Zero-trust security, cloud operations, AI-assisted IT operations</t>
        </is>
      </c>
    </row>
    <row r="35" ht="106" customHeight="1">
      <c r="A35" s="109" t="inlineStr">
        <is>
          <t>IT &amp; Infrastructure</t>
        </is>
      </c>
      <c r="B35" s="111" t="inlineStr">
        <is>
          <t>IT &amp; Infrastructure</t>
        </is>
      </c>
      <c r="C35" s="111" t="inlineStr">
        <is>
          <t>Infrastructure &amp; Cloud Operations</t>
        </is>
      </c>
      <c r="D35" s="111" t="inlineStr">
        <is>
          <t>Senior System Administrator</t>
        </is>
      </c>
      <c r="E35" s="26" t="inlineStr">
        <is>
          <t>A3</t>
        </is>
      </c>
      <c r="F35" s="139" t="inlineStr">
        <is>
          <t>Senior Associate</t>
        </is>
      </c>
      <c r="G35" s="111" t="inlineStr">
        <is>
          <t>IC</t>
        </is>
      </c>
      <c r="H35" s="112" t="n">
        <v>7</v>
      </c>
      <c r="I35" s="113" t="inlineStr">
        <is>
          <t>Varied work; reviews juniors; go-to for a process</t>
        </is>
      </c>
      <c r="J35" s="114" t="inlineStr">
        <is>
          <t>Varied and non-standard work; handles exceptions</t>
        </is>
      </c>
      <c r="K35" s="114" t="inlineStr">
        <is>
          <t>Technical / QC / client calls on own work</t>
        </is>
      </c>
      <c r="L35" s="114" t="inlineStr">
        <is>
          <t>A module / process, or work with client or regulatory consequences</t>
        </is>
      </c>
      <c r="M35" s="114" t="inlineStr">
        <is>
          <t>Not scored in Band A</t>
        </is>
      </c>
      <c r="N35" s="185" t="inlineStr">
        <is>
          <t>2–4 yrs</t>
        </is>
      </c>
      <c r="O35" s="164" t="inlineStr">
        <is>
          <r>
            <rPr>
              <rFont val="Calibri"/>
              <sz val="10"/>
            </rPr>
            <t xml:space="preserve">Graduate; relevant certification preferred
</t>
          </r>
          <r>
            <rPr>
              <rFont val="Calibri"/>
              <b val="1"/>
              <sz val="10"/>
            </rPr>
            <t>Family:</t>
          </r>
          <r>
            <rPr>
              <rFont val="Calibri"/>
              <sz val="10"/>
            </rPr>
            <t xml:space="preserve"> BE / B.Sc / diploma + certifications</t>
          </r>
        </is>
      </c>
      <c r="P35" s="164" t="inlineStr">
        <is>
          <t>Microsoft / CCNA / ISO 27001 / ITIL; AWS / Azure / Kubernetes certifications</t>
        </is>
      </c>
      <c r="Q35" s="164" t="inlineStr">
        <is>
          <t>ISO 27001 / InfoSec controls</t>
        </is>
      </c>
      <c r="R35" s="186" t="inlineStr">
        <is>
          <t>TE-A</t>
        </is>
      </c>
      <c r="S35" s="187" t="n">
        <v>0.64</v>
      </c>
      <c r="T35" s="187" t="n">
        <v>0.16</v>
      </c>
      <c r="U35" s="187" t="n">
        <v>0.04</v>
      </c>
      <c r="V35" s="187" t="n">
        <v>0</v>
      </c>
      <c r="W35" s="187" t="n">
        <v>0.1</v>
      </c>
      <c r="X35" s="187" t="n">
        <v>0.06</v>
      </c>
      <c r="Y35" s="121" t="inlineStr">
        <is>
          <t>★ Cybersecurity &amp; Infrastructure · ★ Cloud, DevOps &amp; CI/CD</t>
        </is>
      </c>
      <c r="Z35" s="122" t="inlineStr">
        <is>
          <t>Process Improvement &amp; Quality Mindset · Stakeholder &amp; Client Management · Time, Priority &amp; Self-Management · AI, GenAI &amp; Prompt Engineering</t>
        </is>
      </c>
      <c r="AA35" s="122" t="inlineStr">
        <is>
          <t>Network &amp; Systems Administration · End-User Support &amp; Service Desk · ITIL 4 · Information Security &amp; ISO 27001 Controls · Cloud &amp; Platform Operations · IT Asset &amp; Licence Management</t>
        </is>
      </c>
      <c r="AB35" s="122" t="inlineStr">
        <is>
          <t>Core 2 · Future-ready 2 · Functional 3 · Leadership —</t>
        </is>
      </c>
      <c r="AC35" s="123" t="inlineStr">
        <is>
          <t>None · guides 1–3 juniors informally</t>
        </is>
      </c>
      <c r="AD35" s="188" t="inlineStr">
        <is>
          <t>P2</t>
        </is>
      </c>
      <c r="AE35" s="130" t="inlineStr">
        <is>
          <t>Developing</t>
        </is>
      </c>
      <c r="AF35" s="189" t="inlineStr">
        <is>
          <t>3 Apply</t>
        </is>
      </c>
      <c r="AG35" s="130" t="inlineStr">
        <is>
          <t>System Administrator</t>
        </is>
      </c>
      <c r="AH35" s="130" t="inlineStr">
        <is>
          <t>L3–L4 · MS 61–62 · Software Engineer</t>
        </is>
      </c>
      <c r="AI35" s="130" t="inlineStr">
        <is>
          <t>JL3A Senior Systems Engineer · C1 System Engineer · L11–L10 · Senior Analyst</t>
        </is>
      </c>
      <c r="AJ35" s="130" t="inlineStr">
        <is>
          <t>Consultant · DataTracks Senior Associate · 2–5 yrs</t>
        </is>
      </c>
      <c r="AK35" s="130" t="inlineStr">
        <is>
          <t>Radford / Pave</t>
        </is>
      </c>
      <c r="AL35" s="130" t="inlineStr">
        <is>
          <r>
            <rPr>
              <rFont val="Calibri"/>
              <b val="1"/>
              <sz val="10"/>
            </rPr>
            <t>Atlassian company-wide P-levels:</t>
          </r>
          <r>
            <rPr>
              <rFont val="Calibri"/>
              <sz val="10"/>
            </rPr>
            <t xml:space="preserve"> P40 · IRIS Vs Competitor Benchmark — infrastructure ladder: System Administrator</t>
          </r>
        </is>
      </c>
      <c r="AM35" s="130" t="inlineStr">
        <is>
          <t>ITIL 4; ISO/IEC 27001:2022; SFIA infrastructure</t>
        </is>
      </c>
      <c r="AN35" s="131" t="inlineStr">
        <is>
          <t>Lateral or campus · CT2 at 12 months; CT3 in programme</t>
        </is>
      </c>
      <c r="AO35" s="132" t="inlineStr">
        <is>
          <t>B1 · Specialist</t>
        </is>
      </c>
      <c r="AP35" s="132" t="inlineStr">
        <is>
          <t>B1 · Team Lead</t>
        </is>
      </c>
      <c r="AQ35" s="132" t="inlineStr">
        <is>
          <t>Zero-trust security, cloud operations, AI-assisted IT operations</t>
        </is>
      </c>
    </row>
    <row r="36" ht="106" customHeight="1">
      <c r="A36" s="109" t="inlineStr">
        <is>
          <t>IT &amp; Infrastructure</t>
        </is>
      </c>
      <c r="B36" s="111" t="inlineStr">
        <is>
          <t>IT &amp; Infrastructure</t>
        </is>
      </c>
      <c r="C36" s="111" t="inlineStr">
        <is>
          <t>Infrastructure &amp; Cloud Operations</t>
        </is>
      </c>
      <c r="D36" s="111" t="inlineStr">
        <is>
          <t>Infrastructure Specialist</t>
        </is>
      </c>
      <c r="E36" s="23" t="inlineStr">
        <is>
          <t>B1</t>
        </is>
      </c>
      <c r="F36" s="21" t="inlineStr">
        <is>
          <t>Specialist</t>
        </is>
      </c>
      <c r="G36" s="111" t="inlineStr">
        <is>
          <t>IC</t>
        </is>
      </c>
      <c r="H36" s="112" t="n">
        <v>1</v>
      </c>
      <c r="I36" s="113" t="inlineStr">
        <is>
          <t>A domain / module, or a small team</t>
        </is>
      </c>
      <c r="J36" s="114" t="inlineStr">
        <is>
          <t>Domain specialist work</t>
        </is>
      </c>
      <c r="K36" s="114" t="inlineStr">
        <is>
          <t>Technical / QC / client calls for the domain</t>
        </is>
      </c>
      <c r="L36" s="114" t="inlineStr">
        <is>
          <t>A domain or a small team</t>
        </is>
      </c>
      <c r="M36" s="114" t="inlineStr">
        <is>
          <r>
            <rPr>
              <rFont val="Calibri"/>
              <b val="1"/>
              <sz val="10"/>
            </rPr>
            <t>IC:</t>
          </r>
          <r>
            <rPr>
              <rFont val="Calibri"/>
              <sz val="10"/>
            </rPr>
            <t xml:space="preserve"> mentors and reviews · People: hands-on team lead of 3–5</t>
          </r>
        </is>
      </c>
      <c r="N36" s="185" t="inlineStr">
        <is>
          <t>4–7 yrs</t>
        </is>
      </c>
      <c r="O36" s="164" t="inlineStr">
        <is>
          <r>
            <rPr>
              <rFont val="Calibri"/>
              <sz val="10"/>
            </rPr>
            <t xml:space="preserve">Graduate + relevant qualification or certification preferred
</t>
          </r>
          <r>
            <rPr>
              <rFont val="Calibri"/>
              <b val="1"/>
              <sz val="10"/>
            </rPr>
            <t>Family:</t>
          </r>
          <r>
            <rPr>
              <rFont val="Calibri"/>
              <sz val="10"/>
            </rPr>
            <t xml:space="preserve"> BE / B.Sc / diploma + certifications</t>
          </r>
        </is>
      </c>
      <c r="P36" s="164" t="inlineStr">
        <is>
          <t>Microsoft / CCNA / ISO 27001 / ITIL; AWS / Azure / Kubernetes certifications</t>
        </is>
      </c>
      <c r="Q36" s="164" t="inlineStr">
        <is>
          <t>ISO 27001 / InfoSec controls</t>
        </is>
      </c>
      <c r="R36" s="186" t="inlineStr">
        <is>
          <t>TE-B-IC</t>
        </is>
      </c>
      <c r="S36" s="187" t="n">
        <v>0.5600000000000001</v>
      </c>
      <c r="T36" s="187" t="n">
        <v>0.17</v>
      </c>
      <c r="U36" s="187" t="n">
        <v>0.05</v>
      </c>
      <c r="V36" s="187" t="n">
        <v>0.05</v>
      </c>
      <c r="W36" s="187" t="n">
        <v>0.1</v>
      </c>
      <c r="X36" s="187" t="n">
        <v>0.07000000000000001</v>
      </c>
      <c r="Y36" s="121" t="inlineStr">
        <is>
          <t>★ Cybersecurity &amp; Infrastructure · ★ Cloud, DevOps &amp; CI/CD</t>
        </is>
      </c>
      <c r="Z36" s="122" t="inlineStr">
        <is>
          <t>Process Improvement &amp; Quality Mindset · Stakeholder &amp; Client Management · Time, Priority &amp; Self-Management · AI, GenAI &amp; Prompt Engineering</t>
        </is>
      </c>
      <c r="AA36" s="122" t="inlineStr">
        <is>
          <t>Network &amp; Systems Administration · End-User Support &amp; Service Desk · ITIL 4 · Information Security &amp; ISO 27001 Controls · Cloud &amp; Platform Operations · IT Asset &amp; Licence Management</t>
        </is>
      </c>
      <c r="AB36" s="122" t="inlineStr">
        <is>
          <t>Core 3 · Future-ready 3 · Functional 3 · Leadership 1</t>
        </is>
      </c>
      <c r="AC36" s="123" t="inlineStr">
        <is>
          <r>
            <rPr>
              <rFont val="Calibri"/>
              <b val="1"/>
              <sz val="10"/>
            </rPr>
            <t>IC:</t>
          </r>
          <r>
            <rPr>
              <rFont val="Calibri"/>
              <sz val="10"/>
            </rPr>
            <t xml:space="preserve"> none · Team Lead: 3–5</t>
          </r>
        </is>
      </c>
      <c r="AD36" s="188" t="inlineStr">
        <is>
          <t>P3</t>
        </is>
      </c>
      <c r="AE36" s="130" t="inlineStr">
        <is>
          <t>Career / · Team Lead</t>
        </is>
      </c>
      <c r="AF36" s="189" t="inlineStr">
        <is>
          <t>4 Enable</t>
        </is>
      </c>
      <c r="AG36" s="130" t="inlineStr">
        <is>
          <t>Senior System Administrator</t>
        </is>
      </c>
      <c r="AH36" s="130" t="inlineStr">
        <is>
          <t>L4 · MS 62 · Software Engineer – Senior SE</t>
        </is>
      </c>
      <c r="AI36" s="130" t="inlineStr">
        <is>
          <t>JL4 Technology Analyst · C2 IT Analyst · L9 Team Lead / Consultant</t>
        </is>
      </c>
      <c r="AJ36" s="130" t="inlineStr">
        <is>
          <t>Senior Consultant / Assistant Manager</t>
        </is>
      </c>
      <c r="AK36" s="130" t="inlineStr">
        <is>
          <t>Radford / Pave</t>
        </is>
      </c>
      <c r="AL36" s="130" t="inlineStr">
        <is>
          <r>
            <rPr>
              <rFont val="Calibri"/>
              <b val="1"/>
              <sz val="10"/>
            </rPr>
            <t>Atlassian company-wide P-levels:</t>
          </r>
          <r>
            <rPr>
              <rFont val="Calibri"/>
              <sz val="10"/>
            </rPr>
            <t xml:space="preserve"> P40 · IRIS Vs Competitor Benchmark — infrastructure ladder: Senior SysAdmin</t>
          </r>
        </is>
      </c>
      <c r="AM36" s="130" t="inlineStr">
        <is>
          <t>ITIL 4; ISO/IEC 27001:2022; SFIA infrastructure</t>
        </is>
      </c>
      <c r="AN36" s="131" t="inlineStr">
        <is>
          <t>Lateral; Management Trainees graduate here</t>
        </is>
      </c>
      <c r="AO36" s="132" t="inlineStr">
        <is>
          <t>B2 · Senior Specialist</t>
        </is>
      </c>
      <c r="AP36" s="132" t="inlineStr">
        <is>
          <t>B2 · Manager</t>
        </is>
      </c>
      <c r="AQ36" s="132" t="inlineStr">
        <is>
          <t>Zero-trust security, cloud operations, AI-assisted IT operations</t>
        </is>
      </c>
    </row>
    <row r="37" ht="106" customHeight="1">
      <c r="A37" s="109" t="inlineStr">
        <is>
          <t>IT &amp; Infrastructure</t>
        </is>
      </c>
      <c r="B37" s="111" t="inlineStr">
        <is>
          <t>IT &amp; Infrastructure</t>
        </is>
      </c>
      <c r="C37" s="111" t="inlineStr">
        <is>
          <t>Infrastructure &amp; Cloud Operations</t>
        </is>
      </c>
      <c r="D37" s="111" t="inlineStr">
        <is>
          <t>Infrastructure Specialist – POD Lead</t>
        </is>
      </c>
      <c r="E37" s="23" t="inlineStr">
        <is>
          <t>B1</t>
        </is>
      </c>
      <c r="F37" s="21" t="inlineStr">
        <is>
          <t>Specialist · POD Lead</t>
        </is>
      </c>
      <c r="G37" s="111" t="inlineStr">
        <is>
          <t>POD Lead</t>
        </is>
      </c>
      <c r="H37" s="112" t="n">
        <v>1</v>
      </c>
      <c r="I37" s="113" t="inlineStr">
        <is>
          <t>A domain / module, or a small team</t>
        </is>
      </c>
      <c r="J37" s="114" t="inlineStr">
        <is>
          <t>Domain specialist work</t>
        </is>
      </c>
      <c r="K37" s="114" t="inlineStr">
        <is>
          <t>Technical / QC / client calls for the domain</t>
        </is>
      </c>
      <c r="L37" s="114" t="inlineStr">
        <is>
          <t>A domain or a small team</t>
        </is>
      </c>
      <c r="M37" s="114" t="inlineStr">
        <is>
          <r>
            <rPr>
              <rFont val="Calibri"/>
              <b val="1"/>
              <sz val="10"/>
            </rPr>
            <t>IC:</t>
          </r>
          <r>
            <rPr>
              <rFont val="Calibri"/>
              <sz val="10"/>
            </rPr>
            <t xml:space="preserve"> mentors and reviews · People: hands-on team lead of 3–5</t>
          </r>
        </is>
      </c>
      <c r="N37" s="185" t="inlineStr">
        <is>
          <t>4–7 yrs</t>
        </is>
      </c>
      <c r="O37" s="164" t="inlineStr">
        <is>
          <r>
            <rPr>
              <rFont val="Calibri"/>
              <sz val="10"/>
            </rPr>
            <t xml:space="preserve">Graduate + relevant qualification or certification preferred
</t>
          </r>
          <r>
            <rPr>
              <rFont val="Calibri"/>
              <b val="1"/>
              <sz val="10"/>
            </rPr>
            <t>Family:</t>
          </r>
          <r>
            <rPr>
              <rFont val="Calibri"/>
              <sz val="10"/>
            </rPr>
            <t xml:space="preserve"> BE / B.Sc / diploma + certifications</t>
          </r>
        </is>
      </c>
      <c r="P37" s="164" t="inlineStr">
        <is>
          <t>Microsoft / CCNA / ISO 27001 / ITIL; AWS / Azure / Kubernetes certifications</t>
        </is>
      </c>
      <c r="Q37" s="164" t="inlineStr">
        <is>
          <t>ISO 27001 / InfoSec controls</t>
        </is>
      </c>
      <c r="R37" s="186" t="inlineStr">
        <is>
          <t>TE-B-IC</t>
        </is>
      </c>
      <c r="S37" s="187" t="n">
        <v>0.5600000000000001</v>
      </c>
      <c r="T37" s="187" t="n">
        <v>0.17</v>
      </c>
      <c r="U37" s="187" t="n">
        <v>0.05</v>
      </c>
      <c r="V37" s="187" t="n">
        <v>0.05</v>
      </c>
      <c r="W37" s="187" t="n">
        <v>0.1</v>
      </c>
      <c r="X37" s="187" t="n">
        <v>0.07000000000000001</v>
      </c>
      <c r="Y37" s="121" t="inlineStr">
        <is>
          <t>★ Cybersecurity &amp; Infrastructure · ★ Cloud, DevOps &amp; CI/CD</t>
        </is>
      </c>
      <c r="Z37" s="122" t="inlineStr">
        <is>
          <t>Process Improvement &amp; Quality Mindset · Stakeholder &amp; Client Management · Time, Priority &amp; Self-Management · AI, GenAI &amp; Prompt Engineering</t>
        </is>
      </c>
      <c r="AA37" s="122" t="inlineStr">
        <is>
          <t>Network &amp; Systems Administration · End-User Support &amp; Service Desk · ITIL 4 · Information Security &amp; ISO 27001 Controls · Cloud &amp; Platform Operations · IT Asset &amp; Licence Management</t>
        </is>
      </c>
      <c r="AB37" s="122" t="inlineStr">
        <is>
          <t>Core 3 · Future-ready 3 · Functional 3 · Leadership 2</t>
        </is>
      </c>
      <c r="AC37" s="123" t="inlineStr">
        <is>
          <r>
            <rPr>
              <rFont val="Calibri"/>
              <b val="1"/>
              <sz val="10"/>
            </rPr>
            <t>IC:</t>
          </r>
          <r>
            <rPr>
              <rFont val="Calibri"/>
              <sz val="10"/>
            </rPr>
            <t xml:space="preserve"> none · Team Lead: 3–5</t>
          </r>
        </is>
      </c>
      <c r="AD37" s="188" t="inlineStr">
        <is>
          <t>P3</t>
        </is>
      </c>
      <c r="AE37" s="130" t="inlineStr">
        <is>
          <t>Career / · Team Lead</t>
        </is>
      </c>
      <c r="AF37" s="189" t="inlineStr">
        <is>
          <t>4 Enable</t>
        </is>
      </c>
      <c r="AG37" s="130" t="inlineStr">
        <is>
          <t>Senior System Administrator</t>
        </is>
      </c>
      <c r="AH37" s="130" t="inlineStr">
        <is>
          <t>L4 · MS 62 · Software Engineer – Senior SE</t>
        </is>
      </c>
      <c r="AI37" s="130" t="inlineStr">
        <is>
          <t>JL4 Technology Analyst · C2 IT Analyst · L9 Team Lead / Consultant</t>
        </is>
      </c>
      <c r="AJ37" s="130" t="inlineStr">
        <is>
          <t>Senior Consultant / Assistant Manager</t>
        </is>
      </c>
      <c r="AK37" s="130" t="inlineStr">
        <is>
          <t>Radford / Pave</t>
        </is>
      </c>
      <c r="AL37" s="130" t="inlineStr">
        <is>
          <r>
            <rPr>
              <rFont val="Calibri"/>
              <b val="1"/>
              <sz val="10"/>
            </rPr>
            <t>Atlassian company-wide P-levels:</t>
          </r>
          <r>
            <rPr>
              <rFont val="Calibri"/>
              <sz val="10"/>
            </rPr>
            <t xml:space="preserve"> P40 · IRIS Vs Competitor Benchmark — infrastructure ladder: Senior SysAdmin</t>
          </r>
        </is>
      </c>
      <c r="AM37" s="130" t="inlineStr">
        <is>
          <t>ITIL 4; ISO/IEC 27001:2022; SFIA infrastructure</t>
        </is>
      </c>
      <c r="AN37" s="131" t="inlineStr">
        <is>
          <t>Lateral; Management Trainees graduate here</t>
        </is>
      </c>
      <c r="AO37" s="132" t="inlineStr">
        <is>
          <t>B2 · Senior Specialist</t>
        </is>
      </c>
      <c r="AP37" s="132" t="inlineStr">
        <is>
          <t>B2 · Manager</t>
        </is>
      </c>
      <c r="AQ37" s="132" t="inlineStr">
        <is>
          <t>Zero-trust security, cloud operations, AI-assisted IT operations</t>
        </is>
      </c>
    </row>
    <row r="38" ht="106" customHeight="1">
      <c r="A38" s="109" t="inlineStr">
        <is>
          <t>IT &amp; Infrastructure</t>
        </is>
      </c>
      <c r="B38" s="111" t="inlineStr">
        <is>
          <t>IT &amp; Infrastructure</t>
        </is>
      </c>
      <c r="C38" s="111" t="inlineStr">
        <is>
          <t>Infrastructure &amp; Cloud Operations</t>
        </is>
      </c>
      <c r="D38" s="111" t="inlineStr">
        <is>
          <t>IT Infrastructure Manager</t>
        </is>
      </c>
      <c r="E38" s="23" t="inlineStr">
        <is>
          <t>B1</t>
        </is>
      </c>
      <c r="F38" s="21" t="inlineStr">
        <is>
          <t>Team Lead</t>
        </is>
      </c>
      <c r="G38" s="111" t="inlineStr">
        <is>
          <t>People Manager</t>
        </is>
      </c>
      <c r="H38" s="112" t="n">
        <v>1</v>
      </c>
      <c r="I38" s="113" t="inlineStr">
        <is>
          <t>A domain / module, or a small team</t>
        </is>
      </c>
      <c r="J38" s="114" t="inlineStr">
        <is>
          <t>Domain specialist work</t>
        </is>
      </c>
      <c r="K38" s="114" t="inlineStr">
        <is>
          <t>Technical / QC / client calls for the domain</t>
        </is>
      </c>
      <c r="L38" s="114" t="inlineStr">
        <is>
          <t>A domain or a small team</t>
        </is>
      </c>
      <c r="M38" s="114" t="inlineStr">
        <is>
          <r>
            <rPr>
              <rFont val="Calibri"/>
              <b val="1"/>
              <sz val="10"/>
            </rPr>
            <t>IC:</t>
          </r>
          <r>
            <rPr>
              <rFont val="Calibri"/>
              <sz val="10"/>
            </rPr>
            <t xml:space="preserve"> mentors and reviews · People: hands-on team lead of 3–5</t>
          </r>
        </is>
      </c>
      <c r="N38" s="185" t="inlineStr">
        <is>
          <t>4–7 yrs</t>
        </is>
      </c>
      <c r="O38" s="164" t="inlineStr">
        <is>
          <r>
            <rPr>
              <rFont val="Calibri"/>
              <sz val="10"/>
            </rPr>
            <t xml:space="preserve">Graduate + relevant qualification or certification preferred
</t>
          </r>
          <r>
            <rPr>
              <rFont val="Calibri"/>
              <b val="1"/>
              <sz val="10"/>
            </rPr>
            <t>Family:</t>
          </r>
          <r>
            <rPr>
              <rFont val="Calibri"/>
              <sz val="10"/>
            </rPr>
            <t xml:space="preserve"> BE / B.Sc / diploma + certifications</t>
          </r>
        </is>
      </c>
      <c r="P38" s="164" t="inlineStr">
        <is>
          <t>Microsoft / CCNA / ISO 27001 / ITIL; AWS / Azure / Kubernetes certifications</t>
        </is>
      </c>
      <c r="Q38" s="164" t="inlineStr">
        <is>
          <t>ISO 27001 / InfoSec controls</t>
        </is>
      </c>
      <c r="R38" s="186" t="inlineStr">
        <is>
          <t>TE-B-M</t>
        </is>
      </c>
      <c r="S38" s="187" t="n">
        <v>0.42</v>
      </c>
      <c r="T38" s="187" t="n">
        <v>0.18</v>
      </c>
      <c r="U38" s="187" t="n">
        <v>0.06</v>
      </c>
      <c r="V38" s="187" t="n">
        <v>0.15</v>
      </c>
      <c r="W38" s="187" t="n">
        <v>0.1</v>
      </c>
      <c r="X38" s="187" t="n">
        <v>0.09</v>
      </c>
      <c r="Y38" s="121" t="inlineStr">
        <is>
          <t>★ Cybersecurity &amp; Infrastructure · ★ Cloud, DevOps &amp; CI/CD</t>
        </is>
      </c>
      <c r="Z38" s="122" t="inlineStr">
        <is>
          <t>Process Improvement &amp; Quality Mindset · Stakeholder &amp; Client Management · Time, Priority &amp; Self-Management · AI, GenAI &amp; Prompt Engineering</t>
        </is>
      </c>
      <c r="AA38" s="122" t="inlineStr">
        <is>
          <t>Network &amp; Systems Administration · End-User Support &amp; Service Desk · ITIL 4 · Information Security &amp; ISO 27001 Controls · Cloud &amp; Platform Operations · IT Asset &amp; Licence Management</t>
        </is>
      </c>
      <c r="AB38" s="122" t="inlineStr">
        <is>
          <t>Core 3 · Future-ready 3 · Functional 3 · Leadership 2</t>
        </is>
      </c>
      <c r="AC38" s="123" t="inlineStr">
        <is>
          <r>
            <rPr>
              <rFont val="Calibri"/>
              <b val="1"/>
              <sz val="10"/>
            </rPr>
            <t>IC:</t>
          </r>
          <r>
            <rPr>
              <rFont val="Calibri"/>
              <sz val="10"/>
            </rPr>
            <t xml:space="preserve"> none · Team Lead: 3–5</t>
          </r>
        </is>
      </c>
      <c r="AD38" s="188" t="inlineStr">
        <is>
          <t>M3</t>
        </is>
      </c>
      <c r="AE38" s="130" t="inlineStr">
        <is>
          <t>Career / · Team Lead</t>
        </is>
      </c>
      <c r="AF38" s="189" t="inlineStr">
        <is>
          <t>4 Enable</t>
        </is>
      </c>
      <c r="AG38" s="130" t="inlineStr">
        <is>
          <t>Manager</t>
        </is>
      </c>
      <c r="AH38" s="130" t="inlineStr">
        <is>
          <t>L4 · MS 62 · Software Engineer – Senior SE</t>
        </is>
      </c>
      <c r="AI38" s="130" t="inlineStr">
        <is>
          <t>JL4 Technology Analyst · C2 IT Analyst · L9 Team Lead / Consultant</t>
        </is>
      </c>
      <c r="AJ38" s="130" t="inlineStr">
        <is>
          <t>Senior Consultant / Assistant Manager</t>
        </is>
      </c>
      <c r="AK38" s="130" t="inlineStr">
        <is>
          <t>Radford / Pave</t>
        </is>
      </c>
      <c r="AL38" s="130" t="inlineStr">
        <is>
          <r>
            <rPr>
              <rFont val="Calibri"/>
              <b val="1"/>
              <sz val="10"/>
            </rPr>
            <t>Atlassian company-wide P-levels:</t>
          </r>
          <r>
            <rPr>
              <rFont val="Calibri"/>
              <sz val="10"/>
            </rPr>
            <t xml:space="preserve"> P40 · IRIS Vs Competitor Benchmark — infrastructure ladder: Senior SysAdmin</t>
          </r>
        </is>
      </c>
      <c r="AM38" s="130" t="inlineStr">
        <is>
          <t>ITIL 4; ISO/IEC 27001:2022; SFIA infrastructure</t>
        </is>
      </c>
      <c r="AN38" s="131" t="inlineStr">
        <is>
          <t>Lateral; Management Trainees graduate here</t>
        </is>
      </c>
      <c r="AO38" s="132" t="inlineStr">
        <is>
          <t>B2 · Senior Specialist</t>
        </is>
      </c>
      <c r="AP38" s="132" t="inlineStr">
        <is>
          <t>B2 · Manager</t>
        </is>
      </c>
      <c r="AQ38" s="132" t="inlineStr">
        <is>
          <t>Zero-trust security, cloud operations, AI-assisted IT operations</t>
        </is>
      </c>
    </row>
    <row r="39" ht="106" customHeight="1">
      <c r="A39" s="109" t="inlineStr">
        <is>
          <t>IT &amp; Infrastructure</t>
        </is>
      </c>
      <c r="B39" s="111" t="inlineStr">
        <is>
          <t>IT &amp; Infrastructure</t>
        </is>
      </c>
      <c r="C39" s="111" t="inlineStr">
        <is>
          <t>IT Infrastructure Leadership</t>
        </is>
      </c>
      <c r="D39" s="111" t="inlineStr">
        <is>
          <t>Senior IT Manager</t>
        </is>
      </c>
      <c r="E39" s="23" t="inlineStr">
        <is>
          <t>B2</t>
        </is>
      </c>
      <c r="F39" s="21" t="inlineStr">
        <is>
          <t>Manager</t>
        </is>
      </c>
      <c r="G39" s="111" t="inlineStr">
        <is>
          <t>People Manager</t>
        </is>
      </c>
      <c r="H39" s="112" t="n">
        <v>1</v>
      </c>
      <c r="I39" s="113" t="inlineStr">
        <is>
          <t>Deep domain expertise, or one team</t>
        </is>
      </c>
      <c r="J39" s="114" t="inlineStr">
        <is>
          <t>Hardest problems in the domain</t>
        </is>
      </c>
      <c r="K39" s="114" t="inlineStr">
        <is>
          <t>Allocates people and sets team priorities</t>
        </is>
      </c>
      <c r="L39" s="114" t="inlineStr">
        <is>
          <t>One team or a client portfolio</t>
        </is>
      </c>
      <c r="M39" s="114" t="inlineStr">
        <is>
          <r>
            <rPr>
              <rFont val="Calibri"/>
              <b val="1"/>
              <sz val="10"/>
            </rPr>
            <t>IC:</t>
          </r>
          <r>
            <rPr>
              <rFont val="Calibri"/>
              <sz val="10"/>
            </rPr>
            <t xml:space="preserve"> guides others in the domain · People: manages a team of 6+</t>
          </r>
        </is>
      </c>
      <c r="N39" s="185" t="inlineStr">
        <is>
          <t>6–9 yrs</t>
        </is>
      </c>
      <c r="O39" s="164" t="inlineStr">
        <is>
          <r>
            <rPr>
              <rFont val="Calibri"/>
              <sz val="10"/>
            </rPr>
            <t xml:space="preserve">Graduate or postgraduate; professional qualification preferred
</t>
          </r>
          <r>
            <rPr>
              <rFont val="Calibri"/>
              <b val="1"/>
              <sz val="10"/>
            </rPr>
            <t>Family:</t>
          </r>
          <r>
            <rPr>
              <rFont val="Calibri"/>
              <sz val="10"/>
            </rPr>
            <t xml:space="preserve"> BE / B.Sc / diploma + certifications</t>
          </r>
        </is>
      </c>
      <c r="P39" s="164" t="inlineStr">
        <is>
          <t>Microsoft / CCNA / ISO 27001 / ITIL; AWS / Azure / Kubernetes certifications</t>
        </is>
      </c>
      <c r="Q39" s="164" t="inlineStr">
        <is>
          <t>ISO 27001 / InfoSec controls</t>
        </is>
      </c>
      <c r="R39" s="186" t="inlineStr">
        <is>
          <t>TE-B-M</t>
        </is>
      </c>
      <c r="S39" s="187" t="n">
        <v>0.42</v>
      </c>
      <c r="T39" s="187" t="n">
        <v>0.18</v>
      </c>
      <c r="U39" s="187" t="n">
        <v>0.06</v>
      </c>
      <c r="V39" s="187" t="n">
        <v>0.15</v>
      </c>
      <c r="W39" s="187" t="n">
        <v>0.1</v>
      </c>
      <c r="X39" s="187" t="n">
        <v>0.09</v>
      </c>
      <c r="Y39" s="121" t="inlineStr">
        <is>
          <t>★ Cybersecurity &amp; Infrastructure · ★ Cloud, DevOps &amp; CI/CD</t>
        </is>
      </c>
      <c r="Z39" s="122" t="inlineStr">
        <is>
          <t>Process Improvement &amp; Quality Mindset · Stakeholder &amp; Client Management · Time, Priority &amp; Self-Management · AI, GenAI &amp; Prompt Engineering</t>
        </is>
      </c>
      <c r="AA39" s="122" t="inlineStr">
        <is>
          <t>Network &amp; Systems Administration · End-User Support &amp; Service Desk · ITIL 4 · Information Security &amp; ISO 27001 Controls · Cloud &amp; Platform Operations · IT Asset &amp; Licence Management</t>
        </is>
      </c>
      <c r="AB39" s="122" t="inlineStr">
        <is>
          <t>Core 3 · Future-ready 3 · Functional 4 · Leadership 3</t>
        </is>
      </c>
      <c r="AC39" s="123" t="inlineStr">
        <is>
          <r>
            <rPr>
              <rFont val="Calibri"/>
              <b val="1"/>
              <sz val="10"/>
            </rPr>
            <t>IC:</t>
          </r>
          <r>
            <rPr>
              <rFont val="Calibri"/>
              <sz val="10"/>
            </rPr>
            <t xml:space="preserve"> none · People: 6–8 knowledge work, 8–12 standardised delivery</t>
          </r>
        </is>
      </c>
      <c r="AD39" s="188" t="inlineStr">
        <is>
          <t>M4</t>
        </is>
      </c>
      <c r="AE39" s="130" t="inlineStr">
        <is>
          <t>Senior / Manager</t>
        </is>
      </c>
      <c r="AF39" s="189" t="inlineStr">
        <is>
          <t>4–5</t>
        </is>
      </c>
      <c r="AG39" s="130" t="inlineStr">
        <is>
          <t>Senior Manager</t>
        </is>
      </c>
      <c r="AH39" s="130" t="inlineStr">
        <is>
          <t>L5 · Senior · MS 63 · Senior SE</t>
        </is>
      </c>
      <c r="AI39" s="130" t="inlineStr">
        <is>
          <t>JL5 Technology Lead · C3A Assistant Consultant · L8 Associate Manager</t>
        </is>
      </c>
      <c r="AJ39" s="130" t="inlineStr">
        <is>
          <t>Manager</t>
        </is>
      </c>
      <c r="AK39" s="130" t="inlineStr">
        <is>
          <t>Radford / Pave</t>
        </is>
      </c>
      <c r="AL39" s="130" t="inlineStr">
        <is>
          <r>
            <rPr>
              <rFont val="Calibri"/>
              <b val="1"/>
              <sz val="10"/>
            </rPr>
            <t>Atlassian company-wide P-levels:</t>
          </r>
          <r>
            <rPr>
              <rFont val="Calibri"/>
              <sz val="10"/>
            </rPr>
            <t xml:space="preserve"> P50 Senior · IRIS Vs Competitor Benchmark — infrastructure ladder: Infrastructure Lead</t>
          </r>
        </is>
      </c>
      <c r="AM39" s="130" t="inlineStr">
        <is>
          <t>ITIL 4; ISO/IEC 27001:2022; SFIA infrastructure</t>
        </is>
      </c>
      <c r="AN39" s="131" t="inlineStr">
        <is>
          <t>Lateral</t>
        </is>
      </c>
      <c r="AO39" s="132" t="inlineStr">
        <is>
          <t>B3 · Lead Specialist</t>
        </is>
      </c>
      <c r="AP39" s="132" t="inlineStr">
        <is>
          <t>B3 · Senior Manager</t>
        </is>
      </c>
      <c r="AQ39" s="132" t="inlineStr">
        <is>
          <t>Zero-trust security, cloud operations, AI-assisted IT operations</t>
        </is>
      </c>
    </row>
    <row r="40">
      <c r="A40" s="190" t="n"/>
      <c r="B40" s="191" t="n"/>
      <c r="C40" s="191" t="n"/>
      <c r="D40" s="191" t="n"/>
      <c r="E40" s="191" t="n"/>
      <c r="F40" s="191" t="n"/>
      <c r="G40" s="191" t="n"/>
      <c r="H40" s="191" t="n"/>
      <c r="I40" s="192" t="n"/>
      <c r="J40" s="193" t="n"/>
      <c r="K40" s="193" t="n"/>
      <c r="L40" s="193" t="n"/>
      <c r="M40" s="193" t="n"/>
      <c r="N40" s="194" t="n"/>
      <c r="O40" s="195" t="n"/>
      <c r="P40" s="195" t="n"/>
      <c r="Q40" s="195" t="n"/>
      <c r="R40" s="196" t="n"/>
      <c r="S40" s="197" t="n"/>
      <c r="T40" s="197" t="n"/>
      <c r="U40" s="197" t="n"/>
      <c r="V40" s="197" t="n"/>
      <c r="W40" s="197" t="n"/>
      <c r="X40" s="197" t="n"/>
      <c r="Y40" s="198" t="n"/>
      <c r="Z40" s="199" t="n"/>
      <c r="AA40" s="199" t="n"/>
      <c r="AB40" s="199" t="n"/>
      <c r="AC40" s="200" t="n"/>
      <c r="AD40" s="201" t="n"/>
      <c r="AE40" s="202" t="n"/>
      <c r="AF40" s="202" t="n"/>
      <c r="AG40" s="202" t="n"/>
      <c r="AH40" s="202" t="n"/>
      <c r="AI40" s="202" t="n"/>
      <c r="AJ40" s="202" t="n"/>
      <c r="AK40" s="202" t="n"/>
      <c r="AL40" s="202" t="n"/>
      <c r="AM40" s="202" t="n"/>
      <c r="AN40" s="203" t="n"/>
      <c r="AO40" s="204" t="n"/>
      <c r="AP40" s="204" t="n"/>
      <c r="AQ40" s="204" t="n"/>
    </row>
    <row r="41" ht="20" customHeight="1">
      <c r="A41" s="160" t="inlineStr">
        <is>
          <t>Management — 2 people · 2 roles · General management · levels E1–E2</t>
        </is>
      </c>
    </row>
    <row r="42" ht="67" customHeight="1">
      <c r="A42" s="109" t="inlineStr">
        <is>
          <t>Management</t>
        </is>
      </c>
      <c r="B42" s="111" t="inlineStr">
        <is>
          <t>Executive Leadership</t>
        </is>
      </c>
      <c r="C42" s="111" t="inlineStr">
        <is>
          <t>Enterprise Leadership</t>
        </is>
      </c>
      <c r="D42" s="111" t="inlineStr">
        <is>
          <t>Chief Operating Officer</t>
        </is>
      </c>
      <c r="E42" s="42" t="inlineStr">
        <is>
          <t>E1</t>
        </is>
      </c>
      <c r="F42" s="145" t="inlineStr">
        <is>
          <t>CXO / President</t>
        </is>
      </c>
      <c r="G42" s="111" t="inlineStr">
        <is>
          <t>People Manager</t>
        </is>
      </c>
      <c r="H42" s="112" t="n">
        <v>1</v>
      </c>
      <c r="I42" s="113" t="inlineStr">
        <is>
          <t>An enterprise-wide function</t>
        </is>
      </c>
      <c r="J42" s="114" t="inlineStr">
        <is>
          <t>Enterprise-level functional strategy</t>
        </is>
      </c>
      <c r="K42" s="114" t="inlineStr">
        <is>
          <t>Sets enterprise priorities for the function</t>
        </is>
      </c>
      <c r="L42" s="114" t="inlineStr">
        <is>
          <t>Enterprise-wide functional results</t>
        </is>
      </c>
      <c r="M42" s="114" t="inlineStr">
        <is>
          <t>Shapes enterprise strategy</t>
        </is>
      </c>
      <c r="N42" s="185" t="inlineStr">
        <is>
          <t>20+ yrs</t>
        </is>
      </c>
      <c r="O42" s="164" t="inlineStr">
        <is>
          <r>
            <rPr>
              <rFont val="Calibri"/>
              <sz val="10"/>
            </rPr>
            <t xml:space="preserve">Postgraduate / professional qualification; business leadership record
</t>
          </r>
          <r>
            <rPr>
              <rFont val="Calibri"/>
              <b val="1"/>
              <sz val="10"/>
            </rPr>
            <t>Family:</t>
          </r>
          <r>
            <rPr>
              <rFont val="Calibri"/>
              <sz val="10"/>
            </rPr>
            <t xml:space="preserve"> Postgraduate / professional qualification</t>
          </r>
        </is>
      </c>
      <c r="P42" s="164" t="inlineStr">
        <is>
          <t>MBA / PGDM · preferred at C+</t>
        </is>
      </c>
      <c r="Q42" s="164" t="inlineStr">
        <is>
          <t>Governance, risk and regulatory accountability</t>
        </is>
      </c>
      <c r="R42" s="186" t="inlineStr">
        <is>
          <t>GM-DE</t>
        </is>
      </c>
      <c r="S42" s="187" t="n">
        <v>0.37</v>
      </c>
      <c r="T42" s="187" t="n">
        <v>0.19</v>
      </c>
      <c r="U42" s="187" t="n">
        <v>0.11</v>
      </c>
      <c r="V42" s="187" t="n">
        <v>0.2</v>
      </c>
      <c r="W42" s="187" t="n">
        <v>0.05</v>
      </c>
      <c r="X42" s="187" t="n">
        <v>0.08</v>
      </c>
      <c r="Y42" s="121" t="inlineStr">
        <is>
          <t>★ Strategic Thinking &amp; Business Acumen · ★ People Leadership &amp; Mentoring</t>
        </is>
      </c>
      <c r="Z42" s="122" t="inlineStr">
        <is>
          <t>Stakeholder &amp; Client Management · Product, Platform &amp; Domain Knowledge · Regulatory &amp; BFSI Domain · Communication &amp; Presentation</t>
        </is>
      </c>
      <c r="AA42" s="122" t="inlineStr">
        <is>
          <t>—</t>
        </is>
      </c>
      <c r="AB42" s="122" t="inlineStr">
        <is>
          <t>Core 5 · Future-ready 5 · Functional 4 · Leadership 5</t>
        </is>
      </c>
      <c r="AC42" s="123" t="inlineStr">
        <is>
          <t>5–8 function heads</t>
        </is>
      </c>
      <c r="AD42" s="188" t="inlineStr">
        <is>
          <t>E5</t>
        </is>
      </c>
      <c r="AE42" s="130" t="inlineStr">
        <is>
          <t>C-Level</t>
        </is>
      </c>
      <c r="AF42" s="189" t="inlineStr">
        <is>
          <t>7</t>
        </is>
      </c>
      <c r="AG42" s="130" t="inlineStr">
        <is>
          <t>CXO · functional chief</t>
        </is>
      </c>
      <c r="AH42" s="130" t="inlineStr">
        <is>
          <t>— · MS — · —</t>
        </is>
      </c>
      <c r="AI42" s="130" t="inlineStr">
        <is>
          <t>— · — · —</t>
        </is>
      </c>
      <c r="AJ42" s="130" t="inlineStr">
        <is>
          <t>—</t>
        </is>
      </c>
      <c r="AK42" s="130" t="inlineStr">
        <is>
          <t>Radford / Pave</t>
        </is>
      </c>
      <c r="AL42" s="130" t="inlineStr">
        <is>
          <t>IRIS Vs Market Benchmark — Aon Radford / Mercer executive codes: E5 C-level · functional · IRIS Vs Competitor Benchmark — regtech / SaaS executive titles: CTO · CFO · CRO · CCO · COO</t>
        </is>
      </c>
      <c r="AM42" s="130" t="inlineStr">
        <is>
          <t>Aon Radford executive levels E1–E6; Mercer ET1–ET3; Korn Ferry Leadership Architect</t>
        </is>
      </c>
      <c r="AN42" s="131" t="inlineStr">
        <is>
          <t>CEO / board appointment</t>
        </is>
      </c>
      <c r="AO42" s="132" t="inlineStr">
        <is>
          <t>—</t>
        </is>
      </c>
      <c r="AP42" s="132" t="inlineStr">
        <is>
          <t>E2 · Chief Executive Officer</t>
        </is>
      </c>
      <c r="AQ42" s="132" t="inlineStr">
        <is>
          <t>AI strategy &amp; governance, sustainability, digital business models</t>
        </is>
      </c>
    </row>
    <row r="43" ht="67" customHeight="1">
      <c r="A43" s="109" t="inlineStr">
        <is>
          <t>Management</t>
        </is>
      </c>
      <c r="B43" s="111" t="inlineStr">
        <is>
          <t>Executive Leadership</t>
        </is>
      </c>
      <c r="C43" s="111" t="inlineStr">
        <is>
          <t>Enterprise Leadership</t>
        </is>
      </c>
      <c r="D43" s="111" t="inlineStr">
        <is>
          <t>Chief Executive Officer</t>
        </is>
      </c>
      <c r="E43" s="42" t="inlineStr">
        <is>
          <t>E2</t>
        </is>
      </c>
      <c r="F43" s="145" t="inlineStr">
        <is>
          <t>Chief Executive Officer</t>
        </is>
      </c>
      <c r="G43" s="111" t="inlineStr">
        <is>
          <t>People Manager</t>
        </is>
      </c>
      <c r="H43" s="112" t="n">
        <v>1</v>
      </c>
      <c r="I43" s="113" t="inlineStr">
        <is>
          <t>The enterprise</t>
        </is>
      </c>
      <c r="J43" s="114" t="inlineStr">
        <is>
          <t>Enterprise-wide uncertainty, transformation and external forces</t>
        </is>
      </c>
      <c r="K43" s="114" t="inlineStr">
        <is>
          <t>Accountable to the board</t>
        </is>
      </c>
      <c r="L43" s="114" t="inlineStr">
        <is>
          <t>Enterprise results, risk, culture and long-term viability</t>
        </is>
      </c>
      <c r="M43" s="114" t="inlineStr">
        <is>
          <t>Sets enterprise strategy; leads the executive team</t>
        </is>
      </c>
      <c r="N43" s="185" t="inlineStr">
        <is>
          <t>20+ yrs</t>
        </is>
      </c>
      <c r="O43" s="164" t="inlineStr">
        <is>
          <r>
            <rPr>
              <rFont val="Calibri"/>
              <sz val="10"/>
            </rPr>
            <t xml:space="preserve">Postgraduate / professional qualification; proven business leadership
</t>
          </r>
          <r>
            <rPr>
              <rFont val="Calibri"/>
              <b val="1"/>
              <sz val="10"/>
            </rPr>
            <t>Family:</t>
          </r>
          <r>
            <rPr>
              <rFont val="Calibri"/>
              <sz val="10"/>
            </rPr>
            <t xml:space="preserve"> Postgraduate / professional qualification</t>
          </r>
        </is>
      </c>
      <c r="P43" s="164" t="inlineStr">
        <is>
          <t>MBA / PGDM · preferred at C+</t>
        </is>
      </c>
      <c r="Q43" s="164" t="inlineStr">
        <is>
          <t>Governance, risk and regulatory accountability</t>
        </is>
      </c>
      <c r="R43" s="186" t="inlineStr">
        <is>
          <t>GM-DE</t>
        </is>
      </c>
      <c r="S43" s="187" t="n">
        <v>0.37</v>
      </c>
      <c r="T43" s="187" t="n">
        <v>0.19</v>
      </c>
      <c r="U43" s="187" t="n">
        <v>0.11</v>
      </c>
      <c r="V43" s="187" t="n">
        <v>0.2</v>
      </c>
      <c r="W43" s="187" t="n">
        <v>0.05</v>
      </c>
      <c r="X43" s="187" t="n">
        <v>0.08</v>
      </c>
      <c r="Y43" s="121" t="inlineStr">
        <is>
          <t>★ Strategic Thinking &amp; Business Acumen · ★ People Leadership &amp; Mentoring</t>
        </is>
      </c>
      <c r="Z43" s="122" t="inlineStr">
        <is>
          <t>Stakeholder &amp; Client Management · Product, Platform &amp; Domain Knowledge · Regulatory &amp; BFSI Domain · Communication &amp; Presentation</t>
        </is>
      </c>
      <c r="AA43" s="122" t="inlineStr">
        <is>
          <t>—</t>
        </is>
      </c>
      <c r="AB43" s="122" t="inlineStr">
        <is>
          <t>Core 5 · Future-ready 5 · Functional 4 · Leadership 5</t>
        </is>
      </c>
      <c r="AC43" s="123" t="inlineStr">
        <is>
          <t>Executive team</t>
        </is>
      </c>
      <c r="AD43" s="188" t="inlineStr">
        <is>
          <t>E6</t>
        </is>
      </c>
      <c r="AE43" s="130" t="inlineStr">
        <is>
          <t>C-Level · CEO</t>
        </is>
      </c>
      <c r="AF43" s="189" t="inlineStr">
        <is>
          <t>7</t>
        </is>
      </c>
      <c r="AG43" s="130" t="inlineStr">
        <is>
          <t>Chief Executive Officer</t>
        </is>
      </c>
      <c r="AH43" s="130" t="inlineStr">
        <is>
          <t>— · MS — · —</t>
        </is>
      </c>
      <c r="AI43" s="130" t="inlineStr">
        <is>
          <t>— · — · —</t>
        </is>
      </c>
      <c r="AJ43" s="130" t="inlineStr">
        <is>
          <t>—</t>
        </is>
      </c>
      <c r="AK43" s="130" t="inlineStr">
        <is>
          <t>Radford / Pave</t>
        </is>
      </c>
      <c r="AL43" s="130" t="inlineStr">
        <is>
          <t>IRIS Vs Market Benchmark — Aon Radford / Mercer executive codes: E6 CEO · IRIS Vs Competitor Benchmark — regtech / SaaS executive titles: CEO</t>
        </is>
      </c>
      <c r="AM43" s="130" t="inlineStr">
        <is>
          <t>Aon Radford executive levels E1–E6; Mercer ET1–ET3; Korn Ferry Leadership Architect</t>
        </is>
      </c>
      <c r="AN43" s="131" t="inlineStr">
        <is>
          <t>Board appointment</t>
        </is>
      </c>
      <c r="AO43" s="132" t="inlineStr">
        <is>
          <t>—</t>
        </is>
      </c>
      <c r="AP43" s="132" t="inlineStr">
        <is>
          <t>—</t>
        </is>
      </c>
      <c r="AQ43" s="132" t="inlineStr">
        <is>
          <t>AI strategy &amp; governance, sustainability, digital business models</t>
        </is>
      </c>
    </row>
    <row r="44">
      <c r="A44" s="190" t="n"/>
      <c r="B44" s="191" t="n"/>
      <c r="C44" s="191" t="n"/>
      <c r="D44" s="191" t="n"/>
      <c r="E44" s="191" t="n"/>
      <c r="F44" s="191" t="n"/>
      <c r="G44" s="191" t="n"/>
      <c r="H44" s="191" t="n"/>
      <c r="I44" s="192" t="n"/>
      <c r="J44" s="193" t="n"/>
      <c r="K44" s="193" t="n"/>
      <c r="L44" s="193" t="n"/>
      <c r="M44" s="193" t="n"/>
      <c r="N44" s="194" t="n"/>
      <c r="O44" s="195" t="n"/>
      <c r="P44" s="195" t="n"/>
      <c r="Q44" s="195" t="n"/>
      <c r="R44" s="196" t="n"/>
      <c r="S44" s="197" t="n"/>
      <c r="T44" s="197" t="n"/>
      <c r="U44" s="197" t="n"/>
      <c r="V44" s="197" t="n"/>
      <c r="W44" s="197" t="n"/>
      <c r="X44" s="197" t="n"/>
      <c r="Y44" s="198" t="n"/>
      <c r="Z44" s="199" t="n"/>
      <c r="AA44" s="199" t="n"/>
      <c r="AB44" s="199" t="n"/>
      <c r="AC44" s="200" t="n"/>
      <c r="AD44" s="201" t="n"/>
      <c r="AE44" s="202" t="n"/>
      <c r="AF44" s="202" t="n"/>
      <c r="AG44" s="202" t="n"/>
      <c r="AH44" s="202" t="n"/>
      <c r="AI44" s="202" t="n"/>
      <c r="AJ44" s="202" t="n"/>
      <c r="AK44" s="202" t="n"/>
      <c r="AL44" s="202" t="n"/>
      <c r="AM44" s="202" t="n"/>
      <c r="AN44" s="203" t="n"/>
      <c r="AO44" s="204" t="n"/>
      <c r="AP44" s="204" t="n"/>
      <c r="AQ44" s="204" t="n"/>
    </row>
    <row r="45" ht="20" customHeight="1">
      <c r="A45" s="160" t="inlineStr">
        <is>
          <t>Marketing — 3 people · 3 roles · Sales &amp; marketing · levels A3–B2</t>
        </is>
      </c>
    </row>
    <row r="46" ht="67" customHeight="1">
      <c r="A46" s="109" t="inlineStr">
        <is>
          <t>Marketing</t>
        </is>
      </c>
      <c r="B46" s="111" t="inlineStr">
        <is>
          <t>Design &amp; Creative</t>
        </is>
      </c>
      <c r="C46" s="111" t="inlineStr">
        <is>
          <t>Brand, Graphic &amp; Video Design</t>
        </is>
      </c>
      <c r="D46" s="111" t="inlineStr">
        <is>
          <t>Senior Designer</t>
        </is>
      </c>
      <c r="E46" s="26" t="inlineStr">
        <is>
          <t>A3</t>
        </is>
      </c>
      <c r="F46" s="139" t="inlineStr">
        <is>
          <t>Senior Associate</t>
        </is>
      </c>
      <c r="G46" s="111" t="inlineStr">
        <is>
          <t>IC</t>
        </is>
      </c>
      <c r="H46" s="112" t="n">
        <v>1</v>
      </c>
      <c r="I46" s="113" t="inlineStr">
        <is>
          <t>Varied work; reviews juniors; go-to for a process</t>
        </is>
      </c>
      <c r="J46" s="114" t="inlineStr">
        <is>
          <t>Varied and non-standard work; handles exceptions</t>
        </is>
      </c>
      <c r="K46" s="114" t="inlineStr">
        <is>
          <t>Technical / QC / client calls on own work</t>
        </is>
      </c>
      <c r="L46" s="114" t="inlineStr">
        <is>
          <t>A module / process, or work with client or regulatory consequences</t>
        </is>
      </c>
      <c r="M46" s="114" t="inlineStr">
        <is>
          <t>Not scored in Band A</t>
        </is>
      </c>
      <c r="N46" s="185" t="inlineStr">
        <is>
          <t>2–4 yrs</t>
        </is>
      </c>
      <c r="O46" s="164" t="inlineStr">
        <is>
          <r>
            <rPr>
              <rFont val="Calibri"/>
              <sz val="10"/>
            </rPr>
            <t xml:space="preserve">Graduate; relevant certification preferred
</t>
          </r>
          <r>
            <rPr>
              <rFont val="Calibri"/>
              <b val="1"/>
              <sz val="10"/>
            </rPr>
            <t>Family:</t>
          </r>
          <r>
            <rPr>
              <rFont val="Calibri"/>
              <sz val="10"/>
            </rPr>
            <t xml:space="preserve"> Graduate in design / communication</t>
          </r>
        </is>
      </c>
      <c r="P46" s="164" t="inlineStr">
        <is>
          <t>Internal product certification</t>
        </is>
      </c>
      <c r="Q46" s="164" t="inlineStr">
        <is>
          <t>Brand and accessibility standards · WCAG</t>
        </is>
      </c>
      <c r="R46" s="186" t="inlineStr">
        <is>
          <t>SM-A</t>
        </is>
      </c>
      <c r="S46" s="187" t="n">
        <v>0.54</v>
      </c>
      <c r="T46" s="187" t="n">
        <v>0.21</v>
      </c>
      <c r="U46" s="187" t="n">
        <v>0.04</v>
      </c>
      <c r="V46" s="187" t="n">
        <v>0</v>
      </c>
      <c r="W46" s="187" t="n">
        <v>0.1</v>
      </c>
      <c r="X46" s="187" t="n">
        <v>0.11</v>
      </c>
      <c r="Y46" s="121" t="inlineStr">
        <is>
          <t>★ Product, Platform &amp; Domain Knowledge · ★ Communication &amp; Presentation</t>
        </is>
      </c>
      <c r="Z46" s="122" t="inlineStr">
        <is>
          <t>Marketing Tech &amp; Digital Marketing · Process Improvement &amp; Quality Mindset · AI, GenAI &amp; Prompt Engineering · Stakeholder &amp; Client Management</t>
        </is>
      </c>
      <c r="AA46" s="122" t="inlineStr">
        <is>
          <t>—</t>
        </is>
      </c>
      <c r="AB46" s="122" t="inlineStr">
        <is>
          <t>Core 2 · Future-ready 2 · Functional 3 · Leadership —</t>
        </is>
      </c>
      <c r="AC46" s="123" t="inlineStr">
        <is>
          <t>None · guides 1–3 juniors informally</t>
        </is>
      </c>
      <c r="AD46" s="188" t="inlineStr">
        <is>
          <t>P2</t>
        </is>
      </c>
      <c r="AE46" s="130" t="inlineStr">
        <is>
          <t>Developing</t>
        </is>
      </c>
      <c r="AF46" s="189" t="inlineStr">
        <is>
          <t>3 Apply</t>
        </is>
      </c>
      <c r="AG46" s="130" t="inlineStr">
        <is>
          <t>Designer</t>
        </is>
      </c>
      <c r="AH46" s="130" t="inlineStr">
        <is>
          <t>L3–L4 · MS 61–62 · —</t>
        </is>
      </c>
      <c r="AI46" s="130" t="inlineStr">
        <is>
          <t>JL3A · C1 · L11–L10 · Senior Analyst</t>
        </is>
      </c>
      <c r="AJ46" s="130" t="inlineStr">
        <is>
          <t>Consultant · DataTracks Senior Associate · 2–5 yrs</t>
        </is>
      </c>
      <c r="AK46" s="130" t="inlineStr">
        <is>
          <t>Radford / Pave</t>
        </is>
      </c>
      <c r="AL46" s="130" t="inlineStr">
        <is>
          <t>IRIS Vs Competitor Benchmark — UX / design ladder: Designer</t>
        </is>
      </c>
      <c r="AM46" s="130" t="inlineStr">
        <is>
          <t>UX career ladder Junior → Designer → Senior → Lead → Principal; WCAG accessibility</t>
        </is>
      </c>
      <c r="AN46" s="131" t="inlineStr">
        <is>
          <t>Lateral or campus · CT2 at 12 months; CT3 in programme</t>
        </is>
      </c>
      <c r="AO46" s="132" t="inlineStr">
        <is>
          <t>B1 · Specialist</t>
        </is>
      </c>
      <c r="AP46" s="132" t="inlineStr">
        <is>
          <t>B1 · Team Lead</t>
        </is>
      </c>
      <c r="AQ46" s="132" t="inlineStr">
        <is>
          <t>AI-assisted design, design systems</t>
        </is>
      </c>
    </row>
    <row r="47" ht="80" customHeight="1">
      <c r="A47" s="109" t="inlineStr">
        <is>
          <t>Marketing</t>
        </is>
      </c>
      <c r="B47" s="111" t="inlineStr">
        <is>
          <t>Marketing &amp; Communications</t>
        </is>
      </c>
      <c r="C47" s="111" t="inlineStr">
        <is>
          <t>Marketing Operations &amp; Automation</t>
        </is>
      </c>
      <c r="D47" s="111" t="inlineStr">
        <is>
          <t>Senior Marketing Operations Associate</t>
        </is>
      </c>
      <c r="E47" s="26" t="inlineStr">
        <is>
          <t>A3</t>
        </is>
      </c>
      <c r="F47" s="139" t="inlineStr">
        <is>
          <t>Senior Associate</t>
        </is>
      </c>
      <c r="G47" s="111" t="inlineStr">
        <is>
          <t>IC</t>
        </is>
      </c>
      <c r="H47" s="112" t="n">
        <v>1</v>
      </c>
      <c r="I47" s="113" t="inlineStr">
        <is>
          <t>Varied work; reviews juniors; go-to for a process</t>
        </is>
      </c>
      <c r="J47" s="114" t="inlineStr">
        <is>
          <t>Varied and non-standard work; handles exceptions</t>
        </is>
      </c>
      <c r="K47" s="114" t="inlineStr">
        <is>
          <t>Technical / QC / client calls on own work</t>
        </is>
      </c>
      <c r="L47" s="114" t="inlineStr">
        <is>
          <t>A module / process, or work with client or regulatory consequences</t>
        </is>
      </c>
      <c r="M47" s="114" t="inlineStr">
        <is>
          <t>Not scored in Band A</t>
        </is>
      </c>
      <c r="N47" s="185" t="inlineStr">
        <is>
          <t>2–4 yrs</t>
        </is>
      </c>
      <c r="O47" s="164" t="inlineStr">
        <is>
          <r>
            <rPr>
              <rFont val="Calibri"/>
              <sz val="10"/>
            </rPr>
            <t xml:space="preserve">Graduate; relevant certification preferred
</t>
          </r>
          <r>
            <rPr>
              <rFont val="Calibri"/>
              <b val="1"/>
              <sz val="10"/>
            </rPr>
            <t>Family:</t>
          </r>
          <r>
            <rPr>
              <rFont val="Calibri"/>
              <sz val="10"/>
            </rPr>
            <t xml:space="preserve"> Graduate / MBA · marketing</t>
          </r>
        </is>
      </c>
      <c r="P47" s="164" t="inlineStr">
        <is>
          <t>Google / HubSpot certifications</t>
        </is>
      </c>
      <c r="Q47" s="164" t="inlineStr">
        <is>
          <t>Brand and data-privacy rules for campaigns</t>
        </is>
      </c>
      <c r="R47" s="186" t="inlineStr">
        <is>
          <t>SM-A</t>
        </is>
      </c>
      <c r="S47" s="187" t="n">
        <v>0.54</v>
      </c>
      <c r="T47" s="187" t="n">
        <v>0.21</v>
      </c>
      <c r="U47" s="187" t="n">
        <v>0.04</v>
      </c>
      <c r="V47" s="187" t="n">
        <v>0</v>
      </c>
      <c r="W47" s="187" t="n">
        <v>0.1</v>
      </c>
      <c r="X47" s="187" t="n">
        <v>0.11</v>
      </c>
      <c r="Y47" s="121" t="inlineStr">
        <is>
          <t>★ Marketing Tech &amp; Digital Marketing · ★ Communication &amp; Presentation</t>
        </is>
      </c>
      <c r="Z47" s="122" t="inlineStr">
        <is>
          <t>Data Analytics, BI &amp; Visualisation · AI, GenAI &amp; Prompt Engineering · Product, Platform &amp; Domain Knowledge · Strategic Thinking &amp; Business Acumen</t>
        </is>
      </c>
      <c r="AA47" s="122" t="inlineStr">
        <is>
          <t>—</t>
        </is>
      </c>
      <c r="AB47" s="122" t="inlineStr">
        <is>
          <t>Core 2 · Future-ready 2 · Functional 3 · Leadership —</t>
        </is>
      </c>
      <c r="AC47" s="123" t="inlineStr">
        <is>
          <t>None · guides 1–3 juniors informally</t>
        </is>
      </c>
      <c r="AD47" s="188" t="inlineStr">
        <is>
          <t>P2</t>
        </is>
      </c>
      <c r="AE47" s="130" t="inlineStr">
        <is>
          <t>Developing</t>
        </is>
      </c>
      <c r="AF47" s="189" t="inlineStr">
        <is>
          <t>3 Apply</t>
        </is>
      </c>
      <c r="AG47" s="130" t="inlineStr">
        <is>
          <t>Marketing Executive</t>
        </is>
      </c>
      <c r="AH47" s="130" t="inlineStr">
        <is>
          <t>L3–L4 · MS 61–62 · —</t>
        </is>
      </c>
      <c r="AI47" s="130" t="inlineStr">
        <is>
          <t>JL3A · C1 · L11–L10 · Senior Analyst</t>
        </is>
      </c>
      <c r="AJ47" s="130" t="inlineStr">
        <is>
          <t>Consultant · DataTracks Senior Associate · 2–5 yrs</t>
        </is>
      </c>
      <c r="AK47" s="130" t="inlineStr">
        <is>
          <t>Radford / Pave</t>
        </is>
      </c>
      <c r="AL47" s="130" t="inlineStr">
        <is>
          <t>IRIS Vs Market Benchmark — CIM proficiency scale: 2–3 · IRIS Vs Competitor Benchmark — SaaS marketing ladder: Marketing Specialist</t>
        </is>
      </c>
      <c r="AM47" s="130" t="inlineStr">
        <is>
          <t>CIM Global Professional Marketing Framework — proficiency Aware → Active learner → Able → Accomplished → Authoritative</t>
        </is>
      </c>
      <c r="AN47" s="131" t="inlineStr">
        <is>
          <t>Lateral or campus · CT2 at 12 months; CT3 in programme</t>
        </is>
      </c>
      <c r="AO47" s="132" t="inlineStr">
        <is>
          <t>B1 · Specialist</t>
        </is>
      </c>
      <c r="AP47" s="132" t="inlineStr">
        <is>
          <t>B1 · Team Lead</t>
        </is>
      </c>
      <c r="AQ47" s="132" t="inlineStr">
        <is>
          <t>AI content &amp; marketing automation, marketing analytics</t>
        </is>
      </c>
    </row>
    <row r="48" ht="80" customHeight="1">
      <c r="A48" s="109" t="inlineStr">
        <is>
          <t>Marketing</t>
        </is>
      </c>
      <c r="B48" s="111" t="inlineStr">
        <is>
          <t>Marketing &amp; Communications</t>
        </is>
      </c>
      <c r="C48" s="111" t="inlineStr">
        <is>
          <t>Content Marketing</t>
        </is>
      </c>
      <c r="D48" s="111" t="inlineStr">
        <is>
          <t>Senior Content Marketing Specialist</t>
        </is>
      </c>
      <c r="E48" s="23" t="inlineStr">
        <is>
          <t>B2</t>
        </is>
      </c>
      <c r="F48" s="21" t="inlineStr">
        <is>
          <t>Senior Specialist</t>
        </is>
      </c>
      <c r="G48" s="111" t="inlineStr">
        <is>
          <t>IC</t>
        </is>
      </c>
      <c r="H48" s="112" t="n">
        <v>1</v>
      </c>
      <c r="I48" s="113" t="inlineStr">
        <is>
          <t>Deep domain expertise, or one team</t>
        </is>
      </c>
      <c r="J48" s="114" t="inlineStr">
        <is>
          <t>Hardest problems in the domain</t>
        </is>
      </c>
      <c r="K48" s="114" t="inlineStr">
        <is>
          <t>Allocates people and sets team priorities</t>
        </is>
      </c>
      <c r="L48" s="114" t="inlineStr">
        <is>
          <t>One team or a client portfolio</t>
        </is>
      </c>
      <c r="M48" s="114" t="inlineStr">
        <is>
          <r>
            <rPr>
              <rFont val="Calibri"/>
              <b val="1"/>
              <sz val="10"/>
            </rPr>
            <t>IC:</t>
          </r>
          <r>
            <rPr>
              <rFont val="Calibri"/>
              <sz val="10"/>
            </rPr>
            <t xml:space="preserve"> guides others in the domain · People: manages a team of 6+</t>
          </r>
        </is>
      </c>
      <c r="N48" s="185" t="inlineStr">
        <is>
          <t>6–9 yrs</t>
        </is>
      </c>
      <c r="O48" s="164" t="inlineStr">
        <is>
          <r>
            <rPr>
              <rFont val="Calibri"/>
              <sz val="10"/>
            </rPr>
            <t xml:space="preserve">Graduate or postgraduate; professional qualification preferred
</t>
          </r>
          <r>
            <rPr>
              <rFont val="Calibri"/>
              <b val="1"/>
              <sz val="10"/>
            </rPr>
            <t>Family:</t>
          </r>
          <r>
            <rPr>
              <rFont val="Calibri"/>
              <sz val="10"/>
            </rPr>
            <t xml:space="preserve"> Graduate / MBA · marketing</t>
          </r>
        </is>
      </c>
      <c r="P48" s="164" t="inlineStr">
        <is>
          <t>Google / HubSpot certifications</t>
        </is>
      </c>
      <c r="Q48" s="164" t="inlineStr">
        <is>
          <t>Brand and data-privacy rules for campaigns</t>
        </is>
      </c>
      <c r="R48" s="186" t="inlineStr">
        <is>
          <t>SM-B-IC</t>
        </is>
      </c>
      <c r="S48" s="187" t="n">
        <v>0.46</v>
      </c>
      <c r="T48" s="187" t="n">
        <v>0.22</v>
      </c>
      <c r="U48" s="187" t="n">
        <v>0.05</v>
      </c>
      <c r="V48" s="187" t="n">
        <v>0.05</v>
      </c>
      <c r="W48" s="187" t="n">
        <v>0.1</v>
      </c>
      <c r="X48" s="187" t="n">
        <v>0.12</v>
      </c>
      <c r="Y48" s="121" t="inlineStr">
        <is>
          <t>★ Marketing Tech &amp; Digital Marketing · ★ Communication &amp; Presentation</t>
        </is>
      </c>
      <c r="Z48" s="122" t="inlineStr">
        <is>
          <t>Data Analytics, BI &amp; Visualisation · AI, GenAI &amp; Prompt Engineering · Product, Platform &amp; Domain Knowledge · Strategic Thinking &amp; Business Acumen</t>
        </is>
      </c>
      <c r="AA48" s="122" t="inlineStr">
        <is>
          <t>—</t>
        </is>
      </c>
      <c r="AB48" s="122" t="inlineStr">
        <is>
          <t>Core 3 · Future-ready 3 · Functional 4 · Leadership 2</t>
        </is>
      </c>
      <c r="AC48" s="123" t="inlineStr">
        <is>
          <r>
            <rPr>
              <rFont val="Calibri"/>
              <b val="1"/>
              <sz val="10"/>
            </rPr>
            <t>IC:</t>
          </r>
          <r>
            <rPr>
              <rFont val="Calibri"/>
              <sz val="10"/>
            </rPr>
            <t xml:space="preserve"> none · People: 6–8 knowledge work, 8–12 standardised delivery</t>
          </r>
        </is>
      </c>
      <c r="AD48" s="188" t="inlineStr">
        <is>
          <t>P4</t>
        </is>
      </c>
      <c r="AE48" s="130" t="inlineStr">
        <is>
          <t>Senior / Manager</t>
        </is>
      </c>
      <c r="AF48" s="189" t="inlineStr">
        <is>
          <t>4–5</t>
        </is>
      </c>
      <c r="AG48" s="130" t="inlineStr">
        <is>
          <t>Senior Marketing Specialist</t>
        </is>
      </c>
      <c r="AH48" s="130" t="inlineStr">
        <is>
          <t>L5 · MS 63 · —</t>
        </is>
      </c>
      <c r="AI48" s="130" t="inlineStr">
        <is>
          <t>JL5 · C3A · L8 Associate Manager</t>
        </is>
      </c>
      <c r="AJ48" s="130" t="inlineStr">
        <is>
          <t>Manager</t>
        </is>
      </c>
      <c r="AK48" s="130" t="inlineStr">
        <is>
          <t>Radford / Pave</t>
        </is>
      </c>
      <c r="AL48" s="130" t="inlineStr">
        <is>
          <t>IRIS Vs Market Benchmark — CIM proficiency scale: 3–4 · IRIS Vs Competitor Benchmark — SaaS marketing ladder: Marketing Manager</t>
        </is>
      </c>
      <c r="AM48" s="130" t="inlineStr">
        <is>
          <t>CIM Global Professional Marketing Framework — proficiency Aware → Active learner → Able → Accomplished → Authoritative</t>
        </is>
      </c>
      <c r="AN48" s="131" t="inlineStr">
        <is>
          <t>Lateral</t>
        </is>
      </c>
      <c r="AO48" s="132" t="inlineStr">
        <is>
          <t>B3 · Lead Specialist</t>
        </is>
      </c>
      <c r="AP48" s="132" t="inlineStr">
        <is>
          <t>B3 · Senior Manager</t>
        </is>
      </c>
      <c r="AQ48" s="132" t="inlineStr">
        <is>
          <t>AI content &amp; marketing automation, marketing analytics</t>
        </is>
      </c>
    </row>
    <row r="49">
      <c r="A49" s="190" t="n"/>
      <c r="B49" s="191" t="n"/>
      <c r="C49" s="191" t="n"/>
      <c r="D49" s="191" t="n"/>
      <c r="E49" s="191" t="n"/>
      <c r="F49" s="191" t="n"/>
      <c r="G49" s="191" t="n"/>
      <c r="H49" s="191" t="n"/>
      <c r="I49" s="192" t="n"/>
      <c r="J49" s="193" t="n"/>
      <c r="K49" s="193" t="n"/>
      <c r="L49" s="193" t="n"/>
      <c r="M49" s="193" t="n"/>
      <c r="N49" s="194" t="n"/>
      <c r="O49" s="195" t="n"/>
      <c r="P49" s="195" t="n"/>
      <c r="Q49" s="195" t="n"/>
      <c r="R49" s="196" t="n"/>
      <c r="S49" s="197" t="n"/>
      <c r="T49" s="197" t="n"/>
      <c r="U49" s="197" t="n"/>
      <c r="V49" s="197" t="n"/>
      <c r="W49" s="197" t="n"/>
      <c r="X49" s="197" t="n"/>
      <c r="Y49" s="198" t="n"/>
      <c r="Z49" s="199" t="n"/>
      <c r="AA49" s="199" t="n"/>
      <c r="AB49" s="199" t="n"/>
      <c r="AC49" s="200" t="n"/>
      <c r="AD49" s="201" t="n"/>
      <c r="AE49" s="202" t="n"/>
      <c r="AF49" s="202" t="n"/>
      <c r="AG49" s="202" t="n"/>
      <c r="AH49" s="202" t="n"/>
      <c r="AI49" s="202" t="n"/>
      <c r="AJ49" s="202" t="n"/>
      <c r="AK49" s="202" t="n"/>
      <c r="AL49" s="202" t="n"/>
      <c r="AM49" s="202" t="n"/>
      <c r="AN49" s="203" t="n"/>
      <c r="AO49" s="204" t="n"/>
      <c r="AP49" s="204" t="n"/>
      <c r="AQ49" s="204" t="n"/>
    </row>
    <row r="50" ht="20" customHeight="1">
      <c r="A50" s="160" t="inlineStr">
        <is>
          <t>Secretarial &amp; Legal — 3 people · 3 roles · Corporate functions · levels A1–C1</t>
        </is>
      </c>
    </row>
    <row r="51" ht="93" customHeight="1">
      <c r="A51" s="109" t="inlineStr">
        <is>
          <t>Secretarial &amp; Legal</t>
        </is>
      </c>
      <c r="B51" s="111" t="inlineStr">
        <is>
          <t>Administration, Legal &amp; Secretarial</t>
        </is>
      </c>
      <c r="C51" s="111" t="inlineStr">
        <is>
          <t>Company Secretarial &amp; Legal</t>
        </is>
      </c>
      <c r="D51" s="111" t="inlineStr">
        <is>
          <t>Intern – Company Secretarial &amp; Legal</t>
        </is>
      </c>
      <c r="E51" s="26" t="inlineStr">
        <is>
          <t>A1</t>
        </is>
      </c>
      <c r="F51" s="139" t="inlineStr">
        <is>
          <t>Intern / Trainee</t>
        </is>
      </c>
      <c r="G51" s="111" t="inlineStr">
        <is>
          <t>IC</t>
        </is>
      </c>
      <c r="H51" s="112" t="n">
        <v>1</v>
      </c>
      <c r="I51" s="113" t="inlineStr">
        <is>
          <t>Learning the role; all work reviewed</t>
        </is>
      </c>
      <c r="J51" s="114" t="inlineStr">
        <is>
          <t>Learning; follows worked examples</t>
        </is>
      </c>
      <c r="K51" s="114" t="inlineStr">
        <is>
          <t>Needs approval / close guidance</t>
        </is>
      </c>
      <c r="L51" s="114" t="inlineStr">
        <is>
          <t>Learning tasks</t>
        </is>
      </c>
      <c r="M51" s="114" t="inlineStr">
        <is>
          <t>Not scored in Band A</t>
        </is>
      </c>
      <c r="N51" s="185" t="inlineStr">
        <is>
          <t>0 yrs · fresher / intern</t>
        </is>
      </c>
      <c r="O51" s="164" t="inlineStr">
        <is>
          <r>
            <rPr>
              <rFont val="Calibri"/>
              <sz val="10"/>
            </rPr>
            <t xml:space="preserve">Pursuing or completed graduation / diploma
</t>
          </r>
          <r>
            <rPr>
              <rFont val="Calibri"/>
              <b val="1"/>
              <sz val="10"/>
            </rPr>
            <t>Family:</t>
          </r>
          <r>
            <rPr>
              <rFont val="Calibri"/>
              <sz val="10"/>
            </rPr>
            <t xml:space="preserve"> Graduate; ICSI · CS / LLB for secretarial &amp; legal</t>
          </r>
        </is>
      </c>
      <c r="P51" s="164" t="inlineStr">
        <is>
          <t>Domain certifications · optional</t>
        </is>
      </c>
      <c r="Q51" s="164" t="inlineStr">
        <is>
          <t>Companies Act / statutory filings; vendor contracts</t>
        </is>
      </c>
      <c r="R51" s="186" t="inlineStr">
        <is>
          <t>—</t>
        </is>
      </c>
      <c r="S51" s="165" t="n"/>
      <c r="T51" s="165" t="n"/>
      <c r="U51" s="165" t="n"/>
      <c r="V51" s="165" t="n"/>
      <c r="W51" s="165" t="n"/>
      <c r="X51" s="165" t="n"/>
      <c r="Y51" s="121" t="inlineStr">
        <is>
          <t>★ Regulatory &amp; BFSI Domain · ★ Stakeholder &amp; Client Management</t>
        </is>
      </c>
      <c r="Z51" s="122" t="inlineStr">
        <is>
          <t>Process Improvement &amp; Quality Mindset · Advanced Excel &amp; Productivity Tools · Communication &amp; Presentation · Time, Priority &amp; Self-Management</t>
        </is>
      </c>
      <c r="AA51" s="122" t="inlineStr">
        <is>
          <t>Corporate Law &amp; Secretarial Compliance · Contract Drafting, Review &amp; Negotiation · Board &amp; Governance Support · Regulatory &amp; Data-Privacy Compliance · DPDP Act</t>
        </is>
      </c>
      <c r="AB51" s="122" t="inlineStr">
        <is>
          <t>Core 1 · Future-ready 1 · Functional 1 · Leadership —</t>
        </is>
      </c>
      <c r="AC51" s="123" t="inlineStr">
        <is>
          <t>No direct reports</t>
        </is>
      </c>
      <c r="AD51" s="188" t="inlineStr">
        <is>
          <t>Entry / P1</t>
        </is>
      </c>
      <c r="AE51" s="130" t="inlineStr">
        <is>
          <t>Entry</t>
        </is>
      </c>
      <c r="AF51" s="189" t="inlineStr">
        <is>
          <t>1 Follow</t>
        </is>
      </c>
      <c r="AG51" s="130" t="inlineStr">
        <is>
          <t>Admin Assistant</t>
        </is>
      </c>
      <c r="AH51" s="130" t="inlineStr">
        <is>
          <t>Intern · MS Intern · —</t>
        </is>
      </c>
      <c r="AI51" s="130" t="inlineStr">
        <is>
          <t>Trainee · C1Y · L12 Associate</t>
        </is>
      </c>
      <c r="AJ51" s="130" t="inlineStr">
        <is>
          <t>Intern / Trainee</t>
        </is>
      </c>
      <c r="AK51" s="130" t="inlineStr">
        <is>
          <t>Mercer</t>
        </is>
      </c>
      <c r="AL51" s="130" t="inlineStr">
        <is>
          <t>IRIS Vs Competitor Benchmark — corporate services ladder: Trainee</t>
        </is>
      </c>
      <c r="AM51" s="130" t="inlineStr">
        <is>
          <t>ICSI · Company Secretary; Companies Act 2013; IFMA · facilities; CIPS · procurement</t>
        </is>
      </c>
      <c r="AN51" s="131" t="inlineStr">
        <is>
          <t>Campus / intern programme only</t>
        </is>
      </c>
      <c r="AO51" s="132" t="inlineStr">
        <is>
          <t>A2 · Associate</t>
        </is>
      </c>
      <c r="AP51" s="132" t="inlineStr">
        <is>
          <t>A2 · common path</t>
        </is>
      </c>
      <c r="AQ51" s="132" t="inlineStr">
        <is>
          <t>Digital compliance tools, contract automation</t>
        </is>
      </c>
    </row>
    <row r="52" ht="93" customHeight="1">
      <c r="A52" s="109" t="inlineStr">
        <is>
          <t>Secretarial &amp; Legal</t>
        </is>
      </c>
      <c r="B52" s="111" t="inlineStr">
        <is>
          <t>Administration, Legal &amp; Secretarial</t>
        </is>
      </c>
      <c r="C52" s="111" t="inlineStr">
        <is>
          <t>Company Secretarial &amp; Legal</t>
        </is>
      </c>
      <c r="D52" s="111" t="inlineStr">
        <is>
          <t>Senior Secretarial Executive</t>
        </is>
      </c>
      <c r="E52" s="26" t="inlineStr">
        <is>
          <t>A3</t>
        </is>
      </c>
      <c r="F52" s="139" t="inlineStr">
        <is>
          <t>Senior Associate</t>
        </is>
      </c>
      <c r="G52" s="111" t="inlineStr">
        <is>
          <t>IC</t>
        </is>
      </c>
      <c r="H52" s="112" t="n">
        <v>1</v>
      </c>
      <c r="I52" s="113" t="inlineStr">
        <is>
          <t>Varied work; reviews juniors; go-to for a process</t>
        </is>
      </c>
      <c r="J52" s="114" t="inlineStr">
        <is>
          <t>Varied and non-standard work; handles exceptions</t>
        </is>
      </c>
      <c r="K52" s="114" t="inlineStr">
        <is>
          <t>Technical / QC / client calls on own work</t>
        </is>
      </c>
      <c r="L52" s="114" t="inlineStr">
        <is>
          <t>A module / process, or work with client or regulatory consequences</t>
        </is>
      </c>
      <c r="M52" s="114" t="inlineStr">
        <is>
          <t>Not scored in Band A</t>
        </is>
      </c>
      <c r="N52" s="185" t="inlineStr">
        <is>
          <t>2–4 yrs</t>
        </is>
      </c>
      <c r="O52" s="164" t="inlineStr">
        <is>
          <r>
            <rPr>
              <rFont val="Calibri"/>
              <sz val="10"/>
            </rPr>
            <t xml:space="preserve">Graduate; relevant certification preferred
</t>
          </r>
          <r>
            <rPr>
              <rFont val="Calibri"/>
              <b val="1"/>
              <sz val="10"/>
            </rPr>
            <t>Family:</t>
          </r>
          <r>
            <rPr>
              <rFont val="Calibri"/>
              <sz val="10"/>
            </rPr>
            <t xml:space="preserve"> Graduate; ICSI · CS / LLB for secretarial &amp; legal</t>
          </r>
        </is>
      </c>
      <c r="P52" s="164" t="inlineStr">
        <is>
          <t>Domain certifications · optional</t>
        </is>
      </c>
      <c r="Q52" s="164" t="inlineStr">
        <is>
          <t>Companies Act / statutory filings; vendor contracts</t>
        </is>
      </c>
      <c r="R52" s="186" t="inlineStr">
        <is>
          <t>CF-A</t>
        </is>
      </c>
      <c r="S52" s="187" t="n">
        <v>0.54</v>
      </c>
      <c r="T52" s="187" t="n">
        <v>0.16</v>
      </c>
      <c r="U52" s="187" t="n">
        <v>0.09</v>
      </c>
      <c r="V52" s="187" t="n">
        <v>0</v>
      </c>
      <c r="W52" s="187" t="n">
        <v>0.15</v>
      </c>
      <c r="X52" s="187" t="n">
        <v>0.06</v>
      </c>
      <c r="Y52" s="121" t="inlineStr">
        <is>
          <t>★ Regulatory &amp; BFSI Domain · ★ Stakeholder &amp; Client Management</t>
        </is>
      </c>
      <c r="Z52" s="122" t="inlineStr">
        <is>
          <t>Process Improvement &amp; Quality Mindset · Advanced Excel &amp; Productivity Tools · Communication &amp; Presentation · Time, Priority &amp; Self-Management</t>
        </is>
      </c>
      <c r="AA52" s="122" t="inlineStr">
        <is>
          <t>Corporate Law &amp; Secretarial Compliance · Contract Drafting, Review &amp; Negotiation · Board &amp; Governance Support · Regulatory &amp; Data-Privacy Compliance · DPDP Act</t>
        </is>
      </c>
      <c r="AB52" s="122" t="inlineStr">
        <is>
          <t>Core 2 · Future-ready 2 · Functional 3 · Leadership —</t>
        </is>
      </c>
      <c r="AC52" s="123" t="inlineStr">
        <is>
          <t>None · guides 1–3 juniors informally</t>
        </is>
      </c>
      <c r="AD52" s="188" t="inlineStr">
        <is>
          <t>P2</t>
        </is>
      </c>
      <c r="AE52" s="130" t="inlineStr">
        <is>
          <t>Developing</t>
        </is>
      </c>
      <c r="AF52" s="189" t="inlineStr">
        <is>
          <t>3 Apply</t>
        </is>
      </c>
      <c r="AG52" s="130" t="inlineStr">
        <is>
          <t>Admin / Secretarial Executive</t>
        </is>
      </c>
      <c r="AH52" s="130" t="inlineStr">
        <is>
          <t>L3–L4 · MS 61–62 · —</t>
        </is>
      </c>
      <c r="AI52" s="130" t="inlineStr">
        <is>
          <t>JL3A · C1 · L11–L10 · Senior Analyst</t>
        </is>
      </c>
      <c r="AJ52" s="130" t="inlineStr">
        <is>
          <t>Consultant · DataTracks Senior Associate · 2–5 yrs</t>
        </is>
      </c>
      <c r="AK52" s="130" t="inlineStr">
        <is>
          <t>Mercer</t>
        </is>
      </c>
      <c r="AL52" s="130" t="inlineStr">
        <is>
          <t>IRIS Vs Competitor Benchmark — corporate services ladder: Senior Executive</t>
        </is>
      </c>
      <c r="AM52" s="130" t="inlineStr">
        <is>
          <t>ICSI · Company Secretary; Companies Act 2013; IFMA · facilities; CIPS · procurement</t>
        </is>
      </c>
      <c r="AN52" s="131" t="inlineStr">
        <is>
          <t>Lateral or campus · CT2 at 12 months; CT3 in programme</t>
        </is>
      </c>
      <c r="AO52" s="132" t="inlineStr">
        <is>
          <t>B1 · Specialist</t>
        </is>
      </c>
      <c r="AP52" s="132" t="inlineStr">
        <is>
          <t>B1 · Team Lead</t>
        </is>
      </c>
      <c r="AQ52" s="132" t="inlineStr">
        <is>
          <t>Digital compliance tools, contract automation</t>
        </is>
      </c>
    </row>
    <row r="53" ht="93" customHeight="1">
      <c r="A53" s="109" t="inlineStr">
        <is>
          <t>Secretarial &amp; Legal</t>
        </is>
      </c>
      <c r="B53" s="111" t="inlineStr">
        <is>
          <t>Administration, Legal &amp; Secretarial</t>
        </is>
      </c>
      <c r="C53" s="111" t="inlineStr">
        <is>
          <t>Company Secretarial &amp; Legal</t>
        </is>
      </c>
      <c r="D53" s="111" t="inlineStr">
        <is>
          <t>Company Secretary – POD Lead</t>
        </is>
      </c>
      <c r="E53" s="33" t="inlineStr">
        <is>
          <t>C1</t>
        </is>
      </c>
      <c r="F53" s="146" t="inlineStr">
        <is>
          <t>Principal · POD Lead</t>
        </is>
      </c>
      <c r="G53" s="111" t="inlineStr">
        <is>
          <t>POD Lead</t>
        </is>
      </c>
      <c r="H53" s="112" t="n">
        <v>1</v>
      </c>
      <c r="I53" s="113" t="inlineStr">
        <is>
          <t>A sub-function, or principal authority across products</t>
        </is>
      </c>
      <c r="J53" s="114" t="inlineStr">
        <is>
          <t>Ambiguous, cross-product problems</t>
        </is>
      </c>
      <c r="K53" s="114" t="inlineStr">
        <is>
          <t>Sets direction for a sub-function or domain</t>
        </is>
      </c>
      <c r="L53" s="114" t="inlineStr">
        <is>
          <t>Sub-function results or domain quality across products</t>
        </is>
      </c>
      <c r="M53" s="114" t="inlineStr">
        <is>
          <t>Leads managers or a community of practice</t>
        </is>
      </c>
      <c r="N53" s="185" t="inlineStr">
        <is>
          <t>10–14 yrs</t>
        </is>
      </c>
      <c r="O53" s="164" t="inlineStr">
        <is>
          <r>
            <rPr>
              <rFont val="Calibri"/>
              <sz val="10"/>
            </rPr>
            <t xml:space="preserve">Postgraduate / professional qualification preferred
</t>
          </r>
          <r>
            <rPr>
              <rFont val="Calibri"/>
              <b val="1"/>
              <sz val="10"/>
            </rPr>
            <t>Family:</t>
          </r>
          <r>
            <rPr>
              <rFont val="Calibri"/>
              <sz val="10"/>
            </rPr>
            <t xml:space="preserve"> Graduate; ICSI · CS / LLB for secretarial &amp; legal</t>
          </r>
        </is>
      </c>
      <c r="P53" s="164" t="inlineStr">
        <is>
          <t>Domain certifications · optional</t>
        </is>
      </c>
      <c r="Q53" s="164" t="inlineStr">
        <is>
          <t>Companies Act / statutory filings; vendor contracts</t>
        </is>
      </c>
      <c r="R53" s="186" t="inlineStr">
        <is>
          <t>CF-C-IC</t>
        </is>
      </c>
      <c r="S53" s="187" t="n">
        <v>0.49</v>
      </c>
      <c r="T53" s="187" t="n">
        <v>0.18</v>
      </c>
      <c r="U53" s="187" t="n">
        <v>0.1</v>
      </c>
      <c r="V53" s="187" t="n">
        <v>0.05</v>
      </c>
      <c r="W53" s="187" t="n">
        <v>0.1</v>
      </c>
      <c r="X53" s="187" t="n">
        <v>0.08</v>
      </c>
      <c r="Y53" s="121" t="inlineStr">
        <is>
          <t>★ Regulatory &amp; BFSI Domain · ★ Stakeholder &amp; Client Management</t>
        </is>
      </c>
      <c r="Z53" s="122" t="inlineStr">
        <is>
          <t>Process Improvement &amp; Quality Mindset · Advanced Excel &amp; Productivity Tools · Communication &amp; Presentation · Time, Priority &amp; Self-Management</t>
        </is>
      </c>
      <c r="AA53" s="122" t="inlineStr">
        <is>
          <t>Corporate Law &amp; Secretarial Compliance · Contract Drafting, Review &amp; Negotiation · Board &amp; Governance Support · Regulatory &amp; Data-Privacy Compliance · DPDP Act</t>
        </is>
      </c>
      <c r="AB53" s="122" t="inlineStr">
        <is>
          <t>Core 4 · Future-ready 4 · Functional 4 · Leadership 4</t>
        </is>
      </c>
      <c r="AC53" s="123" t="inlineStr">
        <is>
          <t>5–8, mostly managers</t>
        </is>
      </c>
      <c r="AD53" s="188" t="inlineStr">
        <is>
          <t>P6</t>
        </is>
      </c>
      <c r="AE53" s="130" t="inlineStr">
        <is>
          <t>Principal / Director</t>
        </is>
      </c>
      <c r="AF53" s="189" t="inlineStr">
        <is>
          <t>5–6</t>
        </is>
      </c>
      <c r="AG53" s="130" t="inlineStr">
        <is>
          <t>—</t>
        </is>
      </c>
      <c r="AH53" s="130" t="inlineStr">
        <is>
          <t>L6 · MS 64–65 · —</t>
        </is>
      </c>
      <c r="AI53" s="130" t="inlineStr">
        <is>
          <t>JL6B · C4 · L7 Manager</t>
        </is>
      </c>
      <c r="AJ53" s="130" t="inlineStr">
        <is>
          <t>Associate Director</t>
        </is>
      </c>
      <c r="AK53" s="130" t="inlineStr">
        <is>
          <t>Mercer</t>
        </is>
      </c>
      <c r="AL53" s="130" t="inlineStr">
        <is>
          <t>IRIS Vs Competitor Benchmark — corporate services ladder: Company Secretary</t>
        </is>
      </c>
      <c r="AM53" s="130" t="inlineStr">
        <is>
          <t>ICSI · Company Secretary; Companies Act 2013; IFMA · facilities; CIPS · procurement</t>
        </is>
      </c>
      <c r="AN53" s="131" t="inlineStr">
        <is>
          <t>Internal posting first; lateral</t>
        </is>
      </c>
      <c r="AO53" s="132" t="inlineStr">
        <is>
          <t>C2 · Senior Principal / Architect</t>
        </is>
      </c>
      <c r="AP53" s="132" t="inlineStr">
        <is>
          <t>C2 · Head of Function</t>
        </is>
      </c>
      <c r="AQ53" s="132" t="inlineStr">
        <is>
          <t>Digital compliance tools, contract automation</t>
        </is>
      </c>
    </row>
    <row r="54">
      <c r="A54" s="190" t="n"/>
      <c r="B54" s="191" t="n"/>
      <c r="C54" s="191" t="n"/>
      <c r="D54" s="191" t="n"/>
      <c r="E54" s="191" t="n"/>
      <c r="F54" s="191" t="n"/>
      <c r="G54" s="191" t="n"/>
      <c r="H54" s="191" t="n"/>
      <c r="I54" s="192" t="n"/>
      <c r="J54" s="193" t="n"/>
      <c r="K54" s="193" t="n"/>
      <c r="L54" s="193" t="n"/>
      <c r="M54" s="193" t="n"/>
      <c r="N54" s="194" t="n"/>
      <c r="O54" s="195" t="n"/>
      <c r="P54" s="195" t="n"/>
      <c r="Q54" s="195" t="n"/>
      <c r="R54" s="196" t="n"/>
      <c r="S54" s="197" t="n"/>
      <c r="T54" s="197" t="n"/>
      <c r="U54" s="197" t="n"/>
      <c r="V54" s="197" t="n"/>
      <c r="W54" s="197" t="n"/>
      <c r="X54" s="197" t="n"/>
      <c r="Y54" s="198" t="n"/>
      <c r="Z54" s="199" t="n"/>
      <c r="AA54" s="199" t="n"/>
      <c r="AB54" s="199" t="n"/>
      <c r="AC54" s="200" t="n"/>
      <c r="AD54" s="201" t="n"/>
      <c r="AE54" s="202" t="n"/>
      <c r="AF54" s="202" t="n"/>
      <c r="AG54" s="202" t="n"/>
      <c r="AH54" s="202" t="n"/>
      <c r="AI54" s="202" t="n"/>
      <c r="AJ54" s="202" t="n"/>
      <c r="AK54" s="202" t="n"/>
      <c r="AL54" s="202" t="n"/>
      <c r="AM54" s="202" t="n"/>
      <c r="AN54" s="203" t="n"/>
      <c r="AO54" s="204" t="n"/>
      <c r="AP54" s="204" t="n"/>
      <c r="AQ54" s="204" t="n"/>
    </row>
    <row r="55" ht="20" customHeight="1">
      <c r="A55" s="160" t="inlineStr">
        <is>
          <t>Technology — 2 people · 2 roles · Technology &amp; engineering · levels B3–E1</t>
        </is>
      </c>
    </row>
    <row r="56" ht="80" customHeight="1">
      <c r="A56" s="109" t="inlineStr">
        <is>
          <t>Technology</t>
        </is>
      </c>
      <c r="B56" s="111" t="inlineStr">
        <is>
          <t>Project &amp; Program Management</t>
        </is>
      </c>
      <c r="C56" s="111" t="inlineStr">
        <is>
          <t>PMO &amp; Delivery Excellence</t>
        </is>
      </c>
      <c r="D56" s="111" t="inlineStr">
        <is>
          <t>Agile Coach</t>
        </is>
      </c>
      <c r="E56" s="23" t="inlineStr">
        <is>
          <t>B3</t>
        </is>
      </c>
      <c r="F56" s="21" t="inlineStr">
        <is>
          <t>Lead Specialist</t>
        </is>
      </c>
      <c r="G56" s="111" t="inlineStr">
        <is>
          <t>IC</t>
        </is>
      </c>
      <c r="H56" s="112" t="n">
        <v>1</v>
      </c>
      <c r="I56" s="113" t="inlineStr">
        <is>
          <t>A practice, or several teams through team leads</t>
        </is>
      </c>
      <c r="J56" s="114" t="inlineStr">
        <is>
          <t>Sets standards for a practice; cross-team problems</t>
        </is>
      </c>
      <c r="K56" s="114" t="inlineStr">
        <is>
          <t>Commercial / strategic calls for the unit</t>
        </is>
      </c>
      <c r="L56" s="114" t="inlineStr">
        <is>
          <t>Several teams or a practice</t>
        </is>
      </c>
      <c r="M56" s="114" t="inlineStr">
        <is>
          <r>
            <rPr>
              <rFont val="Calibri"/>
              <b val="1"/>
              <sz val="10"/>
            </rPr>
            <t>IC:</t>
          </r>
          <r>
            <rPr>
              <rFont val="Calibri"/>
              <sz val="10"/>
            </rPr>
            <t xml:space="preserve"> leads a practice · People: team leads / managers report in</t>
          </r>
        </is>
      </c>
      <c r="N56" s="185" t="inlineStr">
        <is>
          <t>8–12 yrs</t>
        </is>
      </c>
      <c r="O56" s="164" t="inlineStr">
        <is>
          <r>
            <rPr>
              <rFont val="Calibri"/>
              <sz val="10"/>
            </rPr>
            <t xml:space="preserve">Postgraduate or professional qualification preferred
</t>
          </r>
          <r>
            <rPr>
              <rFont val="Calibri"/>
              <b val="1"/>
              <sz val="10"/>
            </rPr>
            <t>Family:</t>
          </r>
          <r>
            <rPr>
              <rFont val="Calibri"/>
              <sz val="10"/>
            </rPr>
            <t xml:space="preserve"> Graduate; PMP / PRINCE2 / CSM preferred from B2</t>
          </r>
        </is>
      </c>
      <c r="P56" s="164" t="inlineStr">
        <is>
          <t>PMP / PRINCE2 / CSM / SAFe</t>
        </is>
      </c>
      <c r="Q56" s="164" t="inlineStr">
        <is>
          <t>Hybrid delivery governance</t>
        </is>
      </c>
      <c r="R56" s="186" t="inlineStr">
        <is>
          <t>TE-B-IC</t>
        </is>
      </c>
      <c r="S56" s="187" t="n">
        <v>0.5600000000000001</v>
      </c>
      <c r="T56" s="187" t="n">
        <v>0.17</v>
      </c>
      <c r="U56" s="187" t="n">
        <v>0.05</v>
      </c>
      <c r="V56" s="187" t="n">
        <v>0.05</v>
      </c>
      <c r="W56" s="187" t="n">
        <v>0.1</v>
      </c>
      <c r="X56" s="187" t="n">
        <v>0.07000000000000001</v>
      </c>
      <c r="Y56" s="121" t="inlineStr">
        <is>
          <t>★ Project, Program &amp; Agile Management · ★ Stakeholder &amp; Client Management</t>
        </is>
      </c>
      <c r="Z56" s="122" t="inlineStr">
        <is>
          <t>Communication &amp; Presentation · Process Improvement &amp; Quality Mindset · Strategic Thinking &amp; Business Acumen · Product, Platform &amp; Domain Knowledge</t>
        </is>
      </c>
      <c r="AA56" s="122" t="inlineStr">
        <is>
          <t>—</t>
        </is>
      </c>
      <c r="AB56" s="122" t="inlineStr">
        <is>
          <t>Core 4 · Future-ready 3 · Functional 4 · Leadership 3</t>
        </is>
      </c>
      <c r="AC56" s="123" t="inlineStr">
        <is>
          <r>
            <rPr>
              <rFont val="Calibri"/>
              <b val="1"/>
              <sz val="10"/>
            </rPr>
            <t>IC:</t>
          </r>
          <r>
            <rPr>
              <rFont val="Calibri"/>
              <sz val="10"/>
            </rPr>
            <t xml:space="preserve"> none · People: 5–8 incl. team leads</t>
          </r>
        </is>
      </c>
      <c r="AD56" s="188" t="inlineStr">
        <is>
          <t>P5</t>
        </is>
      </c>
      <c r="AE56" s="130" t="inlineStr">
        <is>
          <t>Expert / Senior Manager</t>
        </is>
      </c>
      <c r="AF56" s="189" t="inlineStr">
        <is>
          <t>5 Ensure, advise</t>
        </is>
      </c>
      <c r="AG56" s="130" t="inlineStr">
        <is>
          <t>Senior Program Manager</t>
        </is>
      </c>
      <c r="AH56" s="130" t="inlineStr">
        <is>
          <t>L5 · MS 63–64 · —</t>
        </is>
      </c>
      <c r="AI56" s="130" t="inlineStr">
        <is>
          <t>JL5–JL6B · C3B · L7 Manager</t>
        </is>
      </c>
      <c r="AJ56" s="130" t="inlineStr">
        <is>
          <t>Senior Manager</t>
        </is>
      </c>
      <c r="AK56" s="130" t="inlineStr">
        <is>
          <t>Radford / Pave</t>
        </is>
      </c>
      <c r="AL56" s="130" t="inlineStr">
        <is>
          <t>IRIS Vs Competitor Benchmark — PMI pathway + SaaS delivery ladder: Program Manager · PgMP · Infosys / Accenture: JL6B Project Manager · L7 Manager</t>
        </is>
      </c>
      <c r="AM56" s="130" t="inlineStr">
        <is>
          <t>PMI PMBOK and Talent Triangle; CAPM · entry → PMP → PgMP; Scrum / SAFe</t>
        </is>
      </c>
      <c r="AN56" s="131" t="inlineStr">
        <is>
          <t>Lateral; internal posting first</t>
        </is>
      </c>
      <c r="AO56" s="132" t="inlineStr">
        <is>
          <t>C1 · Principal · or B+ · Practice Lead · Player-Coach if leading people hands-on</t>
        </is>
      </c>
      <c r="AP56" s="132" t="inlineStr">
        <is>
          <t>C1 · Associate Head · or B+ · Practice Lead · Player-Coach if leading people hands-on</t>
        </is>
      </c>
      <c r="AQ56" s="132" t="inlineStr">
        <is>
          <t>AI-assisted planning, value / outcome-based delivery</t>
        </is>
      </c>
    </row>
    <row r="57" ht="67" customHeight="1">
      <c r="A57" s="109" t="inlineStr">
        <is>
          <t>Technology</t>
        </is>
      </c>
      <c r="B57" s="111" t="inlineStr">
        <is>
          <t>Executive Leadership</t>
        </is>
      </c>
      <c r="C57" s="111" t="inlineStr">
        <is>
          <t>Enterprise Leadership</t>
        </is>
      </c>
      <c r="D57" s="111" t="inlineStr">
        <is>
          <t>Chief Technology Officer</t>
        </is>
      </c>
      <c r="E57" s="42" t="inlineStr">
        <is>
          <t>E1</t>
        </is>
      </c>
      <c r="F57" s="145" t="inlineStr">
        <is>
          <t>CXO / President</t>
        </is>
      </c>
      <c r="G57" s="111" t="inlineStr">
        <is>
          <t>People Manager</t>
        </is>
      </c>
      <c r="H57" s="112" t="n">
        <v>1</v>
      </c>
      <c r="I57" s="113" t="inlineStr">
        <is>
          <t>An enterprise-wide function</t>
        </is>
      </c>
      <c r="J57" s="114" t="inlineStr">
        <is>
          <t>Enterprise-level functional strategy</t>
        </is>
      </c>
      <c r="K57" s="114" t="inlineStr">
        <is>
          <t>Sets enterprise priorities for the function</t>
        </is>
      </c>
      <c r="L57" s="114" t="inlineStr">
        <is>
          <t>Enterprise-wide functional results</t>
        </is>
      </c>
      <c r="M57" s="114" t="inlineStr">
        <is>
          <t>Shapes enterprise strategy</t>
        </is>
      </c>
      <c r="N57" s="185" t="inlineStr">
        <is>
          <t>20+ yrs</t>
        </is>
      </c>
      <c r="O57" s="164" t="inlineStr">
        <is>
          <r>
            <rPr>
              <rFont val="Calibri"/>
              <sz val="10"/>
            </rPr>
            <t xml:space="preserve">Postgraduate / professional qualification; business leadership record
</t>
          </r>
          <r>
            <rPr>
              <rFont val="Calibri"/>
              <b val="1"/>
              <sz val="10"/>
            </rPr>
            <t>Family:</t>
          </r>
          <r>
            <rPr>
              <rFont val="Calibri"/>
              <sz val="10"/>
            </rPr>
            <t xml:space="preserve"> Postgraduate / professional qualification</t>
          </r>
        </is>
      </c>
      <c r="P57" s="164" t="inlineStr">
        <is>
          <t>MBA / PGDM · preferred at C+</t>
        </is>
      </c>
      <c r="Q57" s="164" t="inlineStr">
        <is>
          <t>Governance, risk and regulatory accountability</t>
        </is>
      </c>
      <c r="R57" s="186" t="inlineStr">
        <is>
          <t>TE-DE</t>
        </is>
      </c>
      <c r="S57" s="187" t="n">
        <v>0.37</v>
      </c>
      <c r="T57" s="187" t="n">
        <v>0.19</v>
      </c>
      <c r="U57" s="187" t="n">
        <v>0.11</v>
      </c>
      <c r="V57" s="187" t="n">
        <v>0.2</v>
      </c>
      <c r="W57" s="187" t="n">
        <v>0.05</v>
      </c>
      <c r="X57" s="187" t="n">
        <v>0.08</v>
      </c>
      <c r="Y57" s="121" t="inlineStr">
        <is>
          <t>★ Strategic Thinking &amp; Business Acumen · ★ People Leadership &amp; Mentoring</t>
        </is>
      </c>
      <c r="Z57" s="122" t="inlineStr">
        <is>
          <t>Stakeholder &amp; Client Management · Product, Platform &amp; Domain Knowledge · Regulatory &amp; BFSI Domain · Communication &amp; Presentation</t>
        </is>
      </c>
      <c r="AA57" s="122" t="inlineStr">
        <is>
          <t>—</t>
        </is>
      </c>
      <c r="AB57" s="122" t="inlineStr">
        <is>
          <t>Core 5 · Future-ready 5 · Functional 4 · Leadership 5</t>
        </is>
      </c>
      <c r="AC57" s="123" t="inlineStr">
        <is>
          <t>5–8 function heads</t>
        </is>
      </c>
      <c r="AD57" s="188" t="inlineStr">
        <is>
          <t>E5</t>
        </is>
      </c>
      <c r="AE57" s="130" t="inlineStr">
        <is>
          <t>C-Level</t>
        </is>
      </c>
      <c r="AF57" s="189" t="inlineStr">
        <is>
          <t>7</t>
        </is>
      </c>
      <c r="AG57" s="130" t="inlineStr">
        <is>
          <t>CXO · functional chief</t>
        </is>
      </c>
      <c r="AH57" s="130" t="inlineStr">
        <is>
          <t>— · MS — · —</t>
        </is>
      </c>
      <c r="AI57" s="130" t="inlineStr">
        <is>
          <t>— · — · —</t>
        </is>
      </c>
      <c r="AJ57" s="130" t="inlineStr">
        <is>
          <t>—</t>
        </is>
      </c>
      <c r="AK57" s="130" t="inlineStr">
        <is>
          <t>Radford / Pave</t>
        </is>
      </c>
      <c r="AL57" s="130" t="inlineStr">
        <is>
          <t>IRIS Vs Market Benchmark — Aon Radford / Mercer executive codes: E5 C-level · functional · IRIS Vs Competitor Benchmark — regtech / SaaS executive titles: CTO · CFO · CRO · CCO · COO</t>
        </is>
      </c>
      <c r="AM57" s="130" t="inlineStr">
        <is>
          <t>Aon Radford executive levels E1–E6; Mercer ET1–ET3; Korn Ferry Leadership Architect</t>
        </is>
      </c>
      <c r="AN57" s="131" t="inlineStr">
        <is>
          <t>CEO / board appointment</t>
        </is>
      </c>
      <c r="AO57" s="132" t="inlineStr">
        <is>
          <t>—</t>
        </is>
      </c>
      <c r="AP57" s="132" t="inlineStr">
        <is>
          <t>E2 · Chief Executive Officer</t>
        </is>
      </c>
      <c r="AQ57" s="132" t="inlineStr">
        <is>
          <t>AI strategy &amp; governance, sustainability, digital business models</t>
        </is>
      </c>
    </row>
  </sheetData>
  <mergeCells count="20">
    <mergeCell ref="A3:AQ3"/>
    <mergeCell ref="A55:AQ55"/>
    <mergeCell ref="A12:AQ12"/>
    <mergeCell ref="A50:AQ50"/>
    <mergeCell ref="A2:AQ2"/>
    <mergeCell ref="A22:AQ22"/>
    <mergeCell ref="R5:X5"/>
    <mergeCell ref="A4:C4"/>
    <mergeCell ref="A31:AQ31"/>
    <mergeCell ref="AD5:AM5"/>
    <mergeCell ref="AN5:AQ5"/>
    <mergeCell ref="A5:H5"/>
    <mergeCell ref="I5:M5"/>
    <mergeCell ref="A45:AQ45"/>
    <mergeCell ref="A1:AQ1"/>
    <mergeCell ref="Y5:AB5"/>
    <mergeCell ref="AC5"/>
    <mergeCell ref="N5:Q5"/>
    <mergeCell ref="A7:AQ7"/>
    <mergeCell ref="A41:AQ41"/>
  </mergeCells>
  <conditionalFormatting sqref="S7:S59">
    <cfRule type="colorScale" priority="1">
      <colorScale>
        <cfvo type="num" val="0"/>
        <cfvo type="num" val="0.4"/>
        <color rgb="00FFFFFF"/>
        <color rgb="00A9D08E"/>
      </colorScale>
    </cfRule>
  </conditionalFormatting>
  <conditionalFormatting sqref="T7:T59">
    <cfRule type="colorScale" priority="2">
      <colorScale>
        <cfvo type="num" val="0"/>
        <cfvo type="num" val="0.4"/>
        <color rgb="00FFFFFF"/>
        <color rgb="00A9D08E"/>
      </colorScale>
    </cfRule>
  </conditionalFormatting>
  <conditionalFormatting sqref="U7:U59">
    <cfRule type="colorScale" priority="3">
      <colorScale>
        <cfvo type="num" val="0"/>
        <cfvo type="num" val="0.4"/>
        <color rgb="00FFFFFF"/>
        <color rgb="00A9D08E"/>
      </colorScale>
    </cfRule>
  </conditionalFormatting>
  <conditionalFormatting sqref="V7:V59">
    <cfRule type="colorScale" priority="4">
      <colorScale>
        <cfvo type="num" val="0"/>
        <cfvo type="num" val="0.4"/>
        <color rgb="00FFFFFF"/>
        <color rgb="00A9D08E"/>
      </colorScale>
    </cfRule>
  </conditionalFormatting>
  <conditionalFormatting sqref="W7:W59">
    <cfRule type="colorScale" priority="5">
      <colorScale>
        <cfvo type="num" val="0"/>
        <cfvo type="num" val="0.4"/>
        <color rgb="00FFFFFF"/>
        <color rgb="00A9D08E"/>
      </colorScale>
    </cfRule>
  </conditionalFormatting>
  <conditionalFormatting sqref="X7:X59">
    <cfRule type="colorScale" priority="6">
      <colorScale>
        <cfvo type="num" val="0"/>
        <cfvo type="num" val="0.4"/>
        <color rgb="00FFFFFF"/>
        <color rgb="00A9D08E"/>
      </colorScale>
    </cfRule>
  </conditionalFormatting>
  <hyperlinks>
    <hyperlink xmlns:r="http://schemas.openxmlformats.org/officeDocument/2006/relationships" ref="AR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4.xml><?xml version="1.0" encoding="utf-8"?>
<worksheet xmlns="http://schemas.openxmlformats.org/spreadsheetml/2006/main">
  <sheetPr>
    <tabColor rgb="00548235"/>
    <outlinePr summaryBelow="1" summaryRight="1"/>
    <pageSetUpPr fitToPage="1"/>
  </sheetPr>
  <dimension ref="A1:AJ55"/>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20" customWidth="1" min="4" max="4"/>
    <col width="24" customWidth="1" min="5" max="5"/>
    <col width="12" customWidth="1" min="6" max="6"/>
    <col width="8" customWidth="1" min="7" max="7"/>
    <col width="10" customWidth="1" min="8" max="8"/>
    <col width="11" customWidth="1" min="9" max="9"/>
    <col width="7" customWidth="1" min="10" max="10"/>
    <col width="9" customWidth="1" min="11" max="11"/>
    <col width="17" customWidth="1" min="12" max="12"/>
    <col width="13" customWidth="1" min="13" max="13"/>
    <col width="7" customWidth="1" min="14" max="14"/>
    <col width="8" customWidth="1" min="15" max="15"/>
    <col width="16" customWidth="1" min="16" max="16"/>
    <col width="8" customWidth="1" min="17" max="17"/>
    <col width="13" customWidth="1" min="18" max="18"/>
    <col width="7" customWidth="1" min="19" max="19"/>
    <col width="7" customWidth="1" min="20" max="20"/>
    <col width="12" customWidth="1" min="21" max="21"/>
    <col width="7" customWidth="1" min="22" max="22"/>
    <col width="22" customWidth="1" min="23" max="23"/>
    <col width="22" customWidth="1" min="24" max="24"/>
    <col width="40" customWidth="1" min="25" max="25"/>
    <col width="32" customWidth="1" min="26" max="26"/>
    <col width="28" customWidth="1" min="27" max="27"/>
    <col width="26" customWidth="1" min="28" max="28"/>
    <col width="28" customWidth="1" min="29" max="29"/>
    <col width="22" customWidth="1" min="30" max="30"/>
    <col width="24" customWidth="1" min="31" max="31"/>
    <col width="32" customWidth="1" min="32" max="32"/>
    <col width="28" customWidth="1" min="33" max="33"/>
    <col width="7" customWidth="1" min="34" max="34"/>
    <col width="12" customWidth="1" min="35" max="35"/>
    <col width="20" customWidth="1" min="36" max="36"/>
  </cols>
  <sheetData>
    <row r="1" ht="34" customHeight="1">
      <c r="A1" s="1" t="inlineStr">
        <is>
          <t>Talent, Learning &amp; Mobility — per person</t>
        </is>
      </c>
      <c r="U1" s="242" t="inlineStr">
        <is>
          <t>◂ Contents</t>
        </is>
      </c>
    </row>
    <row r="2" ht="30" customHeight="1">
      <c r="A2" s="3" t="inlineStr">
        <is>
          <t>Sheet 8 · Manager talent data, competency results against the role's profile, learning needs from three angles · self, manager, role, and mobility signals · lateral options, duplicated work, similar talent elsewhere in IRIS, span.</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G4" s="65" t="inlineStr">
        <is>
          <t>Level up</t>
        </is>
      </c>
      <c r="I4" s="66" t="inlineStr">
        <is>
          <t>Level down — pay &amp; title protected</t>
        </is>
      </c>
      <c r="L4" s="67" t="inlineStr">
        <is>
          <t>Newly mapped</t>
        </is>
      </c>
      <c r="N4" s="68" t="inlineStr">
        <is>
          <t>Player-Coach · B+ · C+</t>
        </is>
      </c>
      <c r="Q4" s="69" t="inlineStr">
        <is>
          <t>RED = critical input needed · could change or confirm the level</t>
        </is>
      </c>
      <c r="V4" s="71" t="inlineStr">
        <is>
          <t>YELLOW = to complete in validation</t>
        </is>
      </c>
    </row>
    <row r="5" ht="32" customHeight="1">
      <c r="A5" s="73" t="inlineStr">
        <is>
          <t>PERSON</t>
        </is>
      </c>
      <c r="J5" s="74" t="inlineStr">
        <is>
          <t>TALENT · manager mapping</t>
        </is>
      </c>
      <c r="Q5" s="76" t="inlineStr">
        <is>
          <t>COMPETENCY RESULT</t>
        </is>
      </c>
      <c r="Z5" s="77" t="inlineStr">
        <is>
          <t>LEARNING NEEDS</t>
        </is>
      </c>
      <c r="AE5" s="79" t="inlineStr">
        <is>
          <t>MOBILITY, OVERLAP &amp; STRUCTURE</t>
        </is>
      </c>
    </row>
    <row r="6" ht="58" customHeight="1">
      <c r="A6" s="91" t="inlineStr">
        <is>
          <t>Emp ID</t>
        </is>
      </c>
      <c r="B6" s="92" t="inlineStr">
        <is>
          <t>Employee name</t>
        </is>
      </c>
      <c r="C6" s="92" t="inlineStr">
        <is>
          <t>Department</t>
        </is>
      </c>
      <c r="D6" s="92" t="inlineStr">
        <is>
          <t>Current designation</t>
        </is>
      </c>
      <c r="E6" s="92" t="inlineStr">
        <is>
          <t>Final designation</t>
        </is>
      </c>
      <c r="F6" s="92" t="inlineStr">
        <is>
          <t>Current level</t>
        </is>
      </c>
      <c r="G6" s="92" t="inlineStr">
        <is>
          <t>FINAL LEVEL</t>
        </is>
      </c>
      <c r="H6" s="92" t="inlineStr">
        <is>
          <t>Change vs current</t>
        </is>
      </c>
      <c r="I6" s="92" t="inlineStr">
        <is>
          <t>Track</t>
        </is>
      </c>
      <c r="J6" s="93" t="inlineStr">
        <is>
          <t>Latest rating</t>
        </is>
      </c>
      <c r="K6" s="12" t="inlineStr">
        <is>
          <t>Potential</t>
        </is>
      </c>
      <c r="L6" s="12" t="inlineStr">
        <is>
          <t>9-box</t>
        </is>
      </c>
      <c r="M6" s="12" t="inlineStr">
        <is>
          <t>Readiness</t>
        </is>
      </c>
      <c r="N6" s="12" t="inlineStr">
        <is>
          <t>Top performer</t>
        </is>
      </c>
      <c r="O6" s="12" t="inlineStr">
        <is>
          <t>Critical role · Y/N</t>
        </is>
      </c>
      <c r="P6" s="12" t="inlineStr">
        <is>
          <t>Successor named</t>
        </is>
      </c>
      <c r="Q6" s="94" t="inlineStr">
        <is>
          <t>Competency index %</t>
        </is>
      </c>
      <c r="R6" s="156" t="inlineStr">
        <is>
          <t>Fit</t>
        </is>
      </c>
      <c r="S6" s="156" t="inlineStr">
        <is>
          <t>Core %</t>
        </is>
      </c>
      <c r="T6" s="156" t="inlineStr">
        <is>
          <t>Future-ready %</t>
        </is>
      </c>
      <c r="U6" s="156" t="inlineStr">
        <is>
          <t>Functional %</t>
        </is>
      </c>
      <c r="V6" s="156" t="inlineStr">
        <is>
          <t>Leadership %</t>
        </is>
      </c>
      <c r="W6" s="156" t="inlineStr">
        <is>
          <t>Top gaps</t>
        </is>
      </c>
      <c r="X6" s="156" t="inlineStr">
        <is>
          <t>Readiness for next level</t>
        </is>
      </c>
      <c r="Y6" s="156" t="inlineStr">
        <is>
          <t>Ratings by competency · rating / required</t>
        </is>
      </c>
      <c r="Z6" s="95" t="inlineStr">
        <is>
          <t>Self-identified — topics · survey; not quoted</t>
        </is>
      </c>
      <c r="AA6" s="96" t="inlineStr">
        <is>
          <t>Manager-identified</t>
        </is>
      </c>
      <c r="AB6" s="96" t="inlineStr">
        <is>
          <t>Role-based priorities</t>
        </is>
      </c>
      <c r="AC6" s="96" t="inlineStr">
        <is>
          <t>To move to the next role — topics · survey; not quoted</t>
        </is>
      </c>
      <c r="AD6" s="96" t="inlineStr">
        <is>
          <t>Training for next role</t>
        </is>
      </c>
      <c r="AE6" s="97" t="inlineStr">
        <is>
          <t>Lateral move options</t>
        </is>
      </c>
      <c r="AF6" s="98" t="inlineStr">
        <is>
          <t>Duplication — same business</t>
        </is>
      </c>
      <c r="AG6" s="98" t="inlineStr">
        <is>
          <t>Alternate talent pool — other businesses</t>
        </is>
      </c>
      <c r="AH6" s="98" t="inlineStr">
        <is>
          <t>Direct reports</t>
        </is>
      </c>
      <c r="AI6" s="98" t="inlineStr">
        <is>
          <t>Span status</t>
        </is>
      </c>
      <c r="AJ6" s="98" t="inlineStr">
        <is>
          <t>Span action</t>
        </is>
      </c>
    </row>
    <row r="7" ht="158" customHeight="1">
      <c r="A7" s="109" t="inlineStr">
        <is>
          <t>IRIS1326</t>
        </is>
      </c>
      <c r="B7" s="111" t="inlineStr">
        <is>
          <t>Sujit Acharya</t>
        </is>
      </c>
      <c r="C7" s="111" t="inlineStr">
        <is>
          <t>Administration</t>
        </is>
      </c>
      <c r="D7" s="111" t="inlineStr">
        <is>
          <t>Manager Administration</t>
        </is>
      </c>
      <c r="E7" s="111" t="inlineStr">
        <is>
          <t>Manager – Administration</t>
        </is>
      </c>
      <c r="F7" s="115" t="inlineStr">
        <is>
          <t>Not in current mapping files</t>
        </is>
      </c>
      <c r="G7" s="116" t="inlineStr">
        <is>
          <t>B2</t>
        </is>
      </c>
      <c r="H7" s="117" t="inlineStr">
        <is>
          <t>● Newly mapped</t>
        </is>
      </c>
      <c r="I7" s="111" t="inlineStr">
        <is>
          <t>People Manager</t>
        </is>
      </c>
      <c r="J7" s="113" t="inlineStr">
        <is>
          <t>Not rated · manager</t>
        </is>
      </c>
      <c r="K7" s="114" t="inlineStr">
        <is>
          <t>—</t>
        </is>
      </c>
      <c r="L7" s="114" t="inlineStr">
        <is>
          <t>Not placed · manager</t>
        </is>
      </c>
      <c r="M7" s="114" t="inlineStr">
        <is>
          <t>No rating data</t>
        </is>
      </c>
      <c r="N7" s="114" t="n"/>
      <c r="O7" s="114" t="inlineStr"/>
      <c r="P7" s="114" t="inlineStr"/>
      <c r="Q7" s="118" t="n">
        <v>106</v>
      </c>
      <c r="R7" s="164" t="inlineStr">
        <is>
          <t>Exceeds — ready for stretch</t>
        </is>
      </c>
      <c r="S7" s="164" t="n">
        <v>111</v>
      </c>
      <c r="T7" s="164" t="n">
        <v>83</v>
      </c>
      <c r="U7" s="164" t="n">
        <v>112</v>
      </c>
      <c r="V7" s="164" t="n">
        <v>105</v>
      </c>
      <c r="W7" s="164" t="inlineStr">
        <is>
          <t>Prioritisation, Learning agility, AI literacy</t>
        </is>
      </c>
      <c r="X7" s="164" t="inlineStr">
        <is>
          <r>
            <rPr>
              <rFont val="Calibri"/>
              <b val="1"/>
              <sz val="10"/>
            </rPr>
            <t>B3:</t>
          </r>
          <r>
            <rPr>
              <rFont val="Calibri"/>
              <sz val="10"/>
            </rPr>
            <t xml:space="preserve"> 94% of profile — ready on competencies</t>
          </r>
        </is>
      </c>
      <c r="Y7" s="164" t="inlineStr">
        <is>
          <r>
            <rPr>
              <rFont val="Calibri"/>
              <b val="1"/>
              <sz val="10"/>
            </rPr>
            <t>Evidence:</t>
          </r>
          <r>
            <rPr>
              <rFont val="Calibri"/>
              <sz val="10"/>
            </rPr>
            <t xml:space="preserve"> Survey | Core: Ownership 4/3, Problem solving 4/3, Communication &amp; collaboration 4/3, Client &amp; quality focus 4/3, Learning agility 2/3, Integrity &amp; compliance 4/3 | Future-ready: AI literacy 2/3, Data literacy 3/3, Digital fluency 2/3, Innovation 3/3 | Functional: Regulatory domain 5/4, Stakeholder mgmt 5/4, Quality &amp; process 5/4, Excel &amp; tools 5/4, Communication 5/4, Prioritisation 3/4 | Leadership: Developing people 3/3, Decision making 3/3, Strategic acumen 3/3, Influence &amp; change 4/3</t>
          </r>
        </is>
      </c>
      <c r="Z7" s="119" t="inlineStr">
        <is>
          <t>Strategy &amp; business acumen · Broader exposure &amp; ownership</t>
        </is>
      </c>
      <c r="AA7" s="165" t="n"/>
      <c r="AB7" s="165" t="inlineStr">
        <is>
          <t>People Leadership &amp; Mentoring; Project, Program &amp; Agile Management; Strategic Thinking &amp; Business Acumen</t>
        </is>
      </c>
      <c r="AC7" s="165" t="inlineStr">
        <is>
          <t>AI / automation · Leadership &amp; people management · Project / programme management · Strategy &amp; business acumen · Broader exposure &amp; ownership</t>
        </is>
      </c>
      <c r="AD7" s="165" t="n"/>
      <c r="AE7" s="121" t="inlineStr">
        <is>
          <t>Project &amp; Program Management · 100% of competencies evidenced; must-haves met; Customer Success &amp; Support · 83% of competencies evidenced; must-haves met</t>
        </is>
      </c>
      <c r="AF7" s="122" t="inlineStr">
        <is>
          <t>Ashish Pawar · Administration Executive — 0.50: vendor, procurement, management, administrative</t>
        </is>
      </c>
      <c r="AG7" s="122" t="inlineStr">
        <is>
          <t>No close match in other businesses</t>
        </is>
      </c>
      <c r="AH7" s="122" t="n">
        <v>5</v>
      </c>
      <c r="AI7" s="122" t="inlineStr">
        <is>
          <t>Below norm</t>
        </is>
      </c>
      <c r="AJ7" s="122" t="inlineStr">
        <is>
          <t>Team smaller than the norm for this level — merge with a peer team, widen scope, or treat as a POD Lead.</t>
        </is>
      </c>
    </row>
    <row r="8" ht="132" customHeight="1">
      <c r="A8" s="109" t="inlineStr">
        <is>
          <t>IRIS2431</t>
        </is>
      </c>
      <c r="B8" s="111" t="inlineStr">
        <is>
          <t>Ashish Pawar</t>
        </is>
      </c>
      <c r="C8" s="111" t="inlineStr">
        <is>
          <t>Administration</t>
        </is>
      </c>
      <c r="D8" s="115" t="inlineStr">
        <is>
          <t>Executive Administration</t>
        </is>
      </c>
      <c r="E8" s="115" t="inlineStr">
        <is>
          <t>Senior Administration Executive</t>
        </is>
      </c>
      <c r="F8" s="115" t="inlineStr">
        <is>
          <t>Not in current mapping files</t>
        </is>
      </c>
      <c r="G8" s="116" t="inlineStr">
        <is>
          <t>A3</t>
        </is>
      </c>
      <c r="H8" s="117" t="inlineStr">
        <is>
          <t>● Newly mapped</t>
        </is>
      </c>
      <c r="I8" s="111" t="inlineStr">
        <is>
          <t>IC</t>
        </is>
      </c>
      <c r="J8" s="113" t="inlineStr">
        <is>
          <t>Not rated · manager</t>
        </is>
      </c>
      <c r="K8" s="114" t="inlineStr">
        <is>
          <t>—</t>
        </is>
      </c>
      <c r="L8" s="114" t="inlineStr">
        <is>
          <t>Not placed · manager</t>
        </is>
      </c>
      <c r="M8" s="114" t="inlineStr">
        <is>
          <t>No rating data</t>
        </is>
      </c>
      <c r="N8" s="114" t="n"/>
      <c r="O8" s="114" t="inlineStr"/>
      <c r="P8" s="114" t="inlineStr"/>
      <c r="Q8" s="118" t="n">
        <v>86</v>
      </c>
      <c r="R8" s="164" t="inlineStr">
        <is>
          <t>Developing</t>
        </is>
      </c>
      <c r="S8" s="164" t="n">
        <v>93</v>
      </c>
      <c r="T8" s="164" t="n">
        <v>75</v>
      </c>
      <c r="U8" s="164" t="n">
        <v>87</v>
      </c>
      <c r="V8" s="164" t="n"/>
      <c r="W8" s="164" t="inlineStr">
        <is>
          <t>Regulatory domain, Quality &amp; process, Communication</t>
        </is>
      </c>
      <c r="X8" s="164" t="inlineStr">
        <is>
          <r>
            <rPr>
              <rFont val="Calibri"/>
              <b val="1"/>
              <sz val="10"/>
            </rPr>
            <t>B1:</t>
          </r>
          <r>
            <rPr>
              <rFont val="Calibri"/>
              <sz val="10"/>
            </rPr>
            <t xml:space="preserve"> 77% of profile — close</t>
          </r>
        </is>
      </c>
      <c r="Y8" s="164" t="inlineStr">
        <is>
          <r>
            <rPr>
              <rFont val="Calibri"/>
              <b val="1"/>
              <sz val="10"/>
            </rPr>
            <t>Evidence:</t>
          </r>
          <r>
            <rPr>
              <rFont val="Calibri"/>
              <sz val="10"/>
            </rPr>
            <t xml:space="preserve"> Survey | Core: Ownership 3/2, Problem solving 1/2, Communication &amp; collaboration 3/2, Client &amp; quality focus 3/2, Learning agility 1/2, Integrity &amp; compliance 2/2 | Future-ready: AI literacy 1/2, Data literacy 2/2, Digital fluency 1/2, Innovation 2/2 | Functional: Regulatory domain 2/3, Stakeholder mgmt 4/3, Quality &amp; process 2/3, Excel &amp; tools 3/3, Communication 2/3, Prioritisation 3/3</t>
          </r>
        </is>
      </c>
      <c r="Z8" s="119" t="inlineStr">
        <is>
          <t>Data, SQL &amp; analytics</t>
        </is>
      </c>
      <c r="AA8" s="165" t="n"/>
      <c r="AB8" s="165" t="inlineStr">
        <is>
          <t>Advanced Excel &amp; Productivity Tools; Project, Program &amp; Agile Management</t>
        </is>
      </c>
      <c r="AC8" s="165" t="inlineStr">
        <is>
          <t>Data, SQL &amp; analytics</t>
        </is>
      </c>
      <c r="AD8" s="165" t="n"/>
      <c r="AE8" s="121" t="inlineStr">
        <is>
          <t>No strong match from survey evidence</t>
        </is>
      </c>
      <c r="AF8" s="122" t="inlineStr">
        <is>
          <t>Sujit Acharya · Manager – Administration — 0.50: vendor, procurement, management, administrative</t>
        </is>
      </c>
      <c r="AG8" s="122" t="inlineStr">
        <is>
          <t>No close match in other businesses</t>
        </is>
      </c>
      <c r="AH8" s="122" t="n"/>
      <c r="AI8" s="122" t="n"/>
      <c r="AJ8" s="122" t="n"/>
    </row>
    <row r="9" ht="80" customHeight="1">
      <c r="A9" s="109" t="inlineStr">
        <is>
          <t>IRIS0020</t>
        </is>
      </c>
      <c r="B9" s="111" t="inlineStr">
        <is>
          <t>Mangesh Kosty</t>
        </is>
      </c>
      <c r="C9" s="111" t="inlineStr">
        <is>
          <t>Administration</t>
        </is>
      </c>
      <c r="D9" s="115" t="inlineStr">
        <is>
          <t>Executive Administration</t>
        </is>
      </c>
      <c r="E9" s="115" t="inlineStr">
        <is>
          <t>Senior Administration Executive</t>
        </is>
      </c>
      <c r="F9" s="115" t="inlineStr">
        <is>
          <t>Not in current mapping files</t>
        </is>
      </c>
      <c r="G9" s="116" t="inlineStr">
        <is>
          <t>A3</t>
        </is>
      </c>
      <c r="H9" s="117" t="inlineStr">
        <is>
          <t>● Newly mapped</t>
        </is>
      </c>
      <c r="I9" s="111" t="inlineStr">
        <is>
          <t>IC</t>
        </is>
      </c>
      <c r="J9" s="113" t="inlineStr">
        <is>
          <t>Not rated · manager</t>
        </is>
      </c>
      <c r="K9" s="114" t="inlineStr">
        <is>
          <t>—</t>
        </is>
      </c>
      <c r="L9" s="114" t="inlineStr">
        <is>
          <t>Not placed · manager</t>
        </is>
      </c>
      <c r="M9" s="114" t="inlineStr">
        <is>
          <t>No rating data</t>
        </is>
      </c>
      <c r="N9" s="114" t="n"/>
      <c r="O9" s="114" t="inlineStr"/>
      <c r="P9" s="114" t="inlineStr"/>
      <c r="Q9" s="118" t="n"/>
      <c r="R9" s="164" t="inlineStr">
        <is>
          <t>Not assessed — no survey or KRA evidence</t>
        </is>
      </c>
      <c r="S9" s="164" t="n"/>
      <c r="T9" s="164" t="n"/>
      <c r="U9" s="164" t="n"/>
      <c r="V9" s="164" t="n"/>
      <c r="W9" s="164" t="n"/>
      <c r="X9" s="164" t="n"/>
      <c r="Y9" s="164" t="inlineStr">
        <is>
          <r>
            <rPr>
              <rFont val="Calibri"/>
              <b val="1"/>
              <sz val="10"/>
            </rPr>
            <t>Required at A3:</t>
          </r>
          <r>
            <rPr>
              <rFont val="Calibri"/>
              <sz val="10"/>
            </rPr>
            <t xml:space="preserve"> Core 2 · Future-ready 2 · Functional Regulatory domain 3 · Stakeholder mgmt 3 · Quality &amp; process 3 · Excel &amp; tools 3 · Communication 3 · Prioritisation 3 — rate in manager validation using sheet 4.</t>
          </r>
        </is>
      </c>
      <c r="Z9" s="119" t="inlineStr"/>
      <c r="AA9" s="165" t="n"/>
      <c r="AB9" s="165" t="inlineStr">
        <is>
          <t>AD.OFF-F: vendor coordination; service scheduling; purchasing controls</t>
        </is>
      </c>
      <c r="AC9" s="165" t="inlineStr"/>
      <c r="AD9" s="165" t="n"/>
      <c r="AE9" s="121" t="n"/>
      <c r="AF9" s="122" t="inlineStr">
        <is>
          <t>No survey text</t>
        </is>
      </c>
      <c r="AG9" s="122" t="inlineStr">
        <is>
          <t>No survey text</t>
        </is>
      </c>
      <c r="AH9" s="122" t="n"/>
      <c r="AI9" s="122" t="n"/>
      <c r="AJ9" s="122" t="n"/>
    </row>
    <row r="10" ht="80" customHeight="1">
      <c r="A10" s="109" t="inlineStr">
        <is>
          <t>IRIS0021</t>
        </is>
      </c>
      <c r="B10" s="111" t="inlineStr">
        <is>
          <t>Rajesh Khurambe</t>
        </is>
      </c>
      <c r="C10" s="111" t="inlineStr">
        <is>
          <t>Administration</t>
        </is>
      </c>
      <c r="D10" s="115" t="inlineStr">
        <is>
          <t>Executive Administration</t>
        </is>
      </c>
      <c r="E10" s="115" t="inlineStr">
        <is>
          <t>Senior Administration Executive</t>
        </is>
      </c>
      <c r="F10" s="115" t="inlineStr">
        <is>
          <t>Not in current mapping files</t>
        </is>
      </c>
      <c r="G10" s="116" t="inlineStr">
        <is>
          <t>A3</t>
        </is>
      </c>
      <c r="H10" s="117" t="inlineStr">
        <is>
          <t>● Newly mapped</t>
        </is>
      </c>
      <c r="I10" s="111" t="inlineStr">
        <is>
          <t>IC</t>
        </is>
      </c>
      <c r="J10" s="113" t="inlineStr">
        <is>
          <t>Not rated · manager</t>
        </is>
      </c>
      <c r="K10" s="114" t="inlineStr">
        <is>
          <t>—</t>
        </is>
      </c>
      <c r="L10" s="114" t="inlineStr">
        <is>
          <t>Not placed · manager</t>
        </is>
      </c>
      <c r="M10" s="114" t="inlineStr">
        <is>
          <t>No rating data</t>
        </is>
      </c>
      <c r="N10" s="114" t="n"/>
      <c r="O10" s="114" t="inlineStr"/>
      <c r="P10" s="114" t="inlineStr"/>
      <c r="Q10" s="118" t="n"/>
      <c r="R10" s="164" t="inlineStr">
        <is>
          <t>Not assessed — no survey or KRA evidence</t>
        </is>
      </c>
      <c r="S10" s="164" t="n"/>
      <c r="T10" s="164" t="n"/>
      <c r="U10" s="164" t="n"/>
      <c r="V10" s="164" t="n"/>
      <c r="W10" s="164" t="n"/>
      <c r="X10" s="164" t="n"/>
      <c r="Y10" s="164" t="inlineStr">
        <is>
          <r>
            <rPr>
              <rFont val="Calibri"/>
              <b val="1"/>
              <sz val="10"/>
            </rPr>
            <t>Required at A3:</t>
          </r>
          <r>
            <rPr>
              <rFont val="Calibri"/>
              <sz val="10"/>
            </rPr>
            <t xml:space="preserve"> Core 2 · Future-ready 2 · Functional Regulatory domain 3 · Stakeholder mgmt 3 · Quality &amp; process 3 · Excel &amp; tools 3 · Communication 3 · Prioritisation 3 — rate in manager validation using sheet 4.</t>
          </r>
        </is>
      </c>
      <c r="Z10" s="119" t="inlineStr"/>
      <c r="AA10" s="165" t="n"/>
      <c r="AB10" s="165" t="inlineStr">
        <is>
          <t>AD.OFF-F: vendor coordination; service scheduling; purchasing controls</t>
        </is>
      </c>
      <c r="AC10" s="165" t="inlineStr"/>
      <c r="AD10" s="165" t="n"/>
      <c r="AE10" s="121" t="n"/>
      <c r="AF10" s="122" t="inlineStr">
        <is>
          <t>No survey text</t>
        </is>
      </c>
      <c r="AG10" s="122" t="inlineStr">
        <is>
          <t>No survey text</t>
        </is>
      </c>
      <c r="AH10" s="122" t="n"/>
      <c r="AI10" s="122" t="n"/>
      <c r="AJ10" s="122" t="n"/>
    </row>
    <row r="11" ht="80" customHeight="1">
      <c r="A11" s="109" t="inlineStr">
        <is>
          <t>IRIS1008</t>
        </is>
      </c>
      <c r="B11" s="111" t="inlineStr">
        <is>
          <t>Sunil Pawar</t>
        </is>
      </c>
      <c r="C11" s="111" t="inlineStr">
        <is>
          <t>Administration</t>
        </is>
      </c>
      <c r="D11" s="115" t="inlineStr">
        <is>
          <t>Executive Administration</t>
        </is>
      </c>
      <c r="E11" s="115" t="inlineStr">
        <is>
          <t>Senior Administration Executive</t>
        </is>
      </c>
      <c r="F11" s="115" t="inlineStr">
        <is>
          <t>Not in current mapping files</t>
        </is>
      </c>
      <c r="G11" s="116" t="inlineStr">
        <is>
          <t>A3</t>
        </is>
      </c>
      <c r="H11" s="117" t="inlineStr">
        <is>
          <t>● Newly mapped</t>
        </is>
      </c>
      <c r="I11" s="111" t="inlineStr">
        <is>
          <t>IC</t>
        </is>
      </c>
      <c r="J11" s="113" t="inlineStr">
        <is>
          <t>Not rated · manager</t>
        </is>
      </c>
      <c r="K11" s="114" t="inlineStr">
        <is>
          <t>—</t>
        </is>
      </c>
      <c r="L11" s="114" t="inlineStr">
        <is>
          <t>Not placed · manager</t>
        </is>
      </c>
      <c r="M11" s="114" t="inlineStr">
        <is>
          <t>No rating data</t>
        </is>
      </c>
      <c r="N11" s="114" t="n"/>
      <c r="O11" s="114" t="inlineStr"/>
      <c r="P11" s="114" t="inlineStr"/>
      <c r="Q11" s="118" t="n"/>
      <c r="R11" s="164" t="inlineStr">
        <is>
          <t>Not assessed — no survey or KRA evidence</t>
        </is>
      </c>
      <c r="S11" s="164" t="n"/>
      <c r="T11" s="164" t="n"/>
      <c r="U11" s="164" t="n"/>
      <c r="V11" s="164" t="n"/>
      <c r="W11" s="164" t="n"/>
      <c r="X11" s="164" t="n"/>
      <c r="Y11" s="164" t="inlineStr">
        <is>
          <r>
            <rPr>
              <rFont val="Calibri"/>
              <b val="1"/>
              <sz val="10"/>
            </rPr>
            <t>Required at A3:</t>
          </r>
          <r>
            <rPr>
              <rFont val="Calibri"/>
              <sz val="10"/>
            </rPr>
            <t xml:space="preserve"> Core 2 · Future-ready 2 · Functional Regulatory domain 3 · Stakeholder mgmt 3 · Quality &amp; process 3 · Excel &amp; tools 3 · Communication 3 · Prioritisation 3 — rate in manager validation using sheet 4.</t>
          </r>
        </is>
      </c>
      <c r="Z11" s="119" t="inlineStr"/>
      <c r="AA11" s="165" t="n"/>
      <c r="AB11" s="165" t="inlineStr">
        <is>
          <t>AD.OFF-F: vendor coordination; service scheduling; purchasing controls</t>
        </is>
      </c>
      <c r="AC11" s="165" t="inlineStr"/>
      <c r="AD11" s="165" t="n"/>
      <c r="AE11" s="121" t="n"/>
      <c r="AF11" s="122" t="inlineStr">
        <is>
          <t>No survey text</t>
        </is>
      </c>
      <c r="AG11" s="122" t="inlineStr">
        <is>
          <t>No survey text</t>
        </is>
      </c>
      <c r="AH11" s="122" t="n"/>
      <c r="AI11" s="122" t="n"/>
      <c r="AJ11" s="122" t="n"/>
    </row>
    <row r="12" ht="67" customHeight="1">
      <c r="A12" s="109" t="inlineStr">
        <is>
          <t>IRISC291</t>
        </is>
      </c>
      <c r="B12" s="111" t="inlineStr">
        <is>
          <t>Ganesh Prabhakar Amrutsagar</t>
        </is>
      </c>
      <c r="C12" s="111" t="inlineStr">
        <is>
          <t>Administration</t>
        </is>
      </c>
      <c r="D12" s="115" t="inlineStr">
        <is>
          <t>Consultant</t>
        </is>
      </c>
      <c r="E12" s="115" t="inlineStr">
        <is>
          <t>Associate Consultant – Administration &amp; Facilities</t>
        </is>
      </c>
      <c r="F12" s="111" t="inlineStr">
        <is>
          <t>—</t>
        </is>
      </c>
      <c r="G12" s="45" t="inlineStr">
        <is>
          <t>X1</t>
        </is>
      </c>
      <c r="H12" s="144" t="inlineStr">
        <is>
          <t>• Same level</t>
        </is>
      </c>
      <c r="I12" s="111" t="inlineStr">
        <is>
          <t>Consultant</t>
        </is>
      </c>
      <c r="J12" s="113" t="inlineStr">
        <is>
          <t>Not rated · manager</t>
        </is>
      </c>
      <c r="K12" s="114" t="n"/>
      <c r="L12" s="114" t="n"/>
      <c r="M12" s="114" t="inlineStr">
        <is>
          <t>n/a · consultant</t>
        </is>
      </c>
      <c r="N12" s="114" t="n"/>
      <c r="O12" s="114" t="inlineStr"/>
      <c r="P12" s="114" t="inlineStr"/>
      <c r="Q12" s="118" t="n"/>
      <c r="R12" s="164" t="inlineStr">
        <is>
          <t>Consultant — assessed against statement-of-work deliverables</t>
        </is>
      </c>
      <c r="S12" s="164" t="n"/>
      <c r="T12" s="164" t="n"/>
      <c r="U12" s="164" t="n"/>
      <c r="V12" s="164" t="n"/>
      <c r="W12" s="164" t="n"/>
      <c r="X12" s="164" t="n"/>
      <c r="Y12" s="164" t="inlineStr">
        <is>
          <t>Not assessed on the employee competency profile.</t>
        </is>
      </c>
      <c r="Z12" s="119" t="inlineStr"/>
      <c r="AA12" s="165" t="n"/>
      <c r="AB12" s="165" t="n"/>
      <c r="AC12" s="165" t="inlineStr"/>
      <c r="AD12" s="165" t="n"/>
      <c r="AE12" s="121" t="n"/>
      <c r="AF12" s="122" t="inlineStr">
        <is>
          <t>No survey text</t>
        </is>
      </c>
      <c r="AG12" s="122" t="inlineStr">
        <is>
          <t>No survey text</t>
        </is>
      </c>
      <c r="AH12" s="122" t="n"/>
      <c r="AI12" s="122" t="n"/>
      <c r="AJ12" s="122" t="n"/>
    </row>
    <row r="13" ht="80" customHeight="1">
      <c r="A13" s="109" t="inlineStr">
        <is>
          <t>IRIS0919</t>
        </is>
      </c>
      <c r="B13" s="111" t="inlineStr">
        <is>
          <t>Vineet Kandoi</t>
        </is>
      </c>
      <c r="C13" s="111" t="inlineStr">
        <is>
          <t>Finance</t>
        </is>
      </c>
      <c r="D13" s="111" t="inlineStr">
        <is>
          <t>Chief Financial Officer</t>
        </is>
      </c>
      <c r="E13" s="111" t="inlineStr">
        <is>
          <t>Chief Financial Officer</t>
        </is>
      </c>
      <c r="F13" s="115" t="inlineStr">
        <is>
          <t>Not in current mapping files</t>
        </is>
      </c>
      <c r="G13" s="116" t="inlineStr">
        <is>
          <t>E1</t>
        </is>
      </c>
      <c r="H13" s="117" t="inlineStr">
        <is>
          <t>● Newly mapped</t>
        </is>
      </c>
      <c r="I13" s="111" t="inlineStr">
        <is>
          <t>People Manager</t>
        </is>
      </c>
      <c r="J13" s="113" t="inlineStr">
        <is>
          <t>Not rated · manager</t>
        </is>
      </c>
      <c r="K13" s="114" t="inlineStr">
        <is>
          <t>—</t>
        </is>
      </c>
      <c r="L13" s="114" t="inlineStr">
        <is>
          <t>Not placed · manager</t>
        </is>
      </c>
      <c r="M13" s="114" t="inlineStr">
        <is>
          <t>No rating data</t>
        </is>
      </c>
      <c r="N13" s="114" t="n"/>
      <c r="O13" s="114" t="inlineStr"/>
      <c r="P13" s="114" t="inlineStr"/>
      <c r="Q13" s="118" t="n"/>
      <c r="R13" s="164" t="inlineStr">
        <is>
          <t>Not assessed — no survey or KRA evidence</t>
        </is>
      </c>
      <c r="S13" s="164" t="n"/>
      <c r="T13" s="164" t="n"/>
      <c r="U13" s="164" t="n"/>
      <c r="V13" s="164" t="n"/>
      <c r="W13" s="164" t="n"/>
      <c r="X13" s="164" t="n"/>
      <c r="Y13" s="164" t="inlineStr">
        <is>
          <r>
            <rPr>
              <rFont val="Calibri"/>
              <b val="1"/>
              <sz val="10"/>
            </rPr>
            <t>Required at E1:</t>
          </r>
          <r>
            <rPr>
              <rFont val="Calibri"/>
              <sz val="10"/>
            </rPr>
            <t xml:space="preserve"> Core 5 · Future-ready 5 · Functional Business acumen 4 · People leadership 4 · Stakeholder mgmt 4 · Product &amp; domain 4 · Regulatory domain 4 · Communication 4 · Leadership 5 — rate in manager validation using sheet 4.</t>
          </r>
        </is>
      </c>
      <c r="Z13" s="119" t="inlineStr"/>
      <c r="AA13" s="165" t="n"/>
      <c r="AB13" s="165" t="inlineStr">
        <is>
          <t>Strategic Thinking &amp; Business Acumen</t>
        </is>
      </c>
      <c r="AC13" s="165" t="inlineStr"/>
      <c r="AD13" s="165" t="n"/>
      <c r="AE13" s="121" t="n"/>
      <c r="AF13" s="122" t="inlineStr">
        <is>
          <t>No survey text</t>
        </is>
      </c>
      <c r="AG13" s="122" t="inlineStr">
        <is>
          <t>No survey text</t>
        </is>
      </c>
      <c r="AH13" s="122" t="n">
        <v>2</v>
      </c>
      <c r="AI13" s="122" t="inlineStr">
        <is>
          <t>Below norm</t>
        </is>
      </c>
      <c r="AJ13" s="122" t="n"/>
    </row>
    <row r="14" ht="80" customHeight="1">
      <c r="A14" s="109" t="inlineStr">
        <is>
          <t>IRIS1918</t>
        </is>
      </c>
      <c r="B14" s="111" t="inlineStr">
        <is>
          <t>Nishant Gupta</t>
        </is>
      </c>
      <c r="C14" s="111" t="inlineStr">
        <is>
          <t>Finance</t>
        </is>
      </c>
      <c r="D14" s="115" t="inlineStr">
        <is>
          <t>Head Finance &amp; Accounts</t>
        </is>
      </c>
      <c r="E14" s="115" t="inlineStr">
        <is>
          <t>Associate Head – Finance &amp; Accounts</t>
        </is>
      </c>
      <c r="F14" s="115" t="inlineStr">
        <is>
          <t>Not in current mapping files</t>
        </is>
      </c>
      <c r="G14" s="116" t="inlineStr">
        <is>
          <t>C1</t>
        </is>
      </c>
      <c r="H14" s="117" t="inlineStr">
        <is>
          <t>● Newly mapped</t>
        </is>
      </c>
      <c r="I14" s="111" t="inlineStr">
        <is>
          <t>People Manager</t>
        </is>
      </c>
      <c r="J14" s="113" t="inlineStr">
        <is>
          <t>Not rated · manager</t>
        </is>
      </c>
      <c r="K14" s="114" t="inlineStr">
        <is>
          <t>—</t>
        </is>
      </c>
      <c r="L14" s="114" t="inlineStr">
        <is>
          <t>Not placed · manager</t>
        </is>
      </c>
      <c r="M14" s="114" t="inlineStr">
        <is>
          <t>No rating data</t>
        </is>
      </c>
      <c r="N14" s="114" t="n"/>
      <c r="O14" s="114" t="inlineStr"/>
      <c r="P14" s="114" t="inlineStr"/>
      <c r="Q14" s="118" t="n"/>
      <c r="R14" s="164" t="inlineStr">
        <is>
          <t>Not assessed — no survey or KRA evidence</t>
        </is>
      </c>
      <c r="S14" s="164" t="n"/>
      <c r="T14" s="164" t="n"/>
      <c r="U14" s="164" t="n"/>
      <c r="V14" s="164" t="n"/>
      <c r="W14" s="164" t="n"/>
      <c r="X14" s="164" t="n"/>
      <c r="Y14" s="164" t="inlineStr">
        <is>
          <r>
            <rPr>
              <rFont val="Calibri"/>
              <b val="1"/>
              <sz val="10"/>
            </rPr>
            <t>Required at C1:</t>
          </r>
          <r>
            <rPr>
              <rFont val="Calibri"/>
              <sz val="10"/>
            </rPr>
            <t xml:space="preserve"> Core 4 · Future-ready 4 · Functional Accounting standards 4 · Excel &amp; tools 4 · Regulatory domain 4 · Analytics &amp; BI 4 · Quality &amp; process 4 · Business acumen 4 · Leadership 4 — rate in manager validation using sheet 4.</t>
          </r>
        </is>
      </c>
      <c r="Z14" s="119" t="inlineStr"/>
      <c r="AA14" s="165" t="n"/>
      <c r="AB14" s="165" t="inlineStr">
        <is>
          <t>People Leadership &amp; Mentoring; Strategic Thinking &amp; Business Acumen</t>
        </is>
      </c>
      <c r="AC14" s="165" t="inlineStr"/>
      <c r="AD14" s="165" t="n"/>
      <c r="AE14" s="121" t="n"/>
      <c r="AF14" s="122" t="inlineStr">
        <is>
          <t>No survey text</t>
        </is>
      </c>
      <c r="AG14" s="122" t="inlineStr">
        <is>
          <t>No survey text</t>
        </is>
      </c>
      <c r="AH14" s="122" t="n">
        <v>3</v>
      </c>
      <c r="AI14" s="122" t="inlineStr">
        <is>
          <t>Below norm</t>
        </is>
      </c>
      <c r="AJ14" s="122" t="inlineStr">
        <is>
          <t>Team smaller than the norm for this level — merge with a peer team, widen scope, or treat as a POD Lead.</t>
        </is>
      </c>
    </row>
    <row r="15" ht="80" customHeight="1">
      <c r="A15" s="109" t="inlineStr">
        <is>
          <t>IRIS0006</t>
        </is>
      </c>
      <c r="B15" s="111" t="inlineStr">
        <is>
          <t>Sudhakar Sawant</t>
        </is>
      </c>
      <c r="C15" s="111" t="inlineStr">
        <is>
          <t>Finance</t>
        </is>
      </c>
      <c r="D15" s="115" t="inlineStr">
        <is>
          <t>Head – Admin &amp; Internal Audit</t>
        </is>
      </c>
      <c r="E15" s="115" t="inlineStr">
        <is>
          <t>Associate Head – Admin &amp; Internal Audit</t>
        </is>
      </c>
      <c r="F15" s="115" t="inlineStr">
        <is>
          <t>Not in current mapping files</t>
        </is>
      </c>
      <c r="G15" s="116" t="inlineStr">
        <is>
          <t>C1</t>
        </is>
      </c>
      <c r="H15" s="117" t="inlineStr">
        <is>
          <t>● Newly mapped</t>
        </is>
      </c>
      <c r="I15" s="111" t="inlineStr">
        <is>
          <t>People Manager</t>
        </is>
      </c>
      <c r="J15" s="113" t="inlineStr">
        <is>
          <t>Not rated · manager</t>
        </is>
      </c>
      <c r="K15" s="114" t="inlineStr">
        <is>
          <t>—</t>
        </is>
      </c>
      <c r="L15" s="114" t="inlineStr">
        <is>
          <t>Not placed · manager</t>
        </is>
      </c>
      <c r="M15" s="114" t="inlineStr">
        <is>
          <t>No rating data</t>
        </is>
      </c>
      <c r="N15" s="114" t="n"/>
      <c r="O15" s="114" t="inlineStr"/>
      <c r="P15" s="114" t="inlineStr"/>
      <c r="Q15" s="118" t="n"/>
      <c r="R15" s="164" t="inlineStr">
        <is>
          <t>Not assessed — no survey or KRA evidence</t>
        </is>
      </c>
      <c r="S15" s="164" t="n"/>
      <c r="T15" s="164" t="n"/>
      <c r="U15" s="164" t="n"/>
      <c r="V15" s="164" t="n"/>
      <c r="W15" s="164" t="n"/>
      <c r="X15" s="164" t="n"/>
      <c r="Y15" s="164" t="inlineStr">
        <is>
          <r>
            <rPr>
              <rFont val="Calibri"/>
              <b val="1"/>
              <sz val="10"/>
            </rPr>
            <t>Required at C1:</t>
          </r>
          <r>
            <rPr>
              <rFont val="Calibri"/>
              <sz val="10"/>
            </rPr>
            <t xml:space="preserve"> Core 4 · Future-ready 4 · Functional Accounting standards 4 · Excel &amp; tools 4 · Regulatory domain 4 · Analytics &amp; BI 4 · Quality &amp; process 4 · Business acumen 4 · Leadership 4 — rate in manager validation using sheet 4.</t>
          </r>
        </is>
      </c>
      <c r="Z15" s="119" t="inlineStr"/>
      <c r="AA15" s="165" t="n"/>
      <c r="AB15" s="165" t="inlineStr">
        <is>
          <t>People Leadership &amp; Mentoring; Strategic Thinking &amp; Business Acumen</t>
        </is>
      </c>
      <c r="AC15" s="165" t="inlineStr"/>
      <c r="AD15" s="165" t="n"/>
      <c r="AE15" s="121" t="n"/>
      <c r="AF15" s="122" t="inlineStr">
        <is>
          <t>No survey text</t>
        </is>
      </c>
      <c r="AG15" s="122" t="inlineStr">
        <is>
          <t>No survey text</t>
        </is>
      </c>
      <c r="AH15" s="122" t="n">
        <v>1</v>
      </c>
      <c r="AI15" s="122" t="inlineStr">
        <is>
          <t>Below norm</t>
        </is>
      </c>
      <c r="AJ15" s="122" t="inlineStr">
        <is>
          <t>Team smaller than the norm for this level — merge with a peer team, widen scope, or treat as a POD Lead.</t>
        </is>
      </c>
    </row>
    <row r="16" ht="171" customHeight="1">
      <c r="A16" s="109" t="inlineStr">
        <is>
          <t>IRIS1508</t>
        </is>
      </c>
      <c r="B16" s="111" t="inlineStr">
        <is>
          <t>Winny Nair</t>
        </is>
      </c>
      <c r="C16" s="111" t="inlineStr">
        <is>
          <t>Finance</t>
        </is>
      </c>
      <c r="D16" s="115" t="inlineStr">
        <is>
          <t>Manager - Finance and Accounts</t>
        </is>
      </c>
      <c r="E16" s="115" t="inlineStr">
        <is>
          <t>Senior Finance Specialist – POD Lead</t>
        </is>
      </c>
      <c r="F16" s="115" t="inlineStr">
        <is>
          <t>Not in current mapping files</t>
        </is>
      </c>
      <c r="G16" s="116" t="inlineStr">
        <is>
          <t>B2</t>
        </is>
      </c>
      <c r="H16" s="117" t="inlineStr">
        <is>
          <t>● Newly mapped</t>
        </is>
      </c>
      <c r="I16" s="111" t="inlineStr">
        <is>
          <t>POD Lead</t>
        </is>
      </c>
      <c r="J16" s="113" t="inlineStr">
        <is>
          <t>Not rated · manager</t>
        </is>
      </c>
      <c r="K16" s="114" t="inlineStr">
        <is>
          <t>—</t>
        </is>
      </c>
      <c r="L16" s="114" t="inlineStr">
        <is>
          <t>Not placed · manager</t>
        </is>
      </c>
      <c r="M16" s="114" t="inlineStr">
        <is>
          <t>No rating data</t>
        </is>
      </c>
      <c r="N16" s="114" t="n"/>
      <c r="O16" s="114" t="inlineStr"/>
      <c r="P16" s="114" t="inlineStr"/>
      <c r="Q16" s="118" t="n">
        <v>87</v>
      </c>
      <c r="R16" s="164" t="inlineStr">
        <is>
          <t>Developing</t>
        </is>
      </c>
      <c r="S16" s="164" t="n">
        <v>81</v>
      </c>
      <c r="T16" s="164" t="n">
        <v>83</v>
      </c>
      <c r="U16" s="164" t="n">
        <v>90</v>
      </c>
      <c r="V16" s="164" t="n">
        <v>92</v>
      </c>
      <c r="W16" s="164" t="inlineStr">
        <is>
          <t>Accounting standards, Analytics &amp; BI, Quality &amp; process</t>
        </is>
      </c>
      <c r="X16" s="164" t="inlineStr">
        <is>
          <r>
            <rPr>
              <rFont val="Calibri"/>
              <b val="1"/>
              <sz val="10"/>
            </rPr>
            <t>B3:</t>
          </r>
          <r>
            <rPr>
              <rFont val="Calibri"/>
              <sz val="10"/>
            </rPr>
            <t xml:space="preserve"> 78% of profile — close</t>
          </r>
        </is>
      </c>
      <c r="Y16" s="164" t="inlineStr">
        <is>
          <r>
            <rPr>
              <rFont val="Calibri"/>
              <b val="1"/>
              <sz val="10"/>
            </rPr>
            <t>Evidence:</t>
          </r>
          <r>
            <rPr>
              <rFont val="Calibri"/>
              <sz val="10"/>
            </rPr>
            <t xml:space="preserve"> Survey | Core: Ownership 2/3, Problem solving 2/3, Communication &amp; collaboration 3/3, Client &amp; quality focus 2/3, Learning agility 2/3, Integrity &amp; compliance 4/3 | Future-ready: AI literacy 2/3, Data literacy 3/3, Digital fluency 3/3, Innovation 2/3 | Functional: Accounting standards 3/4, Excel &amp; tools 5/4, Regulatory domain 5/4, Analytics &amp; BI 3/4, Quality &amp; process 3/4, Business acumen 3/4 | Leadership: Developing people 3/3, Decision making 3/3, Strategic acumen 2/3, Influence &amp; change 3/3</t>
          </r>
        </is>
      </c>
      <c r="Z16" s="119" t="inlineStr">
        <is>
          <t>Leadership &amp; people management</t>
        </is>
      </c>
      <c r="AA16" s="165" t="n"/>
      <c r="AB16" s="165" t="inlineStr">
        <is>
          <t>People Leadership &amp; Mentoring; AI, GenAI &amp; Prompt Engineering; Project, Program &amp; Agile Management</t>
        </is>
      </c>
      <c r="AC16" s="165" t="inlineStr">
        <is>
          <t>Leadership &amp; people management</t>
        </is>
      </c>
      <c r="AD16" s="165" t="n"/>
      <c r="AE16" s="121" t="inlineStr">
        <is>
          <t>No strong match from survey evidence</t>
        </is>
      </c>
      <c r="AF16" s="122" t="inlineStr">
        <is>
          <t>Radhika Karnani · Finance Specialist — 0.38: subsidiary, erp, finance, office</t>
        </is>
      </c>
      <c r="AG16" s="122" t="inlineStr">
        <is>
          <t>No close match in other businesses</t>
        </is>
      </c>
      <c r="AH16" s="122" t="n">
        <v>1</v>
      </c>
      <c r="AI16" s="122" t="inlineStr">
        <is>
          <t>POD Lead</t>
        </is>
      </c>
      <c r="AJ16" s="122" t="n"/>
    </row>
    <row r="17" ht="171" customHeight="1">
      <c r="A17" s="109" t="inlineStr">
        <is>
          <t>IRIS1724</t>
        </is>
      </c>
      <c r="B17" s="111" t="inlineStr">
        <is>
          <t>Anita Chavan</t>
        </is>
      </c>
      <c r="C17" s="111" t="inlineStr">
        <is>
          <t>Finance</t>
        </is>
      </c>
      <c r="D17" s="115" t="inlineStr">
        <is>
          <t>Senior Executive Accounts</t>
        </is>
      </c>
      <c r="E17" s="115" t="inlineStr">
        <is>
          <t>Accounts Specialist – POD Lead</t>
        </is>
      </c>
      <c r="F17" s="115" t="inlineStr">
        <is>
          <t>Not in current mapping files</t>
        </is>
      </c>
      <c r="G17" s="116" t="inlineStr">
        <is>
          <t>B1</t>
        </is>
      </c>
      <c r="H17" s="117" t="inlineStr">
        <is>
          <t>● Newly mapped</t>
        </is>
      </c>
      <c r="I17" s="111" t="inlineStr">
        <is>
          <t>POD Lead</t>
        </is>
      </c>
      <c r="J17" s="113" t="inlineStr">
        <is>
          <t>Not rated · manager</t>
        </is>
      </c>
      <c r="K17" s="114" t="inlineStr">
        <is>
          <t>—</t>
        </is>
      </c>
      <c r="L17" s="114" t="inlineStr">
        <is>
          <t>Not placed · manager</t>
        </is>
      </c>
      <c r="M17" s="114" t="inlineStr">
        <is>
          <t>No rating data</t>
        </is>
      </c>
      <c r="N17" s="114" t="n"/>
      <c r="O17" s="114" t="inlineStr"/>
      <c r="P17" s="114" t="inlineStr"/>
      <c r="Q17" s="118" t="n">
        <v>89</v>
      </c>
      <c r="R17" s="164" t="inlineStr">
        <is>
          <t>Developing</t>
        </is>
      </c>
      <c r="S17" s="164" t="n">
        <v>98</v>
      </c>
      <c r="T17" s="164" t="n">
        <v>97</v>
      </c>
      <c r="U17" s="164" t="n">
        <v>87</v>
      </c>
      <c r="V17" s="164" t="n">
        <v>75</v>
      </c>
      <c r="W17" s="164" t="inlineStr">
        <is>
          <t>Excel &amp; tools, Analytics &amp; BI, Business acumen</t>
        </is>
      </c>
      <c r="X17" s="164" t="inlineStr">
        <is>
          <r>
            <rPr>
              <rFont val="Calibri"/>
              <b val="1"/>
              <sz val="10"/>
            </rPr>
            <t>B2:</t>
          </r>
          <r>
            <rPr>
              <rFont val="Calibri"/>
              <sz val="10"/>
            </rPr>
            <t xml:space="preserve"> 76% of profile — close</t>
          </r>
        </is>
      </c>
      <c r="Y17" s="164" t="inlineStr">
        <is>
          <r>
            <rPr>
              <rFont val="Calibri"/>
              <b val="1"/>
              <sz val="10"/>
            </rPr>
            <t>Evidence:</t>
          </r>
          <r>
            <rPr>
              <rFont val="Calibri"/>
              <sz val="10"/>
            </rPr>
            <t xml:space="preserve"> Survey | Core: Ownership 3/3, Problem solving 3/3, Communication &amp; collaboration 2/3, Client &amp; quality focus 3/3, Learning agility 3/3, Integrity &amp; compliance 4/3 | Future-ready: AI literacy 3/3, Data literacy 3/3, Digital fluency 4/3, Innovation 2/3 | Functional: Accounting standards 3/3, Excel &amp; tools 2/3, Regulatory domain 4/3, Analytics &amp; BI 2/3, Quality &amp; process 3/3, Business acumen 2/3 | Leadership: Developing people 2/2, Decision making 2/2, Strategic acumen 1/2, Influence &amp; change 1/2</t>
          </r>
        </is>
      </c>
      <c r="Z17" s="119" t="inlineStr">
        <is>
          <t>Answered · no common topic</t>
        </is>
      </c>
      <c r="AA17" s="165" t="n"/>
      <c r="AB17" s="165" t="inlineStr">
        <is>
          <t>Product, Platform &amp; Domain Knowledge; Project, Program &amp; Agile Management; Process Improvement &amp; Quality Mindset</t>
        </is>
      </c>
      <c r="AC17" s="165" t="inlineStr">
        <is>
          <t>Answered · no common topic</t>
        </is>
      </c>
      <c r="AD17" s="165" t="n"/>
      <c r="AE17" s="121" t="inlineStr">
        <is>
          <t>No strong match from survey evidence</t>
        </is>
      </c>
      <c r="AF17" s="122" t="inlineStr">
        <is>
          <t>Gaurangee Gaurav Tawde · Senior Accounts Executive — 0.37: bank, gst, erp, compliance</t>
        </is>
      </c>
      <c r="AG17" s="122" t="inlineStr">
        <is>
          <t>No close match in other businesses</t>
        </is>
      </c>
      <c r="AH17" s="122" t="n">
        <v>1</v>
      </c>
      <c r="AI17" s="122" t="inlineStr">
        <is>
          <t>POD Lead</t>
        </is>
      </c>
      <c r="AJ17" s="122" t="n"/>
    </row>
    <row r="18" ht="171" customHeight="1">
      <c r="A18" s="109" t="inlineStr">
        <is>
          <t>IRIS1557</t>
        </is>
      </c>
      <c r="B18" s="111" t="inlineStr">
        <is>
          <t>Gaurangee Gaurav Tawde</t>
        </is>
      </c>
      <c r="C18" s="111" t="inlineStr">
        <is>
          <t>Finance</t>
        </is>
      </c>
      <c r="D18" s="115" t="inlineStr">
        <is>
          <t>Senior Executive Accounts</t>
        </is>
      </c>
      <c r="E18" s="115" t="inlineStr">
        <is>
          <t>Accounts Specialist – POD Lead</t>
        </is>
      </c>
      <c r="F18" s="115" t="inlineStr">
        <is>
          <t>Not in current mapping files</t>
        </is>
      </c>
      <c r="G18" s="116" t="inlineStr">
        <is>
          <t>B1</t>
        </is>
      </c>
      <c r="H18" s="117" t="inlineStr">
        <is>
          <t>● Newly mapped</t>
        </is>
      </c>
      <c r="I18" s="111" t="inlineStr">
        <is>
          <t>POD Lead</t>
        </is>
      </c>
      <c r="J18" s="113" t="inlineStr">
        <is>
          <t>Not rated · manager</t>
        </is>
      </c>
      <c r="K18" s="114" t="inlineStr">
        <is>
          <t>—</t>
        </is>
      </c>
      <c r="L18" s="114" t="inlineStr">
        <is>
          <t>Not placed · manager</t>
        </is>
      </c>
      <c r="M18" s="114" t="inlineStr">
        <is>
          <t>No rating data</t>
        </is>
      </c>
      <c r="N18" s="114" t="n"/>
      <c r="O18" s="114" t="inlineStr"/>
      <c r="P18" s="114" t="inlineStr"/>
      <c r="Q18" s="118" t="n">
        <v>86</v>
      </c>
      <c r="R18" s="164" t="inlineStr">
        <is>
          <t>Developing</t>
        </is>
      </c>
      <c r="S18" s="164" t="n">
        <v>87</v>
      </c>
      <c r="T18" s="164" t="n">
        <v>92</v>
      </c>
      <c r="U18" s="164" t="n">
        <v>90</v>
      </c>
      <c r="V18" s="164" t="n">
        <v>75</v>
      </c>
      <c r="W18" s="164" t="inlineStr">
        <is>
          <t>Excel &amp; tools, Analytics &amp; BI, Business acumen</t>
        </is>
      </c>
      <c r="X18" s="164" t="inlineStr">
        <is>
          <r>
            <rPr>
              <rFont val="Calibri"/>
              <b val="1"/>
              <sz val="10"/>
            </rPr>
            <t>B2:</t>
          </r>
          <r>
            <rPr>
              <rFont val="Calibri"/>
              <sz val="10"/>
            </rPr>
            <t xml:space="preserve"> 74% of profile — not yet</t>
          </r>
        </is>
      </c>
      <c r="Y18" s="164" t="inlineStr">
        <is>
          <r>
            <rPr>
              <rFont val="Calibri"/>
              <b val="1"/>
              <sz val="10"/>
            </rPr>
            <t>Evidence:</t>
          </r>
          <r>
            <rPr>
              <rFont val="Calibri"/>
              <sz val="10"/>
            </rPr>
            <t xml:space="preserve"> Survey | Core: Ownership 2/3, Problem solving 2/3, Communication &amp; collaboration 3/3, Client &amp; quality focus 3/3, Learning agility 2/3, Integrity &amp; compliance 4/3 | Future-ready: AI literacy 2/3, Data literacy 3/3, Digital fluency 3/3, Innovation 3/3 | Functional: Accounting standards 4/3, Excel &amp; tools 2/3, Regulatory domain 4/3, Analytics &amp; BI 2/3, Quality &amp; process 3/3, Business acumen 2/3 | Leadership: Developing people 2/2, Decision making 1/2, Strategic acumen 1/2, Influence &amp; change 2/2</t>
          </r>
        </is>
      </c>
      <c r="Z18" s="119" t="inlineStr">
        <is>
          <t>Leadership &amp; people management</t>
        </is>
      </c>
      <c r="AA18" s="165" t="n"/>
      <c r="AB18" s="165" t="inlineStr">
        <is>
          <t>Project, Program &amp; Agile Management; AI, GenAI &amp; Prompt Engineering; Data Analytics, BI &amp; Visualisation</t>
        </is>
      </c>
      <c r="AC18" s="165" t="inlineStr">
        <is>
          <t>Leadership &amp; people management</t>
        </is>
      </c>
      <c r="AD18" s="165" t="n"/>
      <c r="AE18" s="121" t="inlineStr">
        <is>
          <t>No strong match from survey evidence</t>
        </is>
      </c>
      <c r="AF18" s="122" t="inlineStr">
        <is>
          <t>Anita Chavan · Senior Accounts Executive — 0.37: bank, gst, erp, compliance; Radhika Karnani · Finance Specialist — 0.35: accounting, sales, erp, finance; Shreya Singh · Finance Specialist – POD Lead — 0.31: erp, sales, finance, accounting</t>
        </is>
      </c>
      <c r="AG18" s="122" t="inlineStr">
        <is>
          <t>No close match in other businesses</t>
        </is>
      </c>
      <c r="AH18" s="122" t="n">
        <v>1</v>
      </c>
      <c r="AI18" s="122" t="inlineStr">
        <is>
          <t>POD Lead</t>
        </is>
      </c>
      <c r="AJ18" s="122" t="n"/>
    </row>
    <row r="19" ht="171" customHeight="1">
      <c r="A19" s="109" t="inlineStr">
        <is>
          <t>IRIS2547</t>
        </is>
      </c>
      <c r="B19" s="111" t="inlineStr">
        <is>
          <t>Lalit Choudhary</t>
        </is>
      </c>
      <c r="C19" s="111" t="inlineStr">
        <is>
          <t>Finance</t>
        </is>
      </c>
      <c r="D19" s="115" t="inlineStr">
        <is>
          <t>Assistant Manager - Finance and Accounts</t>
        </is>
      </c>
      <c r="E19" s="115" t="inlineStr">
        <is>
          <t>Finance Specialist</t>
        </is>
      </c>
      <c r="F19" s="115" t="inlineStr">
        <is>
          <t>Not in current mapping files</t>
        </is>
      </c>
      <c r="G19" s="116" t="inlineStr">
        <is>
          <t>B1</t>
        </is>
      </c>
      <c r="H19" s="117" t="inlineStr">
        <is>
          <t>● Newly mapped</t>
        </is>
      </c>
      <c r="I19" s="111" t="inlineStr">
        <is>
          <t>IC</t>
        </is>
      </c>
      <c r="J19" s="113" t="inlineStr">
        <is>
          <t>Not rated · manager</t>
        </is>
      </c>
      <c r="K19" s="114" t="inlineStr">
        <is>
          <t>—</t>
        </is>
      </c>
      <c r="L19" s="114" t="inlineStr">
        <is>
          <t>Not placed · manager</t>
        </is>
      </c>
      <c r="M19" s="114" t="inlineStr">
        <is>
          <t>No rating data</t>
        </is>
      </c>
      <c r="N19" s="114" t="n"/>
      <c r="O19" s="114" t="inlineStr"/>
      <c r="P19" s="114" t="inlineStr"/>
      <c r="Q19" s="118" t="n">
        <v>91</v>
      </c>
      <c r="R19" s="164" t="inlineStr">
        <is>
          <t>Meets the level</t>
        </is>
      </c>
      <c r="S19" s="164" t="n">
        <v>87</v>
      </c>
      <c r="T19" s="164" t="n">
        <v>75</v>
      </c>
      <c r="U19" s="164" t="n">
        <v>98</v>
      </c>
      <c r="V19" s="164" t="n">
        <v>100</v>
      </c>
      <c r="W19" s="164" t="inlineStr">
        <is>
          <t>Quality &amp; process, Ownership, Communication &amp; collaboration</t>
        </is>
      </c>
      <c r="X19" s="164" t="inlineStr">
        <is>
          <r>
            <rPr>
              <rFont val="Calibri"/>
              <b val="1"/>
              <sz val="10"/>
            </rPr>
            <t>B2:</t>
          </r>
          <r>
            <rPr>
              <rFont val="Calibri"/>
              <sz val="10"/>
            </rPr>
            <t xml:space="preserve"> 75% of profile — close</t>
          </r>
        </is>
      </c>
      <c r="Y19" s="164" t="inlineStr">
        <is>
          <r>
            <rPr>
              <rFont val="Calibri"/>
              <b val="1"/>
              <sz val="10"/>
            </rPr>
            <t>Evidence:</t>
          </r>
          <r>
            <rPr>
              <rFont val="Calibri"/>
              <sz val="10"/>
            </rPr>
            <t xml:space="preserve"> Survey | Core: Ownership 2/3, Problem solving 4/3, Communication &amp; collaboration 2/3, Client &amp; quality focus 3/3, Learning agility 2/3, Integrity &amp; compliance 3/3 | Future-ready: AI literacy 2/3, Data literacy 3/3, Digital fluency 2/3, Innovation 2/3 | Functional: Accounting standards 3/3, Excel &amp; tools 3/3, Regulatory domain 3/3, Analytics &amp; BI 3/3, Quality &amp; process 2/3, Business acumen 4/3 | Leadership: Developing people 1/1, Decision making 1/1, Strategic acumen 1/1, Influence &amp; change 1/1</t>
          </r>
        </is>
      </c>
      <c r="Z19" s="119" t="inlineStr">
        <is>
          <t>Answered · no common topic</t>
        </is>
      </c>
      <c r="AA19" s="165" t="n"/>
      <c r="AB19" s="165" t="inlineStr">
        <is>
          <t>Advanced Excel &amp; Productivity Tools; People Leadership &amp; Mentoring; Project, Program &amp; Agile Management</t>
        </is>
      </c>
      <c r="AC19" s="165" t="inlineStr">
        <is>
          <t>Answered · no common topic</t>
        </is>
      </c>
      <c r="AD19" s="165" t="n"/>
      <c r="AE19" s="121" t="inlineStr">
        <is>
          <t>No strong match from survey evidence</t>
        </is>
      </c>
      <c r="AF19" s="122" t="inlineStr">
        <is>
          <t>No material overlap found</t>
        </is>
      </c>
      <c r="AG19" s="122" t="inlineStr">
        <is>
          <t>No close match in other businesses</t>
        </is>
      </c>
      <c r="AH19" s="122" t="n"/>
      <c r="AI19" s="122" t="n"/>
      <c r="AJ19" s="122" t="n"/>
    </row>
    <row r="20" ht="171" customHeight="1">
      <c r="A20" s="109" t="inlineStr">
        <is>
          <t>IRIS2561</t>
        </is>
      </c>
      <c r="B20" s="111" t="inlineStr">
        <is>
          <t>Radhika Karnani</t>
        </is>
      </c>
      <c r="C20" s="111" t="inlineStr">
        <is>
          <t>Finance</t>
        </is>
      </c>
      <c r="D20" s="115" t="inlineStr">
        <is>
          <t>Assistant Manager - Finance and Accounts</t>
        </is>
      </c>
      <c r="E20" s="115" t="inlineStr">
        <is>
          <t>Finance Specialist</t>
        </is>
      </c>
      <c r="F20" s="115" t="inlineStr">
        <is>
          <t>Not in current mapping files</t>
        </is>
      </c>
      <c r="G20" s="116" t="inlineStr">
        <is>
          <t>B1</t>
        </is>
      </c>
      <c r="H20" s="117" t="inlineStr">
        <is>
          <t>● Newly mapped</t>
        </is>
      </c>
      <c r="I20" s="111" t="inlineStr">
        <is>
          <t>IC</t>
        </is>
      </c>
      <c r="J20" s="113" t="inlineStr">
        <is>
          <t>Not rated · manager</t>
        </is>
      </c>
      <c r="K20" s="114" t="inlineStr">
        <is>
          <t>—</t>
        </is>
      </c>
      <c r="L20" s="114" t="inlineStr">
        <is>
          <t>Not placed · manager</t>
        </is>
      </c>
      <c r="M20" s="114" t="inlineStr">
        <is>
          <t>No rating data</t>
        </is>
      </c>
      <c r="N20" s="114" t="n"/>
      <c r="O20" s="114" t="inlineStr"/>
      <c r="P20" s="114" t="inlineStr"/>
      <c r="Q20" s="118" t="n">
        <v>93</v>
      </c>
      <c r="R20" s="164" t="inlineStr">
        <is>
          <t>Meets the level</t>
        </is>
      </c>
      <c r="S20" s="164" t="n">
        <v>89</v>
      </c>
      <c r="T20" s="164" t="n">
        <v>83</v>
      </c>
      <c r="U20" s="164" t="n">
        <v>99</v>
      </c>
      <c r="V20" s="164" t="n">
        <v>100</v>
      </c>
      <c r="W20" s="164" t="inlineStr">
        <is>
          <t>Analytics &amp; BI, Business acumen, Ownership</t>
        </is>
      </c>
      <c r="X20" s="164" t="inlineStr">
        <is>
          <r>
            <rPr>
              <rFont val="Calibri"/>
              <b val="1"/>
              <sz val="10"/>
            </rPr>
            <t>B2:</t>
          </r>
          <r>
            <rPr>
              <rFont val="Calibri"/>
              <sz val="10"/>
            </rPr>
            <t xml:space="preserve"> 80% of profile — close</t>
          </r>
        </is>
      </c>
      <c r="Y20" s="164" t="inlineStr">
        <is>
          <r>
            <rPr>
              <rFont val="Calibri"/>
              <b val="1"/>
              <sz val="10"/>
            </rPr>
            <t>Evidence:</t>
          </r>
          <r>
            <rPr>
              <rFont val="Calibri"/>
              <sz val="10"/>
            </rPr>
            <t xml:space="preserve"> Survey | Core: Ownership 2/3, Problem solving 3/3, Communication &amp; collaboration 3/3, Client &amp; quality focus 3/3, Learning agility 2/3, Integrity &amp; compliance 3/3 | Future-ready: AI literacy 2/3, Data literacy 3/3, Digital fluency 2/3, Innovation 3/3 | Functional: Accounting standards 4/3, Excel &amp; tools 4/3, Regulatory domain 4/3, Analytics &amp; BI 2/3, Quality &amp; process 3/3, Business acumen 2/3 | Leadership: Developing people 1/1, Decision making 1/1, Strategic acumen 1/1, Influence &amp; change 1/1</t>
          </r>
        </is>
      </c>
      <c r="Z20" s="119" t="inlineStr">
        <is>
          <t>Answered · no common topic</t>
        </is>
      </c>
      <c r="AA20" s="165" t="n"/>
      <c r="AB20" s="165" t="inlineStr">
        <is>
          <t>People Leadership &amp; Mentoring; Project, Program &amp; Agile Management; Stakeholder &amp; Client Management</t>
        </is>
      </c>
      <c r="AC20" s="165" t="inlineStr">
        <is>
          <t>Answered · no common topic</t>
        </is>
      </c>
      <c r="AD20" s="165" t="n"/>
      <c r="AE20" s="121" t="inlineStr">
        <is>
          <t>No strong match from survey evidence</t>
        </is>
      </c>
      <c r="AF20" s="122" t="inlineStr">
        <is>
          <t>Shreya Singh · Finance Specialist – POD Lead — 0.39: sales, erp, order, invoice; Winny Nair · Senior Finance Specialist – POD Lead — 0.38: subsidiary, erp, finance, office; Gaurangee Gaurav Tawde · Senior Accounts Executive — 0.35: accounting, sales, erp, finance</t>
        </is>
      </c>
      <c r="AG20" s="122" t="inlineStr">
        <is>
          <t>No close match in other businesses</t>
        </is>
      </c>
      <c r="AH20" s="122" t="n"/>
      <c r="AI20" s="122" t="n"/>
      <c r="AJ20" s="122" t="n"/>
    </row>
    <row r="21" ht="171" customHeight="1">
      <c r="A21" s="109" t="inlineStr">
        <is>
          <t>IRIS2214</t>
        </is>
      </c>
      <c r="B21" s="111" t="inlineStr">
        <is>
          <t>Shreya Singh</t>
        </is>
      </c>
      <c r="C21" s="111" t="inlineStr">
        <is>
          <t>Finance</t>
        </is>
      </c>
      <c r="D21" s="115" t="inlineStr">
        <is>
          <t>Assistant Manager - Finance and Accounts</t>
        </is>
      </c>
      <c r="E21" s="115" t="inlineStr">
        <is>
          <t>Finance Specialist – POD Lead</t>
        </is>
      </c>
      <c r="F21" s="115" t="inlineStr">
        <is>
          <t>Not in current mapping files</t>
        </is>
      </c>
      <c r="G21" s="116" t="inlineStr">
        <is>
          <t>B1</t>
        </is>
      </c>
      <c r="H21" s="117" t="inlineStr">
        <is>
          <t>● Newly mapped</t>
        </is>
      </c>
      <c r="I21" s="111" t="inlineStr">
        <is>
          <t>POD Lead</t>
        </is>
      </c>
      <c r="J21" s="113" t="inlineStr">
        <is>
          <t>Not rated · manager</t>
        </is>
      </c>
      <c r="K21" s="114" t="inlineStr">
        <is>
          <t>—</t>
        </is>
      </c>
      <c r="L21" s="114" t="inlineStr">
        <is>
          <t>Not placed · manager</t>
        </is>
      </c>
      <c r="M21" s="114" t="inlineStr">
        <is>
          <t>No rating data</t>
        </is>
      </c>
      <c r="N21" s="114" t="n"/>
      <c r="O21" s="114" t="inlineStr"/>
      <c r="P21" s="114" t="inlineStr"/>
      <c r="Q21" s="118" t="n">
        <v>93</v>
      </c>
      <c r="R21" s="164" t="inlineStr">
        <is>
          <t>Meets the level</t>
        </is>
      </c>
      <c r="S21" s="164" t="n">
        <v>83</v>
      </c>
      <c r="T21" s="164" t="n">
        <v>88</v>
      </c>
      <c r="U21" s="164" t="n">
        <v>96</v>
      </c>
      <c r="V21" s="164" t="n">
        <v>105</v>
      </c>
      <c r="W21" s="164" t="inlineStr">
        <is>
          <t>Analytics &amp; BI, Quality &amp; process, Ownership</t>
        </is>
      </c>
      <c r="X21" s="164" t="inlineStr">
        <is>
          <r>
            <rPr>
              <rFont val="Calibri"/>
              <b val="1"/>
              <sz val="10"/>
            </rPr>
            <t>B2:</t>
          </r>
          <r>
            <rPr>
              <rFont val="Calibri"/>
              <sz val="10"/>
            </rPr>
            <t xml:space="preserve"> 79% of profile — close</t>
          </r>
        </is>
      </c>
      <c r="Y21" s="164" t="inlineStr">
        <is>
          <r>
            <rPr>
              <rFont val="Calibri"/>
              <b val="1"/>
              <sz val="10"/>
            </rPr>
            <t>Evidence:</t>
          </r>
          <r>
            <rPr>
              <rFont val="Calibri"/>
              <sz val="10"/>
            </rPr>
            <t xml:space="preserve"> Survey | Core: Ownership 2/3, Problem solving 2/3, Communication &amp; collaboration 3/3, Client &amp; quality focus 3/3, Learning agility 2/3, Integrity &amp; compliance 3/3 | Future-ready: AI literacy 2/3, Data literacy 4/3, Digital fluency 3/3, Innovation 2/3 | Functional: Accounting standards 4/3, Excel &amp; tools 3/3, Regulatory domain 3/3, Analytics &amp; BI 2/3, Quality &amp; process 2/3, Business acumen 4/3 | Leadership: Developing people 2/2, Decision making 2/2, Strategic acumen 3/2, Influence &amp; change 2/2</t>
          </r>
        </is>
      </c>
      <c r="Z21" s="119" t="inlineStr">
        <is>
          <t>Strategy &amp; business acumen · Certification / formal course · Broader exposure &amp; ownership</t>
        </is>
      </c>
      <c r="AA21" s="165" t="n"/>
      <c r="AB21" s="165" t="inlineStr">
        <is>
          <t>AI, GenAI &amp; Prompt Engineering; People Leadership &amp; Mentoring; Project, Program &amp; Agile Management</t>
        </is>
      </c>
      <c r="AC21" s="165" t="inlineStr">
        <is>
          <t>Strategy &amp; business acumen · Certification / formal course · Broader exposure &amp; ownership</t>
        </is>
      </c>
      <c r="AD21" s="165" t="n"/>
      <c r="AE21" s="121" t="inlineStr">
        <is>
          <t>No strong match from survey evidence</t>
        </is>
      </c>
      <c r="AF21" s="122" t="inlineStr">
        <is>
          <t>Radhika Karnani · Finance Specialist — 0.39: sales, erp, order, invoice; Gaurangee Gaurav Tawde · Senior Accounts Executive — 0.31: erp, sales, finance, accounting</t>
        </is>
      </c>
      <c r="AG21" s="122" t="inlineStr">
        <is>
          <t>No close match in other businesses</t>
        </is>
      </c>
      <c r="AH21" s="122" t="n">
        <v>2</v>
      </c>
      <c r="AI21" s="122" t="inlineStr">
        <is>
          <t>POD Lead</t>
        </is>
      </c>
      <c r="AJ21" s="122" t="n"/>
    </row>
    <row r="22" ht="132" customHeight="1">
      <c r="A22" s="109" t="inlineStr">
        <is>
          <t>IRIS2217</t>
        </is>
      </c>
      <c r="B22" s="111" t="inlineStr">
        <is>
          <t>Bhushan Kashid</t>
        </is>
      </c>
      <c r="C22" s="111" t="inlineStr">
        <is>
          <t>Finance</t>
        </is>
      </c>
      <c r="D22" s="115" t="inlineStr">
        <is>
          <t>Executive Accounts</t>
        </is>
      </c>
      <c r="E22" s="115" t="inlineStr">
        <is>
          <t>Senior Accounts Executive</t>
        </is>
      </c>
      <c r="F22" s="115" t="inlineStr">
        <is>
          <t>Not in current mapping files</t>
        </is>
      </c>
      <c r="G22" s="116" t="inlineStr">
        <is>
          <t>A3</t>
        </is>
      </c>
      <c r="H22" s="117" t="inlineStr">
        <is>
          <t>● Newly mapped</t>
        </is>
      </c>
      <c r="I22" s="111" t="inlineStr">
        <is>
          <t>IC</t>
        </is>
      </c>
      <c r="J22" s="113" t="inlineStr">
        <is>
          <t>Not rated · manager</t>
        </is>
      </c>
      <c r="K22" s="114" t="inlineStr">
        <is>
          <t>—</t>
        </is>
      </c>
      <c r="L22" s="114" t="inlineStr">
        <is>
          <t>Not placed · manager</t>
        </is>
      </c>
      <c r="M22" s="114" t="inlineStr">
        <is>
          <t>No rating data</t>
        </is>
      </c>
      <c r="N22" s="114" t="n"/>
      <c r="O22" s="114" t="inlineStr"/>
      <c r="P22" s="114" t="inlineStr"/>
      <c r="Q22" s="118" t="n">
        <v>86</v>
      </c>
      <c r="R22" s="164" t="inlineStr">
        <is>
          <t>Developing</t>
        </is>
      </c>
      <c r="S22" s="164" t="n">
        <v>78</v>
      </c>
      <c r="T22" s="164" t="n">
        <v>80</v>
      </c>
      <c r="U22" s="164" t="n">
        <v>93</v>
      </c>
      <c r="V22" s="164" t="n"/>
      <c r="W22" s="164" t="inlineStr">
        <is>
          <t>Regulatory domain, Analytics &amp; BI, Business acumen</t>
        </is>
      </c>
      <c r="X22" s="164" t="inlineStr">
        <is>
          <r>
            <rPr>
              <rFont val="Calibri"/>
              <b val="1"/>
              <sz val="10"/>
            </rPr>
            <t>B1:</t>
          </r>
          <r>
            <rPr>
              <rFont val="Calibri"/>
              <sz val="10"/>
            </rPr>
            <t xml:space="preserve"> 78% of profile — close</t>
          </r>
        </is>
      </c>
      <c r="Y22" s="164" t="inlineStr">
        <is>
          <r>
            <rPr>
              <rFont val="Calibri"/>
              <b val="1"/>
              <sz val="10"/>
            </rPr>
            <t>Evidence:</t>
          </r>
          <r>
            <rPr>
              <rFont val="Calibri"/>
              <sz val="10"/>
            </rPr>
            <t xml:space="preserve"> Survey | Core: Ownership 1/2, Problem solving 1/2, Communication &amp; collaboration 2/2, Client &amp; quality focus 3/2, Learning agility 1/2, Integrity &amp; compliance 2/2 | Future-ready: AI literacy 1/2, Data literacy 3/2, Digital fluency 2/2, Innovation 1/2 | Functional: Accounting standards 4/3, Excel &amp; tools 4/3, Regulatory domain 2/3, Analytics &amp; BI 2/3, Quality &amp; process 4/3, Business acumen 2/3</t>
          </r>
        </is>
      </c>
      <c r="Z22" s="119" t="inlineStr">
        <is>
          <t>Domain, regulatory &amp; XBRL</t>
        </is>
      </c>
      <c r="AA22" s="165" t="n"/>
      <c r="AB22" s="165" t="inlineStr">
        <is>
          <t>AI, GenAI &amp; Prompt Engineering; Project, Program &amp; Agile Management</t>
        </is>
      </c>
      <c r="AC22" s="165" t="inlineStr">
        <is>
          <t>Domain, regulatory &amp; XBRL</t>
        </is>
      </c>
      <c r="AD22" s="165" t="n"/>
      <c r="AE22" s="121" t="inlineStr">
        <is>
          <t>No strong match from survey evidence</t>
        </is>
      </c>
      <c r="AF22" s="122" t="inlineStr">
        <is>
          <t>No material overlap found</t>
        </is>
      </c>
      <c r="AG22" s="122" t="inlineStr">
        <is>
          <t>No close match in other businesses</t>
        </is>
      </c>
      <c r="AH22" s="122" t="n"/>
      <c r="AI22" s="122" t="n"/>
      <c r="AJ22" s="122" t="n"/>
    </row>
    <row r="23" ht="132" customHeight="1">
      <c r="A23" s="109" t="inlineStr">
        <is>
          <t>IRIS2062</t>
        </is>
      </c>
      <c r="B23" s="111" t="inlineStr">
        <is>
          <t>Riddhi Narkar</t>
        </is>
      </c>
      <c r="C23" s="111" t="inlineStr">
        <is>
          <t>Finance</t>
        </is>
      </c>
      <c r="D23" s="115" t="inlineStr">
        <is>
          <t>Executive Accounts</t>
        </is>
      </c>
      <c r="E23" s="115" t="inlineStr">
        <is>
          <t>Senior Accounts Executive</t>
        </is>
      </c>
      <c r="F23" s="115" t="inlineStr">
        <is>
          <t>Not in current mapping files</t>
        </is>
      </c>
      <c r="G23" s="116" t="inlineStr">
        <is>
          <t>A3</t>
        </is>
      </c>
      <c r="H23" s="117" t="inlineStr">
        <is>
          <t>● Newly mapped</t>
        </is>
      </c>
      <c r="I23" s="111" t="inlineStr">
        <is>
          <t>IC</t>
        </is>
      </c>
      <c r="J23" s="113" t="inlineStr">
        <is>
          <t>Not rated · manager</t>
        </is>
      </c>
      <c r="K23" s="114" t="inlineStr">
        <is>
          <t>—</t>
        </is>
      </c>
      <c r="L23" s="114" t="inlineStr">
        <is>
          <t>Not placed · manager</t>
        </is>
      </c>
      <c r="M23" s="114" t="inlineStr">
        <is>
          <t>No rating data</t>
        </is>
      </c>
      <c r="N23" s="114" t="n"/>
      <c r="O23" s="114" t="inlineStr"/>
      <c r="P23" s="114" t="inlineStr"/>
      <c r="Q23" s="118" t="n">
        <v>72</v>
      </c>
      <c r="R23" s="164" t="inlineStr">
        <is>
          <t>Gap — development plan needed</t>
        </is>
      </c>
      <c r="S23" s="164" t="n">
        <v>67</v>
      </c>
      <c r="T23" s="164" t="n">
        <v>50</v>
      </c>
      <c r="U23" s="164" t="n">
        <v>83</v>
      </c>
      <c r="V23" s="164" t="n"/>
      <c r="W23" s="164" t="inlineStr">
        <is>
          <t>Excel &amp; tools, Regulatory domain, Analytics &amp; BI</t>
        </is>
      </c>
      <c r="X23" s="164" t="inlineStr">
        <is>
          <r>
            <rPr>
              <rFont val="Calibri"/>
              <b val="1"/>
              <sz val="10"/>
            </rPr>
            <t>B1:</t>
          </r>
          <r>
            <rPr>
              <rFont val="Calibri"/>
              <sz val="10"/>
            </rPr>
            <t xml:space="preserve"> 65% of profile — not yet</t>
          </r>
        </is>
      </c>
      <c r="Y23" s="164" t="inlineStr">
        <is>
          <r>
            <rPr>
              <rFont val="Calibri"/>
              <b val="1"/>
              <sz val="10"/>
            </rPr>
            <t>Evidence:</t>
          </r>
          <r>
            <rPr>
              <rFont val="Calibri"/>
              <sz val="10"/>
            </rPr>
            <t xml:space="preserve"> Survey | Core: Ownership 1/2, Problem solving 1/2, Communication &amp; collaboration 1/2, Client &amp; quality focus 2/2, Learning agility 1/2, Integrity &amp; compliance 2/2 | Future-ready: AI literacy 1/2, Data literacy 1/2, Digital fluency 1/2, Innovation 1/2 | Functional: Accounting standards 3/3, Excel &amp; tools 2/3, Regulatory domain 2/3, Analytics &amp; BI 2/3, Quality &amp; process 3/3, Business acumen 3/3</t>
          </r>
        </is>
      </c>
      <c r="Z23" s="119" t="inlineStr">
        <is>
          <t>Broader exposure &amp; ownership</t>
        </is>
      </c>
      <c r="AA23" s="165" t="n"/>
      <c r="AB23" s="165" t="inlineStr">
        <is>
          <t>AI, GenAI &amp; Prompt Engineering; Project, Program &amp; Agile Management</t>
        </is>
      </c>
      <c r="AC23" s="165" t="inlineStr">
        <is>
          <t>Broader exposure &amp; ownership</t>
        </is>
      </c>
      <c r="AD23" s="165" t="n"/>
      <c r="AE23" s="121" t="inlineStr">
        <is>
          <t>No strong match from survey evidence</t>
        </is>
      </c>
      <c r="AF23" s="122" t="inlineStr">
        <is>
          <t>No material overlap found</t>
        </is>
      </c>
      <c r="AG23" s="122" t="inlineStr">
        <is>
          <t>No close match in other businesses</t>
        </is>
      </c>
      <c r="AH23" s="122" t="n"/>
      <c r="AI23" s="122" t="n"/>
      <c r="AJ23" s="122" t="n"/>
    </row>
    <row r="24" ht="80" customHeight="1">
      <c r="A24" s="109" t="inlineStr">
        <is>
          <t>IRIS2533</t>
        </is>
      </c>
      <c r="B24" s="111" t="inlineStr">
        <is>
          <t>Shweta Jha</t>
        </is>
      </c>
      <c r="C24" s="111" t="inlineStr">
        <is>
          <t>HR</t>
        </is>
      </c>
      <c r="D24" s="115" t="inlineStr">
        <is>
          <t>Vice President - Human Resource</t>
        </is>
      </c>
      <c r="E24" s="115" t="inlineStr">
        <is>
          <t>Vice President – Human Resources</t>
        </is>
      </c>
      <c r="F24" s="115" t="inlineStr">
        <is>
          <t>Not in current mapping files</t>
        </is>
      </c>
      <c r="G24" s="116" t="inlineStr">
        <is>
          <t>D2</t>
        </is>
      </c>
      <c r="H24" s="117" t="inlineStr">
        <is>
          <t>● Newly mapped</t>
        </is>
      </c>
      <c r="I24" s="111" t="inlineStr">
        <is>
          <t>People Manager</t>
        </is>
      </c>
      <c r="J24" s="113" t="inlineStr">
        <is>
          <t>Not rated · manager</t>
        </is>
      </c>
      <c r="K24" s="114" t="inlineStr">
        <is>
          <t>—</t>
        </is>
      </c>
      <c r="L24" s="114" t="inlineStr">
        <is>
          <t>Not placed · manager</t>
        </is>
      </c>
      <c r="M24" s="114" t="inlineStr">
        <is>
          <t>No rating data</t>
        </is>
      </c>
      <c r="N24" s="114" t="n"/>
      <c r="O24" s="114" t="inlineStr"/>
      <c r="P24" s="114" t="inlineStr"/>
      <c r="Q24" s="118" t="n"/>
      <c r="R24" s="164" t="inlineStr">
        <is>
          <t>Not assessed — no survey or KRA evidence</t>
        </is>
      </c>
      <c r="S24" s="164" t="n"/>
      <c r="T24" s="164" t="n"/>
      <c r="U24" s="164" t="n"/>
      <c r="V24" s="164" t="n"/>
      <c r="W24" s="164" t="n"/>
      <c r="X24" s="164" t="n"/>
      <c r="Y24" s="164" t="inlineStr">
        <is>
          <r>
            <rPr>
              <rFont val="Calibri"/>
              <b val="1"/>
              <sz val="10"/>
            </rPr>
            <t>Required at D2:</t>
          </r>
          <r>
            <rPr>
              <rFont val="Calibri"/>
              <sz val="10"/>
            </rPr>
            <t xml:space="preserve"> Core 5 · Future-ready 4 · Functional Stakeholder mgmt 4 · Communication 4 · Analytics &amp; BI 4 · Quality &amp; process 4 · People leadership 4 · Excel &amp; tools 4 · Leadership 5 — rate in manager validation using sheet 4.</t>
          </r>
        </is>
      </c>
      <c r="Z24" s="119" t="inlineStr"/>
      <c r="AA24" s="165" t="n"/>
      <c r="AB24" s="165" t="inlineStr">
        <is>
          <t>Strategic Thinking &amp; Business Acumen</t>
        </is>
      </c>
      <c r="AC24" s="165" t="inlineStr"/>
      <c r="AD24" s="165" t="n"/>
      <c r="AE24" s="121" t="n"/>
      <c r="AF24" s="122" t="inlineStr">
        <is>
          <t>No survey text</t>
        </is>
      </c>
      <c r="AG24" s="122" t="inlineStr">
        <is>
          <t>No survey text</t>
        </is>
      </c>
      <c r="AH24" s="122" t="n">
        <v>6</v>
      </c>
      <c r="AI24" s="122" t="inlineStr">
        <is>
          <t>Within norm</t>
        </is>
      </c>
      <c r="AJ24" s="122" t="n"/>
    </row>
    <row r="25" ht="80" customHeight="1">
      <c r="A25" s="109" t="inlineStr">
        <is>
          <t>IRIS2556</t>
        </is>
      </c>
      <c r="B25" s="111" t="inlineStr">
        <is>
          <t>Mohammed Hanzala Shaikh</t>
        </is>
      </c>
      <c r="C25" s="111" t="inlineStr">
        <is>
          <t>HR</t>
        </is>
      </c>
      <c r="D25" s="115" t="inlineStr">
        <is>
          <t>Lead HR Transformation</t>
        </is>
      </c>
      <c r="E25" s="115" t="inlineStr">
        <is>
          <t>Lead HR Specialist – Transformation &amp; OD</t>
        </is>
      </c>
      <c r="F25" s="115" t="inlineStr">
        <is>
          <t>Not in current mapping files</t>
        </is>
      </c>
      <c r="G25" s="116" t="inlineStr">
        <is>
          <t>B3</t>
        </is>
      </c>
      <c r="H25" s="117" t="inlineStr">
        <is>
          <t>● Newly mapped</t>
        </is>
      </c>
      <c r="I25" s="111" t="inlineStr">
        <is>
          <t>IC</t>
        </is>
      </c>
      <c r="J25" s="113" t="inlineStr">
        <is>
          <t>Not rated · manager</t>
        </is>
      </c>
      <c r="K25" s="114" t="inlineStr">
        <is>
          <t>—</t>
        </is>
      </c>
      <c r="L25" s="114" t="inlineStr">
        <is>
          <t>Not placed · manager</t>
        </is>
      </c>
      <c r="M25" s="114" t="inlineStr">
        <is>
          <t>No rating data</t>
        </is>
      </c>
      <c r="N25" s="114" t="n"/>
      <c r="O25" s="114" t="inlineStr"/>
      <c r="P25" s="114" t="inlineStr"/>
      <c r="Q25" s="118" t="n"/>
      <c r="R25" s="164" t="inlineStr">
        <is>
          <t>Not assessed — no survey or KRA evidence</t>
        </is>
      </c>
      <c r="S25" s="164" t="n"/>
      <c r="T25" s="164" t="n"/>
      <c r="U25" s="164" t="n"/>
      <c r="V25" s="164" t="n"/>
      <c r="W25" s="164" t="n"/>
      <c r="X25" s="164" t="n"/>
      <c r="Y25" s="164" t="inlineStr">
        <is>
          <r>
            <rPr>
              <rFont val="Calibri"/>
              <b val="1"/>
              <sz val="10"/>
            </rPr>
            <t>Required at B2:</t>
          </r>
          <r>
            <rPr>
              <rFont val="Calibri"/>
              <sz val="10"/>
            </rPr>
            <t xml:space="preserve"> Core 3 · Future-ready 3 · Functional Stakeholder mgmt 4 · Communication 4 · Analytics &amp; BI 4 · Quality &amp; process 4 · People leadership 4 · Excel &amp; tools 4 · Leadership 2 — rate in manager validation using sheet 4.</t>
          </r>
        </is>
      </c>
      <c r="Z25" s="119" t="inlineStr"/>
      <c r="AA25" s="165" t="n"/>
      <c r="AB25" s="165" t="inlineStr">
        <is>
          <t>People Leadership &amp; Mentoring; Project, Program &amp; Agile Management</t>
        </is>
      </c>
      <c r="AC25" s="165" t="inlineStr"/>
      <c r="AD25" s="165" t="n"/>
      <c r="AE25" s="121" t="n"/>
      <c r="AF25" s="122" t="inlineStr">
        <is>
          <t>No survey text</t>
        </is>
      </c>
      <c r="AG25" s="122" t="inlineStr">
        <is>
          <t>No survey text</t>
        </is>
      </c>
      <c r="AH25" s="122" t="n"/>
      <c r="AI25" s="122" t="n"/>
      <c r="AJ25" s="122" t="n"/>
    </row>
    <row r="26" ht="158" customHeight="1">
      <c r="A26" s="109" t="inlineStr">
        <is>
          <t>IRIS2557</t>
        </is>
      </c>
      <c r="B26" s="111" t="inlineStr">
        <is>
          <t>Simran Kaur Raina</t>
        </is>
      </c>
      <c r="C26" s="111" t="inlineStr">
        <is>
          <t>HR</t>
        </is>
      </c>
      <c r="D26" s="115" t="inlineStr">
        <is>
          <t>Manager- Talent Acquisition</t>
        </is>
      </c>
      <c r="E26" s="115" t="inlineStr">
        <is>
          <t>Senior Talent Acquisition Specialist</t>
        </is>
      </c>
      <c r="F26" s="115" t="inlineStr">
        <is>
          <t>Not in current mapping files</t>
        </is>
      </c>
      <c r="G26" s="116" t="inlineStr">
        <is>
          <t>B2</t>
        </is>
      </c>
      <c r="H26" s="117" t="inlineStr">
        <is>
          <t>● Newly mapped</t>
        </is>
      </c>
      <c r="I26" s="111" t="inlineStr">
        <is>
          <t>IC</t>
        </is>
      </c>
      <c r="J26" s="113" t="inlineStr">
        <is>
          <t>Not rated · manager</t>
        </is>
      </c>
      <c r="K26" s="114" t="inlineStr">
        <is>
          <t>—</t>
        </is>
      </c>
      <c r="L26" s="114" t="inlineStr">
        <is>
          <t>Not placed · manager</t>
        </is>
      </c>
      <c r="M26" s="114" t="inlineStr">
        <is>
          <t>No rating data</t>
        </is>
      </c>
      <c r="N26" s="114" t="n"/>
      <c r="O26" s="114" t="inlineStr"/>
      <c r="P26" s="114" t="inlineStr"/>
      <c r="Q26" s="118" t="n">
        <v>75</v>
      </c>
      <c r="R26" s="164" t="inlineStr">
        <is>
          <t>Gap — development plan needed</t>
        </is>
      </c>
      <c r="S26" s="164" t="n">
        <v>83</v>
      </c>
      <c r="T26" s="164" t="n">
        <v>67</v>
      </c>
      <c r="U26" s="164" t="n">
        <v>79</v>
      </c>
      <c r="V26" s="164" t="n">
        <v>50</v>
      </c>
      <c r="W26" s="164" t="inlineStr">
        <is>
          <t>Stakeholder mgmt, Communication, Analytics &amp; BI</t>
        </is>
      </c>
      <c r="X26" s="164" t="inlineStr">
        <is>
          <r>
            <rPr>
              <rFont val="Calibri"/>
              <b val="1"/>
              <sz val="10"/>
            </rPr>
            <t>B3:</t>
          </r>
          <r>
            <rPr>
              <rFont val="Calibri"/>
              <sz val="10"/>
            </rPr>
            <t xml:space="preserve"> 68% of profile — not yet</t>
          </r>
        </is>
      </c>
      <c r="Y26" s="164" t="inlineStr">
        <is>
          <r>
            <rPr>
              <rFont val="Calibri"/>
              <b val="1"/>
              <sz val="10"/>
            </rPr>
            <t>Evidence:</t>
          </r>
          <r>
            <rPr>
              <rFont val="Calibri"/>
              <sz val="10"/>
            </rPr>
            <t xml:space="preserve"> Survey | Core: Ownership 2/3, Problem solving 2/3, Communication &amp; collaboration 3/3, Client &amp; quality focus 3/3, Learning agility 2/3, Integrity &amp; compliance 3/3 | Future-ready: AI literacy 2/3, Data literacy 2/3, Digital fluency 2/3, Innovation 2/3 | Functional: Stakeholder mgmt 3/4, Communication 3/4, Analytics &amp; BI 3/4, Quality &amp; process 4/4, People leadership 3/4, Excel &amp; tools 3/4 | Leadership: Developing people 1/2, Decision making 1/2, Strategic acumen 1/2, Influence &amp; change 1/2</t>
          </r>
        </is>
      </c>
      <c r="Z26" s="119" t="inlineStr">
        <is>
          <t>Leadership &amp; people management</t>
        </is>
      </c>
      <c r="AA26" s="165" t="n"/>
      <c r="AB26" s="165" t="inlineStr">
        <is>
          <t>People Leadership &amp; Mentoring; Cybersecurity &amp; Infrastructure; Stakeholder &amp; Client Management</t>
        </is>
      </c>
      <c r="AC26" s="165" t="inlineStr">
        <is>
          <t>Leadership &amp; people management</t>
        </is>
      </c>
      <c r="AD26" s="165" t="n"/>
      <c r="AE26" s="121" t="inlineStr">
        <is>
          <t>No strong match from survey evidence</t>
        </is>
      </c>
      <c r="AF26" s="122" t="inlineStr">
        <is>
          <t>No material overlap found</t>
        </is>
      </c>
      <c r="AG26" s="122" t="inlineStr">
        <is>
          <t>No close match in other businesses</t>
        </is>
      </c>
      <c r="AH26" s="122" t="n"/>
      <c r="AI26" s="122" t="n"/>
      <c r="AJ26" s="122" t="n"/>
    </row>
    <row r="27" ht="158" customHeight="1">
      <c r="A27" s="109" t="inlineStr">
        <is>
          <t>IRIS0204</t>
        </is>
      </c>
      <c r="B27" s="111" t="inlineStr">
        <is>
          <t>Chandrakumar Moopanar</t>
        </is>
      </c>
      <c r="C27" s="111" t="inlineStr">
        <is>
          <t>HR</t>
        </is>
      </c>
      <c r="D27" s="115" t="inlineStr">
        <is>
          <t>HRIS &amp; Payroll Specialist</t>
        </is>
      </c>
      <c r="E27" s="115" t="inlineStr">
        <is>
          <t>HR Specialist</t>
        </is>
      </c>
      <c r="F27" s="115" t="inlineStr">
        <is>
          <t>Not in current mapping files</t>
        </is>
      </c>
      <c r="G27" s="116" t="inlineStr">
        <is>
          <t>B1</t>
        </is>
      </c>
      <c r="H27" s="117" t="inlineStr">
        <is>
          <t>● Newly mapped</t>
        </is>
      </c>
      <c r="I27" s="111" t="inlineStr">
        <is>
          <t>IC</t>
        </is>
      </c>
      <c r="J27" s="113" t="inlineStr">
        <is>
          <t>Not rated · manager</t>
        </is>
      </c>
      <c r="K27" s="114" t="inlineStr">
        <is>
          <t>—</t>
        </is>
      </c>
      <c r="L27" s="114" t="inlineStr">
        <is>
          <t>Not placed · manager</t>
        </is>
      </c>
      <c r="M27" s="114" t="inlineStr">
        <is>
          <t>No rating data</t>
        </is>
      </c>
      <c r="N27" s="114" t="n"/>
      <c r="O27" s="114" t="inlineStr"/>
      <c r="P27" s="114" t="inlineStr"/>
      <c r="Q27" s="118" t="n">
        <v>78</v>
      </c>
      <c r="R27" s="164" t="inlineStr">
        <is>
          <t>Developing</t>
        </is>
      </c>
      <c r="S27" s="164" t="n">
        <v>76</v>
      </c>
      <c r="T27" s="164" t="n">
        <v>75</v>
      </c>
      <c r="U27" s="164" t="n">
        <v>76</v>
      </c>
      <c r="V27" s="164" t="n">
        <v>100</v>
      </c>
      <c r="W27" s="164" t="inlineStr">
        <is>
          <t>Stakeholder mgmt, Communication, Analytics &amp; BI</t>
        </is>
      </c>
      <c r="X27" s="164" t="inlineStr">
        <is>
          <r>
            <rPr>
              <rFont val="Calibri"/>
              <b val="1"/>
              <sz val="10"/>
            </rPr>
            <t>B2:</t>
          </r>
          <r>
            <rPr>
              <rFont val="Calibri"/>
              <sz val="10"/>
            </rPr>
            <t xml:space="preserve"> 65% of profile — not yet</t>
          </r>
        </is>
      </c>
      <c r="Y27" s="164" t="inlineStr">
        <is>
          <r>
            <rPr>
              <rFont val="Calibri"/>
              <b val="1"/>
              <sz val="10"/>
            </rPr>
            <t>Evidence:</t>
          </r>
          <r>
            <rPr>
              <rFont val="Calibri"/>
              <sz val="10"/>
            </rPr>
            <t xml:space="preserve"> Survey | Core: Ownership 2/3, Problem solving 2/3, Communication &amp; collaboration 2/3, Client &amp; quality focus 2/3, Learning agility 2/3, Integrity &amp; compliance 4/3 | Future-ready: AI literacy 2/3, Data literacy 3/3, Digital fluency 2/3, Innovation 2/3 | Functional: Stakeholder mgmt 2/3, Communication 2/3, Analytics &amp; BI 2/3, Quality &amp; process 2/3, People leadership 2/3, Excel &amp; tools 4/3 | Leadership: Developing people 1/1, Decision making 1/1, Strategic acumen 1/1, Influence &amp; change 1/1</t>
          </r>
        </is>
      </c>
      <c r="Z27" s="119" t="inlineStr">
        <is>
          <t>AI / automation · Data, SQL &amp; analytics · Product &amp; tool knowledge</t>
        </is>
      </c>
      <c r="AA27" s="165" t="n"/>
      <c r="AB27" s="165" t="inlineStr">
        <is>
          <t>PC.OPS-P: payroll controls; HR systems; employee service; confidentiality</t>
        </is>
      </c>
      <c r="AC27" s="165" t="inlineStr">
        <is>
          <t>AI / automation · Data, SQL &amp; analytics · Product &amp; tool knowledge</t>
        </is>
      </c>
      <c r="AD27" s="165" t="n"/>
      <c r="AE27" s="121" t="inlineStr">
        <is>
          <t>No strong match from survey evidence</t>
        </is>
      </c>
      <c r="AF27" s="122" t="inlineStr">
        <is>
          <t>No material overlap found</t>
        </is>
      </c>
      <c r="AG27" s="122" t="inlineStr">
        <is>
          <t>No close match in other businesses</t>
        </is>
      </c>
      <c r="AH27" s="122" t="n"/>
      <c r="AI27" s="122" t="n"/>
      <c r="AJ27" s="122" t="n"/>
    </row>
    <row r="28" ht="158" customHeight="1">
      <c r="A28" s="109" t="inlineStr">
        <is>
          <t>IRIS2152</t>
        </is>
      </c>
      <c r="B28" s="111" t="inlineStr">
        <is>
          <t>Nikitha Nair</t>
        </is>
      </c>
      <c r="C28" s="111" t="inlineStr">
        <is>
          <t>HR</t>
        </is>
      </c>
      <c r="D28" s="115" t="inlineStr">
        <is>
          <t>Employee Experience Specialist</t>
        </is>
      </c>
      <c r="E28" s="115" t="inlineStr">
        <is>
          <t>HR Specialist – POD Lead</t>
        </is>
      </c>
      <c r="F28" s="115" t="inlineStr">
        <is>
          <t>Not in current mapping files</t>
        </is>
      </c>
      <c r="G28" s="116" t="inlineStr">
        <is>
          <t>B1</t>
        </is>
      </c>
      <c r="H28" s="117" t="inlineStr">
        <is>
          <t>● Newly mapped</t>
        </is>
      </c>
      <c r="I28" s="111" t="inlineStr">
        <is>
          <t>POD Lead</t>
        </is>
      </c>
      <c r="J28" s="113" t="inlineStr">
        <is>
          <t>Not rated · manager</t>
        </is>
      </c>
      <c r="K28" s="114" t="inlineStr">
        <is>
          <t>—</t>
        </is>
      </c>
      <c r="L28" s="114" t="inlineStr">
        <is>
          <t>Not placed · manager</t>
        </is>
      </c>
      <c r="M28" s="114" t="inlineStr">
        <is>
          <t>No rating data</t>
        </is>
      </c>
      <c r="N28" s="114" t="n"/>
      <c r="O28" s="114" t="inlineStr"/>
      <c r="P28" s="114" t="inlineStr"/>
      <c r="Q28" s="118" t="n">
        <v>85</v>
      </c>
      <c r="R28" s="164" t="inlineStr">
        <is>
          <t>Developing</t>
        </is>
      </c>
      <c r="S28" s="164" t="n">
        <v>96</v>
      </c>
      <c r="T28" s="164" t="n">
        <v>75</v>
      </c>
      <c r="U28" s="164" t="n">
        <v>84</v>
      </c>
      <c r="V28" s="164" t="n">
        <v>80</v>
      </c>
      <c r="W28" s="164" t="inlineStr">
        <is>
          <t>Analytics &amp; BI, Quality &amp; process, People leadership</t>
        </is>
      </c>
      <c r="X28" s="164" t="inlineStr">
        <is>
          <r>
            <rPr>
              <rFont val="Calibri"/>
              <b val="1"/>
              <sz val="10"/>
            </rPr>
            <t>B2:</t>
          </r>
          <r>
            <rPr>
              <rFont val="Calibri"/>
              <sz val="10"/>
            </rPr>
            <t xml:space="preserve"> 73% of profile — not yet</t>
          </r>
        </is>
      </c>
      <c r="Y28" s="164" t="inlineStr">
        <is>
          <r>
            <rPr>
              <rFont val="Calibri"/>
              <b val="1"/>
              <sz val="10"/>
            </rPr>
            <t>Evidence:</t>
          </r>
          <r>
            <rPr>
              <rFont val="Calibri"/>
              <sz val="10"/>
            </rPr>
            <t xml:space="preserve"> Survey | Core: Ownership 3/3, Problem solving 2/3, Communication &amp; collaboration 4/3, Client &amp; quality focus 4/3, Learning agility 2/3, Integrity &amp; compliance 3/3 | Future-ready: AI literacy 2/3, Data literacy 2/3, Digital fluency 3/3, Innovation 2/3 | Functional: Stakeholder mgmt 4/3, Communication 4/3, Analytics &amp; BI 2/3, Quality &amp; process 2/3, People leadership 2/3, Excel &amp; tools 2/3 | Leadership: Developing people 2/2, Decision making 1/2, Strategic acumen 1/2, Influence &amp; change 3/2</t>
          </r>
        </is>
      </c>
      <c r="Z28" s="119" t="inlineStr">
        <is>
          <t>Data, SQL &amp; analytics · Strategy &amp; business acumen · Broader exposure &amp; ownership</t>
        </is>
      </c>
      <c r="AA28" s="165" t="n"/>
      <c r="AB28" s="165" t="inlineStr">
        <is>
          <t>Data Analytics, BI &amp; Visualisation; Project, Program &amp; Agile Management; Process Improvement &amp; Quality Mindset</t>
        </is>
      </c>
      <c r="AC28" s="165" t="inlineStr">
        <is>
          <t>Data, SQL &amp; analytics · Strategy &amp; business acumen · Broader exposure &amp; ownership</t>
        </is>
      </c>
      <c r="AD28" s="165" t="n"/>
      <c r="AE28" s="121" t="inlineStr">
        <is>
          <t>No strong match from survey evidence</t>
        </is>
      </c>
      <c r="AF28" s="122" t="inlineStr">
        <is>
          <t>Blossom Dsouza · HR Executive — 0.60: onboarding, keka, ongrid, employee</t>
        </is>
      </c>
      <c r="AG28" s="122" t="inlineStr">
        <is>
          <t>No close match in other businesses</t>
        </is>
      </c>
      <c r="AH28" s="122" t="n">
        <v>1</v>
      </c>
      <c r="AI28" s="122" t="inlineStr">
        <is>
          <t>POD Lead</t>
        </is>
      </c>
      <c r="AJ28" s="122" t="n"/>
    </row>
    <row r="29" ht="132" customHeight="1">
      <c r="A29" s="109" t="inlineStr">
        <is>
          <t>IRIS2402</t>
        </is>
      </c>
      <c r="B29" s="111" t="inlineStr">
        <is>
          <t>Renuka Badhoria</t>
        </is>
      </c>
      <c r="C29" s="111" t="inlineStr">
        <is>
          <t>HR</t>
        </is>
      </c>
      <c r="D29" s="115" t="inlineStr">
        <is>
          <t>Talent Acquisition Specialist</t>
        </is>
      </c>
      <c r="E29" s="115" t="inlineStr">
        <is>
          <t>Senior Talent Acquisition Executive</t>
        </is>
      </c>
      <c r="F29" s="115" t="inlineStr">
        <is>
          <t>Not in current mapping files</t>
        </is>
      </c>
      <c r="G29" s="116" t="inlineStr">
        <is>
          <t>A3</t>
        </is>
      </c>
      <c r="H29" s="117" t="inlineStr">
        <is>
          <t>● Newly mapped</t>
        </is>
      </c>
      <c r="I29" s="111" t="inlineStr">
        <is>
          <t>IC</t>
        </is>
      </c>
      <c r="J29" s="113" t="inlineStr">
        <is>
          <t>Not rated · manager</t>
        </is>
      </c>
      <c r="K29" s="114" t="inlineStr">
        <is>
          <t>—</t>
        </is>
      </c>
      <c r="L29" s="114" t="inlineStr">
        <is>
          <t>Not placed · manager</t>
        </is>
      </c>
      <c r="M29" s="114" t="inlineStr">
        <is>
          <t>No rating data</t>
        </is>
      </c>
      <c r="N29" s="114" t="n"/>
      <c r="O29" s="114" t="inlineStr"/>
      <c r="P29" s="114" t="inlineStr"/>
      <c r="Q29" s="118" t="n">
        <v>79</v>
      </c>
      <c r="R29" s="164" t="inlineStr">
        <is>
          <t>Developing</t>
        </is>
      </c>
      <c r="S29" s="164" t="n">
        <v>93</v>
      </c>
      <c r="T29" s="164" t="n">
        <v>50</v>
      </c>
      <c r="U29" s="164" t="n">
        <v>81</v>
      </c>
      <c r="V29" s="164" t="n"/>
      <c r="W29" s="164" t="inlineStr">
        <is>
          <t>Communication, Analytics &amp; BI, People leadership</t>
        </is>
      </c>
      <c r="X29" s="164" t="inlineStr">
        <is>
          <r>
            <rPr>
              <rFont val="Calibri"/>
              <b val="1"/>
              <sz val="10"/>
            </rPr>
            <t>B1:</t>
          </r>
          <r>
            <rPr>
              <rFont val="Calibri"/>
              <sz val="10"/>
            </rPr>
            <t xml:space="preserve"> 71% of profile — not yet</t>
          </r>
        </is>
      </c>
      <c r="Y29" s="164" t="inlineStr">
        <is>
          <r>
            <rPr>
              <rFont val="Calibri"/>
              <b val="1"/>
              <sz val="10"/>
            </rPr>
            <t>Evidence:</t>
          </r>
          <r>
            <rPr>
              <rFont val="Calibri"/>
              <sz val="10"/>
            </rPr>
            <t xml:space="preserve"> Survey | Core: Ownership 3/2, Problem solving 1/2, Communication &amp; collaboration 3/2, Client &amp; quality focus 3/2, Learning agility 1/2, Integrity &amp; compliance 2/2 | Future-ready: AI literacy 1/2, Data literacy 1/2, Digital fluency 1/2, Innovation 1/2 | Functional: Stakeholder mgmt 4/3, Communication 2/3, Analytics &amp; BI 2/3, Quality &amp; process 3/3, People leadership 2/3, Excel &amp; tools 2/3</t>
          </r>
        </is>
      </c>
      <c r="Z29" s="119" t="inlineStr">
        <is>
          <t>Data, SQL &amp; analytics</t>
        </is>
      </c>
      <c r="AA29" s="165" t="n"/>
      <c r="AB29" s="165" t="inlineStr">
        <is>
          <t>AI, GenAI &amp; Prompt Engineering</t>
        </is>
      </c>
      <c r="AC29" s="165" t="inlineStr">
        <is>
          <t>Data, SQL &amp; analytics</t>
        </is>
      </c>
      <c r="AD29" s="165" t="n"/>
      <c r="AE29" s="121" t="inlineStr">
        <is>
          <t>No strong match from survey evidence</t>
        </is>
      </c>
      <c r="AF29" s="122" t="inlineStr">
        <is>
          <t>Shruti Gawas · Senior Talent Acquisition Executive — 0.52: hiring, end, hiro, sourcing</t>
        </is>
      </c>
      <c r="AG29" s="122" t="inlineStr">
        <is>
          <t>No close match in other businesses</t>
        </is>
      </c>
      <c r="AH29" s="122" t="n"/>
      <c r="AI29" s="122" t="n"/>
      <c r="AJ29" s="122" t="n"/>
    </row>
    <row r="30" ht="132" customHeight="1">
      <c r="A30" s="109" t="inlineStr">
        <is>
          <t>IRIS2245</t>
        </is>
      </c>
      <c r="B30" s="111" t="inlineStr">
        <is>
          <t>Shruti Gawas</t>
        </is>
      </c>
      <c r="C30" s="111" t="inlineStr">
        <is>
          <t>HR</t>
        </is>
      </c>
      <c r="D30" s="115" t="inlineStr">
        <is>
          <t>Senior Executive - Talent Acquisition</t>
        </is>
      </c>
      <c r="E30" s="115" t="inlineStr">
        <is>
          <t>Senior Talent Acquisition Executive</t>
        </is>
      </c>
      <c r="F30" s="115" t="inlineStr">
        <is>
          <t>Not in current mapping files</t>
        </is>
      </c>
      <c r="G30" s="116" t="inlineStr">
        <is>
          <t>A3</t>
        </is>
      </c>
      <c r="H30" s="117" t="inlineStr">
        <is>
          <t>● Newly mapped</t>
        </is>
      </c>
      <c r="I30" s="111" t="inlineStr">
        <is>
          <t>IC</t>
        </is>
      </c>
      <c r="J30" s="113" t="inlineStr">
        <is>
          <t>Not rated · manager</t>
        </is>
      </c>
      <c r="K30" s="114" t="inlineStr">
        <is>
          <t>—</t>
        </is>
      </c>
      <c r="L30" s="114" t="inlineStr">
        <is>
          <t>Not placed · manager</t>
        </is>
      </c>
      <c r="M30" s="114" t="inlineStr">
        <is>
          <t>No rating data</t>
        </is>
      </c>
      <c r="N30" s="114" t="n"/>
      <c r="O30" s="114" t="inlineStr"/>
      <c r="P30" s="114" t="inlineStr"/>
      <c r="Q30" s="118" t="n">
        <v>82</v>
      </c>
      <c r="R30" s="164" t="inlineStr">
        <is>
          <t>Developing</t>
        </is>
      </c>
      <c r="S30" s="164" t="n">
        <v>98</v>
      </c>
      <c r="T30" s="164" t="n">
        <v>50</v>
      </c>
      <c r="U30" s="164" t="n">
        <v>84</v>
      </c>
      <c r="V30" s="164" t="n"/>
      <c r="W30" s="164" t="inlineStr">
        <is>
          <t>Communication, Analytics &amp; BI, People leadership</t>
        </is>
      </c>
      <c r="X30" s="164" t="inlineStr">
        <is>
          <r>
            <rPr>
              <rFont val="Calibri"/>
              <b val="1"/>
              <sz val="10"/>
            </rPr>
            <t>B1:</t>
          </r>
          <r>
            <rPr>
              <rFont val="Calibri"/>
              <sz val="10"/>
            </rPr>
            <t xml:space="preserve"> 73% of profile — not yet</t>
          </r>
        </is>
      </c>
      <c r="Y30" s="164" t="inlineStr">
        <is>
          <r>
            <rPr>
              <rFont val="Calibri"/>
              <b val="1"/>
              <sz val="10"/>
            </rPr>
            <t>Evidence:</t>
          </r>
          <r>
            <rPr>
              <rFont val="Calibri"/>
              <sz val="10"/>
            </rPr>
            <t xml:space="preserve"> Survey | Core: Ownership 2/2, Problem solving 2/2, Communication &amp; collaboration 3/2, Client &amp; quality focus 3/2, Learning agility 1/2, Integrity &amp; compliance 2/2 | Future-ready: AI literacy 1/2, Data literacy 1/2, Digital fluency 1/2, Innovation 1/2 | Functional: Stakeholder mgmt 4/3, Communication 2/3, Analytics &amp; BI 2/3, Quality &amp; process 4/3, People leadership 2/3, Excel &amp; tools 2/3</t>
          </r>
        </is>
      </c>
      <c r="Z30" s="119" t="inlineStr">
        <is>
          <t>Leadership &amp; people management · Strategy &amp; business acumen</t>
        </is>
      </c>
      <c r="AA30" s="165" t="n"/>
      <c r="AB30" s="165" t="inlineStr">
        <is>
          <t>Project, Program &amp; Agile Management; Strategic Thinking &amp; Business Acumen; AI, GenAI &amp; Prompt Engineering</t>
        </is>
      </c>
      <c r="AC30" s="165" t="inlineStr">
        <is>
          <t>Leadership &amp; people management · Strategy &amp; business acumen</t>
        </is>
      </c>
      <c r="AD30" s="165" t="n"/>
      <c r="AE30" s="121" t="inlineStr">
        <is>
          <t>No strong match from survey evidence</t>
        </is>
      </c>
      <c r="AF30" s="122" t="inlineStr">
        <is>
          <t>Renuka Badhoria · Talent Acquisition Specialist — 0.52: hiring, end, hiro, sourcing</t>
        </is>
      </c>
      <c r="AG30" s="122" t="inlineStr">
        <is>
          <t>No close match in other businesses</t>
        </is>
      </c>
      <c r="AH30" s="122" t="n"/>
      <c r="AI30" s="122" t="n"/>
      <c r="AJ30" s="122" t="n"/>
    </row>
    <row r="31" ht="132" customHeight="1">
      <c r="A31" s="109" t="inlineStr">
        <is>
          <t>IRIS2558</t>
        </is>
      </c>
      <c r="B31" s="111" t="inlineStr">
        <is>
          <t>Blossom Dsouza</t>
        </is>
      </c>
      <c r="C31" s="111" t="inlineStr">
        <is>
          <t>HR</t>
        </is>
      </c>
      <c r="D31" s="115" t="inlineStr">
        <is>
          <t>Executive -HR</t>
        </is>
      </c>
      <c r="E31" s="115" t="inlineStr">
        <is>
          <t>HR Executive</t>
        </is>
      </c>
      <c r="F31" s="115" t="inlineStr">
        <is>
          <t>Not in current mapping files</t>
        </is>
      </c>
      <c r="G31" s="116" t="inlineStr">
        <is>
          <t>A2</t>
        </is>
      </c>
      <c r="H31" s="117" t="inlineStr">
        <is>
          <t>● Newly mapped</t>
        </is>
      </c>
      <c r="I31" s="111" t="inlineStr">
        <is>
          <t>IC</t>
        </is>
      </c>
      <c r="J31" s="113" t="inlineStr">
        <is>
          <t>Not rated · manager</t>
        </is>
      </c>
      <c r="K31" s="114" t="inlineStr">
        <is>
          <t>—</t>
        </is>
      </c>
      <c r="L31" s="114" t="inlineStr">
        <is>
          <t>Not placed · manager</t>
        </is>
      </c>
      <c r="M31" s="114" t="inlineStr">
        <is>
          <t>No rating data</t>
        </is>
      </c>
      <c r="N31" s="114" t="n"/>
      <c r="O31" s="114" t="inlineStr"/>
      <c r="P31" s="114" t="inlineStr"/>
      <c r="Q31" s="118" t="n">
        <v>86</v>
      </c>
      <c r="R31" s="164" t="inlineStr">
        <is>
          <t>Developing</t>
        </is>
      </c>
      <c r="S31" s="164" t="n">
        <v>102</v>
      </c>
      <c r="T31" s="164" t="n">
        <v>75</v>
      </c>
      <c r="U31" s="164" t="n">
        <v>82</v>
      </c>
      <c r="V31" s="164" t="n"/>
      <c r="W31" s="164" t="inlineStr">
        <is>
          <t>Analytics &amp; BI, Quality &amp; process, People leadership</t>
        </is>
      </c>
      <c r="X31" s="164" t="inlineStr">
        <is>
          <r>
            <rPr>
              <rFont val="Calibri"/>
              <b val="1"/>
              <sz val="10"/>
            </rPr>
            <t>A3:</t>
          </r>
          <r>
            <rPr>
              <rFont val="Calibri"/>
              <sz val="10"/>
            </rPr>
            <t xml:space="preserve"> 76% of profile — close</t>
          </r>
        </is>
      </c>
      <c r="Y31" s="164" t="inlineStr">
        <is>
          <r>
            <rPr>
              <rFont val="Calibri"/>
              <b val="1"/>
              <sz val="10"/>
            </rPr>
            <t>Evidence:</t>
          </r>
          <r>
            <rPr>
              <rFont val="Calibri"/>
              <sz val="10"/>
            </rPr>
            <t xml:space="preserve"> Survey | Core: Ownership 2/2, Problem solving 1/2, Communication &amp; collaboration 3/2, Client &amp; quality focus 3/2, Learning agility 2/2, Integrity &amp; compliance 3/2 | Future-ready: AI literacy 1/2, Data literacy 2/2, Digital fluency 2/2, Innovation 1/2 | Functional: Stakeholder mgmt 3/2, Communication 3/2, Analytics &amp; BI 1/2, Quality &amp; process 1/2, People leadership 1/2, Excel &amp; tools 2/2</t>
          </r>
        </is>
      </c>
      <c r="Z31" s="119" t="inlineStr">
        <is>
          <t>Broader exposure &amp; ownership</t>
        </is>
      </c>
      <c r="AA31" s="165" t="n"/>
      <c r="AB31" s="165" t="inlineStr">
        <is>
          <t>Project, Program &amp; Agile Management; Stakeholder &amp; Client Management; Process Improvement &amp; Quality Mindset</t>
        </is>
      </c>
      <c r="AC31" s="165" t="inlineStr">
        <is>
          <t>Broader exposure &amp; ownership</t>
        </is>
      </c>
      <c r="AD31" s="165" t="n"/>
      <c r="AE31" s="121" t="inlineStr">
        <is>
          <t>No strong match from survey evidence</t>
        </is>
      </c>
      <c r="AF31" s="122" t="inlineStr">
        <is>
          <t>Nikitha Nair · HR Specialist – POD Lead — 0.60: onboarding, keka, ongrid, employee</t>
        </is>
      </c>
      <c r="AG31" s="122" t="inlineStr">
        <is>
          <t>No close match in other businesses</t>
        </is>
      </c>
      <c r="AH31" s="122" t="n"/>
      <c r="AI31" s="122" t="n"/>
      <c r="AJ31" s="122" t="n"/>
    </row>
    <row r="32" ht="158" customHeight="1">
      <c r="A32" s="109" t="inlineStr">
        <is>
          <t>IRIS2103</t>
        </is>
      </c>
      <c r="B32" s="111" t="inlineStr">
        <is>
          <t>Mahesh Tilave</t>
        </is>
      </c>
      <c r="C32" s="111" t="inlineStr">
        <is>
          <t>IT &amp; Infrastructure</t>
        </is>
      </c>
      <c r="D32" s="115" t="inlineStr">
        <is>
          <t>Team Lead – IT Infrastructure</t>
        </is>
      </c>
      <c r="E32" s="115" t="inlineStr">
        <is>
          <t>Senior IT Manager</t>
        </is>
      </c>
      <c r="F32" s="115" t="inlineStr">
        <is>
          <t>Not in current mapping files</t>
        </is>
      </c>
      <c r="G32" s="116" t="inlineStr">
        <is>
          <t>B2</t>
        </is>
      </c>
      <c r="H32" s="117" t="inlineStr">
        <is>
          <t>● Newly mapped</t>
        </is>
      </c>
      <c r="I32" s="111" t="inlineStr">
        <is>
          <t>People Manager</t>
        </is>
      </c>
      <c r="J32" s="113" t="inlineStr">
        <is>
          <t>Not rated · manager</t>
        </is>
      </c>
      <c r="K32" s="114" t="inlineStr">
        <is>
          <t>—</t>
        </is>
      </c>
      <c r="L32" s="114" t="inlineStr">
        <is>
          <t>Not placed · manager</t>
        </is>
      </c>
      <c r="M32" s="114" t="inlineStr">
        <is>
          <t>No rating data</t>
        </is>
      </c>
      <c r="N32" s="114" t="n"/>
      <c r="O32" s="114" t="inlineStr"/>
      <c r="P32" s="114" t="inlineStr"/>
      <c r="Q32" s="118" t="n">
        <v>91</v>
      </c>
      <c r="R32" s="164" t="inlineStr">
        <is>
          <t>Meets the level</t>
        </is>
      </c>
      <c r="S32" s="164" t="n">
        <v>99</v>
      </c>
      <c r="T32" s="164" t="n">
        <v>67</v>
      </c>
      <c r="U32" s="164" t="n">
        <v>94</v>
      </c>
      <c r="V32" s="164" t="n">
        <v>92</v>
      </c>
      <c r="W32" s="164" t="inlineStr">
        <is>
          <t>Quality &amp; process, Prioritisation, AI / GenAI</t>
        </is>
      </c>
      <c r="X32" s="164" t="inlineStr">
        <is>
          <r>
            <rPr>
              <rFont val="Calibri"/>
              <b val="1"/>
              <sz val="10"/>
            </rPr>
            <t>C1:</t>
          </r>
          <r>
            <rPr>
              <rFont val="Calibri"/>
              <sz val="10"/>
            </rPr>
            <t xml:space="preserve"> 88% of profile — close</t>
          </r>
        </is>
      </c>
      <c r="Y32" s="164" t="inlineStr">
        <is>
          <r>
            <rPr>
              <rFont val="Calibri"/>
              <b val="1"/>
              <sz val="10"/>
            </rPr>
            <t>Evidence:</t>
          </r>
          <r>
            <rPr>
              <rFont val="Calibri"/>
              <sz val="10"/>
            </rPr>
            <t xml:space="preserve"> Survey | Core: Ownership 4/4, Problem solving 3/4, Communication &amp; collaboration 4/4, Client &amp; quality focus 4/4, Learning agility 4/4, Integrity &amp; compliance 5/4 | Future-ready: AI literacy 2/3, Data literacy 2/3, Digital fluency 2/3, Innovation 2/3 | Functional: Infra &amp; security 5/4, Cloud &amp; DevOps 5/4, Quality &amp; process 3/4, Stakeholder mgmt 4/4, Prioritisation 3/4, AI / GenAI 3/4 | Leadership: Developing people 4/4, Decision making 3/4, Strategic acumen 3/4, Influence &amp; change 5/4</t>
          </r>
        </is>
      </c>
      <c r="Z32" s="119" t="inlineStr">
        <is>
          <t>Project / programme management</t>
        </is>
      </c>
      <c r="AA32" s="165" t="n"/>
      <c r="AB32" s="165" t="inlineStr">
        <is>
          <t>Cybersecurity &amp; Infrastructure; Project, Program &amp; Agile Management; Regulatory &amp; BFSI Domain</t>
        </is>
      </c>
      <c r="AC32" s="165" t="inlineStr">
        <is>
          <t>Project / programme management</t>
        </is>
      </c>
      <c r="AD32" s="165" t="n"/>
      <c r="AE32" s="121" t="inlineStr">
        <is>
          <t>No strong match from survey evidence</t>
        </is>
      </c>
      <c r="AF32" s="122" t="inlineStr">
        <is>
          <t>Vishal Vare · Senior System Administrator — 0.32: administration, cloud, aws, compliance</t>
        </is>
      </c>
      <c r="AG32" s="122" t="inlineStr">
        <is>
          <t>No close match in other businesses</t>
        </is>
      </c>
      <c r="AH32" s="122" t="n">
        <v>7</v>
      </c>
      <c r="AI32" s="122" t="inlineStr">
        <is>
          <t>Within norm</t>
        </is>
      </c>
      <c r="AJ32" s="122" t="n"/>
    </row>
    <row r="33" ht="158" customHeight="1">
      <c r="A33" s="109" t="inlineStr">
        <is>
          <t>IRIS0265</t>
        </is>
      </c>
      <c r="B33" s="111" t="inlineStr">
        <is>
          <t>Rajit Kumar Sahu</t>
        </is>
      </c>
      <c r="C33" s="111" t="inlineStr">
        <is>
          <t>IT &amp; Infrastructure</t>
        </is>
      </c>
      <c r="D33" s="115" t="inlineStr">
        <is>
          <t>System Administrator</t>
        </is>
      </c>
      <c r="E33" s="115" t="inlineStr">
        <is>
          <t>Infrastructure Specialist</t>
        </is>
      </c>
      <c r="F33" s="115" t="inlineStr">
        <is>
          <t>Not in current mapping files</t>
        </is>
      </c>
      <c r="G33" s="116" t="inlineStr">
        <is>
          <t>B1</t>
        </is>
      </c>
      <c r="H33" s="117" t="inlineStr">
        <is>
          <t>● Newly mapped</t>
        </is>
      </c>
      <c r="I33" s="111" t="inlineStr">
        <is>
          <t>IC</t>
        </is>
      </c>
      <c r="J33" s="113" t="inlineStr">
        <is>
          <t>Not rated · manager</t>
        </is>
      </c>
      <c r="K33" s="114" t="inlineStr">
        <is>
          <t>—</t>
        </is>
      </c>
      <c r="L33" s="114" t="inlineStr">
        <is>
          <t>Not placed · manager</t>
        </is>
      </c>
      <c r="M33" s="114" t="inlineStr">
        <is>
          <t>No rating data</t>
        </is>
      </c>
      <c r="N33" s="114" t="n"/>
      <c r="O33" s="114" t="inlineStr"/>
      <c r="P33" s="114" t="inlineStr"/>
      <c r="Q33" s="118" t="n">
        <v>93</v>
      </c>
      <c r="R33" s="164" t="inlineStr">
        <is>
          <t>Meets the level</t>
        </is>
      </c>
      <c r="S33" s="164" t="n">
        <v>101</v>
      </c>
      <c r="T33" s="164" t="n">
        <v>97</v>
      </c>
      <c r="U33" s="164" t="n">
        <v>84</v>
      </c>
      <c r="V33" s="164" t="n">
        <v>100</v>
      </c>
      <c r="W33" s="164" t="inlineStr">
        <is>
          <t>Quality &amp; process, Stakeholder mgmt, Prioritisation</t>
        </is>
      </c>
      <c r="X33" s="164" t="inlineStr">
        <is>
          <r>
            <rPr>
              <rFont val="Calibri"/>
              <b val="1"/>
              <sz val="10"/>
            </rPr>
            <t>B2:</t>
          </r>
          <r>
            <rPr>
              <rFont val="Calibri"/>
              <sz val="10"/>
            </rPr>
            <t xml:space="preserve"> 80% of profile — close</t>
          </r>
        </is>
      </c>
      <c r="Y33" s="164" t="inlineStr">
        <is>
          <r>
            <rPr>
              <rFont val="Calibri"/>
              <b val="1"/>
              <sz val="10"/>
            </rPr>
            <t>Evidence:</t>
          </r>
          <r>
            <rPr>
              <rFont val="Calibri"/>
              <sz val="10"/>
            </rPr>
            <t xml:space="preserve"> Survey | Core: Ownership 4/3, Problem solving 3/3, Communication &amp; collaboration 3/3, Client &amp; quality focus 3/3, Learning agility 2/3, Integrity &amp; compliance 4/3 | Future-ready: AI literacy 2/3, Data literacy 4/3, Digital fluency 3/3, Innovation 3/3 | Functional: Infra &amp; security 4/3, Cloud &amp; DevOps 4/3, Quality &amp; process 2/3, Stakeholder mgmt 2/3, Prioritisation 2/3, AI / GenAI 2/3 | Leadership: Developing people 1/1, Decision making 1/1, Strategic acumen 1/1, Influence &amp; change 1/1</t>
          </r>
        </is>
      </c>
      <c r="Z33" s="119" t="inlineStr">
        <is>
          <t>Leadership &amp; people management · Technical depth &amp; architecture · Domain, regulatory &amp; XBRL · Strategy &amp; business acumen</t>
        </is>
      </c>
      <c r="AA33" s="165" t="n"/>
      <c r="AB33" s="165" t="inlineStr">
        <is>
          <t>Cloud, DevOps &amp; CI/CD; Cybersecurity &amp; Infrastructure; Regulatory &amp; BFSI Domain</t>
        </is>
      </c>
      <c r="AC33" s="165" t="inlineStr">
        <is>
          <t>Leadership &amp; people management · Technical depth &amp; architecture · Domain, regulatory &amp; XBRL · Strategy &amp; business acumen</t>
        </is>
      </c>
      <c r="AD33" s="165" t="n"/>
      <c r="AE33" s="121" t="inlineStr">
        <is>
          <t>No strong match from survey evidence</t>
        </is>
      </c>
      <c r="AF33" s="122" t="inlineStr">
        <is>
          <t>Rajyalakshmi Koyagura · Senior System Administrator — 0.59: linux, cloud, aws, administration; Vishal Vare · Senior System Administrator — 0.47: cloud, aws, administration, infrastructure</t>
        </is>
      </c>
      <c r="AG33" s="122" t="inlineStr">
        <is>
          <t>No close match in other businesses</t>
        </is>
      </c>
      <c r="AH33" s="122" t="n"/>
      <c r="AI33" s="122" t="n"/>
      <c r="AJ33" s="122" t="n"/>
    </row>
    <row r="34" ht="158" customHeight="1">
      <c r="A34" s="109" t="inlineStr">
        <is>
          <t>IRIS0909</t>
        </is>
      </c>
      <c r="B34" s="111" t="inlineStr">
        <is>
          <t>Ramesh Kone</t>
        </is>
      </c>
      <c r="C34" s="111" t="inlineStr">
        <is>
          <t>IT &amp; Infrastructure</t>
        </is>
      </c>
      <c r="D34" s="115" t="inlineStr">
        <is>
          <t>System Administrator</t>
        </is>
      </c>
      <c r="E34" s="115" t="inlineStr">
        <is>
          <t>Infrastructure Specialist – POD Lead</t>
        </is>
      </c>
      <c r="F34" s="115" t="inlineStr">
        <is>
          <t>Not in current mapping files</t>
        </is>
      </c>
      <c r="G34" s="116" t="inlineStr">
        <is>
          <t>B1</t>
        </is>
      </c>
      <c r="H34" s="117" t="inlineStr">
        <is>
          <t>● Newly mapped</t>
        </is>
      </c>
      <c r="I34" s="111" t="inlineStr">
        <is>
          <t>POD Lead</t>
        </is>
      </c>
      <c r="J34" s="113" t="inlineStr">
        <is>
          <t>Not rated · manager</t>
        </is>
      </c>
      <c r="K34" s="114" t="inlineStr">
        <is>
          <t>—</t>
        </is>
      </c>
      <c r="L34" s="114" t="inlineStr">
        <is>
          <t>Not placed · manager</t>
        </is>
      </c>
      <c r="M34" s="114" t="inlineStr">
        <is>
          <t>No rating data</t>
        </is>
      </c>
      <c r="N34" s="114" t="n"/>
      <c r="O34" s="114" t="inlineStr"/>
      <c r="P34" s="114" t="inlineStr"/>
      <c r="Q34" s="118" t="n">
        <v>92</v>
      </c>
      <c r="R34" s="164" t="inlineStr">
        <is>
          <t>Meets the level</t>
        </is>
      </c>
      <c r="S34" s="164" t="n">
        <v>87</v>
      </c>
      <c r="T34" s="164" t="n">
        <v>83</v>
      </c>
      <c r="U34" s="164" t="n">
        <v>92</v>
      </c>
      <c r="V34" s="164" t="n">
        <v>105</v>
      </c>
      <c r="W34" s="164" t="inlineStr">
        <is>
          <t>Prioritisation, AI / GenAI, Ownership</t>
        </is>
      </c>
      <c r="X34" s="164" t="inlineStr">
        <is>
          <r>
            <rPr>
              <rFont val="Calibri"/>
              <b val="1"/>
              <sz val="10"/>
            </rPr>
            <t>B2:</t>
          </r>
          <r>
            <rPr>
              <rFont val="Calibri"/>
              <sz val="10"/>
            </rPr>
            <t xml:space="preserve"> 78% of profile — close</t>
          </r>
        </is>
      </c>
      <c r="Y34" s="164" t="inlineStr">
        <is>
          <r>
            <rPr>
              <rFont val="Calibri"/>
              <b val="1"/>
              <sz val="10"/>
            </rPr>
            <t>Evidence:</t>
          </r>
          <r>
            <rPr>
              <rFont val="Calibri"/>
              <sz val="10"/>
            </rPr>
            <t xml:space="preserve"> Survey | Core: Ownership 2/3, Problem solving 2/3, Communication &amp; collaboration 3/3, Client &amp; quality focus 3/3, Learning agility 2/3, Integrity &amp; compliance 4/3 | Future-ready: AI literacy 2/3, Data literacy 3/3, Digital fluency 3/3, Innovation 2/3 | Functional: Infra &amp; security 4/3, Cloud &amp; DevOps 3/3, Quality &amp; process 3/3, Stakeholder mgmt 3/3, Prioritisation 2/3, AI / GenAI 2/3 | Leadership: Developing people 2/2, Decision making 2/2, Strategic acumen 2/2, Influence &amp; change 3/2</t>
          </r>
        </is>
      </c>
      <c r="Z34" s="119" t="inlineStr">
        <is>
          <t>Technical depth &amp; architecture</t>
        </is>
      </c>
      <c r="AA34" s="165" t="n"/>
      <c r="AB34" s="165" t="inlineStr">
        <is>
          <t>AI, GenAI &amp; Prompt Engineering; Process Improvement &amp; Quality Mindset</t>
        </is>
      </c>
      <c r="AC34" s="165" t="inlineStr">
        <is>
          <t>Technical depth &amp; architecture</t>
        </is>
      </c>
      <c r="AD34" s="165" t="n"/>
      <c r="AE34" s="121" t="inlineStr">
        <is>
          <t>No strong match from survey evidence</t>
        </is>
      </c>
      <c r="AF34" s="122" t="inlineStr">
        <is>
          <t>No material overlap found</t>
        </is>
      </c>
      <c r="AG34" s="122" t="inlineStr">
        <is>
          <t>No close match in other businesses</t>
        </is>
      </c>
      <c r="AH34" s="122" t="n">
        <v>1</v>
      </c>
      <c r="AI34" s="122" t="inlineStr">
        <is>
          <t>POD Lead</t>
        </is>
      </c>
      <c r="AJ34" s="122" t="n"/>
    </row>
    <row r="35" ht="158" customHeight="1">
      <c r="A35" s="109" t="inlineStr">
        <is>
          <t>IRIS0038</t>
        </is>
      </c>
      <c r="B35" s="111" t="inlineStr">
        <is>
          <t>Vikas Mithbawkar</t>
        </is>
      </c>
      <c r="C35" s="111" t="inlineStr">
        <is>
          <t>IT &amp; Infrastructure</t>
        </is>
      </c>
      <c r="D35" s="115" t="inlineStr">
        <is>
          <t>Senior System Administrator</t>
        </is>
      </c>
      <c r="E35" s="115" t="inlineStr">
        <is>
          <t>IT Infrastructure Manager</t>
        </is>
      </c>
      <c r="F35" s="115" t="inlineStr">
        <is>
          <t>Not in current mapping files</t>
        </is>
      </c>
      <c r="G35" s="116" t="inlineStr">
        <is>
          <t>B1</t>
        </is>
      </c>
      <c r="H35" s="117" t="inlineStr">
        <is>
          <t>● Newly mapped</t>
        </is>
      </c>
      <c r="I35" s="111" t="inlineStr">
        <is>
          <t>People Manager</t>
        </is>
      </c>
      <c r="J35" s="113" t="inlineStr">
        <is>
          <t>Not rated · manager</t>
        </is>
      </c>
      <c r="K35" s="114" t="inlineStr">
        <is>
          <t>—</t>
        </is>
      </c>
      <c r="L35" s="114" t="inlineStr">
        <is>
          <t>Not placed · manager</t>
        </is>
      </c>
      <c r="M35" s="114" t="inlineStr">
        <is>
          <t>No rating data</t>
        </is>
      </c>
      <c r="N35" s="114" t="n"/>
      <c r="O35" s="114" t="inlineStr"/>
      <c r="P35" s="114" t="inlineStr"/>
      <c r="Q35" s="118" t="n">
        <v>90</v>
      </c>
      <c r="R35" s="164" t="inlineStr">
        <is>
          <t>Meets the level</t>
        </is>
      </c>
      <c r="S35" s="164" t="n">
        <v>102</v>
      </c>
      <c r="T35" s="164" t="n">
        <v>67</v>
      </c>
      <c r="U35" s="164" t="n">
        <v>94</v>
      </c>
      <c r="V35" s="164" t="n">
        <v>88</v>
      </c>
      <c r="W35" s="164" t="inlineStr">
        <is>
          <t>Cloud &amp; DevOps, Prioritisation, AI / GenAI</t>
        </is>
      </c>
      <c r="X35" s="164" t="inlineStr">
        <is>
          <r>
            <rPr>
              <rFont val="Calibri"/>
              <b val="1"/>
              <sz val="10"/>
            </rPr>
            <t>B3:</t>
          </r>
          <r>
            <rPr>
              <rFont val="Calibri"/>
              <sz val="10"/>
            </rPr>
            <t xml:space="preserve"> 80% of profile — close</t>
          </r>
        </is>
      </c>
      <c r="Y35" s="164" t="inlineStr">
        <is>
          <r>
            <rPr>
              <rFont val="Calibri"/>
              <b val="1"/>
              <sz val="10"/>
            </rPr>
            <t>Evidence:</t>
          </r>
          <r>
            <rPr>
              <rFont val="Calibri"/>
              <sz val="10"/>
            </rPr>
            <t xml:space="preserve"> Survey | Core: Ownership 4/3, Problem solving 2/3, Communication &amp; collaboration 4/3, Client &amp; quality focus 4/3, Learning agility 2/3, Integrity &amp; compliance 4/3 | Future-ready: AI literacy 2/3, Data literacy 2/3, Digital fluency 2/3, Innovation 2/3 | Functional: Infra &amp; security 5/4, Cloud &amp; DevOps 3/4, Quality &amp; process 5/4, Stakeholder mgmt 4/4, Prioritisation 3/4, AI / GenAI 3/4 | Leadership: Developing people 3/3, Decision making 2/3, Strategic acumen 2/3, Influence &amp; change 4/3</t>
          </r>
        </is>
      </c>
      <c r="Z35" s="119" t="inlineStr">
        <is>
          <t>AI / automation · Leadership &amp; people management · Technical depth &amp; architecture</t>
        </is>
      </c>
      <c r="AA35" s="165" t="n"/>
      <c r="AB35" s="165" t="inlineStr">
        <is>
          <t>Cloud, DevOps &amp; CI/CD; Cybersecurity &amp; Infrastructure; AI, GenAI &amp; Prompt Engineering</t>
        </is>
      </c>
      <c r="AC35" s="165" t="inlineStr">
        <is>
          <t>AI / automation · Leadership &amp; people management · Technical depth &amp; architecture</t>
        </is>
      </c>
      <c r="AD35" s="165" t="n"/>
      <c r="AE35" s="121" t="inlineStr">
        <is>
          <t>No strong match from survey evidence</t>
        </is>
      </c>
      <c r="AF35" s="122" t="inlineStr">
        <is>
          <t>No material overlap found</t>
        </is>
      </c>
      <c r="AG35" s="122" t="inlineStr">
        <is>
          <t>No close match in other businesses</t>
        </is>
      </c>
      <c r="AH35" s="122" t="n">
        <v>5</v>
      </c>
      <c r="AI35" s="122" t="inlineStr">
        <is>
          <t>Below norm</t>
        </is>
      </c>
      <c r="AJ35" s="122" t="inlineStr">
        <is>
          <t>Team smaller than the norm for this level — merge with a peer team, widen scope, or treat as a POD Lead.</t>
        </is>
      </c>
    </row>
    <row r="36" ht="132" customHeight="1">
      <c r="A36" s="109" t="inlineStr">
        <is>
          <t>IRIS2099</t>
        </is>
      </c>
      <c r="B36" s="111" t="inlineStr">
        <is>
          <t>Parthiban Thangaraj</t>
        </is>
      </c>
      <c r="C36" s="111" t="inlineStr">
        <is>
          <t>IT &amp; Infrastructure</t>
        </is>
      </c>
      <c r="D36" s="115" t="inlineStr">
        <is>
          <t>Senior Software Engineer</t>
        </is>
      </c>
      <c r="E36" s="115" t="inlineStr">
        <is>
          <t>Senior DevOps Engineer</t>
        </is>
      </c>
      <c r="F36" s="115" t="inlineStr">
        <is>
          <t>Not in current mapping files</t>
        </is>
      </c>
      <c r="G36" s="116" t="inlineStr">
        <is>
          <t>A3</t>
        </is>
      </c>
      <c r="H36" s="117" t="inlineStr">
        <is>
          <t>● Newly mapped</t>
        </is>
      </c>
      <c r="I36" s="111" t="inlineStr">
        <is>
          <t>IC</t>
        </is>
      </c>
      <c r="J36" s="113" t="inlineStr">
        <is>
          <t>Not rated · manager</t>
        </is>
      </c>
      <c r="K36" s="114" t="inlineStr">
        <is>
          <t>—</t>
        </is>
      </c>
      <c r="L36" s="114" t="inlineStr">
        <is>
          <t>Not placed · manager</t>
        </is>
      </c>
      <c r="M36" s="114" t="inlineStr">
        <is>
          <t>No rating data</t>
        </is>
      </c>
      <c r="N36" s="114" t="n"/>
      <c r="O36" s="114" t="inlineStr"/>
      <c r="P36" s="114" t="inlineStr"/>
      <c r="Q36" s="118" t="n">
        <v>80</v>
      </c>
      <c r="R36" s="164" t="inlineStr">
        <is>
          <t>Developing</t>
        </is>
      </c>
      <c r="S36" s="164" t="n">
        <v>75</v>
      </c>
      <c r="T36" s="164" t="n">
        <v>75</v>
      </c>
      <c r="U36" s="164" t="n">
        <v>84</v>
      </c>
      <c r="V36" s="164" t="n"/>
      <c r="W36" s="164" t="inlineStr">
        <is>
          <t>Programming &amp; stack, System design, SQL &amp; data</t>
        </is>
      </c>
      <c r="X36" s="164" t="inlineStr">
        <is>
          <r>
            <rPr>
              <rFont val="Calibri"/>
              <b val="1"/>
              <sz val="10"/>
            </rPr>
            <t>B1:</t>
          </r>
          <r>
            <rPr>
              <rFont val="Calibri"/>
              <sz val="10"/>
            </rPr>
            <t xml:space="preserve"> 70% of profile — not yet</t>
          </r>
        </is>
      </c>
      <c r="Y36" s="164" t="inlineStr">
        <is>
          <r>
            <rPr>
              <rFont val="Calibri"/>
              <b val="1"/>
              <sz val="10"/>
            </rPr>
            <t>Evidence:</t>
          </r>
          <r>
            <rPr>
              <rFont val="Calibri"/>
              <sz val="10"/>
            </rPr>
            <t xml:space="preserve"> Survey | Core: Ownership 2/2, Problem solving 2/2, Communication &amp; collaboration 1/2, Client &amp; quality focus 1/2, Learning agility 1/2, Integrity &amp; compliance 2/2 | Future-ready: AI literacy 1/2, Data literacy 1/2, Digital fluency 2/2, Innovation 2/2 | Functional: Programming &amp; stack 2/3, System design 2/3, SQL &amp; data 2/3, Cloud &amp; DevOps 4/3, AI / GenAI 2/3, Product &amp; domain 4/3</t>
          </r>
        </is>
      </c>
      <c r="Z36" s="119" t="inlineStr">
        <is>
          <t>AI / automation · Technical depth &amp; architecture</t>
        </is>
      </c>
      <c r="AA36" s="165" t="n"/>
      <c r="AB36" s="165" t="inlineStr">
        <is>
          <t>Project, Program &amp; Agile Management</t>
        </is>
      </c>
      <c r="AC36" s="165" t="inlineStr">
        <is>
          <t>AI / automation · Technical depth &amp; architecture</t>
        </is>
      </c>
      <c r="AD36" s="165" t="n"/>
      <c r="AE36" s="121" t="inlineStr">
        <is>
          <t>No strong match from survey evidence</t>
        </is>
      </c>
      <c r="AF36" s="122" t="inlineStr">
        <is>
          <t>No material overlap found</t>
        </is>
      </c>
      <c r="AG36" s="122" t="inlineStr">
        <is>
          <t>Saurabh Jaykumar Wanjari · iFile, Software Engineer — 0.31; Saurabh Padalkar · iFile, AI/ML Engineer — 0.25</t>
        </is>
      </c>
      <c r="AH36" s="122" t="n"/>
      <c r="AI36" s="122" t="n"/>
      <c r="AJ36" s="122" t="n"/>
    </row>
    <row r="37" ht="80" customHeight="1">
      <c r="A37" s="109" t="inlineStr">
        <is>
          <t>IRIS2468</t>
        </is>
      </c>
      <c r="B37" s="111" t="inlineStr">
        <is>
          <t>Amit Gangaram Kamble</t>
        </is>
      </c>
      <c r="C37" s="111" t="inlineStr">
        <is>
          <t>IT &amp; Infrastructure</t>
        </is>
      </c>
      <c r="D37" s="115" t="inlineStr">
        <is>
          <t>Windows Server Administrator L1</t>
        </is>
      </c>
      <c r="E37" s="115" t="inlineStr">
        <is>
          <t>Senior System Administrator</t>
        </is>
      </c>
      <c r="F37" s="115" t="inlineStr">
        <is>
          <t>Not in current mapping files</t>
        </is>
      </c>
      <c r="G37" s="116" t="inlineStr">
        <is>
          <t>A3</t>
        </is>
      </c>
      <c r="H37" s="117" t="inlineStr">
        <is>
          <t>● Newly mapped</t>
        </is>
      </c>
      <c r="I37" s="111" t="inlineStr">
        <is>
          <t>IC</t>
        </is>
      </c>
      <c r="J37" s="113" t="inlineStr">
        <is>
          <t>Not rated · manager</t>
        </is>
      </c>
      <c r="K37" s="114" t="inlineStr">
        <is>
          <t>—</t>
        </is>
      </c>
      <c r="L37" s="114" t="inlineStr">
        <is>
          <t>Not placed · manager</t>
        </is>
      </c>
      <c r="M37" s="114" t="inlineStr">
        <is>
          <t>No rating data</t>
        </is>
      </c>
      <c r="N37" s="114" t="n"/>
      <c r="O37" s="114" t="inlineStr"/>
      <c r="P37" s="114" t="inlineStr"/>
      <c r="Q37" s="118" t="n"/>
      <c r="R37" s="164" t="inlineStr">
        <is>
          <t>Not assessed — no survey or KRA evidence</t>
        </is>
      </c>
      <c r="S37" s="164" t="n"/>
      <c r="T37" s="164" t="n"/>
      <c r="U37" s="164" t="n"/>
      <c r="V37" s="164" t="n"/>
      <c r="W37" s="164" t="n"/>
      <c r="X37" s="164" t="n"/>
      <c r="Y37" s="164" t="inlineStr">
        <is>
          <r>
            <rPr>
              <rFont val="Calibri"/>
              <b val="1"/>
              <sz val="10"/>
            </rPr>
            <t>Required at A3:</t>
          </r>
          <r>
            <rPr>
              <rFont val="Calibri"/>
              <sz val="10"/>
            </rPr>
            <t xml:space="preserve"> Core 2 · Future-ready 2 · Functional Infra &amp; security 3 · Cloud &amp; DevOps 3 · Quality &amp; process 3 · Stakeholder mgmt 3 · Prioritisation 3 · AI / GenAI 3 — rate in manager validation using sheet 4.</t>
          </r>
        </is>
      </c>
      <c r="Z37" s="119" t="inlineStr"/>
      <c r="AA37" s="165" t="n"/>
      <c r="AB37" s="165" t="inlineStr">
        <is>
          <t>IT.INF-F: cloud/server administration; access; backup; incident controls</t>
        </is>
      </c>
      <c r="AC37" s="165" t="inlineStr"/>
      <c r="AD37" s="165" t="n"/>
      <c r="AE37" s="121" t="n"/>
      <c r="AF37" s="122" t="inlineStr">
        <is>
          <t>No survey text</t>
        </is>
      </c>
      <c r="AG37" s="122" t="inlineStr">
        <is>
          <t>No survey text</t>
        </is>
      </c>
      <c r="AH37" s="122" t="n"/>
      <c r="AI37" s="122" t="n"/>
      <c r="AJ37" s="122" t="n"/>
    </row>
    <row r="38" ht="132" customHeight="1">
      <c r="A38" s="109" t="inlineStr">
        <is>
          <t>IRIS2315</t>
        </is>
      </c>
      <c r="B38" s="111" t="inlineStr">
        <is>
          <t>Gouri Kohale</t>
        </is>
      </c>
      <c r="C38" s="111" t="inlineStr">
        <is>
          <t>IT &amp; Infrastructure</t>
        </is>
      </c>
      <c r="D38" s="115" t="inlineStr">
        <is>
          <t>System Administrator</t>
        </is>
      </c>
      <c r="E38" s="115" t="inlineStr">
        <is>
          <t>Senior System Administrator</t>
        </is>
      </c>
      <c r="F38" s="115" t="inlineStr">
        <is>
          <t>Not in current mapping files</t>
        </is>
      </c>
      <c r="G38" s="116" t="inlineStr">
        <is>
          <t>A3</t>
        </is>
      </c>
      <c r="H38" s="117" t="inlineStr">
        <is>
          <t>● Newly mapped</t>
        </is>
      </c>
      <c r="I38" s="111" t="inlineStr">
        <is>
          <t>IC</t>
        </is>
      </c>
      <c r="J38" s="113" t="inlineStr">
        <is>
          <t>Not rated · manager</t>
        </is>
      </c>
      <c r="K38" s="114" t="inlineStr">
        <is>
          <t>—</t>
        </is>
      </c>
      <c r="L38" s="114" t="inlineStr">
        <is>
          <t>Not placed · manager</t>
        </is>
      </c>
      <c r="M38" s="114" t="inlineStr">
        <is>
          <t>No rating data</t>
        </is>
      </c>
      <c r="N38" s="114" t="n"/>
      <c r="O38" s="114" t="inlineStr"/>
      <c r="P38" s="114" t="inlineStr"/>
      <c r="Q38" s="118" t="n">
        <v>75</v>
      </c>
      <c r="R38" s="164" t="inlineStr">
        <is>
          <t>Developing</t>
        </is>
      </c>
      <c r="S38" s="164" t="n">
        <v>82</v>
      </c>
      <c r="T38" s="164" t="n">
        <v>50</v>
      </c>
      <c r="U38" s="164" t="n">
        <v>81</v>
      </c>
      <c r="V38" s="164" t="n"/>
      <c r="W38" s="164" t="inlineStr">
        <is>
          <t>Cloud &amp; DevOps, Quality &amp; process, Stakeholder mgmt</t>
        </is>
      </c>
      <c r="X38" s="164" t="inlineStr">
        <is>
          <r>
            <rPr>
              <rFont val="Calibri"/>
              <b val="1"/>
              <sz val="10"/>
            </rPr>
            <t>B1:</t>
          </r>
          <r>
            <rPr>
              <rFont val="Calibri"/>
              <sz val="10"/>
            </rPr>
            <t xml:space="preserve"> 68% of profile — not yet</t>
          </r>
        </is>
      </c>
      <c r="Y38" s="164" t="inlineStr">
        <is>
          <r>
            <rPr>
              <rFont val="Calibri"/>
              <b val="1"/>
              <sz val="10"/>
            </rPr>
            <t>Evidence:</t>
          </r>
          <r>
            <rPr>
              <rFont val="Calibri"/>
              <sz val="10"/>
            </rPr>
            <t xml:space="preserve"> Survey | Core: Ownership 3/2, Problem solving 3/2, Communication &amp; collaboration 1/2, Client &amp; quality focus 1/2, Learning agility 1/2, Integrity &amp; compliance 2/2 | Future-ready: AI literacy 1/2, Data literacy 1/2, Digital fluency 1/2, Innovation 1/2 | Functional: Infra &amp; security 4/3, Cloud &amp; DevOps 2/3, Quality &amp; process 2/3, Stakeholder mgmt 2/3, Prioritisation 3/3, AI / GenAI 2/3</t>
          </r>
        </is>
      </c>
      <c r="Z38" s="119" t="inlineStr">
        <is>
          <t>Answered · no common topic</t>
        </is>
      </c>
      <c r="AA38" s="165" t="n"/>
      <c r="AB38" s="165" t="inlineStr">
        <is>
          <t>Project, Program &amp; Agile Management</t>
        </is>
      </c>
      <c r="AC38" s="165" t="inlineStr">
        <is>
          <t>Answered · no common topic</t>
        </is>
      </c>
      <c r="AD38" s="165" t="n"/>
      <c r="AE38" s="121" t="inlineStr">
        <is>
          <t>No strong match from survey evidence</t>
        </is>
      </c>
      <c r="AF38" s="122" t="inlineStr">
        <is>
          <t>Nimit Sadafal · System Administrator — 0.33: server</t>
        </is>
      </c>
      <c r="AG38" s="122" t="inlineStr">
        <is>
          <t>No close match in other businesses</t>
        </is>
      </c>
      <c r="AH38" s="122" t="n"/>
      <c r="AI38" s="122" t="n"/>
      <c r="AJ38" s="122" t="n"/>
    </row>
    <row r="39" ht="80" customHeight="1">
      <c r="A39" s="109" t="inlineStr">
        <is>
          <t>IRIS2206</t>
        </is>
      </c>
      <c r="B39" s="111" t="inlineStr">
        <is>
          <t>Hemant Chordekar</t>
        </is>
      </c>
      <c r="C39" s="111" t="inlineStr">
        <is>
          <t>IT &amp; Infrastructure</t>
        </is>
      </c>
      <c r="D39" s="115" t="inlineStr">
        <is>
          <t>System Administrator</t>
        </is>
      </c>
      <c r="E39" s="115" t="inlineStr">
        <is>
          <t>Infrastructure Specialist</t>
        </is>
      </c>
      <c r="F39" s="115" t="inlineStr">
        <is>
          <t>Not in current mapping files</t>
        </is>
      </c>
      <c r="G39" s="116" t="inlineStr">
        <is>
          <t>A3</t>
        </is>
      </c>
      <c r="H39" s="117" t="inlineStr">
        <is>
          <t>● Newly mapped</t>
        </is>
      </c>
      <c r="I39" s="111" t="inlineStr">
        <is>
          <t>IC</t>
        </is>
      </c>
      <c r="J39" s="113" t="inlineStr">
        <is>
          <t>Not rated · manager</t>
        </is>
      </c>
      <c r="K39" s="114" t="inlineStr">
        <is>
          <t>—</t>
        </is>
      </c>
      <c r="L39" s="114" t="inlineStr">
        <is>
          <t>Not placed · manager</t>
        </is>
      </c>
      <c r="M39" s="114" t="inlineStr">
        <is>
          <t>No rating data</t>
        </is>
      </c>
      <c r="N39" s="114" t="n"/>
      <c r="O39" s="114" t="inlineStr"/>
      <c r="P39" s="114" t="inlineStr"/>
      <c r="Q39" s="118" t="n"/>
      <c r="R39" s="164" t="inlineStr">
        <is>
          <t>Not assessed — no survey or KRA evidence</t>
        </is>
      </c>
      <c r="S39" s="164" t="n"/>
      <c r="T39" s="164" t="n"/>
      <c r="U39" s="164" t="n"/>
      <c r="V39" s="164" t="n"/>
      <c r="W39" s="164" t="n"/>
      <c r="X39" s="164" t="n"/>
      <c r="Y39" s="164" t="inlineStr">
        <is>
          <r>
            <rPr>
              <rFont val="Calibri"/>
              <b val="1"/>
              <sz val="10"/>
            </rPr>
            <t>Required at B1:</t>
          </r>
          <r>
            <rPr>
              <rFont val="Calibri"/>
              <sz val="10"/>
            </rPr>
            <t xml:space="preserve"> Core 3 · Future-ready 3 · Functional Infra &amp; security 3 · Cloud &amp; DevOps 3 · Quality &amp; process 3 · Stakeholder mgmt 3 · Prioritisation 3 · AI / GenAI 3 · Leadership 1 — rate in manager validation using sheet 4.</t>
          </r>
        </is>
      </c>
      <c r="Z39" s="119" t="inlineStr"/>
      <c r="AA39" s="165" t="n"/>
      <c r="AB39" s="165" t="inlineStr">
        <is>
          <t>IT.INF-F: cloud/server administration; access; backup; incident controls</t>
        </is>
      </c>
      <c r="AC39" s="165" t="inlineStr"/>
      <c r="AD39" s="165" t="n"/>
      <c r="AE39" s="121" t="n"/>
      <c r="AF39" s="122" t="inlineStr">
        <is>
          <t>No survey text</t>
        </is>
      </c>
      <c r="AG39" s="122" t="inlineStr">
        <is>
          <t>No survey text</t>
        </is>
      </c>
      <c r="AH39" s="122" t="n"/>
      <c r="AI39" s="122" t="n"/>
      <c r="AJ39" s="122" t="n"/>
    </row>
    <row r="40" ht="132" customHeight="1">
      <c r="A40" s="109" t="inlineStr">
        <is>
          <t>IRISC298</t>
        </is>
      </c>
      <c r="B40" s="111" t="inlineStr">
        <is>
          <t>Ketan Balbhadra Yadav</t>
        </is>
      </c>
      <c r="C40" s="111" t="inlineStr">
        <is>
          <t>IT &amp; Infrastructure</t>
        </is>
      </c>
      <c r="D40" s="115" t="inlineStr">
        <is>
          <t>Consultant</t>
        </is>
      </c>
      <c r="E40" s="115" t="inlineStr">
        <is>
          <t>Senior System Administrator</t>
        </is>
      </c>
      <c r="F40" s="115" t="inlineStr">
        <is>
          <t>Not in current mapping files</t>
        </is>
      </c>
      <c r="G40" s="116" t="inlineStr">
        <is>
          <t>A3</t>
        </is>
      </c>
      <c r="H40" s="117" t="inlineStr">
        <is>
          <t>● Newly mapped</t>
        </is>
      </c>
      <c r="I40" s="111" t="inlineStr">
        <is>
          <t>IC</t>
        </is>
      </c>
      <c r="J40" s="113" t="inlineStr">
        <is>
          <t>Not rated · manager</t>
        </is>
      </c>
      <c r="K40" s="114" t="inlineStr">
        <is>
          <t>—</t>
        </is>
      </c>
      <c r="L40" s="114" t="inlineStr">
        <is>
          <t>Not placed · manager</t>
        </is>
      </c>
      <c r="M40" s="114" t="inlineStr">
        <is>
          <t>No rating data</t>
        </is>
      </c>
      <c r="N40" s="114" t="n"/>
      <c r="O40" s="114" t="inlineStr"/>
      <c r="P40" s="114" t="inlineStr"/>
      <c r="Q40" s="118" t="n">
        <v>102</v>
      </c>
      <c r="R40" s="164" t="inlineStr">
        <is>
          <t>Meets the level</t>
        </is>
      </c>
      <c r="S40" s="164" t="n">
        <v>113</v>
      </c>
      <c r="T40" s="164" t="n">
        <v>92</v>
      </c>
      <c r="U40" s="164" t="n">
        <v>99</v>
      </c>
      <c r="V40" s="164" t="n"/>
      <c r="W40" s="164" t="inlineStr">
        <is>
          <t>Prioritisation, AI / GenAI</t>
        </is>
      </c>
      <c r="X40" s="164" t="inlineStr">
        <is>
          <r>
            <rPr>
              <rFont val="Calibri"/>
              <b val="1"/>
              <sz val="10"/>
            </rPr>
            <t>B1:</t>
          </r>
          <r>
            <rPr>
              <rFont val="Calibri"/>
              <sz val="10"/>
            </rPr>
            <t xml:space="preserve"> 90% of profile — ready on competencies</t>
          </r>
        </is>
      </c>
      <c r="Y40" s="164" t="inlineStr">
        <is>
          <r>
            <rPr>
              <rFont val="Calibri"/>
              <b val="1"/>
              <sz val="10"/>
            </rPr>
            <t>Evidence:</t>
          </r>
          <r>
            <rPr>
              <rFont val="Calibri"/>
              <sz val="10"/>
            </rPr>
            <t xml:space="preserve"> Survey | Core: Ownership 2/2, Problem solving 3/2, Communication &amp; collaboration 3/2, Client &amp; quality focus 3/2, Learning agility 2/2, Integrity &amp; compliance 3/2 | Future-ready: AI literacy 1/2, Data literacy 2/2, Digital fluency 3/2, Innovation 2/2 | Functional: Infra &amp; security 4/3, Cloud &amp; DevOps 3/3, Quality &amp; process 4/3, Stakeholder mgmt 4/3, Prioritisation 2/3, AI / GenAI 2/3</t>
          </r>
        </is>
      </c>
      <c r="Z40" s="119" t="inlineStr">
        <is>
          <t>Leadership &amp; people management · Project / programme management · Data, SQL &amp; analytics · Strategy &amp; business acumen · Broader exposure &amp; ownership</t>
        </is>
      </c>
      <c r="AA40" s="165" t="n"/>
      <c r="AB40" s="165" t="inlineStr">
        <is>
          <t>AI, GenAI &amp; Prompt Engineering; Data Analytics, BI &amp; Visualisation; Project, Program &amp; Agile Management</t>
        </is>
      </c>
      <c r="AC40" s="165" t="inlineStr">
        <is>
          <t>Leadership &amp; people management · Project / programme management · Data, SQL &amp; analytics · Strategy &amp; business acumen · Broader exposure &amp; ownership</t>
        </is>
      </c>
      <c r="AD40" s="165" t="n"/>
      <c r="AE40" s="121" t="inlineStr">
        <is>
          <t>No strong match from survey evidence</t>
        </is>
      </c>
      <c r="AF40" s="122" t="inlineStr">
        <is>
          <t>No material overlap found</t>
        </is>
      </c>
      <c r="AG40" s="122" t="inlineStr">
        <is>
          <t>No close match in other businesses</t>
        </is>
      </c>
      <c r="AH40" s="122" t="n"/>
      <c r="AI40" s="122" t="n"/>
      <c r="AJ40" s="122" t="n"/>
    </row>
    <row r="41" ht="132" customHeight="1">
      <c r="A41" s="109" t="inlineStr">
        <is>
          <t>IRIS1998</t>
        </is>
      </c>
      <c r="B41" s="111" t="inlineStr">
        <is>
          <t>Nimit Sadafal</t>
        </is>
      </c>
      <c r="C41" s="111" t="inlineStr">
        <is>
          <t>IT &amp; Infrastructure</t>
        </is>
      </c>
      <c r="D41" s="115" t="inlineStr">
        <is>
          <t>System Administrator</t>
        </is>
      </c>
      <c r="E41" s="115" t="inlineStr">
        <is>
          <t>Senior System Administrator</t>
        </is>
      </c>
      <c r="F41" s="115" t="inlineStr">
        <is>
          <t>Not in current mapping files</t>
        </is>
      </c>
      <c r="G41" s="116" t="inlineStr">
        <is>
          <t>A3</t>
        </is>
      </c>
      <c r="H41" s="117" t="inlineStr">
        <is>
          <t>● Newly mapped</t>
        </is>
      </c>
      <c r="I41" s="111" t="inlineStr">
        <is>
          <t>IC</t>
        </is>
      </c>
      <c r="J41" s="113" t="inlineStr">
        <is>
          <t>Not rated · manager</t>
        </is>
      </c>
      <c r="K41" s="114" t="inlineStr">
        <is>
          <t>—</t>
        </is>
      </c>
      <c r="L41" s="114" t="inlineStr">
        <is>
          <t>Not placed · manager</t>
        </is>
      </c>
      <c r="M41" s="114" t="inlineStr">
        <is>
          <t>No rating data</t>
        </is>
      </c>
      <c r="N41" s="114" t="n"/>
      <c r="O41" s="114" t="inlineStr"/>
      <c r="P41" s="114" t="inlineStr"/>
      <c r="Q41" s="118" t="n">
        <v>82</v>
      </c>
      <c r="R41" s="164" t="inlineStr">
        <is>
          <t>Developing</t>
        </is>
      </c>
      <c r="S41" s="164" t="n">
        <v>87</v>
      </c>
      <c r="T41" s="164" t="n">
        <v>68</v>
      </c>
      <c r="U41" s="164" t="n">
        <v>84</v>
      </c>
      <c r="V41" s="164" t="n"/>
      <c r="W41" s="164" t="inlineStr">
        <is>
          <t>Cloud &amp; DevOps, Quality &amp; process, Prioritisation</t>
        </is>
      </c>
      <c r="X41" s="164" t="inlineStr">
        <is>
          <r>
            <rPr>
              <rFont val="Calibri"/>
              <b val="1"/>
              <sz val="10"/>
            </rPr>
            <t>B1:</t>
          </r>
          <r>
            <rPr>
              <rFont val="Calibri"/>
              <sz val="10"/>
            </rPr>
            <t xml:space="preserve"> 73% of profile — not yet</t>
          </r>
        </is>
      </c>
      <c r="Y41" s="164" t="inlineStr">
        <is>
          <r>
            <rPr>
              <rFont val="Calibri"/>
              <b val="1"/>
              <sz val="10"/>
            </rPr>
            <t>Evidence:</t>
          </r>
          <r>
            <rPr>
              <rFont val="Calibri"/>
              <sz val="10"/>
            </rPr>
            <t xml:space="preserve"> Survey | Core: Ownership 1/2, Problem solving 2/2, Communication &amp; collaboration 3/2, Client &amp; quality focus 2/2, Learning agility 1/2, Integrity &amp; compliance 2/2 | Future-ready: AI literacy 1/2, Data literacy 3/2, Digital fluency 1/2, Innovation 1/2 | Functional: Infra &amp; security 4/3, Cloud &amp; DevOps 2/3, Quality &amp; process 2/3, Stakeholder mgmt 4/3, Prioritisation 2/3, AI / GenAI 2/3</t>
          </r>
        </is>
      </c>
      <c r="Z41" s="119" t="inlineStr">
        <is>
          <t>Technical depth &amp; architecture</t>
        </is>
      </c>
      <c r="AA41" s="165" t="n"/>
      <c r="AB41" s="165" t="inlineStr">
        <is>
          <t>Cybersecurity &amp; Infrastructure; Project, Program &amp; Agile Management</t>
        </is>
      </c>
      <c r="AC41" s="165" t="inlineStr">
        <is>
          <t>Technical depth &amp; architecture</t>
        </is>
      </c>
      <c r="AD41" s="165" t="n"/>
      <c r="AE41" s="121" t="inlineStr">
        <is>
          <t>No strong match from survey evidence</t>
        </is>
      </c>
      <c r="AF41" s="122" t="inlineStr">
        <is>
          <t>Vishal Vare · Senior System Administrator — 0.40: dns; Gouri Kohale · System Administrator — 0.33: server</t>
        </is>
      </c>
      <c r="AG41" s="122" t="inlineStr">
        <is>
          <t>No close match in other businesses</t>
        </is>
      </c>
      <c r="AH41" s="122" t="n"/>
      <c r="AI41" s="122" t="n"/>
      <c r="AJ41" s="122" t="n"/>
    </row>
    <row r="42" ht="132" customHeight="1">
      <c r="A42" s="109" t="inlineStr">
        <is>
          <t>IRIS2003</t>
        </is>
      </c>
      <c r="B42" s="111" t="inlineStr">
        <is>
          <t>Rajyalakshmi Koyagura</t>
        </is>
      </c>
      <c r="C42" s="111" t="inlineStr">
        <is>
          <t>IT &amp; Infrastructure</t>
        </is>
      </c>
      <c r="D42" s="115" t="inlineStr">
        <is>
          <t>System Administrator</t>
        </is>
      </c>
      <c r="E42" s="115" t="inlineStr">
        <is>
          <t>Senior System Administrator</t>
        </is>
      </c>
      <c r="F42" s="115" t="inlineStr">
        <is>
          <t>Not in current mapping files</t>
        </is>
      </c>
      <c r="G42" s="116" t="inlineStr">
        <is>
          <t>A3</t>
        </is>
      </c>
      <c r="H42" s="117" t="inlineStr">
        <is>
          <t>● Newly mapped</t>
        </is>
      </c>
      <c r="I42" s="111" t="inlineStr">
        <is>
          <t>IC</t>
        </is>
      </c>
      <c r="J42" s="113" t="inlineStr">
        <is>
          <t>Not rated · manager</t>
        </is>
      </c>
      <c r="K42" s="114" t="inlineStr">
        <is>
          <t>—</t>
        </is>
      </c>
      <c r="L42" s="114" t="inlineStr">
        <is>
          <t>Not placed · manager</t>
        </is>
      </c>
      <c r="M42" s="114" t="inlineStr">
        <is>
          <t>No rating data</t>
        </is>
      </c>
      <c r="N42" s="114" t="n"/>
      <c r="O42" s="114" t="inlineStr"/>
      <c r="P42" s="114" t="inlineStr"/>
      <c r="Q42" s="118" t="n">
        <v>77</v>
      </c>
      <c r="R42" s="164" t="inlineStr">
        <is>
          <t>Developing</t>
        </is>
      </c>
      <c r="S42" s="164" t="n">
        <v>75</v>
      </c>
      <c r="T42" s="164" t="n">
        <v>62</v>
      </c>
      <c r="U42" s="164" t="n">
        <v>84</v>
      </c>
      <c r="V42" s="164" t="n"/>
      <c r="W42" s="164" t="inlineStr">
        <is>
          <t>Quality &amp; process, Stakeholder mgmt, Prioritisation</t>
        </is>
      </c>
      <c r="X42" s="164" t="inlineStr">
        <is>
          <r>
            <rPr>
              <rFont val="Calibri"/>
              <b val="1"/>
              <sz val="10"/>
            </rPr>
            <t>B1:</t>
          </r>
          <r>
            <rPr>
              <rFont val="Calibri"/>
              <sz val="10"/>
            </rPr>
            <t xml:space="preserve"> 69% of profile — not yet</t>
          </r>
        </is>
      </c>
      <c r="Y42" s="164" t="inlineStr">
        <is>
          <r>
            <rPr>
              <rFont val="Calibri"/>
              <b val="1"/>
              <sz val="10"/>
            </rPr>
            <t>Evidence:</t>
          </r>
          <r>
            <rPr>
              <rFont val="Calibri"/>
              <sz val="10"/>
            </rPr>
            <t xml:space="preserve"> Survey | Core: Ownership 1/2, Problem solving 2/2, Communication &amp; collaboration 1/2, Client &amp; quality focus 1/2, Learning agility 2/2, Integrity &amp; compliance 2/2 | Future-ready: AI literacy 1/2, Data literacy 1/2, Digital fluency 1/2, Innovation 2/2 | Functional: Infra &amp; security 4/3, Cloud &amp; DevOps 4/3, Quality &amp; process 2/3, Stakeholder mgmt 2/3, Prioritisation 2/3, AI / GenAI 2/3</t>
          </r>
        </is>
      </c>
      <c r="Z42" s="119" t="inlineStr">
        <is>
          <t>Technical depth &amp; architecture</t>
        </is>
      </c>
      <c r="AA42" s="165" t="n"/>
      <c r="AB42" s="165" t="inlineStr">
        <is>
          <t>Cloud, DevOps &amp; CI/CD; AI, GenAI &amp; Prompt Engineering; Cybersecurity &amp; Infrastructure</t>
        </is>
      </c>
      <c r="AC42" s="165" t="inlineStr">
        <is>
          <t>Technical depth &amp; architecture</t>
        </is>
      </c>
      <c r="AD42" s="165" t="n"/>
      <c r="AE42" s="121" t="inlineStr">
        <is>
          <t>No strong match from survey evidence</t>
        </is>
      </c>
      <c r="AF42" s="122" t="inlineStr">
        <is>
          <t>Rajit Kumar Sahu · Senior System Administrator — 0.59: linux, cloud, aws, administration; Vishal Vare · Senior System Administrator — 0.58: cloud, administration, aws, infrastructure</t>
        </is>
      </c>
      <c r="AG42" s="122" t="inlineStr">
        <is>
          <t>No close match in other businesses</t>
        </is>
      </c>
      <c r="AH42" s="122" t="n"/>
      <c r="AI42" s="122" t="n"/>
      <c r="AJ42" s="122" t="n"/>
    </row>
    <row r="43" ht="132" customHeight="1">
      <c r="A43" s="109" t="inlineStr">
        <is>
          <t>IRIS2098</t>
        </is>
      </c>
      <c r="B43" s="111" t="inlineStr">
        <is>
          <t>Sagar Jamadar</t>
        </is>
      </c>
      <c r="C43" s="111" t="inlineStr">
        <is>
          <t>IT &amp; Infrastructure</t>
        </is>
      </c>
      <c r="D43" s="115" t="inlineStr">
        <is>
          <t>Desktop Support Engineer</t>
        </is>
      </c>
      <c r="E43" s="115" t="inlineStr">
        <is>
          <t>Senior Desktop Support Engineer</t>
        </is>
      </c>
      <c r="F43" s="115" t="inlineStr">
        <is>
          <t>Not in current mapping files</t>
        </is>
      </c>
      <c r="G43" s="116" t="inlineStr">
        <is>
          <t>A3</t>
        </is>
      </c>
      <c r="H43" s="117" t="inlineStr">
        <is>
          <t>● Newly mapped</t>
        </is>
      </c>
      <c r="I43" s="111" t="inlineStr">
        <is>
          <t>IC</t>
        </is>
      </c>
      <c r="J43" s="113" t="inlineStr">
        <is>
          <t>Not rated · manager</t>
        </is>
      </c>
      <c r="K43" s="114" t="inlineStr">
        <is>
          <t>—</t>
        </is>
      </c>
      <c r="L43" s="114" t="inlineStr">
        <is>
          <t>Not placed · manager</t>
        </is>
      </c>
      <c r="M43" s="114" t="inlineStr">
        <is>
          <t>No rating data</t>
        </is>
      </c>
      <c r="N43" s="114" t="n"/>
      <c r="O43" s="114" t="inlineStr"/>
      <c r="P43" s="114" t="inlineStr"/>
      <c r="Q43" s="118" t="n">
        <v>97</v>
      </c>
      <c r="R43" s="164" t="inlineStr">
        <is>
          <t>Meets the level</t>
        </is>
      </c>
      <c r="S43" s="164" t="n">
        <v>105</v>
      </c>
      <c r="T43" s="164" t="n">
        <v>75</v>
      </c>
      <c r="U43" s="164" t="n">
        <v>101</v>
      </c>
      <c r="V43" s="164" t="n"/>
      <c r="W43" s="164" t="inlineStr">
        <is>
          <t>AI / GenAI, Learning agility, Data literacy</t>
        </is>
      </c>
      <c r="X43" s="164" t="inlineStr">
        <is>
          <r>
            <rPr>
              <rFont val="Calibri"/>
              <b val="1"/>
              <sz val="10"/>
            </rPr>
            <t>B1:</t>
          </r>
          <r>
            <rPr>
              <rFont val="Calibri"/>
              <sz val="10"/>
            </rPr>
            <t xml:space="preserve"> 86% of profile — close</t>
          </r>
        </is>
      </c>
      <c r="Y43" s="164" t="inlineStr">
        <is>
          <r>
            <rPr>
              <rFont val="Calibri"/>
              <b val="1"/>
              <sz val="10"/>
            </rPr>
            <t>Evidence:</t>
          </r>
          <r>
            <rPr>
              <rFont val="Calibri"/>
              <sz val="10"/>
            </rPr>
            <t xml:space="preserve"> Survey | Core: Ownership 2/2, Problem solving 3/2, Communication &amp; collaboration 3/2, Client &amp; quality focus 3/2, Learning agility 1/2, Integrity &amp; compliance 3/2 | Future-ready: AI literacy 1/2, Data literacy 1/2, Digital fluency 2/2, Innovation 2/2 | Functional: Infra &amp; security 4/3, Cloud &amp; DevOps 3/3, Quality &amp; process 3/3, Stakeholder mgmt 4/3, Prioritisation 3/3, AI / GenAI 2/3</t>
          </r>
        </is>
      </c>
      <c r="Z43" s="119" t="inlineStr">
        <is>
          <t>AI / automation · Technical depth &amp; architecture · Broader exposure &amp; ownership</t>
        </is>
      </c>
      <c r="AA43" s="165" t="n"/>
      <c r="AB43" s="165" t="inlineStr">
        <is>
          <t>Cloud, DevOps &amp; CI/CD; Cybersecurity &amp; Infrastructure; AI, GenAI &amp; Prompt Engineering</t>
        </is>
      </c>
      <c r="AC43" s="165" t="inlineStr">
        <is>
          <t>AI / automation · Technical depth &amp; architecture · Product &amp; tool knowledge · Broader exposure &amp; ownership</t>
        </is>
      </c>
      <c r="AD43" s="165" t="n"/>
      <c r="AE43" s="121" t="inlineStr">
        <is>
          <t>No strong match from survey evidence</t>
        </is>
      </c>
      <c r="AF43" s="122" t="inlineStr">
        <is>
          <t>Sandip Mane · System Administrator — 0.33: active, windows, directory, azure</t>
        </is>
      </c>
      <c r="AG43" s="122" t="inlineStr">
        <is>
          <t>No close match in other businesses</t>
        </is>
      </c>
      <c r="AH43" s="122" t="n"/>
      <c r="AI43" s="122" t="n"/>
      <c r="AJ43" s="122" t="n"/>
    </row>
    <row r="44" ht="132" customHeight="1">
      <c r="A44" s="109" t="inlineStr">
        <is>
          <t>IRIS1958</t>
        </is>
      </c>
      <c r="B44" s="111" t="inlineStr">
        <is>
          <t>Sandip Mane</t>
        </is>
      </c>
      <c r="C44" s="111" t="inlineStr">
        <is>
          <t>IT &amp; Infrastructure</t>
        </is>
      </c>
      <c r="D44" s="115" t="inlineStr">
        <is>
          <t>System Administrator</t>
        </is>
      </c>
      <c r="E44" s="115" t="inlineStr">
        <is>
          <t>Senior System Administrator</t>
        </is>
      </c>
      <c r="F44" s="115" t="inlineStr">
        <is>
          <t>Not in current mapping files</t>
        </is>
      </c>
      <c r="G44" s="116" t="inlineStr">
        <is>
          <t>A3</t>
        </is>
      </c>
      <c r="H44" s="117" t="inlineStr">
        <is>
          <t>● Newly mapped</t>
        </is>
      </c>
      <c r="I44" s="111" t="inlineStr">
        <is>
          <t>IC</t>
        </is>
      </c>
      <c r="J44" s="113" t="inlineStr">
        <is>
          <t>Not rated · manager</t>
        </is>
      </c>
      <c r="K44" s="114" t="inlineStr">
        <is>
          <t>—</t>
        </is>
      </c>
      <c r="L44" s="114" t="inlineStr">
        <is>
          <t>Not placed · manager</t>
        </is>
      </c>
      <c r="M44" s="114" t="inlineStr">
        <is>
          <t>No rating data</t>
        </is>
      </c>
      <c r="N44" s="114" t="n"/>
      <c r="O44" s="114" t="inlineStr"/>
      <c r="P44" s="114" t="inlineStr"/>
      <c r="Q44" s="118" t="n">
        <v>75</v>
      </c>
      <c r="R44" s="164" t="inlineStr">
        <is>
          <t>Gap — development plan needed</t>
        </is>
      </c>
      <c r="S44" s="164" t="n">
        <v>75</v>
      </c>
      <c r="T44" s="164" t="n">
        <v>50</v>
      </c>
      <c r="U44" s="164" t="n">
        <v>84</v>
      </c>
      <c r="V44" s="164" t="n"/>
      <c r="W44" s="164" t="inlineStr">
        <is>
          <t>Quality &amp; process, Stakeholder mgmt, Prioritisation</t>
        </is>
      </c>
      <c r="X44" s="164" t="inlineStr">
        <is>
          <r>
            <rPr>
              <rFont val="Calibri"/>
              <b val="1"/>
              <sz val="10"/>
            </rPr>
            <t>B1:</t>
          </r>
          <r>
            <rPr>
              <rFont val="Calibri"/>
              <sz val="10"/>
            </rPr>
            <t xml:space="preserve"> 67% of profile — not yet</t>
          </r>
        </is>
      </c>
      <c r="Y44" s="164" t="inlineStr">
        <is>
          <r>
            <rPr>
              <rFont val="Calibri"/>
              <b val="1"/>
              <sz val="10"/>
            </rPr>
            <t>Evidence:</t>
          </r>
          <r>
            <rPr>
              <rFont val="Calibri"/>
              <sz val="10"/>
            </rPr>
            <t xml:space="preserve"> Survey | Core: Ownership 2/2, Problem solving 2/2, Communication &amp; collaboration 1/2, Client &amp; quality focus 1/2, Learning agility 1/2, Integrity &amp; compliance 2/2 | Future-ready: AI literacy 1/2, Data literacy 1/2, Digital fluency 1/2, Innovation 1/2 | Functional: Infra &amp; security 4/3, Cloud &amp; DevOps 4/3, Quality &amp; process 2/3, Stakeholder mgmt 2/3, Prioritisation 2/3, AI / GenAI 2/3</t>
          </r>
        </is>
      </c>
      <c r="Z44" s="119" t="inlineStr">
        <is>
          <t>Technical depth &amp; architecture</t>
        </is>
      </c>
      <c r="AA44" s="165" t="n"/>
      <c r="AB44" s="165" t="inlineStr">
        <is>
          <t>Cloud, DevOps &amp; CI/CD; Cybersecurity &amp; Infrastructure</t>
        </is>
      </c>
      <c r="AC44" s="165" t="inlineStr">
        <is>
          <t>Technical depth &amp; architecture</t>
        </is>
      </c>
      <c r="AD44" s="165" t="n"/>
      <c r="AE44" s="121" t="inlineStr">
        <is>
          <t>No strong match from survey evidence</t>
        </is>
      </c>
      <c r="AF44" s="122" t="inlineStr">
        <is>
          <t>Sagar Jamadar · Desktop Support Engineer — 0.33: active, windows, directory, azure</t>
        </is>
      </c>
      <c r="AG44" s="122" t="inlineStr">
        <is>
          <t>No close match in other businesses</t>
        </is>
      </c>
      <c r="AH44" s="122" t="n"/>
      <c r="AI44" s="122" t="n"/>
      <c r="AJ44" s="122" t="n"/>
    </row>
    <row r="45" ht="132" customHeight="1">
      <c r="A45" s="109" t="inlineStr">
        <is>
          <t>IRIS1581</t>
        </is>
      </c>
      <c r="B45" s="111" t="inlineStr">
        <is>
          <t>Vishal Vare</t>
        </is>
      </c>
      <c r="C45" s="111" t="inlineStr">
        <is>
          <t>IT &amp; Infrastructure</t>
        </is>
      </c>
      <c r="D45" s="111" t="inlineStr">
        <is>
          <t>Senior System Administrator</t>
        </is>
      </c>
      <c r="E45" s="111" t="inlineStr">
        <is>
          <t>Senior System Administrator</t>
        </is>
      </c>
      <c r="F45" s="115" t="inlineStr">
        <is>
          <t>Not in current mapping files</t>
        </is>
      </c>
      <c r="G45" s="116" t="inlineStr">
        <is>
          <t>A3</t>
        </is>
      </c>
      <c r="H45" s="117" t="inlineStr">
        <is>
          <t>● Newly mapped</t>
        </is>
      </c>
      <c r="I45" s="111" t="inlineStr">
        <is>
          <t>IC</t>
        </is>
      </c>
      <c r="J45" s="113" t="inlineStr">
        <is>
          <t>Not rated · manager</t>
        </is>
      </c>
      <c r="K45" s="114" t="inlineStr">
        <is>
          <t>—</t>
        </is>
      </c>
      <c r="L45" s="114" t="inlineStr">
        <is>
          <t>Not placed · manager</t>
        </is>
      </c>
      <c r="M45" s="114" t="inlineStr">
        <is>
          <t>No rating data</t>
        </is>
      </c>
      <c r="N45" s="114" t="n"/>
      <c r="O45" s="114" t="inlineStr"/>
      <c r="P45" s="114" t="inlineStr"/>
      <c r="Q45" s="118" t="n">
        <v>84</v>
      </c>
      <c r="R45" s="164" t="inlineStr">
        <is>
          <t>Developing</t>
        </is>
      </c>
      <c r="S45" s="164" t="n">
        <v>90</v>
      </c>
      <c r="T45" s="164" t="n">
        <v>62</v>
      </c>
      <c r="U45" s="164" t="n">
        <v>90</v>
      </c>
      <c r="V45" s="164" t="n"/>
      <c r="W45" s="164" t="inlineStr">
        <is>
          <t>Quality &amp; process, Stakeholder mgmt, AI / GenAI</t>
        </is>
      </c>
      <c r="X45" s="164" t="inlineStr">
        <is>
          <r>
            <rPr>
              <rFont val="Calibri"/>
              <b val="1"/>
              <sz val="10"/>
            </rPr>
            <t>B1:</t>
          </r>
          <r>
            <rPr>
              <rFont val="Calibri"/>
              <sz val="10"/>
            </rPr>
            <t xml:space="preserve"> 75% of profile — close</t>
          </r>
        </is>
      </c>
      <c r="Y45" s="164" t="inlineStr">
        <is>
          <r>
            <rPr>
              <rFont val="Calibri"/>
              <b val="1"/>
              <sz val="10"/>
            </rPr>
            <t>Evidence:</t>
          </r>
          <r>
            <rPr>
              <rFont val="Calibri"/>
              <sz val="10"/>
            </rPr>
            <t xml:space="preserve"> Survey | Core: Ownership 3/2, Problem solving 1/2, Communication &amp; collaboration 2/2, Client &amp; quality focus 2/2, Learning agility 1/2, Integrity &amp; compliance 3/2 | Future-ready: AI literacy 1/2, Data literacy 1/2, Digital fluency 1/2, Innovation 2/2 | Functional: Infra &amp; security 4/3, Cloud &amp; DevOps 4/3, Quality &amp; process 2/3, Stakeholder mgmt 2/3, Prioritisation 3/3, AI / GenAI 2/3</t>
          </r>
        </is>
      </c>
      <c r="Z45" s="119" t="inlineStr">
        <is>
          <t>Technical depth &amp; architecture · Domain, regulatory &amp; XBRL</t>
        </is>
      </c>
      <c r="AA45" s="165" t="n"/>
      <c r="AB45" s="165" t="inlineStr">
        <is>
          <t>Cloud, DevOps &amp; CI/CD; Cybersecurity &amp; Infrastructure; Regulatory &amp; BFSI Domain</t>
        </is>
      </c>
      <c r="AC45" s="165" t="inlineStr">
        <is>
          <t>Technical depth &amp; architecture · Domain, regulatory &amp; XBRL</t>
        </is>
      </c>
      <c r="AD45" s="165" t="n"/>
      <c r="AE45" s="121" t="inlineStr">
        <is>
          <t>No strong match from survey evidence</t>
        </is>
      </c>
      <c r="AF45" s="122" t="inlineStr">
        <is>
          <t>Rajyalakshmi Koyagura · Senior System Administrator — 0.58: cloud, administration, aws, infrastructure; Rajit Kumar Sahu · Senior System Administrator — 0.47: cloud, aws, administration, infrastructure; Nimit Sadafal · System Administrator — 0.40: dns</t>
        </is>
      </c>
      <c r="AG45" s="122" t="inlineStr">
        <is>
          <t>No close match in other businesses</t>
        </is>
      </c>
      <c r="AH45" s="122" t="n"/>
      <c r="AI45" s="122" t="n"/>
      <c r="AJ45" s="122" t="n"/>
    </row>
    <row r="46" ht="80" customHeight="1">
      <c r="A46" s="109" t="inlineStr">
        <is>
          <t>IRIS0001</t>
        </is>
      </c>
      <c r="B46" s="111" t="inlineStr">
        <is>
          <t>Balachandran K</t>
        </is>
      </c>
      <c r="C46" s="111" t="inlineStr">
        <is>
          <t>Management</t>
        </is>
      </c>
      <c r="D46" s="115" t="inlineStr">
        <is>
          <t>CEO</t>
        </is>
      </c>
      <c r="E46" s="115" t="inlineStr">
        <is>
          <t>Chief Executive Officer</t>
        </is>
      </c>
      <c r="F46" s="115" t="inlineStr">
        <is>
          <t>Not in current mapping files</t>
        </is>
      </c>
      <c r="G46" s="116" t="inlineStr">
        <is>
          <t>E2</t>
        </is>
      </c>
      <c r="H46" s="117" t="inlineStr">
        <is>
          <t>● Newly mapped</t>
        </is>
      </c>
      <c r="I46" s="111" t="inlineStr">
        <is>
          <t>People Manager</t>
        </is>
      </c>
      <c r="J46" s="113" t="inlineStr">
        <is>
          <t>Not rated · manager</t>
        </is>
      </c>
      <c r="K46" s="114" t="inlineStr">
        <is>
          <t>—</t>
        </is>
      </c>
      <c r="L46" s="114" t="inlineStr">
        <is>
          <t>Not placed · manager</t>
        </is>
      </c>
      <c r="M46" s="114" t="inlineStr">
        <is>
          <t>No rating data</t>
        </is>
      </c>
      <c r="N46" s="114" t="n"/>
      <c r="O46" s="114" t="inlineStr"/>
      <c r="P46" s="114" t="inlineStr"/>
      <c r="Q46" s="118" t="n"/>
      <c r="R46" s="164" t="inlineStr">
        <is>
          <t>Not assessed — no survey or KRA evidence</t>
        </is>
      </c>
      <c r="S46" s="164" t="n"/>
      <c r="T46" s="164" t="n"/>
      <c r="U46" s="164" t="n"/>
      <c r="V46" s="164" t="n"/>
      <c r="W46" s="164" t="n"/>
      <c r="X46" s="164" t="n"/>
      <c r="Y46" s="164" t="inlineStr">
        <is>
          <r>
            <rPr>
              <rFont val="Calibri"/>
              <b val="1"/>
              <sz val="10"/>
            </rPr>
            <t>Required at E2:</t>
          </r>
          <r>
            <rPr>
              <rFont val="Calibri"/>
              <sz val="10"/>
            </rPr>
            <t xml:space="preserve"> Core 5 · Future-ready 5 · Functional Business acumen 4 · People leadership 4 · Stakeholder mgmt 4 · Product &amp; domain 4 · Regulatory domain 4 · Communication 4 · Leadership 5 — rate in manager validation using sheet 4.</t>
          </r>
        </is>
      </c>
      <c r="Z46" s="119" t="inlineStr"/>
      <c r="AA46" s="165" t="n"/>
      <c r="AB46" s="165" t="inlineStr">
        <is>
          <t>Strategic Thinking &amp; Business Acumen</t>
        </is>
      </c>
      <c r="AC46" s="165" t="inlineStr"/>
      <c r="AD46" s="165" t="n"/>
      <c r="AE46" s="121" t="n"/>
      <c r="AF46" s="122" t="inlineStr">
        <is>
          <t>No survey text</t>
        </is>
      </c>
      <c r="AG46" s="122" t="inlineStr">
        <is>
          <t>No survey text</t>
        </is>
      </c>
      <c r="AH46" s="122" t="n">
        <v>7</v>
      </c>
      <c r="AI46" s="122" t="inlineStr">
        <is>
          <t>Within norm</t>
        </is>
      </c>
      <c r="AJ46" s="122" t="n"/>
    </row>
    <row r="47" ht="80" customHeight="1">
      <c r="A47" s="109" t="inlineStr">
        <is>
          <t>IRIS0002</t>
        </is>
      </c>
      <c r="B47" s="111" t="inlineStr">
        <is>
          <t>Deepta Rangarajan</t>
        </is>
      </c>
      <c r="C47" s="111" t="inlineStr">
        <is>
          <t>Management</t>
        </is>
      </c>
      <c r="D47" s="115" t="inlineStr">
        <is>
          <t>COO, Product Sponsor · Carbon</t>
        </is>
      </c>
      <c r="E47" s="115" t="inlineStr">
        <is>
          <t>Chief Operating Officer</t>
        </is>
      </c>
      <c r="F47" s="115" t="inlineStr">
        <is>
          <t>Not in current mapping files</t>
        </is>
      </c>
      <c r="G47" s="116" t="inlineStr">
        <is>
          <t>E1</t>
        </is>
      </c>
      <c r="H47" s="117" t="inlineStr">
        <is>
          <t>● Newly mapped</t>
        </is>
      </c>
      <c r="I47" s="111" t="inlineStr">
        <is>
          <t>People Manager</t>
        </is>
      </c>
      <c r="J47" s="113" t="inlineStr">
        <is>
          <t>Not rated · manager</t>
        </is>
      </c>
      <c r="K47" s="114" t="inlineStr">
        <is>
          <t>—</t>
        </is>
      </c>
      <c r="L47" s="114" t="inlineStr">
        <is>
          <t>Not placed · manager</t>
        </is>
      </c>
      <c r="M47" s="114" t="inlineStr">
        <is>
          <t>No rating data</t>
        </is>
      </c>
      <c r="N47" s="114" t="n"/>
      <c r="O47" s="114" t="inlineStr"/>
      <c r="P47" s="114" t="inlineStr"/>
      <c r="Q47" s="118" t="n"/>
      <c r="R47" s="164" t="inlineStr">
        <is>
          <t>Not assessed — no survey or KRA evidence</t>
        </is>
      </c>
      <c r="S47" s="164" t="n"/>
      <c r="T47" s="164" t="n"/>
      <c r="U47" s="164" t="n"/>
      <c r="V47" s="164" t="n"/>
      <c r="W47" s="164" t="n"/>
      <c r="X47" s="164" t="n"/>
      <c r="Y47" s="164" t="inlineStr">
        <is>
          <r>
            <rPr>
              <rFont val="Calibri"/>
              <b val="1"/>
              <sz val="10"/>
            </rPr>
            <t>Required at E1:</t>
          </r>
          <r>
            <rPr>
              <rFont val="Calibri"/>
              <sz val="10"/>
            </rPr>
            <t xml:space="preserve"> Core 5 · Future-ready 5 · Functional Business acumen 4 · People leadership 4 · Stakeholder mgmt 4 · Product &amp; domain 4 · Regulatory domain 4 · Communication 4 · Leadership 5 — rate in manager validation using sheet 4.</t>
          </r>
        </is>
      </c>
      <c r="Z47" s="119" t="inlineStr"/>
      <c r="AA47" s="165" t="n"/>
      <c r="AB47" s="165" t="inlineStr">
        <is>
          <t>Strategic Thinking &amp; Business Acumen</t>
        </is>
      </c>
      <c r="AC47" s="165" t="inlineStr"/>
      <c r="AD47" s="165" t="n"/>
      <c r="AE47" s="121" t="n"/>
      <c r="AF47" s="122" t="inlineStr">
        <is>
          <t>No survey text</t>
        </is>
      </c>
      <c r="AG47" s="122" t="inlineStr">
        <is>
          <t>No survey text</t>
        </is>
      </c>
      <c r="AH47" s="122" t="n">
        <v>1</v>
      </c>
      <c r="AI47" s="122" t="inlineStr">
        <is>
          <t>Below norm</t>
        </is>
      </c>
      <c r="AJ47" s="122" t="n"/>
    </row>
    <row r="48" ht="158" customHeight="1">
      <c r="A48" s="109" t="inlineStr">
        <is>
          <t>IRIS2200</t>
        </is>
      </c>
      <c r="B48" s="111" t="inlineStr">
        <is>
          <t>Barsha Gloria Gomes</t>
        </is>
      </c>
      <c r="C48" s="111" t="inlineStr">
        <is>
          <t>Marketing</t>
        </is>
      </c>
      <c r="D48" s="115" t="inlineStr">
        <is>
          <t>Manager-Content</t>
        </is>
      </c>
      <c r="E48" s="115" t="inlineStr">
        <is>
          <t>Senior Content Marketing Specialist</t>
        </is>
      </c>
      <c r="F48" s="111" t="inlineStr">
        <is>
          <t>L5 – Manager</t>
        </is>
      </c>
      <c r="G48" s="23" t="inlineStr">
        <is>
          <t>B2</t>
        </is>
      </c>
      <c r="H48" s="144" t="inlineStr">
        <is>
          <t>• Same level</t>
        </is>
      </c>
      <c r="I48" s="111" t="inlineStr">
        <is>
          <t>IC</t>
        </is>
      </c>
      <c r="J48" s="113" t="n">
        <v>3</v>
      </c>
      <c r="K48" s="114" t="inlineStr">
        <is>
          <t>Medium</t>
        </is>
      </c>
      <c r="L48" s="114" t="inlineStr">
        <is>
          <t>Core Contributor</t>
        </is>
      </c>
      <c r="M48" s="114" t="inlineStr">
        <is>
          <t>Develop in role</t>
        </is>
      </c>
      <c r="N48" s="114" t="n"/>
      <c r="O48" s="114" t="inlineStr">
        <is>
          <t>Yes</t>
        </is>
      </c>
      <c r="P48" s="114" t="inlineStr"/>
      <c r="Q48" s="118" t="n">
        <v>100</v>
      </c>
      <c r="R48" s="164" t="inlineStr">
        <is>
          <t>Meets the level</t>
        </is>
      </c>
      <c r="S48" s="164" t="n">
        <v>104</v>
      </c>
      <c r="T48" s="164" t="n">
        <v>83</v>
      </c>
      <c r="U48" s="164" t="n">
        <v>106</v>
      </c>
      <c r="V48" s="164" t="n">
        <v>92</v>
      </c>
      <c r="W48" s="164" t="inlineStr">
        <is>
          <t>AI / GenAI, Learning agility, Digital fluency</t>
        </is>
      </c>
      <c r="X48" s="164" t="inlineStr">
        <is>
          <r>
            <rPr>
              <rFont val="Calibri"/>
              <b val="1"/>
              <sz val="10"/>
            </rPr>
            <t>B3:</t>
          </r>
          <r>
            <rPr>
              <rFont val="Calibri"/>
              <sz val="10"/>
            </rPr>
            <t xml:space="preserve"> 92% of profile — ready on competencies</t>
          </r>
        </is>
      </c>
      <c r="Y48" s="164" t="inlineStr">
        <is>
          <r>
            <rPr>
              <rFont val="Calibri"/>
              <b val="1"/>
              <sz val="10"/>
            </rPr>
            <t>Evidence:</t>
          </r>
          <r>
            <rPr>
              <rFont val="Calibri"/>
              <sz val="10"/>
            </rPr>
            <t xml:space="preserve"> Survey + KRAs | Core: Ownership 4/3, Problem solving 3/3, Communication &amp; collaboration 4/3, Client &amp; quality focus 4/3, Learning agility 2/3, Integrity &amp; compliance 3/3 | Future-ready: AI literacy 2/3, Data literacy 3/3, Digital fluency 2/3, Innovation 3/3 | Functional: Digital marketing 5/4, Communication 5/4, Analytics &amp; BI 4/4, AI / GenAI 3/4, Product &amp; domain 4/4, Business acumen 5/4 | Leadership: Developing people 1/2, Decision making 2/2, Strategic acumen 3/2, Influence &amp; change 2/2</t>
          </r>
        </is>
      </c>
      <c r="Z48" s="119" t="inlineStr">
        <is>
          <t>Leadership &amp; people management</t>
        </is>
      </c>
      <c r="AA48" s="165" t="n"/>
      <c r="AB48" s="165" t="inlineStr">
        <is>
          <t>People Leadership &amp; Mentoring; Project, Program &amp; Agile Management; Stakeholder &amp; Client Management</t>
        </is>
      </c>
      <c r="AC48" s="165" t="inlineStr">
        <is>
          <t>Leadership &amp; people management</t>
        </is>
      </c>
      <c r="AD48" s="165" t="n"/>
      <c r="AE48" s="121" t="inlineStr">
        <is>
          <t>Design &amp; Creative · 83% of competencies evidenced; must-haves met</t>
        </is>
      </c>
      <c r="AF48" s="122" t="inlineStr">
        <is>
          <t>No material overlap found</t>
        </is>
      </c>
      <c r="AG48" s="122" t="inlineStr">
        <is>
          <t>Muskan Jain · iDEAL, Content Marketing Associate — 0.62; Alisha Sheikh · CARBON, Content Marketing Associate — 0.52; Vasundhara Lella · Datatech, Senior Content Marketing Associate — 0.50</t>
        </is>
      </c>
      <c r="AH48" s="122" t="n"/>
      <c r="AI48" s="122" t="n"/>
      <c r="AJ48" s="122" t="n"/>
    </row>
    <row r="49" ht="132" customHeight="1">
      <c r="A49" s="109" t="inlineStr">
        <is>
          <t>IRIS2307</t>
        </is>
      </c>
      <c r="B49" s="111" t="inlineStr">
        <is>
          <t>Abhishek Sharma</t>
        </is>
      </c>
      <c r="C49" s="111" t="inlineStr">
        <is>
          <t>Marketing</t>
        </is>
      </c>
      <c r="D49" s="111" t="inlineStr">
        <is>
          <t>Senior Designer</t>
        </is>
      </c>
      <c r="E49" s="111" t="inlineStr">
        <is>
          <t>Senior Designer</t>
        </is>
      </c>
      <c r="F49" s="111" t="inlineStr">
        <is>
          <t>L4 – Senior</t>
        </is>
      </c>
      <c r="G49" s="26" t="inlineStr">
        <is>
          <t>A3</t>
        </is>
      </c>
      <c r="H49" s="144" t="inlineStr">
        <is>
          <t>• Same level</t>
        </is>
      </c>
      <c r="I49" s="111" t="inlineStr">
        <is>
          <t>IC</t>
        </is>
      </c>
      <c r="J49" s="113" t="n">
        <v>3</v>
      </c>
      <c r="K49" s="114" t="inlineStr">
        <is>
          <t>Medium</t>
        </is>
      </c>
      <c r="L49" s="114" t="inlineStr">
        <is>
          <t>Reliable Specialist</t>
        </is>
      </c>
      <c r="M49" s="114" t="inlineStr">
        <is>
          <t>Develop in role</t>
        </is>
      </c>
      <c r="N49" s="114" t="n"/>
      <c r="O49" s="114" t="inlineStr">
        <is>
          <t>Yes</t>
        </is>
      </c>
      <c r="P49" s="114" t="inlineStr"/>
      <c r="Q49" s="118" t="n">
        <v>94</v>
      </c>
      <c r="R49" s="164" t="inlineStr">
        <is>
          <t>Meets the level</t>
        </is>
      </c>
      <c r="S49" s="164" t="n">
        <v>87</v>
      </c>
      <c r="T49" s="164" t="n">
        <v>88</v>
      </c>
      <c r="U49" s="164" t="n">
        <v>101</v>
      </c>
      <c r="V49" s="164" t="n"/>
      <c r="W49" s="164" t="inlineStr">
        <is>
          <t>Stakeholder mgmt, Problem solving, Learning agility</t>
        </is>
      </c>
      <c r="X49" s="164" t="inlineStr">
        <is>
          <r>
            <rPr>
              <rFont val="Calibri"/>
              <b val="1"/>
              <sz val="10"/>
            </rPr>
            <t>B1:</t>
          </r>
          <r>
            <rPr>
              <rFont val="Calibri"/>
              <sz val="10"/>
            </rPr>
            <t xml:space="preserve"> 82% of profile — close</t>
          </r>
        </is>
      </c>
      <c r="Y49" s="164" t="inlineStr">
        <is>
          <r>
            <rPr>
              <rFont val="Calibri"/>
              <b val="1"/>
              <sz val="10"/>
            </rPr>
            <t>Evidence:</t>
          </r>
          <r>
            <rPr>
              <rFont val="Calibri"/>
              <sz val="10"/>
            </rPr>
            <t xml:space="preserve"> Survey + KRAs | Core: Ownership 2/2, Problem solving 1/2, Communication &amp; collaboration 3/2, Client &amp; quality focus 2/2, Learning agility 1/2, Integrity &amp; compliance 2/2 | Future-ready: AI literacy 2/2, Data literacy 2/2, Digital fluency 2/2, Innovation 1/2 | Functional: Product &amp; domain 3/3, Communication 4/3, Digital marketing 4/3, Quality &amp; process 3/3, AI / GenAI 3/3, Stakeholder mgmt 2/3</t>
          </r>
        </is>
      </c>
      <c r="Z49" s="119" t="inlineStr">
        <is>
          <t>Answered · no common topic</t>
        </is>
      </c>
      <c r="AA49" s="165" t="inlineStr">
        <is>
          <t>Creative Workshops in the orld of AI , brand &amp; creative best practices. AI tools for design</t>
        </is>
      </c>
      <c r="AB49" s="165" t="inlineStr">
        <is>
          <t>Project, Program &amp; Agile Management</t>
        </is>
      </c>
      <c r="AC49" s="165" t="inlineStr">
        <is>
          <t>Answered · no common topic</t>
        </is>
      </c>
      <c r="AD49" s="165" t="n"/>
      <c r="AE49" s="121" t="inlineStr">
        <is>
          <t>No strong match from survey evidence</t>
        </is>
      </c>
      <c r="AF49" s="122" t="inlineStr">
        <is>
          <t>No material overlap found</t>
        </is>
      </c>
      <c r="AG49" s="122" t="inlineStr">
        <is>
          <t>Bharani Kumar · CARBON, Lead Designer – POD Lead — 0.29</t>
        </is>
      </c>
      <c r="AH49" s="122" t="n"/>
      <c r="AI49" s="122" t="n"/>
      <c r="AJ49" s="122" t="n"/>
    </row>
    <row r="50" ht="132" customHeight="1">
      <c r="A50" s="109" t="inlineStr">
        <is>
          <t>IRIS2190</t>
        </is>
      </c>
      <c r="B50" s="111" t="inlineStr">
        <is>
          <t>Esther Kanagaselvam D</t>
        </is>
      </c>
      <c r="C50" s="111" t="inlineStr">
        <is>
          <t>Marketing</t>
        </is>
      </c>
      <c r="D50" s="115" t="inlineStr">
        <is>
          <t>Executive Lead Generation and Database</t>
        </is>
      </c>
      <c r="E50" s="115" t="inlineStr">
        <is>
          <t>Senior Marketing Operations Associate</t>
        </is>
      </c>
      <c r="F50" s="115" t="inlineStr">
        <is>
          <t>L5 – Lead · IC</t>
        </is>
      </c>
      <c r="G50" s="116" t="inlineStr">
        <is>
          <t>A3</t>
        </is>
      </c>
      <c r="H50" s="148" t="inlineStr">
        <is>
          <t>▼ Down · protected</t>
        </is>
      </c>
      <c r="I50" s="111" t="inlineStr">
        <is>
          <t>IC</t>
        </is>
      </c>
      <c r="J50" s="113" t="n">
        <v>2</v>
      </c>
      <c r="K50" s="114" t="inlineStr">
        <is>
          <t>Low</t>
        </is>
      </c>
      <c r="L50" s="114" t="inlineStr">
        <is>
          <t>Performance Risk</t>
        </is>
      </c>
      <c r="M50" s="114" t="inlineStr">
        <is>
          <t>Performance first</t>
        </is>
      </c>
      <c r="N50" s="114" t="n"/>
      <c r="O50" s="114" t="inlineStr"/>
      <c r="P50" s="114" t="inlineStr">
        <is>
          <t>In works</t>
        </is>
      </c>
      <c r="Q50" s="118" t="n">
        <v>92</v>
      </c>
      <c r="R50" s="164" t="inlineStr">
        <is>
          <t>Meets the level</t>
        </is>
      </c>
      <c r="S50" s="164" t="n">
        <v>83</v>
      </c>
      <c r="T50" s="164" t="n">
        <v>98</v>
      </c>
      <c r="U50" s="164" t="n">
        <v>96</v>
      </c>
      <c r="V50" s="164" t="n"/>
      <c r="W50" s="164" t="inlineStr">
        <is>
          <t>AI / GenAI, Product &amp; domain, Ownership</t>
        </is>
      </c>
      <c r="X50" s="164" t="inlineStr">
        <is>
          <r>
            <rPr>
              <rFont val="Calibri"/>
              <b val="1"/>
              <sz val="10"/>
            </rPr>
            <t>B1:</t>
          </r>
          <r>
            <rPr>
              <rFont val="Calibri"/>
              <sz val="10"/>
            </rPr>
            <t xml:space="preserve"> 82% of profile — close</t>
          </r>
        </is>
      </c>
      <c r="Y50" s="164" t="inlineStr">
        <is>
          <r>
            <rPr>
              <rFont val="Calibri"/>
              <b val="1"/>
              <sz val="10"/>
            </rPr>
            <t>Evidence:</t>
          </r>
          <r>
            <rPr>
              <rFont val="Calibri"/>
              <sz val="10"/>
            </rPr>
            <t xml:space="preserve"> Survey + KRAs | Core: Ownership 1/2, Problem solving 2/2, Communication &amp; collaboration 2/2, Client &amp; quality focus 2/2, Learning agility 1/2, Integrity &amp; compliance 2/2 | Future-ready: AI literacy 1/2, Data literacy 2/2, Digital fluency 3/2, Innovation 3/2 | Functional: Digital marketing 4/3, Communication 3/3, Analytics &amp; BI 3/3, AI / GenAI 2/3, Product &amp; domain 2/3, Business acumen 4/3</t>
          </r>
        </is>
      </c>
      <c r="Z50" s="119" t="inlineStr">
        <is>
          <t>AI / automation · Data, SQL &amp; analytics · Product &amp; tool knowledge · Marketing &amp; content · Broader exposure &amp; ownership</t>
        </is>
      </c>
      <c r="AA50" s="165" t="n"/>
      <c r="AB50" s="165" t="inlineStr">
        <is>
          <t>Marketing Tech &amp; Digital Marketing; AI, GenAI &amp; Prompt Engineering</t>
        </is>
      </c>
      <c r="AC50" s="165" t="inlineStr">
        <is>
          <t>AI / automation · Data, SQL &amp; analytics · Product &amp; tool knowledge · Marketing &amp; content · Broader exposure &amp; ownership</t>
        </is>
      </c>
      <c r="AD50" s="165" t="n"/>
      <c r="AE50" s="121" t="inlineStr">
        <is>
          <t>No strong match from survey evidence</t>
        </is>
      </c>
      <c r="AF50" s="122" t="inlineStr">
        <is>
          <t>No material overlap found</t>
        </is>
      </c>
      <c r="AG50" s="122" t="inlineStr">
        <is>
          <t>Shashwat Dikshit · iFile, Marketing Operations Specialist — 0.53; Abhilash Menon · iFile, Senior Manager – Product Marketing — 0.32; Ritam Mukhopadhyay · CARBON, Marketing Operations Associate — 0.30</t>
        </is>
      </c>
      <c r="AH50" s="122" t="n"/>
      <c r="AI50" s="122" t="n"/>
      <c r="AJ50" s="122" t="n"/>
    </row>
    <row r="51" ht="80" customHeight="1">
      <c r="A51" s="109" t="inlineStr">
        <is>
          <t>IRIS1914</t>
        </is>
      </c>
      <c r="B51" s="111" t="inlineStr">
        <is>
          <t>Santosh Sharma</t>
        </is>
      </c>
      <c r="C51" s="111" t="inlineStr">
        <is>
          <t>Secretarial &amp; Legal</t>
        </is>
      </c>
      <c r="D51" s="115" t="inlineStr">
        <is>
          <t>Company Secretary</t>
        </is>
      </c>
      <c r="E51" s="115" t="inlineStr">
        <is>
          <t>Company Secretary – POD Lead</t>
        </is>
      </c>
      <c r="F51" s="115" t="inlineStr">
        <is>
          <t>Not in current mapping files</t>
        </is>
      </c>
      <c r="G51" s="116" t="inlineStr">
        <is>
          <t>C1</t>
        </is>
      </c>
      <c r="H51" s="117" t="inlineStr">
        <is>
          <t>● Newly mapped</t>
        </is>
      </c>
      <c r="I51" s="111" t="inlineStr">
        <is>
          <t>POD Lead</t>
        </is>
      </c>
      <c r="J51" s="113" t="inlineStr">
        <is>
          <t>Not rated · manager</t>
        </is>
      </c>
      <c r="K51" s="114" t="inlineStr">
        <is>
          <t>—</t>
        </is>
      </c>
      <c r="L51" s="114" t="inlineStr">
        <is>
          <t>Not placed · manager</t>
        </is>
      </c>
      <c r="M51" s="114" t="inlineStr">
        <is>
          <t>No rating data</t>
        </is>
      </c>
      <c r="N51" s="114" t="n"/>
      <c r="O51" s="114" t="inlineStr"/>
      <c r="P51" s="114" t="inlineStr"/>
      <c r="Q51" s="118" t="n"/>
      <c r="R51" s="164" t="inlineStr">
        <is>
          <t>Not assessed — no survey or KRA evidence</t>
        </is>
      </c>
      <c r="S51" s="164" t="n"/>
      <c r="T51" s="164" t="n"/>
      <c r="U51" s="164" t="n"/>
      <c r="V51" s="164" t="n"/>
      <c r="W51" s="164" t="n"/>
      <c r="X51" s="164" t="n"/>
      <c r="Y51" s="164" t="inlineStr">
        <is>
          <r>
            <rPr>
              <rFont val="Calibri"/>
              <b val="1"/>
              <sz val="10"/>
            </rPr>
            <t>Required at C1:</t>
          </r>
          <r>
            <rPr>
              <rFont val="Calibri"/>
              <sz val="10"/>
            </rPr>
            <t xml:space="preserve"> Core 4 · Future-ready 4 · Functional Regulatory domain 4 · Stakeholder mgmt 4 · Quality &amp; process 4 · Excel &amp; tools 4 · Communication 4 · Prioritisation 4 · Leadership 4 — rate in manager validation using sheet 4.</t>
          </r>
        </is>
      </c>
      <c r="Z51" s="119" t="inlineStr"/>
      <c r="AA51" s="165" t="n"/>
      <c r="AB51" s="165" t="inlineStr">
        <is>
          <t>People Leadership &amp; Mentoring; Strategic Thinking &amp; Business Acumen</t>
        </is>
      </c>
      <c r="AC51" s="165" t="inlineStr"/>
      <c r="AD51" s="165" t="n"/>
      <c r="AE51" s="121" t="n"/>
      <c r="AF51" s="122" t="inlineStr">
        <is>
          <t>No survey text</t>
        </is>
      </c>
      <c r="AG51" s="122" t="inlineStr">
        <is>
          <t>No survey text</t>
        </is>
      </c>
      <c r="AH51" s="122" t="n">
        <v>2</v>
      </c>
      <c r="AI51" s="122" t="inlineStr">
        <is>
          <t>POD Lead</t>
        </is>
      </c>
      <c r="AJ51" s="122" t="n"/>
    </row>
    <row r="52" ht="132" customHeight="1">
      <c r="A52" s="109" t="inlineStr">
        <is>
          <t>IRIS2290</t>
        </is>
      </c>
      <c r="B52" s="111" t="inlineStr">
        <is>
          <t>Melita Suares</t>
        </is>
      </c>
      <c r="C52" s="111" t="inlineStr">
        <is>
          <t>Secretarial &amp; Legal</t>
        </is>
      </c>
      <c r="D52" s="115" t="inlineStr">
        <is>
          <t>Executive - Secretarial and Legal</t>
        </is>
      </c>
      <c r="E52" s="115" t="inlineStr">
        <is>
          <t>Senior Secretarial Executive</t>
        </is>
      </c>
      <c r="F52" s="115" t="inlineStr">
        <is>
          <t>Not in current mapping files</t>
        </is>
      </c>
      <c r="G52" s="116" t="inlineStr">
        <is>
          <t>A3</t>
        </is>
      </c>
      <c r="H52" s="117" t="inlineStr">
        <is>
          <t>● Newly mapped</t>
        </is>
      </c>
      <c r="I52" s="111" t="inlineStr">
        <is>
          <t>IC</t>
        </is>
      </c>
      <c r="J52" s="113" t="inlineStr">
        <is>
          <t>Not rated · manager</t>
        </is>
      </c>
      <c r="K52" s="114" t="inlineStr">
        <is>
          <t>—</t>
        </is>
      </c>
      <c r="L52" s="114" t="inlineStr">
        <is>
          <t>Not placed · manager</t>
        </is>
      </c>
      <c r="M52" s="114" t="inlineStr">
        <is>
          <t>No rating data</t>
        </is>
      </c>
      <c r="N52" s="114" t="n"/>
      <c r="O52" s="114" t="inlineStr"/>
      <c r="P52" s="114" t="inlineStr"/>
      <c r="Q52" s="118" t="n">
        <v>100</v>
      </c>
      <c r="R52" s="164" t="inlineStr">
        <is>
          <t>Meets the level</t>
        </is>
      </c>
      <c r="S52" s="164" t="n">
        <v>85</v>
      </c>
      <c r="T52" s="164" t="n">
        <v>88</v>
      </c>
      <c r="U52" s="164" t="n">
        <v>113</v>
      </c>
      <c r="V52" s="164" t="n"/>
      <c r="W52" s="164" t="inlineStr">
        <is>
          <t>Ownership, Problem solving, Learning agility</t>
        </is>
      </c>
      <c r="X52" s="164" t="inlineStr">
        <is>
          <r>
            <rPr>
              <rFont val="Calibri"/>
              <b val="1"/>
              <sz val="10"/>
            </rPr>
            <t>B1:</t>
          </r>
          <r>
            <rPr>
              <rFont val="Calibri"/>
              <sz val="10"/>
            </rPr>
            <t xml:space="preserve"> 89% of profile — close</t>
          </r>
        </is>
      </c>
      <c r="Y52" s="164" t="inlineStr">
        <is>
          <r>
            <rPr>
              <rFont val="Calibri"/>
              <b val="1"/>
              <sz val="10"/>
            </rPr>
            <t>Evidence:</t>
          </r>
          <r>
            <rPr>
              <rFont val="Calibri"/>
              <sz val="10"/>
            </rPr>
            <t xml:space="preserve"> Survey | Core: Ownership 1/2, Problem solving 1/2, Communication &amp; collaboration 3/2, Client &amp; quality focus 3/2, Learning agility 1/2, Integrity &amp; compliance 3/2 | Future-ready: AI literacy 1/2, Data literacy 2/2, Digital fluency 2/2, Innovation 2/2 | Functional: Regulatory domain 4/3, Stakeholder mgmt 4/3, Quality &amp; process 4/3, Excel &amp; tools 3/3, Communication 4/3, Prioritisation 3/3</t>
          </r>
        </is>
      </c>
      <c r="Z52" s="119" t="inlineStr">
        <is>
          <t>Leadership &amp; people management · Domain, regulatory &amp; XBRL · Client, sales &amp; stakeholders · Strategy &amp; business acumen · Broader exposure &amp; ownership</t>
        </is>
      </c>
      <c r="AA52" s="165" t="n"/>
      <c r="AB52" s="165" t="inlineStr">
        <is>
          <t>Regulatory &amp; BFSI Domain; AI, GenAI &amp; Prompt Engineering; Product, Platform &amp; Domain Knowledge</t>
        </is>
      </c>
      <c r="AC52" s="165" t="inlineStr">
        <is>
          <t>Leadership &amp; people management · Domain, regulatory &amp; XBRL · Client, sales &amp; stakeholders · Strategy &amp; business acumen · Broader exposure &amp; ownership</t>
        </is>
      </c>
      <c r="AD52" s="165" t="n"/>
      <c r="AE52" s="121" t="inlineStr">
        <is>
          <t>No strong match from survey evidence</t>
        </is>
      </c>
      <c r="AF52" s="122" t="inlineStr">
        <is>
          <t>No material overlap found</t>
        </is>
      </c>
      <c r="AG52" s="122" t="inlineStr">
        <is>
          <t>No close match in other businesses</t>
        </is>
      </c>
      <c r="AH52" s="122" t="n"/>
      <c r="AI52" s="122" t="n"/>
      <c r="AJ52" s="122" t="n"/>
    </row>
    <row r="53" ht="132" customHeight="1">
      <c r="A53" s="109" t="inlineStr">
        <is>
          <t>INTN0296</t>
        </is>
      </c>
      <c r="B53" s="111" t="inlineStr">
        <is>
          <t>Sneha Pillai</t>
        </is>
      </c>
      <c r="C53" s="111" t="inlineStr">
        <is>
          <t>Secretarial &amp; Legal</t>
        </is>
      </c>
      <c r="D53" s="115" t="inlineStr">
        <is>
          <t>Intern</t>
        </is>
      </c>
      <c r="E53" s="115" t="inlineStr">
        <is>
          <t>Intern – Company Secretarial &amp; Legal</t>
        </is>
      </c>
      <c r="F53" s="115" t="inlineStr">
        <is>
          <t>Not in current mapping files</t>
        </is>
      </c>
      <c r="G53" s="116" t="inlineStr">
        <is>
          <t>A1</t>
        </is>
      </c>
      <c r="H53" s="117" t="inlineStr">
        <is>
          <t>● Newly mapped</t>
        </is>
      </c>
      <c r="I53" s="111" t="inlineStr">
        <is>
          <t>IC</t>
        </is>
      </c>
      <c r="J53" s="113" t="inlineStr">
        <is>
          <t>Not rated · manager</t>
        </is>
      </c>
      <c r="K53" s="114" t="inlineStr">
        <is>
          <t>—</t>
        </is>
      </c>
      <c r="L53" s="114" t="inlineStr">
        <is>
          <t>Not placed · manager</t>
        </is>
      </c>
      <c r="M53" s="114" t="inlineStr">
        <is>
          <t>No rating data</t>
        </is>
      </c>
      <c r="N53" s="114" t="n"/>
      <c r="O53" s="114" t="inlineStr"/>
      <c r="P53" s="114" t="inlineStr"/>
      <c r="Q53" s="118" t="n">
        <v>102</v>
      </c>
      <c r="R53" s="164" t="inlineStr">
        <is>
          <t>Meets the level</t>
        </is>
      </c>
      <c r="S53" s="164" t="n">
        <v>100</v>
      </c>
      <c r="T53" s="164" t="n">
        <v>100</v>
      </c>
      <c r="U53" s="164" t="n">
        <v>103</v>
      </c>
      <c r="V53" s="164" t="n"/>
      <c r="W53" s="164" t="inlineStr">
        <is>
          <t>None — maintain and stretch</t>
        </is>
      </c>
      <c r="X53" s="164" t="inlineStr">
        <is>
          <r>
            <rPr>
              <rFont val="Calibri"/>
              <b val="1"/>
              <sz val="10"/>
            </rPr>
            <t>A2:</t>
          </r>
          <r>
            <rPr>
              <rFont val="Calibri"/>
              <sz val="10"/>
            </rPr>
            <t xml:space="preserve"> 54% of profile — not yet</t>
          </r>
        </is>
      </c>
      <c r="Y53" s="164" t="inlineStr">
        <is>
          <r>
            <rPr>
              <rFont val="Calibri"/>
              <b val="1"/>
              <sz val="10"/>
            </rPr>
            <t>Evidence:</t>
          </r>
          <r>
            <rPr>
              <rFont val="Calibri"/>
              <sz val="10"/>
            </rPr>
            <t xml:space="preserve"> Survey | Core: Ownership 1/1, Problem solving 1/1, Communication &amp; collaboration 1/1, Client &amp; quality focus 1/1, Learning agility 1/1, Integrity &amp; compliance 1/1 | Future-ready: AI literacy 1/1, Data literacy 1/1, Digital fluency 1/1, Innovation 1/1 | Functional: Regulatory domain 2/1, Stakeholder mgmt 1/1, Quality &amp; process 1/1, Excel &amp; tools 1/1, Communication 1/1, Prioritisation 1/1</t>
          </r>
        </is>
      </c>
      <c r="Z53" s="119" t="inlineStr">
        <is>
          <t>Domain, regulatory &amp; XBRL · Broader exposure &amp; ownership</t>
        </is>
      </c>
      <c r="AA53" s="165" t="n"/>
      <c r="AB53" s="165" t="inlineStr">
        <is>
          <t>AI, GenAI &amp; Prompt Engineering; Advanced Excel &amp; Productivity Tools; Regulatory &amp; BFSI Domain</t>
        </is>
      </c>
      <c r="AC53" s="165" t="inlineStr">
        <is>
          <t>Domain, regulatory &amp; XBRL · Broader exposure &amp; ownership</t>
        </is>
      </c>
      <c r="AD53" s="165" t="n"/>
      <c r="AE53" s="121" t="inlineStr">
        <is>
          <t>No strong match from survey evidence</t>
        </is>
      </c>
      <c r="AF53" s="122" t="inlineStr">
        <is>
          <t>No material overlap found</t>
        </is>
      </c>
      <c r="AG53" s="122" t="inlineStr">
        <is>
          <t>No close match in other businesses</t>
        </is>
      </c>
      <c r="AH53" s="122" t="n"/>
      <c r="AI53" s="122" t="n"/>
      <c r="AJ53" s="122" t="n"/>
    </row>
    <row r="54" ht="80" customHeight="1">
      <c r="A54" s="109" t="inlineStr">
        <is>
          <t>IRIS2060</t>
        </is>
      </c>
      <c r="B54" s="111" t="inlineStr">
        <is>
          <t>P K X Thomas</t>
        </is>
      </c>
      <c r="C54" s="111" t="inlineStr">
        <is>
          <t>Technology</t>
        </is>
      </c>
      <c r="D54" s="111" t="inlineStr">
        <is>
          <t>Chief Technology Officer</t>
        </is>
      </c>
      <c r="E54" s="111" t="inlineStr">
        <is>
          <t>Chief Technology Officer</t>
        </is>
      </c>
      <c r="F54" s="115" t="inlineStr">
        <is>
          <t>Not in current mapping files</t>
        </is>
      </c>
      <c r="G54" s="116" t="inlineStr">
        <is>
          <t>E1</t>
        </is>
      </c>
      <c r="H54" s="117" t="inlineStr">
        <is>
          <t>● Newly mapped</t>
        </is>
      </c>
      <c r="I54" s="111" t="inlineStr">
        <is>
          <t>People Manager</t>
        </is>
      </c>
      <c r="J54" s="113" t="inlineStr">
        <is>
          <t>Not rated · manager</t>
        </is>
      </c>
      <c r="K54" s="114" t="inlineStr">
        <is>
          <t>—</t>
        </is>
      </c>
      <c r="L54" s="114" t="inlineStr">
        <is>
          <t>Not placed · manager</t>
        </is>
      </c>
      <c r="M54" s="114" t="inlineStr">
        <is>
          <t>No rating data</t>
        </is>
      </c>
      <c r="N54" s="114" t="n"/>
      <c r="O54" s="114" t="inlineStr"/>
      <c r="P54" s="114" t="inlineStr"/>
      <c r="Q54" s="118" t="n"/>
      <c r="R54" s="164" t="inlineStr">
        <is>
          <t>Not assessed — no survey or KRA evidence</t>
        </is>
      </c>
      <c r="S54" s="164" t="n"/>
      <c r="T54" s="164" t="n"/>
      <c r="U54" s="164" t="n"/>
      <c r="V54" s="164" t="n"/>
      <c r="W54" s="164" t="n"/>
      <c r="X54" s="164" t="n"/>
      <c r="Y54" s="164" t="inlineStr">
        <is>
          <r>
            <rPr>
              <rFont val="Calibri"/>
              <b val="1"/>
              <sz val="10"/>
            </rPr>
            <t>Required at E1:</t>
          </r>
          <r>
            <rPr>
              <rFont val="Calibri"/>
              <sz val="10"/>
            </rPr>
            <t xml:space="preserve"> Core 5 · Future-ready 5 · Functional Business acumen 4 · People leadership 4 · Stakeholder mgmt 4 · Product &amp; domain 4 · Regulatory domain 4 · Communication 4 · Leadership 5 — rate in manager validation using sheet 4.</t>
          </r>
        </is>
      </c>
      <c r="Z54" s="119" t="inlineStr"/>
      <c r="AA54" s="165" t="n"/>
      <c r="AB54" s="165" t="inlineStr">
        <is>
          <t>Strategic Thinking &amp; Business Acumen</t>
        </is>
      </c>
      <c r="AC54" s="165" t="inlineStr"/>
      <c r="AD54" s="165" t="n"/>
      <c r="AE54" s="121" t="n"/>
      <c r="AF54" s="122" t="inlineStr">
        <is>
          <t>No survey text</t>
        </is>
      </c>
      <c r="AG54" s="122" t="inlineStr">
        <is>
          <t>No survey text</t>
        </is>
      </c>
      <c r="AH54" s="122" t="n">
        <v>3</v>
      </c>
      <c r="AI54" s="122" t="inlineStr">
        <is>
          <t>Below norm</t>
        </is>
      </c>
      <c r="AJ54" s="122" t="n"/>
    </row>
    <row r="55" ht="80" customHeight="1">
      <c r="A55" s="109" t="inlineStr">
        <is>
          <t>IRISC344</t>
        </is>
      </c>
      <c r="B55" s="111" t="inlineStr">
        <is>
          <t>Vikas Thakur</t>
        </is>
      </c>
      <c r="C55" s="111" t="inlineStr">
        <is>
          <t>Technology</t>
        </is>
      </c>
      <c r="D55" s="111" t="inlineStr">
        <is>
          <t>Agile Coach</t>
        </is>
      </c>
      <c r="E55" s="111" t="inlineStr">
        <is>
          <t>Agile Coach</t>
        </is>
      </c>
      <c r="F55" s="115" t="inlineStr">
        <is>
          <t>Not in current mapping files</t>
        </is>
      </c>
      <c r="G55" s="116" t="inlineStr">
        <is>
          <t>B3</t>
        </is>
      </c>
      <c r="H55" s="117" t="inlineStr">
        <is>
          <t>● Newly mapped</t>
        </is>
      </c>
      <c r="I55" s="111" t="inlineStr">
        <is>
          <t>IC</t>
        </is>
      </c>
      <c r="J55" s="113" t="inlineStr">
        <is>
          <t>Not rated · manager</t>
        </is>
      </c>
      <c r="K55" s="114" t="inlineStr">
        <is>
          <t>—</t>
        </is>
      </c>
      <c r="L55" s="114" t="inlineStr">
        <is>
          <t>Not placed · manager</t>
        </is>
      </c>
      <c r="M55" s="114" t="inlineStr">
        <is>
          <t>No rating data</t>
        </is>
      </c>
      <c r="N55" s="114" t="n"/>
      <c r="O55" s="114" t="inlineStr"/>
      <c r="P55" s="114" t="inlineStr"/>
      <c r="Q55" s="118" t="n"/>
      <c r="R55" s="164" t="inlineStr">
        <is>
          <t>Not assessed — no survey or KRA evidence</t>
        </is>
      </c>
      <c r="S55" s="164" t="n"/>
      <c r="T55" s="164" t="n"/>
      <c r="U55" s="164" t="n"/>
      <c r="V55" s="164" t="n"/>
      <c r="W55" s="164" t="n"/>
      <c r="X55" s="164" t="n"/>
      <c r="Y55" s="164" t="inlineStr">
        <is>
          <r>
            <rPr>
              <rFont val="Calibri"/>
              <b val="1"/>
              <sz val="10"/>
            </rPr>
            <t>Required at B3:</t>
          </r>
          <r>
            <rPr>
              <rFont val="Calibri"/>
              <sz val="10"/>
            </rPr>
            <t xml:space="preserve"> Core 4 · Future-ready 3 · Functional Project &amp; agile 4 · Stakeholder mgmt 4 · Communication 4 · Quality &amp; process 4 · Business acumen 4 · Product &amp; domain 4 · Leadership 3 — rate in manager validation using sheet 4.</t>
          </r>
        </is>
      </c>
      <c r="Z55" s="119" t="inlineStr"/>
      <c r="AA55" s="165" t="n"/>
      <c r="AB55" s="165" t="inlineStr">
        <is>
          <t>People Leadership &amp; Mentoring; Stakeholder &amp; Client Management; Strategic Thinking &amp; Business Acumen</t>
        </is>
      </c>
      <c r="AC55" s="165" t="inlineStr"/>
      <c r="AD55" s="165" t="n"/>
      <c r="AE55" s="121" t="n"/>
      <c r="AF55" s="122" t="inlineStr">
        <is>
          <t>No survey text</t>
        </is>
      </c>
      <c r="AG55" s="122" t="inlineStr">
        <is>
          <t>No survey text</t>
        </is>
      </c>
      <c r="AH55" s="122" t="n"/>
      <c r="AI55" s="122" t="n"/>
      <c r="AJ55" s="122" t="n"/>
    </row>
  </sheetData>
  <mergeCells count="16">
    <mergeCell ref="A1:T1"/>
    <mergeCell ref="G4:H4"/>
    <mergeCell ref="E4:F4"/>
    <mergeCell ref="V4:W4"/>
    <mergeCell ref="Q5:Y5"/>
    <mergeCell ref="L4:M4"/>
    <mergeCell ref="A5:I5"/>
    <mergeCell ref="AE5:AJ5"/>
    <mergeCell ref="A4:D4"/>
    <mergeCell ref="A3:T3"/>
    <mergeCell ref="A2:T2"/>
    <mergeCell ref="I4:K4"/>
    <mergeCell ref="N4:P4"/>
    <mergeCell ref="Z5:AD5"/>
    <mergeCell ref="Q4:U4"/>
    <mergeCell ref="J5:P5"/>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15.xml><?xml version="1.0" encoding="utf-8"?>
<worksheet xmlns="http://schemas.openxmlformats.org/spreadsheetml/2006/main">
  <sheetPr>
    <tabColor rgb="00C00000"/>
    <outlinePr summaryBelow="1" summaryRight="1"/>
    <pageSetUpPr fitToPage="1"/>
  </sheetPr>
  <dimension ref="A1:G108"/>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9" customWidth="1" min="3" max="3"/>
    <col width="9" customWidth="1" min="4" max="4"/>
    <col width="30" customWidth="1" min="5" max="5"/>
    <col width="62" customWidth="1" min="6" max="6"/>
    <col width="13" customWidth="1" min="7" max="7"/>
  </cols>
  <sheetData>
    <row r="1" ht="34" customHeight="1">
      <c r="A1" s="1" t="inlineStr">
        <is>
          <t>Calibration &amp; Decisions — what the panel and managers need to decide</t>
        </is>
      </c>
      <c r="G1" s="242" t="inlineStr">
        <is>
          <t>◂ Contents</t>
        </is>
      </c>
    </row>
    <row r="2" ht="46" customHeight="1">
      <c r="A2" s="3" t="inlineStr">
        <is>
          <t>Sheet 9 · Every placement that needs a human decision, with the reason: Player-Coach transition steps and candidates, close calls, moves down, changes from the earlier proposal, provisional cases, title checks, long-tenure A3 cases, senior titles without teams — then the open decisions and the quality checks run on this workbook.</t>
        </is>
      </c>
    </row>
    <row r="3">
      <c r="A3" s="4" t="inlineStr">
        <is>
          <t>IRIS · Job Architecture &amp; Job Design · Final v1.12 · October 2026 · Internal — Confidential</t>
        </is>
      </c>
    </row>
    <row r="4" ht="15" customHeight="1"/>
    <row r="5" ht="20" customHeight="1">
      <c r="A5" s="6" t="inlineStr">
        <is>
          <t>A. Player-Coach transition steps placed — 0</t>
        </is>
      </c>
    </row>
    <row r="6" ht="15" customHeight="1">
      <c r="A6" s="11" t="inlineStr">
        <is>
          <t>Confirm the person still spends the stated share of time on hands-on work.</t>
        </is>
      </c>
    </row>
    <row r="7" ht="15" customHeight="1">
      <c r="A7" s="11" t="inlineStr">
        <is>
          <t>No cases.</t>
        </is>
      </c>
    </row>
    <row r="8" ht="20" customHeight="1">
      <c r="A8" s="6" t="inlineStr">
        <is>
          <t>B. Player-Coach candidates and watch list — 0</t>
        </is>
      </c>
    </row>
    <row r="9" ht="15" customHeight="1">
      <c r="A9" s="11" t="inlineStr">
        <is>
          <t>Manager to confirm hands-on delivery, or watch for the role growing into the Player-Coach transition step. Red = input needed.</t>
        </is>
      </c>
    </row>
    <row r="10" ht="15" customHeight="1">
      <c r="A10" s="11" t="inlineStr">
        <is>
          <t>No cases.</t>
        </is>
      </c>
    </row>
    <row r="11" ht="20" customHeight="1">
      <c r="A11" s="6" t="inlineStr">
        <is>
          <t>C. Close calls · score within ±0.05 of a rounding point, and the score decided the level — 2</t>
        </is>
      </c>
    </row>
    <row r="12" ht="28" customHeight="1">
      <c r="A12" s="11" t="inlineStr">
        <is>
          <t>Calibrate against peers before confirming. Where a rule set the level, the rounding point does not matter, so those people are listed in C2 instead.</t>
        </is>
      </c>
    </row>
    <row r="13" ht="15" customHeight="1">
      <c r="A13" s="12" t="inlineStr">
        <is>
          <t>Person</t>
        </is>
      </c>
      <c r="B13" s="12" t="inlineStr">
        <is>
          <t>Department</t>
        </is>
      </c>
      <c r="C13" s="12" t="inlineStr">
        <is>
          <t>Level</t>
        </is>
      </c>
      <c r="D13" s="12" t="inlineStr">
        <is>
          <t>Score</t>
        </is>
      </c>
      <c r="E13" s="12" t="inlineStr">
        <is>
          <t>Designation</t>
        </is>
      </c>
      <c r="F13" s="12" t="inlineStr">
        <is>
          <t>Reason / rule</t>
        </is>
      </c>
    </row>
    <row r="14" ht="41" customHeight="1">
      <c r="A14" s="13" t="inlineStr">
        <is>
          <t>Bhushan Kashid</t>
        </is>
      </c>
      <c r="B14" s="16" t="inlineStr">
        <is>
          <t>Finance</t>
        </is>
      </c>
      <c r="C14" s="15" t="inlineStr">
        <is>
          <t>A3</t>
        </is>
      </c>
      <c r="D14" s="15" t="n">
        <v>2.52</v>
      </c>
      <c r="E14" s="16" t="inlineStr">
        <is>
          <t>Senior Accounts Executive</t>
        </is>
      </c>
      <c r="F14" s="16" t="inlineStr">
        <is>
          <t>Score 2.52 is 0.02 above the 2.5 rounding point between A2 and A3, and no rule moved it: confirm A3 against peers in similar roles, or place at A2.</t>
        </is>
      </c>
    </row>
    <row r="15" ht="41" customHeight="1">
      <c r="A15" s="13" t="inlineStr">
        <is>
          <t>Riddhi Narkar</t>
        </is>
      </c>
      <c r="B15" s="16" t="inlineStr">
        <is>
          <t>Finance</t>
        </is>
      </c>
      <c r="C15" s="15" t="inlineStr">
        <is>
          <t>A3</t>
        </is>
      </c>
      <c r="D15" s="15" t="n">
        <v>2.52</v>
      </c>
      <c r="E15" s="16" t="inlineStr">
        <is>
          <t>Senior Accounts Executive</t>
        </is>
      </c>
      <c r="F15" s="16" t="inlineStr">
        <is>
          <t>Score 2.52 is 0.02 above the 2.5 rounding point between A2 and A3, and no rule moved it: confirm A3 against peers in similar roles, or place at A2.</t>
        </is>
      </c>
    </row>
    <row r="16" ht="15" customHeight="1"/>
    <row r="17" ht="20" customHeight="1">
      <c r="A17" s="6" t="inlineStr">
        <is>
          <t>C2. Near a gate · a rule set the level, and the number behind it is within a quarter-point of flipping — 1</t>
        </is>
      </c>
    </row>
    <row r="18" ht="15" customHeight="1">
      <c r="A18" s="11" t="inlineStr">
        <is>
          <r>
            <rPr>
              <rFont val="Calibri"/>
              <b val="1"/>
              <i val="1"/>
              <color rgb="00595959"/>
              <sz val="10"/>
            </rPr>
            <t>Calibrate before confirming:</t>
          </r>
          <r>
            <rPr>
              <rFont val="Calibri"/>
              <i val="1"/>
              <color rgb="00595959"/>
              <sz val="10"/>
            </rPr>
            <t xml:space="preserve"> a small change in one rating would move these people.</t>
          </r>
        </is>
      </c>
    </row>
    <row r="19" ht="15" customHeight="1">
      <c r="A19" s="12" t="inlineStr">
        <is>
          <t>Person</t>
        </is>
      </c>
      <c r="B19" s="12" t="inlineStr">
        <is>
          <t>Department</t>
        </is>
      </c>
      <c r="C19" s="12" t="inlineStr">
        <is>
          <t>Level</t>
        </is>
      </c>
      <c r="D19" s="12" t="inlineStr">
        <is>
          <t>Score</t>
        </is>
      </c>
      <c r="E19" s="12" t="inlineStr">
        <is>
          <t>Designation</t>
        </is>
      </c>
      <c r="F19" s="12" t="inlineStr">
        <is>
          <t>Reason / rule</t>
        </is>
      </c>
    </row>
    <row r="20" ht="28" customHeight="1">
      <c r="A20" s="13" t="inlineStr">
        <is>
          <t>Hemant Chordekar</t>
        </is>
      </c>
      <c r="B20" s="16" t="inlineStr">
        <is>
          <t>IT &amp; Infrastructure</t>
        </is>
      </c>
      <c r="C20" s="15" t="inlineStr">
        <is>
          <t>A3</t>
        </is>
      </c>
      <c r="D20" s="15" t="n">
        <v>3.57</v>
      </c>
      <c r="E20" s="16" t="inlineStr">
        <is>
          <t>Infrastructure Specialist</t>
        </is>
      </c>
      <c r="F20" s="16" t="inlineStr">
        <is>
          <r>
            <rPr>
              <rFont val="Calibri"/>
              <b val="1"/>
              <sz val="10"/>
            </rPr>
            <t>Top of band:</t>
          </r>
          <r>
            <rPr>
              <rFont val="Calibri"/>
              <sz val="10"/>
            </rPr>
            <t xml:space="preserve"> 3.49 on Band B's weights, 0.01 short of the 3.5 needed to enter Band B.</t>
          </r>
        </is>
      </c>
    </row>
    <row r="21" ht="15" customHeight="1"/>
    <row r="22" ht="20" customHeight="1">
      <c r="A22" s="6" t="inlineStr">
        <is>
          <t>D. Moves down vs current level · pay and title protected for one cycle, V4 — 1</t>
        </is>
      </c>
    </row>
    <row r="23" ht="15" customHeight="1">
      <c r="A23" s="12" t="inlineStr">
        <is>
          <t>Person</t>
        </is>
      </c>
      <c r="B23" s="12" t="inlineStr">
        <is>
          <t>Department</t>
        </is>
      </c>
      <c r="C23" s="12" t="inlineStr">
        <is>
          <t>Level</t>
        </is>
      </c>
      <c r="D23" s="12" t="inlineStr">
        <is>
          <t>Score</t>
        </is>
      </c>
      <c r="E23" s="12" t="inlineStr">
        <is>
          <t>Designation</t>
        </is>
      </c>
      <c r="F23" s="12" t="inlineStr">
        <is>
          <t>Reason / rule</t>
        </is>
      </c>
    </row>
    <row r="24" ht="28" customHeight="1">
      <c r="A24" s="13" t="inlineStr">
        <is>
          <t>Esther Kanagaselvam D</t>
        </is>
      </c>
      <c r="B24" s="16" t="inlineStr">
        <is>
          <t>Marketing</t>
        </is>
      </c>
      <c r="C24" s="15" t="inlineStr">
        <is>
          <t>A3</t>
        </is>
      </c>
      <c r="D24" s="15" t="n">
        <v>2.65</v>
      </c>
      <c r="E24" s="16" t="inlineStr">
        <is>
          <t>Senior Marketing Operations Associate</t>
        </is>
      </c>
      <c r="F24" s="16" t="inlineStr">
        <is>
          <t>Current L5 – Lead · IC → A3. No rule changed the level: the score decides.</t>
        </is>
      </c>
    </row>
    <row r="25" ht="15" customHeight="1"/>
    <row r="26" ht="20" customHeight="1">
      <c r="A26" s="6" t="inlineStr">
        <is>
          <t>E. Changed from the earlier proposal — 4</t>
        </is>
      </c>
    </row>
    <row r="27" ht="15" customHeight="1">
      <c r="A27" s="11" t="inlineStr">
        <is>
          <t>Derived weight model and the Player-Coach transition steps.</t>
        </is>
      </c>
    </row>
    <row r="28" ht="15" customHeight="1">
      <c r="A28" s="12" t="inlineStr">
        <is>
          <t>Person</t>
        </is>
      </c>
      <c r="B28" s="12" t="inlineStr">
        <is>
          <t>Department</t>
        </is>
      </c>
      <c r="C28" s="12" t="inlineStr">
        <is>
          <t>Level</t>
        </is>
      </c>
      <c r="D28" s="12" t="inlineStr">
        <is>
          <t>Score</t>
        </is>
      </c>
      <c r="E28" s="12" t="inlineStr">
        <is>
          <t>Designation</t>
        </is>
      </c>
      <c r="F28" s="12" t="inlineStr">
        <is>
          <t>Reason / rule</t>
        </is>
      </c>
    </row>
    <row r="29" ht="28" customHeight="1">
      <c r="A29" s="13" t="inlineStr">
        <is>
          <t>Mohammed Hanzala Shaikh</t>
        </is>
      </c>
      <c r="B29" s="16" t="inlineStr">
        <is>
          <t>HR</t>
        </is>
      </c>
      <c r="C29" s="15" t="inlineStr">
        <is>
          <t>B3</t>
        </is>
      </c>
      <c r="D29" s="15" t="n">
        <v>5.73</v>
      </c>
      <c r="E29" s="16" t="inlineStr">
        <is>
          <t>Lead HR Specialist – Transformation &amp; OD</t>
        </is>
      </c>
      <c r="F29" s="16" t="inlineStr">
        <is>
          <t>Earlier B2 → B3. No rule changed the level: the score decides.</t>
        </is>
      </c>
    </row>
    <row r="30" ht="28" customHeight="1">
      <c r="A30" s="13" t="inlineStr">
        <is>
          <t>Mahesh Tilave</t>
        </is>
      </c>
      <c r="B30" s="16" t="inlineStr">
        <is>
          <t>IT &amp; Infrastructure</t>
        </is>
      </c>
      <c r="C30" s="15" t="inlineStr">
        <is>
          <t>B2</t>
        </is>
      </c>
      <c r="D30" s="15" t="n">
        <v>5.14</v>
      </c>
      <c r="E30" s="16" t="inlineStr">
        <is>
          <t>Senior IT Manager</t>
        </is>
      </c>
      <c r="F30" s="16" t="inlineStr">
        <is>
          <t>Earlier B3 → B2. No rule changed the level: the score decides.</t>
        </is>
      </c>
    </row>
    <row r="31" ht="28" customHeight="1">
      <c r="A31" s="13" t="inlineStr">
        <is>
          <t>Vikas Mithbawkar</t>
        </is>
      </c>
      <c r="B31" s="16" t="inlineStr">
        <is>
          <t>IT &amp; Infrastructure</t>
        </is>
      </c>
      <c r="C31" s="15" t="inlineStr">
        <is>
          <t>B1</t>
        </is>
      </c>
      <c r="D31" s="15" t="n">
        <v>4.35</v>
      </c>
      <c r="E31" s="16" t="inlineStr">
        <is>
          <t>IT Infrastructure Manager</t>
        </is>
      </c>
      <c r="F31" s="16" t="inlineStr">
        <is>
          <t>Earlier B2 → B1. No rule changed the level: the score decides.</t>
        </is>
      </c>
    </row>
    <row r="32" ht="41" customHeight="1">
      <c r="A32" s="13" t="inlineStr">
        <is>
          <t>Hemant Chordekar</t>
        </is>
      </c>
      <c r="B32" s="16" t="inlineStr">
        <is>
          <t>IT &amp; Infrastructure</t>
        </is>
      </c>
      <c r="C32" s="15" t="inlineStr">
        <is>
          <t>A3</t>
        </is>
      </c>
      <c r="D32" s="15" t="n">
        <v>3.57</v>
      </c>
      <c r="E32" s="16" t="inlineStr">
        <is>
          <t>Infrastructure Specialist</t>
        </is>
      </c>
      <c r="F32" s="16" t="inlineStr">
        <is>
          <t>Earlier B1 → A3. Stays at A3, the top of Band A: to enter Band B the score must reach 3.5 on Band B's own weights, and it is 3.49.</t>
        </is>
      </c>
    </row>
    <row r="33" ht="15" customHeight="1"/>
    <row r="34" ht="20" customHeight="1">
      <c r="A34" s="6" t="inlineStr">
        <is>
          <t>F. Provisional placements — HR to confirm experience — 2</t>
        </is>
      </c>
    </row>
    <row r="35" ht="15" customHeight="1">
      <c r="A35" s="11" t="inlineStr">
        <is>
          <t>Red = input needed from HR.</t>
        </is>
      </c>
    </row>
    <row r="36" ht="15" customHeight="1">
      <c r="A36" s="12" t="inlineStr">
        <is>
          <t>Person</t>
        </is>
      </c>
      <c r="B36" s="12" t="inlineStr">
        <is>
          <t>Department</t>
        </is>
      </c>
      <c r="C36" s="12" t="inlineStr">
        <is>
          <t>Level</t>
        </is>
      </c>
      <c r="D36" s="12" t="inlineStr">
        <is>
          <t>Score</t>
        </is>
      </c>
      <c r="E36" s="12" t="inlineStr">
        <is>
          <t>Designation</t>
        </is>
      </c>
      <c r="F36" s="12" t="inlineStr">
        <is>
          <t>Reason / rule</t>
        </is>
      </c>
    </row>
    <row r="37" ht="28" customHeight="1">
      <c r="A37" s="13" t="inlineStr">
        <is>
          <t>Radhika Karnani</t>
        </is>
      </c>
      <c r="B37" s="16" t="inlineStr">
        <is>
          <t>Finance</t>
        </is>
      </c>
      <c r="C37" s="15" t="inlineStr">
        <is>
          <t>B1</t>
        </is>
      </c>
      <c r="D37" s="15" t="n">
        <v>3.82</v>
      </c>
      <c r="E37" s="16" t="inlineStr">
        <is>
          <t>Finance Specialist</t>
        </is>
      </c>
      <c r="F37" s="141" t="inlineStr">
        <is>
          <t>• Total experience is not on record · new joiner — level is provisional until HR adds it</t>
        </is>
      </c>
    </row>
    <row r="38" ht="54" customHeight="1">
      <c r="A38" s="13" t="inlineStr">
        <is>
          <t>Simran Kaur Raina</t>
        </is>
      </c>
      <c r="B38" s="16" t="inlineStr">
        <is>
          <t>HR</t>
        </is>
      </c>
      <c r="C38" s="15" t="inlineStr">
        <is>
          <t>B2</t>
        </is>
      </c>
      <c r="D38" s="15" t="n">
        <v>4.53</v>
      </c>
      <c r="E38" s="16" t="inlineStr">
        <is>
          <t>Senior Talent Acquisition Specialist</t>
        </is>
      </c>
      <c r="F38" s="141" t="inlineStr">
        <is>
          <t>• Total experience is not on record · new joiner — level is provisional until HR adds it
• Work described is smaller than the current designation suggests — manager to confirm the actual role</t>
        </is>
      </c>
    </row>
    <row r="39" ht="15" customHeight="1"/>
    <row r="40" ht="20" customHeight="1">
      <c r="A40" s="6" t="inlineStr">
        <is>
          <t>G. Titles to review · N3 market titles / checks — 4</t>
        </is>
      </c>
    </row>
    <row r="41" ht="15" customHeight="1">
      <c r="A41" s="11" t="inlineStr">
        <is>
          <t>Market-standard role titles are kept by rule N3; the grade shows the level.</t>
        </is>
      </c>
    </row>
    <row r="42" ht="15" customHeight="1">
      <c r="A42" s="12" t="inlineStr">
        <is>
          <t>Person</t>
        </is>
      </c>
      <c r="B42" s="12" t="inlineStr">
        <is>
          <t>Department</t>
        </is>
      </c>
      <c r="C42" s="12" t="inlineStr">
        <is>
          <t>Level</t>
        </is>
      </c>
      <c r="D42" s="12" t="inlineStr">
        <is>
          <t>Score</t>
        </is>
      </c>
      <c r="E42" s="12" t="inlineStr">
        <is>
          <t>Designation</t>
        </is>
      </c>
      <c r="F42" s="12" t="inlineStr">
        <is>
          <t>Reason / rule</t>
        </is>
      </c>
    </row>
    <row r="43" ht="28" customHeight="1">
      <c r="A43" s="13" t="inlineStr">
        <is>
          <t>Vikas Mithbawkar</t>
        </is>
      </c>
      <c r="B43" s="16" t="inlineStr">
        <is>
          <t>IT &amp; Infrastructure</t>
        </is>
      </c>
      <c r="C43" s="15" t="inlineStr">
        <is>
          <t>B1</t>
        </is>
      </c>
      <c r="D43" s="15" t="n">
        <v>4.35</v>
      </c>
      <c r="E43" s="16" t="inlineStr">
        <is>
          <t>IT Infrastructure Manager</t>
        </is>
      </c>
      <c r="F43" s="16" t="inlineStr">
        <is>
          <t>Check title against ladder</t>
        </is>
      </c>
    </row>
    <row r="44" ht="28" customHeight="1">
      <c r="A44" s="13" t="inlineStr">
        <is>
          <t>Hemant Chordekar</t>
        </is>
      </c>
      <c r="B44" s="16" t="inlineStr">
        <is>
          <t>IT &amp; Infrastructure</t>
        </is>
      </c>
      <c r="C44" s="15" t="inlineStr">
        <is>
          <t>A3</t>
        </is>
      </c>
      <c r="D44" s="15" t="n">
        <v>3.57</v>
      </c>
      <c r="E44" s="16" t="inlineStr">
        <is>
          <t>Infrastructure Specialist</t>
        </is>
      </c>
      <c r="F44" s="16" t="inlineStr">
        <is>
          <t>Check title against ladder</t>
        </is>
      </c>
    </row>
    <row r="45" ht="28" customHeight="1">
      <c r="A45" s="13" t="inlineStr">
        <is>
          <t>Santosh Sharma</t>
        </is>
      </c>
      <c r="B45" s="16" t="inlineStr">
        <is>
          <t>Secretarial &amp; Legal</t>
        </is>
      </c>
      <c r="C45" s="15" t="inlineStr">
        <is>
          <t>C1</t>
        </is>
      </c>
      <c r="D45" s="15" t="n">
        <v>6.93</v>
      </c>
      <c r="E45" s="16" t="inlineStr">
        <is>
          <t>Company Secretary – POD Lead</t>
        </is>
      </c>
      <c r="F45" s="16" t="inlineStr">
        <is>
          <t>Market-standard role title</t>
        </is>
      </c>
    </row>
    <row r="46" ht="15" customHeight="1">
      <c r="A46" s="13" t="inlineStr">
        <is>
          <t>Vikas Thakur</t>
        </is>
      </c>
      <c r="B46" s="16" t="inlineStr">
        <is>
          <t>Technology</t>
        </is>
      </c>
      <c r="C46" s="15" t="inlineStr">
        <is>
          <t>B3</t>
        </is>
      </c>
      <c r="D46" s="15" t="n">
        <v>6</v>
      </c>
      <c r="E46" s="16" t="inlineStr">
        <is>
          <t>Agile Coach</t>
        </is>
      </c>
      <c r="F46" s="16" t="inlineStr">
        <is>
          <t>Market-standard role title</t>
        </is>
      </c>
    </row>
    <row r="47" ht="15" customHeight="1"/>
    <row r="48" ht="20" customHeight="1">
      <c r="A48" s="6" t="inlineStr">
        <is>
          <t>H. Long-tenure people at A3 · 8+ yrs — role-widening review — 13</t>
        </is>
      </c>
    </row>
    <row r="49" ht="15" customHeight="1">
      <c r="A49" s="11" t="inlineStr">
        <is>
          <t>Their role shows Band A work. Use the top of the A3 range for proven experts; widen roles where real B1 work exists.</t>
        </is>
      </c>
    </row>
    <row r="50" ht="15" customHeight="1">
      <c r="A50" s="12" t="inlineStr">
        <is>
          <t>Person</t>
        </is>
      </c>
      <c r="B50" s="12" t="inlineStr">
        <is>
          <t>Department</t>
        </is>
      </c>
      <c r="C50" s="12" t="inlineStr">
        <is>
          <t>Level</t>
        </is>
      </c>
      <c r="D50" s="12" t="inlineStr">
        <is>
          <t>Score</t>
        </is>
      </c>
      <c r="E50" s="12" t="inlineStr">
        <is>
          <t>Designation</t>
        </is>
      </c>
      <c r="F50" s="12" t="inlineStr">
        <is>
          <t>Reason / rule</t>
        </is>
      </c>
    </row>
    <row r="51" ht="28" customHeight="1">
      <c r="A51" s="13" t="inlineStr">
        <is>
          <t>Ashish Pawar</t>
        </is>
      </c>
      <c r="B51" s="16" t="inlineStr">
        <is>
          <t>Administration</t>
        </is>
      </c>
      <c r="C51" s="15" t="inlineStr">
        <is>
          <t>A3</t>
        </is>
      </c>
      <c r="D51" s="15" t="n">
        <v>2.83</v>
      </c>
      <c r="E51" s="16" t="inlineStr">
        <is>
          <t>Senior Administration Executive</t>
        </is>
      </c>
      <c r="F51" s="16" t="inlineStr">
        <is>
          <t>13.2 yrs total. No rule changed the level: the score decides.</t>
        </is>
      </c>
    </row>
    <row r="52" ht="28" customHeight="1">
      <c r="A52" s="13" t="inlineStr">
        <is>
          <t>Mangesh Kosty</t>
        </is>
      </c>
      <c r="B52" s="16" t="inlineStr">
        <is>
          <t>Administration</t>
        </is>
      </c>
      <c r="C52" s="15" t="inlineStr">
        <is>
          <t>A3</t>
        </is>
      </c>
      <c r="D52" s="15" t="n">
        <v>3.12</v>
      </c>
      <c r="E52" s="16" t="inlineStr">
        <is>
          <t>Senior Administration Executive</t>
        </is>
      </c>
      <c r="F52" s="16" t="inlineStr">
        <is>
          <t>21.7 yrs total. No rule changed the level: the score decides.</t>
        </is>
      </c>
    </row>
    <row r="53" ht="28" customHeight="1">
      <c r="A53" s="13" t="inlineStr">
        <is>
          <t>Rajesh Khurambe</t>
        </is>
      </c>
      <c r="B53" s="16" t="inlineStr">
        <is>
          <t>Administration</t>
        </is>
      </c>
      <c r="C53" s="15" t="inlineStr">
        <is>
          <t>A3</t>
        </is>
      </c>
      <c r="D53" s="15" t="n">
        <v>3.12</v>
      </c>
      <c r="E53" s="16" t="inlineStr">
        <is>
          <t>Senior Administration Executive</t>
        </is>
      </c>
      <c r="F53" s="16" t="inlineStr">
        <is>
          <t>21.7 yrs total. No rule changed the level: the score decides.</t>
        </is>
      </c>
    </row>
    <row r="54" ht="28" customHeight="1">
      <c r="A54" s="13" t="inlineStr">
        <is>
          <t>Sunil Pawar</t>
        </is>
      </c>
      <c r="B54" s="16" t="inlineStr">
        <is>
          <t>Administration</t>
        </is>
      </c>
      <c r="C54" s="15" t="inlineStr">
        <is>
          <t>A3</t>
        </is>
      </c>
      <c r="D54" s="15" t="n">
        <v>2.83</v>
      </c>
      <c r="E54" s="16" t="inlineStr">
        <is>
          <t>Senior Administration Executive</t>
        </is>
      </c>
      <c r="F54" s="16" t="inlineStr">
        <is>
          <t>14.9 yrs total. No rule changed the level: the score decides.</t>
        </is>
      </c>
    </row>
    <row r="55" ht="15" customHeight="1">
      <c r="A55" s="13" t="inlineStr">
        <is>
          <t>Bhushan Kashid</t>
        </is>
      </c>
      <c r="B55" s="16" t="inlineStr">
        <is>
          <t>Finance</t>
        </is>
      </c>
      <c r="C55" s="15" t="inlineStr">
        <is>
          <t>A3</t>
        </is>
      </c>
      <c r="D55" s="15" t="n">
        <v>2.52</v>
      </c>
      <c r="E55" s="16" t="inlineStr">
        <is>
          <t>Senior Accounts Executive</t>
        </is>
      </c>
      <c r="F55" s="16" t="inlineStr">
        <is>
          <t>8.7 yrs total. No rule changed the level: the score decides.</t>
        </is>
      </c>
    </row>
    <row r="56" ht="15" customHeight="1">
      <c r="A56" s="13" t="inlineStr">
        <is>
          <t>Riddhi Narkar</t>
        </is>
      </c>
      <c r="B56" s="16" t="inlineStr">
        <is>
          <t>Finance</t>
        </is>
      </c>
      <c r="C56" s="15" t="inlineStr">
        <is>
          <t>A3</t>
        </is>
      </c>
      <c r="D56" s="15" t="n">
        <v>2.52</v>
      </c>
      <c r="E56" s="16" t="inlineStr">
        <is>
          <t>Senior Accounts Executive</t>
        </is>
      </c>
      <c r="F56" s="16" t="inlineStr">
        <is>
          <t>9.8 yrs total. No rule changed the level: the score decides.</t>
        </is>
      </c>
    </row>
    <row r="57" ht="28" customHeight="1">
      <c r="A57" s="13" t="inlineStr">
        <is>
          <t>Parthiban Thangaraj</t>
        </is>
      </c>
      <c r="B57" s="16" t="inlineStr">
        <is>
          <t>IT &amp; Infrastructure</t>
        </is>
      </c>
      <c r="C57" s="15" t="inlineStr">
        <is>
          <t>A3</t>
        </is>
      </c>
      <c r="D57" s="15" t="n">
        <v>2.85</v>
      </c>
      <c r="E57" s="16" t="inlineStr">
        <is>
          <t>Senior DevOps Engineer</t>
        </is>
      </c>
      <c r="F57" s="16" t="inlineStr">
        <is>
          <t>9.8 yrs total. No rule changed the level: the score decides.</t>
        </is>
      </c>
    </row>
    <row r="58" ht="28" customHeight="1">
      <c r="A58" s="13" t="inlineStr">
        <is>
          <t>Rajyalakshmi Koyagura</t>
        </is>
      </c>
      <c r="B58" s="16" t="inlineStr">
        <is>
          <t>IT &amp; Infrastructure</t>
        </is>
      </c>
      <c r="C58" s="15" t="inlineStr">
        <is>
          <t>A3</t>
        </is>
      </c>
      <c r="D58" s="15" t="n">
        <v>3.12</v>
      </c>
      <c r="E58" s="16" t="inlineStr">
        <is>
          <t>Senior System Administrator</t>
        </is>
      </c>
      <c r="F58" s="16" t="inlineStr">
        <is>
          <t>8 yrs total. No rule changed the level: the score decides.</t>
        </is>
      </c>
    </row>
    <row r="59" ht="28" customHeight="1">
      <c r="A59" s="13" t="inlineStr">
        <is>
          <t>Vishal Vare</t>
        </is>
      </c>
      <c r="B59" s="16" t="inlineStr">
        <is>
          <t>IT &amp; Infrastructure</t>
        </is>
      </c>
      <c r="C59" s="15" t="inlineStr">
        <is>
          <t>A3</t>
        </is>
      </c>
      <c r="D59" s="15" t="n">
        <v>3.22</v>
      </c>
      <c r="E59" s="16" t="inlineStr">
        <is>
          <t>Senior System Administrator</t>
        </is>
      </c>
      <c r="F59" s="16" t="inlineStr">
        <is>
          <t>10.3 yrs total. No rule changed the level: the score decides.</t>
        </is>
      </c>
    </row>
    <row r="60" ht="41" customHeight="1">
      <c r="A60" s="13" t="inlineStr">
        <is>
          <t>Hemant Chordekar</t>
        </is>
      </c>
      <c r="B60" s="16" t="inlineStr">
        <is>
          <t>IT &amp; Infrastructure</t>
        </is>
      </c>
      <c r="C60" s="15" t="inlineStr">
        <is>
          <t>A3</t>
        </is>
      </c>
      <c r="D60" s="15" t="n">
        <v>3.57</v>
      </c>
      <c r="E60" s="16" t="inlineStr">
        <is>
          <t>Infrastructure Specialist</t>
        </is>
      </c>
      <c r="F60" s="16" t="inlineStr">
        <is>
          <t>20.7 yrs total. Stays at A3, the top of Band A: to enter Band B the score must reach 3.5 on Band B's own weights, and it is 3.49.</t>
        </is>
      </c>
    </row>
    <row r="61" ht="28" customHeight="1">
      <c r="A61" s="13" t="inlineStr">
        <is>
          <t>Nimit Sadafal</t>
        </is>
      </c>
      <c r="B61" s="16" t="inlineStr">
        <is>
          <t>IT &amp; Infrastructure</t>
        </is>
      </c>
      <c r="C61" s="15" t="inlineStr">
        <is>
          <t>A3</t>
        </is>
      </c>
      <c r="D61" s="15" t="n">
        <v>3.05</v>
      </c>
      <c r="E61" s="16" t="inlineStr">
        <is>
          <t>Senior System Administrator</t>
        </is>
      </c>
      <c r="F61" s="16" t="inlineStr">
        <is>
          <t>13.6 yrs total. No rule changed the level: the score decides.</t>
        </is>
      </c>
    </row>
    <row r="62" ht="28" customHeight="1">
      <c r="A62" s="13" t="inlineStr">
        <is>
          <t>Sagar Jamadar</t>
        </is>
      </c>
      <c r="B62" s="16" t="inlineStr">
        <is>
          <t>IT &amp; Infrastructure</t>
        </is>
      </c>
      <c r="C62" s="15" t="inlineStr">
        <is>
          <t>A3</t>
        </is>
      </c>
      <c r="D62" s="15" t="n">
        <v>2.3</v>
      </c>
      <c r="E62" s="16" t="inlineStr">
        <is>
          <t>Senior Desktop Support Engineer</t>
        </is>
      </c>
      <c r="F62" s="16" t="inlineStr">
        <is>
          <t>8.6 yrs total. Raised to A3: 8.6 years' experience is 2 years or more.</t>
        </is>
      </c>
    </row>
    <row r="63" ht="28" customHeight="1">
      <c r="A63" s="13" t="inlineStr">
        <is>
          <t>Sandip Mane</t>
        </is>
      </c>
      <c r="B63" s="16" t="inlineStr">
        <is>
          <t>IT &amp; Infrastructure</t>
        </is>
      </c>
      <c r="C63" s="15" t="inlineStr">
        <is>
          <t>A3</t>
        </is>
      </c>
      <c r="D63" s="15" t="n">
        <v>3.27</v>
      </c>
      <c r="E63" s="16" t="inlineStr">
        <is>
          <t>Senior System Administrator</t>
        </is>
      </c>
      <c r="F63" s="16" t="inlineStr">
        <is>
          <t>10.6 yrs total. No rule changed the level: the score decides.</t>
        </is>
      </c>
    </row>
    <row r="64" ht="15" customHeight="1"/>
    <row r="65" ht="20" customHeight="1">
      <c r="A65" s="6" t="inlineStr">
        <is>
          <t>I. Senior titles held by the structural gate — 1</t>
        </is>
      </c>
    </row>
    <row r="66" ht="15" customHeight="1">
      <c r="A66" s="11" t="inlineStr">
        <is>
          <t>Business head to confirm scope; title protected for one cycle. Red = input needed.</t>
        </is>
      </c>
    </row>
    <row r="67" ht="15" customHeight="1">
      <c r="A67" s="12" t="inlineStr">
        <is>
          <t>Person</t>
        </is>
      </c>
      <c r="B67" s="12" t="inlineStr">
        <is>
          <t>Department</t>
        </is>
      </c>
      <c r="C67" s="12" t="inlineStr">
        <is>
          <t>Level</t>
        </is>
      </c>
      <c r="D67" s="12" t="inlineStr">
        <is>
          <t>Score</t>
        </is>
      </c>
      <c r="E67" s="12" t="inlineStr">
        <is>
          <t>Designation</t>
        </is>
      </c>
      <c r="F67" s="12" t="inlineStr">
        <is>
          <t>Reason / rule</t>
        </is>
      </c>
    </row>
    <row r="68" ht="41" customHeight="1">
      <c r="A68" s="13" t="inlineStr">
        <is>
          <t>Sudhakar Sawant</t>
        </is>
      </c>
      <c r="B68" s="16" t="inlineStr">
        <is>
          <t>Finance</t>
        </is>
      </c>
      <c r="C68" s="15" t="inlineStr">
        <is>
          <t>C1</t>
        </is>
      </c>
      <c r="D68" s="15" t="n">
        <v>7.87</v>
      </c>
      <c r="E68" s="16" t="inlineStr">
        <is>
          <t>Head – Admin &amp; Internal Audit → Associate Head – Admin &amp; Internal Audit</t>
        </is>
      </c>
      <c r="F68" s="141" t="inlineStr">
        <is>
          <r>
            <rPr>
              <rFont val="Calibri"/>
              <b val="1"/>
              <color rgb="009C0006"/>
              <sz val="10"/>
            </rPr>
            <t>Held at C1 instead of C2:</t>
          </r>
          <r>
            <rPr>
              <rFont val="Calibri"/>
              <color rgb="009C0006"/>
              <sz val="10"/>
            </rPr>
            <t xml:space="preserve"> C2 needs a whole function or a company-wide discipline, and the org chart does not show this yet.</t>
          </r>
        </is>
      </c>
    </row>
    <row r="69" ht="15" customHeight="1"/>
    <row r="70" ht="20" customHeight="1">
      <c r="A70" s="6" t="inlineStr">
        <is>
          <t>J. Additional inputs needed — by person · the red cells on sheets 2, 3 and 8 — 19</t>
        </is>
      </c>
    </row>
    <row r="71" ht="15" customHeight="1">
      <c r="A71" s="11" t="inlineStr">
        <is>
          <t>Who must supply what before the placement can be confirmed. Pay is needed for everyone and is not repeated here.</t>
        </is>
      </c>
    </row>
    <row r="72" ht="15" customHeight="1">
      <c r="A72" s="12" t="inlineStr">
        <is>
          <t>Person</t>
        </is>
      </c>
      <c r="B72" s="12" t="inlineStr">
        <is>
          <t>Department</t>
        </is>
      </c>
      <c r="C72" s="12" t="inlineStr">
        <is>
          <t>Level</t>
        </is>
      </c>
      <c r="D72" s="12" t="inlineStr">
        <is>
          <t>Score</t>
        </is>
      </c>
      <c r="E72" s="12" t="inlineStr">
        <is>
          <t>Designation</t>
        </is>
      </c>
      <c r="F72" s="12" t="inlineStr">
        <is>
          <t>Input needed — who provides it</t>
        </is>
      </c>
    </row>
    <row r="73" ht="41" customHeight="1">
      <c r="A73" s="13" t="inlineStr">
        <is>
          <t>Mangesh Kosty</t>
        </is>
      </c>
      <c r="B73" s="16" t="inlineStr">
        <is>
          <t>Administration</t>
        </is>
      </c>
      <c r="C73" s="15" t="inlineStr">
        <is>
          <t>A3</t>
        </is>
      </c>
      <c r="D73" s="15" t="n">
        <v>3.12</v>
      </c>
      <c r="E73" s="16" t="inlineStr">
        <is>
          <t>Senior Administration Executive</t>
        </is>
      </c>
      <c r="F73" s="141" t="inlineStr">
        <is>
          <t>• Survey response or KRAs describing the work · nothing on file — Employee + manager
• Correct the experience record — HR</t>
        </is>
      </c>
    </row>
    <row r="74" ht="41" customHeight="1">
      <c r="A74" s="13" t="inlineStr">
        <is>
          <t>Rajesh Khurambe</t>
        </is>
      </c>
      <c r="B74" s="16" t="inlineStr">
        <is>
          <t>Administration</t>
        </is>
      </c>
      <c r="C74" s="15" t="inlineStr">
        <is>
          <t>A3</t>
        </is>
      </c>
      <c r="D74" s="15" t="n">
        <v>3.12</v>
      </c>
      <c r="E74" s="16" t="inlineStr">
        <is>
          <t>Senior Administration Executive</t>
        </is>
      </c>
      <c r="F74" s="141" t="inlineStr">
        <is>
          <t>• Survey response or KRAs describing the work · nothing on file — Employee + manager
• Correct the experience record — HR</t>
        </is>
      </c>
    </row>
    <row r="75" ht="41" customHeight="1">
      <c r="A75" s="13" t="inlineStr">
        <is>
          <t>Sunil Pawar</t>
        </is>
      </c>
      <c r="B75" s="16" t="inlineStr">
        <is>
          <t>Administration</t>
        </is>
      </c>
      <c r="C75" s="15" t="inlineStr">
        <is>
          <t>A3</t>
        </is>
      </c>
      <c r="D75" s="15" t="n">
        <v>2.83</v>
      </c>
      <c r="E75" s="16" t="inlineStr">
        <is>
          <t>Senior Administration Executive</t>
        </is>
      </c>
      <c r="F75" s="141" t="inlineStr">
        <is>
          <t>• Survey response or KRAs describing the work · nothing on file — Employee + manager
• Correct the experience record — HR</t>
        </is>
      </c>
    </row>
    <row r="76" ht="28" customHeight="1">
      <c r="A76" s="13" t="inlineStr">
        <is>
          <t>Vineet Kandoi</t>
        </is>
      </c>
      <c r="B76" s="16" t="inlineStr">
        <is>
          <t>Finance</t>
        </is>
      </c>
      <c r="C76" s="15" t="inlineStr">
        <is>
          <t>E1</t>
        </is>
      </c>
      <c r="D76" s="15" t="n">
        <v>10.9</v>
      </c>
      <c r="E76" s="16" t="inlineStr">
        <is>
          <t>Chief Financial Officer</t>
        </is>
      </c>
      <c r="F76" s="141" t="inlineStr">
        <is>
          <t>• Survey response or KRAs describing the work · nothing on file — Employee + manager</t>
        </is>
      </c>
    </row>
    <row r="77" ht="54" customHeight="1">
      <c r="A77" s="13" t="inlineStr">
        <is>
          <t>Sudhakar Sawant</t>
        </is>
      </c>
      <c r="B77" s="16" t="inlineStr">
        <is>
          <t>Finance</t>
        </is>
      </c>
      <c r="C77" s="15" t="inlineStr">
        <is>
          <t>C1</t>
        </is>
      </c>
      <c r="D77" s="15" t="n">
        <v>7.87</v>
      </c>
      <c r="E77" s="16" t="inlineStr">
        <is>
          <t>Associate Head – Admin &amp; Internal Audit</t>
        </is>
      </c>
      <c r="F77" s="141" t="inlineStr">
        <is>
          <t>• Survey response or KRAs describing the work · nothing on file — Employee + manager
• Confirm structure behind the senior title · org chart — Business head</t>
        </is>
      </c>
    </row>
    <row r="78" ht="28" customHeight="1">
      <c r="A78" s="13" t="inlineStr">
        <is>
          <t>Nishant Gupta</t>
        </is>
      </c>
      <c r="B78" s="16" t="inlineStr">
        <is>
          <t>Finance</t>
        </is>
      </c>
      <c r="C78" s="15" t="inlineStr">
        <is>
          <t>C1</t>
        </is>
      </c>
      <c r="D78" s="15" t="n">
        <v>7.37</v>
      </c>
      <c r="E78" s="16" t="inlineStr">
        <is>
          <t>Associate Head – Finance &amp; Accounts</t>
        </is>
      </c>
      <c r="F78" s="141" t="inlineStr">
        <is>
          <t>• Survey response or KRAs describing the work · nothing on file — Employee + manager</t>
        </is>
      </c>
    </row>
    <row r="79" ht="28" customHeight="1">
      <c r="A79" s="13" t="inlineStr">
        <is>
          <t>Radhika Karnani</t>
        </is>
      </c>
      <c r="B79" s="16" t="inlineStr">
        <is>
          <t>Finance</t>
        </is>
      </c>
      <c r="C79" s="15" t="inlineStr">
        <is>
          <t>B1</t>
        </is>
      </c>
      <c r="D79" s="15" t="n">
        <v>3.82</v>
      </c>
      <c r="E79" s="16" t="inlineStr">
        <is>
          <t>Finance Specialist</t>
        </is>
      </c>
      <c r="F79" s="141" t="inlineStr">
        <is>
          <t>• Total experience · outside + at IRIS — HR — HRIS
• Confirm prior experience · provisional placement — HR</t>
        </is>
      </c>
    </row>
    <row r="80" ht="28" customHeight="1">
      <c r="A80" s="13" t="inlineStr">
        <is>
          <t>Shweta Jha</t>
        </is>
      </c>
      <c r="B80" s="16" t="inlineStr">
        <is>
          <t>HR</t>
        </is>
      </c>
      <c r="C80" s="15" t="inlineStr">
        <is>
          <t>D2</t>
        </is>
      </c>
      <c r="D80" s="15" t="n">
        <v>9.970000000000001</v>
      </c>
      <c r="E80" s="16" t="inlineStr">
        <is>
          <t>Vice President – Human Resources</t>
        </is>
      </c>
      <c r="F80" s="141" t="inlineStr">
        <is>
          <t>• Survey response or KRAs describing the work · nothing on file — Employee + manager</t>
        </is>
      </c>
    </row>
    <row r="81" ht="28" customHeight="1">
      <c r="A81" s="13" t="inlineStr">
        <is>
          <t>Mohammed Hanzala Shaikh</t>
        </is>
      </c>
      <c r="B81" s="16" t="inlineStr">
        <is>
          <t>HR</t>
        </is>
      </c>
      <c r="C81" s="15" t="inlineStr">
        <is>
          <t>B3</t>
        </is>
      </c>
      <c r="D81" s="15" t="n">
        <v>5.73</v>
      </c>
      <c r="E81" s="16" t="inlineStr">
        <is>
          <t>Lead HR Specialist – Transformation &amp; OD</t>
        </is>
      </c>
      <c r="F81" s="141" t="inlineStr">
        <is>
          <t>• Survey response or KRAs describing the work · nothing on file — Employee + manager</t>
        </is>
      </c>
    </row>
    <row r="82" ht="28" customHeight="1">
      <c r="A82" s="13" t="inlineStr">
        <is>
          <t>Simran Kaur Raina</t>
        </is>
      </c>
      <c r="B82" s="16" t="inlineStr">
        <is>
          <t>HR</t>
        </is>
      </c>
      <c r="C82" s="15" t="inlineStr">
        <is>
          <t>B2</t>
        </is>
      </c>
      <c r="D82" s="15" t="n">
        <v>4.53</v>
      </c>
      <c r="E82" s="16" t="inlineStr">
        <is>
          <t>Senior Talent Acquisition Specialist</t>
        </is>
      </c>
      <c r="F82" s="141" t="inlineStr">
        <is>
          <t>• Total experience · outside + at IRIS — HR — HRIS
• Confirm prior experience · provisional placement — HR</t>
        </is>
      </c>
    </row>
    <row r="83" ht="28" customHeight="1">
      <c r="A83" s="13" t="inlineStr">
        <is>
          <t>Mahesh Tilave</t>
        </is>
      </c>
      <c r="B83" s="16" t="inlineStr">
        <is>
          <t>IT &amp; Infrastructure</t>
        </is>
      </c>
      <c r="C83" s="15" t="inlineStr">
        <is>
          <t>B2</t>
        </is>
      </c>
      <c r="D83" s="15" t="n">
        <v>5.14</v>
      </c>
      <c r="E83" s="16" t="inlineStr">
        <is>
          <t>Senior IT Manager</t>
        </is>
      </c>
      <c r="F83" s="141" t="inlineStr">
        <is>
          <t>• Confirm the reporting line — Manager</t>
        </is>
      </c>
    </row>
    <row r="84" ht="28" customHeight="1">
      <c r="A84" s="13" t="inlineStr">
        <is>
          <t>Vishal Vare</t>
        </is>
      </c>
      <c r="B84" s="16" t="inlineStr">
        <is>
          <t>IT &amp; Infrastructure</t>
        </is>
      </c>
      <c r="C84" s="15" t="inlineStr">
        <is>
          <t>A3</t>
        </is>
      </c>
      <c r="D84" s="15" t="n">
        <v>3.22</v>
      </c>
      <c r="E84" s="16" t="inlineStr">
        <is>
          <t>Senior System Administrator</t>
        </is>
      </c>
      <c r="F84" s="141" t="inlineStr">
        <is>
          <t>• Correct the experience record — HR</t>
        </is>
      </c>
    </row>
    <row r="85" ht="28" customHeight="1">
      <c r="A85" s="13" t="inlineStr">
        <is>
          <t>Amit Gangaram Kamble</t>
        </is>
      </c>
      <c r="B85" s="16" t="inlineStr">
        <is>
          <t>IT &amp; Infrastructure</t>
        </is>
      </c>
      <c r="C85" s="15" t="inlineStr">
        <is>
          <t>A3</t>
        </is>
      </c>
      <c r="D85" s="15" t="n">
        <v>2.1</v>
      </c>
      <c r="E85" s="16" t="inlineStr">
        <is>
          <t>Senior System Administrator</t>
        </is>
      </c>
      <c r="F85" s="141" t="inlineStr">
        <is>
          <t>• Survey response or KRAs describing the work · nothing on file — Employee + manager</t>
        </is>
      </c>
    </row>
    <row r="86" ht="28" customHeight="1">
      <c r="A86" s="13" t="inlineStr">
        <is>
          <t>Hemant Chordekar</t>
        </is>
      </c>
      <c r="B86" s="16" t="inlineStr">
        <is>
          <t>IT &amp; Infrastructure</t>
        </is>
      </c>
      <c r="C86" s="15" t="inlineStr">
        <is>
          <t>A3</t>
        </is>
      </c>
      <c r="D86" s="15" t="n">
        <v>3.57</v>
      </c>
      <c r="E86" s="16" t="inlineStr">
        <is>
          <t>Infrastructure Specialist</t>
        </is>
      </c>
      <c r="F86" s="141" t="inlineStr">
        <is>
          <t>• Survey response or KRAs describing the work · nothing on file — Employee + manager</t>
        </is>
      </c>
    </row>
    <row r="87" ht="28" customHeight="1">
      <c r="A87" s="13" t="inlineStr">
        <is>
          <t>Balachandran K</t>
        </is>
      </c>
      <c r="B87" s="16" t="inlineStr">
        <is>
          <t>Management</t>
        </is>
      </c>
      <c r="C87" s="15" t="inlineStr">
        <is>
          <t>E2</t>
        </is>
      </c>
      <c r="D87" s="15" t="n">
        <v>12</v>
      </c>
      <c r="E87" s="16" t="inlineStr">
        <is>
          <t>Chief Executive Officer</t>
        </is>
      </c>
      <c r="F87" s="141" t="inlineStr">
        <is>
          <t>• Survey response or KRAs describing the work · nothing on file — Employee + manager</t>
        </is>
      </c>
    </row>
    <row r="88" ht="28" customHeight="1">
      <c r="A88" s="13" t="inlineStr">
        <is>
          <t>Deepta Rangarajan</t>
        </is>
      </c>
      <c r="B88" s="16" t="inlineStr">
        <is>
          <t>Management</t>
        </is>
      </c>
      <c r="C88" s="15" t="inlineStr">
        <is>
          <t>E1</t>
        </is>
      </c>
      <c r="D88" s="15" t="n">
        <v>11.05</v>
      </c>
      <c r="E88" s="16" t="inlineStr">
        <is>
          <t>Chief Operating Officer</t>
        </is>
      </c>
      <c r="F88" s="141" t="inlineStr">
        <is>
          <t>• Survey response or KRAs describing the work · nothing on file — Employee + manager</t>
        </is>
      </c>
    </row>
    <row r="89" ht="28" customHeight="1">
      <c r="A89" s="13" t="inlineStr">
        <is>
          <t>Santosh Sharma</t>
        </is>
      </c>
      <c r="B89" s="16" t="inlineStr">
        <is>
          <t>Secretarial &amp; Legal</t>
        </is>
      </c>
      <c r="C89" s="15" t="inlineStr">
        <is>
          <t>C1</t>
        </is>
      </c>
      <c r="D89" s="15" t="n">
        <v>6.93</v>
      </c>
      <c r="E89" s="16" t="inlineStr">
        <is>
          <t>Company Secretary – POD Lead</t>
        </is>
      </c>
      <c r="F89" s="141" t="inlineStr">
        <is>
          <t>• Survey response or KRAs describing the work · nothing on file — Employee + manager</t>
        </is>
      </c>
    </row>
    <row r="90" ht="28" customHeight="1">
      <c r="A90" s="13" t="inlineStr">
        <is>
          <t>P K X Thomas</t>
        </is>
      </c>
      <c r="B90" s="16" t="inlineStr">
        <is>
          <t>Technology</t>
        </is>
      </c>
      <c r="C90" s="15" t="inlineStr">
        <is>
          <t>E1</t>
        </is>
      </c>
      <c r="D90" s="15" t="n">
        <v>11.05</v>
      </c>
      <c r="E90" s="16" t="inlineStr">
        <is>
          <t>Chief Technology Officer</t>
        </is>
      </c>
      <c r="F90" s="141" t="inlineStr">
        <is>
          <t>• Survey response or KRAs describing the work · nothing on file — Employee + manager</t>
        </is>
      </c>
    </row>
    <row r="91" ht="28" customHeight="1">
      <c r="A91" s="13" t="inlineStr">
        <is>
          <t>Vikas Thakur</t>
        </is>
      </c>
      <c r="B91" s="16" t="inlineStr">
        <is>
          <t>Technology</t>
        </is>
      </c>
      <c r="C91" s="15" t="inlineStr">
        <is>
          <t>B3</t>
        </is>
      </c>
      <c r="D91" s="15" t="n">
        <v>6</v>
      </c>
      <c r="E91" s="16" t="inlineStr">
        <is>
          <t>Agile Coach</t>
        </is>
      </c>
      <c r="F91" s="141" t="inlineStr">
        <is>
          <t>• Survey response or KRAs describing the work · nothing on file — Employee + manager</t>
        </is>
      </c>
    </row>
    <row r="92" ht="15" customHeight="1"/>
    <row r="93" ht="20" customHeight="1">
      <c r="A93" s="6" t="inlineStr">
        <is>
          <t>K. Open decisions</t>
        </is>
      </c>
    </row>
    <row r="94" ht="15" customHeight="1">
      <c r="A94" s="12" t="inlineStr">
        <is>
          <t>Decision</t>
        </is>
      </c>
      <c r="B94" s="12" t="inlineStr">
        <is>
          <t>Facts</t>
        </is>
      </c>
      <c r="C94" s="211" t="n"/>
      <c r="D94" s="12" t="inlineStr">
        <is>
          <t>Recommendation</t>
        </is>
      </c>
      <c r="E94" s="212" t="n"/>
      <c r="F94" s="211" t="n"/>
    </row>
    <row r="95" ht="28" customHeight="1">
      <c r="A95" s="13" t="inlineStr">
        <is>
          <t>Player-Coach transition steps</t>
        </is>
      </c>
      <c r="B95" s="16" t="inlineStr">
        <is>
          <t>0 placed; 0 candidates / watch.</t>
        </is>
      </c>
      <c r="C95" s="211" t="n"/>
      <c r="D95" s="16" t="inlineStr">
        <is>
          <t>Confirm hands-on share for each; review the watch list at the next cycle.</t>
        </is>
      </c>
      <c r="E95" s="212" t="n"/>
      <c r="F95" s="211" t="n"/>
    </row>
    <row r="96" ht="28" customHeight="1">
      <c r="A96" s="13" t="inlineStr">
        <is>
          <t>Long-tenure A3</t>
        </is>
      </c>
      <c r="B96" s="16" t="inlineStr">
        <is>
          <t>13 people with 8+ yrs at A3.</t>
        </is>
      </c>
      <c r="C96" s="211" t="n"/>
      <c r="D96" s="16" t="inlineStr">
        <is>
          <t>Keep the gate; pay at the top of the A3 range; widen roles where real B1 work exists.</t>
        </is>
      </c>
      <c r="E96" s="212" t="n"/>
      <c r="F96" s="211" t="n"/>
    </row>
    <row r="97" ht="41" customHeight="1">
      <c r="A97" s="13" t="inlineStr">
        <is>
          <t>Pay</t>
        </is>
      </c>
      <c r="B97" s="16" t="inlineStr">
        <is>
          <t>No pay data supplied; pay columns on sheet 2 are blank.</t>
        </is>
      </c>
      <c r="C97" s="211" t="n"/>
      <c r="D97" s="16" t="inlineStr">
        <is>
          <t>Buy one India survey and price each level · Master M14.</t>
        </is>
      </c>
      <c r="E97" s="212" t="n"/>
      <c r="F97" s="211" t="n"/>
    </row>
    <row r="98" ht="41" customHeight="1">
      <c r="A98" s="13" t="inlineStr">
        <is>
          <t>Weights</t>
        </is>
      </c>
      <c r="B98" s="16" t="inlineStr">
        <is>
          <t>Derived from Hay / Mercer principles; one formula for every set.</t>
        </is>
      </c>
      <c r="C98" s="211" t="n"/>
      <c r="D98" s="16" t="inlineStr">
        <is>
          <t>Test on 20–30 benchmark roles in calibration, then freeze for the cycle.</t>
        </is>
      </c>
      <c r="E98" s="212" t="n"/>
      <c r="F98" s="211" t="n"/>
    </row>
    <row r="99" ht="15" customHeight="1"/>
    <row r="100" ht="20" customHeight="1">
      <c r="A100" s="6" t="inlineStr">
        <is>
          <t>L. Quality checks run on this workbook</t>
        </is>
      </c>
    </row>
    <row r="101" ht="15" customHeight="1">
      <c r="A101" s="12" t="inlineStr">
        <is>
          <t>Check</t>
        </is>
      </c>
      <c r="B101" s="12" t="inlineStr">
        <is>
          <t>Result</t>
        </is>
      </c>
      <c r="C101" s="212" t="n"/>
      <c r="D101" s="212" t="n"/>
      <c r="E101" s="212" t="n"/>
      <c r="F101" s="211" t="n"/>
    </row>
    <row r="102" ht="28" customHeight="1">
      <c r="A102" s="13" t="inlineStr">
        <is>
          <t>Reproduction</t>
        </is>
      </c>
      <c r="B102" s="16" t="inlineStr">
        <is>
          <t>With the v1 weights the engine reproduces all 587 earlier placements — the rules are the earlier rules made explicit.</t>
        </is>
      </c>
      <c r="C102" s="212" t="n"/>
      <c r="D102" s="212" t="n"/>
      <c r="E102" s="212" t="n"/>
      <c r="F102" s="211" t="n"/>
    </row>
    <row r="103" ht="28" customHeight="1">
      <c r="A103" s="13" t="inlineStr">
        <is>
          <t>Traceability</t>
        </is>
      </c>
      <c r="B103" s="16" t="inlineStr">
        <is>
          <t>Every person whose final level differs from the score-indicated level has the rule that moved them recorded, with numbers.</t>
        </is>
      </c>
      <c r="C103" s="212" t="n"/>
      <c r="D103" s="212" t="n"/>
      <c r="E103" s="212" t="n"/>
      <c r="F103" s="211" t="n"/>
    </row>
    <row r="104" ht="28" customHeight="1">
      <c r="A104" s="13" t="inlineStr">
        <is>
          <t>Formulas</t>
        </is>
      </c>
      <c r="B104" s="16" t="inlineStr">
        <is>
          <t>Points, weighted score and indicated level recalculate live; their results are also stored in the file, so previews that do not calculate still show them.</t>
        </is>
      </c>
      <c r="C104" s="212" t="n"/>
      <c r="D104" s="212" t="n"/>
      <c r="E104" s="212" t="n"/>
      <c r="F104" s="211" t="n"/>
    </row>
    <row r="105" ht="41" customHeight="1">
      <c r="A105" s="13" t="inlineStr">
        <is>
          <t>Market data</t>
        </is>
      </c>
      <c r="B105" s="16" t="inlineStr">
        <is>
          <t>Company ladders cite a posting, a Levels.fyi page or a published standard; ladders IRIS assembled itself are labelled 'IRIS composite'. October 2026 source check: 42 sources and ladders read — 19 support the claim, 20 corrected, 1 dropped · DFIN ladder, 2 marked unverified · Zoho, ClearTax.</t>
        </is>
      </c>
      <c r="C105" s="212" t="n"/>
      <c r="D105" s="212" t="n"/>
      <c r="E105" s="212" t="n"/>
      <c r="F105" s="211" t="n"/>
    </row>
    <row r="106" ht="15" customHeight="1">
      <c r="A106" s="13" t="inlineStr">
        <is>
          <t>Pay</t>
        </is>
      </c>
      <c r="B106" s="16" t="inlineStr">
        <is>
          <t>All pay columns are blank by design.</t>
        </is>
      </c>
      <c r="C106" s="212" t="n"/>
      <c r="D106" s="212" t="n"/>
      <c r="E106" s="212" t="n"/>
      <c r="F106" s="211" t="n"/>
    </row>
    <row r="107" ht="28" customHeight="1">
      <c r="A107" s="13" t="inlineStr">
        <is>
          <t>Personal data</t>
        </is>
      </c>
      <c r="B107" s="16" t="inlineStr">
        <is>
          <t>Gender, age, date of birth, e-mail, mobile and resignation dates are excluded from every sheet · checked on every header by verify.py.</t>
        </is>
      </c>
      <c r="C107" s="212" t="n"/>
      <c r="D107" s="212" t="n"/>
      <c r="E107" s="212" t="n"/>
      <c r="F107" s="211" t="n"/>
    </row>
    <row r="108" ht="41" customHeight="1">
      <c r="A108" s="13" t="inlineStr">
        <is>
          <t>Survey answers</t>
        </is>
      </c>
      <c r="B108" s="16" t="inlineStr">
        <is>
          <r>
            <rPr>
              <rFont val="Calibri"/>
              <b val="1"/>
              <sz val="10"/>
            </rPr>
            <t>Used as evidence but never quoted against a name:</t>
          </r>
          <r>
            <rPr>
              <rFont val="Calibri"/>
              <sz val="10"/>
            </rPr>
            <t xml:space="preserve"> sheet 3 shows the number of questions answered; sheet 8 shows learning topics; the role catalogue shows holders' inputs only where 3+ answered · the role, else its sub-family, and views of the role only as counted themes.</t>
          </r>
        </is>
      </c>
      <c r="C108" s="212" t="n"/>
      <c r="D108" s="212" t="n"/>
      <c r="E108" s="212" t="n"/>
      <c r="F108" s="211" t="n"/>
    </row>
  </sheetData>
  <mergeCells count="46">
    <mergeCell ref="A41:F41"/>
    <mergeCell ref="B97:C97"/>
    <mergeCell ref="B106:F106"/>
    <mergeCell ref="A66:F66"/>
    <mergeCell ref="A27:F27"/>
    <mergeCell ref="D97:F97"/>
    <mergeCell ref="A12:F12"/>
    <mergeCell ref="A18:F18"/>
    <mergeCell ref="A26:F26"/>
    <mergeCell ref="B96:C96"/>
    <mergeCell ref="A3:F3"/>
    <mergeCell ref="B102:F102"/>
    <mergeCell ref="B105:F105"/>
    <mergeCell ref="A2:F2"/>
    <mergeCell ref="A71:F71"/>
    <mergeCell ref="D95:F95"/>
    <mergeCell ref="A5:F5"/>
    <mergeCell ref="B98:C98"/>
    <mergeCell ref="A8:F8"/>
    <mergeCell ref="A22:F22"/>
    <mergeCell ref="A17:F17"/>
    <mergeCell ref="A35:F35"/>
    <mergeCell ref="B101:F101"/>
    <mergeCell ref="A100:F100"/>
    <mergeCell ref="B107:F107"/>
    <mergeCell ref="A10:F10"/>
    <mergeCell ref="D98:F98"/>
    <mergeCell ref="A93:F93"/>
    <mergeCell ref="B103:F103"/>
    <mergeCell ref="D94:F94"/>
    <mergeCell ref="A9:F9"/>
    <mergeCell ref="B108:F108"/>
    <mergeCell ref="A34:F34"/>
    <mergeCell ref="A40:F40"/>
    <mergeCell ref="A48:F48"/>
    <mergeCell ref="A11:F11"/>
    <mergeCell ref="A49:F49"/>
    <mergeCell ref="A1:F1"/>
    <mergeCell ref="B95:C95"/>
    <mergeCell ref="A70:F70"/>
    <mergeCell ref="B104:F104"/>
    <mergeCell ref="A6:F6"/>
    <mergeCell ref="D96:F96"/>
    <mergeCell ref="B94:C94"/>
    <mergeCell ref="A7:F7"/>
    <mergeCell ref="A65:F65"/>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6.xml><?xml version="1.0" encoding="utf-8"?>
<worksheet xmlns="http://schemas.openxmlformats.org/spreadsheetml/2006/main">
  <sheetPr>
    <tabColor rgb="001F3864"/>
    <outlinePr summaryBelow="1" summaryRight="1"/>
    <pageSetUpPr fitToPage="1"/>
  </sheetPr>
  <dimension ref="A1:P280"/>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3" customWidth="1" min="15" max="15"/>
    <col width="13" customWidth="1" min="16" max="16"/>
  </cols>
  <sheetData>
    <row r="1" ht="34" customHeight="1">
      <c r="A1" s="1" t="inlineStr">
        <is>
          <t>Job Architecture — Corporate: Framework &amp; Logic</t>
        </is>
      </c>
      <c r="O1" s="242" t="inlineStr">
        <is>
          <t>◂ Contents</t>
        </is>
      </c>
    </row>
    <row r="2" ht="32" customHeight="1">
      <c r="A2" s="3" t="inlineStr">
        <is>
          <t>Sheet 10 · How the Master Framework is applied to Corporate, step by step: classification, tracks, factors and weights, rules, levels, market benchmarks, capability, validation, data and sources.</t>
        </is>
      </c>
    </row>
    <row r="3">
      <c r="A3" s="4" t="inlineStr">
        <is>
          <t>IRIS · Job Architecture &amp; Job Design · Final v1.12 · October 2026 · Internal — Confidential</t>
        </is>
      </c>
    </row>
    <row r="4" ht="15" customHeight="1"/>
    <row r="5" ht="20" customHeight="1">
      <c r="A5" s="6" t="inlineStr">
        <is>
          <t>0. How this workbook works — the 12-step model · Master M2 and where each step lives</t>
        </is>
      </c>
    </row>
    <row r="6" ht="15" customHeight="1">
      <c r="A6" s="12" t="inlineStr">
        <is>
          <t>Step</t>
        </is>
      </c>
      <c r="B6" s="12" t="inlineStr">
        <is>
          <t>What happens</t>
        </is>
      </c>
      <c r="C6" s="212" t="n"/>
      <c r="D6" s="212" t="n"/>
      <c r="E6" s="211" t="n"/>
      <c r="F6" s="12" t="inlineStr">
        <is>
          <t>Rules · Master</t>
        </is>
      </c>
      <c r="G6" s="212" t="n"/>
      <c r="H6" s="212" t="n"/>
      <c r="I6" s="211" t="n"/>
      <c r="J6" s="12" t="inlineStr">
        <is>
          <t>Where in this workbook</t>
        </is>
      </c>
      <c r="K6" s="212" t="n"/>
      <c r="L6" s="212" t="n"/>
      <c r="M6" s="212" t="n"/>
      <c r="N6" s="211" t="n"/>
    </row>
    <row r="7" ht="15" customHeight="1">
      <c r="A7" s="171" t="inlineStr">
        <is>
          <t>1</t>
        </is>
      </c>
      <c r="B7" s="16" t="inlineStr">
        <is>
          <t>Collect inputs</t>
        </is>
      </c>
      <c r="C7" s="212" t="n"/>
      <c r="D7" s="212" t="n"/>
      <c r="E7" s="211" t="n"/>
      <c r="F7" s="16" t="inlineStr">
        <is>
          <t>Data rules D1–D3</t>
        </is>
      </c>
      <c r="G7" s="212" t="n"/>
      <c r="H7" s="212" t="n"/>
      <c r="I7" s="211" t="n"/>
      <c r="J7" s="16" t="inlineStr">
        <is>
          <t>Sheet 3 · raw data; Sheet 2 · person</t>
        </is>
      </c>
      <c r="K7" s="212" t="n"/>
      <c r="L7" s="212" t="n"/>
      <c r="M7" s="212" t="n"/>
      <c r="N7" s="211" t="n"/>
    </row>
    <row r="8" ht="15" customHeight="1">
      <c r="A8" s="171" t="inlineStr">
        <is>
          <t>2</t>
        </is>
      </c>
      <c r="B8" s="16" t="inlineStr">
        <is>
          <t>Classify the work</t>
        </is>
      </c>
      <c r="C8" s="212" t="n"/>
      <c r="D8" s="212" t="n"/>
      <c r="E8" s="211" t="n"/>
      <c r="F8" s="16" t="inlineStr">
        <is>
          <t>Taxonomy rules T1–T4</t>
        </is>
      </c>
      <c r="G8" s="212" t="n"/>
      <c r="H8" s="212" t="n"/>
      <c r="I8" s="211" t="n"/>
      <c r="J8" s="16" t="inlineStr">
        <is>
          <t>Sheet 1 · changes; Sheet 2</t>
        </is>
      </c>
      <c r="K8" s="212" t="n"/>
      <c r="L8" s="212" t="n"/>
      <c r="M8" s="212" t="n"/>
      <c r="N8" s="211" t="n"/>
    </row>
    <row r="9" ht="15" customHeight="1">
      <c r="A9" s="171" t="inlineStr">
        <is>
          <t>3</t>
        </is>
      </c>
      <c r="B9" s="16" t="inlineStr">
        <is>
          <t>Set the track</t>
        </is>
      </c>
      <c r="C9" s="212" t="n"/>
      <c r="D9" s="212" t="n"/>
      <c r="E9" s="211" t="n"/>
      <c r="F9" s="16" t="inlineStr">
        <is>
          <t>Track rules K1–K6</t>
        </is>
      </c>
      <c r="G9" s="212" t="n"/>
      <c r="H9" s="212" t="n"/>
      <c r="I9" s="211" t="n"/>
      <c r="J9" s="16" t="inlineStr">
        <is>
          <t>Sheet 2 · track</t>
        </is>
      </c>
      <c r="K9" s="212" t="n"/>
      <c r="L9" s="212" t="n"/>
      <c r="M9" s="212" t="n"/>
      <c r="N9" s="211" t="n"/>
    </row>
    <row r="10" ht="15" customHeight="1">
      <c r="A10" s="171" t="inlineStr">
        <is>
          <t>4</t>
        </is>
      </c>
      <c r="B10" s="16" t="inlineStr">
        <is>
          <t>Rate the six factors</t>
        </is>
      </c>
      <c r="C10" s="212" t="n"/>
      <c r="D10" s="212" t="n"/>
      <c r="E10" s="211" t="n"/>
      <c r="F10" s="16" t="inlineStr">
        <is>
          <t>Factor scales F1–F5; evidence rules E1–E3</t>
        </is>
      </c>
      <c r="G10" s="212" t="n"/>
      <c r="H10" s="212" t="n"/>
      <c r="I10" s="211" t="n"/>
      <c r="J10" s="16" t="inlineStr">
        <is>
          <t>Sheet 2 · ratings + justification</t>
        </is>
      </c>
      <c r="K10" s="212" t="n"/>
      <c r="L10" s="212" t="n"/>
      <c r="M10" s="212" t="n"/>
      <c r="N10" s="211" t="n"/>
    </row>
    <row r="11" ht="15" customHeight="1">
      <c r="A11" s="171" t="inlineStr">
        <is>
          <t>5</t>
        </is>
      </c>
      <c r="B11" s="16" t="inlineStr">
        <is>
          <t>Pick the weights</t>
        </is>
      </c>
      <c r="C11" s="212" t="n"/>
      <c r="D11" s="212" t="n"/>
      <c r="E11" s="211" t="n"/>
      <c r="F11" s="16" t="inlineStr">
        <is>
          <t>Weight model W1–W4</t>
        </is>
      </c>
      <c r="G11" s="212" t="n"/>
      <c r="H11" s="212" t="n"/>
      <c r="I11" s="211" t="n"/>
      <c r="J11" s="16" t="inlineStr">
        <is>
          <t>Sheet 2 · weights</t>
        </is>
      </c>
      <c r="K11" s="212" t="n"/>
      <c r="L11" s="212" t="n"/>
      <c r="M11" s="212" t="n"/>
      <c r="N11" s="211" t="n"/>
    </row>
    <row r="12" ht="15" customHeight="1">
      <c r="A12" s="171" t="inlineStr">
        <is>
          <t>6</t>
        </is>
      </c>
      <c r="B12" s="16" t="inlineStr">
        <is>
          <t>Score</t>
        </is>
      </c>
      <c r="C12" s="212" t="n"/>
      <c r="D12" s="212" t="n"/>
      <c r="E12" s="211" t="n"/>
      <c r="F12" s="16" t="inlineStr">
        <is>
          <t>R3</t>
        </is>
      </c>
      <c r="G12" s="212" t="n"/>
      <c r="H12" s="212" t="n"/>
      <c r="I12" s="211" t="n"/>
      <c r="J12" s="16" t="inlineStr">
        <is>
          <t>Sheet 2 · score formula</t>
        </is>
      </c>
      <c r="K12" s="212" t="n"/>
      <c r="L12" s="212" t="n"/>
      <c r="M12" s="212" t="n"/>
      <c r="N12" s="211" t="n"/>
    </row>
    <row r="13" ht="28" customHeight="1">
      <c r="A13" s="171" t="inlineStr">
        <is>
          <t>7</t>
        </is>
      </c>
      <c r="B13" s="16" t="inlineStr">
        <is>
          <t>Apply limits, gates and Player-Coach transition steps</t>
        </is>
      </c>
      <c r="C13" s="212" t="n"/>
      <c r="D13" s="212" t="n"/>
      <c r="E13" s="211" t="n"/>
      <c r="F13" s="16" t="inlineStr">
        <is>
          <t>R1–R10 in order</t>
        </is>
      </c>
      <c r="G13" s="212" t="n"/>
      <c r="H13" s="212" t="n"/>
      <c r="I13" s="211" t="n"/>
      <c r="J13" s="16" t="inlineStr">
        <is>
          <t>Sheet 2 · gates &amp; limits; Sheet 9</t>
        </is>
      </c>
      <c r="K13" s="212" t="n"/>
      <c r="L13" s="212" t="n"/>
      <c r="M13" s="212" t="n"/>
      <c r="N13" s="211" t="n"/>
    </row>
    <row r="14" ht="15" customHeight="1">
      <c r="A14" s="171" t="inlineStr">
        <is>
          <t>8</t>
        </is>
      </c>
      <c r="B14" s="16" t="inlineStr">
        <is>
          <t>Place level and title</t>
        </is>
      </c>
      <c r="C14" s="212" t="n"/>
      <c r="D14" s="212" t="n"/>
      <c r="E14" s="211" t="n"/>
      <c r="F14" s="16" t="inlineStr">
        <is>
          <t>Title rules N1–N5</t>
        </is>
      </c>
      <c r="G14" s="212" t="n"/>
      <c r="H14" s="212" t="n"/>
      <c r="I14" s="211" t="n"/>
      <c r="J14" s="16" t="inlineStr">
        <is>
          <t>Sheet 2; Sheet 7</t>
        </is>
      </c>
      <c r="K14" s="212" t="n"/>
      <c r="L14" s="212" t="n"/>
      <c r="M14" s="212" t="n"/>
      <c r="N14" s="211" t="n"/>
    </row>
    <row r="15" ht="15" customHeight="1">
      <c r="A15" s="171" t="inlineStr">
        <is>
          <t>9</t>
        </is>
      </c>
      <c r="B15" s="16" t="inlineStr">
        <is>
          <t>Benchmark to market</t>
        </is>
      </c>
      <c r="C15" s="212" t="n"/>
      <c r="D15" s="212" t="n"/>
      <c r="E15" s="211" t="n"/>
      <c r="F15" s="16" t="inlineStr">
        <is>
          <t>Crosswalk</t>
        </is>
      </c>
      <c r="G15" s="212" t="n"/>
      <c r="H15" s="212" t="n"/>
      <c r="I15" s="211" t="n"/>
      <c r="J15" s="16" t="inlineStr">
        <is>
          <t>Sheet 3 · market standards; Sheet 7; Sheet 11</t>
        </is>
      </c>
      <c r="K15" s="212" t="n"/>
      <c r="L15" s="212" t="n"/>
      <c r="M15" s="212" t="n"/>
      <c r="N15" s="211" t="n"/>
    </row>
    <row r="16" ht="15" customHeight="1">
      <c r="A16" s="171" t="inlineStr">
        <is>
          <t>10</t>
        </is>
      </c>
      <c r="B16" s="16" t="inlineStr">
        <is>
          <t>Set the capability profile</t>
        </is>
      </c>
      <c r="C16" s="212" t="n"/>
      <c r="D16" s="212" t="n"/>
      <c r="E16" s="211" t="n"/>
      <c r="F16" s="16" t="inlineStr">
        <is>
          <t>Competency model C1–C5</t>
        </is>
      </c>
      <c r="G16" s="212" t="n"/>
      <c r="H16" s="212" t="n"/>
      <c r="I16" s="211" t="n"/>
      <c r="J16" s="16" t="inlineStr">
        <is>
          <t>Sheet 4 · role competencies; Sheet 5</t>
        </is>
      </c>
      <c r="K16" s="212" t="n"/>
      <c r="L16" s="212" t="n"/>
      <c r="M16" s="212" t="n"/>
      <c r="N16" s="211" t="n"/>
    </row>
    <row r="17" ht="15" customHeight="1">
      <c r="A17" s="171" t="inlineStr">
        <is>
          <t>11</t>
        </is>
      </c>
      <c r="B17" s="16" t="inlineStr">
        <is>
          <t>Develop, retain and move</t>
        </is>
      </c>
      <c r="C17" s="212" t="n"/>
      <c r="D17" s="212" t="n"/>
      <c r="E17" s="211" t="n"/>
      <c r="F17" s="16" t="inlineStr">
        <is>
          <t>Career rules G1–G6</t>
        </is>
      </c>
      <c r="G17" s="212" t="n"/>
      <c r="H17" s="212" t="n"/>
      <c r="I17" s="211" t="n"/>
      <c r="J17" s="16" t="inlineStr">
        <is>
          <t>Sheet 6 · role profiles; Sheet 8</t>
        </is>
      </c>
      <c r="K17" s="212" t="n"/>
      <c r="L17" s="212" t="n"/>
      <c r="M17" s="212" t="n"/>
      <c r="N17" s="211" t="n"/>
    </row>
    <row r="18" ht="15" customHeight="1">
      <c r="A18" s="171" t="inlineStr">
        <is>
          <t>12</t>
        </is>
      </c>
      <c r="B18" s="16" t="inlineStr">
        <is>
          <t>Validate and govern</t>
        </is>
      </c>
      <c r="C18" s="212" t="n"/>
      <c r="D18" s="212" t="n"/>
      <c r="E18" s="211" t="n"/>
      <c r="F18" s="16" t="inlineStr">
        <is>
          <t>Governance V1–V6</t>
        </is>
      </c>
      <c r="G18" s="212" t="n"/>
      <c r="H18" s="212" t="n"/>
      <c r="I18" s="211" t="n"/>
      <c r="J18" s="16" t="inlineStr">
        <is>
          <t>Sheet 2 · validation; Sheet 9</t>
        </is>
      </c>
      <c r="K18" s="212" t="n"/>
      <c r="L18" s="212" t="n"/>
      <c r="M18" s="212" t="n"/>
      <c r="N18" s="211" t="n"/>
    </row>
    <row r="19" ht="15" customHeight="1">
      <c r="A19" s="171" t="inlineStr">
        <is>
          <t>—</t>
        </is>
      </c>
      <c r="B19" s="16" t="inlineStr">
        <is>
          <t>Overview</t>
        </is>
      </c>
      <c r="C19" s="212" t="n"/>
      <c r="D19" s="212" t="n"/>
      <c r="E19" s="211" t="n"/>
      <c r="F19" s="16" t="inlineStr">
        <is>
          <t>Counts, changes, distribution</t>
        </is>
      </c>
      <c r="G19" s="212" t="n"/>
      <c r="H19" s="212" t="n"/>
      <c r="I19" s="211" t="n"/>
      <c r="J19" s="16" t="inlineStr">
        <is>
          <t>Sheet 1</t>
        </is>
      </c>
      <c r="K19" s="212" t="n"/>
      <c r="L19" s="212" t="n"/>
      <c r="M19" s="212" t="n"/>
      <c r="N19" s="211" t="n"/>
    </row>
    <row r="20" ht="15" customHeight="1">
      <c r="A20" s="171" t="inlineStr">
        <is>
          <t>—</t>
        </is>
      </c>
      <c r="B20" s="16" t="inlineStr">
        <is>
          <t>Role competencies</t>
        </is>
      </c>
      <c r="C20" s="212" t="n"/>
      <c r="D20" s="212" t="n"/>
      <c r="E20" s="211" t="n"/>
      <c r="F20" s="16" t="inlineStr">
        <is>
          <t>C1–C5 per band / role / sub-family</t>
        </is>
      </c>
      <c r="G20" s="212" t="n"/>
      <c r="H20" s="212" t="n"/>
      <c r="I20" s="211" t="n"/>
      <c r="J20" s="16" t="inlineStr">
        <is>
          <t>Sheet 4</t>
        </is>
      </c>
      <c r="K20" s="212" t="n"/>
      <c r="L20" s="212" t="n"/>
      <c r="M20" s="212" t="n"/>
      <c r="N20" s="211" t="n"/>
    </row>
    <row r="21" ht="15" customHeight="1">
      <c r="A21" s="171" t="inlineStr">
        <is>
          <t>—</t>
        </is>
      </c>
      <c r="B21" s="16" t="inlineStr">
        <is>
          <t>Role catalogue · job design</t>
        </is>
      </c>
      <c r="C21" s="212" t="n"/>
      <c r="D21" s="212" t="n"/>
      <c r="E21" s="211" t="n"/>
      <c r="F21" s="16" t="inlineStr">
        <is>
          <t>All steps combined per role, IRIS-wide</t>
        </is>
      </c>
      <c r="G21" s="212" t="n"/>
      <c r="H21" s="212" t="n"/>
      <c r="I21" s="211" t="n"/>
      <c r="J21" s="16" t="inlineStr">
        <is>
          <t>Sheet 6</t>
        </is>
      </c>
      <c r="K21" s="212" t="n"/>
      <c r="L21" s="212" t="n"/>
      <c r="M21" s="212" t="n"/>
      <c r="N21" s="211" t="n"/>
    </row>
    <row r="22" ht="15" customHeight="1">
      <c r="A22" s="171" t="inlineStr">
        <is>
          <t>—</t>
        </is>
      </c>
      <c r="B22" s="16" t="inlineStr">
        <is>
          <t>Raw data &amp; market standards</t>
        </is>
      </c>
      <c r="C22" s="212" t="n"/>
      <c r="D22" s="212" t="n"/>
      <c r="E22" s="211" t="n"/>
      <c r="F22" s="16" t="inlineStr">
        <is>
          <t>D1–D3; M13</t>
        </is>
      </c>
      <c r="G22" s="212" t="n"/>
      <c r="H22" s="212" t="n"/>
      <c r="I22" s="211" t="n"/>
      <c r="J22" s="16" t="inlineStr">
        <is>
          <t>Sheet 3</t>
        </is>
      </c>
      <c r="K22" s="212" t="n"/>
      <c r="L22" s="212" t="n"/>
      <c r="M22" s="212" t="n"/>
      <c r="N22" s="211" t="n"/>
    </row>
    <row r="23" ht="28" customHeight="1">
      <c r="A23" s="171" t="inlineStr">
        <is>
          <t>—</t>
        </is>
      </c>
      <c r="B23" s="16" t="inlineStr">
        <is>
          <t>References &amp; benchmarks</t>
        </is>
      </c>
      <c r="C23" s="212" t="n"/>
      <c r="D23" s="212" t="n"/>
      <c r="E23" s="211" t="n"/>
      <c r="F23" s="16" t="inlineStr">
        <is>
          <t>Competitors, regtech / SaaS leaders, standards, databases, sites</t>
        </is>
      </c>
      <c r="G23" s="212" t="n"/>
      <c r="H23" s="212" t="n"/>
      <c r="I23" s="211" t="n"/>
      <c r="J23" s="16" t="inlineStr">
        <is>
          <t>Sheet 11</t>
        </is>
      </c>
      <c r="K23" s="212" t="n"/>
      <c r="L23" s="212" t="n"/>
      <c r="M23" s="212" t="n"/>
      <c r="N23" s="211" t="n"/>
    </row>
    <row r="24" ht="15" customHeight="1"/>
    <row r="25" ht="20" customHeight="1">
      <c r="A25" s="6" t="inlineStr">
        <is>
          <t>1. At a glance</t>
        </is>
      </c>
    </row>
    <row r="26" ht="15" customHeight="1">
      <c r="A26" s="12" t="inlineStr">
        <is>
          <t>Measure</t>
        </is>
      </c>
      <c r="B26" s="212" t="n"/>
      <c r="C26" s="212" t="n"/>
      <c r="D26" s="212" t="n"/>
      <c r="E26" s="211" t="n"/>
      <c r="F26" s="12" t="inlineStr">
        <is>
          <t>Value</t>
        </is>
      </c>
      <c r="G26" s="212" t="n"/>
      <c r="H26" s="211" t="n"/>
      <c r="I26" s="12" t="inlineStr">
        <is>
          <t>Note</t>
        </is>
      </c>
      <c r="J26" s="212" t="n"/>
      <c r="K26" s="212" t="n"/>
      <c r="L26" s="212" t="n"/>
      <c r="M26" s="212" t="n"/>
      <c r="N26" s="211" t="n"/>
    </row>
    <row r="27" ht="15" customHeight="1">
      <c r="A27" s="13" t="inlineStr">
        <is>
          <t>People in scope</t>
        </is>
      </c>
      <c r="B27" s="212" t="n"/>
      <c r="C27" s="212" t="n"/>
      <c r="D27" s="212" t="n"/>
      <c r="E27" s="211" t="n"/>
      <c r="F27" s="15" t="n">
        <v>49</v>
      </c>
      <c r="G27" s="212" t="n"/>
      <c r="H27" s="211" t="n"/>
      <c r="I27" s="16" t="inlineStr">
        <is>
          <t>All records, including consultants and interns</t>
        </is>
      </c>
      <c r="J27" s="212" t="n"/>
      <c r="K27" s="212" t="n"/>
      <c r="L27" s="212" t="n"/>
      <c r="M27" s="212" t="n"/>
      <c r="N27" s="211" t="n"/>
    </row>
    <row r="28" ht="15" customHeight="1">
      <c r="A28" s="13" t="inlineStr">
        <is>
          <t>On the employee ladder / consultants</t>
        </is>
      </c>
      <c r="B28" s="212" t="n"/>
      <c r="C28" s="212" t="n"/>
      <c r="D28" s="212" t="n"/>
      <c r="E28" s="211" t="n"/>
      <c r="F28" s="15" t="inlineStr">
        <is>
          <t>48 / 1</t>
        </is>
      </c>
      <c r="G28" s="212" t="n"/>
      <c r="H28" s="211" t="n"/>
      <c r="I28" s="16" t="inlineStr">
        <is>
          <t>Consultants sit outside the ladder</t>
        </is>
      </c>
      <c r="J28" s="212" t="n"/>
      <c r="K28" s="212" t="n"/>
      <c r="L28" s="212" t="n"/>
      <c r="M28" s="212" t="n"/>
      <c r="N28" s="211" t="n"/>
    </row>
    <row r="29" ht="41" customHeight="1">
      <c r="A29" s="13" t="inlineStr">
        <is>
          <t>Departments · job families · sub-families · roles</t>
        </is>
      </c>
      <c r="B29" s="212" t="n"/>
      <c r="C29" s="212" t="n"/>
      <c r="D29" s="212" t="n"/>
      <c r="E29" s="211" t="n"/>
      <c r="F29" s="15" t="inlineStr">
        <is>
          <t>8 · 9 · 18 · 36</t>
        </is>
      </c>
      <c r="G29" s="212" t="n"/>
      <c r="H29" s="211" t="n"/>
      <c r="I29" s="16" t="inlineStr">
        <is>
          <t>Role = the same designation at the same level, within a department, job family and track. Families exclude 'Unassigned' · consultants with no role on record</t>
        </is>
      </c>
      <c r="J29" s="212" t="n"/>
      <c r="K29" s="212" t="n"/>
      <c r="L29" s="212" t="n"/>
      <c r="M29" s="212" t="n"/>
      <c r="N29" s="211" t="n"/>
    </row>
    <row r="30" ht="15" customHeight="1">
      <c r="A30" s="13" t="inlineStr">
        <is>
          <t>IC / POD Lead / Player-Coach / People Manager</t>
        </is>
      </c>
      <c r="B30" s="212" t="n"/>
      <c r="C30" s="212" t="n"/>
      <c r="D30" s="212" t="n"/>
      <c r="E30" s="211" t="n"/>
      <c r="F30" s="15" t="inlineStr">
        <is>
          <t>31 / 7 / 0 / 10</t>
        </is>
      </c>
      <c r="G30" s="212" t="n"/>
      <c r="H30" s="211" t="n"/>
      <c r="I30" s="16" t="inlineStr">
        <is>
          <t>Track rules K1–K6</t>
        </is>
      </c>
      <c r="J30" s="212" t="n"/>
      <c r="K30" s="212" t="n"/>
      <c r="L30" s="212" t="n"/>
      <c r="M30" s="212" t="n"/>
      <c r="N30" s="211" t="n"/>
    </row>
    <row r="31" ht="15" customHeight="1">
      <c r="A31" s="13" t="inlineStr">
        <is>
          <t>Final level vs current: up / down / same / newly mapped</t>
        </is>
      </c>
      <c r="B31" s="212" t="n"/>
      <c r="C31" s="212" t="n"/>
      <c r="D31" s="212" t="n"/>
      <c r="E31" s="211" t="n"/>
      <c r="F31" s="15" t="inlineStr">
        <is>
          <t>0 / 1 / 3 / 45</t>
        </is>
      </c>
      <c r="G31" s="212" t="n"/>
      <c r="H31" s="211" t="n"/>
      <c r="I31" s="16" t="inlineStr">
        <is>
          <t>Moves down are pay- and title-protected</t>
        </is>
      </c>
      <c r="J31" s="212" t="n"/>
      <c r="K31" s="212" t="n"/>
      <c r="L31" s="212" t="n"/>
      <c r="M31" s="212" t="n"/>
      <c r="N31" s="211" t="n"/>
    </row>
    <row r="32" ht="15" customHeight="1">
      <c r="A32" s="13" t="inlineStr">
        <is>
          <t>Final level vs the earlier proposal</t>
        </is>
      </c>
      <c r="B32" s="212" t="n"/>
      <c r="C32" s="212" t="n"/>
      <c r="D32" s="212" t="n"/>
      <c r="E32" s="211" t="n"/>
      <c r="F32" s="15" t="inlineStr">
        <is>
          <t>4 changed</t>
        </is>
      </c>
      <c r="G32" s="212" t="n"/>
      <c r="H32" s="211" t="n"/>
      <c r="I32" s="16" t="inlineStr">
        <is>
          <t>Only from the derived weight model · Master M7</t>
        </is>
      </c>
      <c r="J32" s="212" t="n"/>
      <c r="K32" s="212" t="n"/>
      <c r="L32" s="212" t="n"/>
      <c r="M32" s="212" t="n"/>
      <c r="N32" s="211" t="n"/>
    </row>
    <row r="33" ht="28" customHeight="1">
      <c r="A33" s="13" t="inlineStr">
        <is>
          <t>Close calls for calibration · ±0.05 of a rounding point; the score decided the level</t>
        </is>
      </c>
      <c r="B33" s="212" t="n"/>
      <c r="C33" s="212" t="n"/>
      <c r="D33" s="212" t="n"/>
      <c r="E33" s="211" t="n"/>
      <c r="F33" s="15" t="n">
        <v>2</v>
      </c>
      <c r="G33" s="212" t="n"/>
      <c r="H33" s="211" t="n"/>
      <c r="I33" s="16" t="inlineStr">
        <is>
          <t>Governance V3</t>
        </is>
      </c>
      <c r="J33" s="212" t="n"/>
      <c r="K33" s="212" t="n"/>
      <c r="L33" s="212" t="n"/>
      <c r="M33" s="212" t="n"/>
      <c r="N33" s="211" t="n"/>
    </row>
    <row r="34" ht="28" customHeight="1">
      <c r="A34" s="13" t="inlineStr">
        <is>
          <t>Near a gate · a rule set the level; within a quarter-point of its threshold</t>
        </is>
      </c>
      <c r="B34" s="212" t="n"/>
      <c r="C34" s="212" t="n"/>
      <c r="D34" s="212" t="n"/>
      <c r="E34" s="211" t="n"/>
      <c r="F34" s="15" t="n">
        <v>1</v>
      </c>
      <c r="G34" s="212" t="n"/>
      <c r="H34" s="211" t="n"/>
      <c r="I34" s="16" t="inlineStr">
        <is>
          <t>Governance V3</t>
        </is>
      </c>
      <c r="J34" s="212" t="n"/>
      <c r="K34" s="212" t="n"/>
      <c r="L34" s="212" t="n"/>
      <c r="M34" s="212" t="n"/>
      <c r="N34" s="211" t="n"/>
    </row>
    <row r="35" ht="15" customHeight="1">
      <c r="A35" s="13" t="inlineStr">
        <is>
          <t>Titles needing a check</t>
        </is>
      </c>
      <c r="B35" s="212" t="n"/>
      <c r="C35" s="212" t="n"/>
      <c r="D35" s="212" t="n"/>
      <c r="E35" s="211" t="n"/>
      <c r="F35" s="15" t="n">
        <v>2</v>
      </c>
      <c r="G35" s="212" t="n"/>
      <c r="H35" s="211" t="n"/>
      <c r="I35" s="16" t="inlineStr">
        <is>
          <t>Title rules N1–N5</t>
        </is>
      </c>
      <c r="J35" s="212" t="n"/>
      <c r="K35" s="212" t="n"/>
      <c r="L35" s="212" t="n"/>
      <c r="M35" s="212" t="n"/>
      <c r="N35" s="211" t="n"/>
    </row>
    <row r="36" ht="15" customHeight="1"/>
    <row r="37" ht="20" customHeight="1">
      <c r="A37" s="6" t="inlineStr">
        <is>
          <t>2. STEP 2 · Classification — department → job family → sub-family</t>
        </is>
      </c>
    </row>
    <row r="38" ht="15" customHeight="1">
      <c r="A38" s="11" t="inlineStr">
        <is>
          <t>Families are disciplines anchored to ISCO-08 / NCO-2015; sub-families name the actual work; the department's type of work selects the weight tilt.</t>
        </is>
      </c>
    </row>
    <row r="39" ht="28" customHeight="1">
      <c r="A39" s="12" t="inlineStr">
        <is>
          <t>Department</t>
        </is>
      </c>
      <c r="B39" s="12" t="inlineStr">
        <is>
          <t>Type of work</t>
        </is>
      </c>
      <c r="C39" s="12" t="inlineStr">
        <is>
          <t>Job family</t>
        </is>
      </c>
      <c r="D39" s="211" t="n"/>
      <c r="E39" s="12" t="inlineStr">
        <is>
          <t>Sub-family</t>
        </is>
      </c>
      <c r="F39" s="211" t="n"/>
      <c r="G39" s="12" t="inlineStr">
        <is>
          <t>What they do</t>
        </is>
      </c>
      <c r="H39" s="212" t="n"/>
      <c r="I39" s="211" t="n"/>
      <c r="J39" s="12" t="inlineStr">
        <is>
          <t>ISCO-08 anchor</t>
        </is>
      </c>
      <c r="K39" s="211" t="n"/>
      <c r="L39" s="12" t="inlineStr">
        <is>
          <t>People</t>
        </is>
      </c>
      <c r="M39" s="12" t="inlineStr">
        <is>
          <t>Levels</t>
        </is>
      </c>
      <c r="N39" s="12" t="inlineStr">
        <is>
          <t>Tracks</t>
        </is>
      </c>
    </row>
    <row r="40" ht="67" customHeight="1">
      <c r="A40" s="16" t="inlineStr">
        <is>
          <t>Administration</t>
        </is>
      </c>
      <c r="B40" s="16" t="inlineStr">
        <is>
          <t>Corporate functions</t>
        </is>
      </c>
      <c r="C40" s="16" t="inlineStr">
        <is>
          <t>Administration, Legal &amp; Secretarial</t>
        </is>
      </c>
      <c r="D40" s="211" t="n"/>
      <c r="E40" s="16" t="inlineStr">
        <is>
          <t>Administration &amp; Facilities</t>
        </is>
      </c>
      <c r="F40" s="211" t="n"/>
      <c r="G40" s="16" t="inlineStr">
        <is>
          <t>Manages travel, facilities, office administration and vendors.</t>
        </is>
      </c>
      <c r="H40" s="212" t="n"/>
      <c r="I40" s="211" t="n"/>
      <c r="J40" s="16" t="inlineStr">
        <is>
          <t>26 · 2611 Lawyers / 2619 Legal professionals n.e.c.; 33 · 3343 Administrative secretaries; 12 · 1219</t>
        </is>
      </c>
      <c r="K40" s="211" t="n"/>
      <c r="L40" s="15" t="n">
        <v>6</v>
      </c>
      <c r="M40" s="15" t="inlineStr">
        <is>
          <t>A3–B2 + X1</t>
        </is>
      </c>
      <c r="N40" s="16" t="inlineStr">
        <is>
          <t>Consultant 1 · People Manager 1 · IC 4</t>
        </is>
      </c>
    </row>
    <row r="41" ht="67" customHeight="1">
      <c r="A41" s="16" t="inlineStr">
        <is>
          <t>Finance</t>
        </is>
      </c>
      <c r="B41" s="16" t="inlineStr">
        <is>
          <t>Corporate functions</t>
        </is>
      </c>
      <c r="C41" s="16" t="inlineStr">
        <is>
          <t>Finance &amp; Accounts</t>
        </is>
      </c>
      <c r="D41" s="211" t="n"/>
      <c r="E41" s="16" t="inlineStr">
        <is>
          <t>Financial Reporting, Compliance &amp; Audit</t>
        </is>
      </c>
      <c r="F41" s="211" t="n"/>
      <c r="G41" s="16" t="inlineStr">
        <is>
          <t>Prepares financial statements, subsidiary closings, statutory compliance, budgets and audits.</t>
        </is>
      </c>
      <c r="H41" s="212" t="n"/>
      <c r="I41" s="211" t="n"/>
      <c r="J41" s="16" t="inlineStr">
        <is>
          <t>24 · 2411 Accountants; 33 · 3313 Accounting associate professionals; 12 · 1211 Finance managers</t>
        </is>
      </c>
      <c r="K41" s="211" t="n"/>
      <c r="L41" s="15" t="n">
        <v>4</v>
      </c>
      <c r="M41" s="15" t="inlineStr">
        <is>
          <t>B1–B2</t>
        </is>
      </c>
      <c r="N41" s="16" t="inlineStr">
        <is>
          <t>POD Lead 2 · IC 2</t>
        </is>
      </c>
    </row>
    <row r="42" ht="67" customHeight="1">
      <c r="A42" s="16" t="inlineStr"/>
      <c r="B42" s="16" t="inlineStr"/>
      <c r="C42" s="16" t="inlineStr">
        <is>
          <t>Finance &amp; Accounts</t>
        </is>
      </c>
      <c r="D42" s="211" t="n"/>
      <c r="E42" s="16" t="inlineStr">
        <is>
          <t>Accounting &amp; Transaction Processing</t>
        </is>
      </c>
      <c r="F42" s="211" t="n"/>
      <c r="G42" s="16" t="inlineStr">
        <is>
          <t>Processes payments, entries and reconciliations.</t>
        </is>
      </c>
      <c r="H42" s="212" t="n"/>
      <c r="I42" s="211" t="n"/>
      <c r="J42" s="16" t="inlineStr">
        <is>
          <t>24 · 2411 Accountants; 33 · 3313 Accounting associate professionals; 12 · 1211 Finance managers</t>
        </is>
      </c>
      <c r="K42" s="211" t="n"/>
      <c r="L42" s="15" t="n">
        <v>4</v>
      </c>
      <c r="M42" s="15" t="inlineStr">
        <is>
          <t>A3–B1</t>
        </is>
      </c>
      <c r="N42" s="16" t="inlineStr">
        <is>
          <t>POD Lead 2 · IC 2</t>
        </is>
      </c>
    </row>
    <row r="43" ht="67" customHeight="1">
      <c r="A43" s="16" t="inlineStr"/>
      <c r="B43" s="16" t="inlineStr"/>
      <c r="C43" s="16" t="inlineStr">
        <is>
          <t>Finance &amp; Accounts</t>
        </is>
      </c>
      <c r="D43" s="211" t="n"/>
      <c r="E43" s="16" t="inlineStr">
        <is>
          <t>Finance Leadership</t>
        </is>
      </c>
      <c r="F43" s="211" t="n"/>
      <c r="G43" s="16" t="inlineStr">
        <is>
          <t>Leads the finance &amp; accounts function.</t>
        </is>
      </c>
      <c r="H43" s="212" t="n"/>
      <c r="I43" s="211" t="n"/>
      <c r="J43" s="16" t="inlineStr">
        <is>
          <t>24 · 2411 Accountants; 33 · 3313 Accounting associate professionals; 12 · 1211 Finance managers</t>
        </is>
      </c>
      <c r="K43" s="211" t="n"/>
      <c r="L43" s="15" t="n">
        <v>2</v>
      </c>
      <c r="M43" s="15" t="inlineStr">
        <is>
          <t>C1</t>
        </is>
      </c>
      <c r="N43" s="16" t="inlineStr">
        <is>
          <t>People Manager 2</t>
        </is>
      </c>
    </row>
    <row r="44" ht="54" customHeight="1">
      <c r="A44" s="16" t="inlineStr"/>
      <c r="B44" s="16" t="inlineStr"/>
      <c r="C44" s="16" t="inlineStr">
        <is>
          <t>Executive Leadership</t>
        </is>
      </c>
      <c r="D44" s="211" t="n"/>
      <c r="E44" s="16" t="inlineStr">
        <is>
          <t>Enterprise Leadership</t>
        </is>
      </c>
      <c r="F44" s="211" t="n"/>
      <c r="G44" s="16" t="inlineStr">
        <is>
          <t>Sets enterprise strategy; leads the executive team.</t>
        </is>
      </c>
      <c r="H44" s="212" t="n"/>
      <c r="I44" s="211" t="n"/>
      <c r="J44" s="16" t="inlineStr">
        <is>
          <t>11 · 1120 Managing directors &amp; chief executives; 12 Administrative &amp; commercial managers</t>
        </is>
      </c>
      <c r="K44" s="211" t="n"/>
      <c r="L44" s="15" t="n">
        <v>1</v>
      </c>
      <c r="M44" s="15" t="inlineStr">
        <is>
          <t>E1</t>
        </is>
      </c>
      <c r="N44" s="16" t="inlineStr">
        <is>
          <t>People Manager 1</t>
        </is>
      </c>
    </row>
    <row r="45" ht="54" customHeight="1">
      <c r="A45" s="16" t="inlineStr">
        <is>
          <t>HR</t>
        </is>
      </c>
      <c r="B45" s="16" t="inlineStr">
        <is>
          <t>Corporate functions</t>
        </is>
      </c>
      <c r="C45" s="16" t="inlineStr">
        <is>
          <t>Human Resources</t>
        </is>
      </c>
      <c r="D45" s="211" t="n"/>
      <c r="E45" s="16" t="inlineStr">
        <is>
          <t>HR Operations &amp; Payroll</t>
        </is>
      </c>
      <c r="F45" s="211" t="n"/>
      <c r="G45" s="16" t="inlineStr">
        <is>
          <t>Runs payroll, HRIS, onboarding, engagement and exits.</t>
        </is>
      </c>
      <c r="H45" s="212" t="n"/>
      <c r="I45" s="211" t="n"/>
      <c r="J45" s="16" t="inlineStr">
        <is>
          <t>24 · 2423 Personnel &amp; careers professionals; 12 · 1212 Human resource managers</t>
        </is>
      </c>
      <c r="K45" s="211" t="n"/>
      <c r="L45" s="15" t="n">
        <v>3</v>
      </c>
      <c r="M45" s="15" t="inlineStr">
        <is>
          <t>A2–B1</t>
        </is>
      </c>
      <c r="N45" s="16" t="inlineStr">
        <is>
          <t>IC 2 · POD Lead 1</t>
        </is>
      </c>
    </row>
    <row r="46" ht="54" customHeight="1">
      <c r="A46" s="16" t="inlineStr"/>
      <c r="B46" s="16" t="inlineStr"/>
      <c r="C46" s="16" t="inlineStr">
        <is>
          <t>Human Resources</t>
        </is>
      </c>
      <c r="D46" s="211" t="n"/>
      <c r="E46" s="16" t="inlineStr">
        <is>
          <t>Talent Acquisition</t>
        </is>
      </c>
      <c r="F46" s="211" t="n"/>
      <c r="G46" s="16" t="inlineStr">
        <is>
          <t>Sources, screens and hires talent.</t>
        </is>
      </c>
      <c r="H46" s="212" t="n"/>
      <c r="I46" s="211" t="n"/>
      <c r="J46" s="16" t="inlineStr">
        <is>
          <t>24 · 2423 Personnel &amp; careers professionals; 12 · 1212 Human resource managers</t>
        </is>
      </c>
      <c r="K46" s="211" t="n"/>
      <c r="L46" s="15" t="n">
        <v>3</v>
      </c>
      <c r="M46" s="15" t="inlineStr">
        <is>
          <t>A3–B2</t>
        </is>
      </c>
      <c r="N46" s="16" t="inlineStr">
        <is>
          <t>IC 3</t>
        </is>
      </c>
    </row>
    <row r="47" ht="54" customHeight="1">
      <c r="A47" s="16" t="inlineStr"/>
      <c r="B47" s="16" t="inlineStr"/>
      <c r="C47" s="16" t="inlineStr">
        <is>
          <t>Human Resources</t>
        </is>
      </c>
      <c r="D47" s="211" t="n"/>
      <c r="E47" s="16" t="inlineStr">
        <is>
          <t>HR Leadership</t>
        </is>
      </c>
      <c r="F47" s="211" t="n"/>
      <c r="G47" s="16" t="inlineStr">
        <is>
          <t>Leads the human resources function.</t>
        </is>
      </c>
      <c r="H47" s="212" t="n"/>
      <c r="I47" s="211" t="n"/>
      <c r="J47" s="16" t="inlineStr">
        <is>
          <t>24 · 2423 Personnel &amp; careers professionals; 12 · 1212 Human resource managers</t>
        </is>
      </c>
      <c r="K47" s="211" t="n"/>
      <c r="L47" s="15" t="n">
        <v>1</v>
      </c>
      <c r="M47" s="15" t="inlineStr">
        <is>
          <t>D2</t>
        </is>
      </c>
      <c r="N47" s="16" t="inlineStr">
        <is>
          <t>People Manager 1</t>
        </is>
      </c>
    </row>
    <row r="48" ht="54" customHeight="1">
      <c r="A48" s="16" t="inlineStr"/>
      <c r="B48" s="16" t="inlineStr"/>
      <c r="C48" s="16" t="inlineStr">
        <is>
          <t>Human Resources</t>
        </is>
      </c>
      <c r="D48" s="211" t="n"/>
      <c r="E48" s="16" t="inlineStr">
        <is>
          <t>HR Transformation &amp; OD</t>
        </is>
      </c>
      <c r="F48" s="211" t="n"/>
      <c r="G48" s="16" t="inlineStr">
        <is>
          <t>Designs HR transformation, capability and OD programmes.</t>
        </is>
      </c>
      <c r="H48" s="212" t="n"/>
      <c r="I48" s="211" t="n"/>
      <c r="J48" s="16" t="inlineStr">
        <is>
          <t>24 · 2423 Personnel &amp; careers professionals; 12 · 1212 Human resource managers</t>
        </is>
      </c>
      <c r="K48" s="211" t="n"/>
      <c r="L48" s="15" t="n">
        <v>1</v>
      </c>
      <c r="M48" s="15" t="inlineStr">
        <is>
          <t>B3</t>
        </is>
      </c>
      <c r="N48" s="16" t="inlineStr">
        <is>
          <t>IC 1</t>
        </is>
      </c>
    </row>
    <row r="49" ht="54" customHeight="1">
      <c r="A49" s="16" t="inlineStr">
        <is>
          <t>IT &amp; Infrastructure</t>
        </is>
      </c>
      <c r="B49" s="16" t="inlineStr">
        <is>
          <t>Technology &amp; engineering</t>
        </is>
      </c>
      <c r="C49" s="16" t="inlineStr">
        <is>
          <t>IT &amp; Infrastructure</t>
        </is>
      </c>
      <c r="D49" s="211" t="n"/>
      <c r="E49" s="16" t="inlineStr">
        <is>
          <t>Infrastructure &amp; Cloud Operations</t>
        </is>
      </c>
      <c r="F49" s="211" t="n"/>
      <c r="G49" s="16" t="inlineStr">
        <is>
          <t>Runs servers, AD/DNS, network, cloud, hosting, backup and DR.</t>
        </is>
      </c>
      <c r="H49" s="212" t="n"/>
      <c r="I49" s="211" t="n"/>
      <c r="J49" s="16" t="inlineStr">
        <is>
          <t>25 · 2522 Systems administrators / 2523 Network professionals; 35 · 3512 ICT user support</t>
        </is>
      </c>
      <c r="K49" s="211" t="n"/>
      <c r="L49" s="15" t="n">
        <v>11</v>
      </c>
      <c r="M49" s="15" t="inlineStr">
        <is>
          <t>A3–B1</t>
        </is>
      </c>
      <c r="N49" s="16" t="inlineStr">
        <is>
          <t>People Manager 1 · IC 9 · POD Lead 1</t>
        </is>
      </c>
    </row>
    <row r="50" ht="54" customHeight="1">
      <c r="A50" s="16" t="inlineStr"/>
      <c r="B50" s="16" t="inlineStr"/>
      <c r="C50" s="16" t="inlineStr">
        <is>
          <t>IT &amp; Infrastructure</t>
        </is>
      </c>
      <c r="D50" s="211" t="n"/>
      <c r="E50" s="16" t="inlineStr">
        <is>
          <t>IT Infrastructure Leadership</t>
        </is>
      </c>
      <c r="F50" s="211" t="n"/>
      <c r="G50" s="16" t="inlineStr">
        <is>
          <t>Leads infrastructure operations, ISO governance and IT vendors.</t>
        </is>
      </c>
      <c r="H50" s="212" t="n"/>
      <c r="I50" s="211" t="n"/>
      <c r="J50" s="16" t="inlineStr">
        <is>
          <t>25 · 2522 Systems administrators / 2523 Network professionals; 35 · 3512 ICT user support</t>
        </is>
      </c>
      <c r="K50" s="211" t="n"/>
      <c r="L50" s="15" t="n">
        <v>1</v>
      </c>
      <c r="M50" s="15" t="inlineStr">
        <is>
          <t>B2</t>
        </is>
      </c>
      <c r="N50" s="16" t="inlineStr">
        <is>
          <t>People Manager 1</t>
        </is>
      </c>
    </row>
    <row r="51" ht="54" customHeight="1">
      <c r="A51" s="16" t="inlineStr"/>
      <c r="B51" s="16" t="inlineStr"/>
      <c r="C51" s="16" t="inlineStr">
        <is>
          <t>Engineering &amp; Development</t>
        </is>
      </c>
      <c r="D51" s="211" t="n"/>
      <c r="E51" s="16" t="inlineStr">
        <is>
          <t>DevOps &amp; Release Engineering</t>
        </is>
      </c>
      <c r="F51" s="211" t="n"/>
      <c r="G51" s="16" t="inlineStr">
        <is>
          <t>Builds and runs CI/CD pipelines, environments, deployments and release automation.</t>
        </is>
      </c>
      <c r="H51" s="212" t="n"/>
      <c r="I51" s="211" t="n"/>
      <c r="J51" s="16" t="inlineStr">
        <is>
          <t>25 ICT professionals · 2512 Software developers / 2514 Applications programmers</t>
        </is>
      </c>
      <c r="K51" s="211" t="n"/>
      <c r="L51" s="15" t="n">
        <v>1</v>
      </c>
      <c r="M51" s="15" t="inlineStr">
        <is>
          <t>A3</t>
        </is>
      </c>
      <c r="N51" s="16" t="inlineStr">
        <is>
          <t>IC 1</t>
        </is>
      </c>
    </row>
    <row r="52" ht="54" customHeight="1">
      <c r="A52" s="16" t="inlineStr"/>
      <c r="B52" s="16" t="inlineStr"/>
      <c r="C52" s="16" t="inlineStr">
        <is>
          <t>IT &amp; Infrastructure</t>
        </is>
      </c>
      <c r="D52" s="211" t="n"/>
      <c r="E52" s="16" t="inlineStr">
        <is>
          <t>End-User Support</t>
        </is>
      </c>
      <c r="F52" s="211" t="n"/>
      <c r="G52" s="16" t="inlineStr"/>
      <c r="H52" s="212" t="n"/>
      <c r="I52" s="211" t="n"/>
      <c r="J52" s="16" t="inlineStr">
        <is>
          <t>25 · 2522 Systems administrators / 2523 Network professionals; 35 · 3512 ICT user support</t>
        </is>
      </c>
      <c r="K52" s="211" t="n"/>
      <c r="L52" s="15" t="n">
        <v>1</v>
      </c>
      <c r="M52" s="15" t="inlineStr">
        <is>
          <t>A3</t>
        </is>
      </c>
      <c r="N52" s="16" t="inlineStr">
        <is>
          <t>IC 1</t>
        </is>
      </c>
    </row>
    <row r="53" ht="54" customHeight="1">
      <c r="A53" s="16" t="inlineStr">
        <is>
          <t>Management</t>
        </is>
      </c>
      <c r="B53" s="16" t="inlineStr">
        <is>
          <t>General management</t>
        </is>
      </c>
      <c r="C53" s="16" t="inlineStr">
        <is>
          <t>Executive Leadership</t>
        </is>
      </c>
      <c r="D53" s="211" t="n"/>
      <c r="E53" s="16" t="inlineStr">
        <is>
          <t>Enterprise Leadership</t>
        </is>
      </c>
      <c r="F53" s="211" t="n"/>
      <c r="G53" s="16" t="inlineStr">
        <is>
          <t>Sets enterprise strategy; leads the executive team.</t>
        </is>
      </c>
      <c r="H53" s="212" t="n"/>
      <c r="I53" s="211" t="n"/>
      <c r="J53" s="16" t="inlineStr">
        <is>
          <t>11 · 1120 Managing directors &amp; chief executives; 12 Administrative &amp; commercial managers</t>
        </is>
      </c>
      <c r="K53" s="211" t="n"/>
      <c r="L53" s="15" t="n">
        <v>2</v>
      </c>
      <c r="M53" s="15" t="inlineStr">
        <is>
          <t>E1–E2</t>
        </is>
      </c>
      <c r="N53" s="16" t="inlineStr">
        <is>
          <t>People Manager 2</t>
        </is>
      </c>
    </row>
    <row r="54" ht="54" customHeight="1">
      <c r="A54" s="16" t="inlineStr">
        <is>
          <t>Marketing</t>
        </is>
      </c>
      <c r="B54" s="16" t="inlineStr">
        <is>
          <t>Sales &amp; marketing</t>
        </is>
      </c>
      <c r="C54" s="16" t="inlineStr">
        <is>
          <t>Marketing &amp; Communications</t>
        </is>
      </c>
      <c r="D54" s="211" t="n"/>
      <c r="E54" s="16" t="inlineStr">
        <is>
          <t>Content Marketing</t>
        </is>
      </c>
      <c r="F54" s="211" t="n"/>
      <c r="G54" s="16" t="inlineStr">
        <is>
          <t>Writes blogs, web copy, collateral and social content.</t>
        </is>
      </c>
      <c r="H54" s="212" t="n"/>
      <c r="I54" s="211" t="n"/>
      <c r="J54" s="16" t="inlineStr">
        <is>
          <t>24 · 2431 Advertising &amp; marketing professionals; 2432 Public relations professionals</t>
        </is>
      </c>
      <c r="K54" s="211" t="n"/>
      <c r="L54" s="15" t="n">
        <v>1</v>
      </c>
      <c r="M54" s="15" t="inlineStr">
        <is>
          <t>B2</t>
        </is>
      </c>
      <c r="N54" s="16" t="inlineStr">
        <is>
          <t>IC 1</t>
        </is>
      </c>
    </row>
    <row r="55" ht="54" customHeight="1">
      <c r="A55" s="16" t="inlineStr"/>
      <c r="B55" s="16" t="inlineStr"/>
      <c r="C55" s="16" t="inlineStr">
        <is>
          <t>Design &amp; Creative</t>
        </is>
      </c>
      <c r="D55" s="211" t="n"/>
      <c r="E55" s="16" t="inlineStr">
        <is>
          <t>Brand, Graphic &amp; Video Design</t>
        </is>
      </c>
      <c r="F55" s="211" t="n"/>
      <c r="G55" s="16" t="inlineStr">
        <is>
          <t>Creates brand assets, creatives, decks, motion graphics and video.</t>
        </is>
      </c>
      <c r="H55" s="212" t="n"/>
      <c r="I55" s="211" t="n"/>
      <c r="J55" s="16" t="inlineStr">
        <is>
          <t>21 Science &amp; engineering professionals · 2166 Graphic &amp; multimedia designers</t>
        </is>
      </c>
      <c r="K55" s="211" t="n"/>
      <c r="L55" s="15" t="n">
        <v>1</v>
      </c>
      <c r="M55" s="15" t="inlineStr">
        <is>
          <t>A3</t>
        </is>
      </c>
      <c r="N55" s="16" t="inlineStr">
        <is>
          <t>IC 1</t>
        </is>
      </c>
    </row>
    <row r="56" ht="54" customHeight="1">
      <c r="A56" s="16" t="inlineStr"/>
      <c r="B56" s="16" t="inlineStr"/>
      <c r="C56" s="16" t="inlineStr">
        <is>
          <t>Marketing &amp; Communications</t>
        </is>
      </c>
      <c r="D56" s="211" t="n"/>
      <c r="E56" s="16" t="inlineStr">
        <is>
          <t>Marketing Operations &amp; Automation</t>
        </is>
      </c>
      <c r="F56" s="211" t="n"/>
      <c r="G56" s="16" t="inlineStr">
        <is>
          <t>Maintains CRM/ICP data, marketing automation, reporting and dashboards.</t>
        </is>
      </c>
      <c r="H56" s="212" t="n"/>
      <c r="I56" s="211" t="n"/>
      <c r="J56" s="16" t="inlineStr">
        <is>
          <t>24 · 2431 Advertising &amp; marketing professionals; 2432 Public relations professionals</t>
        </is>
      </c>
      <c r="K56" s="211" t="n"/>
      <c r="L56" s="15" t="n">
        <v>1</v>
      </c>
      <c r="M56" s="15" t="inlineStr">
        <is>
          <t>A3</t>
        </is>
      </c>
      <c r="N56" s="16" t="inlineStr">
        <is>
          <t>IC 1</t>
        </is>
      </c>
    </row>
    <row r="57" ht="67" customHeight="1">
      <c r="A57" s="16" t="inlineStr">
        <is>
          <t>Secretarial &amp; Legal</t>
        </is>
      </c>
      <c r="B57" s="16" t="inlineStr">
        <is>
          <t>Corporate functions</t>
        </is>
      </c>
      <c r="C57" s="16" t="inlineStr">
        <is>
          <t>Administration, Legal &amp; Secretarial</t>
        </is>
      </c>
      <c r="D57" s="211" t="n"/>
      <c r="E57" s="16" t="inlineStr">
        <is>
          <t>Company Secretarial &amp; Legal</t>
        </is>
      </c>
      <c r="F57" s="211" t="n"/>
      <c r="G57" s="16" t="inlineStr">
        <is>
          <t>Handles statutory filings, board matters, contracts and legal compliance.</t>
        </is>
      </c>
      <c r="H57" s="212" t="n"/>
      <c r="I57" s="211" t="n"/>
      <c r="J57" s="16" t="inlineStr">
        <is>
          <t>26 · 2611 Lawyers / 2619 Legal professionals n.e.c.; 33 · 3343 Administrative secretaries; 12 · 1219</t>
        </is>
      </c>
      <c r="K57" s="211" t="n"/>
      <c r="L57" s="15" t="n">
        <v>3</v>
      </c>
      <c r="M57" s="15" t="inlineStr">
        <is>
          <t>A1–C1</t>
        </is>
      </c>
      <c r="N57" s="16" t="inlineStr">
        <is>
          <t>POD Lead 1 · IC 2</t>
        </is>
      </c>
    </row>
    <row r="58" ht="54" customHeight="1">
      <c r="A58" s="16" t="inlineStr">
        <is>
          <t>Technology</t>
        </is>
      </c>
      <c r="B58" s="16" t="inlineStr">
        <is>
          <t>Technology &amp; engineering</t>
        </is>
      </c>
      <c r="C58" s="16" t="inlineStr">
        <is>
          <t>Executive Leadership</t>
        </is>
      </c>
      <c r="D58" s="211" t="n"/>
      <c r="E58" s="16" t="inlineStr">
        <is>
          <t>Enterprise Leadership</t>
        </is>
      </c>
      <c r="F58" s="211" t="n"/>
      <c r="G58" s="16" t="inlineStr">
        <is>
          <t>Sets enterprise strategy; leads the executive team.</t>
        </is>
      </c>
      <c r="H58" s="212" t="n"/>
      <c r="I58" s="211" t="n"/>
      <c r="J58" s="16" t="inlineStr">
        <is>
          <t>11 · 1120 Managing directors &amp; chief executives; 12 Administrative &amp; commercial managers</t>
        </is>
      </c>
      <c r="K58" s="211" t="n"/>
      <c r="L58" s="15" t="n">
        <v>1</v>
      </c>
      <c r="M58" s="15" t="inlineStr">
        <is>
          <t>E1</t>
        </is>
      </c>
      <c r="N58" s="16" t="inlineStr">
        <is>
          <t>People Manager 1</t>
        </is>
      </c>
    </row>
    <row r="59" ht="54" customHeight="1">
      <c r="A59" s="16" t="inlineStr"/>
      <c r="B59" s="16" t="inlineStr"/>
      <c r="C59" s="16" t="inlineStr">
        <is>
          <t>Project &amp; Program Management</t>
        </is>
      </c>
      <c r="D59" s="211" t="n"/>
      <c r="E59" s="16" t="inlineStr">
        <is>
          <t>PMO &amp; Delivery Excellence</t>
        </is>
      </c>
      <c r="F59" s="211" t="n"/>
      <c r="G59" s="16" t="inlineStr">
        <is>
          <t>Runs delivery governance, tracking, risk and process-improvement; coaches teams on delivery practices.</t>
        </is>
      </c>
      <c r="H59" s="212" t="n"/>
      <c r="I59" s="211" t="n"/>
      <c r="J59" s="16" t="inlineStr">
        <is>
          <t>24 Business &amp; administration professionals; 1330 ICT services managers at manager levels</t>
        </is>
      </c>
      <c r="K59" s="211" t="n"/>
      <c r="L59" s="15" t="n">
        <v>1</v>
      </c>
      <c r="M59" s="15" t="inlineStr">
        <is>
          <t>B3</t>
        </is>
      </c>
      <c r="N59" s="16" t="inlineStr">
        <is>
          <t>IC 1</t>
        </is>
      </c>
    </row>
    <row r="60" ht="15" customHeight="1"/>
    <row r="61" ht="20" customHeight="1">
      <c r="A61" s="6" t="inlineStr">
        <is>
          <t>3. STEP 3 · Tracks — band × track</t>
        </is>
      </c>
    </row>
    <row r="62" ht="15" customHeight="1">
      <c r="A62" s="12" t="inlineStr">
        <is>
          <t>Band</t>
        </is>
      </c>
      <c r="B62" s="212" t="n"/>
      <c r="C62" s="211" t="n"/>
      <c r="D62" s="12" t="inlineStr">
        <is>
          <t>IC</t>
        </is>
      </c>
      <c r="E62" s="211" t="n"/>
      <c r="F62" s="12" t="inlineStr">
        <is>
          <t>POD Lead</t>
        </is>
      </c>
      <c r="G62" s="211" t="n"/>
      <c r="H62" s="12" t="inlineStr">
        <is>
          <t>Player-Coach</t>
        </is>
      </c>
      <c r="I62" s="211" t="n"/>
      <c r="J62" s="12" t="inlineStr">
        <is>
          <t>People Manager</t>
        </is>
      </c>
      <c r="K62" s="211" t="n"/>
      <c r="L62" s="12" t="inlineStr">
        <is>
          <t>Consultant</t>
        </is>
      </c>
      <c r="M62" s="211" t="n"/>
      <c r="N62" s="12" t="inlineStr">
        <is>
          <t>Total</t>
        </is>
      </c>
    </row>
    <row r="63" ht="15" customHeight="1">
      <c r="A63" s="24" t="inlineStr">
        <is>
          <t>A</t>
        </is>
      </c>
      <c r="B63" s="212" t="n"/>
      <c r="C63" s="211" t="n"/>
      <c r="D63" s="26" t="n">
        <v>23</v>
      </c>
      <c r="E63" s="211" t="n"/>
      <c r="F63" s="26" t="n">
        <v>0</v>
      </c>
      <c r="G63" s="211" t="n"/>
      <c r="H63" s="26" t="n">
        <v>0</v>
      </c>
      <c r="I63" s="211" t="n"/>
      <c r="J63" s="26" t="n">
        <v>0</v>
      </c>
      <c r="K63" s="211" t="n"/>
      <c r="L63" s="26" t="n">
        <v>0</v>
      </c>
      <c r="M63" s="211" t="n"/>
      <c r="N63" s="26" t="n">
        <v>23</v>
      </c>
    </row>
    <row r="64" ht="15" customHeight="1">
      <c r="A64" s="27" t="inlineStr">
        <is>
          <t>B</t>
        </is>
      </c>
      <c r="B64" s="212" t="n"/>
      <c r="C64" s="211" t="n"/>
      <c r="D64" s="23" t="n">
        <v>8</v>
      </c>
      <c r="E64" s="211" t="n"/>
      <c r="F64" s="23" t="n">
        <v>6</v>
      </c>
      <c r="G64" s="211" t="n"/>
      <c r="H64" s="23" t="n">
        <v>0</v>
      </c>
      <c r="I64" s="211" t="n"/>
      <c r="J64" s="23" t="n">
        <v>3</v>
      </c>
      <c r="K64" s="211" t="n"/>
      <c r="L64" s="23" t="n">
        <v>0</v>
      </c>
      <c r="M64" s="211" t="n"/>
      <c r="N64" s="23" t="n">
        <v>17</v>
      </c>
    </row>
    <row r="65" ht="15" customHeight="1">
      <c r="A65" s="28" t="inlineStr">
        <is>
          <t>B+</t>
        </is>
      </c>
      <c r="B65" s="212" t="n"/>
      <c r="C65" s="211" t="n"/>
      <c r="D65" s="30" t="n">
        <v>0</v>
      </c>
      <c r="E65" s="211" t="n"/>
      <c r="F65" s="30" t="n">
        <v>0</v>
      </c>
      <c r="G65" s="211" t="n"/>
      <c r="H65" s="30" t="n">
        <v>0</v>
      </c>
      <c r="I65" s="211" t="n"/>
      <c r="J65" s="30" t="n">
        <v>0</v>
      </c>
      <c r="K65" s="211" t="n"/>
      <c r="L65" s="30" t="n">
        <v>0</v>
      </c>
      <c r="M65" s="211" t="n"/>
      <c r="N65" s="30" t="n">
        <v>0</v>
      </c>
    </row>
    <row r="66" ht="15" customHeight="1">
      <c r="A66" s="31" t="inlineStr">
        <is>
          <t>C</t>
        </is>
      </c>
      <c r="B66" s="212" t="n"/>
      <c r="C66" s="211" t="n"/>
      <c r="D66" s="33" t="n">
        <v>0</v>
      </c>
      <c r="E66" s="211" t="n"/>
      <c r="F66" s="33" t="n">
        <v>1</v>
      </c>
      <c r="G66" s="211" t="n"/>
      <c r="H66" s="33" t="n">
        <v>0</v>
      </c>
      <c r="I66" s="211" t="n"/>
      <c r="J66" s="33" t="n">
        <v>2</v>
      </c>
      <c r="K66" s="211" t="n"/>
      <c r="L66" s="33" t="n">
        <v>0</v>
      </c>
      <c r="M66" s="211" t="n"/>
      <c r="N66" s="33" t="n">
        <v>3</v>
      </c>
    </row>
    <row r="67" ht="15" customHeight="1">
      <c r="A67" s="34" t="inlineStr">
        <is>
          <t>C+</t>
        </is>
      </c>
      <c r="B67" s="212" t="n"/>
      <c r="C67" s="211" t="n"/>
      <c r="D67" s="36" t="n">
        <v>0</v>
      </c>
      <c r="E67" s="211" t="n"/>
      <c r="F67" s="36" t="n">
        <v>0</v>
      </c>
      <c r="G67" s="211" t="n"/>
      <c r="H67" s="36" t="n">
        <v>0</v>
      </c>
      <c r="I67" s="211" t="n"/>
      <c r="J67" s="36" t="n">
        <v>0</v>
      </c>
      <c r="K67" s="211" t="n"/>
      <c r="L67" s="36" t="n">
        <v>0</v>
      </c>
      <c r="M67" s="211" t="n"/>
      <c r="N67" s="36" t="n">
        <v>0</v>
      </c>
    </row>
    <row r="68" ht="15" customHeight="1">
      <c r="A68" s="37" t="inlineStr">
        <is>
          <t>D</t>
        </is>
      </c>
      <c r="B68" s="212" t="n"/>
      <c r="C68" s="211" t="n"/>
      <c r="D68" s="39" t="n">
        <v>0</v>
      </c>
      <c r="E68" s="211" t="n"/>
      <c r="F68" s="39" t="n">
        <v>0</v>
      </c>
      <c r="G68" s="211" t="n"/>
      <c r="H68" s="39" t="n">
        <v>0</v>
      </c>
      <c r="I68" s="211" t="n"/>
      <c r="J68" s="39" t="n">
        <v>1</v>
      </c>
      <c r="K68" s="211" t="n"/>
      <c r="L68" s="39" t="n">
        <v>0</v>
      </c>
      <c r="M68" s="211" t="n"/>
      <c r="N68" s="39" t="n">
        <v>1</v>
      </c>
    </row>
    <row r="69" ht="15" customHeight="1">
      <c r="A69" s="40" t="inlineStr">
        <is>
          <t>E</t>
        </is>
      </c>
      <c r="B69" s="212" t="n"/>
      <c r="C69" s="211" t="n"/>
      <c r="D69" s="42" t="n">
        <v>0</v>
      </c>
      <c r="E69" s="211" t="n"/>
      <c r="F69" s="42" t="n">
        <v>0</v>
      </c>
      <c r="G69" s="211" t="n"/>
      <c r="H69" s="42" t="n">
        <v>0</v>
      </c>
      <c r="I69" s="211" t="n"/>
      <c r="J69" s="42" t="n">
        <v>4</v>
      </c>
      <c r="K69" s="211" t="n"/>
      <c r="L69" s="42" t="n">
        <v>0</v>
      </c>
      <c r="M69" s="211" t="n"/>
      <c r="N69" s="42" t="n">
        <v>4</v>
      </c>
    </row>
    <row r="70" ht="15" customHeight="1">
      <c r="A70" s="43" t="inlineStr">
        <is>
          <t>X</t>
        </is>
      </c>
      <c r="B70" s="212" t="n"/>
      <c r="C70" s="211" t="n"/>
      <c r="D70" s="45" t="n">
        <v>0</v>
      </c>
      <c r="E70" s="211" t="n"/>
      <c r="F70" s="45" t="n">
        <v>0</v>
      </c>
      <c r="G70" s="211" t="n"/>
      <c r="H70" s="45" t="n">
        <v>0</v>
      </c>
      <c r="I70" s="211" t="n"/>
      <c r="J70" s="45" t="n">
        <v>0</v>
      </c>
      <c r="K70" s="211" t="n"/>
      <c r="L70" s="45" t="n">
        <v>1</v>
      </c>
      <c r="M70" s="211" t="n"/>
      <c r="N70" s="45" t="n">
        <v>1</v>
      </c>
    </row>
    <row r="71" ht="15" customHeight="1">
      <c r="A71" s="46" t="inlineStr">
        <is>
          <t>Total</t>
        </is>
      </c>
      <c r="B71" s="212" t="n"/>
      <c r="C71" s="211" t="n"/>
      <c r="D71" s="47" t="n">
        <v>31</v>
      </c>
      <c r="E71" s="211" t="n"/>
      <c r="F71" s="47" t="n">
        <v>7</v>
      </c>
      <c r="G71" s="211" t="n"/>
      <c r="H71" s="47" t="n">
        <v>0</v>
      </c>
      <c r="I71" s="211" t="n"/>
      <c r="J71" s="47" t="n">
        <v>10</v>
      </c>
      <c r="K71" s="211" t="n"/>
      <c r="L71" s="47" t="n">
        <v>1</v>
      </c>
      <c r="M71" s="211" t="n"/>
      <c r="N71" s="47" t="n">
        <v>49</v>
      </c>
    </row>
    <row r="72" ht="15" customHeight="1"/>
    <row r="73" ht="20" customHeight="1">
      <c r="A73" s="6" t="inlineStr">
        <is>
          <t>4. STEPS 4–6 · Factors, weights and score</t>
        </is>
      </c>
    </row>
    <row r="74" ht="28" customHeight="1">
      <c r="A74" s="11" t="inlineStr">
        <is>
          <t>Weight set = base by band × track · Master W1 + tilt by the department's type of work; no tilt at Bands D–E; leaders can edit each department's row on the Weightage Matrix. Score = Σ rating × weight; the level is the nearest whole value.</t>
        </is>
      </c>
    </row>
    <row r="75" ht="15" customHeight="1">
      <c r="A75" s="12" t="inlineStr">
        <is>
          <t>ID</t>
        </is>
      </c>
      <c r="B75" s="12" t="inlineStr">
        <is>
          <t>Factor</t>
        </is>
      </c>
      <c r="C75" s="211" t="n"/>
      <c r="D75" s="12" t="inlineStr">
        <is>
          <t>What it measures</t>
        </is>
      </c>
      <c r="E75" s="212" t="n"/>
      <c r="F75" s="212" t="n"/>
      <c r="G75" s="212" t="n"/>
      <c r="H75" s="211" t="n"/>
      <c r="I75" s="12" t="inlineStr">
        <is>
          <t>Market equivalent</t>
        </is>
      </c>
      <c r="J75" s="212" t="n"/>
      <c r="K75" s="212" t="n"/>
      <c r="L75" s="212" t="n"/>
      <c r="M75" s="212" t="n"/>
      <c r="N75" s="211" t="n"/>
    </row>
    <row r="76" ht="28" customHeight="1">
      <c r="A76" s="13" t="inlineStr">
        <is>
          <t>F1</t>
        </is>
      </c>
      <c r="B76" s="16" t="inlineStr">
        <is>
          <t>Complexity &amp; Expertise</t>
        </is>
      </c>
      <c r="C76" s="211" t="n"/>
      <c r="D76" s="16" t="inlineStr">
        <is>
          <t>How hard and how specialised the work is; the knowledge it needs</t>
        </is>
      </c>
      <c r="E76" s="212" t="n"/>
      <c r="F76" s="212" t="n"/>
      <c r="G76" s="212" t="n"/>
      <c r="H76" s="211" t="n"/>
      <c r="I76" s="16" t="inlineStr">
        <is>
          <t>Hay Know-How · technical + Problem Solving · Mercer IPE Knowledge + Innovation · SFIA complexity · WTW GGS knowledge / problem solving</t>
        </is>
      </c>
      <c r="J76" s="212" t="n"/>
      <c r="K76" s="212" t="n"/>
      <c r="L76" s="212" t="n"/>
      <c r="M76" s="212" t="n"/>
      <c r="N76" s="211" t="n"/>
    </row>
    <row r="77" ht="28" customHeight="1">
      <c r="A77" s="13" t="inlineStr">
        <is>
          <t>F2</t>
        </is>
      </c>
      <c r="B77" s="16" t="inlineStr">
        <is>
          <t>Autonomy &amp; Decision</t>
        </is>
      </c>
      <c r="C77" s="211" t="n"/>
      <c r="D77" s="16" t="inlineStr">
        <is>
          <t>What the person can decide and act on without asking</t>
        </is>
      </c>
      <c r="E77" s="212" t="n"/>
      <c r="F77" s="212" t="n"/>
      <c r="G77" s="212" t="n"/>
      <c r="H77" s="211" t="n"/>
      <c r="I77" s="16" t="inlineStr">
        <is>
          <t>Hay Accountability — freedom to act · SFIA autonomy · Mercer IPE Impact</t>
        </is>
      </c>
      <c r="J77" s="212" t="n"/>
      <c r="K77" s="212" t="n"/>
      <c r="L77" s="212" t="n"/>
      <c r="M77" s="212" t="n"/>
      <c r="N77" s="211" t="n"/>
    </row>
    <row r="78" ht="28" customHeight="1">
      <c r="A78" s="13" t="inlineStr">
        <is>
          <t>F3</t>
        </is>
      </c>
      <c r="B78" s="16" t="inlineStr">
        <is>
          <t>Accountability &amp; Impact</t>
        </is>
      </c>
      <c r="C78" s="211" t="n"/>
      <c r="D78" s="16" t="inlineStr">
        <is>
          <t>What the role answers for, and the cost of getting it wrong</t>
        </is>
      </c>
      <c r="E78" s="212" t="n"/>
      <c r="F78" s="212" t="n"/>
      <c r="G78" s="212" t="n"/>
      <c r="H78" s="211" t="n"/>
      <c r="I78" s="16" t="inlineStr">
        <is>
          <t>Hay Accountability — magnitude and impact · Mercer IPE Impact</t>
        </is>
      </c>
      <c r="J78" s="212" t="n"/>
      <c r="K78" s="212" t="n"/>
      <c r="L78" s="212" t="n"/>
      <c r="M78" s="212" t="n"/>
      <c r="N78" s="211" t="n"/>
    </row>
    <row r="79" ht="28" customHeight="1">
      <c r="A79" s="13" t="inlineStr">
        <is>
          <t>F4</t>
        </is>
      </c>
      <c r="B79" s="16" t="inlineStr">
        <is>
          <t>Leadership &amp; Strategy</t>
        </is>
      </c>
      <c r="C79" s="211" t="n"/>
      <c r="D79" s="16" t="inlineStr">
        <is>
          <t>Leading people and shaping direction</t>
        </is>
      </c>
      <c r="E79" s="212" t="n"/>
      <c r="F79" s="212" t="n"/>
      <c r="G79" s="212" t="n"/>
      <c r="H79" s="211" t="n"/>
      <c r="I79" s="16" t="inlineStr">
        <is>
          <t>Hay Know-How · managerial, human relations · Mercer IPE Communication · SFIA influence</t>
        </is>
      </c>
      <c r="J79" s="212" t="n"/>
      <c r="K79" s="212" t="n"/>
      <c r="L79" s="212" t="n"/>
      <c r="M79" s="212" t="n"/>
      <c r="N79" s="211" t="n"/>
    </row>
    <row r="80" ht="41" customHeight="1">
      <c r="A80" s="13" t="inlineStr">
        <is>
          <t>F5</t>
        </is>
      </c>
      <c r="B80" s="16" t="inlineStr">
        <is>
          <t>Experience &amp; Qualification</t>
        </is>
      </c>
      <c r="C80" s="211" t="n"/>
      <c r="D80" s="16" t="inlineStr">
        <is>
          <t>Total experience on the same ladder scale, adjusted for qualification — weighted low by design: 10% in Bands A–B, 5% in Bands C–E</t>
        </is>
      </c>
      <c r="E80" s="212" t="n"/>
      <c r="F80" s="212" t="n"/>
      <c r="G80" s="212" t="n"/>
      <c r="H80" s="211" t="n"/>
      <c r="I80" s="16" t="inlineStr">
        <is>
          <t>Hay Know-How · depth / breadth · Radford / Infosys / Accenture experience norms</t>
        </is>
      </c>
      <c r="J80" s="212" t="n"/>
      <c r="K80" s="212" t="n"/>
      <c r="L80" s="212" t="n"/>
      <c r="M80" s="212" t="n"/>
      <c r="N80" s="211" t="n"/>
    </row>
    <row r="81" ht="28" customHeight="1">
      <c r="A81" s="13" t="inlineStr">
        <is>
          <t>F6</t>
        </is>
      </c>
      <c r="B81" s="16" t="inlineStr">
        <is>
          <t>Business Impact</t>
        </is>
      </c>
      <c r="C81" s="211" t="n"/>
      <c r="D81" s="16" t="inlineStr">
        <is>
          <t>The difference the role makes to revenue, clients, compliance or cost</t>
        </is>
      </c>
      <c r="E81" s="212" t="n"/>
      <c r="F81" s="212" t="n"/>
      <c r="G81" s="212" t="n"/>
      <c r="H81" s="211" t="n"/>
      <c r="I81" s="16" t="inlineStr">
        <is>
          <t>Mercer IPE Impact · Hay Accountability — nature of impact · WTW GGS business impact</t>
        </is>
      </c>
      <c r="J81" s="212" t="n"/>
      <c r="K81" s="212" t="n"/>
      <c r="L81" s="212" t="n"/>
      <c r="M81" s="212" t="n"/>
      <c r="N81" s="211" t="n"/>
    </row>
    <row r="82" ht="15" customHeight="1"/>
    <row r="83" ht="28" customHeight="1">
      <c r="A83" s="12" t="inlineStr">
        <is>
          <t>Set ID</t>
        </is>
      </c>
      <c r="B83" s="12" t="inlineStr">
        <is>
          <t>Type of work</t>
        </is>
      </c>
      <c r="C83" s="211" t="n"/>
      <c r="D83" s="12" t="inlineStr">
        <is>
          <t>Band / track</t>
        </is>
      </c>
      <c r="E83" s="211" t="n"/>
      <c r="F83" s="12" t="inlineStr">
        <is>
          <t>Base</t>
        </is>
      </c>
      <c r="G83" s="211" t="n"/>
      <c r="H83" s="12" t="inlineStr">
        <is>
          <t>Tilt</t>
        </is>
      </c>
      <c r="I83" s="211" t="n"/>
      <c r="J83" s="12" t="inlineStr">
        <is>
          <t>Complexity %</t>
        </is>
      </c>
      <c r="K83" s="12" t="inlineStr">
        <is>
          <t>Autonomy %</t>
        </is>
      </c>
      <c r="L83" s="12" t="inlineStr">
        <is>
          <t>Accountability %</t>
        </is>
      </c>
      <c r="M83" s="12" t="inlineStr">
        <is>
          <t>Leadership %</t>
        </is>
      </c>
      <c r="N83" s="12" t="inlineStr">
        <is>
          <t>Exp. &amp; Qual. %</t>
        </is>
      </c>
      <c r="O83" s="12" t="inlineStr">
        <is>
          <t>Bus. Impact %</t>
        </is>
      </c>
      <c r="P83" s="12" t="inlineStr">
        <is>
          <t>People</t>
        </is>
      </c>
    </row>
    <row r="84" ht="28" customHeight="1">
      <c r="A84" s="13" t="inlineStr">
        <is>
          <t>CF-A</t>
        </is>
      </c>
      <c r="B84" s="16" t="inlineStr">
        <is>
          <t>Corporate functions</t>
        </is>
      </c>
      <c r="C84" s="211" t="n"/>
      <c r="D84" s="16" t="inlineStr">
        <is>
          <t>Band A</t>
        </is>
      </c>
      <c r="E84" s="211" t="n"/>
      <c r="F84" s="15" t="inlineStr">
        <is>
          <t>59 / 16 / 9 / 0 / 10 / 6</t>
        </is>
      </c>
      <c r="G84" s="211" t="n"/>
      <c r="H84" s="15" t="inlineStr">
        <is>
          <t>-5 / 0 / 0 / 0 / +5 / 0</t>
        </is>
      </c>
      <c r="I84" s="211" t="n"/>
      <c r="J84" s="206" t="n">
        <v>0.54</v>
      </c>
      <c r="K84" s="206" t="n">
        <v>0.16</v>
      </c>
      <c r="L84" s="206" t="n">
        <v>0.09</v>
      </c>
      <c r="M84" s="206" t="n">
        <v>0</v>
      </c>
      <c r="N84" s="206" t="n">
        <v>0.15</v>
      </c>
      <c r="O84" s="206" t="n">
        <v>0.06</v>
      </c>
      <c r="P84" s="15" t="n">
        <v>10</v>
      </c>
    </row>
    <row r="85" ht="28" customHeight="1">
      <c r="A85" s="13" t="inlineStr">
        <is>
          <t>CF-B-IC</t>
        </is>
      </c>
      <c r="B85" s="16" t="inlineStr">
        <is>
          <t>Corporate functions</t>
        </is>
      </c>
      <c r="C85" s="211" t="n"/>
      <c r="D85" s="16" t="inlineStr">
        <is>
          <t>Band B · IC / POD Lead</t>
        </is>
      </c>
      <c r="E85" s="211" t="n"/>
      <c r="F85" s="15" t="inlineStr">
        <is>
          <t>51 / 17 / 10 / 5 / 10 / 7</t>
        </is>
      </c>
      <c r="G85" s="211" t="n"/>
      <c r="H85" s="15" t="inlineStr">
        <is>
          <t>-5 / 0 / 0 / 0 / +5 / 0</t>
        </is>
      </c>
      <c r="I85" s="211" t="n"/>
      <c r="J85" s="206" t="n">
        <v>0.46</v>
      </c>
      <c r="K85" s="206" t="n">
        <v>0.17</v>
      </c>
      <c r="L85" s="206" t="n">
        <v>0.1</v>
      </c>
      <c r="M85" s="206" t="n">
        <v>0.05</v>
      </c>
      <c r="N85" s="206" t="n">
        <v>0.15</v>
      </c>
      <c r="O85" s="206" t="n">
        <v>0.07000000000000001</v>
      </c>
      <c r="P85" s="15" t="n">
        <v>10</v>
      </c>
    </row>
    <row r="86" ht="28" customHeight="1">
      <c r="A86" s="13" t="inlineStr">
        <is>
          <t>CF-B-M</t>
        </is>
      </c>
      <c r="B86" s="16" t="inlineStr">
        <is>
          <t>Corporate functions</t>
        </is>
      </c>
      <c r="C86" s="211" t="n"/>
      <c r="D86" s="16" t="inlineStr">
        <is>
          <t>Band B · People Manager</t>
        </is>
      </c>
      <c r="E86" s="211" t="n"/>
      <c r="F86" s="15" t="inlineStr">
        <is>
          <t>37 / 18 / 11 / 15 / 10 / 9</t>
        </is>
      </c>
      <c r="G86" s="211" t="n"/>
      <c r="H86" s="15" t="inlineStr">
        <is>
          <t>-5 / 0 / 0 / 0 / +5 / 0</t>
        </is>
      </c>
      <c r="I86" s="211" t="n"/>
      <c r="J86" s="206" t="n">
        <v>0.32</v>
      </c>
      <c r="K86" s="206" t="n">
        <v>0.18</v>
      </c>
      <c r="L86" s="206" t="n">
        <v>0.11</v>
      </c>
      <c r="M86" s="206" t="n">
        <v>0.15</v>
      </c>
      <c r="N86" s="206" t="n">
        <v>0.15</v>
      </c>
      <c r="O86" s="206" t="n">
        <v>0.09</v>
      </c>
      <c r="P86" s="15" t="n">
        <v>1</v>
      </c>
    </row>
    <row r="87" ht="28" customHeight="1">
      <c r="A87" s="13" t="inlineStr">
        <is>
          <t>CF-C-IC</t>
        </is>
      </c>
      <c r="B87" s="16" t="inlineStr">
        <is>
          <t>Corporate functions</t>
        </is>
      </c>
      <c r="C87" s="211" t="n"/>
      <c r="D87" s="16" t="inlineStr">
        <is>
          <t>Band C · Principal specialist</t>
        </is>
      </c>
      <c r="E87" s="211" t="n"/>
      <c r="F87" s="15" t="inlineStr">
        <is>
          <t>54 / 18 / 10 / 5 / 5 / 8</t>
        </is>
      </c>
      <c r="G87" s="211" t="n"/>
      <c r="H87" s="15" t="inlineStr">
        <is>
          <t>-5 / 0 / 0 / 0 / +5 / 0</t>
        </is>
      </c>
      <c r="I87" s="211" t="n"/>
      <c r="J87" s="206" t="n">
        <v>0.49</v>
      </c>
      <c r="K87" s="206" t="n">
        <v>0.18</v>
      </c>
      <c r="L87" s="206" t="n">
        <v>0.1</v>
      </c>
      <c r="M87" s="206" t="n">
        <v>0.05</v>
      </c>
      <c r="N87" s="206" t="n">
        <v>0.1</v>
      </c>
      <c r="O87" s="206" t="n">
        <v>0.08</v>
      </c>
      <c r="P87" s="15" t="n">
        <v>1</v>
      </c>
    </row>
    <row r="88" ht="28" customHeight="1">
      <c r="A88" s="13" t="inlineStr">
        <is>
          <t>CF-C-M</t>
        </is>
      </c>
      <c r="B88" s="16" t="inlineStr">
        <is>
          <t>Corporate functions</t>
        </is>
      </c>
      <c r="C88" s="211" t="n"/>
      <c r="D88" s="16" t="inlineStr">
        <is>
          <t>Band C · Head / manager</t>
        </is>
      </c>
      <c r="E88" s="211" t="n"/>
      <c r="F88" s="15" t="inlineStr">
        <is>
          <t>43 / 18 / 11 / 15 / 5 / 8</t>
        </is>
      </c>
      <c r="G88" s="211" t="n"/>
      <c r="H88" s="15" t="inlineStr">
        <is>
          <t>-5 / 0 / 0 / 0 / +5 / 0</t>
        </is>
      </c>
      <c r="I88" s="211" t="n"/>
      <c r="J88" s="206" t="n">
        <v>0.38</v>
      </c>
      <c r="K88" s="206" t="n">
        <v>0.18</v>
      </c>
      <c r="L88" s="206" t="n">
        <v>0.11</v>
      </c>
      <c r="M88" s="206" t="n">
        <v>0.15</v>
      </c>
      <c r="N88" s="206" t="n">
        <v>0.1</v>
      </c>
      <c r="O88" s="206" t="n">
        <v>0.08</v>
      </c>
      <c r="P88" s="15" t="n">
        <v>2</v>
      </c>
    </row>
    <row r="89" ht="28" customHeight="1">
      <c r="A89" s="13" t="inlineStr">
        <is>
          <t>CF-DE</t>
        </is>
      </c>
      <c r="B89" s="16" t="inlineStr">
        <is>
          <t>Corporate functions</t>
        </is>
      </c>
      <c r="C89" s="211" t="n"/>
      <c r="D89" s="16" t="inlineStr">
        <is>
          <t>Bands D–E</t>
        </is>
      </c>
      <c r="E89" s="211" t="n"/>
      <c r="F89" s="15" t="inlineStr">
        <is>
          <t>37 / 19 / 11 / 20 / 5 / 8</t>
        </is>
      </c>
      <c r="G89" s="211" t="n"/>
      <c r="H89" s="15" t="inlineStr">
        <is>
          <t>0 / 0 / 0 / 0 / 0 / 0</t>
        </is>
      </c>
      <c r="I89" s="211" t="n"/>
      <c r="J89" s="206" t="n">
        <v>0.37</v>
      </c>
      <c r="K89" s="206" t="n">
        <v>0.19</v>
      </c>
      <c r="L89" s="206" t="n">
        <v>0.11</v>
      </c>
      <c r="M89" s="206" t="n">
        <v>0.2</v>
      </c>
      <c r="N89" s="206" t="n">
        <v>0.05</v>
      </c>
      <c r="O89" s="206" t="n">
        <v>0.08</v>
      </c>
      <c r="P89" s="15" t="n">
        <v>2</v>
      </c>
    </row>
    <row r="90" ht="28" customHeight="1">
      <c r="A90" s="13" t="inlineStr">
        <is>
          <t>GM-DE</t>
        </is>
      </c>
      <c r="B90" s="16" t="inlineStr">
        <is>
          <t>General management</t>
        </is>
      </c>
      <c r="C90" s="211" t="n"/>
      <c r="D90" s="16" t="inlineStr">
        <is>
          <t>Bands D–E</t>
        </is>
      </c>
      <c r="E90" s="211" t="n"/>
      <c r="F90" s="15" t="inlineStr">
        <is>
          <t>37 / 19 / 11 / 20 / 5 / 8</t>
        </is>
      </c>
      <c r="G90" s="211" t="n"/>
      <c r="H90" s="15" t="inlineStr">
        <is>
          <t>0 / 0 / 0 / 0 / 0 / 0</t>
        </is>
      </c>
      <c r="I90" s="211" t="n"/>
      <c r="J90" s="206" t="n">
        <v>0.37</v>
      </c>
      <c r="K90" s="206" t="n">
        <v>0.19</v>
      </c>
      <c r="L90" s="206" t="n">
        <v>0.11</v>
      </c>
      <c r="M90" s="206" t="n">
        <v>0.2</v>
      </c>
      <c r="N90" s="206" t="n">
        <v>0.05</v>
      </c>
      <c r="O90" s="206" t="n">
        <v>0.08</v>
      </c>
      <c r="P90" s="15" t="n">
        <v>2</v>
      </c>
    </row>
    <row r="91" ht="28" customHeight="1">
      <c r="A91" s="13" t="inlineStr">
        <is>
          <t>SM-A</t>
        </is>
      </c>
      <c r="B91" s="16" t="inlineStr">
        <is>
          <t>Sales &amp; marketing</t>
        </is>
      </c>
      <c r="C91" s="211" t="n"/>
      <c r="D91" s="16" t="inlineStr">
        <is>
          <t>Band A</t>
        </is>
      </c>
      <c r="E91" s="211" t="n"/>
      <c r="F91" s="15" t="inlineStr">
        <is>
          <t>59 / 16 / 9 / 0 / 10 / 6</t>
        </is>
      </c>
      <c r="G91" s="211" t="n"/>
      <c r="H91" s="15" t="inlineStr">
        <is>
          <t>-5 / +5 / -5 / 0 / 0 / +5</t>
        </is>
      </c>
      <c r="I91" s="211" t="n"/>
      <c r="J91" s="206" t="n">
        <v>0.54</v>
      </c>
      <c r="K91" s="206" t="n">
        <v>0.21</v>
      </c>
      <c r="L91" s="206" t="n">
        <v>0.04</v>
      </c>
      <c r="M91" s="206" t="n">
        <v>0</v>
      </c>
      <c r="N91" s="206" t="n">
        <v>0.1</v>
      </c>
      <c r="O91" s="206" t="n">
        <v>0.11</v>
      </c>
      <c r="P91" s="15" t="n">
        <v>2</v>
      </c>
    </row>
    <row r="92" ht="28" customHeight="1">
      <c r="A92" s="13" t="inlineStr">
        <is>
          <t>SM-B-IC</t>
        </is>
      </c>
      <c r="B92" s="16" t="inlineStr">
        <is>
          <t>Sales &amp; marketing</t>
        </is>
      </c>
      <c r="C92" s="211" t="n"/>
      <c r="D92" s="16" t="inlineStr">
        <is>
          <t>Band B · IC / POD Lead</t>
        </is>
      </c>
      <c r="E92" s="211" t="n"/>
      <c r="F92" s="15" t="inlineStr">
        <is>
          <t>51 / 17 / 10 / 5 / 10 / 7</t>
        </is>
      </c>
      <c r="G92" s="211" t="n"/>
      <c r="H92" s="15" t="inlineStr">
        <is>
          <t>-5 / +5 / -5 / 0 / 0 / +5</t>
        </is>
      </c>
      <c r="I92" s="211" t="n"/>
      <c r="J92" s="206" t="n">
        <v>0.46</v>
      </c>
      <c r="K92" s="206" t="n">
        <v>0.22</v>
      </c>
      <c r="L92" s="206" t="n">
        <v>0.05</v>
      </c>
      <c r="M92" s="206" t="n">
        <v>0.05</v>
      </c>
      <c r="N92" s="206" t="n">
        <v>0.1</v>
      </c>
      <c r="O92" s="206" t="n">
        <v>0.12</v>
      </c>
      <c r="P92" s="15" t="n">
        <v>1</v>
      </c>
    </row>
    <row r="93" ht="28" customHeight="1">
      <c r="A93" s="13" t="inlineStr">
        <is>
          <t>TE-A</t>
        </is>
      </c>
      <c r="B93" s="16" t="inlineStr">
        <is>
          <t>Technology &amp; engineering</t>
        </is>
      </c>
      <c r="C93" s="211" t="n"/>
      <c r="D93" s="16" t="inlineStr">
        <is>
          <t>Band A</t>
        </is>
      </c>
      <c r="E93" s="211" t="n"/>
      <c r="F93" s="15" t="inlineStr">
        <is>
          <t>59 / 16 / 9 / 0 / 10 / 6</t>
        </is>
      </c>
      <c r="G93" s="211" t="n"/>
      <c r="H93" s="15" t="inlineStr">
        <is>
          <t>+5 / 0 / -5 / 0 / 0 / 0</t>
        </is>
      </c>
      <c r="I93" s="211" t="n"/>
      <c r="J93" s="206" t="n">
        <v>0.64</v>
      </c>
      <c r="K93" s="206" t="n">
        <v>0.16</v>
      </c>
      <c r="L93" s="206" t="n">
        <v>0.04</v>
      </c>
      <c r="M93" s="206" t="n">
        <v>0</v>
      </c>
      <c r="N93" s="206" t="n">
        <v>0.1</v>
      </c>
      <c r="O93" s="206" t="n">
        <v>0.06</v>
      </c>
      <c r="P93" s="15" t="n">
        <v>10</v>
      </c>
    </row>
    <row r="94" ht="28" customHeight="1">
      <c r="A94" s="13" t="inlineStr">
        <is>
          <t>TE-B-IC</t>
        </is>
      </c>
      <c r="B94" s="16" t="inlineStr">
        <is>
          <t>Technology &amp; engineering</t>
        </is>
      </c>
      <c r="C94" s="211" t="n"/>
      <c r="D94" s="16" t="inlineStr">
        <is>
          <t>Band B · IC / POD Lead</t>
        </is>
      </c>
      <c r="E94" s="211" t="n"/>
      <c r="F94" s="15" t="inlineStr">
        <is>
          <t>51 / 17 / 10 / 5 / 10 / 7</t>
        </is>
      </c>
      <c r="G94" s="211" t="n"/>
      <c r="H94" s="15" t="inlineStr">
        <is>
          <t>+5 / 0 / -5 / 0 / 0 / 0</t>
        </is>
      </c>
      <c r="I94" s="211" t="n"/>
      <c r="J94" s="206" t="n">
        <v>0.5600000000000001</v>
      </c>
      <c r="K94" s="206" t="n">
        <v>0.17</v>
      </c>
      <c r="L94" s="206" t="n">
        <v>0.05</v>
      </c>
      <c r="M94" s="206" t="n">
        <v>0.05</v>
      </c>
      <c r="N94" s="206" t="n">
        <v>0.1</v>
      </c>
      <c r="O94" s="206" t="n">
        <v>0.07000000000000001</v>
      </c>
      <c r="P94" s="15" t="n">
        <v>3</v>
      </c>
    </row>
    <row r="95" ht="28" customHeight="1">
      <c r="A95" s="13" t="inlineStr">
        <is>
          <t>TE-B-M</t>
        </is>
      </c>
      <c r="B95" s="16" t="inlineStr">
        <is>
          <t>Technology &amp; engineering</t>
        </is>
      </c>
      <c r="C95" s="211" t="n"/>
      <c r="D95" s="16" t="inlineStr">
        <is>
          <t>Band B · People Manager</t>
        </is>
      </c>
      <c r="E95" s="211" t="n"/>
      <c r="F95" s="15" t="inlineStr">
        <is>
          <t>37 / 18 / 11 / 15 / 10 / 9</t>
        </is>
      </c>
      <c r="G95" s="211" t="n"/>
      <c r="H95" s="15" t="inlineStr">
        <is>
          <t>+5 / 0 / -5 / 0 / 0 / 0</t>
        </is>
      </c>
      <c r="I95" s="211" t="n"/>
      <c r="J95" s="206" t="n">
        <v>0.42</v>
      </c>
      <c r="K95" s="206" t="n">
        <v>0.18</v>
      </c>
      <c r="L95" s="206" t="n">
        <v>0.06</v>
      </c>
      <c r="M95" s="206" t="n">
        <v>0.15</v>
      </c>
      <c r="N95" s="206" t="n">
        <v>0.1</v>
      </c>
      <c r="O95" s="206" t="n">
        <v>0.09</v>
      </c>
      <c r="P95" s="15" t="n">
        <v>2</v>
      </c>
    </row>
    <row r="96" ht="28" customHeight="1">
      <c r="A96" s="13" t="inlineStr">
        <is>
          <t>TE-DE</t>
        </is>
      </c>
      <c r="B96" s="16" t="inlineStr">
        <is>
          <t>Technology &amp; engineering</t>
        </is>
      </c>
      <c r="C96" s="211" t="n"/>
      <c r="D96" s="16" t="inlineStr">
        <is>
          <t>Bands D–E</t>
        </is>
      </c>
      <c r="E96" s="211" t="n"/>
      <c r="F96" s="15" t="inlineStr">
        <is>
          <t>37 / 19 / 11 / 20 / 5 / 8</t>
        </is>
      </c>
      <c r="G96" s="211" t="n"/>
      <c r="H96" s="15" t="inlineStr">
        <is>
          <t>0 / 0 / 0 / 0 / 0 / 0</t>
        </is>
      </c>
      <c r="I96" s="211" t="n"/>
      <c r="J96" s="206" t="n">
        <v>0.37</v>
      </c>
      <c r="K96" s="206" t="n">
        <v>0.19</v>
      </c>
      <c r="L96" s="206" t="n">
        <v>0.11</v>
      </c>
      <c r="M96" s="206" t="n">
        <v>0.2</v>
      </c>
      <c r="N96" s="206" t="n">
        <v>0.05</v>
      </c>
      <c r="O96" s="206" t="n">
        <v>0.08</v>
      </c>
      <c r="P96" s="15" t="n">
        <v>1</v>
      </c>
    </row>
    <row r="97" ht="15" customHeight="1"/>
    <row r="98" ht="15" customHeight="1">
      <c r="A98" s="11" t="inlineStr">
        <is>
          <t>Default sets by the department's main type of work. Leaders can change any department's row on the Weightage Matrix; sheet 2 uses the matrix.</t>
        </is>
      </c>
    </row>
    <row r="99" ht="67" customHeight="1">
      <c r="A99" s="11" t="inlineStr">
        <is>
          <r>
            <rPr>
              <rFont val="Calibri"/>
              <b val="1"/>
              <i val="1"/>
              <color rgb="00595959"/>
              <sz val="10"/>
            </rPr>
            <t>Why the tilts:</t>
          </r>
          <r>
            <rPr>
              <rFont val="Calibri"/>
              <i val="1"/>
              <color rgb="00595959"/>
              <sz val="10"/>
            </rPr>
            <t xml:space="preserve"> Corporate functions — Licence-to-practise work such as CA, CS or LLB: qualification differentiates → +5 Experience &amp; Qualification, −5 Complexity. Basis: S06 Hay short profile; the ±5 size is an IRIS rule. · General management — General management is assessed on the base weights. Basis: S06 Hay short profile; the ±5 size is an IRIS rule. · Sales &amp; marketing — Judged on pipeline and revenue → +5 Business Impact, +5 Autonomy, −5 Complexity, −5 Accountability. Basis: S06 Hay short profile; the ±5 size is an IRIS rule. · Technology &amp; engineering — Thinking-led: value comes from technical depth → +5 Complexity, −5 Accountability. Basis: S06 Hay short profile; the ±5 size is an IRIS rule.</t>
          </r>
        </is>
      </c>
    </row>
    <row r="100" ht="15" customHeight="1"/>
    <row r="101" ht="20" customHeight="1">
      <c r="A101" s="6" t="inlineStr">
        <is>
          <t>5. STEP 7 · Limits and gates — rules R1–R10, in the order applied</t>
        </is>
      </c>
    </row>
    <row r="102" ht="15" customHeight="1">
      <c r="A102" s="12" t="inlineStr">
        <is>
          <t>ID</t>
        </is>
      </c>
      <c r="B102" s="12" t="inlineStr">
        <is>
          <t>Rule</t>
        </is>
      </c>
      <c r="C102" s="212" t="n"/>
      <c r="D102" s="212" t="n"/>
      <c r="E102" s="212" t="n"/>
      <c r="F102" s="212" t="n"/>
      <c r="G102" s="212" t="n"/>
      <c r="H102" s="212" t="n"/>
      <c r="I102" s="212" t="n"/>
      <c r="J102" s="212" t="n"/>
      <c r="K102" s="212" t="n"/>
      <c r="L102" s="211" t="n"/>
      <c r="M102" s="12" t="inlineStr">
        <is>
          <t>People here</t>
        </is>
      </c>
      <c r="N102" s="211" t="n"/>
    </row>
    <row r="103" ht="15" customHeight="1">
      <c r="A103" s="13" t="inlineStr">
        <is>
          <t>R1</t>
        </is>
      </c>
      <c r="B103" s="16" t="inlineStr">
        <is>
          <r>
            <rPr>
              <rFont val="Calibri"/>
              <b val="1"/>
              <sz val="10"/>
            </rPr>
            <t>Category rule:</t>
          </r>
          <r>
            <rPr>
              <rFont val="Calibri"/>
              <sz val="10"/>
            </rPr>
            <t xml:space="preserve"> interns and trainees in their first year at IRIS → A1; consultants → X1–X3 · outside the ladder</t>
          </r>
        </is>
      </c>
      <c r="C103" s="212" t="n"/>
      <c r="D103" s="212" t="n"/>
      <c r="E103" s="212" t="n"/>
      <c r="F103" s="212" t="n"/>
      <c r="G103" s="212" t="n"/>
      <c r="H103" s="212" t="n"/>
      <c r="I103" s="212" t="n"/>
      <c r="J103" s="212" t="n"/>
      <c r="K103" s="212" t="n"/>
      <c r="L103" s="211" t="n"/>
      <c r="M103" s="15" t="n">
        <v>2</v>
      </c>
      <c r="N103" s="211" t="n"/>
    </row>
    <row r="104" ht="15" customHeight="1">
      <c r="A104" s="13" t="inlineStr">
        <is>
          <t>R2</t>
        </is>
      </c>
      <c r="B104" s="16" t="inlineStr">
        <is>
          <r>
            <rPr>
              <rFont val="Calibri"/>
              <b val="1"/>
              <sz val="10"/>
            </rPr>
            <t>Provisional:</t>
          </r>
          <r>
            <rPr>
              <rFont val="Calibri"/>
              <sz val="10"/>
            </rPr>
            <t xml:space="preserve"> experience to be confirmed by HR — level kept until confirmed</t>
          </r>
        </is>
      </c>
      <c r="C104" s="212" t="n"/>
      <c r="D104" s="212" t="n"/>
      <c r="E104" s="212" t="n"/>
      <c r="F104" s="212" t="n"/>
      <c r="G104" s="212" t="n"/>
      <c r="H104" s="212" t="n"/>
      <c r="I104" s="212" t="n"/>
      <c r="J104" s="212" t="n"/>
      <c r="K104" s="212" t="n"/>
      <c r="L104" s="211" t="n"/>
      <c r="M104" s="15" t="n">
        <v>2</v>
      </c>
      <c r="N104" s="211" t="n"/>
    </row>
    <row r="105" ht="28" customHeight="1">
      <c r="A105" s="13" t="inlineStr">
        <is>
          <t>R3</t>
        </is>
      </c>
      <c r="B105" s="16" t="inlineStr">
        <is>
          <t>Weighted score on each band's own weights; the person sits in the highest band where the score holds, rounded to the nearest level</t>
        </is>
      </c>
      <c r="C105" s="212" t="n"/>
      <c r="D105" s="212" t="n"/>
      <c r="E105" s="212" t="n"/>
      <c r="F105" s="212" t="n"/>
      <c r="G105" s="212" t="n"/>
      <c r="H105" s="212" t="n"/>
      <c r="I105" s="212" t="n"/>
      <c r="J105" s="212" t="n"/>
      <c r="K105" s="212" t="n"/>
      <c r="L105" s="211" t="n"/>
      <c r="M105" s="15" t="n">
        <v>47</v>
      </c>
      <c r="N105" s="211" t="n"/>
    </row>
    <row r="106" ht="28" customHeight="1">
      <c r="A106" s="13" t="inlineStr">
        <is>
          <t>R4</t>
        </is>
      </c>
      <c r="B106" s="16" t="inlineStr">
        <is>
          <r>
            <rPr>
              <rFont val="Calibri"/>
              <b val="1"/>
              <sz val="10"/>
            </rPr>
            <t>Role-substance limit:</t>
          </r>
          <r>
            <rPr>
              <rFont val="Calibri"/>
              <sz val="10"/>
            </rPr>
            <t xml:space="preserve"> at most one level above what Complexity and Accountability show · this is the Band B gate at B1; people managers exempt — the reporting structure is the evidence</t>
          </r>
        </is>
      </c>
      <c r="C106" s="212" t="n"/>
      <c r="D106" s="212" t="n"/>
      <c r="E106" s="212" t="n"/>
      <c r="F106" s="212" t="n"/>
      <c r="G106" s="212" t="n"/>
      <c r="H106" s="212" t="n"/>
      <c r="I106" s="212" t="n"/>
      <c r="J106" s="212" t="n"/>
      <c r="K106" s="212" t="n"/>
      <c r="L106" s="211" t="n"/>
      <c r="M106" s="15" t="n">
        <v>0</v>
      </c>
      <c r="N106" s="211" t="n"/>
    </row>
    <row r="107" ht="28" customHeight="1">
      <c r="A107" s="13" t="inlineStr">
        <is>
          <t>R5</t>
        </is>
      </c>
      <c r="B107" s="16" t="inlineStr">
        <is>
          <r>
            <rPr>
              <rFont val="Calibri"/>
              <b val="1"/>
              <sz val="10"/>
            </rPr>
            <t>Structural gate:</t>
          </r>
          <r>
            <rPr>
              <rFont val="Calibri"/>
              <sz val="10"/>
            </rPr>
            <t xml:space="preserve"> C1+ needs a function / sub-function or principal authority, C2 a function or company-wide discipline, D a business line, E an enterprise mandate, B3 on the manager track team leads or 10+ people — evidenced by the org chart</t>
          </r>
        </is>
      </c>
      <c r="C107" s="212" t="n"/>
      <c r="D107" s="212" t="n"/>
      <c r="E107" s="212" t="n"/>
      <c r="F107" s="212" t="n"/>
      <c r="G107" s="212" t="n"/>
      <c r="H107" s="212" t="n"/>
      <c r="I107" s="212" t="n"/>
      <c r="J107" s="212" t="n"/>
      <c r="K107" s="212" t="n"/>
      <c r="L107" s="211" t="n"/>
      <c r="M107" s="15" t="n">
        <v>1</v>
      </c>
      <c r="N107" s="211" t="n"/>
    </row>
    <row r="108" ht="15" customHeight="1">
      <c r="A108" s="13" t="inlineStr">
        <is>
          <t>R6</t>
        </is>
      </c>
      <c r="B108" s="16" t="inlineStr">
        <is>
          <r>
            <rPr>
              <rFont val="Calibri"/>
              <b val="1"/>
              <sz val="10"/>
            </rPr>
            <t>Top of band:</t>
          </r>
          <r>
            <rPr>
              <rFont val="Calibri"/>
              <sz val="10"/>
            </rPr>
            <t xml:space="preserve"> the score passes the band but does not hold on the next band's weights</t>
          </r>
        </is>
      </c>
      <c r="C108" s="212" t="n"/>
      <c r="D108" s="212" t="n"/>
      <c r="E108" s="212" t="n"/>
      <c r="F108" s="212" t="n"/>
      <c r="G108" s="212" t="n"/>
      <c r="H108" s="212" t="n"/>
      <c r="I108" s="212" t="n"/>
      <c r="J108" s="212" t="n"/>
      <c r="K108" s="212" t="n"/>
      <c r="L108" s="211" t="n"/>
      <c r="M108" s="15" t="n">
        <v>1</v>
      </c>
      <c r="N108" s="211" t="n"/>
    </row>
    <row r="109" ht="15" customHeight="1">
      <c r="A109" s="13" t="inlineStr">
        <is>
          <t>R7</t>
        </is>
      </c>
      <c r="B109" s="16" t="inlineStr">
        <is>
          <r>
            <rPr>
              <rFont val="Calibri"/>
              <b val="1"/>
              <sz val="10"/>
            </rPr>
            <t>Band A experience rule:</t>
          </r>
          <r>
            <rPr>
              <rFont val="Calibri"/>
              <sz val="10"/>
            </rPr>
            <t xml:space="preserve"> under 1 yr → A2 at most; 2+ yrs → A3 · still subject to R4; between 1 and 2 yrs the score decides</t>
          </r>
        </is>
      </c>
      <c r="C109" s="212" t="n"/>
      <c r="D109" s="212" t="n"/>
      <c r="E109" s="212" t="n"/>
      <c r="F109" s="212" t="n"/>
      <c r="G109" s="212" t="n"/>
      <c r="H109" s="212" t="n"/>
      <c r="I109" s="212" t="n"/>
      <c r="J109" s="212" t="n"/>
      <c r="K109" s="212" t="n"/>
      <c r="L109" s="211" t="n"/>
      <c r="M109" s="15" t="n">
        <v>3</v>
      </c>
      <c r="N109" s="211" t="n"/>
    </row>
    <row r="110" ht="15" customHeight="1">
      <c r="A110" s="13" t="inlineStr">
        <is>
          <t>R8</t>
        </is>
      </c>
      <c r="B110" s="16" t="inlineStr">
        <is>
          <r>
            <rPr>
              <rFont val="Calibri"/>
              <b val="1"/>
              <sz val="10"/>
            </rPr>
            <t>Experience limit:</t>
          </r>
          <r>
            <rPr>
              <rFont val="Calibri"/>
              <sz val="10"/>
            </rPr>
            <t xml:space="preserve"> in Bands A–B at most one level above the experience-fit level · people managers exempt — structure is the proof</t>
          </r>
        </is>
      </c>
      <c r="C110" s="212" t="n"/>
      <c r="D110" s="212" t="n"/>
      <c r="E110" s="212" t="n"/>
      <c r="F110" s="212" t="n"/>
      <c r="G110" s="212" t="n"/>
      <c r="H110" s="212" t="n"/>
      <c r="I110" s="212" t="n"/>
      <c r="J110" s="212" t="n"/>
      <c r="K110" s="212" t="n"/>
      <c r="L110" s="211" t="n"/>
      <c r="M110" s="15" t="n">
        <v>0</v>
      </c>
      <c r="N110" s="211" t="n"/>
    </row>
    <row r="111" ht="15" customHeight="1">
      <c r="A111" s="13" t="inlineStr">
        <is>
          <t>R9</t>
        </is>
      </c>
      <c r="B111" s="16" t="inlineStr">
        <is>
          <r>
            <rPr>
              <rFont val="Calibri"/>
              <b val="1"/>
              <sz val="10"/>
            </rPr>
            <t>Track minimum:</t>
          </r>
          <r>
            <rPr>
              <rFont val="Calibri"/>
              <sz val="10"/>
            </rPr>
            <t xml:space="preserve"> POD Leads and People Managers sit at B1 or above</t>
          </r>
        </is>
      </c>
      <c r="C111" s="212" t="n"/>
      <c r="D111" s="212" t="n"/>
      <c r="E111" s="212" t="n"/>
      <c r="F111" s="212" t="n"/>
      <c r="G111" s="212" t="n"/>
      <c r="H111" s="212" t="n"/>
      <c r="I111" s="212" t="n"/>
      <c r="J111" s="212" t="n"/>
      <c r="K111" s="212" t="n"/>
      <c r="L111" s="211" t="n"/>
      <c r="M111" s="15" t="n">
        <v>0</v>
      </c>
      <c r="N111" s="211" t="n"/>
    </row>
    <row r="112" ht="67" customHeight="1">
      <c r="A112" s="13" t="inlineStr">
        <is>
          <t>R10</t>
        </is>
      </c>
      <c r="B112" s="16" t="inlineStr">
        <is>
          <r>
            <rPr>
              <rFont val="Calibri"/>
              <b val="1"/>
              <sz val="10"/>
            </rPr>
            <t>Player-Coach transition step:</t>
          </r>
          <r>
            <rPr>
              <rFont val="Calibri"/>
              <sz val="10"/>
            </rPr>
            <t xml:space="preserve"> at B3 or C2, a person who leads people while still delivering hands-on work moves to the Player-Coach transition step above · B+, between B3 and C1; C+, between C2 and D1 when the score on the Player-Coach weights reaches 6.25 for B+ / 8.25 for C+ and the Complexity–Accountability average reaches 5.5 / 7.5. A shortfall of up to 0.15 on either is accepted · tolerance, and a span outside the norm · B+ 3–6, C+ 4–8 direct reports is flagged, never blocking; both go to calibration. The next band's structural gate is not needed</t>
          </r>
        </is>
      </c>
      <c r="C112" s="212" t="n"/>
      <c r="D112" s="212" t="n"/>
      <c r="E112" s="212" t="n"/>
      <c r="F112" s="212" t="n"/>
      <c r="G112" s="212" t="n"/>
      <c r="H112" s="212" t="n"/>
      <c r="I112" s="212" t="n"/>
      <c r="J112" s="212" t="n"/>
      <c r="K112" s="212" t="n"/>
      <c r="L112" s="211" t="n"/>
      <c r="M112" s="15" t="n">
        <v>0</v>
      </c>
      <c r="N112" s="211" t="n"/>
    </row>
    <row r="113" ht="28" customHeight="1">
      <c r="A113" s="13" t="inlineStr">
        <is>
          <t>R11</t>
        </is>
      </c>
      <c r="B113" s="16" t="inlineStr">
        <is>
          <r>
            <rPr>
              <rFont val="Calibri"/>
              <b val="1"/>
              <sz val="10"/>
            </rPr>
            <t>Leadership decision:</t>
          </r>
          <r>
            <rPr>
              <rFont val="Calibri"/>
              <sz val="10"/>
            </rPr>
            <t xml:space="preserve"> the level is set by the approved leadership structure · validated input in inputs/overrides.csv, field 'Approved level'</t>
          </r>
        </is>
      </c>
      <c r="C113" s="212" t="n"/>
      <c r="D113" s="212" t="n"/>
      <c r="E113" s="212" t="n"/>
      <c r="F113" s="212" t="n"/>
      <c r="G113" s="212" t="n"/>
      <c r="H113" s="212" t="n"/>
      <c r="I113" s="212" t="n"/>
      <c r="J113" s="212" t="n"/>
      <c r="K113" s="212" t="n"/>
      <c r="L113" s="211" t="n"/>
      <c r="M113" s="15" t="n">
        <v>0</v>
      </c>
      <c r="N113" s="211" t="n"/>
    </row>
    <row r="114" ht="15" customHeight="1">
      <c r="A114" s="13" t="inlineStr">
        <is>
          <t>R12</t>
        </is>
      </c>
      <c r="B114" s="16" t="inlineStr">
        <is>
          <t>Reporting-line cap in Bands D–E: no one sits above their reporting manager's level</t>
        </is>
      </c>
      <c r="C114" s="212" t="n"/>
      <c r="D114" s="212" t="n"/>
      <c r="E114" s="212" t="n"/>
      <c r="F114" s="212" t="n"/>
      <c r="G114" s="212" t="n"/>
      <c r="H114" s="212" t="n"/>
      <c r="I114" s="212" t="n"/>
      <c r="J114" s="212" t="n"/>
      <c r="K114" s="212" t="n"/>
      <c r="L114" s="211" t="n"/>
      <c r="M114" s="15" t="n">
        <v>0</v>
      </c>
      <c r="N114" s="211" t="n"/>
    </row>
    <row r="115" ht="15" customHeight="1">
      <c r="A115" s="13" t="inlineStr">
        <is>
          <t>R13</t>
        </is>
      </c>
      <c r="B115" s="16" t="inlineStr">
        <is>
          <r>
            <rPr>
              <rFont val="Calibri"/>
              <b val="1"/>
              <sz val="10"/>
            </rPr>
            <t>Reports to the top:</t>
          </r>
          <r>
            <rPr>
              <rFont val="Calibri"/>
              <sz val="10"/>
            </rPr>
            <t xml:space="preserve"> anyone in Band D who reports directly to an E1 or E2 sits at D2</t>
          </r>
        </is>
      </c>
      <c r="C115" s="212" t="n"/>
      <c r="D115" s="212" t="n"/>
      <c r="E115" s="212" t="n"/>
      <c r="F115" s="212" t="n"/>
      <c r="G115" s="212" t="n"/>
      <c r="H115" s="212" t="n"/>
      <c r="I115" s="212" t="n"/>
      <c r="J115" s="212" t="n"/>
      <c r="K115" s="212" t="n"/>
      <c r="L115" s="211" t="n"/>
      <c r="M115" s="15" t="n">
        <v>0</v>
      </c>
      <c r="N115" s="211" t="n"/>
    </row>
    <row r="116" ht="15" customHeight="1"/>
    <row r="117" ht="20" customHeight="1">
      <c r="A117" s="6" t="inlineStr">
        <is>
          <t>6. STEP 8 · Levels and titles · bottom to top</t>
        </is>
      </c>
    </row>
    <row r="118" ht="28" customHeight="1">
      <c r="A118" s="12" t="inlineStr">
        <is>
          <t>Band</t>
        </is>
      </c>
      <c r="B118" s="12" t="inlineStr">
        <is>
          <t>Level</t>
        </is>
      </c>
      <c r="C118" s="12" t="inlineStr">
        <is>
          <t>IC title</t>
        </is>
      </c>
      <c r="D118" s="12" t="inlineStr">
        <is>
          <t>Manager title</t>
        </is>
      </c>
      <c r="E118" s="211" t="n"/>
      <c r="F118" s="12" t="inlineStr">
        <is>
          <t>What the role owns</t>
        </is>
      </c>
      <c r="G118" s="212" t="n"/>
      <c r="H118" s="211" t="n"/>
      <c r="I118" s="12" t="inlineStr">
        <is>
          <t>Experience · yrs</t>
        </is>
      </c>
      <c r="J118" s="12" t="inlineStr">
        <is>
          <t>Span</t>
        </is>
      </c>
      <c r="K118" s="12" t="inlineStr">
        <is>
          <t>Radford / Mercer</t>
        </is>
      </c>
      <c r="L118" s="12" t="inlineStr">
        <is>
          <t>SFIA</t>
        </is>
      </c>
      <c r="M118" s="12" t="inlineStr">
        <is>
          <t>IC / POD / Mgr</t>
        </is>
      </c>
      <c r="N118" s="12" t="inlineStr">
        <is>
          <t>Total</t>
        </is>
      </c>
    </row>
    <row r="119" ht="41" customHeight="1">
      <c r="A119" s="26" t="inlineStr">
        <is>
          <t>A</t>
        </is>
      </c>
      <c r="B119" s="26" t="inlineStr">
        <is>
          <t>A1</t>
        </is>
      </c>
      <c r="C119" s="139" t="inlineStr">
        <is>
          <t>Intern / Trainee</t>
        </is>
      </c>
      <c r="D119" s="139" t="inlineStr">
        <is>
          <t>common path</t>
        </is>
      </c>
      <c r="E119" s="211" t="n"/>
      <c r="F119" s="139" t="inlineStr">
        <is>
          <t>Learning the role; all work reviewed</t>
        </is>
      </c>
      <c r="G119" s="212" t="n"/>
      <c r="H119" s="211" t="n"/>
      <c r="I119" s="26" t="inlineStr">
        <is>
          <t>0 yrs · fresher / intern</t>
        </is>
      </c>
      <c r="J119" s="139" t="inlineStr">
        <is>
          <t>No direct reports</t>
        </is>
      </c>
      <c r="K119" s="26" t="inlineStr">
        <is>
          <t>Entry / P1 · intern</t>
        </is>
      </c>
      <c r="L119" s="26" t="inlineStr">
        <is>
          <t>1 Follow</t>
        </is>
      </c>
      <c r="M119" s="26" t="inlineStr">
        <is>
          <t>1 / 0 / 0</t>
        </is>
      </c>
      <c r="N119" s="26" t="n">
        <v>1</v>
      </c>
    </row>
    <row r="120" ht="28" customHeight="1">
      <c r="A120" s="26" t="inlineStr">
        <is>
          <t>A</t>
        </is>
      </c>
      <c r="B120" s="26" t="inlineStr">
        <is>
          <t>A2</t>
        </is>
      </c>
      <c r="C120" s="139" t="inlineStr">
        <is>
          <t>Associate</t>
        </is>
      </c>
      <c r="D120" s="139" t="inlineStr">
        <is>
          <t>common path</t>
        </is>
      </c>
      <c r="E120" s="211" t="n"/>
      <c r="F120" s="139" t="inlineStr">
        <is>
          <t>Standard work delivered independently</t>
        </is>
      </c>
      <c r="G120" s="212" t="n"/>
      <c r="H120" s="211" t="n"/>
      <c r="I120" s="26" t="inlineStr">
        <is>
          <t>0–2 yrs</t>
        </is>
      </c>
      <c r="J120" s="139" t="inlineStr">
        <is>
          <t>No direct reports</t>
        </is>
      </c>
      <c r="K120" s="26" t="inlineStr">
        <is>
          <t>P1–P2</t>
        </is>
      </c>
      <c r="L120" s="26" t="inlineStr">
        <is>
          <t>2 Assist</t>
        </is>
      </c>
      <c r="M120" s="26" t="inlineStr">
        <is>
          <t>1 / 0 / 0</t>
        </is>
      </c>
      <c r="N120" s="26" t="n">
        <v>1</v>
      </c>
    </row>
    <row r="121" ht="54" customHeight="1">
      <c r="A121" s="26" t="inlineStr">
        <is>
          <t>A</t>
        </is>
      </c>
      <c r="B121" s="26" t="inlineStr">
        <is>
          <t>A3</t>
        </is>
      </c>
      <c r="C121" s="139" t="inlineStr">
        <is>
          <t>Senior Associate</t>
        </is>
      </c>
      <c r="D121" s="139" t="inlineStr">
        <is>
          <t>common path</t>
        </is>
      </c>
      <c r="E121" s="211" t="n"/>
      <c r="F121" s="139" t="inlineStr">
        <is>
          <t>Varied work; reviews juniors; go-to for a process</t>
        </is>
      </c>
      <c r="G121" s="212" t="n"/>
      <c r="H121" s="211" t="n"/>
      <c r="I121" s="26" t="inlineStr">
        <is>
          <t>2–4 yrs</t>
        </is>
      </c>
      <c r="J121" s="139" t="inlineStr">
        <is>
          <t>None · guides 1–3 juniors informally</t>
        </is>
      </c>
      <c r="K121" s="26" t="inlineStr">
        <is>
          <t>P2</t>
        </is>
      </c>
      <c r="L121" s="26" t="inlineStr">
        <is>
          <t>3 Apply</t>
        </is>
      </c>
      <c r="M121" s="26" t="inlineStr">
        <is>
          <t>21 / 0 / 0</t>
        </is>
      </c>
      <c r="N121" s="26" t="n">
        <v>21</v>
      </c>
    </row>
    <row r="122" ht="41" customHeight="1">
      <c r="A122" s="23" t="inlineStr">
        <is>
          <t>B</t>
        </is>
      </c>
      <c r="B122" s="23" t="inlineStr">
        <is>
          <t>B1</t>
        </is>
      </c>
      <c r="C122" s="21" t="inlineStr">
        <is>
          <t>Specialist</t>
        </is>
      </c>
      <c r="D122" s="21" t="inlineStr">
        <is>
          <t>Team Lead</t>
        </is>
      </c>
      <c r="E122" s="211" t="n"/>
      <c r="F122" s="21" t="inlineStr">
        <is>
          <t>A domain / module, or a small team</t>
        </is>
      </c>
      <c r="G122" s="212" t="n"/>
      <c r="H122" s="211" t="n"/>
      <c r="I122" s="23" t="inlineStr">
        <is>
          <t>4–7 yrs</t>
        </is>
      </c>
      <c r="J122" s="21" t="inlineStr">
        <is>
          <r>
            <rPr>
              <rFont val="Calibri"/>
              <b val="1"/>
              <sz val="10"/>
            </rPr>
            <t>IC:</t>
          </r>
          <r>
            <rPr>
              <rFont val="Calibri"/>
              <sz val="10"/>
            </rPr>
            <t xml:space="preserve"> none · Team Lead: 3–5</t>
          </r>
        </is>
      </c>
      <c r="K122" s="23" t="inlineStr">
        <is>
          <t>P3 / M2</t>
        </is>
      </c>
      <c r="L122" s="23" t="inlineStr">
        <is>
          <t>4 Enable</t>
        </is>
      </c>
      <c r="M122" s="23" t="inlineStr">
        <is>
          <t>4 / 5 / 1</t>
        </is>
      </c>
      <c r="N122" s="23" t="n">
        <v>10</v>
      </c>
    </row>
    <row r="123" ht="80" customHeight="1">
      <c r="A123" s="23" t="inlineStr">
        <is>
          <t>B</t>
        </is>
      </c>
      <c r="B123" s="23" t="inlineStr">
        <is>
          <t>B2</t>
        </is>
      </c>
      <c r="C123" s="21" t="inlineStr">
        <is>
          <t>Senior Specialist</t>
        </is>
      </c>
      <c r="D123" s="21" t="inlineStr">
        <is>
          <t>Manager</t>
        </is>
      </c>
      <c r="E123" s="211" t="n"/>
      <c r="F123" s="21" t="inlineStr">
        <is>
          <t>Deep domain expertise, or one team</t>
        </is>
      </c>
      <c r="G123" s="212" t="n"/>
      <c r="H123" s="211" t="n"/>
      <c r="I123" s="23" t="inlineStr">
        <is>
          <t>6–9 yrs</t>
        </is>
      </c>
      <c r="J123" s="21" t="inlineStr">
        <is>
          <r>
            <rPr>
              <rFont val="Calibri"/>
              <b val="1"/>
              <sz val="10"/>
            </rPr>
            <t>IC:</t>
          </r>
          <r>
            <rPr>
              <rFont val="Calibri"/>
              <sz val="10"/>
            </rPr>
            <t xml:space="preserve"> none · People: 6–8 knowledge work, 8–12 standardised delivery</t>
          </r>
        </is>
      </c>
      <c r="K123" s="23" t="inlineStr">
        <is>
          <t>P4 / M3</t>
        </is>
      </c>
      <c r="L123" s="23" t="inlineStr">
        <is>
          <t>4–5</t>
        </is>
      </c>
      <c r="M123" s="23" t="inlineStr">
        <is>
          <t>2 / 1 / 2</t>
        </is>
      </c>
      <c r="N123" s="23" t="n">
        <v>5</v>
      </c>
    </row>
    <row r="124" ht="54" customHeight="1">
      <c r="A124" s="23" t="inlineStr">
        <is>
          <t>B</t>
        </is>
      </c>
      <c r="B124" s="23" t="inlineStr">
        <is>
          <t>B3</t>
        </is>
      </c>
      <c r="C124" s="21" t="inlineStr">
        <is>
          <t>Lead Specialist</t>
        </is>
      </c>
      <c r="D124" s="21" t="inlineStr">
        <is>
          <t>Senior Manager</t>
        </is>
      </c>
      <c r="E124" s="211" t="n"/>
      <c r="F124" s="21" t="inlineStr">
        <is>
          <t>A practice, or several teams through team leads</t>
        </is>
      </c>
      <c r="G124" s="212" t="n"/>
      <c r="H124" s="211" t="n"/>
      <c r="I124" s="23" t="inlineStr">
        <is>
          <t>8–12 yrs</t>
        </is>
      </c>
      <c r="J124" s="21" t="inlineStr">
        <is>
          <r>
            <rPr>
              <rFont val="Calibri"/>
              <b val="1"/>
              <sz val="10"/>
            </rPr>
            <t>IC:</t>
          </r>
          <r>
            <rPr>
              <rFont val="Calibri"/>
              <sz val="10"/>
            </rPr>
            <t xml:space="preserve"> none · People: 5–8 incl. team leads</t>
          </r>
        </is>
      </c>
      <c r="K124" s="23" t="inlineStr">
        <is>
          <t>P5 / M4</t>
        </is>
      </c>
      <c r="L124" s="23" t="inlineStr">
        <is>
          <t>5 Ensure, advise</t>
        </is>
      </c>
      <c r="M124" s="23" t="inlineStr">
        <is>
          <t>2 / 0 / 0</t>
        </is>
      </c>
      <c r="N124" s="23" t="n">
        <v>2</v>
      </c>
    </row>
    <row r="125" ht="132" customHeight="1">
      <c r="A125" s="30" t="inlineStr">
        <is>
          <t>B+</t>
        </is>
      </c>
      <c r="B125" s="30" t="inlineStr">
        <is>
          <t>B+</t>
        </is>
      </c>
      <c r="C125" s="207" t="inlineStr">
        <is>
          <t>Practice Lead · Player-Coach</t>
        </is>
      </c>
      <c r="D125" s="207" t="inlineStr">
        <is>
          <t>Practice Lead · Player-Coach</t>
        </is>
      </c>
      <c r="E125" s="211" t="n"/>
      <c r="F125" s="207" t="inlineStr">
        <is>
          <r>
            <rPr>
              <rFont val="Calibri"/>
              <b val="1"/>
              <sz val="10"/>
            </rPr>
            <t>A practice or product area:</t>
          </r>
          <r>
            <rPr>
              <rFont val="Calibri"/>
              <sz val="10"/>
            </rPr>
            <t xml:space="preserve"> does the hardest hands-on work itself and leads 3–6 people · player-coach</t>
          </r>
        </is>
      </c>
      <c r="G125" s="212" t="n"/>
      <c r="H125" s="211" t="n"/>
      <c r="I125" s="30" t="inlineStr">
        <is>
          <t>9–14 yrs</t>
        </is>
      </c>
      <c r="J125" s="207" t="inlineStr">
        <is>
          <t>3–6 direct reports with ≥ 40% of time on own delivery · McKinsey player/coach 3–5; Google Tech Lead Manager</t>
        </is>
      </c>
      <c r="K125" s="30" t="inlineStr">
        <is>
          <t>P5–P6 / M4–M5</t>
        </is>
      </c>
      <c r="L125" s="30" t="inlineStr">
        <is>
          <t>5 Ensure, advise</t>
        </is>
      </c>
      <c r="M125" s="30" t="inlineStr">
        <is>
          <t>0 / 0 / 0</t>
        </is>
      </c>
      <c r="N125" s="30" t="n">
        <v>0</v>
      </c>
    </row>
    <row r="126" ht="28" customHeight="1">
      <c r="A126" s="33" t="inlineStr">
        <is>
          <t>C</t>
        </is>
      </c>
      <c r="B126" s="33" t="inlineStr">
        <is>
          <t>C1</t>
        </is>
      </c>
      <c r="C126" s="146" t="inlineStr">
        <is>
          <t>Principal</t>
        </is>
      </c>
      <c r="D126" s="146" t="inlineStr">
        <is>
          <t>Associate Head</t>
        </is>
      </c>
      <c r="E126" s="211" t="n"/>
      <c r="F126" s="146" t="inlineStr">
        <is>
          <t>A sub-function, or principal authority across products</t>
        </is>
      </c>
      <c r="G126" s="212" t="n"/>
      <c r="H126" s="211" t="n"/>
      <c r="I126" s="33" t="inlineStr">
        <is>
          <t>10–14 yrs</t>
        </is>
      </c>
      <c r="J126" s="146" t="inlineStr">
        <is>
          <t>5–8, mostly managers</t>
        </is>
      </c>
      <c r="K126" s="33" t="inlineStr">
        <is>
          <t>P6 / M5</t>
        </is>
      </c>
      <c r="L126" s="33" t="inlineStr">
        <is>
          <t>5–6</t>
        </is>
      </c>
      <c r="M126" s="33" t="inlineStr">
        <is>
          <t>0 / 1 / 2</t>
        </is>
      </c>
      <c r="N126" s="33" t="n">
        <v>3</v>
      </c>
    </row>
    <row r="127" ht="41" customHeight="1">
      <c r="A127" s="33" t="inlineStr">
        <is>
          <t>C</t>
        </is>
      </c>
      <c r="B127" s="33" t="inlineStr">
        <is>
          <t>C2</t>
        </is>
      </c>
      <c r="C127" s="146" t="inlineStr">
        <is>
          <t>Senior Principal / Architect</t>
        </is>
      </c>
      <c r="D127" s="146" t="inlineStr">
        <is>
          <t>Head of Function</t>
        </is>
      </c>
      <c r="E127" s="211" t="n"/>
      <c r="F127" s="146" t="inlineStr">
        <is>
          <t>A function or department, or a company-wide discipline</t>
        </is>
      </c>
      <c r="G127" s="212" t="n"/>
      <c r="H127" s="211" t="n"/>
      <c r="I127" s="33" t="inlineStr">
        <is>
          <t>12–17 yrs</t>
        </is>
      </c>
      <c r="J127" s="146" t="inlineStr">
        <is>
          <t>5–8 managers / associate heads</t>
        </is>
      </c>
      <c r="K127" s="33" t="inlineStr">
        <is>
          <t>P7 / M6</t>
        </is>
      </c>
      <c r="L127" s="33" t="inlineStr">
        <is>
          <t>6 Initiate, influence</t>
        </is>
      </c>
      <c r="M127" s="33" t="inlineStr">
        <is>
          <t>0 / 0 / 0</t>
        </is>
      </c>
      <c r="N127" s="33" t="n">
        <v>0</v>
      </c>
    </row>
    <row r="128" ht="80" customHeight="1">
      <c r="A128" s="36" t="inlineStr">
        <is>
          <t>C+</t>
        </is>
      </c>
      <c r="B128" s="36" t="inlineStr">
        <is>
          <t>C+</t>
        </is>
      </c>
      <c r="C128" s="208" t="inlineStr">
        <is>
          <t>Group Head · Player-Coach</t>
        </is>
      </c>
      <c r="D128" s="208" t="inlineStr">
        <is>
          <t>Group Head · Player-Coach</t>
        </is>
      </c>
      <c r="E128" s="211" t="n"/>
      <c r="F128" s="208" t="inlineStr">
        <is>
          <r>
            <rPr>
              <rFont val="Calibri"/>
              <b val="1"/>
              <sz val="10"/>
            </rPr>
            <t>A function or group of practices:</t>
          </r>
          <r>
            <rPr>
              <rFont val="Calibri"/>
              <sz val="10"/>
            </rPr>
            <t xml:space="preserve"> answers for its results and personally delivers or sells the most critical work · player-coach</t>
          </r>
        </is>
      </c>
      <c r="G128" s="212" t="n"/>
      <c r="H128" s="211" t="n"/>
      <c r="I128" s="36" t="inlineStr">
        <is>
          <t>13–18 yrs</t>
        </is>
      </c>
      <c r="J128" s="208" t="inlineStr">
        <is>
          <t>4–8 managers / leads with ≥ 25% of time on own principal delivery</t>
        </is>
      </c>
      <c r="K128" s="36" t="inlineStr">
        <is>
          <t>M6 / E1</t>
        </is>
      </c>
      <c r="L128" s="36" t="inlineStr">
        <is>
          <t>6 Initiate, influence</t>
        </is>
      </c>
      <c r="M128" s="36" t="inlineStr">
        <is>
          <t>0 / 0 / 0</t>
        </is>
      </c>
      <c r="N128" s="36" t="n">
        <v>0</v>
      </c>
    </row>
    <row r="129" ht="54" customHeight="1">
      <c r="A129" s="39" t="inlineStr">
        <is>
          <t>D</t>
        </is>
      </c>
      <c r="B129" s="39" t="inlineStr">
        <is>
          <t>D1</t>
        </is>
      </c>
      <c r="C129" s="149" t="inlineStr">
        <is>
          <t>Chief Specialist / Distinguished Principal</t>
        </is>
      </c>
      <c r="D129" s="149" t="inlineStr">
        <is>
          <t>Associate Vice President / Business Head</t>
        </is>
      </c>
      <c r="E129" s="211" t="n"/>
      <c r="F129" s="149" t="inlineStr">
        <is>
          <t>A business line P&amp;L, region or enterprise function</t>
        </is>
      </c>
      <c r="G129" s="212" t="n"/>
      <c r="H129" s="211" t="n"/>
      <c r="I129" s="39" t="inlineStr">
        <is>
          <t>15–20 yrs</t>
        </is>
      </c>
      <c r="J129" s="149" t="inlineStr">
        <is>
          <t>5–8 heads</t>
        </is>
      </c>
      <c r="K129" s="39" t="inlineStr">
        <is>
          <t>E1–E2</t>
        </is>
      </c>
      <c r="L129" s="39" t="inlineStr">
        <is>
          <t>6–7</t>
        </is>
      </c>
      <c r="M129" s="39" t="inlineStr">
        <is>
          <t>0 / 0 / 0</t>
        </is>
      </c>
      <c r="N129" s="39" t="n">
        <v>0</v>
      </c>
    </row>
    <row r="130" ht="28" customHeight="1">
      <c r="A130" s="39" t="inlineStr">
        <is>
          <t>D</t>
        </is>
      </c>
      <c r="B130" s="39" t="inlineStr">
        <is>
          <t>D2</t>
        </is>
      </c>
      <c r="C130" s="149" t="inlineStr">
        <is>
          <t>—</t>
        </is>
      </c>
      <c r="D130" s="149" t="inlineStr">
        <is>
          <t>Vice President</t>
        </is>
      </c>
      <c r="E130" s="211" t="n"/>
      <c r="F130" s="149" t="inlineStr">
        <is>
          <t>Several business lines or an executive-scope enterprise function</t>
        </is>
      </c>
      <c r="G130" s="212" t="n"/>
      <c r="H130" s="211" t="n"/>
      <c r="I130" s="39" t="inlineStr">
        <is>
          <t>18–24 yrs</t>
        </is>
      </c>
      <c r="J130" s="149" t="inlineStr">
        <is>
          <t>5–8 AVPs / heads</t>
        </is>
      </c>
      <c r="K130" s="39" t="inlineStr">
        <is>
          <t>E3–E4</t>
        </is>
      </c>
      <c r="L130" s="39" t="inlineStr">
        <is>
          <t>7 Set strategy</t>
        </is>
      </c>
      <c r="M130" s="39" t="inlineStr">
        <is>
          <t>0 / 0 / 1</t>
        </is>
      </c>
      <c r="N130" s="39" t="n">
        <v>1</v>
      </c>
    </row>
    <row r="131" ht="28" customHeight="1">
      <c r="A131" s="42" t="inlineStr">
        <is>
          <t>E</t>
        </is>
      </c>
      <c r="B131" s="42" t="inlineStr">
        <is>
          <t>E1</t>
        </is>
      </c>
      <c r="C131" s="145" t="inlineStr">
        <is>
          <t>—</t>
        </is>
      </c>
      <c r="D131" s="145" t="inlineStr">
        <is>
          <t>CXO / President</t>
        </is>
      </c>
      <c r="E131" s="211" t="n"/>
      <c r="F131" s="145" t="inlineStr">
        <is>
          <t>An enterprise-wide function</t>
        </is>
      </c>
      <c r="G131" s="212" t="n"/>
      <c r="H131" s="211" t="n"/>
      <c r="I131" s="42" t="inlineStr">
        <is>
          <t>20+ yrs</t>
        </is>
      </c>
      <c r="J131" s="145" t="inlineStr">
        <is>
          <t>5–8 function heads</t>
        </is>
      </c>
      <c r="K131" s="42" t="inlineStr">
        <is>
          <t>E5</t>
        </is>
      </c>
      <c r="L131" s="42" t="inlineStr">
        <is>
          <t>7</t>
        </is>
      </c>
      <c r="M131" s="42" t="inlineStr">
        <is>
          <t>0 / 0 / 3</t>
        </is>
      </c>
      <c r="N131" s="42" t="n">
        <v>3</v>
      </c>
    </row>
    <row r="132" ht="28" customHeight="1">
      <c r="A132" s="42" t="inlineStr">
        <is>
          <t>E</t>
        </is>
      </c>
      <c r="B132" s="42" t="inlineStr">
        <is>
          <t>E2</t>
        </is>
      </c>
      <c r="C132" s="145" t="inlineStr">
        <is>
          <t>—</t>
        </is>
      </c>
      <c r="D132" s="145" t="inlineStr">
        <is>
          <t>Chief Executive Officer</t>
        </is>
      </c>
      <c r="E132" s="211" t="n"/>
      <c r="F132" s="145" t="inlineStr">
        <is>
          <t>The enterprise</t>
        </is>
      </c>
      <c r="G132" s="212" t="n"/>
      <c r="H132" s="211" t="n"/>
      <c r="I132" s="42" t="inlineStr">
        <is>
          <t>20+ yrs</t>
        </is>
      </c>
      <c r="J132" s="145" t="inlineStr">
        <is>
          <t>Executive team</t>
        </is>
      </c>
      <c r="K132" s="42" t="inlineStr">
        <is>
          <t>E6</t>
        </is>
      </c>
      <c r="L132" s="42" t="inlineStr">
        <is>
          <t>7</t>
        </is>
      </c>
      <c r="M132" s="42" t="inlineStr">
        <is>
          <t>0 / 0 / 1</t>
        </is>
      </c>
      <c r="N132" s="42" t="n">
        <v>1</v>
      </c>
    </row>
    <row r="133" ht="28" customHeight="1">
      <c r="A133" s="45" t="inlineStr">
        <is>
          <t>X</t>
        </is>
      </c>
      <c r="B133" s="45" t="inlineStr">
        <is>
          <t>X1</t>
        </is>
      </c>
      <c r="C133" s="136" t="inlineStr">
        <is>
          <t>Associate Consultant</t>
        </is>
      </c>
      <c r="D133" s="136" t="inlineStr">
        <is>
          <t>Outside the employee ladder</t>
        </is>
      </c>
      <c r="E133" s="211" t="n"/>
      <c r="F133" s="136" t="inlineStr">
        <is>
          <t>Defined deliverables under a statement of work · ≈ A2–A3</t>
        </is>
      </c>
      <c r="G133" s="212" t="n"/>
      <c r="H133" s="211" t="n"/>
      <c r="I133" s="45" t="inlineStr">
        <is>
          <t>0–5 yrs</t>
        </is>
      </c>
      <c r="J133" s="136" t="inlineStr">
        <is>
          <t>Not counted in spans</t>
        </is>
      </c>
      <c r="K133" s="45" t="inlineStr">
        <is>
          <t>Contractor</t>
        </is>
      </c>
      <c r="L133" s="45" t="inlineStr">
        <is>
          <t>—</t>
        </is>
      </c>
      <c r="M133" s="45" t="inlineStr">
        <is>
          <t>1</t>
        </is>
      </c>
      <c r="N133" s="45" t="n">
        <v>1</v>
      </c>
    </row>
    <row r="134" ht="28" customHeight="1">
      <c r="A134" s="45" t="inlineStr">
        <is>
          <t>X</t>
        </is>
      </c>
      <c r="B134" s="45" t="inlineStr">
        <is>
          <t>X2</t>
        </is>
      </c>
      <c r="C134" s="136" t="inlineStr">
        <is>
          <t>Consultant</t>
        </is>
      </c>
      <c r="D134" s="136" t="inlineStr">
        <is>
          <t>Outside the employee ladder</t>
        </is>
      </c>
      <c r="E134" s="211" t="n"/>
      <c r="F134" s="136" t="inlineStr">
        <is>
          <t>Specialist scope or workstream · ≈ B1–B2</t>
        </is>
      </c>
      <c r="G134" s="212" t="n"/>
      <c r="H134" s="211" t="n"/>
      <c r="I134" s="45" t="inlineStr">
        <is>
          <t>4–10 yrs</t>
        </is>
      </c>
      <c r="J134" s="136" t="inlineStr">
        <is>
          <t>Not counted in spans</t>
        </is>
      </c>
      <c r="K134" s="45" t="inlineStr">
        <is>
          <t>Contractor</t>
        </is>
      </c>
      <c r="L134" s="45" t="inlineStr">
        <is>
          <t>—</t>
        </is>
      </c>
      <c r="M134" s="45" t="inlineStr">
        <is>
          <t>0</t>
        </is>
      </c>
      <c r="N134" s="45" t="n">
        <v>0</v>
      </c>
    </row>
    <row r="135" ht="41" customHeight="1">
      <c r="A135" s="45" t="inlineStr">
        <is>
          <t>X</t>
        </is>
      </c>
      <c r="B135" s="45" t="inlineStr">
        <is>
          <t>X3</t>
        </is>
      </c>
      <c r="C135" s="136" t="inlineStr">
        <is>
          <t>Senior Consultant / Advisor</t>
        </is>
      </c>
      <c r="D135" s="136" t="inlineStr">
        <is>
          <t>Outside the employee ladder</t>
        </is>
      </c>
      <c r="E135" s="211" t="n"/>
      <c r="F135" s="136" t="inlineStr">
        <is>
          <t>Expert or advisory scope · ≈ B3–C2</t>
        </is>
      </c>
      <c r="G135" s="212" t="n"/>
      <c r="H135" s="211" t="n"/>
      <c r="I135" s="45" t="inlineStr">
        <is>
          <t>10+ yrs</t>
        </is>
      </c>
      <c r="J135" s="136" t="inlineStr">
        <is>
          <t>Not counted in spans</t>
        </is>
      </c>
      <c r="K135" s="45" t="inlineStr">
        <is>
          <t>Contractor</t>
        </is>
      </c>
      <c r="L135" s="45" t="inlineStr">
        <is>
          <t>—</t>
        </is>
      </c>
      <c r="M135" s="45" t="inlineStr">
        <is>
          <t>0</t>
        </is>
      </c>
      <c r="N135" s="45" t="n">
        <v>0</v>
      </c>
    </row>
    <row r="136" ht="15" customHeight="1"/>
    <row r="137" ht="15" customHeight="1">
      <c r="A137" s="12" t="inlineStr">
        <is>
          <t>Department × level</t>
        </is>
      </c>
      <c r="B137" s="212" t="n"/>
      <c r="C137" s="211" t="n"/>
      <c r="D137" s="12" t="inlineStr">
        <is>
          <t>A1</t>
        </is>
      </c>
      <c r="E137" s="12" t="inlineStr">
        <is>
          <t>A2</t>
        </is>
      </c>
      <c r="F137" s="12" t="inlineStr">
        <is>
          <t>A3</t>
        </is>
      </c>
      <c r="G137" s="12" t="inlineStr">
        <is>
          <t>B1</t>
        </is>
      </c>
      <c r="H137" s="12" t="inlineStr">
        <is>
          <t>B2</t>
        </is>
      </c>
      <c r="I137" s="12" t="inlineStr">
        <is>
          <t>B3</t>
        </is>
      </c>
      <c r="J137" s="12" t="inlineStr">
        <is>
          <t>C1</t>
        </is>
      </c>
      <c r="K137" s="12" t="inlineStr">
        <is>
          <t>D2</t>
        </is>
      </c>
      <c r="L137" s="12" t="inlineStr">
        <is>
          <t>E1</t>
        </is>
      </c>
      <c r="M137" s="12" t="inlineStr">
        <is>
          <t>E2</t>
        </is>
      </c>
      <c r="N137" s="12" t="inlineStr">
        <is>
          <t>X1</t>
        </is>
      </c>
      <c r="O137" s="12" t="inlineStr">
        <is>
          <t>Total</t>
        </is>
      </c>
    </row>
    <row r="138" ht="15" customHeight="1">
      <c r="A138" s="13" t="inlineStr">
        <is>
          <t>Administration</t>
        </is>
      </c>
      <c r="B138" s="212" t="n"/>
      <c r="C138" s="211" t="n"/>
      <c r="D138" s="15" t="inlineStr"/>
      <c r="E138" s="15" t="inlineStr"/>
      <c r="F138" s="15" t="n">
        <v>4</v>
      </c>
      <c r="G138" s="15" t="inlineStr"/>
      <c r="H138" s="15" t="n">
        <v>1</v>
      </c>
      <c r="I138" s="15" t="inlineStr"/>
      <c r="J138" s="15" t="inlineStr"/>
      <c r="K138" s="15" t="inlineStr"/>
      <c r="L138" s="15" t="inlineStr"/>
      <c r="M138" s="15" t="inlineStr"/>
      <c r="N138" s="15" t="n">
        <v>1</v>
      </c>
      <c r="O138" s="15" t="n">
        <v>6</v>
      </c>
    </row>
    <row r="139" ht="15" customHeight="1">
      <c r="A139" s="13" t="inlineStr">
        <is>
          <t>Finance</t>
        </is>
      </c>
      <c r="B139" s="212" t="n"/>
      <c r="C139" s="211" t="n"/>
      <c r="D139" s="15" t="inlineStr"/>
      <c r="E139" s="15" t="inlineStr"/>
      <c r="F139" s="15" t="n">
        <v>2</v>
      </c>
      <c r="G139" s="15" t="n">
        <v>5</v>
      </c>
      <c r="H139" s="15" t="n">
        <v>1</v>
      </c>
      <c r="I139" s="15" t="inlineStr"/>
      <c r="J139" s="15" t="n">
        <v>2</v>
      </c>
      <c r="K139" s="15" t="inlineStr"/>
      <c r="L139" s="15" t="n">
        <v>1</v>
      </c>
      <c r="M139" s="15" t="inlineStr"/>
      <c r="N139" s="15" t="inlineStr"/>
      <c r="O139" s="15" t="n">
        <v>11</v>
      </c>
    </row>
    <row r="140" ht="15" customHeight="1">
      <c r="A140" s="13" t="inlineStr">
        <is>
          <t>HR</t>
        </is>
      </c>
      <c r="B140" s="212" t="n"/>
      <c r="C140" s="211" t="n"/>
      <c r="D140" s="15" t="inlineStr"/>
      <c r="E140" s="15" t="n">
        <v>1</v>
      </c>
      <c r="F140" s="15" t="n">
        <v>2</v>
      </c>
      <c r="G140" s="15" t="n">
        <v>2</v>
      </c>
      <c r="H140" s="15" t="n">
        <v>1</v>
      </c>
      <c r="I140" s="15" t="n">
        <v>1</v>
      </c>
      <c r="J140" s="15" t="inlineStr"/>
      <c r="K140" s="15" t="n">
        <v>1</v>
      </c>
      <c r="L140" s="15" t="inlineStr"/>
      <c r="M140" s="15" t="inlineStr"/>
      <c r="N140" s="15" t="inlineStr"/>
      <c r="O140" s="15" t="n">
        <v>8</v>
      </c>
    </row>
    <row r="141" ht="15" customHeight="1">
      <c r="A141" s="13" t="inlineStr">
        <is>
          <t>IT &amp; Infrastructure</t>
        </is>
      </c>
      <c r="B141" s="212" t="n"/>
      <c r="C141" s="211" t="n"/>
      <c r="D141" s="15" t="inlineStr"/>
      <c r="E141" s="15" t="inlineStr"/>
      <c r="F141" s="15" t="n">
        <v>10</v>
      </c>
      <c r="G141" s="15" t="n">
        <v>3</v>
      </c>
      <c r="H141" s="15" t="n">
        <v>1</v>
      </c>
      <c r="I141" s="15" t="inlineStr"/>
      <c r="J141" s="15" t="inlineStr"/>
      <c r="K141" s="15" t="inlineStr"/>
      <c r="L141" s="15" t="inlineStr"/>
      <c r="M141" s="15" t="inlineStr"/>
      <c r="N141" s="15" t="inlineStr"/>
      <c r="O141" s="15" t="n">
        <v>14</v>
      </c>
    </row>
    <row r="142" ht="15" customHeight="1">
      <c r="A142" s="13" t="inlineStr">
        <is>
          <t>Management</t>
        </is>
      </c>
      <c r="B142" s="212" t="n"/>
      <c r="C142" s="211" t="n"/>
      <c r="D142" s="15" t="inlineStr"/>
      <c r="E142" s="15" t="inlineStr"/>
      <c r="F142" s="15" t="inlineStr"/>
      <c r="G142" s="15" t="inlineStr"/>
      <c r="H142" s="15" t="inlineStr"/>
      <c r="I142" s="15" t="inlineStr"/>
      <c r="J142" s="15" t="inlineStr"/>
      <c r="K142" s="15" t="inlineStr"/>
      <c r="L142" s="15" t="n">
        <v>1</v>
      </c>
      <c r="M142" s="15" t="n">
        <v>1</v>
      </c>
      <c r="N142" s="15" t="inlineStr"/>
      <c r="O142" s="15" t="n">
        <v>2</v>
      </c>
    </row>
    <row r="143" ht="15" customHeight="1">
      <c r="A143" s="13" t="inlineStr">
        <is>
          <t>Marketing</t>
        </is>
      </c>
      <c r="B143" s="212" t="n"/>
      <c r="C143" s="211" t="n"/>
      <c r="D143" s="15" t="inlineStr"/>
      <c r="E143" s="15" t="inlineStr"/>
      <c r="F143" s="15" t="n">
        <v>2</v>
      </c>
      <c r="G143" s="15" t="inlineStr"/>
      <c r="H143" s="15" t="n">
        <v>1</v>
      </c>
      <c r="I143" s="15" t="inlineStr"/>
      <c r="J143" s="15" t="inlineStr"/>
      <c r="K143" s="15" t="inlineStr"/>
      <c r="L143" s="15" t="inlineStr"/>
      <c r="M143" s="15" t="inlineStr"/>
      <c r="N143" s="15" t="inlineStr"/>
      <c r="O143" s="15" t="n">
        <v>3</v>
      </c>
    </row>
    <row r="144" ht="15" customHeight="1">
      <c r="A144" s="13" t="inlineStr">
        <is>
          <t>Secretarial &amp; Legal</t>
        </is>
      </c>
      <c r="B144" s="212" t="n"/>
      <c r="C144" s="211" t="n"/>
      <c r="D144" s="15" t="n">
        <v>1</v>
      </c>
      <c r="E144" s="15" t="inlineStr"/>
      <c r="F144" s="15" t="n">
        <v>1</v>
      </c>
      <c r="G144" s="15" t="inlineStr"/>
      <c r="H144" s="15" t="inlineStr"/>
      <c r="I144" s="15" t="inlineStr"/>
      <c r="J144" s="15" t="n">
        <v>1</v>
      </c>
      <c r="K144" s="15" t="inlineStr"/>
      <c r="L144" s="15" t="inlineStr"/>
      <c r="M144" s="15" t="inlineStr"/>
      <c r="N144" s="15" t="inlineStr"/>
      <c r="O144" s="15" t="n">
        <v>3</v>
      </c>
    </row>
    <row r="145" ht="15" customHeight="1">
      <c r="A145" s="13" t="inlineStr">
        <is>
          <t>Technology</t>
        </is>
      </c>
      <c r="B145" s="212" t="n"/>
      <c r="C145" s="211" t="n"/>
      <c r="D145" s="15" t="inlineStr"/>
      <c r="E145" s="15" t="inlineStr"/>
      <c r="F145" s="15" t="inlineStr"/>
      <c r="G145" s="15" t="inlineStr"/>
      <c r="H145" s="15" t="inlineStr"/>
      <c r="I145" s="15" t="n">
        <v>1</v>
      </c>
      <c r="J145" s="15" t="inlineStr"/>
      <c r="K145" s="15" t="inlineStr"/>
      <c r="L145" s="15" t="n">
        <v>1</v>
      </c>
      <c r="M145" s="15" t="inlineStr"/>
      <c r="N145" s="15" t="inlineStr"/>
      <c r="O145" s="15" t="n">
        <v>2</v>
      </c>
    </row>
    <row r="146" ht="15" customHeight="1"/>
    <row r="147" ht="15" customHeight="1">
      <c r="A147" s="11" t="inlineStr">
        <is>
          <r>
            <rPr>
              <rFont val="Calibri"/>
              <b val="1"/>
              <i val="1"/>
              <color rgb="00595959"/>
              <sz val="10"/>
            </rPr>
            <t>Title check:</t>
          </r>
          <r>
            <rPr>
              <rFont val="Calibri"/>
              <i val="1"/>
              <color rgb="00595959"/>
              <sz val="10"/>
            </rPr>
            <t xml:space="preserve"> OK: 44 · Check title against ladder: 2 · Market-standard role title: 2 · Consultant title: 1</t>
          </r>
        </is>
      </c>
    </row>
    <row r="148" ht="15" customHeight="1"/>
    <row r="149" ht="20" customHeight="1">
      <c r="A149" s="6" t="inlineStr">
        <is>
          <t>7. STEP 9 · Market benchmark — level crosswalk · Master M13 and family ladders</t>
        </is>
      </c>
    </row>
    <row r="150" ht="54" customHeight="1">
      <c r="A150" s="12" t="inlineStr">
        <is>
          <t>IRIS level</t>
        </is>
      </c>
      <c r="B150" s="12" t="inlineStr">
        <is>
          <t>Radford / Mercer code</t>
        </is>
      </c>
      <c r="C150" s="12" t="inlineStr">
        <is>
          <t>Pave level name</t>
        </is>
      </c>
      <c r="D150" s="12" t="inlineStr">
        <is>
          <t>SFIA 9 level</t>
        </is>
      </c>
      <c r="E150" s="12" t="inlineStr">
        <is>
          <t>GitLab</t>
        </is>
      </c>
      <c r="F150" s="12" t="inlineStr">
        <is>
          <t>Google</t>
        </is>
      </c>
      <c r="G150" s="12" t="inlineStr">
        <is>
          <t>Microsoft</t>
        </is>
      </c>
      <c r="H150" s="12" t="inlineStr">
        <is>
          <t>Amazon</t>
        </is>
      </c>
      <c r="I150" s="12" t="inlineStr">
        <is>
          <t>Workiva</t>
        </is>
      </c>
      <c r="J150" s="12" t="inlineStr">
        <is>
          <t>Infosys</t>
        </is>
      </c>
      <c r="K150" s="12" t="inlineStr">
        <is>
          <t>TCS</t>
        </is>
      </c>
      <c r="L150" s="12" t="inlineStr">
        <is>
          <t>Accenture India</t>
        </is>
      </c>
      <c r="M150" s="12" t="inlineStr">
        <is>
          <t>Big Four — Deloitte</t>
        </is>
      </c>
      <c r="N150" s="12" t="inlineStr">
        <is>
          <t>DataTracks · S31; only 2 rungs published</t>
        </is>
      </c>
    </row>
    <row r="151" ht="28" customHeight="1">
      <c r="A151" s="26" t="inlineStr">
        <is>
          <t>A1</t>
        </is>
      </c>
      <c r="B151" s="139" t="inlineStr">
        <is>
          <t>Entry / P1 · intern</t>
        </is>
      </c>
      <c r="C151" s="139" t="inlineStr">
        <is>
          <t>Entry</t>
        </is>
      </c>
      <c r="D151" s="139" t="inlineStr">
        <is>
          <t>1 Follow</t>
        </is>
      </c>
      <c r="E151" s="139" t="inlineStr">
        <is>
          <t>Intern</t>
        </is>
      </c>
      <c r="F151" s="139" t="inlineStr">
        <is>
          <t>Intern</t>
        </is>
      </c>
      <c r="G151" s="139" t="inlineStr">
        <is>
          <t>Intern</t>
        </is>
      </c>
      <c r="H151" s="139" t="inlineStr">
        <is>
          <t>Intern</t>
        </is>
      </c>
      <c r="I151" s="139" t="inlineStr">
        <is>
          <t>Intern</t>
        </is>
      </c>
      <c r="J151" s="139" t="inlineStr">
        <is>
          <t>Trainee</t>
        </is>
      </c>
      <c r="K151" s="139" t="inlineStr">
        <is>
          <t>C1Y ASE Trainee</t>
        </is>
      </c>
      <c r="L151" s="139" t="inlineStr">
        <is>
          <t>L12 Associate</t>
        </is>
      </c>
      <c r="M151" s="139" t="inlineStr">
        <is>
          <t>Intern / Trainee</t>
        </is>
      </c>
      <c r="N151" s="139" t="inlineStr">
        <is>
          <t>—</t>
        </is>
      </c>
    </row>
    <row r="152" ht="41" customHeight="1">
      <c r="A152" s="26" t="inlineStr">
        <is>
          <t>A2</t>
        </is>
      </c>
      <c r="B152" s="139" t="inlineStr">
        <is>
          <t>P1–P2</t>
        </is>
      </c>
      <c r="C152" s="139" t="inlineStr">
        <is>
          <t>Entry / Developing</t>
        </is>
      </c>
      <c r="D152" s="139" t="inlineStr">
        <is>
          <t>2 Assist</t>
        </is>
      </c>
      <c r="E152" s="139" t="inlineStr">
        <is>
          <t>Associate</t>
        </is>
      </c>
      <c r="F152" s="139" t="inlineStr">
        <is>
          <t>L3</t>
        </is>
      </c>
      <c r="G152" s="139" t="inlineStr">
        <is>
          <t>59–60</t>
        </is>
      </c>
      <c r="H152" s="139" t="inlineStr">
        <is>
          <t>L4 · SDE I</t>
        </is>
      </c>
      <c r="I152" s="139" t="inlineStr">
        <is>
          <t>Associate SE</t>
        </is>
      </c>
      <c r="J152" s="139" t="inlineStr">
        <is>
          <t>JL3B Systems Engineer</t>
        </is>
      </c>
      <c r="K152" s="139" t="inlineStr">
        <is>
          <t>C1 Assistant System Engineer</t>
        </is>
      </c>
      <c r="L152" s="139" t="inlineStr">
        <is>
          <t>L11 Analyst</t>
        </is>
      </c>
      <c r="M152" s="139" t="inlineStr">
        <is>
          <t>Analyst</t>
        </is>
      </c>
      <c r="N152" s="139" t="inlineStr">
        <is>
          <t>Associate</t>
        </is>
      </c>
    </row>
    <row r="153" ht="41" customHeight="1">
      <c r="A153" s="26" t="inlineStr">
        <is>
          <t>A3</t>
        </is>
      </c>
      <c r="B153" s="139" t="inlineStr">
        <is>
          <t>P2</t>
        </is>
      </c>
      <c r="C153" s="139" t="inlineStr">
        <is>
          <t>Developing</t>
        </is>
      </c>
      <c r="D153" s="139" t="inlineStr">
        <is>
          <t>3 Apply</t>
        </is>
      </c>
      <c r="E153" s="139" t="inlineStr">
        <is>
          <t>Intermediate</t>
        </is>
      </c>
      <c r="F153" s="139" t="inlineStr">
        <is>
          <t>L3–L4</t>
        </is>
      </c>
      <c r="G153" s="139" t="inlineStr">
        <is>
          <t>61–62</t>
        </is>
      </c>
      <c r="H153" s="139" t="inlineStr">
        <is>
          <t>L4</t>
        </is>
      </c>
      <c r="I153" s="139" t="inlineStr">
        <is>
          <t>Software Engineer</t>
        </is>
      </c>
      <c r="J153" s="139" t="inlineStr">
        <is>
          <t>JL3A Senior Systems Engineer</t>
        </is>
      </c>
      <c r="K153" s="139" t="inlineStr">
        <is>
          <t>C1 System Engineer</t>
        </is>
      </c>
      <c r="L153" s="139" t="inlineStr">
        <is>
          <t>L11–L10 · Senior Analyst</t>
        </is>
      </c>
      <c r="M153" s="139" t="inlineStr">
        <is>
          <t>Consultant</t>
        </is>
      </c>
      <c r="N153" s="139" t="inlineStr">
        <is>
          <t>Senior Associate · 2–5 yrs</t>
        </is>
      </c>
    </row>
    <row r="154" ht="54" customHeight="1">
      <c r="A154" s="23" t="inlineStr">
        <is>
          <t>B1</t>
        </is>
      </c>
      <c r="B154" s="21" t="inlineStr">
        <is>
          <t>P3 / M2</t>
        </is>
      </c>
      <c r="C154" s="21" t="inlineStr">
        <is>
          <t>Career / · Team Lead</t>
        </is>
      </c>
      <c r="D154" s="21" t="inlineStr">
        <is>
          <t>4 Enable</t>
        </is>
      </c>
      <c r="E154" s="21" t="inlineStr">
        <is>
          <t>Senior</t>
        </is>
      </c>
      <c r="F154" s="21" t="inlineStr">
        <is>
          <t>L4</t>
        </is>
      </c>
      <c r="G154" s="21" t="inlineStr">
        <is>
          <t>62</t>
        </is>
      </c>
      <c r="H154" s="21" t="inlineStr">
        <is>
          <t>L5 · SDE II</t>
        </is>
      </c>
      <c r="I154" s="21" t="inlineStr">
        <is>
          <t>Software Engineer – Senior SE</t>
        </is>
      </c>
      <c r="J154" s="21" t="inlineStr">
        <is>
          <t>JL4 Technology Analyst</t>
        </is>
      </c>
      <c r="K154" s="21" t="inlineStr">
        <is>
          <t>C2 IT Analyst</t>
        </is>
      </c>
      <c r="L154" s="21" t="inlineStr">
        <is>
          <t>L9 Team Lead / Consultant</t>
        </is>
      </c>
      <c r="M154" s="21" t="inlineStr">
        <is>
          <t>Senior Consultant / Assistant Manager</t>
        </is>
      </c>
      <c r="N154" s="21" t="inlineStr">
        <is>
          <t>—</t>
        </is>
      </c>
    </row>
    <row r="155" ht="41" customHeight="1">
      <c r="A155" s="23" t="inlineStr">
        <is>
          <t>B2</t>
        </is>
      </c>
      <c r="B155" s="21" t="inlineStr">
        <is>
          <t>P4 / M3</t>
        </is>
      </c>
      <c r="C155" s="21" t="inlineStr">
        <is>
          <t>Senior / Manager</t>
        </is>
      </c>
      <c r="D155" s="21" t="inlineStr">
        <is>
          <t>4–5</t>
        </is>
      </c>
      <c r="E155" s="21" t="inlineStr">
        <is>
          <t>Senior</t>
        </is>
      </c>
      <c r="F155" s="21" t="inlineStr">
        <is>
          <t>L5 · Senior</t>
        </is>
      </c>
      <c r="G155" s="21" t="inlineStr">
        <is>
          <t>63</t>
        </is>
      </c>
      <c r="H155" s="21" t="inlineStr">
        <is>
          <t>L5–L6</t>
        </is>
      </c>
      <c r="I155" s="21" t="inlineStr">
        <is>
          <t>Senior SE</t>
        </is>
      </c>
      <c r="J155" s="21" t="inlineStr">
        <is>
          <t>JL5 Technology Lead</t>
        </is>
      </c>
      <c r="K155" s="21" t="inlineStr">
        <is>
          <t>C3A Assistant Consultant</t>
        </is>
      </c>
      <c r="L155" s="21" t="inlineStr">
        <is>
          <t>L8 Associate Manager</t>
        </is>
      </c>
      <c r="M155" s="21" t="inlineStr">
        <is>
          <t>Manager</t>
        </is>
      </c>
      <c r="N155" s="21" t="inlineStr">
        <is>
          <t>—</t>
        </is>
      </c>
    </row>
    <row r="156" ht="41" customHeight="1">
      <c r="A156" s="23" t="inlineStr">
        <is>
          <t>B3</t>
        </is>
      </c>
      <c r="B156" s="21" t="inlineStr">
        <is>
          <t>P5 / M4</t>
        </is>
      </c>
      <c r="C156" s="21" t="inlineStr">
        <is>
          <t>Expert / Senior Manager</t>
        </is>
      </c>
      <c r="D156" s="21" t="inlineStr">
        <is>
          <t>5 Ensure, advise</t>
        </is>
      </c>
      <c r="E156" s="21" t="inlineStr">
        <is>
          <t>Senior–Staff / Manager</t>
        </is>
      </c>
      <c r="F156" s="21" t="inlineStr">
        <is>
          <t>L5 · Senior</t>
        </is>
      </c>
      <c r="G156" s="21" t="inlineStr">
        <is>
          <t>63–64</t>
        </is>
      </c>
      <c r="H156" s="21" t="inlineStr">
        <is>
          <t>L6 · Senior SDE</t>
        </is>
      </c>
      <c r="I156" s="21" t="inlineStr">
        <is>
          <t>Senior SE</t>
        </is>
      </c>
      <c r="J156" s="21" t="inlineStr">
        <is>
          <t>JL5–JL6B</t>
        </is>
      </c>
      <c r="K156" s="21" t="inlineStr">
        <is>
          <t>C3B Associate Consultant</t>
        </is>
      </c>
      <c r="L156" s="21" t="inlineStr">
        <is>
          <t>L7 Manager</t>
        </is>
      </c>
      <c r="M156" s="21" t="inlineStr">
        <is>
          <t>Senior Manager</t>
        </is>
      </c>
      <c r="N156" s="21" t="inlineStr">
        <is>
          <t>—</t>
        </is>
      </c>
    </row>
    <row r="157" ht="28" customHeight="1">
      <c r="A157" s="33" t="inlineStr">
        <is>
          <t>C1</t>
        </is>
      </c>
      <c r="B157" s="146" t="inlineStr">
        <is>
          <t>P6 / M5</t>
        </is>
      </c>
      <c r="C157" s="146" t="inlineStr">
        <is>
          <t>Principal / Director</t>
        </is>
      </c>
      <c r="D157" s="146" t="inlineStr">
        <is>
          <t>5–6</t>
        </is>
      </c>
      <c r="E157" s="146" t="inlineStr">
        <is>
          <t>Staff / Senior Manager</t>
        </is>
      </c>
      <c r="F157" s="146" t="inlineStr">
        <is>
          <t>L6 · Staff</t>
        </is>
      </c>
      <c r="G157" s="146" t="inlineStr">
        <is>
          <t>64–65</t>
        </is>
      </c>
      <c r="H157" s="146" t="inlineStr">
        <is>
          <t>L6</t>
        </is>
      </c>
      <c r="I157" s="146" t="inlineStr">
        <is>
          <t>Staff SE</t>
        </is>
      </c>
      <c r="J157" s="146" t="inlineStr">
        <is>
          <t>JL6B</t>
        </is>
      </c>
      <c r="K157" s="146" t="inlineStr">
        <is>
          <t>C4 Consultant</t>
        </is>
      </c>
      <c r="L157" s="146" t="inlineStr">
        <is>
          <t>L7 Manager</t>
        </is>
      </c>
      <c r="M157" s="146" t="inlineStr">
        <is>
          <t>Associate Director</t>
        </is>
      </c>
      <c r="N157" s="146" t="inlineStr">
        <is>
          <t>—</t>
        </is>
      </c>
    </row>
    <row r="158" ht="41" customHeight="1">
      <c r="A158" s="39" t="inlineStr">
        <is>
          <t>D2</t>
        </is>
      </c>
      <c r="B158" s="149" t="inlineStr">
        <is>
          <t>E3–E4</t>
        </is>
      </c>
      <c r="C158" s="149" t="inlineStr">
        <is>
          <t>SVP</t>
        </is>
      </c>
      <c r="D158" s="149" t="inlineStr">
        <is>
          <t>7 Set strategy</t>
        </is>
      </c>
      <c r="E158" s="149" t="inlineStr">
        <is>
          <t>VP</t>
        </is>
      </c>
      <c r="F158" s="149" t="inlineStr">
        <is>
          <t>L8 · Director</t>
        </is>
      </c>
      <c r="G158" s="149" t="inlineStr">
        <is>
          <t>68</t>
        </is>
      </c>
      <c r="H158" s="149" t="inlineStr">
        <is>
          <t>L8</t>
        </is>
      </c>
      <c r="I158" s="149" t="inlineStr">
        <is>
          <t>—</t>
        </is>
      </c>
      <c r="J158" s="149" t="inlineStr">
        <is>
          <t>—</t>
        </is>
      </c>
      <c r="K158" s="149" t="inlineStr">
        <is>
          <t>SP1 Principal Consultant</t>
        </is>
      </c>
      <c r="L158" s="149" t="inlineStr">
        <is>
          <t>—</t>
        </is>
      </c>
      <c r="M158" s="149" t="inlineStr">
        <is>
          <t>Partner</t>
        </is>
      </c>
      <c r="N158" s="149" t="inlineStr">
        <is>
          <t>—</t>
        </is>
      </c>
    </row>
    <row r="159" ht="15" customHeight="1">
      <c r="A159" s="42" t="inlineStr">
        <is>
          <t>E1</t>
        </is>
      </c>
      <c r="B159" s="145" t="inlineStr">
        <is>
          <t>E5</t>
        </is>
      </c>
      <c r="C159" s="145" t="inlineStr">
        <is>
          <t>C-Level</t>
        </is>
      </c>
      <c r="D159" s="145" t="inlineStr">
        <is>
          <t>7</t>
        </is>
      </c>
      <c r="E159" s="145" t="inlineStr">
        <is>
          <t>Executive</t>
        </is>
      </c>
      <c r="F159" s="145" t="inlineStr">
        <is>
          <t>—</t>
        </is>
      </c>
      <c r="G159" s="145" t="inlineStr">
        <is>
          <t>—</t>
        </is>
      </c>
      <c r="H159" s="145" t="inlineStr">
        <is>
          <t>—</t>
        </is>
      </c>
      <c r="I159" s="145" t="inlineStr">
        <is>
          <t>—</t>
        </is>
      </c>
      <c r="J159" s="145" t="inlineStr">
        <is>
          <t>—</t>
        </is>
      </c>
      <c r="K159" s="145" t="inlineStr">
        <is>
          <t>—</t>
        </is>
      </c>
      <c r="L159" s="145" t="inlineStr">
        <is>
          <t>—</t>
        </is>
      </c>
      <c r="M159" s="145" t="inlineStr">
        <is>
          <t>—</t>
        </is>
      </c>
      <c r="N159" s="145" t="inlineStr">
        <is>
          <t>—</t>
        </is>
      </c>
    </row>
    <row r="160" ht="28" customHeight="1">
      <c r="A160" s="42" t="inlineStr">
        <is>
          <t>E2</t>
        </is>
      </c>
      <c r="B160" s="145" t="inlineStr">
        <is>
          <t>E6</t>
        </is>
      </c>
      <c r="C160" s="145" t="inlineStr">
        <is>
          <t>C-Level · CEO</t>
        </is>
      </c>
      <c r="D160" s="145" t="inlineStr">
        <is>
          <t>7</t>
        </is>
      </c>
      <c r="E160" s="145" t="inlineStr">
        <is>
          <t>Executive · CEO</t>
        </is>
      </c>
      <c r="F160" s="145" t="inlineStr">
        <is>
          <t>—</t>
        </is>
      </c>
      <c r="G160" s="145" t="inlineStr">
        <is>
          <t>—</t>
        </is>
      </c>
      <c r="H160" s="145" t="inlineStr">
        <is>
          <t>—</t>
        </is>
      </c>
      <c r="I160" s="145" t="inlineStr">
        <is>
          <t>—</t>
        </is>
      </c>
      <c r="J160" s="145" t="inlineStr">
        <is>
          <t>—</t>
        </is>
      </c>
      <c r="K160" s="145" t="inlineStr">
        <is>
          <t>—</t>
        </is>
      </c>
      <c r="L160" s="145" t="inlineStr">
        <is>
          <t>—</t>
        </is>
      </c>
      <c r="M160" s="145" t="inlineStr">
        <is>
          <t>—</t>
        </is>
      </c>
      <c r="N160" s="145" t="inlineStr">
        <is>
          <t>—</t>
        </is>
      </c>
    </row>
    <row r="161" ht="15" customHeight="1"/>
    <row r="162" ht="41" customHeight="1">
      <c r="A162" s="11" t="inlineStr">
        <is>
          <t>Equivalence of scope, not pay. Each company cell is the level whose typical experience matches the IRIS level's experience range, or one step lower where the IRIS role carries less scope than the same title at a much larger firm · global product companies from B3 up. It is never higher than the experience match. Google / Microsoft / Amazon / Workiva / Infosys / TCS titles are engineering-ladder titles; per role · sheets 6–7 non-technology roles show the grade code only.</t>
        </is>
      </c>
    </row>
    <row r="163" ht="15" customHeight="1">
      <c r="A163" s="12" t="inlineStr">
        <is>
          <t>Job family</t>
        </is>
      </c>
      <c r="B163" s="211" t="n"/>
      <c r="C163" s="12" t="inlineStr">
        <is>
          <t>IRIS IC ladder · A2 → C1</t>
        </is>
      </c>
      <c r="D163" s="212" t="n"/>
      <c r="E163" s="212" t="n"/>
      <c r="F163" s="211" t="n"/>
      <c r="G163" s="12" t="inlineStr">
        <is>
          <t>IRIS manager ladder</t>
        </is>
      </c>
      <c r="H163" s="212" t="n"/>
      <c r="I163" s="211" t="n"/>
      <c r="J163" s="12" t="inlineStr">
        <is>
          <t>Market comparison</t>
        </is>
      </c>
      <c r="K163" s="212" t="n"/>
      <c r="L163" s="211" t="n"/>
      <c r="M163" s="12" t="inlineStr">
        <is>
          <t>Reference</t>
        </is>
      </c>
      <c r="N163" s="12" t="inlineStr">
        <is>
          <t>People</t>
        </is>
      </c>
    </row>
    <row r="164" ht="54" customHeight="1">
      <c r="A164" s="13" t="inlineStr">
        <is>
          <t>Engineering &amp; Development</t>
        </is>
      </c>
      <c r="B164" s="211" t="n"/>
      <c r="C164" s="16" t="inlineStr">
        <is>
          <t>Software Engineer → Senior Software Engineer → Technical Specialist → Senior Technical Specialist → Lead Software Engineer → Principal Software Engineer</t>
        </is>
      </c>
      <c r="D164" s="212" t="n"/>
      <c r="E164" s="212" t="n"/>
      <c r="F164" s="211" t="n"/>
      <c r="G164" s="16" t="inlineStr">
        <is>
          <t>Team Lead → Engineering Manager → Senior Engineering Manager → Head – Product Engineering</t>
        </is>
      </c>
      <c r="H164" s="212" t="n"/>
      <c r="I164" s="211" t="n"/>
      <c r="J164" s="16" t="inlineStr">
        <is>
          <r>
            <rPr>
              <rFont val="Calibri"/>
              <b val="1"/>
              <sz val="10"/>
            </rPr>
            <t>Workiva:</t>
          </r>
          <r>
            <rPr>
              <rFont val="Calibri"/>
              <sz val="10"/>
            </rPr>
            <t xml:space="preserve"> Associate SE → SE → Senior → Staff; Radford engineering P1–P6 / M3–M6</t>
          </r>
        </is>
      </c>
      <c r="K164" s="212" t="n"/>
      <c r="L164" s="211" t="n"/>
      <c r="M164" s="16" t="inlineStr">
        <is>
          <t>Workiva · Levels.fyi, Radford / Pave</t>
        </is>
      </c>
      <c r="N164" s="15" t="n">
        <v>1</v>
      </c>
    </row>
    <row r="165" ht="41" customHeight="1">
      <c r="A165" s="13" t="inlineStr">
        <is>
          <t>Marketing &amp; Communications</t>
        </is>
      </c>
      <c r="B165" s="211" t="n"/>
      <c r="C165" s="16" t="inlineStr">
        <is>
          <t>Marketing Associate → Senior Associate → Marketing Specialist → Senior Specialist → Lead Specialist</t>
        </is>
      </c>
      <c r="D165" s="212" t="n"/>
      <c r="E165" s="212" t="n"/>
      <c r="F165" s="211" t="n"/>
      <c r="G165" s="16" t="inlineStr">
        <is>
          <t>Team Lead → Marketing Manager → Senior Marketing Manager → Head – Marketing</t>
        </is>
      </c>
      <c r="H165" s="212" t="n"/>
      <c r="I165" s="211" t="n"/>
      <c r="J165" s="16" t="inlineStr">
        <is>
          <t>Specialist P2–P5; Manager M3–M5</t>
        </is>
      </c>
      <c r="K165" s="212" t="n"/>
      <c r="L165" s="211" t="n"/>
      <c r="M165" s="16" t="inlineStr">
        <is>
          <t>Radford / Pave</t>
        </is>
      </c>
      <c r="N165" s="15" t="n">
        <v>2</v>
      </c>
    </row>
    <row r="166" ht="41" customHeight="1">
      <c r="A166" s="13" t="inlineStr">
        <is>
          <t>Executive Leadership</t>
        </is>
      </c>
      <c r="B166" s="211" t="n"/>
      <c r="C166" s="16" t="inlineStr">
        <is>
          <t>—</t>
        </is>
      </c>
      <c r="D166" s="212" t="n"/>
      <c r="E166" s="212" t="n"/>
      <c r="F166" s="211" t="n"/>
      <c r="G166" s="16" t="inlineStr">
        <is>
          <t>Associate Vice President / Business Head → Vice President → CXO → CEO</t>
        </is>
      </c>
      <c r="H166" s="212" t="n"/>
      <c r="I166" s="211" t="n"/>
      <c r="J166" s="16" t="inlineStr">
        <is>
          <t>Executive E1–E6</t>
        </is>
      </c>
      <c r="K166" s="212" t="n"/>
      <c r="L166" s="211" t="n"/>
      <c r="M166" s="16" t="inlineStr">
        <is>
          <t>Radford / Pave</t>
        </is>
      </c>
      <c r="N166" s="15" t="n">
        <v>4</v>
      </c>
    </row>
    <row r="167" ht="28" customHeight="1">
      <c r="A167" s="13" t="inlineStr">
        <is>
          <t>Design &amp; Creative</t>
        </is>
      </c>
      <c r="B167" s="211" t="n"/>
      <c r="C167" s="16" t="inlineStr">
        <is>
          <t>Designer → Senior Designer → Design Specialist → Senior Design Specialist → Lead Designer</t>
        </is>
      </c>
      <c r="D167" s="212" t="n"/>
      <c r="E167" s="212" t="n"/>
      <c r="F167" s="211" t="n"/>
      <c r="G167" s="16" t="inlineStr">
        <is>
          <t>Team Lead → Design Manager → Head – Design</t>
        </is>
      </c>
      <c r="H167" s="212" t="n"/>
      <c r="I167" s="211" t="n"/>
      <c r="J167" s="16" t="inlineStr">
        <is>
          <t>Designer P1–P5 / M3–M5</t>
        </is>
      </c>
      <c r="K167" s="212" t="n"/>
      <c r="L167" s="211" t="n"/>
      <c r="M167" s="16" t="inlineStr">
        <is>
          <t>Radford / Pave</t>
        </is>
      </c>
      <c r="N167" s="15" t="n">
        <v>1</v>
      </c>
    </row>
    <row r="168" ht="41" customHeight="1">
      <c r="A168" s="13" t="inlineStr">
        <is>
          <t>Project &amp; Program Management</t>
        </is>
      </c>
      <c r="B168" s="211" t="n"/>
      <c r="C168" s="16" t="inlineStr">
        <is>
          <t>Project Coordinator → Senior Coordinator → Associate Project Manager → Project Manager → Program Manager → Senior Program Manager</t>
        </is>
      </c>
      <c r="D168" s="212" t="n"/>
      <c r="E168" s="212" t="n"/>
      <c r="F168" s="211" t="n"/>
      <c r="G168" s="16" t="inlineStr">
        <is>
          <t>Delivery Manager → Associate Head – Delivery → Head – Delivery</t>
        </is>
      </c>
      <c r="H168" s="212" t="n"/>
      <c r="I168" s="211" t="n"/>
      <c r="J168" s="16" t="inlineStr">
        <is>
          <t>Project / Program Manager P3–P6; Delivery Manager M3–M5</t>
        </is>
      </c>
      <c r="K168" s="212" t="n"/>
      <c r="L168" s="211" t="n"/>
      <c r="M168" s="16" t="inlineStr">
        <is>
          <t>Radford / Pave</t>
        </is>
      </c>
      <c r="N168" s="15" t="n">
        <v>1</v>
      </c>
    </row>
    <row r="169" ht="41" customHeight="1">
      <c r="A169" s="13" t="inlineStr">
        <is>
          <t>IT &amp; Infrastructure</t>
        </is>
      </c>
      <c r="B169" s="211" t="n"/>
      <c r="C169" s="16" t="inlineStr">
        <is>
          <t>System Administrator → Senior SysAdmin → Infrastructure Specialist → Senior Specialist → Lead Infrastructure Engineer</t>
        </is>
      </c>
      <c r="D169" s="212" t="n"/>
      <c r="E169" s="212" t="n"/>
      <c r="F169" s="211" t="n"/>
      <c r="G169" s="16" t="inlineStr">
        <is>
          <t>Team Lead → IT Manager → Head – IT</t>
        </is>
      </c>
      <c r="H169" s="212" t="n"/>
      <c r="I169" s="211" t="n"/>
      <c r="J169" s="16" t="inlineStr">
        <is>
          <t>SysAdmin / Infra engineer P1–P5</t>
        </is>
      </c>
      <c r="K169" s="212" t="n"/>
      <c r="L169" s="211" t="n"/>
      <c r="M169" s="16" t="inlineStr">
        <is>
          <t>Radford / Pave</t>
        </is>
      </c>
      <c r="N169" s="15" t="n">
        <v>13</v>
      </c>
    </row>
    <row r="170" ht="41" customHeight="1">
      <c r="A170" s="13" t="inlineStr">
        <is>
          <t>Finance &amp; Accounts</t>
        </is>
      </c>
      <c r="B170" s="211" t="n"/>
      <c r="C170" s="16" t="inlineStr">
        <is>
          <t>Accounts Executive → Senior Accounts Executive → Finance Specialist → Senior Finance Specialist → Lead Finance Specialist</t>
        </is>
      </c>
      <c r="D170" s="212" t="n"/>
      <c r="E170" s="212" t="n"/>
      <c r="F170" s="211" t="n"/>
      <c r="G170" s="16" t="inlineStr">
        <is>
          <t>Team Lead → Finance Manager → Head – Finance &amp; Accounts → CFO</t>
        </is>
      </c>
      <c r="H170" s="212" t="n"/>
      <c r="I170" s="211" t="n"/>
      <c r="J170" s="16" t="inlineStr">
        <is>
          <t>Accountant P1–P5; Finance Manager M3; Head M5–M6</t>
        </is>
      </c>
      <c r="K170" s="212" t="n"/>
      <c r="L170" s="211" t="n"/>
      <c r="M170" s="16" t="inlineStr">
        <is>
          <t>Radford / Mercer</t>
        </is>
      </c>
      <c r="N170" s="15" t="n">
        <v>10</v>
      </c>
    </row>
    <row r="171" ht="28" customHeight="1">
      <c r="A171" s="13" t="inlineStr">
        <is>
          <t>Administration, Legal &amp; Secretarial</t>
        </is>
      </c>
      <c r="B171" s="211" t="n"/>
      <c r="C171" s="16" t="inlineStr">
        <is>
          <t>Admin / Secretarial Executive → Senior Executive → Specialist → Company Secretary</t>
        </is>
      </c>
      <c r="D171" s="212" t="n"/>
      <c r="E171" s="212" t="n"/>
      <c r="F171" s="211" t="n"/>
      <c r="G171" s="16" t="inlineStr">
        <is>
          <t>Team Lead → Admin Manager → Head – Admin</t>
        </is>
      </c>
      <c r="H171" s="212" t="n"/>
      <c r="I171" s="211" t="n"/>
      <c r="J171" s="16" t="inlineStr">
        <is>
          <t>Admin P1–P4; Company Secretary statutory officer</t>
        </is>
      </c>
      <c r="K171" s="212" t="n"/>
      <c r="L171" s="211" t="n"/>
      <c r="M171" s="16" t="inlineStr">
        <is>
          <t>Mercer</t>
        </is>
      </c>
      <c r="N171" s="15" t="n">
        <v>9</v>
      </c>
    </row>
    <row r="172" ht="28" customHeight="1">
      <c r="A172" s="13" t="inlineStr">
        <is>
          <t>Human Resources</t>
        </is>
      </c>
      <c r="B172" s="211" t="n"/>
      <c r="C172" s="16" t="inlineStr">
        <is>
          <t>HR Executive → Senior HR Executive → HR Specialist → Senior HR Specialist → Lead HR Specialist</t>
        </is>
      </c>
      <c r="D172" s="212" t="n"/>
      <c r="E172" s="212" t="n"/>
      <c r="F172" s="211" t="n"/>
      <c r="G172" s="16" t="inlineStr">
        <is>
          <t>Team Lead → HR Manager → Head – HR → VP HR</t>
        </is>
      </c>
      <c r="H172" s="212" t="n"/>
      <c r="I172" s="211" t="n"/>
      <c r="J172" s="16" t="inlineStr">
        <is>
          <t>HR generalist / specialist P1–P5; HR Manager M3</t>
        </is>
      </c>
      <c r="K172" s="212" t="n"/>
      <c r="L172" s="211" t="n"/>
      <c r="M172" s="16" t="inlineStr">
        <is>
          <t>Radford / Mercer</t>
        </is>
      </c>
      <c r="N172" s="15" t="n">
        <v>8</v>
      </c>
    </row>
    <row r="173" ht="15" customHeight="1"/>
    <row r="174" ht="20" customHeight="1">
      <c r="A174" s="6" t="inlineStr">
        <is>
          <t>8. STEPS 10–11 · Capability and development — headline</t>
        </is>
      </c>
    </row>
    <row r="175" ht="28" customHeight="1">
      <c r="A175" s="12" t="inlineStr">
        <is>
          <t>Department</t>
        </is>
      </c>
      <c r="B175" s="211" t="n"/>
      <c r="C175" s="12" t="inlineStr">
        <is>
          <t>People</t>
        </is>
      </c>
      <c r="D175" s="12" t="inlineStr">
        <is>
          <t>Avg competency index %</t>
        </is>
      </c>
      <c r="E175" s="12" t="inlineStr">
        <is>
          <t>Most common gaps</t>
        </is>
      </c>
      <c r="F175" s="212" t="n"/>
      <c r="G175" s="212" t="n"/>
      <c r="H175" s="211" t="n"/>
      <c r="I175" s="12" t="inlineStr">
        <is>
          <t>What helped people learn · survey</t>
        </is>
      </c>
      <c r="J175" s="212" t="n"/>
      <c r="K175" s="211" t="n"/>
      <c r="L175" s="12" t="inlineStr">
        <is>
          <t>AI / automation impact</t>
        </is>
      </c>
      <c r="M175" s="212" t="n"/>
      <c r="N175" s="211" t="n"/>
    </row>
    <row r="176" ht="54" customHeight="1">
      <c r="A176" s="13" t="inlineStr">
        <is>
          <t>Administration</t>
        </is>
      </c>
      <c r="B176" s="211" t="n"/>
      <c r="C176" s="15" t="n">
        <v>6</v>
      </c>
      <c r="D176" s="15" t="n">
        <v>96</v>
      </c>
      <c r="E176" s="16" t="inlineStr">
        <is>
          <t>Prioritisation · Learning agility · AI literacy · Regulatory domain</t>
        </is>
      </c>
      <c r="F176" s="212" t="n"/>
      <c r="G176" s="212" t="n"/>
      <c r="H176" s="211" t="n"/>
      <c r="I176" s="16" t="inlineStr">
        <is>
          <r>
            <rPr>
              <rFont val="Calibri"/>
              <b val="1"/>
              <sz val="10"/>
            </rPr>
            <t>Withheld:</t>
          </r>
          <r>
            <rPr>
              <rFont val="Calibri"/>
              <sz val="10"/>
            </rPr>
            <t xml:space="preserve"> fewer than 3 role-holders answered the survey, so answers would identify a person · IRIS role catalogue entry to follow</t>
          </r>
        </is>
      </c>
      <c r="J176" s="212" t="n"/>
      <c r="K176" s="211" t="n"/>
      <c r="L176" s="16" t="inlineStr">
        <is>
          <t>—</t>
        </is>
      </c>
      <c r="M176" s="212" t="n"/>
      <c r="N176" s="211" t="n"/>
    </row>
    <row r="177" ht="54" customHeight="1">
      <c r="A177" s="13" t="inlineStr">
        <is>
          <t>Finance</t>
        </is>
      </c>
      <c r="B177" s="211" t="n"/>
      <c r="C177" s="15" t="n">
        <v>11</v>
      </c>
      <c r="D177" s="15" t="n">
        <v>87</v>
      </c>
      <c r="E177" s="16" t="inlineStr">
        <is>
          <t>Analytics &amp; BI · Business acumen · Quality &amp; process · Ownership</t>
        </is>
      </c>
      <c r="F177" s="212" t="n"/>
      <c r="G177" s="212" t="n"/>
      <c r="H177" s="211" t="n"/>
      <c r="I177" s="16" t="inlineStr">
        <is>
          <t>Mentoring / guidance from seniors · Formal / classroom training · On-the-job / hands-on · Online courses / self-learning</t>
        </is>
      </c>
      <c r="J177" s="212" t="n"/>
      <c r="K177" s="211" t="n"/>
      <c r="L177" s="16" t="inlineStr">
        <is>
          <t>4 of 7 say the role is changing because of AI / automation</t>
        </is>
      </c>
      <c r="M177" s="212" t="n"/>
      <c r="N177" s="211" t="n"/>
    </row>
    <row r="178" ht="28" customHeight="1">
      <c r="A178" s="13" t="inlineStr">
        <is>
          <t>HR</t>
        </is>
      </c>
      <c r="B178" s="211" t="n"/>
      <c r="C178" s="15" t="n">
        <v>8</v>
      </c>
      <c r="D178" s="15" t="n">
        <v>81</v>
      </c>
      <c r="E178" s="16" t="inlineStr">
        <is>
          <t>Analytics &amp; BI · Communication · People leadership · Stakeholder mgmt</t>
        </is>
      </c>
      <c r="F178" s="212" t="n"/>
      <c r="G178" s="212" t="n"/>
      <c r="H178" s="211" t="n"/>
      <c r="I178" s="16" t="inlineStr">
        <is>
          <t>On-the-job / hands-on · Mentoring / guidance from seniors</t>
        </is>
      </c>
      <c r="J178" s="212" t="n"/>
      <c r="K178" s="211" t="n"/>
      <c r="L178" s="16" t="inlineStr">
        <is>
          <t>2 of 4 say the role is changing because of AI / automation</t>
        </is>
      </c>
      <c r="M178" s="212" t="n"/>
      <c r="N178" s="211" t="n"/>
    </row>
    <row r="179" ht="54" customHeight="1">
      <c r="A179" s="13" t="inlineStr">
        <is>
          <t>IT &amp; Infrastructure</t>
        </is>
      </c>
      <c r="B179" s="211" t="n"/>
      <c r="C179" s="15" t="n">
        <v>14</v>
      </c>
      <c r="D179" s="15" t="n">
        <v>86</v>
      </c>
      <c r="E179" s="16" t="inlineStr">
        <is>
          <t>Prioritisation · Quality &amp; process · AI / GenAI · Stakeholder mgmt</t>
        </is>
      </c>
      <c r="F179" s="212" t="n"/>
      <c r="G179" s="212" t="n"/>
      <c r="H179" s="211" t="n"/>
      <c r="I179" s="16" t="inlineStr">
        <is>
          <t>On-the-job / hands-on · Formal / classroom training · Mentoring / guidance from seniors · Certification</t>
        </is>
      </c>
      <c r="J179" s="212" t="n"/>
      <c r="K179" s="211" t="n"/>
      <c r="L179" s="16" t="inlineStr">
        <is>
          <t>7 of 12 say the role is changing because of AI / automation</t>
        </is>
      </c>
      <c r="M179" s="212" t="n"/>
      <c r="N179" s="211" t="n"/>
    </row>
    <row r="180" ht="54" customHeight="1">
      <c r="A180" s="13" t="inlineStr">
        <is>
          <t>Management</t>
        </is>
      </c>
      <c r="B180" s="211" t="n"/>
      <c r="C180" s="15" t="n">
        <v>2</v>
      </c>
      <c r="D180" s="15" t="inlineStr">
        <is>
          <t>—</t>
        </is>
      </c>
      <c r="E180" s="16" t="inlineStr">
        <is>
          <t>—</t>
        </is>
      </c>
      <c r="F180" s="212" t="n"/>
      <c r="G180" s="212" t="n"/>
      <c r="H180" s="211" t="n"/>
      <c r="I180" s="16" t="inlineStr">
        <is>
          <r>
            <rPr>
              <rFont val="Calibri"/>
              <b val="1"/>
              <sz val="10"/>
            </rPr>
            <t>Withheld:</t>
          </r>
          <r>
            <rPr>
              <rFont val="Calibri"/>
              <sz val="10"/>
            </rPr>
            <t xml:space="preserve"> fewer than 3 role-holders answered the survey, so answers would identify a person · IRIS role catalogue entry to follow</t>
          </r>
        </is>
      </c>
      <c r="J180" s="212" t="n"/>
      <c r="K180" s="211" t="n"/>
      <c r="L180" s="16" t="inlineStr">
        <is>
          <t>—</t>
        </is>
      </c>
      <c r="M180" s="212" t="n"/>
      <c r="N180" s="211" t="n"/>
    </row>
    <row r="181" ht="28" customHeight="1">
      <c r="A181" s="13" t="inlineStr">
        <is>
          <t>Marketing</t>
        </is>
      </c>
      <c r="B181" s="211" t="n"/>
      <c r="C181" s="15" t="n">
        <v>3</v>
      </c>
      <c r="D181" s="15" t="n">
        <v>95</v>
      </c>
      <c r="E181" s="16" t="inlineStr">
        <is>
          <t>AI / GenAI · Learning agility · Digital fluency · Stakeholder mgmt</t>
        </is>
      </c>
      <c r="F181" s="212" t="n"/>
      <c r="G181" s="212" t="n"/>
      <c r="H181" s="211" t="n"/>
      <c r="I181" s="16" t="inlineStr">
        <is>
          <t>On-the-job / hands-on</t>
        </is>
      </c>
      <c r="J181" s="212" t="n"/>
      <c r="K181" s="211" t="n"/>
      <c r="L181" s="16" t="inlineStr">
        <is>
          <t>1 of 2 say the role is changing because of AI / automation</t>
        </is>
      </c>
      <c r="M181" s="212" t="n"/>
      <c r="N181" s="211" t="n"/>
    </row>
    <row r="182" ht="54" customHeight="1">
      <c r="A182" s="13" t="inlineStr">
        <is>
          <t>Secretarial &amp; Legal</t>
        </is>
      </c>
      <c r="B182" s="211" t="n"/>
      <c r="C182" s="15" t="n">
        <v>3</v>
      </c>
      <c r="D182" s="15" t="n">
        <v>101</v>
      </c>
      <c r="E182" s="16" t="inlineStr">
        <is>
          <t>Ownership · Problem solving · Learning agility</t>
        </is>
      </c>
      <c r="F182" s="212" t="n"/>
      <c r="G182" s="212" t="n"/>
      <c r="H182" s="211" t="n"/>
      <c r="I182" s="16" t="inlineStr">
        <is>
          <r>
            <rPr>
              <rFont val="Calibri"/>
              <b val="1"/>
              <sz val="10"/>
            </rPr>
            <t>Withheld:</t>
          </r>
          <r>
            <rPr>
              <rFont val="Calibri"/>
              <sz val="10"/>
            </rPr>
            <t xml:space="preserve"> fewer than 3 role-holders answered the survey, so answers would identify a person · IRIS role catalogue entry to follow</t>
          </r>
        </is>
      </c>
      <c r="J182" s="212" t="n"/>
      <c r="K182" s="211" t="n"/>
      <c r="L182" s="16" t="inlineStr">
        <is>
          <t>—</t>
        </is>
      </c>
      <c r="M182" s="212" t="n"/>
      <c r="N182" s="211" t="n"/>
    </row>
    <row r="183" ht="54" customHeight="1">
      <c r="A183" s="13" t="inlineStr">
        <is>
          <t>Technology</t>
        </is>
      </c>
      <c r="B183" s="211" t="n"/>
      <c r="C183" s="15" t="n">
        <v>2</v>
      </c>
      <c r="D183" s="15" t="inlineStr">
        <is>
          <t>—</t>
        </is>
      </c>
      <c r="E183" s="16" t="inlineStr">
        <is>
          <t>—</t>
        </is>
      </c>
      <c r="F183" s="212" t="n"/>
      <c r="G183" s="212" t="n"/>
      <c r="H183" s="211" t="n"/>
      <c r="I183" s="16" t="inlineStr">
        <is>
          <r>
            <rPr>
              <rFont val="Calibri"/>
              <b val="1"/>
              <sz val="10"/>
            </rPr>
            <t>Withheld:</t>
          </r>
          <r>
            <rPr>
              <rFont val="Calibri"/>
              <sz val="10"/>
            </rPr>
            <t xml:space="preserve"> fewer than 3 role-holders answered the survey, so answers would identify a person · IRIS role catalogue entry to follow</t>
          </r>
        </is>
      </c>
      <c r="J183" s="212" t="n"/>
      <c r="K183" s="211" t="n"/>
      <c r="L183" s="16" t="inlineStr">
        <is>
          <t>—</t>
        </is>
      </c>
      <c r="M183" s="212" t="n"/>
      <c r="N183" s="211" t="n"/>
    </row>
    <row r="184" ht="15" customHeight="1"/>
    <row r="185" ht="20" customHeight="1">
      <c r="A185" s="6" t="inlineStr">
        <is>
          <t>9. STEP 12 · Validation, change log and open decisions</t>
        </is>
      </c>
    </row>
    <row r="186" ht="28" customHeight="1">
      <c r="A186" s="12" t="inlineStr">
        <is>
          <t>Person</t>
        </is>
      </c>
      <c r="B186" s="211" t="n"/>
      <c r="C186" s="12" t="inlineStr">
        <is>
          <t>Department</t>
        </is>
      </c>
      <c r="D186" s="211" t="n"/>
      <c r="E186" s="12" t="inlineStr">
        <is>
          <t>Earlier proposal</t>
        </is>
      </c>
      <c r="F186" s="12" t="inlineStr">
        <is>
          <t>Final</t>
        </is>
      </c>
      <c r="G186" s="12" t="inlineStr">
        <is>
          <t>Why</t>
        </is>
      </c>
      <c r="H186" s="212" t="n"/>
      <c r="I186" s="212" t="n"/>
      <c r="J186" s="212" t="n"/>
      <c r="K186" s="212" t="n"/>
      <c r="L186" s="212" t="n"/>
      <c r="M186" s="212" t="n"/>
      <c r="N186" s="211" t="n"/>
    </row>
    <row r="187" ht="28" customHeight="1">
      <c r="A187" s="13" t="inlineStr">
        <is>
          <t>Mohammed Hanzala Shaikh</t>
        </is>
      </c>
      <c r="B187" s="211" t="n"/>
      <c r="C187" s="16" t="inlineStr">
        <is>
          <t>HR</t>
        </is>
      </c>
      <c r="D187" s="211" t="n"/>
      <c r="E187" s="15" t="inlineStr">
        <is>
          <t>B2</t>
        </is>
      </c>
      <c r="F187" s="15" t="inlineStr">
        <is>
          <t>B3</t>
        </is>
      </c>
      <c r="G187" s="16" t="inlineStr">
        <is>
          <t>Derived weight set CF-B-IC gives 5.73; designation now Lead HR Specialist – Transformation &amp; OD</t>
        </is>
      </c>
      <c r="H187" s="212" t="n"/>
      <c r="I187" s="212" t="n"/>
      <c r="J187" s="212" t="n"/>
      <c r="K187" s="212" t="n"/>
      <c r="L187" s="212" t="n"/>
      <c r="M187" s="212" t="n"/>
      <c r="N187" s="211" t="n"/>
    </row>
    <row r="188" ht="15" customHeight="1">
      <c r="A188" s="13" t="inlineStr">
        <is>
          <t>Mahesh Tilave</t>
        </is>
      </c>
      <c r="B188" s="211" t="n"/>
      <c r="C188" s="16" t="inlineStr">
        <is>
          <t>IT &amp; Infrastructure</t>
        </is>
      </c>
      <c r="D188" s="211" t="n"/>
      <c r="E188" s="15" t="inlineStr">
        <is>
          <t>B3</t>
        </is>
      </c>
      <c r="F188" s="15" t="inlineStr">
        <is>
          <t>B2</t>
        </is>
      </c>
      <c r="G188" s="16" t="inlineStr">
        <is>
          <t>Derived weight set TE-B-M gives 5.14; designation now Senior IT Manager</t>
        </is>
      </c>
      <c r="H188" s="212" t="n"/>
      <c r="I188" s="212" t="n"/>
      <c r="J188" s="212" t="n"/>
      <c r="K188" s="212" t="n"/>
      <c r="L188" s="212" t="n"/>
      <c r="M188" s="212" t="n"/>
      <c r="N188" s="211" t="n"/>
    </row>
    <row r="189" ht="15" customHeight="1">
      <c r="A189" s="13" t="inlineStr">
        <is>
          <t>Vikas Mithbawkar</t>
        </is>
      </c>
      <c r="B189" s="211" t="n"/>
      <c r="C189" s="16" t="inlineStr">
        <is>
          <t>IT &amp; Infrastructure</t>
        </is>
      </c>
      <c r="D189" s="211" t="n"/>
      <c r="E189" s="15" t="inlineStr">
        <is>
          <t>B2</t>
        </is>
      </c>
      <c r="F189" s="15" t="inlineStr">
        <is>
          <t>B1</t>
        </is>
      </c>
      <c r="G189" s="16" t="inlineStr">
        <is>
          <t>Derived weight set TE-B-M gives 4.35; designation now IT Infrastructure Manager</t>
        </is>
      </c>
      <c r="H189" s="212" t="n"/>
      <c r="I189" s="212" t="n"/>
      <c r="J189" s="212" t="n"/>
      <c r="K189" s="212" t="n"/>
      <c r="L189" s="212" t="n"/>
      <c r="M189" s="212" t="n"/>
      <c r="N189" s="211" t="n"/>
    </row>
    <row r="190" ht="15" customHeight="1">
      <c r="A190" s="13" t="inlineStr">
        <is>
          <t>Hemant Chordekar</t>
        </is>
      </c>
      <c r="B190" s="211" t="n"/>
      <c r="C190" s="16" t="inlineStr">
        <is>
          <t>IT &amp; Infrastructure</t>
        </is>
      </c>
      <c r="D190" s="211" t="n"/>
      <c r="E190" s="15" t="inlineStr">
        <is>
          <t>B1</t>
        </is>
      </c>
      <c r="F190" s="15" t="inlineStr">
        <is>
          <t>A3</t>
        </is>
      </c>
      <c r="G190" s="16" t="inlineStr">
        <is>
          <t>Derived weight set TE-A gives 3.57; designation now Infrastructure Specialist</t>
        </is>
      </c>
      <c r="H190" s="212" t="n"/>
      <c r="I190" s="212" t="n"/>
      <c r="J190" s="212" t="n"/>
      <c r="K190" s="212" t="n"/>
      <c r="L190" s="212" t="n"/>
      <c r="M190" s="212" t="n"/>
      <c r="N190" s="211" t="n"/>
    </row>
    <row r="191" ht="15" customHeight="1"/>
    <row r="192" ht="28" customHeight="1">
      <c r="A192" s="209" t="inlineStr">
        <is>
          <t>Close calls and near-gate cases for the calibration panel · 3; reasons on sheet 9, sections C and C2: Bhushan Kashid · A3, 2.52, Riddhi Narkar · A3, 2.52, Hemant Chordekar · A3, 3.57</t>
        </is>
      </c>
    </row>
    <row r="193" ht="15" customHeight="1">
      <c r="A193" s="12" t="inlineStr">
        <is>
          <t>Open decision</t>
        </is>
      </c>
      <c r="B193" s="212" t="n"/>
      <c r="C193" s="211" t="n"/>
      <c r="D193" s="12" t="inlineStr">
        <is>
          <t>Facts here</t>
        </is>
      </c>
      <c r="E193" s="212" t="n"/>
      <c r="F193" s="212" t="n"/>
      <c r="G193" s="212" t="n"/>
      <c r="H193" s="211" t="n"/>
      <c r="I193" s="12" t="inlineStr">
        <is>
          <t>Recommendation</t>
        </is>
      </c>
      <c r="J193" s="212" t="n"/>
      <c r="K193" s="212" t="n"/>
      <c r="L193" s="212" t="n"/>
      <c r="M193" s="212" t="n"/>
      <c r="N193" s="211" t="n"/>
    </row>
    <row r="194" ht="28" customHeight="1">
      <c r="A194" s="13" t="inlineStr">
        <is>
          <t>Long-tenure people at A3</t>
        </is>
      </c>
      <c r="B194" s="212" t="n"/>
      <c r="C194" s="211" t="n"/>
      <c r="D194" s="16" t="inlineStr">
        <is>
          <t>13 people with 8+ yrs sit at A3 because their role shows Band A work.</t>
        </is>
      </c>
      <c r="E194" s="212" t="n"/>
      <c r="F194" s="212" t="n"/>
      <c r="G194" s="212" t="n"/>
      <c r="H194" s="211" t="n"/>
      <c r="I194" s="16" t="inlineStr">
        <is>
          <t>Keep the gate. Use the top of the A3 pay range for proven experts, and widen roles where real B1 work exists.</t>
        </is>
      </c>
      <c r="J194" s="212" t="n"/>
      <c r="K194" s="212" t="n"/>
      <c r="L194" s="212" t="n"/>
      <c r="M194" s="212" t="n"/>
      <c r="N194" s="211" t="n"/>
    </row>
    <row r="195" ht="28" customHeight="1">
      <c r="A195" s="13" t="inlineStr">
        <is>
          <t>Senior titles without a team</t>
        </is>
      </c>
      <c r="B195" s="212" t="n"/>
      <c r="C195" s="211" t="n"/>
      <c r="D195" s="16" t="inlineStr">
        <is>
          <t>Placed by role substance and structure; titles protected for one cycle.</t>
        </is>
      </c>
      <c r="E195" s="212" t="n"/>
      <c r="F195" s="212" t="n"/>
      <c r="G195" s="212" t="n"/>
      <c r="H195" s="211" t="n"/>
      <c r="I195" s="16" t="inlineStr">
        <is>
          <t>Business head to confirm scope.</t>
        </is>
      </c>
      <c r="J195" s="212" t="n"/>
      <c r="K195" s="212" t="n"/>
      <c r="L195" s="212" t="n"/>
      <c r="M195" s="212" t="n"/>
      <c r="N195" s="211" t="n"/>
    </row>
    <row r="196" ht="15" customHeight="1">
      <c r="A196" s="13" t="inlineStr">
        <is>
          <t>Pay ranges</t>
        </is>
      </c>
      <c r="B196" s="212" t="n"/>
      <c r="C196" s="211" t="n"/>
      <c r="D196" s="16" t="inlineStr">
        <is>
          <t>No pay data supplied.</t>
        </is>
      </c>
      <c r="E196" s="212" t="n"/>
      <c r="F196" s="212" t="n"/>
      <c r="G196" s="212" t="n"/>
      <c r="H196" s="211" t="n"/>
      <c r="I196" s="16" t="inlineStr">
        <is>
          <t>Buy one survey and apply Master M14.</t>
        </is>
      </c>
      <c r="J196" s="212" t="n"/>
      <c r="K196" s="212" t="n"/>
      <c r="L196" s="212" t="n"/>
      <c r="M196" s="212" t="n"/>
      <c r="N196" s="211" t="n"/>
    </row>
    <row r="197" ht="15" customHeight="1">
      <c r="A197" s="13" t="inlineStr">
        <is>
          <t>Consultants</t>
        </is>
      </c>
      <c r="B197" s="212" t="n"/>
      <c r="C197" s="211" t="n"/>
      <c r="D197" s="16" t="inlineStr">
        <is>
          <t>1 on statements of work.</t>
        </is>
      </c>
      <c r="E197" s="212" t="n"/>
      <c r="F197" s="212" t="n"/>
      <c r="G197" s="212" t="n"/>
      <c r="H197" s="211" t="n"/>
      <c r="I197" s="16" t="inlineStr">
        <is>
          <t>Confirm owner and SOW for each one.</t>
        </is>
      </c>
      <c r="J197" s="212" t="n"/>
      <c r="K197" s="212" t="n"/>
      <c r="L197" s="212" t="n"/>
      <c r="M197" s="212" t="n"/>
      <c r="N197" s="211" t="n"/>
    </row>
    <row r="198" ht="15" customHeight="1"/>
    <row r="199" ht="20" customHeight="1">
      <c r="A199" s="6" t="inlineStr">
        <is>
          <t>10. Data completeness</t>
        </is>
      </c>
    </row>
    <row r="200" ht="15" customHeight="1">
      <c r="A200" s="12" t="inlineStr">
        <is>
          <t>Input</t>
        </is>
      </c>
      <c r="B200" s="212" t="n"/>
      <c r="C200" s="212" t="n"/>
      <c r="D200" s="211" t="n"/>
      <c r="E200" s="12" t="inlineStr">
        <is>
          <t>Provided</t>
        </is>
      </c>
      <c r="F200" s="211" t="n"/>
      <c r="G200" s="12" t="inlineStr">
        <is>
          <t>Missing</t>
        </is>
      </c>
      <c r="H200" s="211" t="n"/>
      <c r="I200" s="12" t="inlineStr">
        <is>
          <t>Complete %</t>
        </is>
      </c>
      <c r="J200" s="211" t="n"/>
      <c r="K200" s="12" t="inlineStr">
        <is>
          <t>Who provides it</t>
        </is>
      </c>
      <c r="L200" s="212" t="n"/>
      <c r="M200" s="212" t="n"/>
      <c r="N200" s="211" t="n"/>
    </row>
    <row r="201" ht="15" customHeight="1">
      <c r="A201" s="13" t="inlineStr">
        <is>
          <t>Total experience</t>
        </is>
      </c>
      <c r="B201" s="212" t="n"/>
      <c r="C201" s="212" t="n"/>
      <c r="D201" s="211" t="n"/>
      <c r="E201" s="15" t="n">
        <v>47</v>
      </c>
      <c r="F201" s="211" t="n"/>
      <c r="G201" s="15" t="n">
        <v>2</v>
      </c>
      <c r="H201" s="211" t="n"/>
      <c r="I201" s="206" t="n">
        <v>0.9591836734693877</v>
      </c>
      <c r="J201" s="211" t="n"/>
      <c r="K201" s="16" t="inlineStr">
        <is>
          <t>HR · HRIS</t>
        </is>
      </c>
      <c r="L201" s="212" t="n"/>
      <c r="M201" s="212" t="n"/>
      <c r="N201" s="211" t="n"/>
    </row>
    <row r="202" ht="15" customHeight="1">
      <c r="A202" s="13" t="inlineStr">
        <is>
          <t>Qualification</t>
        </is>
      </c>
      <c r="B202" s="212" t="n"/>
      <c r="C202" s="212" t="n"/>
      <c r="D202" s="211" t="n"/>
      <c r="E202" s="15" t="n">
        <v>49</v>
      </c>
      <c r="F202" s="211" t="n"/>
      <c r="G202" s="15" t="n">
        <v>0</v>
      </c>
      <c r="H202" s="211" t="n"/>
      <c r="I202" s="206" t="n">
        <v>1</v>
      </c>
      <c r="J202" s="211" t="n"/>
      <c r="K202" s="16" t="inlineStr">
        <is>
          <t>HR · HRIS</t>
        </is>
      </c>
      <c r="L202" s="212" t="n"/>
      <c r="M202" s="212" t="n"/>
      <c r="N202" s="211" t="n"/>
    </row>
    <row r="203" ht="15" customHeight="1">
      <c r="A203" s="13" t="inlineStr">
        <is>
          <t>Survey: purpose / deliverables</t>
        </is>
      </c>
      <c r="B203" s="212" t="n"/>
      <c r="C203" s="212" t="n"/>
      <c r="D203" s="211" t="n"/>
      <c r="E203" s="15" t="n">
        <v>33</v>
      </c>
      <c r="F203" s="211" t="n"/>
      <c r="G203" s="15" t="n">
        <v>16</v>
      </c>
      <c r="H203" s="211" t="n"/>
      <c r="I203" s="206" t="n">
        <v>0.673469387755102</v>
      </c>
      <c r="J203" s="211" t="n"/>
      <c r="K203" s="16" t="inlineStr">
        <is>
          <t>Employee survey</t>
        </is>
      </c>
      <c r="L203" s="212" t="n"/>
      <c r="M203" s="212" t="n"/>
      <c r="N203" s="211" t="n"/>
    </row>
    <row r="204" ht="15" customHeight="1">
      <c r="A204" s="13" t="inlineStr">
        <is>
          <t>KRAs · self or manager</t>
        </is>
      </c>
      <c r="B204" s="212" t="n"/>
      <c r="C204" s="212" t="n"/>
      <c r="D204" s="211" t="n"/>
      <c r="E204" s="15" t="n">
        <v>3</v>
      </c>
      <c r="F204" s="211" t="n"/>
      <c r="G204" s="15" t="n">
        <v>46</v>
      </c>
      <c r="H204" s="211" t="n"/>
      <c r="I204" s="206" t="n">
        <v>0.06122448979591837</v>
      </c>
      <c r="J204" s="211" t="n"/>
      <c r="K204" s="16" t="inlineStr">
        <is>
          <t>Talent-mapping files</t>
        </is>
      </c>
      <c r="L204" s="212" t="n"/>
      <c r="M204" s="212" t="n"/>
      <c r="N204" s="211" t="n"/>
    </row>
    <row r="205" ht="15" customHeight="1">
      <c r="A205" s="13" t="inlineStr">
        <is>
          <t>Manager training need</t>
        </is>
      </c>
      <c r="B205" s="212" t="n"/>
      <c r="C205" s="212" t="n"/>
      <c r="D205" s="211" t="n"/>
      <c r="E205" s="15" t="n">
        <v>1</v>
      </c>
      <c r="F205" s="211" t="n"/>
      <c r="G205" s="15" t="n">
        <v>48</v>
      </c>
      <c r="H205" s="211" t="n"/>
      <c r="I205" s="206" t="n">
        <v>0.02040816326530612</v>
      </c>
      <c r="J205" s="211" t="n"/>
      <c r="K205" s="16" t="inlineStr">
        <is>
          <t>Manager</t>
        </is>
      </c>
      <c r="L205" s="212" t="n"/>
      <c r="M205" s="212" t="n"/>
      <c r="N205" s="211" t="n"/>
    </row>
    <row r="206" ht="15" customHeight="1">
      <c r="A206" s="13" t="inlineStr">
        <is>
          <t>Rating</t>
        </is>
      </c>
      <c r="B206" s="212" t="n"/>
      <c r="C206" s="212" t="n"/>
      <c r="D206" s="211" t="n"/>
      <c r="E206" s="15" t="n">
        <v>49</v>
      </c>
      <c r="F206" s="211" t="n"/>
      <c r="G206" s="15" t="n">
        <v>0</v>
      </c>
      <c r="H206" s="211" t="n"/>
      <c r="I206" s="206" t="n">
        <v>1</v>
      </c>
      <c r="J206" s="211" t="n"/>
      <c r="K206" s="16" t="inlineStr">
        <is>
          <t>Manager</t>
        </is>
      </c>
      <c r="L206" s="212" t="n"/>
      <c r="M206" s="212" t="n"/>
      <c r="N206" s="211" t="n"/>
    </row>
    <row r="207" ht="15" customHeight="1">
      <c r="A207" s="13" t="inlineStr">
        <is>
          <t>9-box</t>
        </is>
      </c>
      <c r="B207" s="212" t="n"/>
      <c r="C207" s="212" t="n"/>
      <c r="D207" s="211" t="n"/>
      <c r="E207" s="15" t="n">
        <v>48</v>
      </c>
      <c r="F207" s="211" t="n"/>
      <c r="G207" s="15" t="n">
        <v>1</v>
      </c>
      <c r="H207" s="211" t="n"/>
      <c r="I207" s="206" t="n">
        <v>0.9795918367346939</v>
      </c>
      <c r="J207" s="211" t="n"/>
      <c r="K207" s="16" t="inlineStr">
        <is>
          <t>Manager</t>
        </is>
      </c>
      <c r="L207" s="212" t="n"/>
      <c r="M207" s="212" t="n"/>
      <c r="N207" s="211" t="n"/>
    </row>
    <row r="208" ht="15" customHeight="1">
      <c r="A208" s="13" t="inlineStr">
        <is>
          <t>Pay range</t>
        </is>
      </c>
      <c r="B208" s="212" t="n"/>
      <c r="C208" s="212" t="n"/>
      <c r="D208" s="211" t="n"/>
      <c r="E208" s="15" t="n">
        <v>0</v>
      </c>
      <c r="F208" s="211" t="n"/>
      <c r="G208" s="15" t="n">
        <v>49</v>
      </c>
      <c r="H208" s="211" t="n"/>
      <c r="I208" s="206" t="n">
        <v>0</v>
      </c>
      <c r="J208" s="211" t="n"/>
      <c r="K208" s="16" t="inlineStr">
        <is>
          <t>HR · payroll</t>
        </is>
      </c>
      <c r="L208" s="212" t="n"/>
      <c r="M208" s="212" t="n"/>
      <c r="N208" s="211" t="n"/>
    </row>
    <row r="209" ht="15" customHeight="1"/>
    <row r="210" ht="20" customHeight="1">
      <c r="A210" s="6" t="inlineStr">
        <is>
          <t>11. Sources · full register: Master M16</t>
        </is>
      </c>
    </row>
    <row r="211" ht="15" customHeight="1">
      <c r="A211" s="12" t="inlineStr">
        <is>
          <t>ID</t>
        </is>
      </c>
      <c r="B211" s="12" t="inlineStr">
        <is>
          <t>Source</t>
        </is>
      </c>
      <c r="C211" s="212" t="n"/>
      <c r="D211" s="211" t="n"/>
      <c r="E211" s="12" t="inlineStr">
        <is>
          <t>What it contributed</t>
        </is>
      </c>
      <c r="F211" s="212" t="n"/>
      <c r="G211" s="212" t="n"/>
      <c r="H211" s="212" t="n"/>
      <c r="I211" s="211" t="n"/>
      <c r="J211" s="12" t="inlineStr">
        <is>
          <t>Link / where</t>
        </is>
      </c>
      <c r="K211" s="212" t="n"/>
      <c r="L211" s="212" t="n"/>
      <c r="M211" s="211" t="n"/>
      <c r="N211" s="12" t="inlineStr">
        <is>
          <t>Grade</t>
        </is>
      </c>
    </row>
    <row r="212" ht="28" customHeight="1">
      <c r="A212" s="13" t="inlineStr">
        <is>
          <t>S01</t>
        </is>
      </c>
      <c r="B212" s="16" t="inlineStr">
        <is>
          <t>Aon Radford — Global Job Architecture &amp; Leveling</t>
        </is>
      </c>
      <c r="C212" s="212" t="n"/>
      <c r="D212" s="211" t="n"/>
      <c r="E212" s="16" t="inlineStr">
        <is>
          <t>P1–P7 / M1–M6 / E1–E6 market codes on every IRIS level; dual IC / management streams</t>
        </is>
      </c>
      <c r="F212" s="212" t="n"/>
      <c r="G212" s="212" t="n"/>
      <c r="H212" s="212" t="n"/>
      <c r="I212" s="211" t="n"/>
      <c r="J212" s="16" t="inlineStr">
        <is>
          <t>https://radford.aon.com/en-us/products/release-notes/2021/radford-job-architecture-leveling</t>
        </is>
      </c>
      <c r="K212" s="212" t="n"/>
      <c r="L212" s="212" t="n"/>
      <c r="M212" s="211" t="n"/>
      <c r="N212" s="16" t="inlineStr">
        <is>
          <t>Primary</t>
        </is>
      </c>
    </row>
    <row r="213" ht="41" customHeight="1">
      <c r="A213" s="13" t="inlineStr">
        <is>
          <t>S02</t>
        </is>
      </c>
      <c r="B213" s="16" t="inlineStr">
        <is>
          <t>Pave — job levels and Radford / Mercer crosswalk</t>
        </is>
      </c>
      <c r="C213" s="212" t="n"/>
      <c r="D213" s="211" t="n"/>
      <c r="E213" s="16" t="inlineStr">
        <is>
          <t>Level names · P1 Entry, P2 Developing, P3 Career, P4 Senior, P5 Expert, P6 Principal; M3 Manager … M6 Senior Director and the Radford ↔ Mercer mapping</t>
        </is>
      </c>
      <c r="F213" s="212" t="n"/>
      <c r="G213" s="212" t="n"/>
      <c r="H213" s="212" t="n"/>
      <c r="I213" s="211" t="n"/>
      <c r="J213" s="16" t="inlineStr">
        <is>
          <t>https://support.pave.com/articles/understand-job-levels-SiKTjMHZtr.md</t>
        </is>
      </c>
      <c r="K213" s="212" t="n"/>
      <c r="L213" s="212" t="n"/>
      <c r="M213" s="211" t="n"/>
      <c r="N213" s="16" t="inlineStr">
        <is>
          <t>Primary</t>
        </is>
      </c>
    </row>
    <row r="214" ht="54" customHeight="1">
      <c r="A214" s="13" t="inlineStr">
        <is>
          <t>S03</t>
        </is>
      </c>
      <c r="B214" s="16" t="inlineStr">
        <is>
          <t>Mercer career levels · Executive, Management, Professional, Para-professional</t>
        </is>
      </c>
      <c r="C214" s="212" t="n"/>
      <c r="D214" s="211" t="n"/>
      <c r="E214" s="16" t="inlineStr">
        <is>
          <t>Management · M3+ = more time managing others' work than doing own work; M2 can be a team lead who also does the work; Mercer team-leader roles lead 2+ professionals → IRIS track rules · the 3-report manager threshold is IRIS's own rule</t>
        </is>
      </c>
      <c r="F214" s="212" t="n"/>
      <c r="G214" s="212" t="n"/>
      <c r="H214" s="212" t="n"/>
      <c r="I214" s="211" t="n"/>
      <c r="J214" s="16" t="inlineStr">
        <is>
          <t>https://help.figures.hr/en/articles/389223-mercer-levels ; https://info.mercer.com/rs/521-DEV-513/images/MLS-Job-Catalogue.pdf</t>
        </is>
      </c>
      <c r="K214" s="212" t="n"/>
      <c r="L214" s="212" t="n"/>
      <c r="M214" s="211" t="n"/>
      <c r="N214" s="16" t="inlineStr">
        <is>
          <t>Secondary</t>
        </is>
      </c>
    </row>
    <row r="215" ht="41" customHeight="1">
      <c r="A215" s="13" t="inlineStr">
        <is>
          <t>S04</t>
        </is>
      </c>
      <c r="B215" s="16" t="inlineStr">
        <is>
          <t>Mercer IPE · International Position Evaluation</t>
        </is>
      </c>
      <c r="C215" s="212" t="n"/>
      <c r="D215" s="211" t="n"/>
      <c r="E215" s="16" t="inlineStr">
        <is>
          <t>Factors Impact, Communication, Innovation, Knowledge · plus Effort &amp; Working Conditions, not used by IRIS → mapped to the IRIS six factors</t>
        </is>
      </c>
      <c r="F215" s="212" t="n"/>
      <c r="G215" s="212" t="n"/>
      <c r="H215" s="212" t="n"/>
      <c r="I215" s="211" t="n"/>
      <c r="J215" s="16" t="inlineStr">
        <is>
          <t>https://www.mercer.com/en-in/solutions/talent-and-rewards/job-architecture/job-evaluation-ipe/</t>
        </is>
      </c>
      <c r="K215" s="212" t="n"/>
      <c r="L215" s="212" t="n"/>
      <c r="M215" s="211" t="n"/>
      <c r="N215" s="16" t="inlineStr">
        <is>
          <t>Primary</t>
        </is>
      </c>
    </row>
    <row r="216" ht="67" customHeight="1">
      <c r="A216" s="13" t="inlineStr">
        <is>
          <t>S05</t>
        </is>
      </c>
      <c r="B216" s="16" t="inlineStr">
        <is>
          <t>Korn Ferry Hay Guide Chart-Profile method</t>
        </is>
      </c>
      <c r="C216" s="212" t="n"/>
      <c r="D216" s="211" t="n"/>
      <c r="E216" s="16" t="inlineStr">
        <is>
          <t>Factors Know-How, Problem Solving, Accountability · plus Working Conditions where it applies; used by 5,000+ private and public organisations</t>
        </is>
      </c>
      <c r="F216" s="212" t="n"/>
      <c r="G216" s="212" t="n"/>
      <c r="H216" s="212" t="n"/>
      <c r="I216" s="211" t="n"/>
      <c r="J216" s="16" t="inlineStr">
        <is>
          <t>https://www.gov.nl.ca/exec/tbs/department/branches/classification/what-is-the-korn-ferry-hay-group-guide-chart-profile-method-of-job-evaluation/ ; https://www.uwo.ca/humanresources/wjec/docs/hay_method_overview.pdf</t>
        </is>
      </c>
      <c r="K216" s="212" t="n"/>
      <c r="L216" s="212" t="n"/>
      <c r="M216" s="211" t="n"/>
      <c r="N216" s="16" t="inlineStr">
        <is>
          <t>Primary</t>
        </is>
      </c>
    </row>
    <row r="217" ht="54" customHeight="1">
      <c r="A217" s="13" t="inlineStr">
        <is>
          <t>S06</t>
        </is>
      </c>
      <c r="B217" s="16" t="inlineStr">
        <is>
          <t>Hay short profile · A / L / P</t>
        </is>
      </c>
      <c r="C217" s="212" t="n"/>
      <c r="D217" s="211" t="n"/>
      <c r="E217" s="16" t="inlineStr">
        <is>
          <t>A-profile = accountability exceeds problem solving · line, results-led; L = problem solving equals accountability · level profile; P = problem solving exceeds accountability · research, thinking-led → IRIS work-type tilts</t>
        </is>
      </c>
      <c r="F217" s="212" t="n"/>
      <c r="G217" s="212" t="n"/>
      <c r="H217" s="212" t="n"/>
      <c r="I217" s="211" t="n"/>
      <c r="J217" s="16" t="inlineStr">
        <is>
          <t>https://peoplecentre.wordpress.com/2016/10/02/hay-job-evaluation-methodology-the-short-profile/</t>
        </is>
      </c>
      <c r="K217" s="212" t="n"/>
      <c r="L217" s="212" t="n"/>
      <c r="M217" s="211" t="n"/>
      <c r="N217" s="16" t="inlineStr">
        <is>
          <t>Secondary</t>
        </is>
      </c>
    </row>
    <row r="218" ht="41" customHeight="1">
      <c r="A218" s="13" t="inlineStr">
        <is>
          <t>S07</t>
        </is>
      </c>
      <c r="B218" s="16" t="inlineStr">
        <is>
          <t>WTW Global Grading System</t>
        </is>
      </c>
      <c r="C218" s="212" t="n"/>
      <c r="D218" s="211" t="n"/>
      <c r="E218" s="16" t="inlineStr">
        <is>
          <t>Two-step banding then grading; separate management and IC paths; 16–25 grades by organisation size → IRIS band-then-level design</t>
        </is>
      </c>
      <c r="F218" s="212" t="n"/>
      <c r="G218" s="212" t="n"/>
      <c r="H218" s="212" t="n"/>
      <c r="I218" s="211" t="n"/>
      <c r="J218" s="16" t="inlineStr">
        <is>
          <t>https://assets.publishing.service.gov.uk/media/66a370440808eaf43b50d7b2/WTW_OME-STRB_Job_Levelling_FOR_PUBLICATION.pdf</t>
        </is>
      </c>
      <c r="K218" s="212" t="n"/>
      <c r="L218" s="212" t="n"/>
      <c r="M218" s="211" t="n"/>
      <c r="N218" s="16" t="inlineStr">
        <is>
          <t>Primary</t>
        </is>
      </c>
    </row>
    <row r="219" ht="54" customHeight="1">
      <c r="A219" s="13" t="inlineStr">
        <is>
          <t>S08</t>
        </is>
      </c>
      <c r="B219" s="16" t="inlineStr">
        <is>
          <t>SFIA 9 — levels of responsibility</t>
        </is>
      </c>
      <c r="C219" s="212" t="n"/>
      <c r="D219" s="211" t="n"/>
      <c r="E219" s="16" t="inlineStr">
        <is>
          <t>7 levels · Follow, Assist, Apply, Enable, Ensure/advise, Initiate/influence, Set strategy defined by autonomy, influence, complexity → factor anchors and the 1–5 proficiency scale</t>
        </is>
      </c>
      <c r="F219" s="212" t="n"/>
      <c r="G219" s="212" t="n"/>
      <c r="H219" s="212" t="n"/>
      <c r="I219" s="211" t="n"/>
      <c r="J219" s="16" t="inlineStr">
        <is>
          <t>https://sfia-online.org/en/about-sfia/how-sfia-works</t>
        </is>
      </c>
      <c r="K219" s="212" t="n"/>
      <c r="L219" s="212" t="n"/>
      <c r="M219" s="211" t="n"/>
      <c r="N219" s="16" t="inlineStr">
        <is>
          <t>Primary</t>
        </is>
      </c>
    </row>
    <row r="220" ht="54" customHeight="1">
      <c r="A220" s="13" t="inlineStr">
        <is>
          <t>S09</t>
        </is>
      </c>
      <c r="B220" s="16" t="inlineStr">
        <is>
          <t>McKinsey — spans of control archetypes</t>
        </is>
      </c>
      <c r="C220" s="212" t="n"/>
      <c r="D220" s="211" t="n"/>
      <c r="E220" s="16" t="inlineStr">
        <is>
          <t>Player/coach 3–5, coach 6–7, supervisor 8–10, facilitator 11–15, coordinator 15+ → IRIS span norms</t>
        </is>
      </c>
      <c r="F220" s="212" t="n"/>
      <c r="G220" s="212" t="n"/>
      <c r="H220" s="212" t="n"/>
      <c r="I220" s="211" t="n"/>
      <c r="J220" s="16" t="inlineStr">
        <is>
          <t>https://www.mckinsey.com/capabilities/people-and-organizational-performance/our-insights/how-to-identify-the-right-spans-of-control-for-your-organization</t>
        </is>
      </c>
      <c r="K220" s="212" t="n"/>
      <c r="L220" s="212" t="n"/>
      <c r="M220" s="211" t="n"/>
      <c r="N220" s="16" t="inlineStr">
        <is>
          <t>Primary</t>
        </is>
      </c>
    </row>
    <row r="221" ht="28" customHeight="1">
      <c r="A221" s="13" t="inlineStr">
        <is>
          <t>S10</t>
        </is>
      </c>
      <c r="B221" s="16" t="inlineStr">
        <is>
          <t>Levelling guides · Ravio, CareerBird, Careerminds</t>
        </is>
      </c>
      <c r="C221" s="212" t="n"/>
      <c r="D221" s="211" t="n"/>
      <c r="E221" s="16" t="inlineStr">
        <is>
          <t>≈ 12 levels suit 500–1,500 people → IRIS uses 12 employee levels</t>
        </is>
      </c>
      <c r="F221" s="212" t="n"/>
      <c r="G221" s="212" t="n"/>
      <c r="H221" s="212" t="n"/>
      <c r="I221" s="211" t="n"/>
      <c r="J221" s="16" t="inlineStr">
        <is>
          <t>Public web guides</t>
        </is>
      </c>
      <c r="K221" s="212" t="n"/>
      <c r="L221" s="212" t="n"/>
      <c r="M221" s="211" t="n"/>
      <c r="N221" s="16" t="inlineStr">
        <is>
          <t>Secondary</t>
        </is>
      </c>
    </row>
    <row r="222" ht="54" customHeight="1">
      <c r="A222" s="13" t="inlineStr">
        <is>
          <t>S11</t>
        </is>
      </c>
      <c r="B222" s="16" t="inlineStr">
        <is>
          <t>WorldatWork — salary structure policies and practices</t>
        </is>
      </c>
      <c r="C222" s="212" t="n"/>
      <c r="D222" s="211" t="n"/>
      <c r="E222" s="16" t="inlineStr">
        <is>
          <t>Graded salary structures, range spread and midpoint concepts. It does not give range spreads by level: the spreads and midpoint steps in M14 are IRIS working assumptions until a pay survey is bought</t>
        </is>
      </c>
      <c r="F222" s="212" t="n"/>
      <c r="G222" s="212" t="n"/>
      <c r="H222" s="212" t="n"/>
      <c r="I222" s="211" t="n"/>
      <c r="J222" s="16" t="inlineStr">
        <is>
          <t>https://worldatwork.org/media/CDN/dist/CDN2/documents/pdf/resources/research/Salary-Structure-Policies-Practices-2012.pdf</t>
        </is>
      </c>
      <c r="K222" s="212" t="n"/>
      <c r="L222" s="212" t="n"/>
      <c r="M222" s="211" t="n"/>
      <c r="N222" s="16" t="inlineStr">
        <is>
          <t>Secondary</t>
        </is>
      </c>
    </row>
    <row r="223" ht="54" customHeight="1">
      <c r="A223" s="13" t="inlineStr">
        <is>
          <t>S12</t>
        </is>
      </c>
      <c r="B223" s="16" t="inlineStr">
        <is>
          <t>World Economic Forum — Future of Jobs Report 2025</t>
        </is>
      </c>
      <c r="C223" s="212" t="n"/>
      <c r="D223" s="211" t="n"/>
      <c r="E223" s="16" t="inlineStr">
        <is>
          <r>
            <rPr>
              <rFont val="Calibri"/>
              <b val="1"/>
              <sz val="10"/>
            </rPr>
            <t>Fastest-growing skills:</t>
          </r>
          <r>
            <rPr>
              <rFont val="Calibri"/>
              <sz val="10"/>
            </rPr>
            <t xml:space="preserve"> AI &amp; big data, networks &amp; cybersecurity, technological literacy; creative thinking and resilience rising in importance alongside them → Future-ready cluster</t>
          </r>
        </is>
      </c>
      <c r="F223" s="212" t="n"/>
      <c r="G223" s="212" t="n"/>
      <c r="H223" s="212" t="n"/>
      <c r="I223" s="211" t="n"/>
      <c r="J223" s="16" t="inlineStr">
        <is>
          <t>https://www.weforum.org/publications/the-future-of-jobs-report-2025/digest/</t>
        </is>
      </c>
      <c r="K223" s="212" t="n"/>
      <c r="L223" s="212" t="n"/>
      <c r="M223" s="211" t="n"/>
      <c r="N223" s="16" t="inlineStr">
        <is>
          <t>Primary</t>
        </is>
      </c>
    </row>
    <row r="224" ht="28" customHeight="1">
      <c r="A224" s="13" t="inlineStr">
        <is>
          <t>S13</t>
        </is>
      </c>
      <c r="B224" s="16" t="inlineStr">
        <is>
          <t>PMI Talent Triangle</t>
        </is>
      </c>
      <c r="C224" s="212" t="n"/>
      <c r="D224" s="211" t="n"/>
      <c r="E224" s="16" t="inlineStr">
        <is>
          <t>Ways of Working, Power Skills, Business Acumen → leadership and project competencies</t>
        </is>
      </c>
      <c r="F224" s="212" t="n"/>
      <c r="G224" s="212" t="n"/>
      <c r="H224" s="212" t="n"/>
      <c r="I224" s="211" t="n"/>
      <c r="J224" s="16" t="inlineStr">
        <is>
          <t>https://www.pmi.org/certifications/certification-resources/maintain/talent-triangle</t>
        </is>
      </c>
      <c r="K224" s="212" t="n"/>
      <c r="L224" s="212" t="n"/>
      <c r="M224" s="211" t="n"/>
      <c r="N224" s="16" t="inlineStr">
        <is>
          <t>Primary</t>
        </is>
      </c>
    </row>
    <row r="225" ht="54" customHeight="1">
      <c r="A225" s="13" t="inlineStr">
        <is>
          <t>S14</t>
        </is>
      </c>
      <c r="B225" s="16" t="inlineStr">
        <is>
          <t>SHL Universal Competency Framework — the Great Eight</t>
        </is>
      </c>
      <c r="C225" s="212" t="n"/>
      <c r="D225" s="211" t="n"/>
      <c r="E225" s="16" t="inlineStr">
        <is>
          <t>Leading &amp; Deciding; Supporting &amp; Co-operating; Interacting &amp; Presenting; Analysing &amp; Interpreting; Creating &amp; Conceptualising; Organising &amp; Executing; Adapting &amp; Coping; Enterprising &amp; Performing → coverage check of the IRIS clusters</t>
        </is>
      </c>
      <c r="F225" s="212" t="n"/>
      <c r="G225" s="212" t="n"/>
      <c r="H225" s="212" t="n"/>
      <c r="I225" s="211" t="n"/>
      <c r="J225" s="16" t="inlineStr">
        <is>
          <t>https://www.shl.com/assets/campaigns/global/competency-fit/universal-competency-framework-whitepaper-en.pdf</t>
        </is>
      </c>
      <c r="K225" s="212" t="n"/>
      <c r="L225" s="212" t="n"/>
      <c r="M225" s="211" t="n"/>
      <c r="N225" s="16" t="inlineStr">
        <is>
          <t>Primary</t>
        </is>
      </c>
    </row>
    <row r="226" ht="41" customHeight="1">
      <c r="A226" s="13" t="inlineStr">
        <is>
          <t>S15</t>
        </is>
      </c>
      <c r="B226" s="16" t="inlineStr">
        <is>
          <t>Korn Ferry Leadership Architect · 38 competencies in four factors: Thought, Results, People, Self</t>
        </is>
      </c>
      <c r="C226" s="212" t="n"/>
      <c r="D226" s="211" t="n"/>
      <c r="E226" s="16" t="inlineStr">
        <is>
          <t>Behavioural anchors and coverage check for Core and Leadership clusters</t>
        </is>
      </c>
      <c r="F226" s="212" t="n"/>
      <c r="G226" s="212" t="n"/>
      <c r="H226" s="212" t="n"/>
      <c r="I226" s="211" t="n"/>
      <c r="J226" s="16" t="inlineStr">
        <is>
          <t>https://cardinalatwork.stanford.edu/careers/performance-management/competencies</t>
        </is>
      </c>
      <c r="K226" s="212" t="n"/>
      <c r="L226" s="212" t="n"/>
      <c r="M226" s="211" t="n"/>
      <c r="N226" s="16" t="inlineStr">
        <is>
          <t>Secondary</t>
        </is>
      </c>
    </row>
    <row r="227" ht="41" customHeight="1">
      <c r="A227" s="13" t="inlineStr">
        <is>
          <t>S16</t>
        </is>
      </c>
      <c r="B227" s="16" t="inlineStr">
        <is>
          <t>Google Project Oxygen — 10 behaviours of great managers</t>
        </is>
      </c>
      <c r="C227" s="212" t="n"/>
      <c r="D227" s="211" t="n"/>
      <c r="E227" s="16" t="inlineStr">
        <is>
          <t>Coach, empower, inclusive team, results, communicate, career development, vision, technical skill, collaborate, decide → Leadership cluster indicators</t>
        </is>
      </c>
      <c r="F227" s="212" t="n"/>
      <c r="G227" s="212" t="n"/>
      <c r="H227" s="212" t="n"/>
      <c r="I227" s="211" t="n"/>
      <c r="J227" s="16" t="inlineStr">
        <is>
          <t>https://rework.withgoogle.com/intl/en/guides/following-the-data-the-research-behind-great-managers</t>
        </is>
      </c>
      <c r="K227" s="212" t="n"/>
      <c r="L227" s="212" t="n"/>
      <c r="M227" s="211" t="n"/>
      <c r="N227" s="16" t="inlineStr">
        <is>
          <t>Secondary</t>
        </is>
      </c>
    </row>
    <row r="228" ht="28" customHeight="1">
      <c r="A228" s="13" t="inlineStr">
        <is>
          <t>S17</t>
        </is>
      </c>
      <c r="B228" s="16" t="inlineStr">
        <is>
          <t>Digital Education Council — AI literacy framework</t>
        </is>
      </c>
      <c r="C228" s="212" t="n"/>
      <c r="D228" s="211" t="n"/>
      <c r="E228" s="16" t="inlineStr">
        <is>
          <t>Understanding, critical evaluation and responsible use of AI → AI Literacy indicators</t>
        </is>
      </c>
      <c r="F228" s="212" t="n"/>
      <c r="G228" s="212" t="n"/>
      <c r="H228" s="212" t="n"/>
      <c r="I228" s="211" t="n"/>
      <c r="J228" s="16" t="inlineStr">
        <is>
          <t>Digital Education Council · public</t>
        </is>
      </c>
      <c r="K228" s="212" t="n"/>
      <c r="L228" s="212" t="n"/>
      <c r="M228" s="211" t="n"/>
      <c r="N228" s="16" t="inlineStr">
        <is>
          <t>Secondary</t>
        </is>
      </c>
    </row>
    <row r="229" ht="28" customHeight="1">
      <c r="A229" s="13" t="inlineStr">
        <is>
          <t>S18</t>
        </is>
      </c>
      <c r="B229" s="16" t="inlineStr">
        <is>
          <t>SHRM BASK</t>
        </is>
      </c>
      <c r="C229" s="212" t="n"/>
      <c r="D229" s="211" t="n"/>
      <c r="E229" s="16" t="inlineStr">
        <is>
          <t>HR department technical competencies</t>
        </is>
      </c>
      <c r="F229" s="212" t="n"/>
      <c r="G229" s="212" t="n"/>
      <c r="H229" s="212" t="n"/>
      <c r="I229" s="211" t="n"/>
      <c r="J229" s="16" t="inlineStr">
        <is>
          <t>https://www.shrm.org/credentials/certification/shrm-bask</t>
        </is>
      </c>
      <c r="K229" s="212" t="n"/>
      <c r="L229" s="212" t="n"/>
      <c r="M229" s="211" t="n"/>
      <c r="N229" s="16" t="inlineStr">
        <is>
          <t>Primary</t>
        </is>
      </c>
    </row>
    <row r="230" ht="28" customHeight="1">
      <c r="A230" s="13" t="inlineStr">
        <is>
          <t>S19</t>
        </is>
      </c>
      <c r="B230" s="16" t="inlineStr">
        <is>
          <t>CIPD Profession Map</t>
        </is>
      </c>
      <c r="C230" s="212" t="n"/>
      <c r="D230" s="211" t="n"/>
      <c r="E230" s="16" t="inlineStr">
        <is>
          <t>HR specialist areas</t>
        </is>
      </c>
      <c r="F230" s="212" t="n"/>
      <c r="G230" s="212" t="n"/>
      <c r="H230" s="212" t="n"/>
      <c r="I230" s="211" t="n"/>
      <c r="J230" s="16" t="inlineStr">
        <is>
          <t>https://www.cipd.org/en/the-people-profession/the-profession-map/</t>
        </is>
      </c>
      <c r="K230" s="212" t="n"/>
      <c r="L230" s="212" t="n"/>
      <c r="M230" s="211" t="n"/>
      <c r="N230" s="16" t="inlineStr">
        <is>
          <t>Primary</t>
        </is>
      </c>
    </row>
    <row r="231" ht="28" customHeight="1">
      <c r="A231" s="13" t="inlineStr">
        <is>
          <t>S20</t>
        </is>
      </c>
      <c r="B231" s="16" t="inlineStr">
        <is>
          <t>IMA Competency Framework · management accounting</t>
        </is>
      </c>
      <c r="C231" s="212" t="n"/>
      <c r="D231" s="211" t="n"/>
      <c r="E231" s="16" t="inlineStr">
        <is>
          <t>Finance department technical competencies</t>
        </is>
      </c>
      <c r="F231" s="212" t="n"/>
      <c r="G231" s="212" t="n"/>
      <c r="H231" s="212" t="n"/>
      <c r="I231" s="211" t="n"/>
      <c r="J231" s="16" t="inlineStr">
        <is>
          <t>https://www.imanet.org/framework</t>
        </is>
      </c>
      <c r="K231" s="212" t="n"/>
      <c r="L231" s="212" t="n"/>
      <c r="M231" s="211" t="n"/>
      <c r="N231" s="16" t="inlineStr">
        <is>
          <t>Primary</t>
        </is>
      </c>
    </row>
    <row r="232" ht="15" customHeight="1">
      <c r="A232" s="13" t="inlineStr">
        <is>
          <t>S21</t>
        </is>
      </c>
      <c r="B232" s="16" t="inlineStr">
        <is>
          <t>IIBA BABOK Guide v3</t>
        </is>
      </c>
      <c r="C232" s="212" t="n"/>
      <c r="D232" s="211" t="n"/>
      <c r="E232" s="16" t="inlineStr">
        <is>
          <t>Business Analysis competencies</t>
        </is>
      </c>
      <c r="F232" s="212" t="n"/>
      <c r="G232" s="212" t="n"/>
      <c r="H232" s="212" t="n"/>
      <c r="I232" s="211" t="n"/>
      <c r="J232" s="16" t="inlineStr">
        <is>
          <t>https://www.iiba.org</t>
        </is>
      </c>
      <c r="K232" s="212" t="n"/>
      <c r="L232" s="212" t="n"/>
      <c r="M232" s="211" t="n"/>
      <c r="N232" s="16" t="inlineStr">
        <is>
          <t>Primary</t>
        </is>
      </c>
    </row>
    <row r="233" ht="15" customHeight="1">
      <c r="A233" s="13" t="inlineStr">
        <is>
          <t>S22</t>
        </is>
      </c>
      <c r="B233" s="16" t="inlineStr">
        <is>
          <t>ISTQB</t>
        </is>
      </c>
      <c r="C233" s="212" t="n"/>
      <c r="D233" s="211" t="n"/>
      <c r="E233" s="16" t="inlineStr">
        <is>
          <t>Quality Assurance competencies and credentials</t>
        </is>
      </c>
      <c r="F233" s="212" t="n"/>
      <c r="G233" s="212" t="n"/>
      <c r="H233" s="212" t="n"/>
      <c r="I233" s="211" t="n"/>
      <c r="J233" s="16" t="inlineStr">
        <is>
          <t>https://www.istqb.org</t>
        </is>
      </c>
      <c r="K233" s="212" t="n"/>
      <c r="L233" s="212" t="n"/>
      <c r="M233" s="211" t="n"/>
      <c r="N233" s="16" t="inlineStr">
        <is>
          <t>Primary</t>
        </is>
      </c>
    </row>
    <row r="234" ht="15" customHeight="1">
      <c r="A234" s="13" t="inlineStr">
        <is>
          <t>S23</t>
        </is>
      </c>
      <c r="B234" s="16" t="inlineStr">
        <is>
          <t>ITIL 4 and ISO/IEC 27001:2022</t>
        </is>
      </c>
      <c r="C234" s="212" t="n"/>
      <c r="D234" s="211" t="n"/>
      <c r="E234" s="16" t="inlineStr">
        <is>
          <t>IT &amp; Infrastructure competencies</t>
        </is>
      </c>
      <c r="F234" s="212" t="n"/>
      <c r="G234" s="212" t="n"/>
      <c r="H234" s="212" t="n"/>
      <c r="I234" s="211" t="n"/>
      <c r="J234" s="16" t="inlineStr">
        <is>
          <t>https://www.iso.org/standard/27001</t>
        </is>
      </c>
      <c r="K234" s="212" t="n"/>
      <c r="L234" s="212" t="n"/>
      <c r="M234" s="211" t="n"/>
      <c r="N234" s="16" t="inlineStr">
        <is>
          <t>Primary</t>
        </is>
      </c>
    </row>
    <row r="235" ht="28" customHeight="1">
      <c r="A235" s="13" t="inlineStr">
        <is>
          <t>S24</t>
        </is>
      </c>
      <c r="B235" s="16" t="inlineStr">
        <is>
          <t>ICSI · Institute of Company Secretaries of India</t>
        </is>
      </c>
      <c r="C235" s="212" t="n"/>
      <c r="D235" s="211" t="n"/>
      <c r="E235" s="16" t="inlineStr">
        <is>
          <t>Secretarial &amp; Legal competencies; statutory gate for Company Secretary</t>
        </is>
      </c>
      <c r="F235" s="212" t="n"/>
      <c r="G235" s="212" t="n"/>
      <c r="H235" s="212" t="n"/>
      <c r="I235" s="211" t="n"/>
      <c r="J235" s="16" t="inlineStr">
        <is>
          <t>https://www.icsi.edu</t>
        </is>
      </c>
      <c r="K235" s="212" t="n"/>
      <c r="L235" s="212" t="n"/>
      <c r="M235" s="211" t="n"/>
      <c r="N235" s="16" t="inlineStr">
        <is>
          <t>Primary</t>
        </is>
      </c>
    </row>
    <row r="236" ht="28" customHeight="1">
      <c r="A236" s="13" t="inlineStr">
        <is>
          <t>S25</t>
        </is>
      </c>
      <c r="B236" s="16" t="inlineStr">
        <is>
          <t>AICPA &amp; XBRL US — XBRL US GAAP Certificate</t>
        </is>
      </c>
      <c r="C236" s="212" t="n"/>
      <c r="D236" s="211" t="n"/>
      <c r="E236" s="16" t="inlineStr">
        <is>
          <t>XBRL &amp; taxonomy competency and credential</t>
        </is>
      </c>
      <c r="F236" s="212" t="n"/>
      <c r="G236" s="212" t="n"/>
      <c r="H236" s="212" t="n"/>
      <c r="I236" s="211" t="n"/>
      <c r="J236" s="16" t="inlineStr">
        <is>
          <t>https://xbrl.us</t>
        </is>
      </c>
      <c r="K236" s="212" t="n"/>
      <c r="L236" s="212" t="n"/>
      <c r="M236" s="211" t="n"/>
      <c r="N236" s="16" t="inlineStr">
        <is>
          <t>Primary</t>
        </is>
      </c>
    </row>
    <row r="237" ht="28" customHeight="1">
      <c r="A237" s="13" t="inlineStr">
        <is>
          <t>S26</t>
        </is>
      </c>
      <c r="B237" s="16" t="inlineStr">
        <is>
          <t>ILO ISCO-08 · India's NCO-2015 follows the same structure</t>
        </is>
      </c>
      <c r="C237" s="212" t="n"/>
      <c r="D237" s="211" t="n"/>
      <c r="E237" s="16" t="inlineStr">
        <is>
          <t>Each job family is anchored to an ISCO-08 unit group so families are standard, not invented</t>
        </is>
      </c>
      <c r="F237" s="212" t="n"/>
      <c r="G237" s="212" t="n"/>
      <c r="H237" s="212" t="n"/>
      <c r="I237" s="211" t="n"/>
      <c r="J237" s="16" t="inlineStr">
        <is>
          <t>https://worldoftaxonomy.com/system/isco_08/node/251</t>
        </is>
      </c>
      <c r="K237" s="212" t="n"/>
      <c r="L237" s="212" t="n"/>
      <c r="M237" s="211" t="n"/>
      <c r="N237" s="16" t="inlineStr">
        <is>
          <t>Primary</t>
        </is>
      </c>
    </row>
    <row r="238" ht="54" customHeight="1">
      <c r="A238" s="13" t="inlineStr">
        <is>
          <t>S27</t>
        </is>
      </c>
      <c r="B238" s="16" t="inlineStr">
        <is>
          <t>Deloitte — The skills-based organization: a new operating model for work and the workforce</t>
        </is>
      </c>
      <c r="C238" s="212" t="n"/>
      <c r="D238" s="211" t="n"/>
      <c r="E238" s="16" t="inlineStr">
        <is>
          <t>71% of workers already perform some work outside the scope of their job descriptions · The skills-based organization, Deloitte Insights, 7 Sep 2022 → sub-families describe actual work; skills tracked per person</t>
        </is>
      </c>
      <c r="F238" s="212" t="n"/>
      <c r="G238" s="212" t="n"/>
      <c r="H238" s="212" t="n"/>
      <c r="I238" s="211" t="n"/>
      <c r="J238" s="16" t="inlineStr">
        <is>
          <t>https://www.deloitte.com/us/en/insights/topics/talent/organizational-skill-based-hiring.html</t>
        </is>
      </c>
      <c r="K238" s="212" t="n"/>
      <c r="L238" s="212" t="n"/>
      <c r="M238" s="211" t="n"/>
      <c r="N238" s="16" t="inlineStr">
        <is>
          <t>Primary</t>
        </is>
      </c>
    </row>
    <row r="239" ht="41" customHeight="1">
      <c r="A239" s="13" t="inlineStr">
        <is>
          <t>S30</t>
        </is>
      </c>
      <c r="B239" s="16" t="inlineStr">
        <is>
          <t>Workiva — engineering levels · Levels.fyi</t>
        </is>
      </c>
      <c r="C239" s="212" t="n"/>
      <c r="D239" s="211" t="n"/>
      <c r="E239" s="16" t="inlineStr">
        <is>
          <t>Associate SE → SE → Senior SE → Staff SE → Senior Staff SE · Levels.fyi pages could not be loaded; level names confirmed from Levels.fyi page titles and Workiva postings</t>
        </is>
      </c>
      <c r="F239" s="212" t="n"/>
      <c r="G239" s="212" t="n"/>
      <c r="H239" s="212" t="n"/>
      <c r="I239" s="211" t="n"/>
      <c r="J239" s="16" t="inlineStr">
        <is>
          <t>https://www.levels.fyi/companies/workiva/salaries/software-engineer</t>
        </is>
      </c>
      <c r="K239" s="212" t="n"/>
      <c r="L239" s="212" t="n"/>
      <c r="M239" s="211" t="n"/>
      <c r="N239" s="16" t="inlineStr">
        <is>
          <t>Secondary</t>
        </is>
      </c>
    </row>
    <row r="240" ht="28" customHeight="1">
      <c r="A240" s="13" t="inlineStr">
        <is>
          <t>S31</t>
        </is>
      </c>
      <c r="B240" s="16" t="inlineStr">
        <is>
          <t>DataTracks — careers site</t>
        </is>
      </c>
      <c r="C240" s="212" t="n"/>
      <c r="D240" s="211" t="n"/>
      <c r="E240" s="16" t="inlineStr">
        <is>
          <r>
            <rPr>
              <rFont val="Calibri"/>
              <b val="1"/>
              <sz val="10"/>
            </rPr>
            <t>Two published rungs:</t>
          </r>
          <r>
            <rPr>
              <rFont val="Calibri"/>
              <sz val="10"/>
            </rPr>
            <t xml:space="preserve"> Associate · freshers → Senior Associate · 2–5 yrs; nothing above is published</t>
          </r>
        </is>
      </c>
      <c r="F240" s="212" t="n"/>
      <c r="G240" s="212" t="n"/>
      <c r="H240" s="212" t="n"/>
      <c r="I240" s="211" t="n"/>
      <c r="J240" s="16" t="inlineStr">
        <is>
          <t>https://www.datatracks.com/in/careers/</t>
        </is>
      </c>
      <c r="K240" s="212" t="n"/>
      <c r="L240" s="212" t="n"/>
      <c r="M240" s="211" t="n"/>
      <c r="N240" s="16" t="inlineStr">
        <is>
          <t>Job postings</t>
        </is>
      </c>
    </row>
    <row r="241" ht="54" customHeight="1">
      <c r="A241" s="13" t="inlineStr">
        <is>
          <t>S32</t>
        </is>
      </c>
      <c r="B241" s="16" t="inlineStr">
        <is>
          <t>Google / Microsoft / Amazon engineering levels</t>
        </is>
      </c>
      <c r="C241" s="212" t="n"/>
      <c r="D241" s="211" t="n"/>
      <c r="E241" s="16" t="inlineStr">
        <is>
          <r>
            <rPr>
              <rFont val="Calibri"/>
              <b val="1"/>
              <sz val="10"/>
            </rPr>
            <t>Core bands used:</t>
          </r>
          <r>
            <rPr>
              <rFont val="Calibri"/>
              <sz val="10"/>
            </rPr>
            <t xml:space="preserve"> Google L3–L8 · Microsoft 59–68 · Amazon L4–L8 · full ladders run Google L2–L11, Microsoft 57–80+, Amazon L4–L10; equivalences and typical experience</t>
          </r>
        </is>
      </c>
      <c r="F241" s="212" t="n"/>
      <c r="G241" s="212" t="n"/>
      <c r="H241" s="212" t="n"/>
      <c r="I241" s="211" t="n"/>
      <c r="J241" s="16" t="inlineStr">
        <is>
          <t>https://testrigor.com/blog/engineering-levels-in-different-companies-compared/ ; https://rajendrauppal.substack.com/p/understanding-levels-at-google-microsoft</t>
        </is>
      </c>
      <c r="K241" s="212" t="n"/>
      <c r="L241" s="212" t="n"/>
      <c r="M241" s="211" t="n"/>
      <c r="N241" s="16" t="inlineStr">
        <is>
          <t>Secondary</t>
        </is>
      </c>
    </row>
    <row r="242" ht="41" customHeight="1">
      <c r="A242" s="13" t="inlineStr">
        <is>
          <t>S33</t>
        </is>
      </c>
      <c r="B242" s="16" t="inlineStr">
        <is>
          <t>Infosys job levels</t>
        </is>
      </c>
      <c r="C242" s="212" t="n"/>
      <c r="D242" s="211" t="n"/>
      <c r="E242" s="16" t="inlineStr">
        <is>
          <t>JL3B Systems Engineer · 0–3 yrs → JL3A Senior SE → JL4 Technology Analyst → JL5 Technology Lead → JL6B Architect / PM → JL6A Senior Architect</t>
        </is>
      </c>
      <c r="F242" s="212" t="n"/>
      <c r="G242" s="212" t="n"/>
      <c r="H242" s="212" t="n"/>
      <c r="I242" s="211" t="n"/>
      <c r="J242" s="16" t="inlineStr">
        <is>
          <t>https://www.designgurus.io/blog/infosys-job-levels</t>
        </is>
      </c>
      <c r="K242" s="212" t="n"/>
      <c r="L242" s="212" t="n"/>
      <c r="M242" s="211" t="n"/>
      <c r="N242" s="16" t="inlineStr">
        <is>
          <t>Indicative</t>
        </is>
      </c>
    </row>
    <row r="243" ht="54" customHeight="1">
      <c r="A243" s="13" t="inlineStr">
        <is>
          <t>S34</t>
        </is>
      </c>
      <c r="B243" s="16" t="inlineStr">
        <is>
          <t>TCS grades</t>
        </is>
      </c>
      <c r="C243" s="212" t="n"/>
      <c r="D243" s="211" t="n"/>
      <c r="E243" s="16" t="inlineStr">
        <is>
          <t>C1Y ASE Trainee → C1 ASE / System Engineer → C2 IT Analyst → C3A Assistant Consultant → C3B Associate Consultant → C4 Consultant → C5 Senior Consultant → SP1 Principal Consultant</t>
        </is>
      </c>
      <c r="F243" s="212" t="n"/>
      <c r="G243" s="212" t="n"/>
      <c r="H243" s="212" t="n"/>
      <c r="I243" s="211" t="n"/>
      <c r="J243" s="16" t="inlineStr">
        <is>
          <t>https://www.designgurus.io/blog/tcs-job-levels</t>
        </is>
      </c>
      <c r="K243" s="212" t="n"/>
      <c r="L243" s="212" t="n"/>
      <c r="M243" s="211" t="n"/>
      <c r="N243" s="16" t="inlineStr">
        <is>
          <t>Indicative</t>
        </is>
      </c>
    </row>
    <row r="244" ht="54" customHeight="1">
      <c r="A244" s="13" t="inlineStr">
        <is>
          <t>S35</t>
        </is>
      </c>
      <c r="B244" s="16" t="inlineStr">
        <is>
          <t>Accenture India career levels</t>
        </is>
      </c>
      <c r="C244" s="212" t="n"/>
      <c r="D244" s="211" t="n"/>
      <c r="E244" s="16" t="inlineStr">
        <is>
          <t>L12 Associate · 0–1 yrs → L11 Analyst → L10 Senior Analyst → L9 Team Lead / Consultant → L8 Associate Manager → L7 Manager → L6 Senior Manager → L5+ leadership</t>
        </is>
      </c>
      <c r="F244" s="212" t="n"/>
      <c r="G244" s="212" t="n"/>
      <c r="H244" s="212" t="n"/>
      <c r="I244" s="211" t="n"/>
      <c r="J244" s="16" t="inlineStr">
        <is>
          <t>https://jobrise.io/hi/blog/accenture-salary-package-2026-india/</t>
        </is>
      </c>
      <c r="K244" s="212" t="n"/>
      <c r="L244" s="212" t="n"/>
      <c r="M244" s="211" t="n"/>
      <c r="N244" s="16" t="inlineStr">
        <is>
          <t>Indicative</t>
        </is>
      </c>
    </row>
    <row r="245" ht="41" customHeight="1">
      <c r="A245" s="13" t="inlineStr">
        <is>
          <t>S36</t>
        </is>
      </c>
      <c r="B245" s="16" t="inlineStr">
        <is>
          <t>Deloitte India / USI hierarchy</t>
        </is>
      </c>
      <c r="C245" s="212" t="n"/>
      <c r="D245" s="211" t="n"/>
      <c r="E245" s="16" t="inlineStr">
        <is>
          <t>Associate Analyst → Analyst → Consultant → Senior Consultant → Manager → Senior Manager → Managing Director → Partner / Principal</t>
        </is>
      </c>
      <c r="F245" s="212" t="n"/>
      <c r="G245" s="212" t="n"/>
      <c r="H245" s="212" t="n"/>
      <c r="I245" s="211" t="n"/>
      <c r="J245" s="16" t="inlineStr">
        <is>
          <t>https://networkinterview.com/technical-hierarchy-deloitte-india/</t>
        </is>
      </c>
      <c r="K245" s="212" t="n"/>
      <c r="L245" s="212" t="n"/>
      <c r="M245" s="211" t="n"/>
      <c r="N245" s="16" t="inlineStr">
        <is>
          <t>Indicative</t>
        </is>
      </c>
    </row>
    <row r="246" ht="41" customHeight="1">
      <c r="A246" s="13" t="inlineStr">
        <is>
          <t>S37</t>
        </is>
      </c>
      <c r="B246" s="16" t="inlineStr">
        <is>
          <t>GitLab — job frameworks and layers</t>
        </is>
      </c>
      <c r="C246" s="212" t="n"/>
      <c r="D246" s="211" t="n"/>
      <c r="E246" s="16" t="inlineStr">
        <is>
          <t>Two job frameworks · IC, people manager; ≤ 8 layers; Staff ↔ Manager, Principal ↔ Senior Manager, Distinguished ↔ Director, Fellow ↔ VP</t>
        </is>
      </c>
      <c r="F246" s="212" t="n"/>
      <c r="G246" s="212" t="n"/>
      <c r="H246" s="212" t="n"/>
      <c r="I246" s="211" t="n"/>
      <c r="J246" s="16" t="inlineStr">
        <is>
          <t>https://handbook.gitlab.com/handbook/company/structure/</t>
        </is>
      </c>
      <c r="K246" s="212" t="n"/>
      <c r="L246" s="212" t="n"/>
      <c r="M246" s="211" t="n"/>
      <c r="N246" s="16" t="inlineStr">
        <is>
          <t>Primary</t>
        </is>
      </c>
    </row>
    <row r="247" ht="28" customHeight="1">
      <c r="A247" s="13" t="inlineStr">
        <is>
          <t>S38</t>
        </is>
      </c>
      <c r="B247" s="16" t="inlineStr">
        <is>
          <t>Infosys, McKinsey, Unilever / HUL, Google — hiring practices</t>
        </is>
      </c>
      <c r="C247" s="212" t="n"/>
      <c r="D247" s="211" t="n"/>
      <c r="E247" s="16" t="inlineStr">
        <is>
          <t>Tiered campus entry; entry level by qualification; management-trainee programme; independent levelling panel</t>
        </is>
      </c>
      <c r="F247" s="212" t="n"/>
      <c r="G247" s="212" t="n"/>
      <c r="H247" s="212" t="n"/>
      <c r="I247" s="211" t="n"/>
      <c r="J247" s="16" t="inlineStr">
        <is>
          <t>Public careers / recruiting pages</t>
        </is>
      </c>
      <c r="K247" s="212" t="n"/>
      <c r="L247" s="212" t="n"/>
      <c r="M247" s="211" t="n"/>
      <c r="N247" s="16" t="inlineStr">
        <is>
          <t>Secondary</t>
        </is>
      </c>
    </row>
    <row r="248" ht="41" customHeight="1">
      <c r="A248" s="13" t="inlineStr">
        <is>
          <t>S44</t>
        </is>
      </c>
      <c r="B248" s="16" t="inlineStr">
        <is>
          <t>Software Engineering at Google — ch. 5 'How to Lead a Team' · Tech Lead Manager</t>
        </is>
      </c>
      <c r="C248" s="212" t="n"/>
      <c r="D248" s="211" t="n"/>
      <c r="E248" s="16" t="inlineStr">
        <is>
          <t>The Tech Lead Manager · TLM — a hybrid who leads a team and still contributes technically → B+ Player-Coach</t>
        </is>
      </c>
      <c r="F248" s="212" t="n"/>
      <c r="G248" s="212" t="n"/>
      <c r="H248" s="212" t="n"/>
      <c r="I248" s="211" t="n"/>
      <c r="J248" s="16" t="inlineStr">
        <is>
          <t>https://abseil.io/resources/swe-book/html/ch05.html ; https://newsletter.pragmaticengineer.com/p/leading-effective-engineering-teams</t>
        </is>
      </c>
      <c r="K248" s="212" t="n"/>
      <c r="L248" s="212" t="n"/>
      <c r="M248" s="211" t="n"/>
      <c r="N248" s="16" t="inlineStr">
        <is>
          <t>Primary</t>
        </is>
      </c>
    </row>
    <row r="249" ht="67" customHeight="1">
      <c r="A249" s="13" t="inlineStr">
        <is>
          <t>S45</t>
        </is>
      </c>
      <c r="B249" s="16" t="inlineStr">
        <is>
          <t>SaaS player-coach sales and revenue leaders · job postings</t>
        </is>
      </c>
      <c r="C249" s="212" t="n"/>
      <c r="D249" s="211" t="n"/>
      <c r="E249" s="16" t="inlineStr">
        <is>
          <t>Leaders who carry their own quota or book while building and coaching the team → C+ / B+ Player-Coach in commercial roles</t>
        </is>
      </c>
      <c r="F249" s="212" t="n"/>
      <c r="G249" s="212" t="n"/>
      <c r="H249" s="212" t="n"/>
      <c r="I249" s="211" t="n"/>
      <c r="J249" s="16" t="inlineStr">
        <is>
          <t>https://www.itjobswatch.co.uk/jv/Space-Executive/Sales-Lead-Player-Coach-HR-Tech-Job-City-of-London-Greater-London-UK-4vommq ; https://salesgravy.com/the-player-coach-problem-how-to-prospect-and-lead-at-the-same-time-ask-jeb/</t>
        </is>
      </c>
      <c r="K249" s="212" t="n"/>
      <c r="L249" s="212" t="n"/>
      <c r="M249" s="211" t="n"/>
      <c r="N249" s="16" t="inlineStr">
        <is>
          <t>Job postings</t>
        </is>
      </c>
    </row>
    <row r="250" ht="54" customHeight="1">
      <c r="A250" s="13" t="inlineStr">
        <is>
          <t>S46</t>
        </is>
      </c>
      <c r="B250" s="16" t="inlineStr">
        <is>
          <t>Canada Treasury Board — Executive Group Position Evaluation Plan, 2005</t>
        </is>
      </c>
      <c r="C250" s="212" t="n"/>
      <c r="D250" s="211" t="n"/>
      <c r="E250" s="16" t="inlineStr">
        <is>
          <t>Verified Hay point evaluations of real manager and executive jobs; the know-how / problem solving / accountability split by level used in the weight derivation</t>
        </is>
      </c>
      <c r="F250" s="212" t="n"/>
      <c r="G250" s="212" t="n"/>
      <c r="H250" s="212" t="n"/>
      <c r="I250" s="211" t="n"/>
      <c r="J250" s="16" t="inlineStr">
        <is>
          <t>https://www.canada.ca/en/treasury-board-secretariat/services/collective-agreements/job-evaluation/executive-group-position-evaluation-plan-september-2005.html</t>
        </is>
      </c>
      <c r="K250" s="212" t="n"/>
      <c r="L250" s="212" t="n"/>
      <c r="M250" s="211" t="n"/>
      <c r="N250" s="16" t="inlineStr">
        <is>
          <t>Primary</t>
        </is>
      </c>
    </row>
    <row r="251" ht="93" customHeight="1">
      <c r="A251" s="13" t="inlineStr">
        <is>
          <t>S47</t>
        </is>
      </c>
      <c r="B251" s="16" t="inlineStr">
        <is>
          <t>Canada Treasury Board — Executive Group Position Evaluation Plan, 2022</t>
        </is>
      </c>
      <c r="C251" s="212" t="n"/>
      <c r="D251" s="211" t="n"/>
      <c r="E251" s="16" t="inlineStr">
        <is>
          <t>Current version of the same plan with benchmark evaluations; confirms accountability's share rises with seniority</t>
        </is>
      </c>
      <c r="F251" s="212" t="n"/>
      <c r="G251" s="212" t="n"/>
      <c r="H251" s="212" t="n"/>
      <c r="I251" s="211" t="n"/>
      <c r="J251" s="16" t="inlineStr">
        <is>
          <t>https://www.canada.ca/en/treasury-board-secretariat/services/collective-agreements/job-evaluation/executive-group-position-evaluation-plan-2022.html ; https://www.canada.ca/content/dam/tbs-sct/documents/public-service-staffing/organization-evaluation-work/job-evaluation-ex/20221018-p48_eng.pdf</t>
        </is>
      </c>
      <c r="K251" s="212" t="n"/>
      <c r="L251" s="212" t="n"/>
      <c r="M251" s="211" t="n"/>
      <c r="N251" s="16" t="inlineStr">
        <is>
          <t>Primary</t>
        </is>
      </c>
    </row>
    <row r="252" ht="41" customHeight="1">
      <c r="A252" s="13" t="inlineStr">
        <is>
          <t>S48</t>
        </is>
      </c>
      <c r="B252" s="16" t="inlineStr">
        <is>
          <t>Hay Group — summary deck of the Guide Chart-Profile method</t>
        </is>
      </c>
      <c r="C252" s="212" t="n"/>
      <c r="D252" s="211" t="n"/>
      <c r="E252" s="16" t="inlineStr">
        <is>
          <t>Typical Hay profiles for clerical, specialist and supervisory jobs; the shares used for the junior and professional rows</t>
        </is>
      </c>
      <c r="F252" s="212" t="n"/>
      <c r="G252" s="212" t="n"/>
      <c r="H252" s="212" t="n"/>
      <c r="I252" s="211" t="n"/>
      <c r="J252" s="16" t="inlineStr">
        <is>
          <t>https://www.slideshare.net/slideshow/hay-summary/55196354</t>
        </is>
      </c>
      <c r="K252" s="212" t="n"/>
      <c r="L252" s="212" t="n"/>
      <c r="M252" s="211" t="n"/>
      <c r="N252" s="16" t="inlineStr">
        <is>
          <t>Secondary</t>
        </is>
      </c>
    </row>
    <row r="253" ht="28" customHeight="1">
      <c r="A253" s="13" t="inlineStr">
        <is>
          <t>S49</t>
        </is>
      </c>
      <c r="B253" s="16" t="inlineStr">
        <is>
          <t>Lincolnshire County Council — Hay Group job evaluation method</t>
        </is>
      </c>
      <c r="C253" s="212" t="n"/>
      <c r="D253" s="211" t="n"/>
      <c r="E253" s="16" t="inlineStr">
        <is>
          <t>Defines know-how as all knowledge and skill however acquired — the basis for not scoring experience on its own</t>
        </is>
      </c>
      <c r="F253" s="212" t="n"/>
      <c r="G253" s="212" t="n"/>
      <c r="H253" s="212" t="n"/>
      <c r="I253" s="211" t="n"/>
      <c r="J253" s="16" t="inlineStr">
        <is>
          <t>https://professionals.lincolnshire.gov.uk/downloads/file/576/hay-group-je-method</t>
        </is>
      </c>
      <c r="K253" s="212" t="n"/>
      <c r="L253" s="212" t="n"/>
      <c r="M253" s="211" t="n"/>
      <c r="N253" s="16" t="inlineStr">
        <is>
          <t>Primary</t>
        </is>
      </c>
    </row>
    <row r="254" ht="28" customHeight="1">
      <c r="A254" s="13" t="inlineStr">
        <is>
          <t>S50</t>
        </is>
      </c>
      <c r="B254" s="16" t="inlineStr">
        <is>
          <t>Western University — Hay method overview</t>
        </is>
      </c>
      <c r="C254" s="212" t="n"/>
      <c r="D254" s="211" t="n"/>
      <c r="E254" s="16" t="inlineStr">
        <is>
          <t>Plain explanation of the three Hay factors and the short profile; cross-check of the Hay shares</t>
        </is>
      </c>
      <c r="F254" s="212" t="n"/>
      <c r="G254" s="212" t="n"/>
      <c r="H254" s="212" t="n"/>
      <c r="I254" s="211" t="n"/>
      <c r="J254" s="16" t="inlineStr">
        <is>
          <t>https://www.uwo.ca/humanresources/wjec/docs/hay_method_overview.pdf</t>
        </is>
      </c>
      <c r="K254" s="212" t="n"/>
      <c r="L254" s="212" t="n"/>
      <c r="M254" s="211" t="n"/>
      <c r="N254" s="16" t="inlineStr">
        <is>
          <t>Secondary</t>
        </is>
      </c>
    </row>
    <row r="255" ht="41" customHeight="1">
      <c r="A255" s="13" t="inlineStr">
        <is>
          <t>S51</t>
        </is>
      </c>
      <c r="B255" s="16" t="inlineStr">
        <is>
          <t>Derbyshire County Council — Korn Ferry Hay scheme</t>
        </is>
      </c>
      <c r="C255" s="212" t="n"/>
      <c r="D255" s="211" t="n"/>
      <c r="E255" s="16" t="inlineStr">
        <is>
          <t>Confirms current Korn Ferry Hay use in UK public employers and the factor definitions</t>
        </is>
      </c>
      <c r="F255" s="212" t="n"/>
      <c r="G255" s="212" t="n"/>
      <c r="H255" s="212" t="n"/>
      <c r="I255" s="211" t="n"/>
      <c r="J255" s="16" t="inlineStr">
        <is>
          <t>https://staff.derbyshire.gov.uk/jobs-and-recruitment/job-evaluation/korn-ferry-hay-scheme/korn-ferry-hay-scheme.aspx</t>
        </is>
      </c>
      <c r="K255" s="212" t="n"/>
      <c r="L255" s="212" t="n"/>
      <c r="M255" s="211" t="n"/>
      <c r="N255" s="16" t="inlineStr">
        <is>
          <t>Secondary</t>
        </is>
      </c>
    </row>
    <row r="256" ht="41" customHeight="1">
      <c r="A256" s="13" t="inlineStr">
        <is>
          <t>S52</t>
        </is>
      </c>
      <c r="B256" s="16" t="inlineStr">
        <is>
          <t>Mercer IPE — position evaluation manual and factor sheet</t>
        </is>
      </c>
      <c r="C256" s="212" t="n"/>
      <c r="D256" s="211" t="n"/>
      <c r="E256" s="16" t="inlineStr">
        <is>
          <t>Maximum points per factor and the factor definitions — Impact, Communication, Innovation, Knowledge — used for the IPE column of the derivation</t>
        </is>
      </c>
      <c r="F256" s="212" t="n"/>
      <c r="G256" s="212" t="n"/>
      <c r="H256" s="212" t="n"/>
      <c r="I256" s="211" t="n"/>
      <c r="J256" s="16" t="inlineStr">
        <is>
          <t>https://www.karlancer.com/api/file/1685038954-V7Gx.pdf ; https://studylib.net/doc/25471018/197145561-evaluation-factors-mercer</t>
        </is>
      </c>
      <c r="K256" s="212" t="n"/>
      <c r="L256" s="212" t="n"/>
      <c r="M256" s="211" t="n"/>
      <c r="N256" s="16" t="inlineStr">
        <is>
          <t>Secondary</t>
        </is>
      </c>
    </row>
    <row r="257" ht="28" customHeight="1">
      <c r="A257" s="13" t="inlineStr">
        <is>
          <t>S53</t>
        </is>
      </c>
      <c r="B257" s="16" t="inlineStr">
        <is>
          <t>NHS Agenda for Change — Job Evaluation Handbook</t>
        </is>
      </c>
      <c r="C257" s="212" t="n"/>
      <c r="D257" s="211" t="n"/>
      <c r="E257" s="16" t="inlineStr">
        <is>
          <t>16 factors and 1,000 points with published weights; knowledge 24%, financial and physical resources 6%</t>
        </is>
      </c>
      <c r="F257" s="212" t="n"/>
      <c r="G257" s="212" t="n"/>
      <c r="H257" s="212" t="n"/>
      <c r="I257" s="211" t="n"/>
      <c r="J257" s="16" t="inlineStr">
        <is>
          <t>https://www.nhsemployers.org/sites/default/files/pdf/22/165.pdf</t>
        </is>
      </c>
      <c r="K257" s="212" t="n"/>
      <c r="L257" s="212" t="n"/>
      <c r="M257" s="211" t="n"/>
      <c r="N257" s="16" t="inlineStr">
        <is>
          <t>Primary</t>
        </is>
      </c>
    </row>
    <row r="258" ht="28" customHeight="1">
      <c r="A258" s="13" t="inlineStr">
        <is>
          <t>S54</t>
        </is>
      </c>
      <c r="B258" s="16" t="inlineStr">
        <is>
          <t>Police Staff Council — job evaluation handbook, NJC 13-factor scheme</t>
        </is>
      </c>
      <c r="C258" s="212" t="n"/>
      <c r="D258" s="211" t="n"/>
      <c r="E258" s="16" t="inlineStr">
        <is>
          <t>Published factor points for the UK local-government scheme; used for the public-plan average</t>
        </is>
      </c>
      <c r="F258" s="212" t="n"/>
      <c r="G258" s="212" t="n"/>
      <c r="H258" s="212" t="n"/>
      <c r="I258" s="211" t="n"/>
      <c r="J258" s="16" t="inlineStr">
        <is>
          <t>https://lb2.local.gov.uk/sites/default/files/documents/police-staff-council-13-f-342.pdf</t>
        </is>
      </c>
      <c r="K258" s="212" t="n"/>
      <c r="L258" s="212" t="n"/>
      <c r="M258" s="211" t="n"/>
      <c r="N258" s="16" t="inlineStr">
        <is>
          <t>Primary</t>
        </is>
      </c>
    </row>
    <row r="259" ht="41" customHeight="1">
      <c r="A259" s="13" t="inlineStr">
        <is>
          <t>S55</t>
        </is>
      </c>
      <c r="B259" s="16" t="inlineStr">
        <is>
          <t>Greater London Provincial Council — points weighting, Denbighshire County Council</t>
        </is>
      </c>
      <c r="C259" s="212" t="n"/>
      <c r="D259" s="211" t="n"/>
      <c r="E259" s="16" t="inlineStr">
        <is>
          <t>11 factors and 948 points with published weights</t>
        </is>
      </c>
      <c r="F259" s="212" t="n"/>
      <c r="G259" s="212" t="n"/>
      <c r="H259" s="212" t="n"/>
      <c r="I259" s="211" t="n"/>
      <c r="J259" s="16" t="inlineStr">
        <is>
          <t>https://www.sirddinbych.gov.uk/en/documents/jobs-and-employees/my-employment/reorganisation-and-change/glpc-points-weighting.pdf</t>
        </is>
      </c>
      <c r="K259" s="212" t="n"/>
      <c r="L259" s="212" t="n"/>
      <c r="M259" s="211" t="n"/>
      <c r="N259" s="16" t="inlineStr">
        <is>
          <t>Primary</t>
        </is>
      </c>
    </row>
    <row r="260" ht="28" customHeight="1">
      <c r="A260" s="13" t="inlineStr">
        <is>
          <t>S56</t>
        </is>
      </c>
      <c r="B260" s="16" t="inlineStr">
        <is>
          <t>Scottish Joint Council scheme — Highland Council scoring matrix</t>
        </is>
      </c>
      <c r="C260" s="212" t="n"/>
      <c r="D260" s="211" t="n"/>
      <c r="E260" s="16" t="inlineStr">
        <is>
          <t>13 factors and 1,000 points with published weights</t>
        </is>
      </c>
      <c r="F260" s="212" t="n"/>
      <c r="G260" s="212" t="n"/>
      <c r="H260" s="212" t="n"/>
      <c r="I260" s="211" t="n"/>
      <c r="J260" s="16" t="inlineStr">
        <is>
          <t>https://www.highland.gov.uk/download/downloads/id/3889/scoring_matrix.pdf</t>
        </is>
      </c>
      <c r="K260" s="212" t="n"/>
      <c r="L260" s="212" t="n"/>
      <c r="M260" s="211" t="n"/>
      <c r="N260" s="16" t="inlineStr">
        <is>
          <t>Primary</t>
        </is>
      </c>
    </row>
    <row r="261" ht="54" customHeight="1">
      <c r="A261" s="13" t="inlineStr">
        <is>
          <t>S57</t>
        </is>
      </c>
      <c r="B261" s="16" t="inlineStr">
        <is>
          <t>US OPM — Introduction to the Position Classification Standards, Factor Evaluation System</t>
        </is>
      </c>
      <c r="C261" s="212" t="n"/>
      <c r="D261" s="211" t="n"/>
      <c r="E261" s="16" t="inlineStr">
        <is>
          <t>9 factors and 4,480 points; the most knowledge-heavy plan, with no separate financial factor</t>
        </is>
      </c>
      <c r="F261" s="212" t="n"/>
      <c r="G261" s="212" t="n"/>
      <c r="H261" s="212" t="n"/>
      <c r="I261" s="211" t="n"/>
      <c r="J261" s="16" t="inlineStr">
        <is>
          <t>https://www.opm.gov/policy-data-oversight/classification-qualifications/classifying-general-schedule-positions/positionclassificationintro.pdf</t>
        </is>
      </c>
      <c r="K261" s="212" t="n"/>
      <c r="L261" s="212" t="n"/>
      <c r="M261" s="211" t="n"/>
      <c r="N261" s="16" t="inlineStr">
        <is>
          <t>Primary</t>
        </is>
      </c>
    </row>
    <row r="262" ht="80" customHeight="1">
      <c r="A262" s="13" t="inlineStr">
        <is>
          <t>S58</t>
        </is>
      </c>
      <c r="B262" s="16" t="inlineStr">
        <is>
          <t>McKinsey — Taking a skills-based approach to building the future workforce, 2022</t>
        </is>
      </c>
      <c r="C262" s="212" t="n"/>
      <c r="D262" s="211" t="n"/>
      <c r="E262" s="16" t="inlineStr">
        <is>
          <t>Hiring for skills is more than twice as predictive as hiring for work experience — support for a low Experience weight</t>
        </is>
      </c>
      <c r="F262" s="212" t="n"/>
      <c r="G262" s="212" t="n"/>
      <c r="H262" s="212" t="n"/>
      <c r="I262" s="211" t="n"/>
      <c r="J262" s="16" t="inlineStr">
        <is>
          <t>https://www.mckinsey.com/~/media/mckinsey/business%20functions/people%20and%20organizational%20performance/our%20insights/taking%20a%20skills%20based%20approach%20to%20building%20the%20future%20workforce/taking-a-skills-based-approach-to-building-the-future-workforce-vf.pdf</t>
        </is>
      </c>
      <c r="K262" s="212" t="n"/>
      <c r="L262" s="212" t="n"/>
      <c r="M262" s="211" t="n"/>
      <c r="N262" s="16" t="inlineStr">
        <is>
          <t>Primary</t>
        </is>
      </c>
    </row>
    <row r="263" ht="41" customHeight="1">
      <c r="A263" s="13" t="inlineStr">
        <is>
          <t>S59</t>
        </is>
      </c>
      <c r="B263" s="16" t="inlineStr">
        <is>
          <t>Deloitte — Human Capital Trends 2023, skills-based model</t>
        </is>
      </c>
      <c r="C263" s="212" t="n"/>
      <c r="D263" s="211" t="n"/>
      <c r="E263" s="16" t="inlineStr">
        <is>
          <t>Organisations moving to deploy and promote on skills rather than tenure or job history</t>
        </is>
      </c>
      <c r="F263" s="212" t="n"/>
      <c r="G263" s="212" t="n"/>
      <c r="H263" s="212" t="n"/>
      <c r="I263" s="211" t="n"/>
      <c r="J263" s="16" t="inlineStr">
        <is>
          <t>https://www.deloitte.com/us/en/insights/topics/talent/human-capital-trends/2023/skills-based-model-end-of-jobs.html</t>
        </is>
      </c>
      <c r="K263" s="212" t="n"/>
      <c r="L263" s="212" t="n"/>
      <c r="M263" s="211" t="n"/>
      <c r="N263" s="16" t="inlineStr">
        <is>
          <t>Primary</t>
        </is>
      </c>
    </row>
    <row r="264" ht="41" customHeight="1">
      <c r="A264" s="13" t="inlineStr">
        <is>
          <t>S60</t>
        </is>
      </c>
      <c r="B264" s="16" t="inlineStr">
        <is>
          <t>World Economic Forum — Skills-first: 6 success factors, 2024</t>
        </is>
      </c>
      <c r="C264" s="212" t="n"/>
      <c r="D264" s="211" t="n"/>
      <c r="E264" s="16" t="inlineStr">
        <is>
          <t>Rethink education and previous experience as proxies for ability</t>
        </is>
      </c>
      <c r="F264" s="212" t="n"/>
      <c r="G264" s="212" t="n"/>
      <c r="H264" s="212" t="n"/>
      <c r="I264" s="211" t="n"/>
      <c r="J264" s="16" t="inlineStr">
        <is>
          <t>https://www.weforum.org/stories/2024/01/skills-first-6-success-factors-recruiting-developing-talent/</t>
        </is>
      </c>
      <c r="K264" s="212" t="n"/>
      <c r="L264" s="212" t="n"/>
      <c r="M264" s="211" t="n"/>
      <c r="N264" s="16" t="inlineStr">
        <is>
          <t>Secondary</t>
        </is>
      </c>
    </row>
    <row r="265" ht="41" customHeight="1">
      <c r="A265" s="13" t="inlineStr">
        <is>
          <t>S61</t>
        </is>
      </c>
      <c r="B265" s="16" t="inlineStr">
        <is>
          <t>EY Future of Pay via People Matters — India's 2026 salary increases to reward skills over seniority</t>
        </is>
      </c>
      <c r="C265" s="212" t="n"/>
      <c r="D265" s="211" t="n"/>
      <c r="E265" s="16" t="inlineStr">
        <is>
          <t>India pay moving away from tenure-based increases towards skills-led, performance-driven frameworks</t>
        </is>
      </c>
      <c r="F265" s="212" t="n"/>
      <c r="G265" s="212" t="n"/>
      <c r="H265" s="212" t="n"/>
      <c r="I265" s="211" t="n"/>
      <c r="J265" s="16" t="inlineStr">
        <is>
          <t>https://www.peoplematters.in/news/compensation-benefits/indias-2026-salary-increases-to-reward-skills-over-seniority-ey-48541</t>
        </is>
      </c>
      <c r="K265" s="212" t="n"/>
      <c r="L265" s="212" t="n"/>
      <c r="M265" s="211" t="n"/>
      <c r="N265" s="16" t="inlineStr">
        <is>
          <t>Secondary</t>
        </is>
      </c>
    </row>
    <row r="266" ht="41" customHeight="1">
      <c r="A266" s="13" t="inlineStr">
        <is>
          <t>S62</t>
        </is>
      </c>
      <c r="B266" s="16" t="inlineStr">
        <is>
          <t>WTW — Building resilient career ecosystems, India 2023</t>
        </is>
      </c>
      <c r="C266" s="212" t="n"/>
      <c r="D266" s="211" t="n"/>
      <c r="E266" s="16" t="inlineStr">
        <is>
          <t>WTW's view of career architecture design in India; complements the WTW GGS factors in S07</t>
        </is>
      </c>
      <c r="F266" s="212" t="n"/>
      <c r="G266" s="212" t="n"/>
      <c r="H266" s="212" t="n"/>
      <c r="I266" s="211" t="n"/>
      <c r="J266" s="16" t="inlineStr">
        <is>
          <t>https://www.wtwco.com/en-in/insights/2023/09/building-resilient-career-ecosystems-with-robust-career-strategy-and-design</t>
        </is>
      </c>
      <c r="K266" s="212" t="n"/>
      <c r="L266" s="212" t="n"/>
      <c r="M266" s="211" t="n"/>
      <c r="N266" s="16" t="inlineStr">
        <is>
          <t>Secondary</t>
        </is>
      </c>
    </row>
    <row r="267" ht="28" customHeight="1">
      <c r="A267" s="13" t="inlineStr">
        <is>
          <t>S63</t>
        </is>
      </c>
      <c r="B267" s="16" t="inlineStr">
        <is>
          <t>iPleaders — Director under the Companies Act 2013</t>
        </is>
      </c>
      <c r="C267" s="212" t="n"/>
      <c r="D267" s="211" t="n"/>
      <c r="E267" s="16" t="inlineStr">
        <is>
          <r>
            <rPr>
              <rFont val="Calibri"/>
              <b val="1"/>
              <sz val="10"/>
            </rPr>
            <t>Section 2, clause 34:</t>
          </r>
          <r>
            <rPr>
              <rFont val="Calibri"/>
              <sz val="10"/>
            </rPr>
            <t xml:space="preserve"> 'director' means a director appointed to the Board — the reason IRIS uses no 'Director' title</t>
          </r>
        </is>
      </c>
      <c r="F267" s="212" t="n"/>
      <c r="G267" s="212" t="n"/>
      <c r="H267" s="212" t="n"/>
      <c r="I267" s="211" t="n"/>
      <c r="J267" s="16" t="inlineStr">
        <is>
          <t>https://blog.ipleaders.in/director-companies-act-2013/</t>
        </is>
      </c>
      <c r="K267" s="212" t="n"/>
      <c r="L267" s="212" t="n"/>
      <c r="M267" s="211" t="n"/>
      <c r="N267" s="16" t="inlineStr">
        <is>
          <t>Primary</t>
        </is>
      </c>
    </row>
    <row r="268" ht="41" customHeight="1">
      <c r="A268" s="13" t="inlineStr">
        <is>
          <t>S64</t>
        </is>
      </c>
      <c r="B268" s="16" t="inlineStr">
        <is>
          <t>Kaanoon — 'Director' as an HR designation but not under the Companies Act</t>
        </is>
      </c>
      <c r="C268" s="212" t="n"/>
      <c r="D268" s="211" t="n"/>
      <c r="E268" s="16" t="inlineStr">
        <is>
          <t>Practitioner view that a 'Director' designation for non-board staff causes confusion and disclosure risk</t>
        </is>
      </c>
      <c r="F268" s="212" t="n"/>
      <c r="G268" s="212" t="n"/>
      <c r="H268" s="212" t="n"/>
      <c r="I268" s="211" t="n"/>
      <c r="J268" s="16" t="inlineStr">
        <is>
          <t>https://www.kaanoon.com/241487/designation-with-word-director-as-per-hr-policy-but-not-as-per-companies-act</t>
        </is>
      </c>
      <c r="K268" s="212" t="n"/>
      <c r="L268" s="212" t="n"/>
      <c r="M268" s="211" t="n"/>
      <c r="N268" s="16" t="inlineStr">
        <is>
          <t>Secondary</t>
        </is>
      </c>
    </row>
    <row r="269" ht="28" customHeight="1">
      <c r="A269" s="13" t="inlineStr">
        <is>
          <t>S65</t>
        </is>
      </c>
      <c r="B269" s="16" t="inlineStr">
        <is>
          <t>Wipro — Distinguished Member of Technical Staff</t>
        </is>
      </c>
      <c r="C269" s="212" t="n"/>
      <c r="D269" s="211" t="n"/>
      <c r="E269" s="16" t="inlineStr">
        <is>
          <t>Indian example of the 'Distinguished' top-specialist title — Option B for the D1 title</t>
        </is>
      </c>
      <c r="F269" s="212" t="n"/>
      <c r="G269" s="212" t="n"/>
      <c r="H269" s="212" t="n"/>
      <c r="I269" s="211" t="n"/>
      <c r="J269" s="16" t="inlineStr">
        <is>
          <t>https://www.wipro.com/innovation/distinguished-member-of-technical-staff/</t>
        </is>
      </c>
      <c r="K269" s="212" t="n"/>
      <c r="L269" s="212" t="n"/>
      <c r="M269" s="211" t="n"/>
      <c r="N269" s="16" t="inlineStr">
        <is>
          <t>Primary</t>
        </is>
      </c>
    </row>
    <row r="270" ht="28" customHeight="1">
      <c r="A270" s="13" t="inlineStr">
        <is>
          <t>S66</t>
        </is>
      </c>
      <c r="B270" s="16" t="inlineStr">
        <is>
          <t>Salesforce engineering levels — AMTS to Distinguished Engineer</t>
        </is>
      </c>
      <c r="C270" s="212" t="n"/>
      <c r="D270" s="211" t="n"/>
      <c r="E270" s="16" t="inlineStr">
        <is>
          <t>Global SaaS example of the top-specialist title above Principal Architect</t>
        </is>
      </c>
      <c r="F270" s="212" t="n"/>
      <c r="G270" s="212" t="n"/>
      <c r="H270" s="212" t="n"/>
      <c r="I270" s="211" t="n"/>
      <c r="J270" s="16" t="inlineStr">
        <is>
          <t>https://www.designgurus.io/blog/salesforce-software-engineer-levels</t>
        </is>
      </c>
      <c r="K270" s="212" t="n"/>
      <c r="L270" s="212" t="n"/>
      <c r="M270" s="211" t="n"/>
      <c r="N270" s="16" t="inlineStr">
        <is>
          <t>Secondary</t>
        </is>
      </c>
    </row>
    <row r="271" ht="28" customHeight="1">
      <c r="A271" s="13" t="inlineStr">
        <is>
          <t>S67</t>
        </is>
      </c>
      <c r="B271" s="16" t="inlineStr">
        <is>
          <t>LeadDev — Who are staff, principal and distinguished engineers</t>
        </is>
      </c>
      <c r="C271" s="212" t="n"/>
      <c r="D271" s="211" t="n"/>
      <c r="E271" s="16" t="inlineStr">
        <is>
          <t>How Principal, Distinguished and Fellow tiers are used and how rare they are</t>
        </is>
      </c>
      <c r="F271" s="212" t="n"/>
      <c r="G271" s="212" t="n"/>
      <c r="H271" s="212" t="n"/>
      <c r="I271" s="211" t="n"/>
      <c r="J271" s="16" t="inlineStr">
        <is>
          <t>https://leaddev.com/career-ladders/who-are-staff-principal-and-distinguished-engineers</t>
        </is>
      </c>
      <c r="K271" s="212" t="n"/>
      <c r="L271" s="212" t="n"/>
      <c r="M271" s="211" t="n"/>
      <c r="N271" s="16" t="inlineStr">
        <is>
          <t>Secondary</t>
        </is>
      </c>
    </row>
    <row r="272" ht="28" customHeight="1">
      <c r="A272" s="13" t="inlineStr">
        <is>
          <t>S68</t>
        </is>
      </c>
      <c r="B272" s="16" t="inlineStr">
        <is>
          <t>Dropbox — engineering career framework</t>
        </is>
      </c>
      <c r="C272" s="212" t="n"/>
      <c r="D272" s="211" t="n"/>
      <c r="E272" s="16" t="inlineStr">
        <is>
          <t>Published IC ladder with top-specialist tiers and their scope</t>
        </is>
      </c>
      <c r="F272" s="212" t="n"/>
      <c r="G272" s="212" t="n"/>
      <c r="H272" s="212" t="n"/>
      <c r="I272" s="211" t="n"/>
      <c r="J272" s="16" t="inlineStr">
        <is>
          <t>https://dropbox.tech/culture/our-updated-engineering-career-framework</t>
        </is>
      </c>
      <c r="K272" s="212" t="n"/>
      <c r="L272" s="212" t="n"/>
      <c r="M272" s="211" t="n"/>
      <c r="N272" s="16" t="inlineStr">
        <is>
          <t>Secondary</t>
        </is>
      </c>
    </row>
    <row r="273" ht="41" customHeight="1">
      <c r="A273" s="13" t="inlineStr">
        <is>
          <t>S69</t>
        </is>
      </c>
      <c r="B273" s="16" t="inlineStr">
        <is>
          <t>Square — growth framework for engineers and engineering managers</t>
        </is>
      </c>
      <c r="C273" s="212" t="n"/>
      <c r="D273" s="211" t="n"/>
      <c r="E273" s="16" t="inlineStr">
        <is>
          <t>Published IC and manager ladders side by side</t>
        </is>
      </c>
      <c r="F273" s="212" t="n"/>
      <c r="G273" s="212" t="n"/>
      <c r="H273" s="212" t="n"/>
      <c r="I273" s="211" t="n"/>
      <c r="J273" s="16" t="inlineStr">
        <is>
          <t>https://developer.squareup.com/blog/squares-growth-framework-for-engineers-and-engineering-managers/</t>
        </is>
      </c>
      <c r="K273" s="212" t="n"/>
      <c r="L273" s="212" t="n"/>
      <c r="M273" s="211" t="n"/>
      <c r="N273" s="16" t="inlineStr">
        <is>
          <t>Secondary</t>
        </is>
      </c>
    </row>
    <row r="274" ht="41" customHeight="1">
      <c r="A274" s="13" t="inlineStr">
        <is>
          <t>S70</t>
        </is>
      </c>
      <c r="B274" s="16" t="inlineStr">
        <is>
          <t>Carta and Pave — job levelling frameworks</t>
        </is>
      </c>
      <c r="C274" s="212" t="n"/>
      <c r="D274" s="211" t="n"/>
      <c r="E274" s="16" t="inlineStr">
        <is>
          <t>Market levelling guides used to check the level count and the IC ↔ manager pairing</t>
        </is>
      </c>
      <c r="F274" s="212" t="n"/>
      <c r="G274" s="212" t="n"/>
      <c r="H274" s="212" t="n"/>
      <c r="I274" s="211" t="n"/>
      <c r="J274" s="16" t="inlineStr">
        <is>
          <t>https://carta.com/learn/startups/compensation/job-leveling/ ; https://pave.com/blog-posts/job-leveling-framework</t>
        </is>
      </c>
      <c r="K274" s="212" t="n"/>
      <c r="L274" s="212" t="n"/>
      <c r="M274" s="211" t="n"/>
      <c r="N274" s="16" t="inlineStr">
        <is>
          <t>Secondary</t>
        </is>
      </c>
    </row>
    <row r="275" ht="28" customHeight="1">
      <c r="A275" s="13" t="inlineStr">
        <is>
          <t>S71</t>
        </is>
      </c>
      <c r="B275" s="16" t="inlineStr">
        <is>
          <t>Figures — Figures levels</t>
        </is>
      </c>
      <c r="C275" s="212" t="n"/>
      <c r="D275" s="211" t="n"/>
      <c r="E275" s="16" t="inlineStr">
        <is>
          <t>Second levelling crosswalk alongside the Mercer levels in S03</t>
        </is>
      </c>
      <c r="F275" s="212" t="n"/>
      <c r="G275" s="212" t="n"/>
      <c r="H275" s="212" t="n"/>
      <c r="I275" s="211" t="n"/>
      <c r="J275" s="16" t="inlineStr">
        <is>
          <t>https://help.figures.hr/en/articles/389317-figures-levels</t>
        </is>
      </c>
      <c r="K275" s="212" t="n"/>
      <c r="L275" s="212" t="n"/>
      <c r="M275" s="211" t="n"/>
      <c r="N275" s="16" t="inlineStr">
        <is>
          <t>Secondary</t>
        </is>
      </c>
    </row>
    <row r="276" ht="28" customHeight="1">
      <c r="A276" s="13" t="inlineStr">
        <is>
          <t>S72</t>
        </is>
      </c>
      <c r="B276" s="16" t="inlineStr">
        <is>
          <t>PayScale India — Chief Architect, IT</t>
        </is>
      </c>
      <c r="C276" s="212" t="n"/>
      <c r="D276" s="211" t="n"/>
      <c r="E276" s="16" t="inlineStr">
        <is>
          <t>Shows Chief Architect, IT tracked as an experienced and late-career role in India — Option A for the D1 title</t>
        </is>
      </c>
      <c r="F276" s="212" t="n"/>
      <c r="G276" s="212" t="n"/>
      <c r="H276" s="212" t="n"/>
      <c r="I276" s="211" t="n"/>
      <c r="J276" s="16" t="inlineStr">
        <is>
          <t>https://www.payscale.com/research/IN/Job=Chief_Architect%2C_IT/Skill-Experience</t>
        </is>
      </c>
      <c r="K276" s="212" t="n"/>
      <c r="L276" s="212" t="n"/>
      <c r="M276" s="211" t="n"/>
      <c r="N276" s="16" t="inlineStr">
        <is>
          <t>Indicative</t>
        </is>
      </c>
    </row>
    <row r="277" ht="28" customHeight="1">
      <c r="A277" s="13" t="inlineStr">
        <is>
          <t>S40</t>
        </is>
      </c>
      <c r="B277" s="16" t="inlineStr">
        <is>
          <t>Employee Master_New_23092026 and Employee Master_OLD</t>
        </is>
      </c>
      <c r="C277" s="212" t="n"/>
      <c r="D277" s="211" t="n"/>
      <c r="E277" s="16" t="inlineStr">
        <is>
          <t>Roster, department, manager, experience, qualification, category</t>
        </is>
      </c>
      <c r="F277" s="212" t="n"/>
      <c r="G277" s="212" t="n"/>
      <c r="H277" s="212" t="n"/>
      <c r="I277" s="211" t="n"/>
      <c r="J277" s="16" t="inlineStr">
        <is>
          <t>Internal</t>
        </is>
      </c>
      <c r="K277" s="212" t="n"/>
      <c r="L277" s="212" t="n"/>
      <c r="M277" s="211" t="n"/>
      <c r="N277" s="16" t="inlineStr">
        <is>
          <t>Internal</t>
        </is>
      </c>
    </row>
    <row r="278" ht="28" customHeight="1">
      <c r="A278" s="13" t="inlineStr">
        <is>
          <t>S41</t>
        </is>
      </c>
      <c r="B278" s="16" t="inlineStr">
        <is>
          <t>How We Grow survey · 521 responses</t>
        </is>
      </c>
      <c r="C278" s="212" t="n"/>
      <c r="D278" s="211" t="n"/>
      <c r="E278" s="16" t="inlineStr">
        <is>
          <t>Purpose, deliverables, accountability, decision rights, skills, tools, learning needs</t>
        </is>
      </c>
      <c r="F278" s="212" t="n"/>
      <c r="G278" s="212" t="n"/>
      <c r="H278" s="212" t="n"/>
      <c r="I278" s="211" t="n"/>
      <c r="J278" s="16" t="inlineStr">
        <is>
          <t>Internal</t>
        </is>
      </c>
      <c r="K278" s="212" t="n"/>
      <c r="L278" s="212" t="n"/>
      <c r="M278" s="211" t="n"/>
      <c r="N278" s="16" t="inlineStr">
        <is>
          <t>Internal</t>
        </is>
      </c>
    </row>
    <row r="279" ht="28" customHeight="1">
      <c r="A279" s="13" t="inlineStr">
        <is>
          <t>S42</t>
        </is>
      </c>
      <c r="B279" s="16" t="inlineStr">
        <is>
          <t>Manager talent-mapping files</t>
        </is>
      </c>
      <c r="C279" s="212" t="n"/>
      <c r="D279" s="211" t="n"/>
      <c r="E279" s="16" t="inlineStr">
        <is>
          <t>KRAs, rating, potential, readiness, 9-box, manager training need</t>
        </is>
      </c>
      <c r="F279" s="212" t="n"/>
      <c r="G279" s="212" t="n"/>
      <c r="H279" s="212" t="n"/>
      <c r="I279" s="211" t="n"/>
      <c r="J279" s="16" t="inlineStr">
        <is>
          <t>Internal</t>
        </is>
      </c>
      <c r="K279" s="212" t="n"/>
      <c r="L279" s="212" t="n"/>
      <c r="M279" s="211" t="n"/>
      <c r="N279" s="16" t="inlineStr">
        <is>
          <t>Internal</t>
        </is>
      </c>
    </row>
    <row r="280" ht="28" customHeight="1">
      <c r="A280" s="13" t="inlineStr">
        <is>
          <t>S43</t>
        </is>
      </c>
      <c r="B280" s="16" t="inlineStr">
        <is>
          <t>IRIS talent-mapping workbooks v1 and v2</t>
        </is>
      </c>
      <c r="C280" s="212" t="n"/>
      <c r="D280" s="211" t="n"/>
      <c r="E280" s="16" t="inlineStr">
        <is>
          <t>Factor ratings, competency ratings, duplication and mobility analysis</t>
        </is>
      </c>
      <c r="F280" s="212" t="n"/>
      <c r="G280" s="212" t="n"/>
      <c r="H280" s="212" t="n"/>
      <c r="I280" s="211" t="n"/>
      <c r="J280" s="16" t="inlineStr">
        <is>
          <t>Internal</t>
        </is>
      </c>
      <c r="K280" s="212" t="n"/>
      <c r="L280" s="212" t="n"/>
      <c r="M280" s="211" t="n"/>
      <c r="N280" s="16" t="inlineStr">
        <is>
          <t>Internal</t>
        </is>
      </c>
    </row>
  </sheetData>
  <mergeCells count="761">
    <mergeCell ref="B231:D231"/>
    <mergeCell ref="A186:B186"/>
    <mergeCell ref="E248:I248"/>
    <mergeCell ref="A178:B178"/>
    <mergeCell ref="A200:D200"/>
    <mergeCell ref="J59:K59"/>
    <mergeCell ref="I176:K176"/>
    <mergeCell ref="A202:D202"/>
    <mergeCell ref="A194:C194"/>
    <mergeCell ref="D70:E70"/>
    <mergeCell ref="A37:N37"/>
    <mergeCell ref="F70:G70"/>
    <mergeCell ref="B241:D241"/>
    <mergeCell ref="D75:H75"/>
    <mergeCell ref="B213:D213"/>
    <mergeCell ref="B78:C78"/>
    <mergeCell ref="D134:E134"/>
    <mergeCell ref="E226:I226"/>
    <mergeCell ref="A210:N210"/>
    <mergeCell ref="B21:E21"/>
    <mergeCell ref="I178:K178"/>
    <mergeCell ref="J279:M279"/>
    <mergeCell ref="E180:H180"/>
    <mergeCell ref="D71:E71"/>
    <mergeCell ref="G206:H206"/>
    <mergeCell ref="F96:G96"/>
    <mergeCell ref="F71:G71"/>
    <mergeCell ref="J241:M241"/>
    <mergeCell ref="H96:I96"/>
    <mergeCell ref="C164:F164"/>
    <mergeCell ref="E228:I228"/>
    <mergeCell ref="B242:D242"/>
    <mergeCell ref="J216:M216"/>
    <mergeCell ref="B23:E23"/>
    <mergeCell ref="H87:I87"/>
    <mergeCell ref="E182:H182"/>
    <mergeCell ref="H62:I62"/>
    <mergeCell ref="E243:I243"/>
    <mergeCell ref="J62:K62"/>
    <mergeCell ref="J280:M280"/>
    <mergeCell ref="E53:F53"/>
    <mergeCell ref="J218:M218"/>
    <mergeCell ref="B219:D219"/>
    <mergeCell ref="I195:N195"/>
    <mergeCell ref="H91:I91"/>
    <mergeCell ref="F13:I13"/>
    <mergeCell ref="J64:K64"/>
    <mergeCell ref="E223:I223"/>
    <mergeCell ref="E55:F55"/>
    <mergeCell ref="F35:H35"/>
    <mergeCell ref="J57:K57"/>
    <mergeCell ref="H93:I93"/>
    <mergeCell ref="D131:E131"/>
    <mergeCell ref="E48:F48"/>
    <mergeCell ref="E254:I254"/>
    <mergeCell ref="J172:L172"/>
    <mergeCell ref="D124:E124"/>
    <mergeCell ref="B16:E16"/>
    <mergeCell ref="J244:M244"/>
    <mergeCell ref="E175:H175"/>
    <mergeCell ref="D194:H194"/>
    <mergeCell ref="B239:D239"/>
    <mergeCell ref="D66:E66"/>
    <mergeCell ref="F130:H130"/>
    <mergeCell ref="G51:I51"/>
    <mergeCell ref="F66:G66"/>
    <mergeCell ref="D126:E126"/>
    <mergeCell ref="B18:E18"/>
    <mergeCell ref="M105:N105"/>
    <mergeCell ref="E241:I241"/>
    <mergeCell ref="J229:M229"/>
    <mergeCell ref="F132:H132"/>
    <mergeCell ref="G164:I164"/>
    <mergeCell ref="J16:N16"/>
    <mergeCell ref="B11:E11"/>
    <mergeCell ref="B84:C84"/>
    <mergeCell ref="F119:H119"/>
    <mergeCell ref="A181:B181"/>
    <mergeCell ref="G201:H201"/>
    <mergeCell ref="A208:D208"/>
    <mergeCell ref="I201:J201"/>
    <mergeCell ref="B232:D232"/>
    <mergeCell ref="B215:D215"/>
    <mergeCell ref="B80:C80"/>
    <mergeCell ref="A38:N38"/>
    <mergeCell ref="A147:N147"/>
    <mergeCell ref="G203:H203"/>
    <mergeCell ref="A197:C197"/>
    <mergeCell ref="F127:H127"/>
    <mergeCell ref="D129:E129"/>
    <mergeCell ref="C189:D189"/>
    <mergeCell ref="B79:C79"/>
    <mergeCell ref="M115:N115"/>
    <mergeCell ref="B263:D263"/>
    <mergeCell ref="L70:M70"/>
    <mergeCell ref="J170:L170"/>
    <mergeCell ref="A203:D203"/>
    <mergeCell ref="B244:D244"/>
    <mergeCell ref="E267:I267"/>
    <mergeCell ref="L180:N180"/>
    <mergeCell ref="B229:D229"/>
    <mergeCell ref="J255:M255"/>
    <mergeCell ref="B81:C81"/>
    <mergeCell ref="B6:E6"/>
    <mergeCell ref="I207:J207"/>
    <mergeCell ref="I204:J204"/>
    <mergeCell ref="E269:I269"/>
    <mergeCell ref="I181:K181"/>
    <mergeCell ref="B258:D258"/>
    <mergeCell ref="E244:I244"/>
    <mergeCell ref="B245:D245"/>
    <mergeCell ref="J232:M232"/>
    <mergeCell ref="G58:I58"/>
    <mergeCell ref="E231:I231"/>
    <mergeCell ref="J219:M219"/>
    <mergeCell ref="E205:F205"/>
    <mergeCell ref="J6:N6"/>
    <mergeCell ref="B260:D260"/>
    <mergeCell ref="C44:D44"/>
    <mergeCell ref="A144:C144"/>
    <mergeCell ref="J65:K65"/>
    <mergeCell ref="E245:I245"/>
    <mergeCell ref="J163:L163"/>
    <mergeCell ref="I196:N196"/>
    <mergeCell ref="J171:L171"/>
    <mergeCell ref="J165:L165"/>
    <mergeCell ref="B92:C92"/>
    <mergeCell ref="B17:E17"/>
    <mergeCell ref="D92:E92"/>
    <mergeCell ref="I77:N77"/>
    <mergeCell ref="F92:G92"/>
    <mergeCell ref="E176:H176"/>
    <mergeCell ref="J250:M250"/>
    <mergeCell ref="A28:E28"/>
    <mergeCell ref="D67:E67"/>
    <mergeCell ref="B76:C76"/>
    <mergeCell ref="J237:M237"/>
    <mergeCell ref="B238:D238"/>
    <mergeCell ref="A70:C70"/>
    <mergeCell ref="A199:N199"/>
    <mergeCell ref="E255:I255"/>
    <mergeCell ref="J18:N18"/>
    <mergeCell ref="B19:E19"/>
    <mergeCell ref="B94:C94"/>
    <mergeCell ref="D94:E94"/>
    <mergeCell ref="E242:I242"/>
    <mergeCell ref="E178:H178"/>
    <mergeCell ref="C49:D49"/>
    <mergeCell ref="A30:E30"/>
    <mergeCell ref="D69:E69"/>
    <mergeCell ref="J17:N17"/>
    <mergeCell ref="F69:G69"/>
    <mergeCell ref="F133:H133"/>
    <mergeCell ref="A137:C137"/>
    <mergeCell ref="J166:L166"/>
    <mergeCell ref="J239:M239"/>
    <mergeCell ref="B240:D240"/>
    <mergeCell ref="E263:I263"/>
    <mergeCell ref="C42:D42"/>
    <mergeCell ref="M113:N113"/>
    <mergeCell ref="E42:F42"/>
    <mergeCell ref="A145:C145"/>
    <mergeCell ref="F135:H135"/>
    <mergeCell ref="A139:C139"/>
    <mergeCell ref="J19:N19"/>
    <mergeCell ref="B20:E20"/>
    <mergeCell ref="F122:H122"/>
    <mergeCell ref="F14:I14"/>
    <mergeCell ref="M110:N110"/>
    <mergeCell ref="F28:H28"/>
    <mergeCell ref="J263:M263"/>
    <mergeCell ref="H64:I64"/>
    <mergeCell ref="C55:D55"/>
    <mergeCell ref="L71:M71"/>
    <mergeCell ref="M108:N108"/>
    <mergeCell ref="A140:C140"/>
    <mergeCell ref="K201:N201"/>
    <mergeCell ref="I206:J206"/>
    <mergeCell ref="J55:K55"/>
    <mergeCell ref="A27:E27"/>
    <mergeCell ref="B266:D266"/>
    <mergeCell ref="E252:I252"/>
    <mergeCell ref="B87:C87"/>
    <mergeCell ref="D87:E87"/>
    <mergeCell ref="E270:I270"/>
    <mergeCell ref="D122:E122"/>
    <mergeCell ref="B268:D268"/>
    <mergeCell ref="B224:D224"/>
    <mergeCell ref="C52:D52"/>
    <mergeCell ref="C39:D39"/>
    <mergeCell ref="F67:G67"/>
    <mergeCell ref="B261:D261"/>
    <mergeCell ref="M103:N103"/>
    <mergeCell ref="E208:F208"/>
    <mergeCell ref="D79:H79"/>
    <mergeCell ref="E238:I238"/>
    <mergeCell ref="E47:F47"/>
    <mergeCell ref="B113:L113"/>
    <mergeCell ref="A193:C193"/>
    <mergeCell ref="I75:N75"/>
    <mergeCell ref="D81:H81"/>
    <mergeCell ref="M111:N111"/>
    <mergeCell ref="B250:D250"/>
    <mergeCell ref="L66:M66"/>
    <mergeCell ref="E203:F203"/>
    <mergeCell ref="B115:L115"/>
    <mergeCell ref="J251:M251"/>
    <mergeCell ref="B102:L102"/>
    <mergeCell ref="B77:C77"/>
    <mergeCell ref="J238:M238"/>
    <mergeCell ref="J68:K68"/>
    <mergeCell ref="A71:C71"/>
    <mergeCell ref="L68:M68"/>
    <mergeCell ref="J168:L168"/>
    <mergeCell ref="I200:J200"/>
    <mergeCell ref="B230:D230"/>
    <mergeCell ref="A172:B172"/>
    <mergeCell ref="E265:I265"/>
    <mergeCell ref="B279:D279"/>
    <mergeCell ref="J253:M253"/>
    <mergeCell ref="B254:D254"/>
    <mergeCell ref="D76:H76"/>
    <mergeCell ref="C50:D50"/>
    <mergeCell ref="H89:I89"/>
    <mergeCell ref="J240:M240"/>
    <mergeCell ref="D135:E135"/>
    <mergeCell ref="G186:N186"/>
    <mergeCell ref="B22:E22"/>
    <mergeCell ref="I78:N78"/>
    <mergeCell ref="A163:B163"/>
    <mergeCell ref="E181:H181"/>
    <mergeCell ref="L182:N182"/>
    <mergeCell ref="B256:D256"/>
    <mergeCell ref="J169:L169"/>
    <mergeCell ref="J20:N20"/>
    <mergeCell ref="E266:I266"/>
    <mergeCell ref="E260:I260"/>
    <mergeCell ref="F15:I15"/>
    <mergeCell ref="K203:N203"/>
    <mergeCell ref="J22:N22"/>
    <mergeCell ref="H65:I65"/>
    <mergeCell ref="G170:I170"/>
    <mergeCell ref="J266:M266"/>
    <mergeCell ref="D88:E88"/>
    <mergeCell ref="B259:D259"/>
    <mergeCell ref="F88:G88"/>
    <mergeCell ref="K204:N204"/>
    <mergeCell ref="G172:I172"/>
    <mergeCell ref="A66:C66"/>
    <mergeCell ref="B225:D225"/>
    <mergeCell ref="B90:C90"/>
    <mergeCell ref="D90:E90"/>
    <mergeCell ref="E213:I213"/>
    <mergeCell ref="C45:D45"/>
    <mergeCell ref="J13:N13"/>
    <mergeCell ref="B267:D267"/>
    <mergeCell ref="F83:G83"/>
    <mergeCell ref="H83:I83"/>
    <mergeCell ref="E215:I215"/>
    <mergeCell ref="J228:M228"/>
    <mergeCell ref="C47:D47"/>
    <mergeCell ref="J15:N15"/>
    <mergeCell ref="B269:D269"/>
    <mergeCell ref="J49:K49"/>
    <mergeCell ref="F85:G85"/>
    <mergeCell ref="E279:I279"/>
    <mergeCell ref="C40:D40"/>
    <mergeCell ref="H85:I85"/>
    <mergeCell ref="E40:F40"/>
    <mergeCell ref="G189:N189"/>
    <mergeCell ref="J259:M259"/>
    <mergeCell ref="G54:I54"/>
    <mergeCell ref="B251:D251"/>
    <mergeCell ref="G41:I41"/>
    <mergeCell ref="B216:D216"/>
    <mergeCell ref="G204:H204"/>
    <mergeCell ref="B103:L103"/>
    <mergeCell ref="J261:M261"/>
    <mergeCell ref="G56:I56"/>
    <mergeCell ref="L69:M69"/>
    <mergeCell ref="L179:N179"/>
    <mergeCell ref="B280:D280"/>
    <mergeCell ref="G43:I43"/>
    <mergeCell ref="D118:E118"/>
    <mergeCell ref="A185:N185"/>
    <mergeCell ref="B218:D218"/>
    <mergeCell ref="J254:M254"/>
    <mergeCell ref="A171:B171"/>
    <mergeCell ref="D196:H196"/>
    <mergeCell ref="I80:N80"/>
    <mergeCell ref="A165:B165"/>
    <mergeCell ref="B264:D264"/>
    <mergeCell ref="E268:I268"/>
    <mergeCell ref="J256:M256"/>
    <mergeCell ref="L183:N183"/>
    <mergeCell ref="C53:D53"/>
    <mergeCell ref="A166:B166"/>
    <mergeCell ref="D63:E63"/>
    <mergeCell ref="B96:C96"/>
    <mergeCell ref="D96:E96"/>
    <mergeCell ref="A168:B168"/>
    <mergeCell ref="K206:N206"/>
    <mergeCell ref="I33:N33"/>
    <mergeCell ref="J272:M272"/>
    <mergeCell ref="B211:D211"/>
    <mergeCell ref="A25:N25"/>
    <mergeCell ref="E221:I221"/>
    <mergeCell ref="I35:N35"/>
    <mergeCell ref="J274:M274"/>
    <mergeCell ref="B275:D275"/>
    <mergeCell ref="C59:D59"/>
    <mergeCell ref="D91:E91"/>
    <mergeCell ref="I193:N193"/>
    <mergeCell ref="E59:F59"/>
    <mergeCell ref="F91:G91"/>
    <mergeCell ref="C46:D46"/>
    <mergeCell ref="G44:I44"/>
    <mergeCell ref="E46:F46"/>
    <mergeCell ref="F7:I7"/>
    <mergeCell ref="J211:M211"/>
    <mergeCell ref="B212:D212"/>
    <mergeCell ref="A2:N2"/>
    <mergeCell ref="B277:D277"/>
    <mergeCell ref="D93:E93"/>
    <mergeCell ref="H84:I84"/>
    <mergeCell ref="F93:G93"/>
    <mergeCell ref="E216:I216"/>
    <mergeCell ref="C48:D48"/>
    <mergeCell ref="I30:N30"/>
    <mergeCell ref="J269:M269"/>
    <mergeCell ref="F34:H34"/>
    <mergeCell ref="J50:K50"/>
    <mergeCell ref="E54:F54"/>
    <mergeCell ref="H86:I86"/>
    <mergeCell ref="F8:I8"/>
    <mergeCell ref="E218:I218"/>
    <mergeCell ref="E41:F41"/>
    <mergeCell ref="J42:K42"/>
    <mergeCell ref="F30:H30"/>
    <mergeCell ref="J52:K52"/>
    <mergeCell ref="E56:F56"/>
    <mergeCell ref="J39:K39"/>
    <mergeCell ref="E43:F43"/>
    <mergeCell ref="B9:E9"/>
    <mergeCell ref="J44:K44"/>
    <mergeCell ref="G57:I57"/>
    <mergeCell ref="D119:E119"/>
    <mergeCell ref="K200:N200"/>
    <mergeCell ref="G49:I49"/>
    <mergeCell ref="G171:I171"/>
    <mergeCell ref="J264:M264"/>
    <mergeCell ref="C170:F170"/>
    <mergeCell ref="E234:I234"/>
    <mergeCell ref="A195:C195"/>
    <mergeCell ref="F125:H125"/>
    <mergeCell ref="J9:N9"/>
    <mergeCell ref="A187:B187"/>
    <mergeCell ref="K202:N202"/>
    <mergeCell ref="E236:I236"/>
    <mergeCell ref="A201:D201"/>
    <mergeCell ref="J224:M224"/>
    <mergeCell ref="L176:N176"/>
    <mergeCell ref="A189:B189"/>
    <mergeCell ref="H70:I70"/>
    <mergeCell ref="E229:I229"/>
    <mergeCell ref="J70:K70"/>
    <mergeCell ref="A68:C68"/>
    <mergeCell ref="F120:H120"/>
    <mergeCell ref="L178:N178"/>
    <mergeCell ref="D78:H78"/>
    <mergeCell ref="E207:F207"/>
    <mergeCell ref="A33:E33"/>
    <mergeCell ref="J63:K63"/>
    <mergeCell ref="G207:H207"/>
    <mergeCell ref="L63:M63"/>
    <mergeCell ref="F21:I21"/>
    <mergeCell ref="B237:D237"/>
    <mergeCell ref="I34:N34"/>
    <mergeCell ref="J47:K47"/>
    <mergeCell ref="G200:H200"/>
    <mergeCell ref="E177:H177"/>
    <mergeCell ref="A35:E35"/>
    <mergeCell ref="D130:E130"/>
    <mergeCell ref="A142:C142"/>
    <mergeCell ref="D68:E68"/>
    <mergeCell ref="L175:N175"/>
    <mergeCell ref="J275:M275"/>
    <mergeCell ref="B276:D276"/>
    <mergeCell ref="G39:I39"/>
    <mergeCell ref="B214:D214"/>
    <mergeCell ref="G166:I166"/>
    <mergeCell ref="G202:H202"/>
    <mergeCell ref="I202:J202"/>
    <mergeCell ref="D132:E132"/>
    <mergeCell ref="J212:M212"/>
    <mergeCell ref="J277:M277"/>
    <mergeCell ref="B278:D278"/>
    <mergeCell ref="B253:D253"/>
    <mergeCell ref="F33:H33"/>
    <mergeCell ref="J276:M276"/>
    <mergeCell ref="J214:M214"/>
    <mergeCell ref="G167:I167"/>
    <mergeCell ref="C187:D187"/>
    <mergeCell ref="E219:I219"/>
    <mergeCell ref="E224:I224"/>
    <mergeCell ref="J278:M278"/>
    <mergeCell ref="E51:F51"/>
    <mergeCell ref="A61:N61"/>
    <mergeCell ref="F31:H31"/>
    <mergeCell ref="J53:K53"/>
    <mergeCell ref="D195:H195"/>
    <mergeCell ref="A164:B164"/>
    <mergeCell ref="H94:I94"/>
    <mergeCell ref="F16:I16"/>
    <mergeCell ref="J45:K45"/>
    <mergeCell ref="C172:F172"/>
    <mergeCell ref="D197:H197"/>
    <mergeCell ref="J230:M230"/>
    <mergeCell ref="G50:I50"/>
    <mergeCell ref="A63:C63"/>
    <mergeCell ref="D125:E125"/>
    <mergeCell ref="A192:N192"/>
    <mergeCell ref="J11:N11"/>
    <mergeCell ref="B12:E12"/>
    <mergeCell ref="B112:L112"/>
    <mergeCell ref="C171:F171"/>
    <mergeCell ref="D62:E62"/>
    <mergeCell ref="B233:D233"/>
    <mergeCell ref="A188:B188"/>
    <mergeCell ref="G52:I52"/>
    <mergeCell ref="D127:E127"/>
    <mergeCell ref="B227:D227"/>
    <mergeCell ref="E250:I250"/>
    <mergeCell ref="B14:E14"/>
    <mergeCell ref="G188:N188"/>
    <mergeCell ref="E237:I237"/>
    <mergeCell ref="A138:C138"/>
    <mergeCell ref="J225:M225"/>
    <mergeCell ref="D64:E64"/>
    <mergeCell ref="F128:H128"/>
    <mergeCell ref="J12:N12"/>
    <mergeCell ref="B13:E13"/>
    <mergeCell ref="A190:B190"/>
    <mergeCell ref="E212:I212"/>
    <mergeCell ref="C190:D190"/>
    <mergeCell ref="H71:I71"/>
    <mergeCell ref="J271:M271"/>
    <mergeCell ref="I26:N26"/>
    <mergeCell ref="J71:K71"/>
    <mergeCell ref="I197:N197"/>
    <mergeCell ref="E239:I239"/>
    <mergeCell ref="A204:D204"/>
    <mergeCell ref="A69:C69"/>
    <mergeCell ref="J58:K58"/>
    <mergeCell ref="F23:I23"/>
    <mergeCell ref="A196:C196"/>
    <mergeCell ref="J227:M227"/>
    <mergeCell ref="B228:D228"/>
    <mergeCell ref="E214:I214"/>
    <mergeCell ref="E251:I251"/>
    <mergeCell ref="A34:E34"/>
    <mergeCell ref="A206:D206"/>
    <mergeCell ref="E278:I278"/>
    <mergeCell ref="A1:N1"/>
    <mergeCell ref="B217:D217"/>
    <mergeCell ref="F27:H27"/>
    <mergeCell ref="G55:I55"/>
    <mergeCell ref="I182:K182"/>
    <mergeCell ref="F62:G62"/>
    <mergeCell ref="E201:F201"/>
    <mergeCell ref="J220:M220"/>
    <mergeCell ref="C188:D188"/>
    <mergeCell ref="J7:N7"/>
    <mergeCell ref="A67:C67"/>
    <mergeCell ref="E225:I225"/>
    <mergeCell ref="J222:M222"/>
    <mergeCell ref="A29:E29"/>
    <mergeCell ref="H95:I95"/>
    <mergeCell ref="F17:I17"/>
    <mergeCell ref="E227:I227"/>
    <mergeCell ref="J46:K46"/>
    <mergeCell ref="B95:C95"/>
    <mergeCell ref="F118:H118"/>
    <mergeCell ref="B89:C89"/>
    <mergeCell ref="D89:E89"/>
    <mergeCell ref="A31:E31"/>
    <mergeCell ref="J167:L167"/>
    <mergeCell ref="E58:F58"/>
    <mergeCell ref="B272:D272"/>
    <mergeCell ref="B235:D235"/>
    <mergeCell ref="J48:K48"/>
    <mergeCell ref="F64:G64"/>
    <mergeCell ref="E258:I258"/>
    <mergeCell ref="J246:M246"/>
    <mergeCell ref="I194:N194"/>
    <mergeCell ref="J233:M233"/>
    <mergeCell ref="G53:I53"/>
    <mergeCell ref="D128:E128"/>
    <mergeCell ref="B274:D274"/>
    <mergeCell ref="J14:N14"/>
    <mergeCell ref="B15:E15"/>
    <mergeCell ref="J248:M248"/>
    <mergeCell ref="B249:D249"/>
    <mergeCell ref="B243:D243"/>
    <mergeCell ref="D65:E65"/>
    <mergeCell ref="F129:H129"/>
    <mergeCell ref="J235:M235"/>
    <mergeCell ref="E259:I259"/>
    <mergeCell ref="E253:I253"/>
    <mergeCell ref="F121:H121"/>
    <mergeCell ref="A183:B183"/>
    <mergeCell ref="E240:I240"/>
    <mergeCell ref="M109:N109"/>
    <mergeCell ref="A141:C141"/>
    <mergeCell ref="F131:H131"/>
    <mergeCell ref="J164:L164"/>
    <mergeCell ref="G168:I168"/>
    <mergeCell ref="A62:C62"/>
    <mergeCell ref="B88:C88"/>
    <mergeCell ref="J243:M243"/>
    <mergeCell ref="F10:I10"/>
    <mergeCell ref="A207:D207"/>
    <mergeCell ref="A149:N149"/>
    <mergeCell ref="G205:H205"/>
    <mergeCell ref="I205:J205"/>
    <mergeCell ref="C51:D51"/>
    <mergeCell ref="M104:N104"/>
    <mergeCell ref="A205:D205"/>
    <mergeCell ref="D193:H193"/>
    <mergeCell ref="B108:L108"/>
    <mergeCell ref="B83:C83"/>
    <mergeCell ref="D83:E83"/>
    <mergeCell ref="M106:N106"/>
    <mergeCell ref="I183:K183"/>
    <mergeCell ref="B220:D220"/>
    <mergeCell ref="B85:C85"/>
    <mergeCell ref="B247:D247"/>
    <mergeCell ref="J234:M234"/>
    <mergeCell ref="D85:E85"/>
    <mergeCell ref="E233:I233"/>
    <mergeCell ref="J221:M221"/>
    <mergeCell ref="H92:I92"/>
    <mergeCell ref="J8:N8"/>
    <mergeCell ref="B262:D262"/>
    <mergeCell ref="H67:I67"/>
    <mergeCell ref="J67:K67"/>
    <mergeCell ref="J236:M236"/>
    <mergeCell ref="E272:I272"/>
    <mergeCell ref="L67:M67"/>
    <mergeCell ref="E235:I235"/>
    <mergeCell ref="F65:G65"/>
    <mergeCell ref="E204:F204"/>
    <mergeCell ref="J223:M223"/>
    <mergeCell ref="F126:H126"/>
    <mergeCell ref="E247:I247"/>
    <mergeCell ref="J10:N10"/>
    <mergeCell ref="J69:K69"/>
    <mergeCell ref="E206:F206"/>
    <mergeCell ref="D77:H77"/>
    <mergeCell ref="B246:D246"/>
    <mergeCell ref="L62:M62"/>
    <mergeCell ref="B111:L111"/>
    <mergeCell ref="G163:I163"/>
    <mergeCell ref="J247:M247"/>
    <mergeCell ref="I79:N79"/>
    <mergeCell ref="A99:N99"/>
    <mergeCell ref="A74:N74"/>
    <mergeCell ref="L64:M64"/>
    <mergeCell ref="E261:I261"/>
    <mergeCell ref="G165:I165"/>
    <mergeCell ref="J249:M249"/>
    <mergeCell ref="A101:N101"/>
    <mergeCell ref="A143:C143"/>
    <mergeCell ref="B252:D252"/>
    <mergeCell ref="G169:I169"/>
    <mergeCell ref="J21:N21"/>
    <mergeCell ref="E256:I256"/>
    <mergeCell ref="F124:H124"/>
    <mergeCell ref="C169:F169"/>
    <mergeCell ref="C186:D186"/>
    <mergeCell ref="M112:N112"/>
    <mergeCell ref="A65:C65"/>
    <mergeCell ref="J23:N23"/>
    <mergeCell ref="E264:I264"/>
    <mergeCell ref="B91:C91"/>
    <mergeCell ref="M114:N114"/>
    <mergeCell ref="E179:H179"/>
    <mergeCell ref="K207:N207"/>
    <mergeCell ref="G208:H208"/>
    <mergeCell ref="I208:J208"/>
    <mergeCell ref="F68:G68"/>
    <mergeCell ref="I28:N28"/>
    <mergeCell ref="B109:L109"/>
    <mergeCell ref="J267:M267"/>
    <mergeCell ref="D84:E84"/>
    <mergeCell ref="B93:C93"/>
    <mergeCell ref="F84:G84"/>
    <mergeCell ref="M107:N107"/>
    <mergeCell ref="B234:D234"/>
    <mergeCell ref="B270:D270"/>
    <mergeCell ref="B86:C86"/>
    <mergeCell ref="C54:D54"/>
    <mergeCell ref="D86:E86"/>
    <mergeCell ref="B257:D257"/>
    <mergeCell ref="F86:G86"/>
    <mergeCell ref="E280:I280"/>
    <mergeCell ref="C41:D41"/>
    <mergeCell ref="L177:N177"/>
    <mergeCell ref="I203:J203"/>
    <mergeCell ref="J231:M231"/>
    <mergeCell ref="G190:N190"/>
    <mergeCell ref="J262:M262"/>
    <mergeCell ref="E274:I274"/>
    <mergeCell ref="E249:I249"/>
    <mergeCell ref="C56:D56"/>
    <mergeCell ref="E211:I211"/>
    <mergeCell ref="C43:D43"/>
    <mergeCell ref="A26:E26"/>
    <mergeCell ref="E257:I257"/>
    <mergeCell ref="B265:D265"/>
    <mergeCell ref="E49:F49"/>
    <mergeCell ref="E275:I275"/>
    <mergeCell ref="I81:N81"/>
    <mergeCell ref="G42:I42"/>
    <mergeCell ref="J257:M257"/>
    <mergeCell ref="B104:L104"/>
    <mergeCell ref="C163:F163"/>
    <mergeCell ref="L65:M65"/>
    <mergeCell ref="M102:N102"/>
    <mergeCell ref="I179:K179"/>
    <mergeCell ref="B114:L114"/>
    <mergeCell ref="A167:B167"/>
    <mergeCell ref="I76:N76"/>
    <mergeCell ref="B106:L106"/>
    <mergeCell ref="J242:M242"/>
    <mergeCell ref="J217:M217"/>
    <mergeCell ref="A182:B182"/>
    <mergeCell ref="F63:G63"/>
    <mergeCell ref="H63:I63"/>
    <mergeCell ref="J252:M252"/>
    <mergeCell ref="A169:B169"/>
    <mergeCell ref="E183:H183"/>
    <mergeCell ref="D80:H80"/>
    <mergeCell ref="E262:I262"/>
    <mergeCell ref="H68:I68"/>
    <mergeCell ref="E200:F200"/>
    <mergeCell ref="L181:N181"/>
    <mergeCell ref="K205:N205"/>
    <mergeCell ref="A177:B177"/>
    <mergeCell ref="E202:F202"/>
    <mergeCell ref="F94:G94"/>
    <mergeCell ref="F19:I19"/>
    <mergeCell ref="F6:I6"/>
    <mergeCell ref="I29:N29"/>
    <mergeCell ref="H69:I69"/>
    <mergeCell ref="A3:N3"/>
    <mergeCell ref="A179:B179"/>
    <mergeCell ref="G187:N187"/>
    <mergeCell ref="I31:N31"/>
    <mergeCell ref="A32:E32"/>
    <mergeCell ref="J270:M270"/>
    <mergeCell ref="B271:D271"/>
    <mergeCell ref="A5:N5"/>
    <mergeCell ref="F20:I20"/>
    <mergeCell ref="F29:H29"/>
    <mergeCell ref="J245:M245"/>
    <mergeCell ref="K208:N208"/>
    <mergeCell ref="A180:B180"/>
    <mergeCell ref="B273:D273"/>
    <mergeCell ref="C57:D57"/>
    <mergeCell ref="J51:K51"/>
    <mergeCell ref="E217:I217"/>
    <mergeCell ref="E277:I277"/>
    <mergeCell ref="J265:M265"/>
    <mergeCell ref="E50:F50"/>
    <mergeCell ref="F87:G87"/>
    <mergeCell ref="F9:I9"/>
    <mergeCell ref="F32:H32"/>
    <mergeCell ref="C58:D58"/>
    <mergeCell ref="F26:H26"/>
    <mergeCell ref="C165:F165"/>
    <mergeCell ref="E52:F52"/>
    <mergeCell ref="F89:G89"/>
    <mergeCell ref="E39:F39"/>
    <mergeCell ref="J40:K40"/>
    <mergeCell ref="E44:F44"/>
    <mergeCell ref="B105:L105"/>
    <mergeCell ref="B255:D255"/>
    <mergeCell ref="I180:K180"/>
    <mergeCell ref="B226:D226"/>
    <mergeCell ref="G45:I45"/>
    <mergeCell ref="D120:E120"/>
    <mergeCell ref="B7:E7"/>
    <mergeCell ref="A174:N174"/>
    <mergeCell ref="B107:L107"/>
    <mergeCell ref="C166:F166"/>
    <mergeCell ref="E230:I230"/>
    <mergeCell ref="E276:I276"/>
    <mergeCell ref="G47:I47"/>
    <mergeCell ref="B222:D222"/>
    <mergeCell ref="J258:M258"/>
    <mergeCell ref="A175:B175"/>
    <mergeCell ref="E232:I232"/>
    <mergeCell ref="G46:I46"/>
    <mergeCell ref="B221:D221"/>
    <mergeCell ref="F123:H123"/>
    <mergeCell ref="G40:I40"/>
    <mergeCell ref="H66:I66"/>
    <mergeCell ref="J66:K66"/>
    <mergeCell ref="J260:M260"/>
    <mergeCell ref="A64:C64"/>
    <mergeCell ref="E57:F57"/>
    <mergeCell ref="F18:I18"/>
    <mergeCell ref="E271:I271"/>
    <mergeCell ref="A170:B170"/>
    <mergeCell ref="D133:E133"/>
    <mergeCell ref="E273:I273"/>
    <mergeCell ref="B248:D248"/>
    <mergeCell ref="B75:C75"/>
    <mergeCell ref="F22:I22"/>
    <mergeCell ref="I32:N32"/>
    <mergeCell ref="A98:N98"/>
    <mergeCell ref="A73:N73"/>
    <mergeCell ref="J213:M213"/>
    <mergeCell ref="J273:M273"/>
    <mergeCell ref="I177:K177"/>
    <mergeCell ref="D95:E95"/>
    <mergeCell ref="F134:H134"/>
    <mergeCell ref="A162:N162"/>
    <mergeCell ref="F95:G95"/>
    <mergeCell ref="F11:I11"/>
    <mergeCell ref="J215:M215"/>
    <mergeCell ref="H88:I88"/>
    <mergeCell ref="E220:I220"/>
    <mergeCell ref="J54:K54"/>
    <mergeCell ref="F90:G90"/>
    <mergeCell ref="H90:I90"/>
    <mergeCell ref="F12:I12"/>
    <mergeCell ref="E222:I222"/>
    <mergeCell ref="J41:K41"/>
    <mergeCell ref="E45:F45"/>
    <mergeCell ref="G59:I59"/>
    <mergeCell ref="C168:F168"/>
    <mergeCell ref="J226:M226"/>
    <mergeCell ref="J56:K56"/>
    <mergeCell ref="D121:E121"/>
    <mergeCell ref="B8:E8"/>
    <mergeCell ref="J43:K43"/>
    <mergeCell ref="I27:N27"/>
    <mergeCell ref="C167:F167"/>
    <mergeCell ref="B236:D236"/>
    <mergeCell ref="G48:I48"/>
    <mergeCell ref="D123:E123"/>
    <mergeCell ref="B223:D223"/>
    <mergeCell ref="E246:I246"/>
    <mergeCell ref="A117:N117"/>
    <mergeCell ref="B10:E10"/>
    <mergeCell ref="I175:K175"/>
    <mergeCell ref="A176:B176"/>
    <mergeCell ref="B110:L110"/>
    <mergeCell ref="J268:M268"/>
  </mergeCells>
  <conditionalFormatting sqref="J84:J97">
    <cfRule type="colorScale" priority="1">
      <colorScale>
        <cfvo type="num" val="0"/>
        <cfvo type="num" val="0.4"/>
        <color rgb="00FFFFFF"/>
        <color rgb="005B9BD5"/>
      </colorScale>
    </cfRule>
  </conditionalFormatting>
  <conditionalFormatting sqref="K84:K97">
    <cfRule type="colorScale" priority="2">
      <colorScale>
        <cfvo type="num" val="0"/>
        <cfvo type="num" val="0.4"/>
        <color rgb="00FFFFFF"/>
        <color rgb="005B9BD5"/>
      </colorScale>
    </cfRule>
  </conditionalFormatting>
  <conditionalFormatting sqref="L84:L97">
    <cfRule type="colorScale" priority="3">
      <colorScale>
        <cfvo type="num" val="0"/>
        <cfvo type="num" val="0.4"/>
        <color rgb="00FFFFFF"/>
        <color rgb="005B9BD5"/>
      </colorScale>
    </cfRule>
  </conditionalFormatting>
  <conditionalFormatting sqref="M84:M97">
    <cfRule type="colorScale" priority="4">
      <colorScale>
        <cfvo type="num" val="0"/>
        <cfvo type="num" val="0.4"/>
        <color rgb="00FFFFFF"/>
        <color rgb="005B9BD5"/>
      </colorScale>
    </cfRule>
  </conditionalFormatting>
  <conditionalFormatting sqref="N84:N97">
    <cfRule type="colorScale" priority="5">
      <colorScale>
        <cfvo type="num" val="0"/>
        <cfvo type="num" val="0.4"/>
        <color rgb="00FFFFFF"/>
        <color rgb="005B9BD5"/>
      </colorScale>
    </cfRule>
  </conditionalFormatting>
  <conditionalFormatting sqref="O84:O97">
    <cfRule type="colorScale" priority="6">
      <colorScale>
        <cfvo type="num" val="0"/>
        <cfvo type="num" val="0.4"/>
        <color rgb="00FFFFFF"/>
        <color rgb="005B9BD5"/>
      </colorScale>
    </cfRule>
  </conditionalFormatting>
  <hyperlinks>
    <hyperlink xmlns:r="http://schemas.openxmlformats.org/officeDocument/2006/relationships" ref="O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7.xml><?xml version="1.0" encoding="utf-8"?>
<worksheet xmlns="http://schemas.openxmlformats.org/spreadsheetml/2006/main">
  <sheetPr>
    <tabColor rgb="00806000"/>
    <outlinePr summaryBelow="1" summaryRight="1"/>
    <pageSetUpPr fitToPage="1"/>
  </sheetPr>
  <dimension ref="A1:P391"/>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34" customHeight="1">
      <c r="A1" s="1" t="inlineStr">
        <is>
          <t>References &amp; Benchmarks — competitors, regtech and SaaS leaders, standards, databases and sites</t>
        </is>
      </c>
      <c r="P1" s="242" t="inlineStr">
        <is>
          <t>◂ Contents</t>
        </is>
      </c>
    </row>
    <row r="2" ht="32" customHeight="1">
      <c r="A2" s="3" t="inlineStr">
        <is>
          <r>
            <rPr>
              <rFont val="Calibri"/>
              <b val="1"/>
              <i val="1"/>
              <color rgb="00404040"/>
              <sz val="10"/>
            </rPr>
            <t>Scope:</t>
          </r>
          <r>
            <rPr>
              <rFont val="Calibri"/>
              <i val="1"/>
              <color rgb="00404040"/>
              <sz val="10"/>
            </rPr>
            <t xml:space="preserve"> Corporate. Every company, standard, database and website used, and — department by department — what the best standard looks like at each IRIS level · A1 → E2 at IRIS's direct competitors, regtech leaders and SaaS leaders. Peer titles are equivalences of scope, not of pay.</t>
          </r>
        </is>
      </c>
    </row>
    <row r="3">
      <c r="A3" s="4" t="inlineStr">
        <is>
          <t>IRIS · Job Architecture &amp; Job Design · Final v1.12 · October 2026 · Internal — Confidential</t>
        </is>
      </c>
    </row>
    <row r="4" ht="15" customHeight="1"/>
    <row r="5" ht="20" customHeight="1">
      <c r="A5" s="6" t="inlineStr">
        <is>
          <t>R0. How to read the evidence</t>
        </is>
      </c>
    </row>
    <row r="6" ht="15" customHeight="1">
      <c r="A6" s="12" t="inlineStr">
        <is>
          <t>Grade</t>
        </is>
      </c>
      <c r="B6" s="211" t="n"/>
      <c r="C6" s="12" t="inlineStr">
        <is>
          <t>Meaning</t>
        </is>
      </c>
      <c r="D6" s="212" t="n"/>
      <c r="E6" s="212" t="n"/>
      <c r="F6" s="212" t="n"/>
      <c r="G6" s="212" t="n"/>
      <c r="H6" s="212" t="n"/>
      <c r="I6" s="212" t="n"/>
      <c r="J6" s="211" t="n"/>
      <c r="K6" s="12" t="inlineStr">
        <is>
          <t>Use</t>
        </is>
      </c>
      <c r="L6" s="212" t="n"/>
      <c r="M6" s="212" t="n"/>
      <c r="N6" s="212" t="n"/>
      <c r="O6" s="211" t="n"/>
    </row>
    <row r="7" ht="15" customHeight="1">
      <c r="A7" s="13" t="inlineStr">
        <is>
          <t>Primary</t>
        </is>
      </c>
      <c r="B7" s="211" t="n"/>
      <c r="C7" s="16" t="inlineStr">
        <is>
          <t>Publisher's own material · standard body, method owner, company newsroom</t>
        </is>
      </c>
      <c r="D7" s="212" t="n"/>
      <c r="E7" s="212" t="n"/>
      <c r="F7" s="212" t="n"/>
      <c r="G7" s="212" t="n"/>
      <c r="H7" s="212" t="n"/>
      <c r="I7" s="212" t="n"/>
      <c r="J7" s="211" t="n"/>
      <c r="K7" s="16" t="inlineStr">
        <is>
          <t>Rely on</t>
        </is>
      </c>
      <c r="L7" s="212" t="n"/>
      <c r="M7" s="212" t="n"/>
      <c r="N7" s="212" t="n"/>
      <c r="O7" s="211" t="n"/>
    </row>
    <row r="8" ht="15" customHeight="1">
      <c r="A8" s="13" t="inlineStr">
        <is>
          <t>Levels.fyi</t>
        </is>
      </c>
      <c r="B8" s="211" t="n"/>
      <c r="C8" s="16" t="inlineStr">
        <is>
          <t>Crowd-sourced level ladder for a named company</t>
        </is>
      </c>
      <c r="D8" s="212" t="n"/>
      <c r="E8" s="212" t="n"/>
      <c r="F8" s="212" t="n"/>
      <c r="G8" s="212" t="n"/>
      <c r="H8" s="212" t="n"/>
      <c r="I8" s="212" t="n"/>
      <c r="J8" s="211" t="n"/>
      <c r="K8" s="16" t="inlineStr">
        <is>
          <t>Rely on for titles and level order; not for pay</t>
        </is>
      </c>
      <c r="L8" s="212" t="n"/>
      <c r="M8" s="212" t="n"/>
      <c r="N8" s="212" t="n"/>
      <c r="O8" s="211" t="n"/>
    </row>
    <row r="9" ht="15" customHeight="1">
      <c r="A9" s="13" t="inlineStr">
        <is>
          <t>Job postings</t>
        </is>
      </c>
      <c r="B9" s="211" t="n"/>
      <c r="C9" s="16" t="inlineStr">
        <is>
          <t>Titles and requirements taken from the company's own live postings</t>
        </is>
      </c>
      <c r="D9" s="212" t="n"/>
      <c r="E9" s="212" t="n"/>
      <c r="F9" s="212" t="n"/>
      <c r="G9" s="212" t="n"/>
      <c r="H9" s="212" t="n"/>
      <c r="I9" s="212" t="n"/>
      <c r="J9" s="211" t="n"/>
      <c r="K9" s="16" t="inlineStr">
        <is>
          <t>Rely on for titles and experience asked</t>
        </is>
      </c>
      <c r="L9" s="212" t="n"/>
      <c r="M9" s="212" t="n"/>
      <c r="N9" s="212" t="n"/>
      <c r="O9" s="211" t="n"/>
    </row>
    <row r="10" ht="15" customHeight="1">
      <c r="A10" s="13" t="inlineStr">
        <is>
          <t>Secondary</t>
        </is>
      </c>
      <c r="B10" s="211" t="n"/>
      <c r="C10" s="16" t="inlineStr">
        <is>
          <t>Reputable analysis or industry publication</t>
        </is>
      </c>
      <c r="D10" s="212" t="n"/>
      <c r="E10" s="212" t="n"/>
      <c r="F10" s="212" t="n"/>
      <c r="G10" s="212" t="n"/>
      <c r="H10" s="212" t="n"/>
      <c r="I10" s="212" t="n"/>
      <c r="J10" s="211" t="n"/>
      <c r="K10" s="16" t="inlineStr">
        <is>
          <t>Use with the primary sources</t>
        </is>
      </c>
      <c r="L10" s="212" t="n"/>
      <c r="M10" s="212" t="n"/>
      <c r="N10" s="212" t="n"/>
      <c r="O10" s="211" t="n"/>
    </row>
    <row r="11" ht="15" customHeight="1">
      <c r="A11" s="13" t="inlineStr">
        <is>
          <t>Indicative</t>
        </is>
      </c>
      <c r="B11" s="211" t="n"/>
      <c r="C11" s="16" t="inlineStr">
        <is>
          <t>Aggregator or forum; widely repeated</t>
        </is>
      </c>
      <c r="D11" s="212" t="n"/>
      <c r="E11" s="212" t="n"/>
      <c r="F11" s="212" t="n"/>
      <c r="G11" s="212" t="n"/>
      <c r="H11" s="212" t="n"/>
      <c r="I11" s="212" t="n"/>
      <c r="J11" s="211" t="n"/>
      <c r="K11" s="16" t="inlineStr">
        <is>
          <t>Confirm before any pay decision</t>
        </is>
      </c>
      <c r="L11" s="212" t="n"/>
      <c r="M11" s="212" t="n"/>
      <c r="N11" s="212" t="n"/>
      <c r="O11" s="211" t="n"/>
    </row>
    <row r="12" ht="15" customHeight="1">
      <c r="A12" s="13" t="inlineStr">
        <is>
          <t>Internal</t>
        </is>
      </c>
      <c r="B12" s="211" t="n"/>
      <c r="C12" s="16" t="inlineStr">
        <is>
          <t>IRIS data · HRIS, survey, manager mapping</t>
        </is>
      </c>
      <c r="D12" s="212" t="n"/>
      <c r="E12" s="212" t="n"/>
      <c r="F12" s="212" t="n"/>
      <c r="G12" s="212" t="n"/>
      <c r="H12" s="212" t="n"/>
      <c r="I12" s="212" t="n"/>
      <c r="J12" s="211" t="n"/>
      <c r="K12" s="16" t="inlineStr">
        <is>
          <t>Primary evidence for placement</t>
        </is>
      </c>
      <c r="L12" s="212" t="n"/>
      <c r="M12" s="212" t="n"/>
      <c r="N12" s="212" t="n"/>
      <c r="O12" s="211" t="n"/>
    </row>
    <row r="13" ht="28" customHeight="1">
      <c r="A13" s="13" t="inlineStr">
        <is>
          <t>IRIS composite</t>
        </is>
      </c>
      <c r="B13" s="211" t="n"/>
      <c r="C13" s="16" t="inlineStr">
        <is>
          <t>A ladder IRIS assembled from the titles and codes of the sources named in brackets; no single company or body publishes it</t>
        </is>
      </c>
      <c r="D13" s="212" t="n"/>
      <c r="E13" s="212" t="n"/>
      <c r="F13" s="212" t="n"/>
      <c r="G13" s="212" t="n"/>
      <c r="H13" s="212" t="n"/>
      <c r="I13" s="212" t="n"/>
      <c r="J13" s="211" t="n"/>
      <c r="K13" s="16" t="inlineStr">
        <is>
          <t>Orientation only; not market evidence</t>
        </is>
      </c>
      <c r="L13" s="212" t="n"/>
      <c r="M13" s="212" t="n"/>
      <c r="N13" s="212" t="n"/>
      <c r="O13" s="211" t="n"/>
    </row>
    <row r="14" ht="15" customHeight="1">
      <c r="A14" s="13" t="inlineStr">
        <is>
          <t>IRIS mapping</t>
        </is>
      </c>
      <c r="B14" s="211" t="n"/>
      <c r="C14" s="16" t="inlineStr">
        <is>
          <t>A published scale or certificate path · CIM, ISTQB, IIBA, XBRL US matched to IRIS levels by IRIS</t>
        </is>
      </c>
      <c r="D14" s="212" t="n"/>
      <c r="E14" s="212" t="n"/>
      <c r="F14" s="212" t="n"/>
      <c r="G14" s="212" t="n"/>
      <c r="H14" s="212" t="n"/>
      <c r="I14" s="212" t="n"/>
      <c r="J14" s="211" t="n"/>
      <c r="K14" s="16" t="inlineStr">
        <is>
          <t>Orientation only; the match is IRIS's</t>
        </is>
      </c>
      <c r="L14" s="212" t="n"/>
      <c r="M14" s="212" t="n"/>
      <c r="N14" s="212" t="n"/>
      <c r="O14" s="211" t="n"/>
    </row>
    <row r="15" ht="15" customHeight="1"/>
    <row r="16" ht="41" customHeight="1">
      <c r="A16" s="11" t="inlineStr">
        <is>
          <r>
            <rPr>
              <rFont val="Calibri"/>
              <b val="1"/>
              <i val="1"/>
              <color rgb="00595959"/>
              <sz val="10"/>
            </rPr>
            <t>Source check · October 2026:</t>
          </r>
          <r>
            <rPr>
              <rFont val="Calibri"/>
              <i val="1"/>
              <color rgb="00595959"/>
              <sz val="10"/>
            </rPr>
            <t xml:space="preserve"> 42 sources and peer ladders were opened and read against the claims made here. 19 support the claim as written; 20 were partly right and have been corrected in this register · wording, counts or link; DFIN's ladder had no supporting source and is no longer used for levels; the Zoho and ClearTax ladders could not be confirmed and are marked unverified. Levels.fyi pages cannot be read automatically, so ladder names there were confirmed from page titles and company postings.</t>
          </r>
        </is>
      </c>
    </row>
    <row r="17" ht="20" customHeight="1">
      <c r="A17" s="6" t="inlineStr">
        <is>
          <t>R1. Peer universe — who IRIS is benchmarked against, and why</t>
        </is>
      </c>
    </row>
    <row r="18" ht="15" customHeight="1">
      <c r="A18" s="11" t="inlineStr">
        <is>
          <t>Direct competitors of IRIS CARBON, iFile and iDEAL; regtech and suptech leaders; global and Indian SaaS leaders; India talent-market anchors.</t>
        </is>
      </c>
    </row>
    <row r="19" ht="28" customHeight="1">
      <c r="A19" s="12" t="inlineStr">
        <is>
          <t>ID · Company</t>
        </is>
      </c>
      <c r="B19" s="211" t="n"/>
      <c r="C19" s="12" t="inlineStr">
        <is>
          <t>Segment</t>
        </is>
      </c>
      <c r="D19" s="211" t="n"/>
      <c r="E19" s="12" t="inlineStr">
        <is>
          <t>Competes with / relevant to</t>
        </is>
      </c>
      <c r="F19" s="211" t="n"/>
      <c r="G19" s="12" t="inlineStr">
        <is>
          <t>Why benchmarked</t>
        </is>
      </c>
      <c r="H19" s="212" t="n"/>
      <c r="I19" s="211" t="n"/>
      <c r="J19" s="12" t="inlineStr">
        <is>
          <t>What we used</t>
        </is>
      </c>
      <c r="K19" s="212" t="n"/>
      <c r="L19" s="211" t="n"/>
      <c r="M19" s="12" t="inlineStr">
        <is>
          <t>Site / source</t>
        </is>
      </c>
      <c r="N19" s="211" t="n"/>
      <c r="O19" s="12" t="inlineStr">
        <is>
          <t>Grade</t>
        </is>
      </c>
    </row>
    <row r="20" ht="145" customHeight="1">
      <c r="A20" s="13" t="inlineStr">
        <is>
          <t>C01 · Workiva</t>
        </is>
      </c>
      <c r="B20" s="211" t="n"/>
      <c r="C20" s="16" t="inlineStr">
        <is>
          <t>Disclosure management, XBRL / iXBRL, ESG reporting SaaS · global leader</t>
        </is>
      </c>
      <c r="D20" s="211" t="n"/>
      <c r="E20" s="16" t="inlineStr">
        <is>
          <t>IRIS CARBON; iFile XBRL</t>
        </is>
      </c>
      <c r="F20" s="211" t="n"/>
      <c r="G20" s="16" t="inlineStr">
        <is>
          <r>
            <rPr>
              <rFont val="Calibri"/>
              <b val="1"/>
              <sz val="10"/>
            </rPr>
            <t>Category leader:</t>
          </r>
          <r>
            <rPr>
              <rFont val="Calibri"/>
              <sz val="10"/>
            </rPr>
            <t xml:space="preserve"> 6,600+ customers, over 85% of the Fortune 1000 · FY2025 10-K; leading ESG disclosure platform</t>
          </r>
        </is>
      </c>
      <c r="H20" s="212" t="n"/>
      <c r="I20" s="211" t="n"/>
      <c r="J20" s="16" t="inlineStr">
        <is>
          <t>Engineering ladder · Associate SE → SE → Senior SE → Staff SE → Senior Staff SE; customer-success titles · CSM, Product Success Manager, Customer Success Architect; Professional Services Manager · XBRL data modelling</t>
        </is>
      </c>
      <c r="K20" s="212" t="n"/>
      <c r="L20" s="211" t="n"/>
      <c r="M20" s="16" t="inlineStr">
        <is>
          <t>https://www.levels.fyi/companies/workiva/salaries/software-engineer ; https://builtin.com/job/professional-services-manager/3581840 ; https://www.cfoshortlist.com/reports/sec-reporting-software ; https://www.sec.gov/Archives/edgar/data/1445305/000144530526000016/wk-20251231.htm</t>
        </is>
      </c>
      <c r="N20" s="211" t="n"/>
      <c r="O20" s="16" t="inlineStr">
        <is>
          <t>Levels.fyi + job postings</t>
        </is>
      </c>
    </row>
    <row r="21" ht="54" customHeight="1">
      <c r="A21" s="13" t="inlineStr">
        <is>
          <t>C02 · Donnelley Financial Solutions · DFIN — ActiveDisclosure, Arc Suite</t>
        </is>
      </c>
      <c r="B21" s="211" t="n"/>
      <c r="C21" s="16" t="inlineStr">
        <is>
          <t>SEC / EDGAR filing, disclosure software and services</t>
        </is>
      </c>
      <c r="D21" s="211" t="n"/>
      <c r="E21" s="16" t="inlineStr">
        <is>
          <t>IRIS CARBON · US SEC filing services</t>
        </is>
      </c>
      <c r="F21" s="211" t="n"/>
      <c r="G21" s="16" t="inlineStr">
        <is>
          <t>Leading US financial-compliance and filing company</t>
        </is>
      </c>
      <c r="H21" s="212" t="n"/>
      <c r="I21" s="211" t="n"/>
      <c r="J21" s="16" t="inlineStr">
        <is>
          <r>
            <rPr>
              <rFont val="Calibri"/>
              <b val="1"/>
              <sz val="10"/>
            </rPr>
            <t>Not used for levels:</t>
          </r>
          <r>
            <rPr>
              <rFont val="Calibri"/>
              <sz val="10"/>
            </rPr>
            <t xml:space="preserve"> no public source for its ladder was found · the earlier link did not support it; kept as a pay-survey peer</t>
          </r>
        </is>
      </c>
      <c r="K21" s="212" t="n"/>
      <c r="L21" s="211" t="n"/>
      <c r="M21" s="16" t="inlineStr">
        <is>
          <t>https://www.dfinsolutions.com</t>
        </is>
      </c>
      <c r="N21" s="211" t="n"/>
      <c r="O21" s="16" t="inlineStr">
        <is>
          <t>Market positioning</t>
        </is>
      </c>
    </row>
    <row r="22" ht="80" customHeight="1">
      <c r="A22" s="13" t="inlineStr">
        <is>
          <t>C03 · Toppan Merrill — Toppan Merrill Bridge, XBRL services</t>
        </is>
      </c>
      <c r="B22" s="211" t="n"/>
      <c r="C22" s="16" t="inlineStr">
        <is>
          <t>EDGAR filing agent, iXBRL / XBRL services</t>
        </is>
      </c>
      <c r="D22" s="211" t="n"/>
      <c r="E22" s="16" t="inlineStr">
        <is>
          <t>IRIS CARBON services · US SEC, FPI filings</t>
        </is>
      </c>
      <c r="F22" s="211" t="n"/>
      <c r="G22" s="16" t="inlineStr">
        <is>
          <t>Direct competitor for XBRL tagging and filing services</t>
        </is>
      </c>
      <c r="H22" s="212" t="n"/>
      <c r="I22" s="211" t="n"/>
      <c r="J22" s="16" t="inlineStr">
        <is>
          <r>
            <rPr>
              <rFont val="Calibri"/>
              <b val="1"/>
              <sz val="10"/>
            </rPr>
            <t>Entry title only:</t>
          </r>
          <r>
            <rPr>
              <rFont val="Calibri"/>
              <sz val="10"/>
            </rPr>
            <t xml:space="preserve"> XBRL Financial Analyst, Associate · the posting gives no higher rung; finance titles</t>
          </r>
        </is>
      </c>
      <c r="K22" s="212" t="n"/>
      <c r="L22" s="211" t="n"/>
      <c r="M22" s="16" t="inlineStr">
        <is>
          <t>https://builtinbengaluru.in/job/xbrl-financial-analyst-assoc/4131532 · Coimbatore posting, closed July 2025; https://toppanmerrill.com/bridge/</t>
        </is>
      </c>
      <c r="N22" s="211" t="n"/>
      <c r="O22" s="16" t="inlineStr">
        <is>
          <t>Job postings</t>
        </is>
      </c>
    </row>
    <row r="23" ht="41" customHeight="1">
      <c r="A23" s="13" t="inlineStr">
        <is>
          <t>C04 · Certent · insightsoftware — Disclosure Management</t>
        </is>
      </c>
      <c r="B23" s="211" t="n"/>
      <c r="C23" s="16" t="inlineStr">
        <is>
          <t>Disclosure management for mid-market filers</t>
        </is>
      </c>
      <c r="D23" s="211" t="n"/>
      <c r="E23" s="16" t="inlineStr">
        <is>
          <t>IRIS CARBON</t>
        </is>
      </c>
      <c r="F23" s="211" t="n"/>
      <c r="G23" s="16" t="inlineStr">
        <is>
          <t>Named alongside IRIS CARBON for cost-driven filers</t>
        </is>
      </c>
      <c r="H23" s="212" t="n"/>
      <c r="I23" s="211" t="n"/>
      <c r="J23" s="16" t="inlineStr">
        <is>
          <t>Market positioning</t>
        </is>
      </c>
      <c r="K23" s="212" t="n"/>
      <c r="L23" s="211" t="n"/>
      <c r="M23" s="16" t="inlineStr">
        <is>
          <t>https://www.cfoshortlist.com/reports/sec-reporting-software</t>
        </is>
      </c>
      <c r="N23" s="211" t="n"/>
      <c r="O23" s="16" t="inlineStr">
        <is>
          <t>Secondary</t>
        </is>
      </c>
    </row>
    <row r="24" ht="67" customHeight="1">
      <c r="A24" s="13" t="inlineStr">
        <is>
          <t>C05 · DataTracks</t>
        </is>
      </c>
      <c r="B24" s="211" t="n"/>
      <c r="C24" s="16" t="inlineStr">
        <is>
          <t>XBRL / iXBRL compliance services and software · India-based</t>
        </is>
      </c>
      <c r="D24" s="211" t="n"/>
      <c r="E24" s="16" t="inlineStr">
        <is>
          <t>IRIS CARBON services · UK, EU, India, South Africa</t>
        </is>
      </c>
      <c r="F24" s="211" t="n"/>
      <c r="G24" s="16" t="inlineStr">
        <is>
          <t>Same services in the same Indian talent market; 30,000+ clients, 26 countries</t>
        </is>
      </c>
      <c r="H24" s="212" t="n"/>
      <c r="I24" s="211" t="n"/>
      <c r="J24" s="16" t="inlineStr">
        <is>
          <r>
            <rPr>
              <rFont val="Calibri"/>
              <b val="1"/>
              <sz val="10"/>
            </rPr>
            <t>Two rungs published on its careers site:</t>
          </r>
          <r>
            <rPr>
              <rFont val="Calibri"/>
              <sz val="10"/>
            </rPr>
            <t xml:space="preserve"> Associate · freshers → Senior Associate · 2–5 yrs. Nothing above is published, so no higher DataTracks equivalent is used</t>
          </r>
        </is>
      </c>
      <c r="K24" s="212" t="n"/>
      <c r="L24" s="211" t="n"/>
      <c r="M24" s="16" t="inlineStr">
        <is>
          <t>https://www.datatracks.com/in/careers/</t>
        </is>
      </c>
      <c r="N24" s="211" t="n"/>
      <c r="O24" s="16" t="inlineStr">
        <is>
          <t>Job postings</t>
        </is>
      </c>
    </row>
    <row r="25" ht="184" customHeight="1">
      <c r="A25" s="13" t="inlineStr">
        <is>
          <t>C06 · Regnology · incl. Vizor Software, BearingPoint RegTech, Vermeg AGILE, and Wolters Kluwer's Finance, Risk &amp; Regulatory Reporting business — OneSumX — acquired December 2025</t>
        </is>
      </c>
      <c r="B25" s="211" t="n"/>
      <c r="C25" s="16" t="inlineStr">
        <is>
          <t>Supervisory · SupTech and regulatory reporting — global leader</t>
        </is>
      </c>
      <c r="D25" s="211" t="n"/>
      <c r="E25" s="16" t="inlineStr">
        <is>
          <t>IRIS iFile · regulator platforms; IRIS iDEAL · bank reporting</t>
        </is>
      </c>
      <c r="F25" s="211" t="n"/>
      <c r="G25" s="16" t="inlineStr">
        <is>
          <t>2,000+ employees; serves regulators and institutions in 100+ countries; Chartis RiskTech100 SupTech category winner; Pune product centre; owns OneSumX since 1 December 2025</t>
        </is>
      </c>
      <c r="H25" s="212" t="n"/>
      <c r="I25" s="211" t="n"/>
      <c r="J25" s="16" t="inlineStr">
        <is>
          <t>Business-analysis ladder · Junior BA → BA → Senior BA, regulatory reporting; product support titles</t>
        </is>
      </c>
      <c r="K25" s="212" t="n"/>
      <c r="L25" s="211" t="n"/>
      <c r="M25" s="16" t="inlineStr">
        <is>
          <t>https://www.regnology.net/en/careers/detail/?id=2527504 ; https://www.businesswire.com/news/home/20241124525888/en/ ; https://www.centralbanking.com/awards/7941536/technology-services-regulatory-regnology ; https://www.regnology.net/en/resources/news/regnology-completes-acquisition-of-wolters-kluwers-finance-risk-regulatory-reporting/</t>
        </is>
      </c>
      <c r="N25" s="211" t="n"/>
      <c r="O25" s="16" t="inlineStr">
        <is>
          <t>Primary + job postings</t>
        </is>
      </c>
    </row>
    <row r="26" ht="54" customHeight="1">
      <c r="A26" s="13" t="inlineStr">
        <is>
          <t>C08 · Nasdaq · AxiomSL / Calypso — regulatory reporting</t>
        </is>
      </c>
      <c r="B26" s="211" t="n"/>
      <c r="C26" s="16" t="inlineStr">
        <is>
          <t>Regulatory reporting and risk for banks</t>
        </is>
      </c>
      <c r="D26" s="211" t="n"/>
      <c r="E26" s="16" t="inlineStr">
        <is>
          <t>IRIS iDEAL</t>
        </is>
      </c>
      <c r="F26" s="211" t="n"/>
      <c r="G26" s="16" t="inlineStr">
        <is>
          <t>AxiomSL is a leading bank regulatory-reporting platform</t>
        </is>
      </c>
      <c r="H26" s="212" t="n"/>
      <c r="I26" s="211" t="n"/>
      <c r="J26" s="16" t="inlineStr">
        <is>
          <t>Engineering ladder SE → Senior SE → Lead SE → Principal SE · Lead and Principal from Nasdaq postings; no Staff title found</t>
        </is>
      </c>
      <c r="K26" s="212" t="n"/>
      <c r="L26" s="211" t="n"/>
      <c r="M26" s="16" t="inlineStr">
        <is>
          <t>https://www.levels.fyi/companies/nasdaq/salaries/software-engineer/levels/senior-software-engineer</t>
        </is>
      </c>
      <c r="N26" s="211" t="n"/>
      <c r="O26" s="16" t="inlineStr">
        <is>
          <t>Levels.fyi + job postings</t>
        </is>
      </c>
    </row>
    <row r="27" ht="41" customHeight="1">
      <c r="A27" s="13" t="inlineStr">
        <is>
          <t>C09 · Broadridge</t>
        </is>
      </c>
      <c r="B27" s="211" t="n"/>
      <c r="C27" s="16" t="inlineStr">
        <is>
          <t>Regulatory, trade and transaction reporting; large India technology centres</t>
        </is>
      </c>
      <c r="D27" s="211" t="n"/>
      <c r="E27" s="16" t="inlineStr">
        <is>
          <t>IRIS iDEAL; IRIS engineering talent market</t>
        </is>
      </c>
      <c r="F27" s="211" t="n"/>
      <c r="G27" s="16" t="inlineStr">
        <is>
          <t>Regtech provider with major Hyderabad / Bengaluru hubs</t>
        </is>
      </c>
      <c r="H27" s="212" t="n"/>
      <c r="I27" s="211" t="n"/>
      <c r="J27" s="16" t="inlineStr">
        <is>
          <t>India engineering ladder SE → Senior SE → Lead SE → Senior Lead SE</t>
        </is>
      </c>
      <c r="K27" s="212" t="n"/>
      <c r="L27" s="211" t="n"/>
      <c r="M27" s="16" t="inlineStr">
        <is>
          <t>https://www.levels.fyi/am-et/companies/broadridge/salaries/software-engineer</t>
        </is>
      </c>
      <c r="N27" s="211" t="n"/>
      <c r="O27" s="16" t="inlineStr">
        <is>
          <t>Levels.fyi</t>
        </is>
      </c>
    </row>
    <row r="28" ht="41" customHeight="1">
      <c r="A28" s="13" t="inlineStr">
        <is>
          <t>C10 · Salesforce</t>
        </is>
      </c>
      <c r="B28" s="211" t="n"/>
      <c r="C28" s="16" t="inlineStr">
        <is>
          <t>Global SaaS leader</t>
        </is>
      </c>
      <c r="D28" s="211" t="n"/>
      <c r="E28" s="16" t="inlineStr">
        <is>
          <t>All SaaS businesses · CARBON, iFile, iDEAL, Datatech</t>
        </is>
      </c>
      <c r="F28" s="211" t="n"/>
      <c r="G28" s="16" t="inlineStr">
        <is>
          <t>Reference SaaS career architecture</t>
        </is>
      </c>
      <c r="H28" s="212" t="n"/>
      <c r="I28" s="211" t="n"/>
      <c r="J28" s="16" t="inlineStr">
        <is>
          <t>Technical ladder AMTS → MTS → SMTS → LMTS → PMTS → Architect → Principal Architect → Distinguished Engineer</t>
        </is>
      </c>
      <c r="K28" s="212" t="n"/>
      <c r="L28" s="211" t="n"/>
      <c r="M28" s="16" t="inlineStr">
        <is>
          <t>https://www.designgurus.io/blog/salesforce-software-engineer-levels</t>
        </is>
      </c>
      <c r="N28" s="211" t="n"/>
      <c r="O28" s="16" t="inlineStr">
        <is>
          <t>Secondary</t>
        </is>
      </c>
    </row>
    <row r="29" ht="80" customHeight="1">
      <c r="A29" s="13" t="inlineStr">
        <is>
          <t>C11 · Atlassian</t>
        </is>
      </c>
      <c r="B29" s="211" t="n"/>
      <c r="C29" s="16" t="inlineStr">
        <is>
          <t>Global SaaS leader with a published level system</t>
        </is>
      </c>
      <c r="D29" s="211" t="n"/>
      <c r="E29" s="16" t="inlineStr">
        <is>
          <t>All SaaS businesses; IT, finance and PM ladders</t>
        </is>
      </c>
      <c r="F29" s="211" t="n"/>
      <c r="G29" s="16" t="inlineStr">
        <is>
          <t>P30–P90 system used across engineering, PM, IT and finance</t>
        </is>
      </c>
      <c r="H29" s="212" t="n"/>
      <c r="I29" s="211" t="n"/>
      <c r="J29" s="16" t="inlineStr">
        <is>
          <t>P30 Junior · 0–2 yrs → P40 → P50 Senior → P60 Principal → P70 Senior Principal → P80 → P90; P-levels shared across job families</t>
        </is>
      </c>
      <c r="K29" s="212" t="n"/>
      <c r="L29" s="211" t="n"/>
      <c r="M29" s="16" t="inlineStr">
        <is>
          <t>https://www.designgurus.io/blog/atlassian-software-engineer-levels ; https://www.levels.fyi/en-gb/companies/atlassian/salaries/accountant/levels/p60</t>
        </is>
      </c>
      <c r="N29" s="211" t="n"/>
      <c r="O29" s="16" t="inlineStr">
        <is>
          <t>Levels.fyi + secondary</t>
        </is>
      </c>
    </row>
    <row r="30" ht="41" customHeight="1">
      <c r="A30" s="13" t="inlineStr">
        <is>
          <t>C12 · Freshworks</t>
        </is>
      </c>
      <c r="B30" s="211" t="n"/>
      <c r="C30" s="16" t="inlineStr">
        <is>
          <t>Indian-origin global SaaS leader · Chennai, Bengaluru, Hyderabad</t>
        </is>
      </c>
      <c r="D30" s="211" t="n"/>
      <c r="E30" s="16" t="inlineStr">
        <is>
          <t>IRIS engineering and SaaS talent market in India</t>
        </is>
      </c>
      <c r="F30" s="211" t="n"/>
      <c r="G30" s="16" t="inlineStr">
        <is>
          <t>Closest Indian SaaS employer brand</t>
        </is>
      </c>
      <c r="H30" s="212" t="n"/>
      <c r="I30" s="211" t="n"/>
      <c r="J30" s="16" t="inlineStr">
        <is>
          <t>SE → Senior SE → Lead SE → Staff SE → Senior Staff SE → Principal Engineer; manager ladder to Senior Director</t>
        </is>
      </c>
      <c r="K30" s="212" t="n"/>
      <c r="L30" s="211" t="n"/>
      <c r="M30" s="16" t="inlineStr">
        <is>
          <t>https://www.levels.fyi/companies/freshworks/salaries/software-engineer</t>
        </is>
      </c>
      <c r="N30" s="211" t="n"/>
      <c r="O30" s="16" t="inlineStr">
        <is>
          <t>Levels.fyi</t>
        </is>
      </c>
    </row>
    <row r="31" ht="54" customHeight="1">
      <c r="A31" s="13" t="inlineStr">
        <is>
          <t>C13 · Zoho</t>
        </is>
      </c>
      <c r="B31" s="211" t="n"/>
      <c r="C31" s="16" t="inlineStr">
        <is>
          <t>Indian SaaS leader</t>
        </is>
      </c>
      <c r="D31" s="211" t="n"/>
      <c r="E31" s="16" t="inlineStr">
        <is>
          <t>IRIS engineering talent market in India</t>
        </is>
      </c>
      <c r="F31" s="211" t="n"/>
      <c r="G31" s="16" t="inlineStr">
        <is>
          <t>Large Indian product employer</t>
        </is>
      </c>
      <c r="H31" s="212" t="n"/>
      <c r="I31" s="211" t="n"/>
      <c r="J31" s="16" t="inlineStr">
        <is>
          <t>Engineering levels L1 → L2 → L3 · L1 and L3 India pages confirmed; titles not confirmed</t>
        </is>
      </c>
      <c r="K31" s="212" t="n"/>
      <c r="L31" s="211" t="n"/>
      <c r="M31" s="16" t="inlineStr">
        <is>
          <t>https://www.levels.fyi/companies/zoho/salaries/software-engineer/levels/l1/locations/india</t>
        </is>
      </c>
      <c r="N31" s="211" t="n"/>
      <c r="O31" s="16" t="inlineStr">
        <is>
          <t>Levels.fyi</t>
        </is>
      </c>
    </row>
    <row r="32" ht="54" customHeight="1">
      <c r="A32" s="13" t="inlineStr">
        <is>
          <t>C14 · Clear · ClearTax</t>
        </is>
      </c>
      <c r="B32" s="211" t="n"/>
      <c r="C32" s="16" t="inlineStr">
        <is>
          <t>Indian compliance SaaS · GST, e-invoicing, tax</t>
        </is>
      </c>
      <c r="D32" s="211" t="n"/>
      <c r="E32" s="16" t="inlineStr">
        <is>
          <t>IRIS e-invoicing / GST · Datatech, Consume and India compliance talent</t>
        </is>
      </c>
      <c r="F32" s="211" t="n"/>
      <c r="G32" s="16" t="inlineStr">
        <is>
          <t>Direct India compliance-SaaS talent competitor</t>
        </is>
      </c>
      <c r="H32" s="212" t="n"/>
      <c r="I32" s="211" t="n"/>
      <c r="J32" s="16" t="inlineStr">
        <is>
          <t>SDE1 → SDE2 → SDE3 / Senior → Staff · unverified: the earlier link was a different company; ClearTax is under /cleartax/</t>
        </is>
      </c>
      <c r="K32" s="212" t="n"/>
      <c r="L32" s="211" t="n"/>
      <c r="M32" s="16" t="inlineStr">
        <is>
          <t>https://www.levels.fyi/companies/cleartax/salaries/software-engineering-manager</t>
        </is>
      </c>
      <c r="N32" s="211" t="n"/>
      <c r="O32" s="16" t="inlineStr">
        <is>
          <t>Indicative</t>
        </is>
      </c>
    </row>
    <row r="33" ht="145" customHeight="1">
      <c r="A33" s="13" t="inlineStr">
        <is>
          <t>C15 · Gainsight · customer-success category leader</t>
        </is>
      </c>
      <c r="B33" s="211" t="n"/>
      <c r="C33" s="16" t="inlineStr">
        <is>
          <t>Customer-success SaaS</t>
        </is>
      </c>
      <c r="D33" s="211" t="n"/>
      <c r="E33" s="16" t="inlineStr">
        <is>
          <t>IRIS Customer Success &amp; Support</t>
        </is>
      </c>
      <c r="F33" s="211" t="n"/>
      <c r="G33" s="16" t="inlineStr">
        <is>
          <t>Defines the customer-success profession</t>
        </is>
      </c>
      <c r="H33" s="212" t="n"/>
      <c r="I33" s="211" t="n"/>
      <c r="J33" s="16" t="inlineStr">
        <is>
          <t>CSM → Senior CSM → Strategic CSM / Enterprise Success Leader → Director CS → VP CS → Chief Customer Officer</t>
        </is>
      </c>
      <c r="K33" s="212" t="n"/>
      <c r="L33" s="211" t="n"/>
      <c r="M33" s="16" t="inlineStr">
        <is>
          <t>https://jobs.insightpartners.com/companies/gainsight/jobs/64120646-director-customer-success ; https://www.gainsight.com/blog/customer-success-career-opportunities/ ; https://www.gainsight.com/press/gainsight-expands-scope-of-executive-team-and-doubles-down-on-product-leadership/</t>
        </is>
      </c>
      <c r="N33" s="211" t="n"/>
      <c r="O33" s="16" t="inlineStr">
        <is>
          <t>Job postings</t>
        </is>
      </c>
    </row>
    <row r="34" ht="80" customHeight="1">
      <c r="A34" s="13" t="inlineStr">
        <is>
          <t>C16 · B2B SaaS sales benchmarks · SaaStr, sales-title hierarchies</t>
        </is>
      </c>
      <c r="B34" s="211" t="n"/>
      <c r="C34" s="16" t="inlineStr">
        <is>
          <t>SaaS go-to-market</t>
        </is>
      </c>
      <c r="D34" s="211" t="n"/>
      <c r="E34" s="16" t="inlineStr">
        <is>
          <t>IRIS Sales &amp; BD</t>
        </is>
      </c>
      <c r="F34" s="211" t="n"/>
      <c r="G34" s="16" t="inlineStr">
        <is>
          <t>Standard SaaS sales ladder and promotion timing</t>
        </is>
      </c>
      <c r="H34" s="212" t="n"/>
      <c r="I34" s="211" t="n"/>
      <c r="J34" s="16" t="inlineStr">
        <is>
          <t>SDR / BDR → AE · SMB → Mid-Market AE → Enterprise AE; Sales Manager → Director → VP Sales / CRO; SDR → AE usually within a year</t>
        </is>
      </c>
      <c r="K34" s="212" t="n"/>
      <c r="L34" s="211" t="n"/>
      <c r="M34" s="16" t="inlineStr">
        <is>
          <t>https://www.saastr.com/dear-saastr-do-i-have-to-provide-a-promotion-path-from-sdr-to-ae ; https://prospeo.io/s/sales-titles-hierarchy</t>
        </is>
      </c>
      <c r="N34" s="211" t="n"/>
      <c r="O34" s="16" t="inlineStr">
        <is>
          <t>Secondary</t>
        </is>
      </c>
    </row>
    <row r="35" ht="54" customHeight="1">
      <c r="A35" s="13" t="inlineStr">
        <is>
          <t>C17 · Google · Microsoft · Amazon</t>
        </is>
      </c>
      <c r="B35" s="211" t="n"/>
      <c r="C35" s="16" t="inlineStr">
        <is>
          <t>Global technology · scale anchors</t>
        </is>
      </c>
      <c r="D35" s="211" t="n"/>
      <c r="E35" s="16" t="inlineStr">
        <is>
          <t>Engineering levels</t>
        </is>
      </c>
      <c r="F35" s="211" t="n"/>
      <c r="G35" s="16" t="inlineStr">
        <is>
          <t>Most-cited cross-company level equivalences</t>
        </is>
      </c>
      <c r="H35" s="212" t="n"/>
      <c r="I35" s="211" t="n"/>
      <c r="J35" s="16" t="inlineStr">
        <is>
          <t>L3–L8 · 59–68 · L4–L8</t>
        </is>
      </c>
      <c r="K35" s="212" t="n"/>
      <c r="L35" s="211" t="n"/>
      <c r="M35" s="16" t="inlineStr">
        <is>
          <t>https://testrigor.com/blog/engineering-levels-in-different-companies-compared/</t>
        </is>
      </c>
      <c r="N35" s="211" t="n"/>
      <c r="O35" s="16" t="inlineStr">
        <is>
          <t>Secondary</t>
        </is>
      </c>
    </row>
    <row r="36" ht="93" customHeight="1">
      <c r="A36" s="13" t="inlineStr">
        <is>
          <t>C18 · Infosys · TCS · Accenture India</t>
        </is>
      </c>
      <c r="B36" s="211" t="n"/>
      <c r="C36" s="16" t="inlineStr">
        <is>
          <t>Indian IT services · talent-market anchors</t>
        </is>
      </c>
      <c r="D36" s="211" t="n"/>
      <c r="E36" s="16" t="inlineStr">
        <is>
          <t>Engineering, QA, BA, data operations</t>
        </is>
      </c>
      <c r="F36" s="211" t="n"/>
      <c r="G36" s="16" t="inlineStr">
        <is>
          <t>Largest employers in IRIS's talent market</t>
        </is>
      </c>
      <c r="H36" s="212" t="n"/>
      <c r="I36" s="211" t="n"/>
      <c r="J36" s="16" t="inlineStr">
        <is>
          <t>JL3B–JL6A · C1–SP1 · L12–L5 with experience ranges</t>
        </is>
      </c>
      <c r="K36" s="212" t="n"/>
      <c r="L36" s="211" t="n"/>
      <c r="M36" s="16" t="inlineStr">
        <is>
          <t>https://www.designgurus.io/blog/infosys-job-levels ; https://www.designgurus.io/blog/tcs-job-levels ; https://jobrise.io/hi/blog/accenture-salary-package-2026-india/</t>
        </is>
      </c>
      <c r="N36" s="211" t="n"/>
      <c r="O36" s="16" t="inlineStr">
        <is>
          <t>Indicative</t>
        </is>
      </c>
    </row>
    <row r="37" ht="41" customHeight="1">
      <c r="A37" s="13" t="inlineStr">
        <is>
          <t>C19 · Deloitte · EY · KPMG · PwC · Big Four</t>
        </is>
      </c>
      <c r="B37" s="211" t="n"/>
      <c r="C37" s="16" t="inlineStr">
        <is>
          <t>Professional services / regulatory consulting</t>
        </is>
      </c>
      <c r="D37" s="211" t="n"/>
      <c r="E37" s="16" t="inlineStr">
        <is>
          <t>XBRL consulting, BA, solution consulting, finance</t>
        </is>
      </c>
      <c r="F37" s="211" t="n"/>
      <c r="G37" s="16" t="inlineStr">
        <is>
          <t>Market reference for consulting titles</t>
        </is>
      </c>
      <c r="H37" s="212" t="n"/>
      <c r="I37" s="211" t="n"/>
      <c r="J37" s="16" t="inlineStr">
        <is>
          <t>Analyst → Consultant → Senior Consultant → Manager → Senior Manager / AD → Director → Partner</t>
        </is>
      </c>
      <c r="K37" s="212" t="n"/>
      <c r="L37" s="211" t="n"/>
      <c r="M37" s="16" t="inlineStr">
        <is>
          <t>https://networkinterview.com/technical-hierarchy-deloitte-india/</t>
        </is>
      </c>
      <c r="N37" s="211" t="n"/>
      <c r="O37" s="16" t="inlineStr">
        <is>
          <t>Indicative</t>
        </is>
      </c>
    </row>
    <row r="38" ht="41" customHeight="1">
      <c r="A38" s="13" t="inlineStr">
        <is>
          <t>C20 · GitLab</t>
        </is>
      </c>
      <c r="B38" s="211" t="n"/>
      <c r="C38" s="16" t="inlineStr">
        <is>
          <t>SaaS with a public handbook</t>
        </is>
      </c>
      <c r="D38" s="211" t="n"/>
      <c r="E38" s="16" t="inlineStr">
        <is>
          <t>IC ↔ manager equivalence; layers</t>
        </is>
      </c>
      <c r="F38" s="211" t="n"/>
      <c r="G38" s="16" t="inlineStr">
        <is>
          <t>Most transparent public job framework</t>
        </is>
      </c>
      <c r="H38" s="212" t="n"/>
      <c r="I38" s="211" t="n"/>
      <c r="J38" s="16" t="inlineStr">
        <is>
          <t>Staff ↔ Manager, Principal ↔ Senior Manager, Distinguished ↔ Director, Fellow ↔ VP; ≤ 8 layers</t>
        </is>
      </c>
      <c r="K38" s="212" t="n"/>
      <c r="L38" s="211" t="n"/>
      <c r="M38" s="16" t="inlineStr">
        <is>
          <t>https://handbook.gitlab.com/handbook/company/structure/</t>
        </is>
      </c>
      <c r="N38" s="211" t="n"/>
      <c r="O38" s="16" t="inlineStr">
        <is>
          <t>Primary</t>
        </is>
      </c>
    </row>
    <row r="39" ht="15" customHeight="1"/>
    <row r="40" ht="20" customHeight="1">
      <c r="A40" s="6" t="inlineStr">
        <is>
          <t>R2. Professional standard by job family — the best standard there is</t>
        </is>
      </c>
    </row>
    <row r="41" ht="15" customHeight="1">
      <c r="A41" s="12" t="inlineStr">
        <is>
          <t>Job family</t>
        </is>
      </c>
      <c r="B41" s="212" t="n"/>
      <c r="C41" s="211" t="n"/>
      <c r="D41" s="12" t="inlineStr">
        <is>
          <t>Standard / body / certification pathway</t>
        </is>
      </c>
      <c r="E41" s="212" t="n"/>
      <c r="F41" s="212" t="n"/>
      <c r="G41" s="212" t="n"/>
      <c r="H41" s="212" t="n"/>
      <c r="I41" s="211" t="n"/>
      <c r="J41" s="12" t="inlineStr">
        <is>
          <t>Site</t>
        </is>
      </c>
      <c r="K41" s="212" t="n"/>
      <c r="L41" s="212" t="n"/>
      <c r="M41" s="212" t="n"/>
      <c r="N41" s="211" t="n"/>
      <c r="O41" s="12" t="inlineStr">
        <is>
          <t>People here</t>
        </is>
      </c>
    </row>
    <row r="42" ht="15" customHeight="1">
      <c r="A42" s="13" t="inlineStr">
        <is>
          <t>IT &amp; Infrastructure</t>
        </is>
      </c>
      <c r="B42" s="212" t="n"/>
      <c r="C42" s="211" t="n"/>
      <c r="D42" s="16" t="inlineStr">
        <is>
          <t>ITIL 4; ISO/IEC 27001:2022; SFIA infrastructure</t>
        </is>
      </c>
      <c r="E42" s="212" t="n"/>
      <c r="F42" s="212" t="n"/>
      <c r="G42" s="212" t="n"/>
      <c r="H42" s="212" t="n"/>
      <c r="I42" s="211" t="n"/>
      <c r="J42" s="16" t="inlineStr">
        <is>
          <t>https://www.iso.org/standard/27001</t>
        </is>
      </c>
      <c r="K42" s="212" t="n"/>
      <c r="L42" s="212" t="n"/>
      <c r="M42" s="212" t="n"/>
      <c r="N42" s="211" t="n"/>
      <c r="O42" s="15" t="n">
        <v>13</v>
      </c>
    </row>
    <row r="43" ht="15" customHeight="1">
      <c r="A43" s="13" t="inlineStr">
        <is>
          <t>Finance &amp; Accounts</t>
        </is>
      </c>
      <c r="B43" s="212" t="n"/>
      <c r="C43" s="211" t="n"/>
      <c r="D43" s="16" t="inlineStr">
        <is>
          <t>IMA Management Accounting Competency Framework; ICAI / CA; Ind AS</t>
        </is>
      </c>
      <c r="E43" s="212" t="n"/>
      <c r="F43" s="212" t="n"/>
      <c r="G43" s="212" t="n"/>
      <c r="H43" s="212" t="n"/>
      <c r="I43" s="211" t="n"/>
      <c r="J43" s="16" t="inlineStr">
        <is>
          <t>https://www.imanet.org/framework</t>
        </is>
      </c>
      <c r="K43" s="212" t="n"/>
      <c r="L43" s="212" t="n"/>
      <c r="M43" s="212" t="n"/>
      <c r="N43" s="211" t="n"/>
      <c r="O43" s="15" t="n">
        <v>10</v>
      </c>
    </row>
    <row r="44" ht="28" customHeight="1">
      <c r="A44" s="13" t="inlineStr">
        <is>
          <t>Administration, Legal &amp; Secretarial</t>
        </is>
      </c>
      <c r="B44" s="212" t="n"/>
      <c r="C44" s="211" t="n"/>
      <c r="D44" s="16" t="inlineStr">
        <is>
          <t>ICSI · Company Secretary; Companies Act 2013; IFMA · facilities; CIPS · procurement</t>
        </is>
      </c>
      <c r="E44" s="212" t="n"/>
      <c r="F44" s="212" t="n"/>
      <c r="G44" s="212" t="n"/>
      <c r="H44" s="212" t="n"/>
      <c r="I44" s="211" t="n"/>
      <c r="J44" s="16" t="inlineStr">
        <is>
          <t>https://www.icsi.edu</t>
        </is>
      </c>
      <c r="K44" s="212" t="n"/>
      <c r="L44" s="212" t="n"/>
      <c r="M44" s="212" t="n"/>
      <c r="N44" s="211" t="n"/>
      <c r="O44" s="15" t="n">
        <v>9</v>
      </c>
    </row>
    <row r="45" ht="15" customHeight="1">
      <c r="A45" s="13" t="inlineStr">
        <is>
          <t>Human Resources</t>
        </is>
      </c>
      <c r="B45" s="212" t="n"/>
      <c r="C45" s="211" t="n"/>
      <c r="D45" s="16" t="inlineStr">
        <is>
          <t>SHRM BASK · SHRM-CP → SHRM-SCP; CIPD Profession Map</t>
        </is>
      </c>
      <c r="E45" s="212" t="n"/>
      <c r="F45" s="212" t="n"/>
      <c r="G45" s="212" t="n"/>
      <c r="H45" s="212" t="n"/>
      <c r="I45" s="211" t="n"/>
      <c r="J45" s="16" t="inlineStr">
        <is>
          <t>https://www.shrm.org/credentials/certification/shrm-bask</t>
        </is>
      </c>
      <c r="K45" s="212" t="n"/>
      <c r="L45" s="212" t="n"/>
      <c r="M45" s="212" t="n"/>
      <c r="N45" s="211" t="n"/>
      <c r="O45" s="15" t="n">
        <v>8</v>
      </c>
    </row>
    <row r="46" ht="28" customHeight="1">
      <c r="A46" s="13" t="inlineStr">
        <is>
          <t>Executive Leadership</t>
        </is>
      </c>
      <c r="B46" s="212" t="n"/>
      <c r="C46" s="211" t="n"/>
      <c r="D46" s="16" t="inlineStr">
        <is>
          <t>Aon Radford executive levels E1–E6; Mercer ET1–ET3; Korn Ferry Leadership Architect</t>
        </is>
      </c>
      <c r="E46" s="212" t="n"/>
      <c r="F46" s="212" t="n"/>
      <c r="G46" s="212" t="n"/>
      <c r="H46" s="212" t="n"/>
      <c r="I46" s="211" t="n"/>
      <c r="J46" s="16" t="inlineStr">
        <is>
          <t>https://support.pave.com/articles/understand-job-levels-SiKTjMHZtr.md</t>
        </is>
      </c>
      <c r="K46" s="212" t="n"/>
      <c r="L46" s="212" t="n"/>
      <c r="M46" s="212" t="n"/>
      <c r="N46" s="211" t="n"/>
      <c r="O46" s="15" t="n">
        <v>4</v>
      </c>
    </row>
    <row r="47" ht="28" customHeight="1">
      <c r="A47" s="13" t="inlineStr">
        <is>
          <t>Marketing &amp; Communications</t>
        </is>
      </c>
      <c r="B47" s="212" t="n"/>
      <c r="C47" s="211" t="n"/>
      <c r="D47" s="16" t="inlineStr">
        <is>
          <t>CIM Global Professional Marketing Framework — proficiency Aware → Active learner → Able → Accomplished → Authoritative</t>
        </is>
      </c>
      <c r="E47" s="212" t="n"/>
      <c r="F47" s="212" t="n"/>
      <c r="G47" s="212" t="n"/>
      <c r="H47" s="212" t="n"/>
      <c r="I47" s="211" t="n"/>
      <c r="J47" s="16" t="inlineStr">
        <is>
          <t>https://www.cim.co.uk/more/professional-marketing-competencies</t>
        </is>
      </c>
      <c r="K47" s="212" t="n"/>
      <c r="L47" s="212" t="n"/>
      <c r="M47" s="212" t="n"/>
      <c r="N47" s="211" t="n"/>
      <c r="O47" s="15" t="n">
        <v>2</v>
      </c>
    </row>
    <row r="48" ht="28" customHeight="1">
      <c r="A48" s="13" t="inlineStr">
        <is>
          <t>Engineering &amp; Development</t>
        </is>
      </c>
      <c r="B48" s="212" t="n"/>
      <c r="C48" s="211" t="n"/>
      <c r="D48" s="16" t="inlineStr">
        <is>
          <t>SFIA 9 · software development, programming; OWASP secure coding; cloud vendor certifications</t>
        </is>
      </c>
      <c r="E48" s="212" t="n"/>
      <c r="F48" s="212" t="n"/>
      <c r="G48" s="212" t="n"/>
      <c r="H48" s="212" t="n"/>
      <c r="I48" s="211" t="n"/>
      <c r="J48" s="16" t="inlineStr">
        <is>
          <t>https://sfia-online.org</t>
        </is>
      </c>
      <c r="K48" s="212" t="n"/>
      <c r="L48" s="212" t="n"/>
      <c r="M48" s="212" t="n"/>
      <c r="N48" s="211" t="n"/>
      <c r="O48" s="15" t="n">
        <v>1</v>
      </c>
    </row>
    <row r="49" ht="28" customHeight="1">
      <c r="A49" s="13" t="inlineStr">
        <is>
          <t>Design &amp; Creative</t>
        </is>
      </c>
      <c r="B49" s="212" t="n"/>
      <c r="C49" s="211" t="n"/>
      <c r="D49" s="16" t="inlineStr">
        <is>
          <t>UX career ladder Junior → Designer → Senior → Lead → Principal; WCAG accessibility</t>
        </is>
      </c>
      <c r="E49" s="212" t="n"/>
      <c r="F49" s="212" t="n"/>
      <c r="G49" s="212" t="n"/>
      <c r="H49" s="212" t="n"/>
      <c r="I49" s="211" t="n"/>
      <c r="J49" s="16" t="inlineStr">
        <is>
          <t>https://bootcamp.uxdesign.cc/career-ladder-from-junior-to-director-guidance-for-ux-professionals-1b5f9b2bd6b8</t>
        </is>
      </c>
      <c r="K49" s="212" t="n"/>
      <c r="L49" s="212" t="n"/>
      <c r="M49" s="212" t="n"/>
      <c r="N49" s="211" t="n"/>
      <c r="O49" s="15" t="n">
        <v>1</v>
      </c>
    </row>
    <row r="50" ht="15" customHeight="1">
      <c r="A50" s="13" t="inlineStr">
        <is>
          <t>Project &amp; Program Management</t>
        </is>
      </c>
      <c r="B50" s="212" t="n"/>
      <c r="C50" s="211" t="n"/>
      <c r="D50" s="16" t="inlineStr">
        <is>
          <t>PMI PMBOK and Talent Triangle; CAPM · entry → PMP → PgMP; Scrum / SAFe</t>
        </is>
      </c>
      <c r="E50" s="212" t="n"/>
      <c r="F50" s="212" t="n"/>
      <c r="G50" s="212" t="n"/>
      <c r="H50" s="212" t="n"/>
      <c r="I50" s="211" t="n"/>
      <c r="J50" s="16" t="inlineStr">
        <is>
          <t>https://www.pmi.org</t>
        </is>
      </c>
      <c r="K50" s="212" t="n"/>
      <c r="L50" s="212" t="n"/>
      <c r="M50" s="212" t="n"/>
      <c r="N50" s="211" t="n"/>
      <c r="O50" s="15" t="n">
        <v>1</v>
      </c>
    </row>
    <row r="51" ht="15" customHeight="1"/>
    <row r="52" ht="20" customHeight="1">
      <c r="A52" s="6" t="inlineStr">
        <is>
          <t>R3. Department × level benchmark — IRIS level vs competitors, regtech leaders and SaaS leaders · bottom to top</t>
        </is>
      </c>
    </row>
    <row r="53" ht="28" customHeight="1">
      <c r="A53" s="11" t="inlineStr">
        <is>
          <r>
            <rPr>
              <rFont val="Calibri"/>
              <b val="1"/>
              <i val="1"/>
              <color rgb="00595959"/>
              <sz val="10"/>
            </rPr>
            <t>For each department and each job family in it:</t>
          </r>
          <r>
            <rPr>
              <rFont val="Calibri"/>
              <i val="1"/>
              <color rgb="00595959"/>
              <sz val="10"/>
            </rPr>
            <t xml:space="preserve"> the IRIS title at each level, then the equivalent title at each benchmark company or standard. Blank = that company has no published equivalent at that level. Rows headed 'IRIS Vs Competitor Benchmark' · an IRIS composite or 'IRIS Vs Market Benchmark' · an IRIS mapping are IRIS's own assembly, not a published ladder.</t>
          </r>
        </is>
      </c>
    </row>
    <row r="54" ht="20" customHeight="1">
      <c r="A54" s="173" t="inlineStr">
        <is>
          <t>IT &amp; Infrastructure — 14 people</t>
        </is>
      </c>
    </row>
    <row r="55" ht="15" customHeight="1">
      <c r="A55" s="210" t="inlineStr">
        <is>
          <t>IRIS IT &amp; Infrastructure Vs · Standard: ITIL 4; ISO/IEC 27001:2022; SFIA infrastructure · 13 here</t>
        </is>
      </c>
      <c r="B55" s="212" t="n"/>
      <c r="C55" s="212" t="n"/>
      <c r="D55" s="212" t="n"/>
      <c r="E55" s="212" t="n"/>
      <c r="F55" s="212" t="n"/>
      <c r="G55" s="212" t="n"/>
      <c r="H55" s="212" t="n"/>
      <c r="I55" s="212" t="n"/>
      <c r="J55" s="212" t="n"/>
      <c r="K55" s="212" t="n"/>
      <c r="L55" s="212" t="n"/>
      <c r="M55" s="212" t="n"/>
      <c r="N55" s="212" t="n"/>
      <c r="O55" s="211" t="n"/>
    </row>
    <row r="56" ht="15" customHeight="1">
      <c r="A56" s="92" t="inlineStr">
        <is>
          <t>Ladder / company</t>
        </is>
      </c>
      <c r="B56" s="92" t="inlineStr">
        <is>
          <t>A1</t>
        </is>
      </c>
      <c r="C56" s="92" t="inlineStr">
        <is>
          <t>A2</t>
        </is>
      </c>
      <c r="D56" s="92" t="inlineStr">
        <is>
          <t>A3</t>
        </is>
      </c>
      <c r="E56" s="92" t="inlineStr">
        <is>
          <t>B1</t>
        </is>
      </c>
      <c r="F56" s="92" t="inlineStr">
        <is>
          <t>B2</t>
        </is>
      </c>
      <c r="G56" s="92" t="inlineStr">
        <is>
          <t>B3</t>
        </is>
      </c>
      <c r="H56" s="92" t="inlineStr">
        <is>
          <t>B+</t>
        </is>
      </c>
      <c r="I56" s="92" t="inlineStr">
        <is>
          <t>C1</t>
        </is>
      </c>
      <c r="J56" s="92" t="inlineStr">
        <is>
          <t>C2</t>
        </is>
      </c>
      <c r="K56" s="92" t="inlineStr">
        <is>
          <t>C+</t>
        </is>
      </c>
      <c r="L56" s="92" t="inlineStr">
        <is>
          <t>D1</t>
        </is>
      </c>
      <c r="M56" s="92" t="inlineStr">
        <is>
          <t>D2</t>
        </is>
      </c>
      <c r="N56" s="92" t="inlineStr">
        <is>
          <t>E1</t>
        </is>
      </c>
      <c r="O56" s="92" t="inlineStr">
        <is>
          <t>E2</t>
        </is>
      </c>
    </row>
    <row r="57" ht="54" customHeight="1">
      <c r="A57" s="46" t="inlineStr">
        <is>
          <t>IRIS — IC title</t>
        </is>
      </c>
      <c r="B57" s="26" t="inlineStr">
        <is>
          <t>Intern / Trainee</t>
        </is>
      </c>
      <c r="C57" s="26" t="inlineStr">
        <is>
          <t>Associate</t>
        </is>
      </c>
      <c r="D57" s="26" t="inlineStr">
        <is>
          <t>Senior Associate</t>
        </is>
      </c>
      <c r="E57" s="23" t="inlineStr">
        <is>
          <t>Specialist</t>
        </is>
      </c>
      <c r="F57" s="23" t="inlineStr">
        <is>
          <t>Senior Specialist</t>
        </is>
      </c>
      <c r="G57" s="23" t="inlineStr">
        <is>
          <t>Lead Specialist</t>
        </is>
      </c>
      <c r="H57" s="30" t="inlineStr">
        <is>
          <t>Practice Lead · Player-Coach</t>
        </is>
      </c>
      <c r="I57" s="33" t="inlineStr">
        <is>
          <t>Principal</t>
        </is>
      </c>
      <c r="J57" s="33" t="inlineStr">
        <is>
          <t>Senior Principal / Architect</t>
        </is>
      </c>
      <c r="K57" s="36" t="inlineStr">
        <is>
          <t>Group Head · Player-Coach</t>
        </is>
      </c>
      <c r="L57" s="39" t="inlineStr">
        <is>
          <t>Chief Specialist / Distinguished Principal</t>
        </is>
      </c>
      <c r="M57" s="39" t="inlineStr">
        <is>
          <t>—</t>
        </is>
      </c>
      <c r="N57" s="42" t="inlineStr">
        <is>
          <t>—</t>
        </is>
      </c>
      <c r="O57" s="42" t="inlineStr">
        <is>
          <t>—</t>
        </is>
      </c>
    </row>
    <row r="58" ht="54" customHeight="1">
      <c r="A58" s="46" t="inlineStr">
        <is>
          <t>IRIS — Manager title</t>
        </is>
      </c>
      <c r="B58" s="26" t="inlineStr"/>
      <c r="C58" s="26" t="inlineStr"/>
      <c r="D58" s="26" t="inlineStr"/>
      <c r="E58" s="23" t="inlineStr">
        <is>
          <t>Team Lead</t>
        </is>
      </c>
      <c r="F58" s="23" t="inlineStr">
        <is>
          <t>Manager</t>
        </is>
      </c>
      <c r="G58" s="23" t="inlineStr">
        <is>
          <t>Senior Manager</t>
        </is>
      </c>
      <c r="H58" s="30" t="inlineStr">
        <is>
          <t>Practice Lead · Player-Coach</t>
        </is>
      </c>
      <c r="I58" s="33" t="inlineStr">
        <is>
          <t>Associate Head</t>
        </is>
      </c>
      <c r="J58" s="33" t="inlineStr">
        <is>
          <t>Head of Function</t>
        </is>
      </c>
      <c r="K58" s="36" t="inlineStr">
        <is>
          <t>Group Head · Player-Coach</t>
        </is>
      </c>
      <c r="L58" s="39" t="inlineStr">
        <is>
          <t>Associate Vice President / Business Head</t>
        </is>
      </c>
      <c r="M58" s="39" t="inlineStr">
        <is>
          <t>Vice President</t>
        </is>
      </c>
      <c r="N58" s="42" t="inlineStr">
        <is>
          <t>CXO / President</t>
        </is>
      </c>
      <c r="O58" s="42" t="inlineStr">
        <is>
          <t>Chief Executive Officer</t>
        </is>
      </c>
    </row>
    <row r="59" ht="15" customHeight="1">
      <c r="A59" s="46" t="inlineStr">
        <is>
          <t>IRIS — people at level</t>
        </is>
      </c>
      <c r="B59" s="26" t="inlineStr"/>
      <c r="C59" s="26" t="inlineStr"/>
      <c r="D59" s="26" t="n">
        <v>9</v>
      </c>
      <c r="E59" s="23" t="n">
        <v>3</v>
      </c>
      <c r="F59" s="23" t="n">
        <v>1</v>
      </c>
      <c r="G59" s="23" t="inlineStr"/>
      <c r="H59" s="30" t="inlineStr"/>
      <c r="I59" s="33" t="inlineStr"/>
      <c r="J59" s="33" t="inlineStr"/>
      <c r="K59" s="36" t="inlineStr"/>
      <c r="L59" s="39" t="inlineStr"/>
      <c r="M59" s="39" t="inlineStr"/>
      <c r="N59" s="42" t="inlineStr"/>
      <c r="O59" s="42" t="inlineStr"/>
    </row>
    <row r="60" ht="28" customHeight="1">
      <c r="A60" s="13" t="inlineStr">
        <is>
          <t>Atlassian company-wide P-levels</t>
        </is>
      </c>
      <c r="B60" s="15" t="inlineStr"/>
      <c r="C60" s="15" t="inlineStr">
        <is>
          <t>P30 IT</t>
        </is>
      </c>
      <c r="D60" s="15" t="inlineStr">
        <is>
          <t>P40</t>
        </is>
      </c>
      <c r="E60" s="15" t="inlineStr">
        <is>
          <t>P40</t>
        </is>
      </c>
      <c r="F60" s="15" t="inlineStr">
        <is>
          <t>P50 Senior</t>
        </is>
      </c>
      <c r="G60" s="15" t="inlineStr">
        <is>
          <t>P50 / Lead</t>
        </is>
      </c>
      <c r="H60" s="15" t="inlineStr"/>
      <c r="I60" s="15" t="inlineStr">
        <is>
          <t>P60 Principal</t>
        </is>
      </c>
      <c r="J60" s="15" t="inlineStr"/>
      <c r="K60" s="15" t="inlineStr"/>
      <c r="L60" s="15" t="inlineStr"/>
      <c r="M60" s="15" t="inlineStr"/>
      <c r="N60" s="15" t="inlineStr"/>
      <c r="O60" s="15" t="inlineStr"/>
    </row>
    <row r="61" ht="41" customHeight="1">
      <c r="A61" s="13" t="inlineStr">
        <is>
          <t>IRIS Vs Competitor Benchmark — infrastructure ladder · informed by ITIL 4</t>
        </is>
      </c>
      <c r="B61" s="15" t="inlineStr"/>
      <c r="C61" s="15" t="inlineStr">
        <is>
          <t>IT Support Engineer</t>
        </is>
      </c>
      <c r="D61" s="15" t="inlineStr">
        <is>
          <t>System Administrator</t>
        </is>
      </c>
      <c r="E61" s="15" t="inlineStr">
        <is>
          <t>Senior SysAdmin</t>
        </is>
      </c>
      <c r="F61" s="15" t="inlineStr">
        <is>
          <t>Infrastructure Lead</t>
        </is>
      </c>
      <c r="G61" s="15" t="inlineStr">
        <is>
          <t>IT Manager / Infrastructure Architect</t>
        </is>
      </c>
      <c r="H61" s="15" t="inlineStr"/>
      <c r="I61" s="15" t="inlineStr"/>
      <c r="J61" s="15" t="inlineStr">
        <is>
          <t>Head of IT</t>
        </is>
      </c>
      <c r="K61" s="15" t="inlineStr"/>
      <c r="L61" s="15" t="inlineStr"/>
      <c r="M61" s="15" t="inlineStr"/>
      <c r="N61" s="15" t="inlineStr">
        <is>
          <t>CIO / CISO</t>
        </is>
      </c>
      <c r="O61" s="15" t="inlineStr"/>
    </row>
    <row r="62" ht="15" customHeight="1"/>
    <row r="63" ht="15" customHeight="1">
      <c r="A63" s="210" t="inlineStr">
        <is>
          <t>IRIS Engineering &amp; Development Vs · Standard: SFIA 9 · software development, programming; OWASP secure coding; cloud vendor certifications · 1 here</t>
        </is>
      </c>
      <c r="B63" s="212" t="n"/>
      <c r="C63" s="212" t="n"/>
      <c r="D63" s="212" t="n"/>
      <c r="E63" s="212" t="n"/>
      <c r="F63" s="212" t="n"/>
      <c r="G63" s="212" t="n"/>
      <c r="H63" s="212" t="n"/>
      <c r="I63" s="212" t="n"/>
      <c r="J63" s="212" t="n"/>
      <c r="K63" s="212" t="n"/>
      <c r="L63" s="212" t="n"/>
      <c r="M63" s="212" t="n"/>
      <c r="N63" s="212" t="n"/>
      <c r="O63" s="211" t="n"/>
    </row>
    <row r="64" ht="15" customHeight="1">
      <c r="A64" s="92" t="inlineStr">
        <is>
          <t>Ladder / company</t>
        </is>
      </c>
      <c r="B64" s="92" t="inlineStr">
        <is>
          <t>A1</t>
        </is>
      </c>
      <c r="C64" s="92" t="inlineStr">
        <is>
          <t>A2</t>
        </is>
      </c>
      <c r="D64" s="92" t="inlineStr">
        <is>
          <t>A3</t>
        </is>
      </c>
      <c r="E64" s="92" t="inlineStr">
        <is>
          <t>B1</t>
        </is>
      </c>
      <c r="F64" s="92" t="inlineStr">
        <is>
          <t>B2</t>
        </is>
      </c>
      <c r="G64" s="92" t="inlineStr">
        <is>
          <t>B3</t>
        </is>
      </c>
      <c r="H64" s="92" t="inlineStr">
        <is>
          <t>B+</t>
        </is>
      </c>
      <c r="I64" s="92" t="inlineStr">
        <is>
          <t>C1</t>
        </is>
      </c>
      <c r="J64" s="92" t="inlineStr">
        <is>
          <t>C2</t>
        </is>
      </c>
      <c r="K64" s="92" t="inlineStr">
        <is>
          <t>C+</t>
        </is>
      </c>
      <c r="L64" s="92" t="inlineStr">
        <is>
          <t>D1</t>
        </is>
      </c>
      <c r="M64" s="92" t="inlineStr">
        <is>
          <t>D2</t>
        </is>
      </c>
      <c r="N64" s="92" t="inlineStr">
        <is>
          <t>E1</t>
        </is>
      </c>
      <c r="O64" s="92" t="inlineStr">
        <is>
          <t>E2</t>
        </is>
      </c>
    </row>
    <row r="65" ht="54" customHeight="1">
      <c r="A65" s="46" t="inlineStr">
        <is>
          <t>IRIS — IC title</t>
        </is>
      </c>
      <c r="B65" s="26" t="inlineStr">
        <is>
          <t>Intern / Trainee</t>
        </is>
      </c>
      <c r="C65" s="26" t="inlineStr">
        <is>
          <t>Associate</t>
        </is>
      </c>
      <c r="D65" s="26" t="inlineStr">
        <is>
          <t>Senior Associate</t>
        </is>
      </c>
      <c r="E65" s="23" t="inlineStr">
        <is>
          <t>Specialist</t>
        </is>
      </c>
      <c r="F65" s="23" t="inlineStr">
        <is>
          <t>Senior Specialist</t>
        </is>
      </c>
      <c r="G65" s="23" t="inlineStr">
        <is>
          <t>Lead Specialist</t>
        </is>
      </c>
      <c r="H65" s="30" t="inlineStr">
        <is>
          <t>Practice Lead · Player-Coach</t>
        </is>
      </c>
      <c r="I65" s="33" t="inlineStr">
        <is>
          <t>Principal</t>
        </is>
      </c>
      <c r="J65" s="33" t="inlineStr">
        <is>
          <t>Senior Principal / Architect</t>
        </is>
      </c>
      <c r="K65" s="36" t="inlineStr">
        <is>
          <t>Group Head · Player-Coach</t>
        </is>
      </c>
      <c r="L65" s="39" t="inlineStr">
        <is>
          <t>Chief Specialist / Distinguished Principal</t>
        </is>
      </c>
      <c r="M65" s="39" t="inlineStr">
        <is>
          <t>—</t>
        </is>
      </c>
      <c r="N65" s="42" t="inlineStr">
        <is>
          <t>—</t>
        </is>
      </c>
      <c r="O65" s="42" t="inlineStr">
        <is>
          <t>—</t>
        </is>
      </c>
    </row>
    <row r="66" ht="54" customHeight="1">
      <c r="A66" s="46" t="inlineStr">
        <is>
          <t>IRIS — Manager title</t>
        </is>
      </c>
      <c r="B66" s="26" t="inlineStr"/>
      <c r="C66" s="26" t="inlineStr"/>
      <c r="D66" s="26" t="inlineStr"/>
      <c r="E66" s="23" t="inlineStr">
        <is>
          <t>Team Lead</t>
        </is>
      </c>
      <c r="F66" s="23" t="inlineStr">
        <is>
          <t>Manager</t>
        </is>
      </c>
      <c r="G66" s="23" t="inlineStr">
        <is>
          <t>Senior Manager</t>
        </is>
      </c>
      <c r="H66" s="30" t="inlineStr">
        <is>
          <t>Practice Lead · Player-Coach</t>
        </is>
      </c>
      <c r="I66" s="33" t="inlineStr">
        <is>
          <t>Associate Head</t>
        </is>
      </c>
      <c r="J66" s="33" t="inlineStr">
        <is>
          <t>Head of Function</t>
        </is>
      </c>
      <c r="K66" s="36" t="inlineStr">
        <is>
          <t>Group Head · Player-Coach</t>
        </is>
      </c>
      <c r="L66" s="39" t="inlineStr">
        <is>
          <t>Associate Vice President / Business Head</t>
        </is>
      </c>
      <c r="M66" s="39" t="inlineStr">
        <is>
          <t>Vice President</t>
        </is>
      </c>
      <c r="N66" s="42" t="inlineStr">
        <is>
          <t>CXO / President</t>
        </is>
      </c>
      <c r="O66" s="42" t="inlineStr">
        <is>
          <t>Chief Executive Officer</t>
        </is>
      </c>
    </row>
    <row r="67" ht="15" customHeight="1">
      <c r="A67" s="46" t="inlineStr">
        <is>
          <t>IRIS — people at level</t>
        </is>
      </c>
      <c r="B67" s="26" t="inlineStr"/>
      <c r="C67" s="26" t="inlineStr"/>
      <c r="D67" s="26" t="n">
        <v>1</v>
      </c>
      <c r="E67" s="23" t="inlineStr"/>
      <c r="F67" s="23" t="inlineStr"/>
      <c r="G67" s="23" t="inlineStr"/>
      <c r="H67" s="30" t="inlineStr"/>
      <c r="I67" s="33" t="inlineStr"/>
      <c r="J67" s="33" t="inlineStr"/>
      <c r="K67" s="36" t="inlineStr"/>
      <c r="L67" s="39" t="inlineStr"/>
      <c r="M67" s="39" t="inlineStr"/>
      <c r="N67" s="42" t="inlineStr"/>
      <c r="O67" s="42" t="inlineStr"/>
    </row>
    <row r="68" ht="28" customHeight="1">
      <c r="A68" s="13" t="inlineStr">
        <is>
          <t>Workiva</t>
        </is>
      </c>
      <c r="B68" s="15" t="inlineStr"/>
      <c r="C68" s="15" t="inlineStr">
        <is>
          <t>Associate SE</t>
        </is>
      </c>
      <c r="D68" s="15" t="inlineStr">
        <is>
          <t>SE</t>
        </is>
      </c>
      <c r="E68" s="15" t="inlineStr">
        <is>
          <t>SE / Senior SE</t>
        </is>
      </c>
      <c r="F68" s="15" t="inlineStr">
        <is>
          <t>Senior SE</t>
        </is>
      </c>
      <c r="G68" s="15" t="inlineStr">
        <is>
          <t>Staff SE</t>
        </is>
      </c>
      <c r="H68" s="15" t="inlineStr"/>
      <c r="I68" s="15" t="inlineStr"/>
      <c r="J68" s="15" t="inlineStr"/>
      <c r="K68" s="15" t="inlineStr"/>
      <c r="L68" s="15" t="inlineStr"/>
      <c r="M68" s="15" t="inlineStr"/>
      <c r="N68" s="15" t="inlineStr"/>
      <c r="O68" s="15" t="inlineStr"/>
    </row>
    <row r="69" ht="28" customHeight="1">
      <c r="A69" s="13" t="inlineStr">
        <is>
          <t>Broadridge India</t>
        </is>
      </c>
      <c r="B69" s="15" t="inlineStr"/>
      <c r="C69" s="15" t="inlineStr">
        <is>
          <t>SE</t>
        </is>
      </c>
      <c r="D69" s="15" t="inlineStr">
        <is>
          <t>SE</t>
        </is>
      </c>
      <c r="E69" s="15" t="inlineStr">
        <is>
          <t>Senior SE</t>
        </is>
      </c>
      <c r="F69" s="15" t="inlineStr">
        <is>
          <t>Lead SE</t>
        </is>
      </c>
      <c r="G69" s="15" t="inlineStr">
        <is>
          <t>Senior Lead SE</t>
        </is>
      </c>
      <c r="H69" s="15" t="inlineStr"/>
      <c r="I69" s="15" t="inlineStr"/>
      <c r="J69" s="15" t="inlineStr"/>
      <c r="K69" s="15" t="inlineStr"/>
      <c r="L69" s="15" t="inlineStr"/>
      <c r="M69" s="15" t="inlineStr"/>
      <c r="N69" s="15" t="inlineStr"/>
      <c r="O69" s="15" t="inlineStr"/>
    </row>
    <row r="70" ht="15" customHeight="1">
      <c r="A70" s="13" t="inlineStr">
        <is>
          <t>Nasdaq / AxiomSL</t>
        </is>
      </c>
      <c r="B70" s="15" t="inlineStr"/>
      <c r="C70" s="15" t="inlineStr">
        <is>
          <t>SE</t>
        </is>
      </c>
      <c r="D70" s="15" t="inlineStr">
        <is>
          <t>SE</t>
        </is>
      </c>
      <c r="E70" s="15" t="inlineStr">
        <is>
          <t>Senior SE</t>
        </is>
      </c>
      <c r="F70" s="15" t="inlineStr">
        <is>
          <t>Senior SE</t>
        </is>
      </c>
      <c r="G70" s="15" t="inlineStr">
        <is>
          <t>Lead SE</t>
        </is>
      </c>
      <c r="H70" s="15" t="inlineStr"/>
      <c r="I70" s="15" t="inlineStr">
        <is>
          <t>Principal SE</t>
        </is>
      </c>
      <c r="J70" s="15" t="inlineStr"/>
      <c r="K70" s="15" t="inlineStr"/>
      <c r="L70" s="15" t="inlineStr"/>
      <c r="M70" s="15" t="inlineStr"/>
      <c r="N70" s="15" t="inlineStr"/>
      <c r="O70" s="15" t="inlineStr"/>
    </row>
    <row r="71" ht="41" customHeight="1">
      <c r="A71" s="13" t="inlineStr">
        <is>
          <t>Salesforce</t>
        </is>
      </c>
      <c r="B71" s="15" t="inlineStr"/>
      <c r="C71" s="15" t="inlineStr">
        <is>
          <t>AMTS</t>
        </is>
      </c>
      <c r="D71" s="15" t="inlineStr">
        <is>
          <t>MTS</t>
        </is>
      </c>
      <c r="E71" s="15" t="inlineStr">
        <is>
          <t>MTS</t>
        </is>
      </c>
      <c r="F71" s="15" t="inlineStr">
        <is>
          <t>SMTS</t>
        </is>
      </c>
      <c r="G71" s="15" t="inlineStr">
        <is>
          <t>LMTS</t>
        </is>
      </c>
      <c r="H71" s="15" t="inlineStr"/>
      <c r="I71" s="15" t="inlineStr">
        <is>
          <t>PMTS</t>
        </is>
      </c>
      <c r="J71" s="15" t="inlineStr">
        <is>
          <t>Architect / Principal Architect</t>
        </is>
      </c>
      <c r="K71" s="15" t="inlineStr"/>
      <c r="L71" s="15" t="inlineStr">
        <is>
          <t>Distinguished Engineer</t>
        </is>
      </c>
      <c r="M71" s="15" t="inlineStr"/>
      <c r="N71" s="15" t="inlineStr"/>
      <c r="O71" s="15" t="inlineStr"/>
    </row>
    <row r="72" ht="28" customHeight="1">
      <c r="A72" s="13" t="inlineStr">
        <is>
          <t>Atlassian</t>
        </is>
      </c>
      <c r="B72" s="15" t="inlineStr"/>
      <c r="C72" s="15" t="inlineStr">
        <is>
          <t>P30 Junior · 0–2 yrs</t>
        </is>
      </c>
      <c r="D72" s="15" t="inlineStr">
        <is>
          <t>P40 · 3–7 yrs</t>
        </is>
      </c>
      <c r="E72" s="15" t="inlineStr">
        <is>
          <t>P40</t>
        </is>
      </c>
      <c r="F72" s="15" t="inlineStr">
        <is>
          <t>P50 Senior · 6–12 yrs</t>
        </is>
      </c>
      <c r="G72" s="15" t="inlineStr">
        <is>
          <t>P50 Senior</t>
        </is>
      </c>
      <c r="H72" s="15" t="inlineStr"/>
      <c r="I72" s="15" t="inlineStr">
        <is>
          <t>P60 Principal · 10+ yrs</t>
        </is>
      </c>
      <c r="J72" s="15" t="inlineStr">
        <is>
          <t>P70</t>
        </is>
      </c>
      <c r="K72" s="15" t="inlineStr"/>
      <c r="L72" s="15" t="inlineStr"/>
      <c r="M72" s="15" t="inlineStr"/>
      <c r="N72" s="15" t="inlineStr"/>
      <c r="O72" s="15" t="inlineStr"/>
    </row>
    <row r="73" ht="28" customHeight="1">
      <c r="A73" s="13" t="inlineStr">
        <is>
          <t>Freshworks</t>
        </is>
      </c>
      <c r="B73" s="15" t="inlineStr"/>
      <c r="C73" s="15" t="inlineStr">
        <is>
          <t>SE</t>
        </is>
      </c>
      <c r="D73" s="15" t="inlineStr">
        <is>
          <t>Senior SE</t>
        </is>
      </c>
      <c r="E73" s="15" t="inlineStr">
        <is>
          <t>Senior SE</t>
        </is>
      </c>
      <c r="F73" s="15" t="inlineStr">
        <is>
          <t>Lead SE</t>
        </is>
      </c>
      <c r="G73" s="15" t="inlineStr">
        <is>
          <t>Staff SE</t>
        </is>
      </c>
      <c r="H73" s="15" t="inlineStr"/>
      <c r="I73" s="15" t="inlineStr">
        <is>
          <t>Senior Staff SE</t>
        </is>
      </c>
      <c r="J73" s="15" t="inlineStr">
        <is>
          <t>Principal Engineer</t>
        </is>
      </c>
      <c r="K73" s="15" t="inlineStr"/>
      <c r="L73" s="15" t="inlineStr"/>
      <c r="M73" s="15" t="inlineStr"/>
      <c r="N73" s="15" t="inlineStr"/>
      <c r="O73" s="15" t="inlineStr"/>
    </row>
    <row r="74" ht="28" customHeight="1">
      <c r="A74" s="13" t="inlineStr">
        <is>
          <t>Clear · C14; unverified</t>
        </is>
      </c>
      <c r="B74" s="15" t="inlineStr"/>
      <c r="C74" s="15" t="inlineStr">
        <is>
          <t>SDE1</t>
        </is>
      </c>
      <c r="D74" s="15" t="inlineStr">
        <is>
          <t>SDE2</t>
        </is>
      </c>
      <c r="E74" s="15" t="inlineStr">
        <is>
          <t>SDE2</t>
        </is>
      </c>
      <c r="F74" s="15" t="inlineStr">
        <is>
          <t>SDE3 / Senior</t>
        </is>
      </c>
      <c r="G74" s="15" t="inlineStr">
        <is>
          <t>Staff</t>
        </is>
      </c>
      <c r="H74" s="15" t="inlineStr"/>
      <c r="I74" s="15" t="inlineStr"/>
      <c r="J74" s="15" t="inlineStr"/>
      <c r="K74" s="15" t="inlineStr"/>
      <c r="L74" s="15" t="inlineStr"/>
      <c r="M74" s="15" t="inlineStr"/>
      <c r="N74" s="15" t="inlineStr"/>
      <c r="O74" s="15" t="inlineStr"/>
    </row>
    <row r="75" ht="28" customHeight="1">
      <c r="A75" s="13" t="inlineStr">
        <is>
          <t>Google Tech Lead Manager</t>
        </is>
      </c>
      <c r="B75" s="15" t="inlineStr"/>
      <c r="C75" s="15" t="inlineStr"/>
      <c r="D75" s="15" t="inlineStr"/>
      <c r="E75" s="15" t="inlineStr"/>
      <c r="F75" s="15" t="inlineStr"/>
      <c r="G75" s="15" t="inlineStr"/>
      <c r="H75" s="15" t="inlineStr">
        <is>
          <t>Tech Lead Manager · TLM</t>
        </is>
      </c>
      <c r="I75" s="15" t="inlineStr"/>
      <c r="J75" s="15" t="inlineStr"/>
      <c r="K75" s="15" t="inlineStr">
        <is>
          <t>Senior TLM / Director</t>
        </is>
      </c>
      <c r="L75" s="15" t="inlineStr"/>
      <c r="M75" s="15" t="inlineStr"/>
      <c r="N75" s="15" t="inlineStr"/>
      <c r="O75" s="15" t="inlineStr"/>
    </row>
    <row r="76" ht="54" customHeight="1">
      <c r="A76" s="13" t="inlineStr">
        <is>
          <t>IRIS Vs Competitor Benchmark — engineering managers · informed by Freshworks, GitLab; C12, C20</t>
        </is>
      </c>
      <c r="B76" s="15" t="inlineStr"/>
      <c r="C76" s="15" t="inlineStr"/>
      <c r="D76" s="15" t="inlineStr"/>
      <c r="E76" s="15" t="inlineStr"/>
      <c r="F76" s="15" t="inlineStr">
        <is>
          <t>Engineering Manager</t>
        </is>
      </c>
      <c r="G76" s="15" t="inlineStr">
        <is>
          <t>Senior EM</t>
        </is>
      </c>
      <c r="H76" s="15" t="inlineStr"/>
      <c r="I76" s="15" t="inlineStr">
        <is>
          <t>Senior EM / Director</t>
        </is>
      </c>
      <c r="J76" s="15" t="inlineStr">
        <is>
          <t>Director Engineering</t>
        </is>
      </c>
      <c r="K76" s="15" t="inlineStr"/>
      <c r="L76" s="15" t="inlineStr">
        <is>
          <t>Senior Director</t>
        </is>
      </c>
      <c r="M76" s="15" t="inlineStr">
        <is>
          <t>VP Engineering</t>
        </is>
      </c>
      <c r="N76" s="15" t="inlineStr">
        <is>
          <t>CTO</t>
        </is>
      </c>
      <c r="O76" s="15" t="inlineStr"/>
    </row>
    <row r="77" ht="15" customHeight="1"/>
    <row r="78" ht="20" customHeight="1">
      <c r="A78" s="173" t="inlineStr">
        <is>
          <t>Finance — 11 people</t>
        </is>
      </c>
    </row>
    <row r="79" ht="15" customHeight="1">
      <c r="A79" s="210" t="inlineStr">
        <is>
          <t>IRIS Finance &amp; Accounts Vs · Standard: IMA Management Accounting Competency Framework; ICAI / CA; Ind AS · 10 here</t>
        </is>
      </c>
      <c r="B79" s="212" t="n"/>
      <c r="C79" s="212" t="n"/>
      <c r="D79" s="212" t="n"/>
      <c r="E79" s="212" t="n"/>
      <c r="F79" s="212" t="n"/>
      <c r="G79" s="212" t="n"/>
      <c r="H79" s="212" t="n"/>
      <c r="I79" s="212" t="n"/>
      <c r="J79" s="212" t="n"/>
      <c r="K79" s="212" t="n"/>
      <c r="L79" s="212" t="n"/>
      <c r="M79" s="212" t="n"/>
      <c r="N79" s="212" t="n"/>
      <c r="O79" s="211" t="n"/>
    </row>
    <row r="80" ht="15" customHeight="1">
      <c r="A80" s="92" t="inlineStr">
        <is>
          <t>Ladder / company</t>
        </is>
      </c>
      <c r="B80" s="92" t="inlineStr">
        <is>
          <t>A1</t>
        </is>
      </c>
      <c r="C80" s="92" t="inlineStr">
        <is>
          <t>A2</t>
        </is>
      </c>
      <c r="D80" s="92" t="inlineStr">
        <is>
          <t>A3</t>
        </is>
      </c>
      <c r="E80" s="92" t="inlineStr">
        <is>
          <t>B1</t>
        </is>
      </c>
      <c r="F80" s="92" t="inlineStr">
        <is>
          <t>B2</t>
        </is>
      </c>
      <c r="G80" s="92" t="inlineStr">
        <is>
          <t>B3</t>
        </is>
      </c>
      <c r="H80" s="92" t="inlineStr">
        <is>
          <t>B+</t>
        </is>
      </c>
      <c r="I80" s="92" t="inlineStr">
        <is>
          <t>C1</t>
        </is>
      </c>
      <c r="J80" s="92" t="inlineStr">
        <is>
          <t>C2</t>
        </is>
      </c>
      <c r="K80" s="92" t="inlineStr">
        <is>
          <t>C+</t>
        </is>
      </c>
      <c r="L80" s="92" t="inlineStr">
        <is>
          <t>D1</t>
        </is>
      </c>
      <c r="M80" s="92" t="inlineStr">
        <is>
          <t>D2</t>
        </is>
      </c>
      <c r="N80" s="92" t="inlineStr">
        <is>
          <t>E1</t>
        </is>
      </c>
      <c r="O80" s="92" t="inlineStr">
        <is>
          <t>E2</t>
        </is>
      </c>
    </row>
    <row r="81" ht="54" customHeight="1">
      <c r="A81" s="46" t="inlineStr">
        <is>
          <t>IRIS — IC title</t>
        </is>
      </c>
      <c r="B81" s="26" t="inlineStr">
        <is>
          <t>Intern / Trainee</t>
        </is>
      </c>
      <c r="C81" s="26" t="inlineStr">
        <is>
          <t>Associate</t>
        </is>
      </c>
      <c r="D81" s="26" t="inlineStr">
        <is>
          <t>Senior Associate</t>
        </is>
      </c>
      <c r="E81" s="23" t="inlineStr">
        <is>
          <t>Specialist</t>
        </is>
      </c>
      <c r="F81" s="23" t="inlineStr">
        <is>
          <t>Senior Specialist</t>
        </is>
      </c>
      <c r="G81" s="23" t="inlineStr">
        <is>
          <t>Lead Specialist</t>
        </is>
      </c>
      <c r="H81" s="30" t="inlineStr">
        <is>
          <t>Practice Lead · Player-Coach</t>
        </is>
      </c>
      <c r="I81" s="33" t="inlineStr">
        <is>
          <t>Principal</t>
        </is>
      </c>
      <c r="J81" s="33" t="inlineStr">
        <is>
          <t>Senior Principal / Architect</t>
        </is>
      </c>
      <c r="K81" s="36" t="inlineStr">
        <is>
          <t>Group Head · Player-Coach</t>
        </is>
      </c>
      <c r="L81" s="39" t="inlineStr">
        <is>
          <t>Chief Specialist / Distinguished Principal</t>
        </is>
      </c>
      <c r="M81" s="39" t="inlineStr">
        <is>
          <t>—</t>
        </is>
      </c>
      <c r="N81" s="42" t="inlineStr">
        <is>
          <t>—</t>
        </is>
      </c>
      <c r="O81" s="42" t="inlineStr">
        <is>
          <t>—</t>
        </is>
      </c>
    </row>
    <row r="82" ht="54" customHeight="1">
      <c r="A82" s="46" t="inlineStr">
        <is>
          <t>IRIS — Manager title</t>
        </is>
      </c>
      <c r="B82" s="26" t="inlineStr"/>
      <c r="C82" s="26" t="inlineStr"/>
      <c r="D82" s="26" t="inlineStr"/>
      <c r="E82" s="23" t="inlineStr">
        <is>
          <t>Team Lead</t>
        </is>
      </c>
      <c r="F82" s="23" t="inlineStr">
        <is>
          <t>Manager</t>
        </is>
      </c>
      <c r="G82" s="23" t="inlineStr">
        <is>
          <t>Senior Manager</t>
        </is>
      </c>
      <c r="H82" s="30" t="inlineStr">
        <is>
          <t>Practice Lead · Player-Coach</t>
        </is>
      </c>
      <c r="I82" s="33" t="inlineStr">
        <is>
          <t>Associate Head</t>
        </is>
      </c>
      <c r="J82" s="33" t="inlineStr">
        <is>
          <t>Head of Function</t>
        </is>
      </c>
      <c r="K82" s="36" t="inlineStr">
        <is>
          <t>Group Head · Player-Coach</t>
        </is>
      </c>
      <c r="L82" s="39" t="inlineStr">
        <is>
          <t>Associate Vice President / Business Head</t>
        </is>
      </c>
      <c r="M82" s="39" t="inlineStr">
        <is>
          <t>Vice President</t>
        </is>
      </c>
      <c r="N82" s="42" t="inlineStr">
        <is>
          <t>CXO / President</t>
        </is>
      </c>
      <c r="O82" s="42" t="inlineStr">
        <is>
          <t>Chief Executive Officer</t>
        </is>
      </c>
    </row>
    <row r="83" ht="15" customHeight="1">
      <c r="A83" s="46" t="inlineStr">
        <is>
          <t>IRIS — people at level</t>
        </is>
      </c>
      <c r="B83" s="26" t="inlineStr"/>
      <c r="C83" s="26" t="inlineStr"/>
      <c r="D83" s="26" t="n">
        <v>2</v>
      </c>
      <c r="E83" s="23" t="n">
        <v>5</v>
      </c>
      <c r="F83" s="23" t="n">
        <v>1</v>
      </c>
      <c r="G83" s="23" t="inlineStr"/>
      <c r="H83" s="30" t="inlineStr"/>
      <c r="I83" s="33" t="n">
        <v>2</v>
      </c>
      <c r="J83" s="33" t="inlineStr"/>
      <c r="K83" s="36" t="inlineStr"/>
      <c r="L83" s="39" t="inlineStr"/>
      <c r="M83" s="39" t="inlineStr"/>
      <c r="N83" s="42" t="inlineStr"/>
      <c r="O83" s="42" t="inlineStr"/>
    </row>
    <row r="84" ht="41" customHeight="1">
      <c r="A84" s="13" t="inlineStr">
        <is>
          <t>Atlassian company-wide P-levels</t>
        </is>
      </c>
      <c r="B84" s="15" t="inlineStr"/>
      <c r="C84" s="15" t="inlineStr">
        <is>
          <t>P30</t>
        </is>
      </c>
      <c r="D84" s="15" t="inlineStr">
        <is>
          <t>P40</t>
        </is>
      </c>
      <c r="E84" s="15" t="inlineStr"/>
      <c r="F84" s="15" t="inlineStr">
        <is>
          <t>P50 Senior</t>
        </is>
      </c>
      <c r="G84" s="15" t="inlineStr"/>
      <c r="H84" s="15" t="inlineStr"/>
      <c r="I84" s="15" t="inlineStr">
        <is>
          <t>P60 Accountant · Principal</t>
        </is>
      </c>
      <c r="J84" s="15" t="inlineStr"/>
      <c r="K84" s="15" t="inlineStr"/>
      <c r="L84" s="15" t="inlineStr"/>
      <c r="M84" s="15" t="inlineStr"/>
      <c r="N84" s="15" t="inlineStr"/>
      <c r="O84" s="15" t="inlineStr"/>
    </row>
    <row r="85" ht="28" customHeight="1">
      <c r="A85" s="13" t="inlineStr">
        <is>
          <t>Toppan Merrill</t>
        </is>
      </c>
      <c r="B85" s="15" t="inlineStr"/>
      <c r="C85" s="15" t="inlineStr"/>
      <c r="D85" s="15" t="inlineStr"/>
      <c r="E85" s="15" t="inlineStr">
        <is>
          <t>Senior Accountant</t>
        </is>
      </c>
      <c r="F85" s="15" t="inlineStr">
        <is>
          <t>Senior Financial Analyst</t>
        </is>
      </c>
      <c r="G85" s="15" t="inlineStr"/>
      <c r="H85" s="15" t="inlineStr"/>
      <c r="I85" s="15" t="inlineStr"/>
      <c r="J85" s="15" t="inlineStr"/>
      <c r="K85" s="15" t="inlineStr"/>
      <c r="L85" s="15" t="inlineStr"/>
      <c r="M85" s="15" t="inlineStr"/>
      <c r="N85" s="15" t="inlineStr"/>
      <c r="O85" s="15" t="inlineStr"/>
    </row>
    <row r="86" ht="54" customHeight="1">
      <c r="A86" s="13" t="inlineStr">
        <is>
          <t>IRIS Vs Competitor Benchmark — finance ladder · informed by Radford codes, Big Four titles</t>
        </is>
      </c>
      <c r="B86" s="15" t="inlineStr"/>
      <c r="C86" s="15" t="inlineStr">
        <is>
          <t>Accountant</t>
        </is>
      </c>
      <c r="D86" s="15" t="inlineStr">
        <is>
          <t>Senior Accountant</t>
        </is>
      </c>
      <c r="E86" s="15" t="inlineStr">
        <is>
          <t>Finance Specialist / Asst. Manager</t>
        </is>
      </c>
      <c r="F86" s="15" t="inlineStr">
        <is>
          <t>Finance Manager</t>
        </is>
      </c>
      <c r="G86" s="15" t="inlineStr">
        <is>
          <t>Senior Finance Manager / Controller</t>
        </is>
      </c>
      <c r="H86" s="15" t="inlineStr"/>
      <c r="I86" s="15" t="inlineStr">
        <is>
          <t>Associate Director Finance</t>
        </is>
      </c>
      <c r="J86" s="15" t="inlineStr">
        <is>
          <t>Head of Finance</t>
        </is>
      </c>
      <c r="K86" s="15" t="inlineStr"/>
      <c r="L86" s="15" t="inlineStr">
        <is>
          <t>VP Finance</t>
        </is>
      </c>
      <c r="M86" s="15" t="inlineStr"/>
      <c r="N86" s="15" t="inlineStr">
        <is>
          <t>CFO</t>
        </is>
      </c>
      <c r="O86" s="15" t="inlineStr"/>
    </row>
    <row r="87" ht="15" customHeight="1"/>
    <row r="88" ht="15" customHeight="1">
      <c r="A88" s="210" t="inlineStr">
        <is>
          <t>IRIS Executive Leadership Vs · Standard: Aon Radford executive levels E1–E6; Mercer ET1–ET3; Korn Ferry Leadership Architect · 1 here</t>
        </is>
      </c>
      <c r="B88" s="212" t="n"/>
      <c r="C88" s="212" t="n"/>
      <c r="D88" s="212" t="n"/>
      <c r="E88" s="212" t="n"/>
      <c r="F88" s="212" t="n"/>
      <c r="G88" s="212" t="n"/>
      <c r="H88" s="212" t="n"/>
      <c r="I88" s="212" t="n"/>
      <c r="J88" s="212" t="n"/>
      <c r="K88" s="212" t="n"/>
      <c r="L88" s="212" t="n"/>
      <c r="M88" s="212" t="n"/>
      <c r="N88" s="212" t="n"/>
      <c r="O88" s="211" t="n"/>
    </row>
    <row r="89" ht="15" customHeight="1">
      <c r="A89" s="92" t="inlineStr">
        <is>
          <t>Ladder / company</t>
        </is>
      </c>
      <c r="B89" s="92" t="inlineStr">
        <is>
          <t>A1</t>
        </is>
      </c>
      <c r="C89" s="92" t="inlineStr">
        <is>
          <t>A2</t>
        </is>
      </c>
      <c r="D89" s="92" t="inlineStr">
        <is>
          <t>A3</t>
        </is>
      </c>
      <c r="E89" s="92" t="inlineStr">
        <is>
          <t>B1</t>
        </is>
      </c>
      <c r="F89" s="92" t="inlineStr">
        <is>
          <t>B2</t>
        </is>
      </c>
      <c r="G89" s="92" t="inlineStr">
        <is>
          <t>B3</t>
        </is>
      </c>
      <c r="H89" s="92" t="inlineStr">
        <is>
          <t>B+</t>
        </is>
      </c>
      <c r="I89" s="92" t="inlineStr">
        <is>
          <t>C1</t>
        </is>
      </c>
      <c r="J89" s="92" t="inlineStr">
        <is>
          <t>C2</t>
        </is>
      </c>
      <c r="K89" s="92" t="inlineStr">
        <is>
          <t>C+</t>
        </is>
      </c>
      <c r="L89" s="92" t="inlineStr">
        <is>
          <t>D1</t>
        </is>
      </c>
      <c r="M89" s="92" t="inlineStr">
        <is>
          <t>D2</t>
        </is>
      </c>
      <c r="N89" s="92" t="inlineStr">
        <is>
          <t>E1</t>
        </is>
      </c>
      <c r="O89" s="92" t="inlineStr">
        <is>
          <t>E2</t>
        </is>
      </c>
    </row>
    <row r="90" ht="41" customHeight="1">
      <c r="A90" s="46" t="inlineStr">
        <is>
          <t>IRIS — IC title</t>
        </is>
      </c>
      <c r="B90" s="26" t="inlineStr">
        <is>
          <t>Intern / Trainee</t>
        </is>
      </c>
      <c r="C90" s="26" t="inlineStr">
        <is>
          <t>Associate</t>
        </is>
      </c>
      <c r="D90" s="26" t="inlineStr">
        <is>
          <t>Senior Associate</t>
        </is>
      </c>
      <c r="E90" s="23" t="inlineStr">
        <is>
          <t>Specialist</t>
        </is>
      </c>
      <c r="F90" s="23" t="inlineStr">
        <is>
          <t>Senior Specialist</t>
        </is>
      </c>
      <c r="G90" s="23" t="inlineStr">
        <is>
          <t>Lead Specialist</t>
        </is>
      </c>
      <c r="H90" s="30" t="inlineStr">
        <is>
          <t>Practice Lead · Player-Coach</t>
        </is>
      </c>
      <c r="I90" s="33" t="inlineStr">
        <is>
          <t>Principal</t>
        </is>
      </c>
      <c r="J90" s="33" t="inlineStr">
        <is>
          <t>Senior Principal / Architect</t>
        </is>
      </c>
      <c r="K90" s="36" t="inlineStr">
        <is>
          <t>Group Head · Player-Coach</t>
        </is>
      </c>
      <c r="L90" s="39" t="inlineStr">
        <is>
          <t>—</t>
        </is>
      </c>
      <c r="M90" s="39" t="inlineStr">
        <is>
          <t>—</t>
        </is>
      </c>
      <c r="N90" s="42" t="inlineStr">
        <is>
          <t>—</t>
        </is>
      </c>
      <c r="O90" s="42" t="inlineStr">
        <is>
          <t>—</t>
        </is>
      </c>
    </row>
    <row r="91" ht="41" customHeight="1">
      <c r="A91" s="46" t="inlineStr">
        <is>
          <t>IRIS — Manager title</t>
        </is>
      </c>
      <c r="B91" s="26" t="inlineStr"/>
      <c r="C91" s="26" t="inlineStr"/>
      <c r="D91" s="26" t="inlineStr"/>
      <c r="E91" s="23" t="inlineStr">
        <is>
          <t>Team Lead</t>
        </is>
      </c>
      <c r="F91" s="23" t="inlineStr">
        <is>
          <t>Manager</t>
        </is>
      </c>
      <c r="G91" s="23" t="inlineStr">
        <is>
          <t>Senior Manager</t>
        </is>
      </c>
      <c r="H91" s="30" t="inlineStr">
        <is>
          <t>Practice Lead · Player-Coach</t>
        </is>
      </c>
      <c r="I91" s="33" t="inlineStr">
        <is>
          <t>Associate Head</t>
        </is>
      </c>
      <c r="J91" s="33" t="inlineStr">
        <is>
          <t>Head of Function</t>
        </is>
      </c>
      <c r="K91" s="36" t="inlineStr">
        <is>
          <t>Group Head · Player-Coach</t>
        </is>
      </c>
      <c r="L91" s="39" t="inlineStr">
        <is>
          <t>Business Head</t>
        </is>
      </c>
      <c r="M91" s="39" t="inlineStr">
        <is>
          <t>Vice President</t>
        </is>
      </c>
      <c r="N91" s="42" t="inlineStr">
        <is>
          <t>CXO / President</t>
        </is>
      </c>
      <c r="O91" s="42" t="inlineStr">
        <is>
          <t>Chief Executive Officer</t>
        </is>
      </c>
    </row>
    <row r="92" ht="15" customHeight="1">
      <c r="A92" s="46" t="inlineStr">
        <is>
          <t>IRIS — people at level</t>
        </is>
      </c>
      <c r="B92" s="26" t="inlineStr"/>
      <c r="C92" s="26" t="inlineStr"/>
      <c r="D92" s="26" t="inlineStr"/>
      <c r="E92" s="23" t="inlineStr"/>
      <c r="F92" s="23" t="inlineStr"/>
      <c r="G92" s="23" t="inlineStr"/>
      <c r="H92" s="30" t="inlineStr"/>
      <c r="I92" s="33" t="inlineStr"/>
      <c r="J92" s="33" t="inlineStr"/>
      <c r="K92" s="36" t="inlineStr"/>
      <c r="L92" s="39" t="inlineStr"/>
      <c r="M92" s="39" t="inlineStr"/>
      <c r="N92" s="42" t="n">
        <v>1</v>
      </c>
      <c r="O92" s="42" t="inlineStr"/>
    </row>
    <row r="93" ht="41" customHeight="1">
      <c r="A93" s="13" t="inlineStr">
        <is>
          <t>IRIS Vs Market Benchmark — Aon Radford / Mercer executive codes</t>
        </is>
      </c>
      <c r="B93" s="15" t="inlineStr"/>
      <c r="C93" s="15" t="inlineStr"/>
      <c r="D93" s="15" t="inlineStr"/>
      <c r="E93" s="15" t="inlineStr"/>
      <c r="F93" s="15" t="inlineStr"/>
      <c r="G93" s="15" t="inlineStr"/>
      <c r="H93" s="15" t="inlineStr"/>
      <c r="I93" s="15" t="inlineStr"/>
      <c r="J93" s="15" t="inlineStr"/>
      <c r="K93" s="15" t="inlineStr"/>
      <c r="L93" s="15" t="inlineStr">
        <is>
          <t>E1–E2 VP / Business Head</t>
        </is>
      </c>
      <c r="M93" s="15" t="inlineStr">
        <is>
          <t>E3–E4 SVP</t>
        </is>
      </c>
      <c r="N93" s="15" t="inlineStr">
        <is>
          <t>E5 C-level · functional</t>
        </is>
      </c>
      <c r="O93" s="15" t="inlineStr">
        <is>
          <t>E6 CEO</t>
        </is>
      </c>
    </row>
    <row r="94" ht="41" customHeight="1">
      <c r="A94" s="13" t="inlineStr">
        <is>
          <t>IRIS Vs Competitor Benchmark — regtech / SaaS executive titles</t>
        </is>
      </c>
      <c r="B94" s="15" t="inlineStr"/>
      <c r="C94" s="15" t="inlineStr"/>
      <c r="D94" s="15" t="inlineStr"/>
      <c r="E94" s="15" t="inlineStr"/>
      <c r="F94" s="15" t="inlineStr"/>
      <c r="G94" s="15" t="inlineStr"/>
      <c r="H94" s="15" t="inlineStr"/>
      <c r="I94" s="15" t="inlineStr"/>
      <c r="J94" s="15" t="inlineStr"/>
      <c r="K94" s="15" t="inlineStr"/>
      <c r="L94" s="15" t="inlineStr">
        <is>
          <t>General Manager / VP</t>
        </is>
      </c>
      <c r="M94" s="15" t="inlineStr">
        <is>
          <t>SVP</t>
        </is>
      </c>
      <c r="N94" s="15" t="inlineStr">
        <is>
          <t>CTO · CFO · CRO · CCO · COO</t>
        </is>
      </c>
      <c r="O94" s="15" t="inlineStr">
        <is>
          <t>CEO</t>
        </is>
      </c>
    </row>
    <row r="95" ht="15" customHeight="1"/>
    <row r="96" ht="20" customHeight="1">
      <c r="A96" s="173" t="inlineStr">
        <is>
          <t>HR — 8 people</t>
        </is>
      </c>
    </row>
    <row r="97" ht="15" customHeight="1">
      <c r="A97" s="210" t="inlineStr">
        <is>
          <t>IRIS Human Resources Vs · Standard: SHRM BASK · SHRM-CP → SHRM-SCP; CIPD Profession Map · 8 here</t>
        </is>
      </c>
      <c r="B97" s="212" t="n"/>
      <c r="C97" s="212" t="n"/>
      <c r="D97" s="212" t="n"/>
      <c r="E97" s="212" t="n"/>
      <c r="F97" s="212" t="n"/>
      <c r="G97" s="212" t="n"/>
      <c r="H97" s="212" t="n"/>
      <c r="I97" s="212" t="n"/>
      <c r="J97" s="212" t="n"/>
      <c r="K97" s="212" t="n"/>
      <c r="L97" s="212" t="n"/>
      <c r="M97" s="212" t="n"/>
      <c r="N97" s="212" t="n"/>
      <c r="O97" s="211" t="n"/>
    </row>
    <row r="98" ht="15" customHeight="1">
      <c r="A98" s="92" t="inlineStr">
        <is>
          <t>Ladder / company</t>
        </is>
      </c>
      <c r="B98" s="92" t="inlineStr">
        <is>
          <t>A1</t>
        </is>
      </c>
      <c r="C98" s="92" t="inlineStr">
        <is>
          <t>A2</t>
        </is>
      </c>
      <c r="D98" s="92" t="inlineStr">
        <is>
          <t>A3</t>
        </is>
      </c>
      <c r="E98" s="92" t="inlineStr">
        <is>
          <t>B1</t>
        </is>
      </c>
      <c r="F98" s="92" t="inlineStr">
        <is>
          <t>B2</t>
        </is>
      </c>
      <c r="G98" s="92" t="inlineStr">
        <is>
          <t>B3</t>
        </is>
      </c>
      <c r="H98" s="92" t="inlineStr">
        <is>
          <t>B+</t>
        </is>
      </c>
      <c r="I98" s="92" t="inlineStr">
        <is>
          <t>C1</t>
        </is>
      </c>
      <c r="J98" s="92" t="inlineStr">
        <is>
          <t>C2</t>
        </is>
      </c>
      <c r="K98" s="92" t="inlineStr">
        <is>
          <t>C+</t>
        </is>
      </c>
      <c r="L98" s="92" t="inlineStr">
        <is>
          <t>D1</t>
        </is>
      </c>
      <c r="M98" s="92" t="inlineStr">
        <is>
          <t>D2</t>
        </is>
      </c>
      <c r="N98" s="92" t="inlineStr">
        <is>
          <t>E1</t>
        </is>
      </c>
      <c r="O98" s="92" t="inlineStr">
        <is>
          <t>E2</t>
        </is>
      </c>
    </row>
    <row r="99" ht="54" customHeight="1">
      <c r="A99" s="46" t="inlineStr">
        <is>
          <t>IRIS — IC title</t>
        </is>
      </c>
      <c r="B99" s="26" t="inlineStr">
        <is>
          <t>Intern / Trainee</t>
        </is>
      </c>
      <c r="C99" s="26" t="inlineStr">
        <is>
          <t>Associate</t>
        </is>
      </c>
      <c r="D99" s="26" t="inlineStr">
        <is>
          <t>Senior Associate</t>
        </is>
      </c>
      <c r="E99" s="23" t="inlineStr">
        <is>
          <t>Specialist</t>
        </is>
      </c>
      <c r="F99" s="23" t="inlineStr">
        <is>
          <t>Senior Specialist</t>
        </is>
      </c>
      <c r="G99" s="23" t="inlineStr">
        <is>
          <t>Lead Specialist</t>
        </is>
      </c>
      <c r="H99" s="30" t="inlineStr">
        <is>
          <t>Practice Lead · Player-Coach</t>
        </is>
      </c>
      <c r="I99" s="33" t="inlineStr">
        <is>
          <t>Principal</t>
        </is>
      </c>
      <c r="J99" s="33" t="inlineStr">
        <is>
          <t>Senior Principal / Architect</t>
        </is>
      </c>
      <c r="K99" s="36" t="inlineStr">
        <is>
          <t>Group Head · Player-Coach</t>
        </is>
      </c>
      <c r="L99" s="39" t="inlineStr">
        <is>
          <t>Chief Specialist / Distinguished Principal</t>
        </is>
      </c>
      <c r="M99" s="39" t="inlineStr">
        <is>
          <t>—</t>
        </is>
      </c>
      <c r="N99" s="42" t="inlineStr">
        <is>
          <t>—</t>
        </is>
      </c>
      <c r="O99" s="42" t="inlineStr">
        <is>
          <t>—</t>
        </is>
      </c>
    </row>
    <row r="100" ht="54" customHeight="1">
      <c r="A100" s="46" t="inlineStr">
        <is>
          <t>IRIS — Manager title</t>
        </is>
      </c>
      <c r="B100" s="26" t="inlineStr"/>
      <c r="C100" s="26" t="inlineStr"/>
      <c r="D100" s="26" t="inlineStr"/>
      <c r="E100" s="23" t="inlineStr">
        <is>
          <t>Team Lead</t>
        </is>
      </c>
      <c r="F100" s="23" t="inlineStr">
        <is>
          <t>Manager</t>
        </is>
      </c>
      <c r="G100" s="23" t="inlineStr">
        <is>
          <t>Senior Manager</t>
        </is>
      </c>
      <c r="H100" s="30" t="inlineStr">
        <is>
          <t>Practice Lead · Player-Coach</t>
        </is>
      </c>
      <c r="I100" s="33" t="inlineStr">
        <is>
          <t>Associate Head</t>
        </is>
      </c>
      <c r="J100" s="33" t="inlineStr">
        <is>
          <t>Head of Function</t>
        </is>
      </c>
      <c r="K100" s="36" t="inlineStr">
        <is>
          <t>Group Head · Player-Coach</t>
        </is>
      </c>
      <c r="L100" s="39" t="inlineStr">
        <is>
          <t>Associate Vice President / Business Head</t>
        </is>
      </c>
      <c r="M100" s="39" t="inlineStr">
        <is>
          <t>Vice President</t>
        </is>
      </c>
      <c r="N100" s="42" t="inlineStr">
        <is>
          <t>CXO / President</t>
        </is>
      </c>
      <c r="O100" s="42" t="inlineStr">
        <is>
          <t>Chief Executive Officer</t>
        </is>
      </c>
    </row>
    <row r="101" ht="15" customHeight="1">
      <c r="A101" s="46" t="inlineStr">
        <is>
          <t>IRIS — people at level</t>
        </is>
      </c>
      <c r="B101" s="26" t="inlineStr"/>
      <c r="C101" s="26" t="n">
        <v>1</v>
      </c>
      <c r="D101" s="26" t="n">
        <v>2</v>
      </c>
      <c r="E101" s="23" t="n">
        <v>2</v>
      </c>
      <c r="F101" s="23" t="n">
        <v>1</v>
      </c>
      <c r="G101" s="23" t="n">
        <v>1</v>
      </c>
      <c r="H101" s="30" t="inlineStr"/>
      <c r="I101" s="33" t="inlineStr"/>
      <c r="J101" s="33" t="inlineStr"/>
      <c r="K101" s="36" t="inlineStr"/>
      <c r="L101" s="39" t="inlineStr"/>
      <c r="M101" s="39" t="n">
        <v>1</v>
      </c>
      <c r="N101" s="42" t="inlineStr"/>
      <c r="O101" s="42" t="inlineStr"/>
    </row>
    <row r="102" ht="41" customHeight="1">
      <c r="A102" s="13" t="inlineStr">
        <is>
          <t>IRIS Vs Competitor Benchmark — HR ladder · informed by Radford codes, SHRM</t>
        </is>
      </c>
      <c r="B102" s="15" t="inlineStr"/>
      <c r="C102" s="15" t="inlineStr">
        <is>
          <t>HR Executive</t>
        </is>
      </c>
      <c r="D102" s="15" t="inlineStr">
        <is>
          <t>Senior HR Executive · SHRM-CP</t>
        </is>
      </c>
      <c r="E102" s="15" t="inlineStr">
        <is>
          <t>HR Specialist / HRBP</t>
        </is>
      </c>
      <c r="F102" s="15" t="inlineStr">
        <is>
          <t>HR Manager / Senior HRBP</t>
        </is>
      </c>
      <c r="G102" s="15" t="inlineStr">
        <is>
          <t>Senior HR Manager · SHRM-SCP</t>
        </is>
      </c>
      <c r="H102" s="15" t="inlineStr"/>
      <c r="I102" s="15" t="inlineStr">
        <is>
          <t>Head of CoE</t>
        </is>
      </c>
      <c r="J102" s="15" t="inlineStr">
        <is>
          <t>Head of HR</t>
        </is>
      </c>
      <c r="K102" s="15" t="inlineStr"/>
      <c r="L102" s="15" t="inlineStr"/>
      <c r="M102" s="15" t="inlineStr">
        <is>
          <t>VP HR</t>
        </is>
      </c>
      <c r="N102" s="15" t="inlineStr">
        <is>
          <t>CHRO</t>
        </is>
      </c>
      <c r="O102" s="15" t="inlineStr"/>
    </row>
    <row r="103" ht="15" customHeight="1"/>
    <row r="104" ht="20" customHeight="1">
      <c r="A104" s="173" t="inlineStr">
        <is>
          <t>Administration — 6 people</t>
        </is>
      </c>
    </row>
    <row r="105" ht="15" customHeight="1">
      <c r="A105" s="210" t="inlineStr">
        <is>
          <t>IRIS Administration, Legal &amp; Secretarial Vs · Standard: ICSI · Company Secretary; Companies Act 2013; IFMA · facilities; CIPS · procurement · 6 here</t>
        </is>
      </c>
      <c r="B105" s="212" t="n"/>
      <c r="C105" s="212" t="n"/>
      <c r="D105" s="212" t="n"/>
      <c r="E105" s="212" t="n"/>
      <c r="F105" s="212" t="n"/>
      <c r="G105" s="212" t="n"/>
      <c r="H105" s="212" t="n"/>
      <c r="I105" s="212" t="n"/>
      <c r="J105" s="212" t="n"/>
      <c r="K105" s="212" t="n"/>
      <c r="L105" s="212" t="n"/>
      <c r="M105" s="212" t="n"/>
      <c r="N105" s="212" t="n"/>
      <c r="O105" s="211" t="n"/>
    </row>
    <row r="106" ht="15" customHeight="1">
      <c r="A106" s="92" t="inlineStr">
        <is>
          <t>Ladder / company</t>
        </is>
      </c>
      <c r="B106" s="92" t="inlineStr">
        <is>
          <t>A1</t>
        </is>
      </c>
      <c r="C106" s="92" t="inlineStr">
        <is>
          <t>A2</t>
        </is>
      </c>
      <c r="D106" s="92" t="inlineStr">
        <is>
          <t>A3</t>
        </is>
      </c>
      <c r="E106" s="92" t="inlineStr">
        <is>
          <t>B1</t>
        </is>
      </c>
      <c r="F106" s="92" t="inlineStr">
        <is>
          <t>B2</t>
        </is>
      </c>
      <c r="G106" s="92" t="inlineStr">
        <is>
          <t>B3</t>
        </is>
      </c>
      <c r="H106" s="92" t="inlineStr">
        <is>
          <t>B+</t>
        </is>
      </c>
      <c r="I106" s="92" t="inlineStr">
        <is>
          <t>C1</t>
        </is>
      </c>
      <c r="J106" s="92" t="inlineStr">
        <is>
          <t>C2</t>
        </is>
      </c>
      <c r="K106" s="92" t="inlineStr">
        <is>
          <t>C+</t>
        </is>
      </c>
      <c r="L106" s="92" t="inlineStr">
        <is>
          <t>D1</t>
        </is>
      </c>
      <c r="M106" s="92" t="inlineStr">
        <is>
          <t>D2</t>
        </is>
      </c>
      <c r="N106" s="92" t="inlineStr">
        <is>
          <t>E1</t>
        </is>
      </c>
      <c r="O106" s="92" t="inlineStr">
        <is>
          <t>E2</t>
        </is>
      </c>
    </row>
    <row r="107" ht="54" customHeight="1">
      <c r="A107" s="46" t="inlineStr">
        <is>
          <t>IRIS — IC title</t>
        </is>
      </c>
      <c r="B107" s="26" t="inlineStr">
        <is>
          <t>Intern / Trainee</t>
        </is>
      </c>
      <c r="C107" s="26" t="inlineStr">
        <is>
          <t>Associate</t>
        </is>
      </c>
      <c r="D107" s="26" t="inlineStr">
        <is>
          <t>Senior Associate</t>
        </is>
      </c>
      <c r="E107" s="23" t="inlineStr">
        <is>
          <t>Specialist</t>
        </is>
      </c>
      <c r="F107" s="23" t="inlineStr">
        <is>
          <t>Senior Specialist</t>
        </is>
      </c>
      <c r="G107" s="23" t="inlineStr">
        <is>
          <t>Lead Specialist</t>
        </is>
      </c>
      <c r="H107" s="30" t="inlineStr">
        <is>
          <t>Practice Lead · Player-Coach</t>
        </is>
      </c>
      <c r="I107" s="33" t="inlineStr">
        <is>
          <t>Principal</t>
        </is>
      </c>
      <c r="J107" s="33" t="inlineStr">
        <is>
          <t>Senior Principal / Architect</t>
        </is>
      </c>
      <c r="K107" s="36" t="inlineStr">
        <is>
          <t>Group Head · Player-Coach</t>
        </is>
      </c>
      <c r="L107" s="39" t="inlineStr">
        <is>
          <t>Chief Specialist / Distinguished Principal</t>
        </is>
      </c>
      <c r="M107" s="39" t="inlineStr">
        <is>
          <t>—</t>
        </is>
      </c>
      <c r="N107" s="42" t="inlineStr">
        <is>
          <t>—</t>
        </is>
      </c>
      <c r="O107" s="42" t="inlineStr">
        <is>
          <t>—</t>
        </is>
      </c>
    </row>
    <row r="108" ht="54" customHeight="1">
      <c r="A108" s="46" t="inlineStr">
        <is>
          <t>IRIS — Manager title</t>
        </is>
      </c>
      <c r="B108" s="26" t="inlineStr"/>
      <c r="C108" s="26" t="inlineStr"/>
      <c r="D108" s="26" t="inlineStr"/>
      <c r="E108" s="23" t="inlineStr">
        <is>
          <t>Team Lead</t>
        </is>
      </c>
      <c r="F108" s="23" t="inlineStr">
        <is>
          <t>Manager</t>
        </is>
      </c>
      <c r="G108" s="23" t="inlineStr">
        <is>
          <t>Senior Manager</t>
        </is>
      </c>
      <c r="H108" s="30" t="inlineStr">
        <is>
          <t>Practice Lead · Player-Coach</t>
        </is>
      </c>
      <c r="I108" s="33" t="inlineStr">
        <is>
          <t>Associate Head</t>
        </is>
      </c>
      <c r="J108" s="33" t="inlineStr">
        <is>
          <t>Head of Function</t>
        </is>
      </c>
      <c r="K108" s="36" t="inlineStr">
        <is>
          <t>Group Head · Player-Coach</t>
        </is>
      </c>
      <c r="L108" s="39" t="inlineStr">
        <is>
          <t>Associate Vice President / Business Head</t>
        </is>
      </c>
      <c r="M108" s="39" t="inlineStr">
        <is>
          <t>Vice President</t>
        </is>
      </c>
      <c r="N108" s="42" t="inlineStr">
        <is>
          <t>CXO / President</t>
        </is>
      </c>
      <c r="O108" s="42" t="inlineStr">
        <is>
          <t>Chief Executive Officer</t>
        </is>
      </c>
    </row>
    <row r="109" ht="15" customHeight="1">
      <c r="A109" s="46" t="inlineStr">
        <is>
          <t>IRIS — people at level</t>
        </is>
      </c>
      <c r="B109" s="26" t="inlineStr"/>
      <c r="C109" s="26" t="inlineStr"/>
      <c r="D109" s="26" t="n">
        <v>4</v>
      </c>
      <c r="E109" s="23" t="inlineStr"/>
      <c r="F109" s="23" t="n">
        <v>1</v>
      </c>
      <c r="G109" s="23" t="inlineStr"/>
      <c r="H109" s="30" t="inlineStr"/>
      <c r="I109" s="33" t="inlineStr"/>
      <c r="J109" s="33" t="inlineStr"/>
      <c r="K109" s="36" t="inlineStr"/>
      <c r="L109" s="39" t="inlineStr"/>
      <c r="M109" s="39" t="inlineStr"/>
      <c r="N109" s="42" t="inlineStr"/>
      <c r="O109" s="42" t="inlineStr"/>
    </row>
    <row r="110" ht="41" customHeight="1">
      <c r="A110" s="13" t="inlineStr">
        <is>
          <t>IRIS Vs Competitor Benchmark — corporate services ladder · informed by ICSI, IFMA</t>
        </is>
      </c>
      <c r="B110" s="15" t="inlineStr">
        <is>
          <t>Trainee</t>
        </is>
      </c>
      <c r="C110" s="15" t="inlineStr">
        <is>
          <t>Executive</t>
        </is>
      </c>
      <c r="D110" s="15" t="inlineStr">
        <is>
          <t>Senior Executive</t>
        </is>
      </c>
      <c r="E110" s="15" t="inlineStr">
        <is>
          <t>Specialist / Asst. Company Secretary</t>
        </is>
      </c>
      <c r="F110" s="15" t="inlineStr">
        <is>
          <t>Manager</t>
        </is>
      </c>
      <c r="G110" s="15" t="inlineStr">
        <is>
          <t>Senior Manager</t>
        </is>
      </c>
      <c r="H110" s="15" t="inlineStr"/>
      <c r="I110" s="15" t="inlineStr">
        <is>
          <t>Company Secretary</t>
        </is>
      </c>
      <c r="J110" s="15" t="inlineStr">
        <is>
          <t>Head — Legal &amp; Secretarial</t>
        </is>
      </c>
      <c r="K110" s="15" t="inlineStr"/>
      <c r="L110" s="15" t="inlineStr">
        <is>
          <t>General Counsel</t>
        </is>
      </c>
      <c r="M110" s="15" t="inlineStr"/>
      <c r="N110" s="15" t="inlineStr"/>
      <c r="O110" s="15" t="inlineStr"/>
    </row>
    <row r="111" ht="15" customHeight="1"/>
    <row r="112" ht="20" customHeight="1">
      <c r="A112" s="173" t="inlineStr">
        <is>
          <t>Marketing — 3 people</t>
        </is>
      </c>
    </row>
    <row r="113" ht="15" customHeight="1">
      <c r="A113" s="210" t="inlineStr">
        <is>
          <t>IRIS Marketing &amp; Communications Vs · Standard: CIM Global Professional Marketing Framework — proficiency Aware → Active learner → Able → Accomplished → Authoritative · 2 here</t>
        </is>
      </c>
      <c r="B113" s="212" t="n"/>
      <c r="C113" s="212" t="n"/>
      <c r="D113" s="212" t="n"/>
      <c r="E113" s="212" t="n"/>
      <c r="F113" s="212" t="n"/>
      <c r="G113" s="212" t="n"/>
      <c r="H113" s="212" t="n"/>
      <c r="I113" s="212" t="n"/>
      <c r="J113" s="212" t="n"/>
      <c r="K113" s="212" t="n"/>
      <c r="L113" s="212" t="n"/>
      <c r="M113" s="212" t="n"/>
      <c r="N113" s="212" t="n"/>
      <c r="O113" s="211" t="n"/>
    </row>
    <row r="114" ht="15" customHeight="1">
      <c r="A114" s="92" t="inlineStr">
        <is>
          <t>Ladder / company</t>
        </is>
      </c>
      <c r="B114" s="92" t="inlineStr">
        <is>
          <t>A1</t>
        </is>
      </c>
      <c r="C114" s="92" t="inlineStr">
        <is>
          <t>A2</t>
        </is>
      </c>
      <c r="D114" s="92" t="inlineStr">
        <is>
          <t>A3</t>
        </is>
      </c>
      <c r="E114" s="92" t="inlineStr">
        <is>
          <t>B1</t>
        </is>
      </c>
      <c r="F114" s="92" t="inlineStr">
        <is>
          <t>B2</t>
        </is>
      </c>
      <c r="G114" s="92" t="inlineStr">
        <is>
          <t>B3</t>
        </is>
      </c>
      <c r="H114" s="92" t="inlineStr">
        <is>
          <t>B+</t>
        </is>
      </c>
      <c r="I114" s="92" t="inlineStr">
        <is>
          <t>C1</t>
        </is>
      </c>
      <c r="J114" s="92" t="inlineStr">
        <is>
          <t>C2</t>
        </is>
      </c>
      <c r="K114" s="92" t="inlineStr">
        <is>
          <t>C+</t>
        </is>
      </c>
      <c r="L114" s="92" t="inlineStr">
        <is>
          <t>D1</t>
        </is>
      </c>
      <c r="M114" s="92" t="inlineStr">
        <is>
          <t>D2</t>
        </is>
      </c>
      <c r="N114" s="92" t="inlineStr">
        <is>
          <t>E1</t>
        </is>
      </c>
      <c r="O114" s="92" t="inlineStr">
        <is>
          <t>E2</t>
        </is>
      </c>
    </row>
    <row r="115" ht="54" customHeight="1">
      <c r="A115" s="46" t="inlineStr">
        <is>
          <t>IRIS — IC title</t>
        </is>
      </c>
      <c r="B115" s="26" t="inlineStr">
        <is>
          <t>Intern / Trainee</t>
        </is>
      </c>
      <c r="C115" s="26" t="inlineStr">
        <is>
          <t>Associate</t>
        </is>
      </c>
      <c r="D115" s="26" t="inlineStr">
        <is>
          <t>Senior Associate</t>
        </is>
      </c>
      <c r="E115" s="23" t="inlineStr">
        <is>
          <t>Specialist</t>
        </is>
      </c>
      <c r="F115" s="23" t="inlineStr">
        <is>
          <t>Senior Specialist</t>
        </is>
      </c>
      <c r="G115" s="23" t="inlineStr">
        <is>
          <t>Lead Specialist</t>
        </is>
      </c>
      <c r="H115" s="30" t="inlineStr">
        <is>
          <t>Practice Lead · Player-Coach</t>
        </is>
      </c>
      <c r="I115" s="33" t="inlineStr">
        <is>
          <t>Principal</t>
        </is>
      </c>
      <c r="J115" s="33" t="inlineStr">
        <is>
          <t>Senior Principal / Architect</t>
        </is>
      </c>
      <c r="K115" s="36" t="inlineStr">
        <is>
          <t>Group Head · Player-Coach</t>
        </is>
      </c>
      <c r="L115" s="39" t="inlineStr">
        <is>
          <t>Chief Specialist / Distinguished Principal</t>
        </is>
      </c>
      <c r="M115" s="39" t="inlineStr">
        <is>
          <t>—</t>
        </is>
      </c>
      <c r="N115" s="42" t="inlineStr">
        <is>
          <t>—</t>
        </is>
      </c>
      <c r="O115" s="42" t="inlineStr">
        <is>
          <t>—</t>
        </is>
      </c>
    </row>
    <row r="116" ht="54" customHeight="1">
      <c r="A116" s="46" t="inlineStr">
        <is>
          <t>IRIS — Manager title</t>
        </is>
      </c>
      <c r="B116" s="26" t="inlineStr"/>
      <c r="C116" s="26" t="inlineStr"/>
      <c r="D116" s="26" t="inlineStr"/>
      <c r="E116" s="23" t="inlineStr">
        <is>
          <t>Team Lead</t>
        </is>
      </c>
      <c r="F116" s="23" t="inlineStr">
        <is>
          <t>Manager</t>
        </is>
      </c>
      <c r="G116" s="23" t="inlineStr">
        <is>
          <t>Senior Manager</t>
        </is>
      </c>
      <c r="H116" s="30" t="inlineStr">
        <is>
          <t>Practice Lead · Player-Coach</t>
        </is>
      </c>
      <c r="I116" s="33" t="inlineStr">
        <is>
          <t>Associate Head</t>
        </is>
      </c>
      <c r="J116" s="33" t="inlineStr">
        <is>
          <t>Head of Function</t>
        </is>
      </c>
      <c r="K116" s="36" t="inlineStr">
        <is>
          <t>Group Head · Player-Coach</t>
        </is>
      </c>
      <c r="L116" s="39" t="inlineStr">
        <is>
          <t>Associate Vice President / Business Head</t>
        </is>
      </c>
      <c r="M116" s="39" t="inlineStr">
        <is>
          <t>Vice President</t>
        </is>
      </c>
      <c r="N116" s="42" t="inlineStr">
        <is>
          <t>CXO / President</t>
        </is>
      </c>
      <c r="O116" s="42" t="inlineStr">
        <is>
          <t>Chief Executive Officer</t>
        </is>
      </c>
    </row>
    <row r="117" ht="15" customHeight="1">
      <c r="A117" s="46" t="inlineStr">
        <is>
          <t>IRIS — people at level</t>
        </is>
      </c>
      <c r="B117" s="26" t="inlineStr"/>
      <c r="C117" s="26" t="inlineStr"/>
      <c r="D117" s="26" t="n">
        <v>1</v>
      </c>
      <c r="E117" s="23" t="inlineStr"/>
      <c r="F117" s="23" t="n">
        <v>1</v>
      </c>
      <c r="G117" s="23" t="inlineStr"/>
      <c r="H117" s="30" t="inlineStr"/>
      <c r="I117" s="33" t="inlineStr"/>
      <c r="J117" s="33" t="inlineStr"/>
      <c r="K117" s="36" t="inlineStr"/>
      <c r="L117" s="39" t="inlineStr"/>
      <c r="M117" s="39" t="inlineStr"/>
      <c r="N117" s="42" t="inlineStr"/>
      <c r="O117" s="42" t="inlineStr"/>
    </row>
    <row r="118" ht="54" customHeight="1">
      <c r="A118" s="13" t="inlineStr">
        <is>
          <t>IRIS Vs Market Benchmark — CIM proficiency scale · CIM sets the scale, not the level match</t>
        </is>
      </c>
      <c r="B118" s="15" t="inlineStr">
        <is>
          <t>1 Aware</t>
        </is>
      </c>
      <c r="C118" s="15" t="inlineStr">
        <is>
          <t>2 Active learner</t>
        </is>
      </c>
      <c r="D118" s="15" t="inlineStr">
        <is>
          <t>2–3</t>
        </is>
      </c>
      <c r="E118" s="15" t="inlineStr">
        <is>
          <t>3 Able</t>
        </is>
      </c>
      <c r="F118" s="15" t="inlineStr">
        <is>
          <t>3–4</t>
        </is>
      </c>
      <c r="G118" s="15" t="inlineStr">
        <is>
          <t>4 Accomplished</t>
        </is>
      </c>
      <c r="H118" s="15" t="inlineStr"/>
      <c r="I118" s="15" t="inlineStr">
        <is>
          <t>4</t>
        </is>
      </c>
      <c r="J118" s="15" t="inlineStr">
        <is>
          <t>5 Authoritative</t>
        </is>
      </c>
      <c r="K118" s="15" t="inlineStr"/>
      <c r="L118" s="15" t="inlineStr"/>
      <c r="M118" s="15" t="inlineStr"/>
      <c r="N118" s="15" t="inlineStr"/>
      <c r="O118" s="15" t="inlineStr"/>
    </row>
    <row r="119" ht="41" customHeight="1">
      <c r="A119" s="13" t="inlineStr">
        <is>
          <t>IRIS Vs Competitor Benchmark — SaaS marketing ladder · informed by Radford codes</t>
        </is>
      </c>
      <c r="B119" s="15" t="inlineStr"/>
      <c r="C119" s="15" t="inlineStr">
        <is>
          <t>Marketing Associate</t>
        </is>
      </c>
      <c r="D119" s="15" t="inlineStr">
        <is>
          <t>Marketing Specialist</t>
        </is>
      </c>
      <c r="E119" s="15" t="inlineStr">
        <is>
          <t>Senior Marketing Specialist</t>
        </is>
      </c>
      <c r="F119" s="15" t="inlineStr">
        <is>
          <t>Marketing Manager</t>
        </is>
      </c>
      <c r="G119" s="15" t="inlineStr">
        <is>
          <t>Senior Marketing Manager</t>
        </is>
      </c>
      <c r="H119" s="15" t="inlineStr"/>
      <c r="I119" s="15" t="inlineStr">
        <is>
          <t>Head of Marketing · function</t>
        </is>
      </c>
      <c r="J119" s="15" t="inlineStr">
        <is>
          <t>Director of Marketing</t>
        </is>
      </c>
      <c r="K119" s="15" t="inlineStr"/>
      <c r="L119" s="15" t="inlineStr">
        <is>
          <t>VP Marketing</t>
        </is>
      </c>
      <c r="M119" s="15" t="inlineStr"/>
      <c r="N119" s="15" t="inlineStr">
        <is>
          <t>CMO</t>
        </is>
      </c>
      <c r="O119" s="15" t="inlineStr"/>
    </row>
    <row r="120" ht="15" customHeight="1"/>
    <row r="121" ht="15" customHeight="1">
      <c r="A121" s="210" t="inlineStr">
        <is>
          <t>IRIS Design &amp; Creative Vs · Standard: UX career ladder Junior → Designer → Senior → Lead → Principal; WCAG accessibility · 1 here</t>
        </is>
      </c>
      <c r="B121" s="212" t="n"/>
      <c r="C121" s="212" t="n"/>
      <c r="D121" s="212" t="n"/>
      <c r="E121" s="212" t="n"/>
      <c r="F121" s="212" t="n"/>
      <c r="G121" s="212" t="n"/>
      <c r="H121" s="212" t="n"/>
      <c r="I121" s="212" t="n"/>
      <c r="J121" s="212" t="n"/>
      <c r="K121" s="212" t="n"/>
      <c r="L121" s="212" t="n"/>
      <c r="M121" s="212" t="n"/>
      <c r="N121" s="212" t="n"/>
      <c r="O121" s="211" t="n"/>
    </row>
    <row r="122" ht="15" customHeight="1">
      <c r="A122" s="92" t="inlineStr">
        <is>
          <t>Ladder / company</t>
        </is>
      </c>
      <c r="B122" s="92" t="inlineStr">
        <is>
          <t>A1</t>
        </is>
      </c>
      <c r="C122" s="92" t="inlineStr">
        <is>
          <t>A2</t>
        </is>
      </c>
      <c r="D122" s="92" t="inlineStr">
        <is>
          <t>A3</t>
        </is>
      </c>
      <c r="E122" s="92" t="inlineStr">
        <is>
          <t>B1</t>
        </is>
      </c>
      <c r="F122" s="92" t="inlineStr">
        <is>
          <t>B2</t>
        </is>
      </c>
      <c r="G122" s="92" t="inlineStr">
        <is>
          <t>B3</t>
        </is>
      </c>
      <c r="H122" s="92" t="inlineStr">
        <is>
          <t>B+</t>
        </is>
      </c>
      <c r="I122" s="92" t="inlineStr">
        <is>
          <t>C1</t>
        </is>
      </c>
      <c r="J122" s="92" t="inlineStr">
        <is>
          <t>C2</t>
        </is>
      </c>
      <c r="K122" s="92" t="inlineStr">
        <is>
          <t>C+</t>
        </is>
      </c>
      <c r="L122" s="92" t="inlineStr">
        <is>
          <t>D1</t>
        </is>
      </c>
      <c r="M122" s="92" t="inlineStr">
        <is>
          <t>D2</t>
        </is>
      </c>
      <c r="N122" s="92" t="inlineStr">
        <is>
          <t>E1</t>
        </is>
      </c>
      <c r="O122" s="92" t="inlineStr">
        <is>
          <t>E2</t>
        </is>
      </c>
    </row>
    <row r="123" ht="54" customHeight="1">
      <c r="A123" s="46" t="inlineStr">
        <is>
          <t>IRIS — IC title</t>
        </is>
      </c>
      <c r="B123" s="26" t="inlineStr">
        <is>
          <t>Intern / Trainee</t>
        </is>
      </c>
      <c r="C123" s="26" t="inlineStr">
        <is>
          <t>Associate</t>
        </is>
      </c>
      <c r="D123" s="26" t="inlineStr">
        <is>
          <t>Senior Associate</t>
        </is>
      </c>
      <c r="E123" s="23" t="inlineStr">
        <is>
          <t>Specialist</t>
        </is>
      </c>
      <c r="F123" s="23" t="inlineStr">
        <is>
          <t>Senior Specialist</t>
        </is>
      </c>
      <c r="G123" s="23" t="inlineStr">
        <is>
          <t>Lead Specialist</t>
        </is>
      </c>
      <c r="H123" s="30" t="inlineStr">
        <is>
          <t>Practice Lead · Player-Coach</t>
        </is>
      </c>
      <c r="I123" s="33" t="inlineStr">
        <is>
          <t>Principal</t>
        </is>
      </c>
      <c r="J123" s="33" t="inlineStr">
        <is>
          <t>Senior Principal / Architect</t>
        </is>
      </c>
      <c r="K123" s="36" t="inlineStr">
        <is>
          <t>Group Head · Player-Coach</t>
        </is>
      </c>
      <c r="L123" s="39" t="inlineStr">
        <is>
          <t>Chief Specialist / Distinguished Principal</t>
        </is>
      </c>
      <c r="M123" s="39" t="inlineStr">
        <is>
          <t>—</t>
        </is>
      </c>
      <c r="N123" s="42" t="inlineStr">
        <is>
          <t>—</t>
        </is>
      </c>
      <c r="O123" s="42" t="inlineStr">
        <is>
          <t>—</t>
        </is>
      </c>
    </row>
    <row r="124" ht="54" customHeight="1">
      <c r="A124" s="46" t="inlineStr">
        <is>
          <t>IRIS — Manager title</t>
        </is>
      </c>
      <c r="B124" s="26" t="inlineStr"/>
      <c r="C124" s="26" t="inlineStr"/>
      <c r="D124" s="26" t="inlineStr"/>
      <c r="E124" s="23" t="inlineStr">
        <is>
          <t>Team Lead</t>
        </is>
      </c>
      <c r="F124" s="23" t="inlineStr">
        <is>
          <t>Manager</t>
        </is>
      </c>
      <c r="G124" s="23" t="inlineStr">
        <is>
          <t>Senior Manager</t>
        </is>
      </c>
      <c r="H124" s="30" t="inlineStr">
        <is>
          <t>Practice Lead · Player-Coach</t>
        </is>
      </c>
      <c r="I124" s="33" t="inlineStr">
        <is>
          <t>Associate Head</t>
        </is>
      </c>
      <c r="J124" s="33" t="inlineStr">
        <is>
          <t>Head of Function</t>
        </is>
      </c>
      <c r="K124" s="36" t="inlineStr">
        <is>
          <t>Group Head · Player-Coach</t>
        </is>
      </c>
      <c r="L124" s="39" t="inlineStr">
        <is>
          <t>Associate Vice President / Business Head</t>
        </is>
      </c>
      <c r="M124" s="39" t="inlineStr">
        <is>
          <t>Vice President</t>
        </is>
      </c>
      <c r="N124" s="42" t="inlineStr">
        <is>
          <t>CXO / President</t>
        </is>
      </c>
      <c r="O124" s="42" t="inlineStr">
        <is>
          <t>Chief Executive Officer</t>
        </is>
      </c>
    </row>
    <row r="125" ht="15" customHeight="1">
      <c r="A125" s="46" t="inlineStr">
        <is>
          <t>IRIS — people at level</t>
        </is>
      </c>
      <c r="B125" s="26" t="inlineStr"/>
      <c r="C125" s="26" t="inlineStr"/>
      <c r="D125" s="26" t="n">
        <v>1</v>
      </c>
      <c r="E125" s="23" t="inlineStr"/>
      <c r="F125" s="23" t="inlineStr"/>
      <c r="G125" s="23" t="inlineStr"/>
      <c r="H125" s="30" t="inlineStr"/>
      <c r="I125" s="33" t="inlineStr"/>
      <c r="J125" s="33" t="inlineStr"/>
      <c r="K125" s="36" t="inlineStr"/>
      <c r="L125" s="39" t="inlineStr"/>
      <c r="M125" s="39" t="inlineStr"/>
      <c r="N125" s="42" t="inlineStr"/>
      <c r="O125" s="42" t="inlineStr"/>
    </row>
    <row r="126" ht="41" customHeight="1">
      <c r="A126" s="13" t="inlineStr">
        <is>
          <t>IRIS Vs Competitor Benchmark — UX / design ladder · informed by a UX career-ladder guide</t>
        </is>
      </c>
      <c r="B126" s="15" t="inlineStr"/>
      <c r="C126" s="15" t="inlineStr">
        <is>
          <t>Junior Designer</t>
        </is>
      </c>
      <c r="D126" s="15" t="inlineStr">
        <is>
          <t>Designer</t>
        </is>
      </c>
      <c r="E126" s="15" t="inlineStr">
        <is>
          <t>UX Designer</t>
        </is>
      </c>
      <c r="F126" s="15" t="inlineStr">
        <is>
          <t>Senior Designer</t>
        </is>
      </c>
      <c r="G126" s="15" t="inlineStr">
        <is>
          <t>Lead Designer</t>
        </is>
      </c>
      <c r="H126" s="15" t="inlineStr"/>
      <c r="I126" s="15" t="inlineStr">
        <is>
          <t>Principal Designer</t>
        </is>
      </c>
      <c r="J126" s="15" t="inlineStr">
        <is>
          <t>Design Director</t>
        </is>
      </c>
      <c r="K126" s="15" t="inlineStr"/>
      <c r="L126" s="15" t="inlineStr"/>
      <c r="M126" s="15" t="inlineStr"/>
      <c r="N126" s="15" t="inlineStr"/>
      <c r="O126" s="15" t="inlineStr"/>
    </row>
    <row r="127" ht="15" customHeight="1"/>
    <row r="128" ht="20" customHeight="1">
      <c r="A128" s="173" t="inlineStr">
        <is>
          <t>Secretarial &amp; Legal — 3 people</t>
        </is>
      </c>
    </row>
    <row r="129" ht="15" customHeight="1">
      <c r="A129" s="210" t="inlineStr">
        <is>
          <t>IRIS Administration, Legal &amp; Secretarial Vs · Standard: ICSI · Company Secretary; Companies Act 2013; IFMA · facilities; CIPS · procurement · 3 here</t>
        </is>
      </c>
      <c r="B129" s="212" t="n"/>
      <c r="C129" s="212" t="n"/>
      <c r="D129" s="212" t="n"/>
      <c r="E129" s="212" t="n"/>
      <c r="F129" s="212" t="n"/>
      <c r="G129" s="212" t="n"/>
      <c r="H129" s="212" t="n"/>
      <c r="I129" s="212" t="n"/>
      <c r="J129" s="212" t="n"/>
      <c r="K129" s="212" t="n"/>
      <c r="L129" s="212" t="n"/>
      <c r="M129" s="212" t="n"/>
      <c r="N129" s="212" t="n"/>
      <c r="O129" s="211" t="n"/>
    </row>
    <row r="130" ht="15" customHeight="1">
      <c r="A130" s="92" t="inlineStr">
        <is>
          <t>Ladder / company</t>
        </is>
      </c>
      <c r="B130" s="92" t="inlineStr">
        <is>
          <t>A1</t>
        </is>
      </c>
      <c r="C130" s="92" t="inlineStr">
        <is>
          <t>A2</t>
        </is>
      </c>
      <c r="D130" s="92" t="inlineStr">
        <is>
          <t>A3</t>
        </is>
      </c>
      <c r="E130" s="92" t="inlineStr">
        <is>
          <t>B1</t>
        </is>
      </c>
      <c r="F130" s="92" t="inlineStr">
        <is>
          <t>B2</t>
        </is>
      </c>
      <c r="G130" s="92" t="inlineStr">
        <is>
          <t>B3</t>
        </is>
      </c>
      <c r="H130" s="92" t="inlineStr">
        <is>
          <t>B+</t>
        </is>
      </c>
      <c r="I130" s="92" t="inlineStr">
        <is>
          <t>C1</t>
        </is>
      </c>
      <c r="J130" s="92" t="inlineStr">
        <is>
          <t>C2</t>
        </is>
      </c>
      <c r="K130" s="92" t="inlineStr">
        <is>
          <t>C+</t>
        </is>
      </c>
      <c r="L130" s="92" t="inlineStr">
        <is>
          <t>D1</t>
        </is>
      </c>
      <c r="M130" s="92" t="inlineStr">
        <is>
          <t>D2</t>
        </is>
      </c>
      <c r="N130" s="92" t="inlineStr">
        <is>
          <t>E1</t>
        </is>
      </c>
      <c r="O130" s="92" t="inlineStr">
        <is>
          <t>E2</t>
        </is>
      </c>
    </row>
    <row r="131" ht="54" customHeight="1">
      <c r="A131" s="46" t="inlineStr">
        <is>
          <t>IRIS — IC title</t>
        </is>
      </c>
      <c r="B131" s="26" t="inlineStr">
        <is>
          <t>Intern / Trainee</t>
        </is>
      </c>
      <c r="C131" s="26" t="inlineStr">
        <is>
          <t>Associate</t>
        </is>
      </c>
      <c r="D131" s="26" t="inlineStr">
        <is>
          <t>Senior Associate</t>
        </is>
      </c>
      <c r="E131" s="23" t="inlineStr">
        <is>
          <t>Specialist</t>
        </is>
      </c>
      <c r="F131" s="23" t="inlineStr">
        <is>
          <t>Senior Specialist</t>
        </is>
      </c>
      <c r="G131" s="23" t="inlineStr">
        <is>
          <t>Lead Specialist</t>
        </is>
      </c>
      <c r="H131" s="30" t="inlineStr">
        <is>
          <t>Practice Lead · Player-Coach</t>
        </is>
      </c>
      <c r="I131" s="33" t="inlineStr">
        <is>
          <t>Principal</t>
        </is>
      </c>
      <c r="J131" s="33" t="inlineStr">
        <is>
          <t>Senior Principal / Architect</t>
        </is>
      </c>
      <c r="K131" s="36" t="inlineStr">
        <is>
          <t>Group Head · Player-Coach</t>
        </is>
      </c>
      <c r="L131" s="39" t="inlineStr">
        <is>
          <t>Chief Specialist / Distinguished Principal</t>
        </is>
      </c>
      <c r="M131" s="39" t="inlineStr">
        <is>
          <t>—</t>
        </is>
      </c>
      <c r="N131" s="42" t="inlineStr">
        <is>
          <t>—</t>
        </is>
      </c>
      <c r="O131" s="42" t="inlineStr">
        <is>
          <t>—</t>
        </is>
      </c>
    </row>
    <row r="132" ht="54" customHeight="1">
      <c r="A132" s="46" t="inlineStr">
        <is>
          <t>IRIS — Manager title</t>
        </is>
      </c>
      <c r="B132" s="26" t="inlineStr"/>
      <c r="C132" s="26" t="inlineStr"/>
      <c r="D132" s="26" t="inlineStr"/>
      <c r="E132" s="23" t="inlineStr">
        <is>
          <t>Team Lead</t>
        </is>
      </c>
      <c r="F132" s="23" t="inlineStr">
        <is>
          <t>Manager</t>
        </is>
      </c>
      <c r="G132" s="23" t="inlineStr">
        <is>
          <t>Senior Manager</t>
        </is>
      </c>
      <c r="H132" s="30" t="inlineStr">
        <is>
          <t>Practice Lead · Player-Coach</t>
        </is>
      </c>
      <c r="I132" s="33" t="inlineStr">
        <is>
          <t>Associate Head</t>
        </is>
      </c>
      <c r="J132" s="33" t="inlineStr">
        <is>
          <t>Head of Function</t>
        </is>
      </c>
      <c r="K132" s="36" t="inlineStr">
        <is>
          <t>Group Head · Player-Coach</t>
        </is>
      </c>
      <c r="L132" s="39" t="inlineStr">
        <is>
          <t>Associate Vice President / Business Head</t>
        </is>
      </c>
      <c r="M132" s="39" t="inlineStr">
        <is>
          <t>Vice President</t>
        </is>
      </c>
      <c r="N132" s="42" t="inlineStr">
        <is>
          <t>CXO / President</t>
        </is>
      </c>
      <c r="O132" s="42" t="inlineStr">
        <is>
          <t>Chief Executive Officer</t>
        </is>
      </c>
    </row>
    <row r="133" ht="15" customHeight="1">
      <c r="A133" s="46" t="inlineStr">
        <is>
          <t>IRIS — people at level</t>
        </is>
      </c>
      <c r="B133" s="26" t="n">
        <v>1</v>
      </c>
      <c r="C133" s="26" t="inlineStr"/>
      <c r="D133" s="26" t="n">
        <v>1</v>
      </c>
      <c r="E133" s="23" t="inlineStr"/>
      <c r="F133" s="23" t="inlineStr"/>
      <c r="G133" s="23" t="inlineStr"/>
      <c r="H133" s="30" t="inlineStr"/>
      <c r="I133" s="33" t="n">
        <v>1</v>
      </c>
      <c r="J133" s="33" t="inlineStr"/>
      <c r="K133" s="36" t="inlineStr"/>
      <c r="L133" s="39" t="inlineStr"/>
      <c r="M133" s="39" t="inlineStr"/>
      <c r="N133" s="42" t="inlineStr"/>
      <c r="O133" s="42" t="inlineStr"/>
    </row>
    <row r="134" ht="41" customHeight="1">
      <c r="A134" s="13" t="inlineStr">
        <is>
          <t>IRIS Vs Competitor Benchmark — corporate services ladder · informed by ICSI, IFMA</t>
        </is>
      </c>
      <c r="B134" s="15" t="inlineStr">
        <is>
          <t>Trainee</t>
        </is>
      </c>
      <c r="C134" s="15" t="inlineStr">
        <is>
          <t>Executive</t>
        </is>
      </c>
      <c r="D134" s="15" t="inlineStr">
        <is>
          <t>Senior Executive</t>
        </is>
      </c>
      <c r="E134" s="15" t="inlineStr">
        <is>
          <t>Specialist / Asst. Company Secretary</t>
        </is>
      </c>
      <c r="F134" s="15" t="inlineStr">
        <is>
          <t>Manager</t>
        </is>
      </c>
      <c r="G134" s="15" t="inlineStr">
        <is>
          <t>Senior Manager</t>
        </is>
      </c>
      <c r="H134" s="15" t="inlineStr"/>
      <c r="I134" s="15" t="inlineStr">
        <is>
          <t>Company Secretary</t>
        </is>
      </c>
      <c r="J134" s="15" t="inlineStr">
        <is>
          <t>Head — Legal &amp; Secretarial</t>
        </is>
      </c>
      <c r="K134" s="15" t="inlineStr"/>
      <c r="L134" s="15" t="inlineStr">
        <is>
          <t>General Counsel</t>
        </is>
      </c>
      <c r="M134" s="15" t="inlineStr"/>
      <c r="N134" s="15" t="inlineStr"/>
      <c r="O134" s="15" t="inlineStr"/>
    </row>
    <row r="135" ht="15" customHeight="1"/>
    <row r="136" ht="20" customHeight="1">
      <c r="A136" s="173" t="inlineStr">
        <is>
          <t>Management — 2 people</t>
        </is>
      </c>
    </row>
    <row r="137" ht="15" customHeight="1">
      <c r="A137" s="210" t="inlineStr">
        <is>
          <t>IRIS Executive Leadership Vs · Standard: Aon Radford executive levels E1–E6; Mercer ET1–ET3; Korn Ferry Leadership Architect · 2 here</t>
        </is>
      </c>
      <c r="B137" s="212" t="n"/>
      <c r="C137" s="212" t="n"/>
      <c r="D137" s="212" t="n"/>
      <c r="E137" s="212" t="n"/>
      <c r="F137" s="212" t="n"/>
      <c r="G137" s="212" t="n"/>
      <c r="H137" s="212" t="n"/>
      <c r="I137" s="212" t="n"/>
      <c r="J137" s="212" t="n"/>
      <c r="K137" s="212" t="n"/>
      <c r="L137" s="212" t="n"/>
      <c r="M137" s="212" t="n"/>
      <c r="N137" s="212" t="n"/>
      <c r="O137" s="211" t="n"/>
    </row>
    <row r="138" ht="15" customHeight="1">
      <c r="A138" s="92" t="inlineStr">
        <is>
          <t>Ladder / company</t>
        </is>
      </c>
      <c r="B138" s="92" t="inlineStr">
        <is>
          <t>A1</t>
        </is>
      </c>
      <c r="C138" s="92" t="inlineStr">
        <is>
          <t>A2</t>
        </is>
      </c>
      <c r="D138" s="92" t="inlineStr">
        <is>
          <t>A3</t>
        </is>
      </c>
      <c r="E138" s="92" t="inlineStr">
        <is>
          <t>B1</t>
        </is>
      </c>
      <c r="F138" s="92" t="inlineStr">
        <is>
          <t>B2</t>
        </is>
      </c>
      <c r="G138" s="92" t="inlineStr">
        <is>
          <t>B3</t>
        </is>
      </c>
      <c r="H138" s="92" t="inlineStr">
        <is>
          <t>B+</t>
        </is>
      </c>
      <c r="I138" s="92" t="inlineStr">
        <is>
          <t>C1</t>
        </is>
      </c>
      <c r="J138" s="92" t="inlineStr">
        <is>
          <t>C2</t>
        </is>
      </c>
      <c r="K138" s="92" t="inlineStr">
        <is>
          <t>C+</t>
        </is>
      </c>
      <c r="L138" s="92" t="inlineStr">
        <is>
          <t>D1</t>
        </is>
      </c>
      <c r="M138" s="92" t="inlineStr">
        <is>
          <t>D2</t>
        </is>
      </c>
      <c r="N138" s="92" t="inlineStr">
        <is>
          <t>E1</t>
        </is>
      </c>
      <c r="O138" s="92" t="inlineStr">
        <is>
          <t>E2</t>
        </is>
      </c>
    </row>
    <row r="139" ht="41" customHeight="1">
      <c r="A139" s="46" t="inlineStr">
        <is>
          <t>IRIS — IC title</t>
        </is>
      </c>
      <c r="B139" s="26" t="inlineStr">
        <is>
          <t>Intern / Trainee</t>
        </is>
      </c>
      <c r="C139" s="26" t="inlineStr">
        <is>
          <t>Associate</t>
        </is>
      </c>
      <c r="D139" s="26" t="inlineStr">
        <is>
          <t>Senior Associate</t>
        </is>
      </c>
      <c r="E139" s="23" t="inlineStr">
        <is>
          <t>Specialist</t>
        </is>
      </c>
      <c r="F139" s="23" t="inlineStr">
        <is>
          <t>Senior Specialist</t>
        </is>
      </c>
      <c r="G139" s="23" t="inlineStr">
        <is>
          <t>Lead Specialist</t>
        </is>
      </c>
      <c r="H139" s="30" t="inlineStr">
        <is>
          <t>Practice Lead · Player-Coach</t>
        </is>
      </c>
      <c r="I139" s="33" t="inlineStr">
        <is>
          <t>Principal</t>
        </is>
      </c>
      <c r="J139" s="33" t="inlineStr">
        <is>
          <t>Senior Principal / Architect</t>
        </is>
      </c>
      <c r="K139" s="36" t="inlineStr">
        <is>
          <t>Group Head · Player-Coach</t>
        </is>
      </c>
      <c r="L139" s="39" t="inlineStr">
        <is>
          <t>—</t>
        </is>
      </c>
      <c r="M139" s="39" t="inlineStr">
        <is>
          <t>—</t>
        </is>
      </c>
      <c r="N139" s="42" t="inlineStr">
        <is>
          <t>—</t>
        </is>
      </c>
      <c r="O139" s="42" t="inlineStr">
        <is>
          <t>—</t>
        </is>
      </c>
    </row>
    <row r="140" ht="41" customHeight="1">
      <c r="A140" s="46" t="inlineStr">
        <is>
          <t>IRIS — Manager title</t>
        </is>
      </c>
      <c r="B140" s="26" t="inlineStr"/>
      <c r="C140" s="26" t="inlineStr"/>
      <c r="D140" s="26" t="inlineStr"/>
      <c r="E140" s="23" t="inlineStr">
        <is>
          <t>Team Lead</t>
        </is>
      </c>
      <c r="F140" s="23" t="inlineStr">
        <is>
          <t>Manager</t>
        </is>
      </c>
      <c r="G140" s="23" t="inlineStr">
        <is>
          <t>Senior Manager</t>
        </is>
      </c>
      <c r="H140" s="30" t="inlineStr">
        <is>
          <t>Practice Lead · Player-Coach</t>
        </is>
      </c>
      <c r="I140" s="33" t="inlineStr">
        <is>
          <t>Associate Head</t>
        </is>
      </c>
      <c r="J140" s="33" t="inlineStr">
        <is>
          <t>Head of Function</t>
        </is>
      </c>
      <c r="K140" s="36" t="inlineStr">
        <is>
          <t>Group Head · Player-Coach</t>
        </is>
      </c>
      <c r="L140" s="39" t="inlineStr">
        <is>
          <t>Business Head</t>
        </is>
      </c>
      <c r="M140" s="39" t="inlineStr">
        <is>
          <t>Vice President</t>
        </is>
      </c>
      <c r="N140" s="42" t="inlineStr">
        <is>
          <t>CXO / President</t>
        </is>
      </c>
      <c r="O140" s="42" t="inlineStr">
        <is>
          <t>Chief Executive Officer</t>
        </is>
      </c>
    </row>
    <row r="141" ht="15" customHeight="1">
      <c r="A141" s="46" t="inlineStr">
        <is>
          <t>IRIS — people at level</t>
        </is>
      </c>
      <c r="B141" s="26" t="inlineStr"/>
      <c r="C141" s="26" t="inlineStr"/>
      <c r="D141" s="26" t="inlineStr"/>
      <c r="E141" s="23" t="inlineStr"/>
      <c r="F141" s="23" t="inlineStr"/>
      <c r="G141" s="23" t="inlineStr"/>
      <c r="H141" s="30" t="inlineStr"/>
      <c r="I141" s="33" t="inlineStr"/>
      <c r="J141" s="33" t="inlineStr"/>
      <c r="K141" s="36" t="inlineStr"/>
      <c r="L141" s="39" t="inlineStr"/>
      <c r="M141" s="39" t="inlineStr"/>
      <c r="N141" s="42" t="n">
        <v>1</v>
      </c>
      <c r="O141" s="42" t="n">
        <v>1</v>
      </c>
    </row>
    <row r="142" ht="41" customHeight="1">
      <c r="A142" s="13" t="inlineStr">
        <is>
          <t>IRIS Vs Market Benchmark — Aon Radford / Mercer executive codes</t>
        </is>
      </c>
      <c r="B142" s="15" t="inlineStr"/>
      <c r="C142" s="15" t="inlineStr"/>
      <c r="D142" s="15" t="inlineStr"/>
      <c r="E142" s="15" t="inlineStr"/>
      <c r="F142" s="15" t="inlineStr"/>
      <c r="G142" s="15" t="inlineStr"/>
      <c r="H142" s="15" t="inlineStr"/>
      <c r="I142" s="15" t="inlineStr"/>
      <c r="J142" s="15" t="inlineStr"/>
      <c r="K142" s="15" t="inlineStr"/>
      <c r="L142" s="15" t="inlineStr">
        <is>
          <t>E1–E2 VP / Business Head</t>
        </is>
      </c>
      <c r="M142" s="15" t="inlineStr">
        <is>
          <t>E3–E4 SVP</t>
        </is>
      </c>
      <c r="N142" s="15" t="inlineStr">
        <is>
          <t>E5 C-level · functional</t>
        </is>
      </c>
      <c r="O142" s="15" t="inlineStr">
        <is>
          <t>E6 CEO</t>
        </is>
      </c>
    </row>
    <row r="143" ht="41" customHeight="1">
      <c r="A143" s="13" t="inlineStr">
        <is>
          <t>IRIS Vs Competitor Benchmark — regtech / SaaS executive titles</t>
        </is>
      </c>
      <c r="B143" s="15" t="inlineStr"/>
      <c r="C143" s="15" t="inlineStr"/>
      <c r="D143" s="15" t="inlineStr"/>
      <c r="E143" s="15" t="inlineStr"/>
      <c r="F143" s="15" t="inlineStr"/>
      <c r="G143" s="15" t="inlineStr"/>
      <c r="H143" s="15" t="inlineStr"/>
      <c r="I143" s="15" t="inlineStr"/>
      <c r="J143" s="15" t="inlineStr"/>
      <c r="K143" s="15" t="inlineStr"/>
      <c r="L143" s="15" t="inlineStr">
        <is>
          <t>General Manager / VP</t>
        </is>
      </c>
      <c r="M143" s="15" t="inlineStr">
        <is>
          <t>SVP</t>
        </is>
      </c>
      <c r="N143" s="15" t="inlineStr">
        <is>
          <t>CTO · CFO · CRO · CCO · COO</t>
        </is>
      </c>
      <c r="O143" s="15" t="inlineStr">
        <is>
          <t>CEO</t>
        </is>
      </c>
    </row>
    <row r="144" ht="15" customHeight="1"/>
    <row r="145" ht="20" customHeight="1">
      <c r="A145" s="173" t="inlineStr">
        <is>
          <t>Technology — 2 people</t>
        </is>
      </c>
    </row>
    <row r="146" ht="15" customHeight="1">
      <c r="A146" s="210" t="inlineStr">
        <is>
          <t>IRIS Executive Leadership Vs · Standard: Aon Radford executive levels E1–E6; Mercer ET1–ET3; Korn Ferry Leadership Architect · 1 here</t>
        </is>
      </c>
      <c r="B146" s="212" t="n"/>
      <c r="C146" s="212" t="n"/>
      <c r="D146" s="212" t="n"/>
      <c r="E146" s="212" t="n"/>
      <c r="F146" s="212" t="n"/>
      <c r="G146" s="212" t="n"/>
      <c r="H146" s="212" t="n"/>
      <c r="I146" s="212" t="n"/>
      <c r="J146" s="212" t="n"/>
      <c r="K146" s="212" t="n"/>
      <c r="L146" s="212" t="n"/>
      <c r="M146" s="212" t="n"/>
      <c r="N146" s="212" t="n"/>
      <c r="O146" s="211" t="n"/>
    </row>
    <row r="147" ht="15" customHeight="1">
      <c r="A147" s="92" t="inlineStr">
        <is>
          <t>Ladder / company</t>
        </is>
      </c>
      <c r="B147" s="92" t="inlineStr">
        <is>
          <t>A1</t>
        </is>
      </c>
      <c r="C147" s="92" t="inlineStr">
        <is>
          <t>A2</t>
        </is>
      </c>
      <c r="D147" s="92" t="inlineStr">
        <is>
          <t>A3</t>
        </is>
      </c>
      <c r="E147" s="92" t="inlineStr">
        <is>
          <t>B1</t>
        </is>
      </c>
      <c r="F147" s="92" t="inlineStr">
        <is>
          <t>B2</t>
        </is>
      </c>
      <c r="G147" s="92" t="inlineStr">
        <is>
          <t>B3</t>
        </is>
      </c>
      <c r="H147" s="92" t="inlineStr">
        <is>
          <t>B+</t>
        </is>
      </c>
      <c r="I147" s="92" t="inlineStr">
        <is>
          <t>C1</t>
        </is>
      </c>
      <c r="J147" s="92" t="inlineStr">
        <is>
          <t>C2</t>
        </is>
      </c>
      <c r="K147" s="92" t="inlineStr">
        <is>
          <t>C+</t>
        </is>
      </c>
      <c r="L147" s="92" t="inlineStr">
        <is>
          <t>D1</t>
        </is>
      </c>
      <c r="M147" s="92" t="inlineStr">
        <is>
          <t>D2</t>
        </is>
      </c>
      <c r="N147" s="92" t="inlineStr">
        <is>
          <t>E1</t>
        </is>
      </c>
      <c r="O147" s="92" t="inlineStr">
        <is>
          <t>E2</t>
        </is>
      </c>
    </row>
    <row r="148" ht="41" customHeight="1">
      <c r="A148" s="46" t="inlineStr">
        <is>
          <t>IRIS — IC title</t>
        </is>
      </c>
      <c r="B148" s="26" t="inlineStr">
        <is>
          <t>Intern / Trainee</t>
        </is>
      </c>
      <c r="C148" s="26" t="inlineStr">
        <is>
          <t>Associate</t>
        </is>
      </c>
      <c r="D148" s="26" t="inlineStr">
        <is>
          <t>Senior Associate</t>
        </is>
      </c>
      <c r="E148" s="23" t="inlineStr">
        <is>
          <t>Specialist</t>
        </is>
      </c>
      <c r="F148" s="23" t="inlineStr">
        <is>
          <t>Senior Specialist</t>
        </is>
      </c>
      <c r="G148" s="23" t="inlineStr">
        <is>
          <t>Lead Specialist</t>
        </is>
      </c>
      <c r="H148" s="30" t="inlineStr">
        <is>
          <t>Practice Lead · Player-Coach</t>
        </is>
      </c>
      <c r="I148" s="33" t="inlineStr">
        <is>
          <t>Principal</t>
        </is>
      </c>
      <c r="J148" s="33" t="inlineStr">
        <is>
          <t>Senior Principal / Architect</t>
        </is>
      </c>
      <c r="K148" s="36" t="inlineStr">
        <is>
          <t>Group Head · Player-Coach</t>
        </is>
      </c>
      <c r="L148" s="39" t="inlineStr">
        <is>
          <t>—</t>
        </is>
      </c>
      <c r="M148" s="39" t="inlineStr">
        <is>
          <t>—</t>
        </is>
      </c>
      <c r="N148" s="42" t="inlineStr">
        <is>
          <t>—</t>
        </is>
      </c>
      <c r="O148" s="42" t="inlineStr">
        <is>
          <t>—</t>
        </is>
      </c>
    </row>
    <row r="149" ht="41" customHeight="1">
      <c r="A149" s="46" t="inlineStr">
        <is>
          <t>IRIS — Manager title</t>
        </is>
      </c>
      <c r="B149" s="26" t="inlineStr"/>
      <c r="C149" s="26" t="inlineStr"/>
      <c r="D149" s="26" t="inlineStr"/>
      <c r="E149" s="23" t="inlineStr">
        <is>
          <t>Team Lead</t>
        </is>
      </c>
      <c r="F149" s="23" t="inlineStr">
        <is>
          <t>Manager</t>
        </is>
      </c>
      <c r="G149" s="23" t="inlineStr">
        <is>
          <t>Senior Manager</t>
        </is>
      </c>
      <c r="H149" s="30" t="inlineStr">
        <is>
          <t>Practice Lead · Player-Coach</t>
        </is>
      </c>
      <c r="I149" s="33" t="inlineStr">
        <is>
          <t>Associate Head</t>
        </is>
      </c>
      <c r="J149" s="33" t="inlineStr">
        <is>
          <t>Head of Function</t>
        </is>
      </c>
      <c r="K149" s="36" t="inlineStr">
        <is>
          <t>Group Head · Player-Coach</t>
        </is>
      </c>
      <c r="L149" s="39" t="inlineStr">
        <is>
          <t>Business Head</t>
        </is>
      </c>
      <c r="M149" s="39" t="inlineStr">
        <is>
          <t>Vice President</t>
        </is>
      </c>
      <c r="N149" s="42" t="inlineStr">
        <is>
          <t>CXO / President</t>
        </is>
      </c>
      <c r="O149" s="42" t="inlineStr">
        <is>
          <t>Chief Executive Officer</t>
        </is>
      </c>
    </row>
    <row r="150" ht="15" customHeight="1">
      <c r="A150" s="46" t="inlineStr">
        <is>
          <t>IRIS — people at level</t>
        </is>
      </c>
      <c r="B150" s="26" t="inlineStr"/>
      <c r="C150" s="26" t="inlineStr"/>
      <c r="D150" s="26" t="inlineStr"/>
      <c r="E150" s="23" t="inlineStr"/>
      <c r="F150" s="23" t="inlineStr"/>
      <c r="G150" s="23" t="inlineStr"/>
      <c r="H150" s="30" t="inlineStr"/>
      <c r="I150" s="33" t="inlineStr"/>
      <c r="J150" s="33" t="inlineStr"/>
      <c r="K150" s="36" t="inlineStr"/>
      <c r="L150" s="39" t="inlineStr"/>
      <c r="M150" s="39" t="inlineStr"/>
      <c r="N150" s="42" t="n">
        <v>1</v>
      </c>
      <c r="O150" s="42" t="inlineStr"/>
    </row>
    <row r="151" ht="41" customHeight="1">
      <c r="A151" s="13" t="inlineStr">
        <is>
          <t>IRIS Vs Market Benchmark — Aon Radford / Mercer executive codes</t>
        </is>
      </c>
      <c r="B151" s="15" t="inlineStr"/>
      <c r="C151" s="15" t="inlineStr"/>
      <c r="D151" s="15" t="inlineStr"/>
      <c r="E151" s="15" t="inlineStr"/>
      <c r="F151" s="15" t="inlineStr"/>
      <c r="G151" s="15" t="inlineStr"/>
      <c r="H151" s="15" t="inlineStr"/>
      <c r="I151" s="15" t="inlineStr"/>
      <c r="J151" s="15" t="inlineStr"/>
      <c r="K151" s="15" t="inlineStr"/>
      <c r="L151" s="15" t="inlineStr">
        <is>
          <t>E1–E2 VP / Business Head</t>
        </is>
      </c>
      <c r="M151" s="15" t="inlineStr">
        <is>
          <t>E3–E4 SVP</t>
        </is>
      </c>
      <c r="N151" s="15" t="inlineStr">
        <is>
          <t>E5 C-level · functional</t>
        </is>
      </c>
      <c r="O151" s="15" t="inlineStr">
        <is>
          <t>E6 CEO</t>
        </is>
      </c>
    </row>
    <row r="152" ht="41" customHeight="1">
      <c r="A152" s="13" t="inlineStr">
        <is>
          <t>IRIS Vs Competitor Benchmark — regtech / SaaS executive titles</t>
        </is>
      </c>
      <c r="B152" s="15" t="inlineStr"/>
      <c r="C152" s="15" t="inlineStr"/>
      <c r="D152" s="15" t="inlineStr"/>
      <c r="E152" s="15" t="inlineStr"/>
      <c r="F152" s="15" t="inlineStr"/>
      <c r="G152" s="15" t="inlineStr"/>
      <c r="H152" s="15" t="inlineStr"/>
      <c r="I152" s="15" t="inlineStr"/>
      <c r="J152" s="15" t="inlineStr"/>
      <c r="K152" s="15" t="inlineStr"/>
      <c r="L152" s="15" t="inlineStr">
        <is>
          <t>General Manager / VP</t>
        </is>
      </c>
      <c r="M152" s="15" t="inlineStr">
        <is>
          <t>SVP</t>
        </is>
      </c>
      <c r="N152" s="15" t="inlineStr">
        <is>
          <t>CTO · CFO · CRO · CCO · COO</t>
        </is>
      </c>
      <c r="O152" s="15" t="inlineStr">
        <is>
          <t>CEO</t>
        </is>
      </c>
    </row>
    <row r="153" ht="15" customHeight="1"/>
    <row r="154" ht="15" customHeight="1">
      <c r="A154" s="210" t="inlineStr">
        <is>
          <t>IRIS Project &amp; Program Management Vs · Standard: PMI PMBOK and Talent Triangle; CAPM · entry → PMP → PgMP; Scrum / SAFe · 1 here</t>
        </is>
      </c>
      <c r="B154" s="212" t="n"/>
      <c r="C154" s="212" t="n"/>
      <c r="D154" s="212" t="n"/>
      <c r="E154" s="212" t="n"/>
      <c r="F154" s="212" t="n"/>
      <c r="G154" s="212" t="n"/>
      <c r="H154" s="212" t="n"/>
      <c r="I154" s="212" t="n"/>
      <c r="J154" s="212" t="n"/>
      <c r="K154" s="212" t="n"/>
      <c r="L154" s="212" t="n"/>
      <c r="M154" s="212" t="n"/>
      <c r="N154" s="212" t="n"/>
      <c r="O154" s="211" t="n"/>
    </row>
    <row r="155" ht="15" customHeight="1">
      <c r="A155" s="92" t="inlineStr">
        <is>
          <t>Ladder / company</t>
        </is>
      </c>
      <c r="B155" s="92" t="inlineStr">
        <is>
          <t>A1</t>
        </is>
      </c>
      <c r="C155" s="92" t="inlineStr">
        <is>
          <t>A2</t>
        </is>
      </c>
      <c r="D155" s="92" t="inlineStr">
        <is>
          <t>A3</t>
        </is>
      </c>
      <c r="E155" s="92" t="inlineStr">
        <is>
          <t>B1</t>
        </is>
      </c>
      <c r="F155" s="92" t="inlineStr">
        <is>
          <t>B2</t>
        </is>
      </c>
      <c r="G155" s="92" t="inlineStr">
        <is>
          <t>B3</t>
        </is>
      </c>
      <c r="H155" s="92" t="inlineStr">
        <is>
          <t>B+</t>
        </is>
      </c>
      <c r="I155" s="92" t="inlineStr">
        <is>
          <t>C1</t>
        </is>
      </c>
      <c r="J155" s="92" t="inlineStr">
        <is>
          <t>C2</t>
        </is>
      </c>
      <c r="K155" s="92" t="inlineStr">
        <is>
          <t>C+</t>
        </is>
      </c>
      <c r="L155" s="92" t="inlineStr">
        <is>
          <t>D1</t>
        </is>
      </c>
      <c r="M155" s="92" t="inlineStr">
        <is>
          <t>D2</t>
        </is>
      </c>
      <c r="N155" s="92" t="inlineStr">
        <is>
          <t>E1</t>
        </is>
      </c>
      <c r="O155" s="92" t="inlineStr">
        <is>
          <t>E2</t>
        </is>
      </c>
    </row>
    <row r="156" ht="54" customHeight="1">
      <c r="A156" s="46" t="inlineStr">
        <is>
          <t>IRIS — IC title</t>
        </is>
      </c>
      <c r="B156" s="26" t="inlineStr">
        <is>
          <t>Intern / Trainee</t>
        </is>
      </c>
      <c r="C156" s="26" t="inlineStr">
        <is>
          <t>Associate</t>
        </is>
      </c>
      <c r="D156" s="26" t="inlineStr">
        <is>
          <t>Senior Associate</t>
        </is>
      </c>
      <c r="E156" s="23" t="inlineStr">
        <is>
          <t>Specialist</t>
        </is>
      </c>
      <c r="F156" s="23" t="inlineStr">
        <is>
          <t>Senior Specialist</t>
        </is>
      </c>
      <c r="G156" s="23" t="inlineStr">
        <is>
          <t>Lead Specialist</t>
        </is>
      </c>
      <c r="H156" s="30" t="inlineStr">
        <is>
          <t>Practice Lead · Player-Coach</t>
        </is>
      </c>
      <c r="I156" s="33" t="inlineStr">
        <is>
          <t>Principal</t>
        </is>
      </c>
      <c r="J156" s="33" t="inlineStr">
        <is>
          <t>Senior Principal / Architect</t>
        </is>
      </c>
      <c r="K156" s="36" t="inlineStr">
        <is>
          <t>Group Head · Player-Coach</t>
        </is>
      </c>
      <c r="L156" s="39" t="inlineStr">
        <is>
          <t>Chief Specialist / Distinguished Principal</t>
        </is>
      </c>
      <c r="M156" s="39" t="inlineStr">
        <is>
          <t>—</t>
        </is>
      </c>
      <c r="N156" s="42" t="inlineStr">
        <is>
          <t>—</t>
        </is>
      </c>
      <c r="O156" s="42" t="inlineStr">
        <is>
          <t>—</t>
        </is>
      </c>
    </row>
    <row r="157" ht="54" customHeight="1">
      <c r="A157" s="46" t="inlineStr">
        <is>
          <t>IRIS — Manager title</t>
        </is>
      </c>
      <c r="B157" s="26" t="inlineStr"/>
      <c r="C157" s="26" t="inlineStr"/>
      <c r="D157" s="26" t="inlineStr"/>
      <c r="E157" s="23" t="inlineStr">
        <is>
          <t>Team Lead</t>
        </is>
      </c>
      <c r="F157" s="23" t="inlineStr">
        <is>
          <t>Manager</t>
        </is>
      </c>
      <c r="G157" s="23" t="inlineStr">
        <is>
          <t>Senior Manager</t>
        </is>
      </c>
      <c r="H157" s="30" t="inlineStr">
        <is>
          <t>Practice Lead · Player-Coach</t>
        </is>
      </c>
      <c r="I157" s="33" t="inlineStr">
        <is>
          <t>Associate Head</t>
        </is>
      </c>
      <c r="J157" s="33" t="inlineStr">
        <is>
          <t>Head of Function</t>
        </is>
      </c>
      <c r="K157" s="36" t="inlineStr">
        <is>
          <t>Group Head · Player-Coach</t>
        </is>
      </c>
      <c r="L157" s="39" t="inlineStr">
        <is>
          <t>Associate Vice President / Business Head</t>
        </is>
      </c>
      <c r="M157" s="39" t="inlineStr">
        <is>
          <t>Vice President</t>
        </is>
      </c>
      <c r="N157" s="42" t="inlineStr">
        <is>
          <t>CXO / President</t>
        </is>
      </c>
      <c r="O157" s="42" t="inlineStr">
        <is>
          <t>Chief Executive Officer</t>
        </is>
      </c>
    </row>
    <row r="158" ht="15" customHeight="1">
      <c r="A158" s="46" t="inlineStr">
        <is>
          <t>IRIS — people at level</t>
        </is>
      </c>
      <c r="B158" s="26" t="inlineStr"/>
      <c r="C158" s="26" t="inlineStr"/>
      <c r="D158" s="26" t="inlineStr"/>
      <c r="E158" s="23" t="inlineStr"/>
      <c r="F158" s="23" t="inlineStr"/>
      <c r="G158" s="23" t="n">
        <v>1</v>
      </c>
      <c r="H158" s="30" t="inlineStr"/>
      <c r="I158" s="33" t="inlineStr"/>
      <c r="J158" s="33" t="inlineStr"/>
      <c r="K158" s="36" t="inlineStr"/>
      <c r="L158" s="39" t="inlineStr"/>
      <c r="M158" s="39" t="inlineStr"/>
      <c r="N158" s="42" t="inlineStr"/>
      <c r="O158" s="42" t="inlineStr"/>
    </row>
    <row r="159" ht="41" customHeight="1">
      <c r="A159" s="13" t="inlineStr">
        <is>
          <t>IRIS Vs Competitor Benchmark — PMI pathway + SaaS delivery ladder</t>
        </is>
      </c>
      <c r="B159" s="15" t="inlineStr"/>
      <c r="C159" s="15" t="inlineStr">
        <is>
          <t>Project Coordinator · CAPM</t>
        </is>
      </c>
      <c r="D159" s="15" t="inlineStr">
        <is>
          <t>Associate PM</t>
        </is>
      </c>
      <c r="E159" s="15" t="inlineStr">
        <is>
          <t>Project Manager · PMP</t>
        </is>
      </c>
      <c r="F159" s="15" t="inlineStr">
        <is>
          <t>Senior PM</t>
        </is>
      </c>
      <c r="G159" s="15" t="inlineStr">
        <is>
          <t>Program Manager · PgMP</t>
        </is>
      </c>
      <c r="H159" s="15" t="inlineStr"/>
      <c r="I159" s="15" t="inlineStr">
        <is>
          <t>Senior Program Manager</t>
        </is>
      </c>
      <c r="J159" s="15" t="inlineStr">
        <is>
          <t>Director PMO / Delivery</t>
        </is>
      </c>
      <c r="K159" s="15" t="inlineStr"/>
      <c r="L159" s="15" t="inlineStr"/>
      <c r="M159" s="15" t="inlineStr"/>
      <c r="N159" s="15" t="inlineStr"/>
      <c r="O159" s="15" t="inlineStr"/>
    </row>
    <row r="160" ht="54" customHeight="1">
      <c r="A160" s="13" t="inlineStr">
        <is>
          <t>Infosys / Accenture</t>
        </is>
      </c>
      <c r="B160" s="15" t="inlineStr"/>
      <c r="C160" s="15" t="inlineStr"/>
      <c r="D160" s="15" t="inlineStr"/>
      <c r="E160" s="15" t="inlineStr"/>
      <c r="F160" s="15" t="inlineStr"/>
      <c r="G160" s="15" t="inlineStr">
        <is>
          <t>JL6B Project Manager · L7 Manager</t>
        </is>
      </c>
      <c r="H160" s="15" t="inlineStr"/>
      <c r="I160" s="15" t="inlineStr">
        <is>
          <t>JL7 Delivery Manager · L6 Senior Manager</t>
        </is>
      </c>
      <c r="J160" s="15" t="inlineStr"/>
      <c r="K160" s="15" t="inlineStr"/>
      <c r="L160" s="15" t="inlineStr"/>
      <c r="M160" s="15" t="inlineStr"/>
      <c r="N160" s="15" t="inlineStr"/>
      <c r="O160" s="15" t="inlineStr"/>
    </row>
    <row r="161" ht="15" customHeight="1"/>
    <row r="162" ht="20" customHeight="1">
      <c r="A162" s="6" t="inlineStr">
        <is>
          <t>R4. Levelling and market databases used</t>
        </is>
      </c>
    </row>
    <row r="163" ht="15" customHeight="1">
      <c r="A163" s="12" t="inlineStr">
        <is>
          <t>Database / method</t>
        </is>
      </c>
      <c r="B163" s="212" t="n"/>
      <c r="C163" s="211" t="n"/>
      <c r="D163" s="12" t="inlineStr">
        <is>
          <t>What it gave</t>
        </is>
      </c>
      <c r="E163" s="212" t="n"/>
      <c r="F163" s="212" t="n"/>
      <c r="G163" s="212" t="n"/>
      <c r="H163" s="212" t="n"/>
      <c r="I163" s="211" t="n"/>
      <c r="J163" s="12" t="inlineStr">
        <is>
          <t>Site</t>
        </is>
      </c>
      <c r="K163" s="212" t="n"/>
      <c r="L163" s="212" t="n"/>
      <c r="M163" s="211" t="n"/>
      <c r="N163" s="12" t="inlineStr">
        <is>
          <t>Status</t>
        </is>
      </c>
      <c r="O163" s="211" t="n"/>
    </row>
    <row r="164" ht="28" customHeight="1">
      <c r="A164" s="13" t="inlineStr">
        <is>
          <t>Aon Radford · Global Technology Survey</t>
        </is>
      </c>
      <c r="B164" s="212" t="n"/>
      <c r="C164" s="211" t="n"/>
      <c r="D164" s="16" t="inlineStr">
        <is>
          <t>Survey levels P1–P7 / M1–M6 / E1–E6 used on every IRIS level</t>
        </is>
      </c>
      <c r="E164" s="212" t="n"/>
      <c r="F164" s="212" t="n"/>
      <c r="G164" s="212" t="n"/>
      <c r="H164" s="212" t="n"/>
      <c r="I164" s="211" t="n"/>
      <c r="J164" s="16" t="inlineStr">
        <is>
          <t>https://radford.aon.com</t>
        </is>
      </c>
      <c r="K164" s="212" t="n"/>
      <c r="L164" s="212" t="n"/>
      <c r="M164" s="211" t="n"/>
      <c r="N164" s="16" t="inlineStr">
        <is>
          <t>Used — codes; pay data to buy</t>
        </is>
      </c>
      <c r="O164" s="211" t="n"/>
    </row>
    <row r="165" ht="28" customHeight="1">
      <c r="A165" s="13" t="inlineStr">
        <is>
          <t>Mercer TRS / Mercer IPE</t>
        </is>
      </c>
      <c r="B165" s="212" t="n"/>
      <c r="C165" s="211" t="n"/>
      <c r="D165" s="16" t="inlineStr">
        <is>
          <t>Career levels and position evaluation</t>
        </is>
      </c>
      <c r="E165" s="212" t="n"/>
      <c r="F165" s="212" t="n"/>
      <c r="G165" s="212" t="n"/>
      <c r="H165" s="212" t="n"/>
      <c r="I165" s="211" t="n"/>
      <c r="J165" s="16" t="inlineStr">
        <is>
          <t>https://www.mercer.com</t>
        </is>
      </c>
      <c r="K165" s="212" t="n"/>
      <c r="L165" s="212" t="n"/>
      <c r="M165" s="211" t="n"/>
      <c r="N165" s="16" t="inlineStr">
        <is>
          <t>Used — method; pay data to buy</t>
        </is>
      </c>
      <c r="O165" s="211" t="n"/>
    </row>
    <row r="166" ht="15" customHeight="1">
      <c r="A166" s="13" t="inlineStr">
        <is>
          <t>WTW Global Grading System</t>
        </is>
      </c>
      <c r="B166" s="212" t="n"/>
      <c r="C166" s="211" t="n"/>
      <c r="D166" s="16" t="inlineStr">
        <is>
          <t>Banding-then-grading logic</t>
        </is>
      </c>
      <c r="E166" s="212" t="n"/>
      <c r="F166" s="212" t="n"/>
      <c r="G166" s="212" t="n"/>
      <c r="H166" s="212" t="n"/>
      <c r="I166" s="211" t="n"/>
      <c r="J166" s="16" t="inlineStr">
        <is>
          <t>https://www.wtwco.com</t>
        </is>
      </c>
      <c r="K166" s="212" t="n"/>
      <c r="L166" s="212" t="n"/>
      <c r="M166" s="211" t="n"/>
      <c r="N166" s="16" t="inlineStr">
        <is>
          <t>Used — method</t>
        </is>
      </c>
      <c r="O166" s="211" t="n"/>
    </row>
    <row r="167" ht="15" customHeight="1">
      <c r="A167" s="13" t="inlineStr">
        <is>
          <t>Korn Ferry Hay Guide Chart-Profile</t>
        </is>
      </c>
      <c r="B167" s="212" t="n"/>
      <c r="C167" s="211" t="n"/>
      <c r="D167" s="16" t="inlineStr">
        <is>
          <t>Factors and A / L / P profiles</t>
        </is>
      </c>
      <c r="E167" s="212" t="n"/>
      <c r="F167" s="212" t="n"/>
      <c r="G167" s="212" t="n"/>
      <c r="H167" s="212" t="n"/>
      <c r="I167" s="211" t="n"/>
      <c r="J167" s="16" t="inlineStr">
        <is>
          <t>https://www.kornferry.com</t>
        </is>
      </c>
      <c r="K167" s="212" t="n"/>
      <c r="L167" s="212" t="n"/>
      <c r="M167" s="211" t="n"/>
      <c r="N167" s="16" t="inlineStr">
        <is>
          <t>Used — method</t>
        </is>
      </c>
      <c r="O167" s="211" t="n"/>
    </row>
    <row r="168" ht="15" customHeight="1">
      <c r="A168" s="13" t="inlineStr">
        <is>
          <t>Pave</t>
        </is>
      </c>
      <c r="B168" s="212" t="n"/>
      <c r="C168" s="211" t="n"/>
      <c r="D168" s="16" t="inlineStr">
        <is>
          <t>Radford / Mercer level crosswalk</t>
        </is>
      </c>
      <c r="E168" s="212" t="n"/>
      <c r="F168" s="212" t="n"/>
      <c r="G168" s="212" t="n"/>
      <c r="H168" s="212" t="n"/>
      <c r="I168" s="211" t="n"/>
      <c r="J168" s="16" t="inlineStr">
        <is>
          <t>https://support.pave.com</t>
        </is>
      </c>
      <c r="K168" s="212" t="n"/>
      <c r="L168" s="212" t="n"/>
      <c r="M168" s="211" t="n"/>
      <c r="N168" s="16" t="inlineStr">
        <is>
          <t>Used</t>
        </is>
      </c>
      <c r="O168" s="211" t="n"/>
    </row>
    <row r="169" ht="67" customHeight="1">
      <c r="A169" s="13" t="inlineStr">
        <is>
          <t>Levels.fyi</t>
        </is>
      </c>
      <c r="B169" s="212" t="n"/>
      <c r="C169" s="211" t="n"/>
      <c r="D169" s="16" t="inlineStr">
        <is>
          <t>Company level ladders · Workiva, Broadridge, Nasdaq, Freshworks, Zoho, Clear, Atlassian</t>
        </is>
      </c>
      <c r="E169" s="212" t="n"/>
      <c r="F169" s="212" t="n"/>
      <c r="G169" s="212" t="n"/>
      <c r="H169" s="212" t="n"/>
      <c r="I169" s="211" t="n"/>
      <c r="J169" s="16" t="inlineStr">
        <is>
          <t>https://www.levels.fyi</t>
        </is>
      </c>
      <c r="K169" s="212" t="n"/>
      <c r="L169" s="212" t="n"/>
      <c r="M169" s="211" t="n"/>
      <c r="N169" s="16" t="inlineStr">
        <is>
          <t>Used — titles and levels only, not pay; pages did not load in the October 2026 source check, so unverified</t>
        </is>
      </c>
      <c r="O169" s="211" t="n"/>
    </row>
    <row r="170" ht="15" customHeight="1">
      <c r="A170" s="13" t="inlineStr">
        <is>
          <t>SFIA Foundation</t>
        </is>
      </c>
      <c r="B170" s="212" t="n"/>
      <c r="C170" s="211" t="n"/>
      <c r="D170" s="16" t="inlineStr">
        <is>
          <t>Levels of responsibility; skills</t>
        </is>
      </c>
      <c r="E170" s="212" t="n"/>
      <c r="F170" s="212" t="n"/>
      <c r="G170" s="212" t="n"/>
      <c r="H170" s="212" t="n"/>
      <c r="I170" s="211" t="n"/>
      <c r="J170" s="16" t="inlineStr">
        <is>
          <t>https://sfia-online.org</t>
        </is>
      </c>
      <c r="K170" s="212" t="n"/>
      <c r="L170" s="212" t="n"/>
      <c r="M170" s="211" t="n"/>
      <c r="N170" s="16" t="inlineStr">
        <is>
          <t>Used</t>
        </is>
      </c>
      <c r="O170" s="211" t="n"/>
    </row>
    <row r="171" ht="28" customHeight="1">
      <c r="A171" s="13" t="inlineStr">
        <is>
          <t>Built In / company career sites / Personio</t>
        </is>
      </c>
      <c r="B171" s="212" t="n"/>
      <c r="C171" s="211" t="n"/>
      <c r="D171" s="16" t="inlineStr">
        <is>
          <r>
            <rPr>
              <rFont val="Calibri"/>
              <b val="1"/>
              <sz val="10"/>
            </rPr>
            <t>Job postings:</t>
          </r>
          <r>
            <rPr>
              <rFont val="Calibri"/>
              <sz val="10"/>
            </rPr>
            <t xml:space="preserve"> Workiva, DFIN, Toppan Merrill, Regnology, Gainsight</t>
          </r>
        </is>
      </c>
      <c r="E171" s="212" t="n"/>
      <c r="F171" s="212" t="n"/>
      <c r="G171" s="212" t="n"/>
      <c r="H171" s="212" t="n"/>
      <c r="I171" s="211" t="n"/>
      <c r="J171" s="16" t="inlineStr">
        <is>
          <t>https://builtin.com ; https://www.regnology.net/en/careers</t>
        </is>
      </c>
      <c r="K171" s="212" t="n"/>
      <c r="L171" s="212" t="n"/>
      <c r="M171" s="211" t="n"/>
      <c r="N171" s="16" t="inlineStr">
        <is>
          <t>Used — titles and requirements</t>
        </is>
      </c>
      <c r="O171" s="211" t="n"/>
    </row>
    <row r="172" ht="28" customHeight="1">
      <c r="A172" s="13" t="inlineStr">
        <is>
          <t>Chartis RiskTech100, Central Banking awards, CFO Shortlist</t>
        </is>
      </c>
      <c r="B172" s="212" t="n"/>
      <c r="C172" s="211" t="n"/>
      <c r="D172" s="16" t="inlineStr">
        <is>
          <t>Regtech and disclosure-management market leadership</t>
        </is>
      </c>
      <c r="E172" s="212" t="n"/>
      <c r="F172" s="212" t="n"/>
      <c r="G172" s="212" t="n"/>
      <c r="H172" s="212" t="n"/>
      <c r="I172" s="211" t="n"/>
      <c r="J172" s="16" t="inlineStr">
        <is>
          <t>https://www.centralbanking.com ; https://www.cfoshortlist.com</t>
        </is>
      </c>
      <c r="K172" s="212" t="n"/>
      <c r="L172" s="212" t="n"/>
      <c r="M172" s="211" t="n"/>
      <c r="N172" s="16" t="inlineStr">
        <is>
          <t>Used — peer selection</t>
        </is>
      </c>
      <c r="O172" s="211" t="n"/>
    </row>
    <row r="173" ht="15" customHeight="1"/>
    <row r="174" ht="20" customHeight="1">
      <c r="A174" s="6" t="inlineStr">
        <is>
          <t>R5. Full source register · also in the Master, M16</t>
        </is>
      </c>
    </row>
    <row r="175" ht="41" customHeight="1">
      <c r="A175" s="11" t="inlineStr">
        <is>
          <r>
            <rPr>
              <rFont val="Calibri"/>
              <b val="1"/>
              <i val="1"/>
              <color rgb="00595959"/>
              <sz val="10"/>
            </rPr>
            <t>About the references:</t>
          </r>
          <r>
            <rPr>
              <rFont val="Calibri"/>
              <i val="1"/>
              <color rgb="00595959"/>
              <sz val="10"/>
            </rPr>
            <t xml:space="preserve"> each row names the source, what kind of source it is, what it contributed to the IRIS job architecture and where to find it. Grade: Primary = the original publisher or official document; Secondary = a summary, guide or third-party copy of the original; Indicative = used for direction only; Job postings = live adverts used as examples; Internal = IRIS data. S46–S72 were added in v1.12 for the default weights, the Experience and Business Impact evidence, and the title decisions: no Director, and the two D1 specialist-title options.</t>
          </r>
        </is>
      </c>
    </row>
    <row r="176" ht="15" customHeight="1">
      <c r="A176" s="12" t="inlineStr">
        <is>
          <t>ID</t>
        </is>
      </c>
      <c r="B176" s="12" t="inlineStr">
        <is>
          <t>Source</t>
        </is>
      </c>
      <c r="C176" s="212" t="n"/>
      <c r="D176" s="211" t="n"/>
      <c r="E176" s="12" t="inlineStr">
        <is>
          <t>Type</t>
        </is>
      </c>
      <c r="F176" s="211" t="n"/>
      <c r="G176" s="12" t="inlineStr">
        <is>
          <t>What it contributed</t>
        </is>
      </c>
      <c r="H176" s="212" t="n"/>
      <c r="I176" s="212" t="n"/>
      <c r="J176" s="211" t="n"/>
      <c r="K176" s="12" t="inlineStr">
        <is>
          <t>Link / where</t>
        </is>
      </c>
      <c r="L176" s="212" t="n"/>
      <c r="M176" s="212" t="n"/>
      <c r="N176" s="211" t="n"/>
      <c r="O176" s="12" t="inlineStr">
        <is>
          <t>Grade</t>
        </is>
      </c>
    </row>
    <row r="177" ht="28" customHeight="1">
      <c r="A177" s="13" t="inlineStr">
        <is>
          <t>S01</t>
        </is>
      </c>
      <c r="B177" s="16" t="inlineStr">
        <is>
          <t>Aon Radford — Global Job Architecture &amp; Leveling</t>
        </is>
      </c>
      <c r="C177" s="212" t="n"/>
      <c r="D177" s="211" t="n"/>
      <c r="E177" s="16" t="inlineStr">
        <is>
          <t>Salary-survey levelling system</t>
        </is>
      </c>
      <c r="F177" s="211" t="n"/>
      <c r="G177" s="16" t="inlineStr">
        <is>
          <t>P1–P7 / M1–M6 / E1–E6 market codes on every IRIS level; dual IC / management streams</t>
        </is>
      </c>
      <c r="H177" s="212" t="n"/>
      <c r="I177" s="212" t="n"/>
      <c r="J177" s="211" t="n"/>
      <c r="K177" s="16" t="inlineStr">
        <is>
          <t>https://radford.aon.com/en-us/products/release-notes/2021/radford-job-architecture-leveling</t>
        </is>
      </c>
      <c r="L177" s="212" t="n"/>
      <c r="M177" s="212" t="n"/>
      <c r="N177" s="211" t="n"/>
      <c r="O177" s="16" t="inlineStr">
        <is>
          <t>Primary</t>
        </is>
      </c>
    </row>
    <row r="178" ht="41" customHeight="1">
      <c r="A178" s="13" t="inlineStr">
        <is>
          <t>S02</t>
        </is>
      </c>
      <c r="B178" s="16" t="inlineStr">
        <is>
          <t>Pave — job levels and Radford / Mercer crosswalk</t>
        </is>
      </c>
      <c r="C178" s="212" t="n"/>
      <c r="D178" s="211" t="n"/>
      <c r="E178" s="16" t="inlineStr">
        <is>
          <t>Compensation platform</t>
        </is>
      </c>
      <c r="F178" s="211" t="n"/>
      <c r="G178" s="16" t="inlineStr">
        <is>
          <t>Level names · P1 Entry, P2 Developing, P3 Career, P4 Senior, P5 Expert, P6 Principal; M3 Manager … M6 Senior Director and the Radford ↔ Mercer mapping</t>
        </is>
      </c>
      <c r="H178" s="212" t="n"/>
      <c r="I178" s="212" t="n"/>
      <c r="J178" s="211" t="n"/>
      <c r="K178" s="16" t="inlineStr">
        <is>
          <t>https://support.pave.com/articles/understand-job-levels-SiKTjMHZtr.md</t>
        </is>
      </c>
      <c r="L178" s="212" t="n"/>
      <c r="M178" s="212" t="n"/>
      <c r="N178" s="211" t="n"/>
      <c r="O178" s="16" t="inlineStr">
        <is>
          <t>Primary</t>
        </is>
      </c>
    </row>
    <row r="179" ht="67" customHeight="1">
      <c r="A179" s="13" t="inlineStr">
        <is>
          <t>S03</t>
        </is>
      </c>
      <c r="B179" s="16" t="inlineStr">
        <is>
          <t>Mercer career levels · Executive, Management, Professional, Para-professional</t>
        </is>
      </c>
      <c r="C179" s="212" t="n"/>
      <c r="D179" s="211" t="n"/>
      <c r="E179" s="16" t="inlineStr">
        <is>
          <t>Survey levelling system</t>
        </is>
      </c>
      <c r="F179" s="211" t="n"/>
      <c r="G179" s="16" t="inlineStr">
        <is>
          <t>Management · M3+ = more time managing others' work than doing own work; M2 can be a team lead who also does the work; Mercer team-leader roles lead 2+ professionals → IRIS track rules · the 3-report manager threshold is IRIS's own rule</t>
        </is>
      </c>
      <c r="H179" s="212" t="n"/>
      <c r="I179" s="212" t="n"/>
      <c r="J179" s="211" t="n"/>
      <c r="K179" s="16" t="inlineStr">
        <is>
          <t>https://help.figures.hr/en/articles/389223-mercer-levels ; https://info.mercer.com/rs/521-DEV-513/images/MLS-Job-Catalogue.pdf</t>
        </is>
      </c>
      <c r="L179" s="212" t="n"/>
      <c r="M179" s="212" t="n"/>
      <c r="N179" s="211" t="n"/>
      <c r="O179" s="16" t="inlineStr">
        <is>
          <t>Secondary</t>
        </is>
      </c>
    </row>
    <row r="180" ht="41" customHeight="1">
      <c r="A180" s="13" t="inlineStr">
        <is>
          <t>S04</t>
        </is>
      </c>
      <c r="B180" s="16" t="inlineStr">
        <is>
          <t>Mercer IPE · International Position Evaluation</t>
        </is>
      </c>
      <c r="C180" s="212" t="n"/>
      <c r="D180" s="211" t="n"/>
      <c r="E180" s="16" t="inlineStr">
        <is>
          <t>Job-evaluation method</t>
        </is>
      </c>
      <c r="F180" s="211" t="n"/>
      <c r="G180" s="16" t="inlineStr">
        <is>
          <t>Factors Impact, Communication, Innovation, Knowledge · plus Effort &amp; Working Conditions, not used by IRIS → mapped to the IRIS six factors</t>
        </is>
      </c>
      <c r="H180" s="212" t="n"/>
      <c r="I180" s="212" t="n"/>
      <c r="J180" s="211" t="n"/>
      <c r="K180" s="16" t="inlineStr">
        <is>
          <t>https://www.mercer.com/en-in/solutions/talent-and-rewards/job-architecture/job-evaluation-ipe/</t>
        </is>
      </c>
      <c r="L180" s="212" t="n"/>
      <c r="M180" s="212" t="n"/>
      <c r="N180" s="211" t="n"/>
      <c r="O180" s="16" t="inlineStr">
        <is>
          <t>Primary</t>
        </is>
      </c>
    </row>
    <row r="181" ht="67" customHeight="1">
      <c r="A181" s="13" t="inlineStr">
        <is>
          <t>S05</t>
        </is>
      </c>
      <c r="B181" s="16" t="inlineStr">
        <is>
          <t>Korn Ferry Hay Guide Chart-Profile method</t>
        </is>
      </c>
      <c r="C181" s="212" t="n"/>
      <c r="D181" s="211" t="n"/>
      <c r="E181" s="16" t="inlineStr">
        <is>
          <t>Job-evaluation method</t>
        </is>
      </c>
      <c r="F181" s="211" t="n"/>
      <c r="G181" s="16" t="inlineStr">
        <is>
          <t>Factors Know-How, Problem Solving, Accountability · plus Working Conditions where it applies; used by 5,000+ private and public organisations</t>
        </is>
      </c>
      <c r="H181" s="212" t="n"/>
      <c r="I181" s="212" t="n"/>
      <c r="J181" s="211" t="n"/>
      <c r="K181" s="16" t="inlineStr">
        <is>
          <t>https://www.gov.nl.ca/exec/tbs/department/branches/classification/what-is-the-korn-ferry-hay-group-guide-chart-profile-method-of-job-evaluation/ ; https://www.uwo.ca/humanresources/wjec/docs/hay_method_overview.pdf</t>
        </is>
      </c>
      <c r="L181" s="212" t="n"/>
      <c r="M181" s="212" t="n"/>
      <c r="N181" s="211" t="n"/>
      <c r="O181" s="16" t="inlineStr">
        <is>
          <t>Primary</t>
        </is>
      </c>
    </row>
    <row r="182" ht="67" customHeight="1">
      <c r="A182" s="13" t="inlineStr">
        <is>
          <t>S06</t>
        </is>
      </c>
      <c r="B182" s="16" t="inlineStr">
        <is>
          <t>Hay short profile · A / L / P</t>
        </is>
      </c>
      <c r="C182" s="212" t="n"/>
      <c r="D182" s="211" t="n"/>
      <c r="E182" s="16" t="inlineStr">
        <is>
          <t>Job-evaluation method</t>
        </is>
      </c>
      <c r="F182" s="211" t="n"/>
      <c r="G182" s="16" t="inlineStr">
        <is>
          <t>A-profile = accountability exceeds problem solving · line, results-led; L = problem solving equals accountability · level profile; P = problem solving exceeds accountability · research, thinking-led → IRIS work-type tilts</t>
        </is>
      </c>
      <c r="H182" s="212" t="n"/>
      <c r="I182" s="212" t="n"/>
      <c r="J182" s="211" t="n"/>
      <c r="K182" s="16" t="inlineStr">
        <is>
          <t>https://peoplecentre.wordpress.com/2016/10/02/hay-job-evaluation-methodology-the-short-profile/</t>
        </is>
      </c>
      <c r="L182" s="212" t="n"/>
      <c r="M182" s="212" t="n"/>
      <c r="N182" s="211" t="n"/>
      <c r="O182" s="16" t="inlineStr">
        <is>
          <t>Secondary</t>
        </is>
      </c>
    </row>
    <row r="183" ht="41" customHeight="1">
      <c r="A183" s="13" t="inlineStr">
        <is>
          <t>S07</t>
        </is>
      </c>
      <c r="B183" s="16" t="inlineStr">
        <is>
          <t>WTW Global Grading System</t>
        </is>
      </c>
      <c r="C183" s="212" t="n"/>
      <c r="D183" s="211" t="n"/>
      <c r="E183" s="16" t="inlineStr">
        <is>
          <t>Job-levelling method</t>
        </is>
      </c>
      <c r="F183" s="211" t="n"/>
      <c r="G183" s="16" t="inlineStr">
        <is>
          <t>Two-step banding then grading; separate management and IC paths; 16–25 grades by organisation size → IRIS band-then-level design</t>
        </is>
      </c>
      <c r="H183" s="212" t="n"/>
      <c r="I183" s="212" t="n"/>
      <c r="J183" s="211" t="n"/>
      <c r="K183" s="16" t="inlineStr">
        <is>
          <t>https://assets.publishing.service.gov.uk/media/66a370440808eaf43b50d7b2/WTW_OME-STRB_Job_Levelling_FOR_PUBLICATION.pdf</t>
        </is>
      </c>
      <c r="L183" s="212" t="n"/>
      <c r="M183" s="212" t="n"/>
      <c r="N183" s="211" t="n"/>
      <c r="O183" s="16" t="inlineStr">
        <is>
          <t>Primary</t>
        </is>
      </c>
    </row>
    <row r="184" ht="54" customHeight="1">
      <c r="A184" s="13" t="inlineStr">
        <is>
          <t>S08</t>
        </is>
      </c>
      <c r="B184" s="16" t="inlineStr">
        <is>
          <t>SFIA 9 — levels of responsibility</t>
        </is>
      </c>
      <c r="C184" s="212" t="n"/>
      <c r="D184" s="211" t="n"/>
      <c r="E184" s="16" t="inlineStr">
        <is>
          <t>Skills framework</t>
        </is>
      </c>
      <c r="F184" s="211" t="n"/>
      <c r="G184" s="16" t="inlineStr">
        <is>
          <t>7 levels · Follow, Assist, Apply, Enable, Ensure/advise, Initiate/influence, Set strategy defined by autonomy, influence, complexity → factor anchors and the 1–5 proficiency scale</t>
        </is>
      </c>
      <c r="H184" s="212" t="n"/>
      <c r="I184" s="212" t="n"/>
      <c r="J184" s="211" t="n"/>
      <c r="K184" s="16" t="inlineStr">
        <is>
          <t>https://sfia-online.org/en/about-sfia/how-sfia-works</t>
        </is>
      </c>
      <c r="L184" s="212" t="n"/>
      <c r="M184" s="212" t="n"/>
      <c r="N184" s="211" t="n"/>
      <c r="O184" s="16" t="inlineStr">
        <is>
          <t>Primary</t>
        </is>
      </c>
    </row>
    <row r="185" ht="54" customHeight="1">
      <c r="A185" s="13" t="inlineStr">
        <is>
          <t>S09</t>
        </is>
      </c>
      <c r="B185" s="16" t="inlineStr">
        <is>
          <t>McKinsey — spans of control archetypes</t>
        </is>
      </c>
      <c r="C185" s="212" t="n"/>
      <c r="D185" s="211" t="n"/>
      <c r="E185" s="16" t="inlineStr">
        <is>
          <t>Organisation-design research</t>
        </is>
      </c>
      <c r="F185" s="211" t="n"/>
      <c r="G185" s="16" t="inlineStr">
        <is>
          <t>Player/coach 3–5, coach 6–7, supervisor 8–10, facilitator 11–15, coordinator 15+ → IRIS span norms</t>
        </is>
      </c>
      <c r="H185" s="212" t="n"/>
      <c r="I185" s="212" t="n"/>
      <c r="J185" s="211" t="n"/>
      <c r="K185" s="16" t="inlineStr">
        <is>
          <t>https://www.mckinsey.com/capabilities/people-and-organizational-performance/our-insights/how-to-identify-the-right-spans-of-control-for-your-organization</t>
        </is>
      </c>
      <c r="L185" s="212" t="n"/>
      <c r="M185" s="212" t="n"/>
      <c r="N185" s="211" t="n"/>
      <c r="O185" s="16" t="inlineStr">
        <is>
          <t>Primary</t>
        </is>
      </c>
    </row>
    <row r="186" ht="28" customHeight="1">
      <c r="A186" s="13" t="inlineStr">
        <is>
          <t>S10</t>
        </is>
      </c>
      <c r="B186" s="16" t="inlineStr">
        <is>
          <t>Levelling guides · Ravio, CareerBird, Careerminds</t>
        </is>
      </c>
      <c r="C186" s="212" t="n"/>
      <c r="D186" s="211" t="n"/>
      <c r="E186" s="16" t="inlineStr">
        <is>
          <t>Published guidance</t>
        </is>
      </c>
      <c r="F186" s="211" t="n"/>
      <c r="G186" s="16" t="inlineStr">
        <is>
          <t>≈ 12 levels suit 500–1,500 people → IRIS uses 12 employee levels</t>
        </is>
      </c>
      <c r="H186" s="212" t="n"/>
      <c r="I186" s="212" t="n"/>
      <c r="J186" s="211" t="n"/>
      <c r="K186" s="16" t="inlineStr">
        <is>
          <t>Public web guides</t>
        </is>
      </c>
      <c r="L186" s="212" t="n"/>
      <c r="M186" s="212" t="n"/>
      <c r="N186" s="211" t="n"/>
      <c r="O186" s="16" t="inlineStr">
        <is>
          <t>Secondary</t>
        </is>
      </c>
    </row>
    <row r="187" ht="54" customHeight="1">
      <c r="A187" s="13" t="inlineStr">
        <is>
          <t>S11</t>
        </is>
      </c>
      <c r="B187" s="16" t="inlineStr">
        <is>
          <t>WorldatWork — salary structure policies and practices</t>
        </is>
      </c>
      <c r="C187" s="212" t="n"/>
      <c r="D187" s="211" t="n"/>
      <c r="E187" s="16" t="inlineStr">
        <is>
          <t>Pay-structure research</t>
        </is>
      </c>
      <c r="F187" s="211" t="n"/>
      <c r="G187" s="16" t="inlineStr">
        <is>
          <t>Graded salary structures, range spread and midpoint concepts. It does not give range spreads by level: the spreads and midpoint steps in M14 are IRIS working assumptions until a pay survey is bought</t>
        </is>
      </c>
      <c r="H187" s="212" t="n"/>
      <c r="I187" s="212" t="n"/>
      <c r="J187" s="211" t="n"/>
      <c r="K187" s="16" t="inlineStr">
        <is>
          <t>https://worldatwork.org/media/CDN/dist/CDN2/documents/pdf/resources/research/Salary-Structure-Policies-Practices-2012.pdf</t>
        </is>
      </c>
      <c r="L187" s="212" t="n"/>
      <c r="M187" s="212" t="n"/>
      <c r="N187" s="211" t="n"/>
      <c r="O187" s="16" t="inlineStr">
        <is>
          <t>Secondary</t>
        </is>
      </c>
    </row>
    <row r="188" ht="54" customHeight="1">
      <c r="A188" s="13" t="inlineStr">
        <is>
          <t>S12</t>
        </is>
      </c>
      <c r="B188" s="16" t="inlineStr">
        <is>
          <t>World Economic Forum — Future of Jobs Report 2025</t>
        </is>
      </c>
      <c r="C188" s="212" t="n"/>
      <c r="D188" s="211" t="n"/>
      <c r="E188" s="16" t="inlineStr">
        <is>
          <t>Skills outlook</t>
        </is>
      </c>
      <c r="F188" s="211" t="n"/>
      <c r="G188" s="16" t="inlineStr">
        <is>
          <r>
            <rPr>
              <rFont val="Calibri"/>
              <b val="1"/>
              <sz val="10"/>
            </rPr>
            <t>Fastest-growing skills:</t>
          </r>
          <r>
            <rPr>
              <rFont val="Calibri"/>
              <sz val="10"/>
            </rPr>
            <t xml:space="preserve"> AI &amp; big data, networks &amp; cybersecurity, technological literacy; creative thinking and resilience rising in importance alongside them → Future-ready cluster</t>
          </r>
        </is>
      </c>
      <c r="H188" s="212" t="n"/>
      <c r="I188" s="212" t="n"/>
      <c r="J188" s="211" t="n"/>
      <c r="K188" s="16" t="inlineStr">
        <is>
          <t>https://www.weforum.org/publications/the-future-of-jobs-report-2025/digest/</t>
        </is>
      </c>
      <c r="L188" s="212" t="n"/>
      <c r="M188" s="212" t="n"/>
      <c r="N188" s="211" t="n"/>
      <c r="O188" s="16" t="inlineStr">
        <is>
          <t>Primary</t>
        </is>
      </c>
    </row>
    <row r="189" ht="28" customHeight="1">
      <c r="A189" s="13" t="inlineStr">
        <is>
          <t>S13</t>
        </is>
      </c>
      <c r="B189" s="16" t="inlineStr">
        <is>
          <t>PMI Talent Triangle</t>
        </is>
      </c>
      <c r="C189" s="212" t="n"/>
      <c r="D189" s="211" t="n"/>
      <c r="E189" s="16" t="inlineStr">
        <is>
          <t>Competency model</t>
        </is>
      </c>
      <c r="F189" s="211" t="n"/>
      <c r="G189" s="16" t="inlineStr">
        <is>
          <t>Ways of Working, Power Skills, Business Acumen → leadership and project competencies</t>
        </is>
      </c>
      <c r="H189" s="212" t="n"/>
      <c r="I189" s="212" t="n"/>
      <c r="J189" s="211" t="n"/>
      <c r="K189" s="16" t="inlineStr">
        <is>
          <t>https://www.pmi.org/certifications/certification-resources/maintain/talent-triangle</t>
        </is>
      </c>
      <c r="L189" s="212" t="n"/>
      <c r="M189" s="212" t="n"/>
      <c r="N189" s="211" t="n"/>
      <c r="O189" s="16" t="inlineStr">
        <is>
          <t>Primary</t>
        </is>
      </c>
    </row>
    <row r="190" ht="67" customHeight="1">
      <c r="A190" s="13" t="inlineStr">
        <is>
          <t>S14</t>
        </is>
      </c>
      <c r="B190" s="16" t="inlineStr">
        <is>
          <t>SHL Universal Competency Framework — the Great Eight</t>
        </is>
      </c>
      <c r="C190" s="212" t="n"/>
      <c r="D190" s="211" t="n"/>
      <c r="E190" s="16" t="inlineStr">
        <is>
          <t>Competency model</t>
        </is>
      </c>
      <c r="F190" s="211" t="n"/>
      <c r="G190" s="16" t="inlineStr">
        <is>
          <t>Leading &amp; Deciding; Supporting &amp; Co-operating; Interacting &amp; Presenting; Analysing &amp; Interpreting; Creating &amp; Conceptualising; Organising &amp; Executing; Adapting &amp; Coping; Enterprising &amp; Performing → coverage check of the IRIS clusters</t>
        </is>
      </c>
      <c r="H190" s="212" t="n"/>
      <c r="I190" s="212" t="n"/>
      <c r="J190" s="211" t="n"/>
      <c r="K190" s="16" t="inlineStr">
        <is>
          <t>https://www.shl.com/assets/campaigns/global/competency-fit/universal-competency-framework-whitepaper-en.pdf</t>
        </is>
      </c>
      <c r="L190" s="212" t="n"/>
      <c r="M190" s="212" t="n"/>
      <c r="N190" s="211" t="n"/>
      <c r="O190" s="16" t="inlineStr">
        <is>
          <t>Primary</t>
        </is>
      </c>
    </row>
    <row r="191" ht="41" customHeight="1">
      <c r="A191" s="13" t="inlineStr">
        <is>
          <t>S15</t>
        </is>
      </c>
      <c r="B191" s="16" t="inlineStr">
        <is>
          <t>Korn Ferry Leadership Architect · 38 competencies in four factors: Thought, Results, People, Self</t>
        </is>
      </c>
      <c r="C191" s="212" t="n"/>
      <c r="D191" s="211" t="n"/>
      <c r="E191" s="16" t="inlineStr">
        <is>
          <t>Competency model</t>
        </is>
      </c>
      <c r="F191" s="211" t="n"/>
      <c r="G191" s="16" t="inlineStr">
        <is>
          <t>Behavioural anchors and coverage check for Core and Leadership clusters</t>
        </is>
      </c>
      <c r="H191" s="212" t="n"/>
      <c r="I191" s="212" t="n"/>
      <c r="J191" s="211" t="n"/>
      <c r="K191" s="16" t="inlineStr">
        <is>
          <t>https://cardinalatwork.stanford.edu/careers/performance-management/competencies</t>
        </is>
      </c>
      <c r="L191" s="212" t="n"/>
      <c r="M191" s="212" t="n"/>
      <c r="N191" s="211" t="n"/>
      <c r="O191" s="16" t="inlineStr">
        <is>
          <t>Secondary</t>
        </is>
      </c>
    </row>
    <row r="192" ht="41" customHeight="1">
      <c r="A192" s="13" t="inlineStr">
        <is>
          <t>S16</t>
        </is>
      </c>
      <c r="B192" s="16" t="inlineStr">
        <is>
          <t>Google Project Oxygen — 10 behaviours of great managers</t>
        </is>
      </c>
      <c r="C192" s="212" t="n"/>
      <c r="D192" s="211" t="n"/>
      <c r="E192" s="16" t="inlineStr">
        <is>
          <t>Manager research</t>
        </is>
      </c>
      <c r="F192" s="211" t="n"/>
      <c r="G192" s="16" t="inlineStr">
        <is>
          <t>Coach, empower, inclusive team, results, communicate, career development, vision, technical skill, collaborate, decide → Leadership cluster indicators</t>
        </is>
      </c>
      <c r="H192" s="212" t="n"/>
      <c r="I192" s="212" t="n"/>
      <c r="J192" s="211" t="n"/>
      <c r="K192" s="16" t="inlineStr">
        <is>
          <t>https://rework.withgoogle.com/intl/en/guides/following-the-data-the-research-behind-great-managers</t>
        </is>
      </c>
      <c r="L192" s="212" t="n"/>
      <c r="M192" s="212" t="n"/>
      <c r="N192" s="211" t="n"/>
      <c r="O192" s="16" t="inlineStr">
        <is>
          <t>Secondary</t>
        </is>
      </c>
    </row>
    <row r="193" ht="28" customHeight="1">
      <c r="A193" s="13" t="inlineStr">
        <is>
          <t>S17</t>
        </is>
      </c>
      <c r="B193" s="16" t="inlineStr">
        <is>
          <t>Digital Education Council — AI literacy framework</t>
        </is>
      </c>
      <c r="C193" s="212" t="n"/>
      <c r="D193" s="211" t="n"/>
      <c r="E193" s="16" t="inlineStr">
        <is>
          <t>AI literacy model</t>
        </is>
      </c>
      <c r="F193" s="211" t="n"/>
      <c r="G193" s="16" t="inlineStr">
        <is>
          <t>Understanding, critical evaluation and responsible use of AI → AI Literacy indicators</t>
        </is>
      </c>
      <c r="H193" s="212" t="n"/>
      <c r="I193" s="212" t="n"/>
      <c r="J193" s="211" t="n"/>
      <c r="K193" s="16" t="inlineStr">
        <is>
          <t>Digital Education Council · public</t>
        </is>
      </c>
      <c r="L193" s="212" t="n"/>
      <c r="M193" s="212" t="n"/>
      <c r="N193" s="211" t="n"/>
      <c r="O193" s="16" t="inlineStr">
        <is>
          <t>Secondary</t>
        </is>
      </c>
    </row>
    <row r="194" ht="28" customHeight="1">
      <c r="A194" s="13" t="inlineStr">
        <is>
          <t>S18</t>
        </is>
      </c>
      <c r="B194" s="16" t="inlineStr">
        <is>
          <t>SHRM BASK</t>
        </is>
      </c>
      <c r="C194" s="212" t="n"/>
      <c r="D194" s="211" t="n"/>
      <c r="E194" s="16" t="inlineStr">
        <is>
          <t>HR competency model</t>
        </is>
      </c>
      <c r="F194" s="211" t="n"/>
      <c r="G194" s="16" t="inlineStr">
        <is>
          <t>HR department technical competencies</t>
        </is>
      </c>
      <c r="H194" s="212" t="n"/>
      <c r="I194" s="212" t="n"/>
      <c r="J194" s="211" t="n"/>
      <c r="K194" s="16" t="inlineStr">
        <is>
          <t>https://www.shrm.org/credentials/certification/shrm-bask</t>
        </is>
      </c>
      <c r="L194" s="212" t="n"/>
      <c r="M194" s="212" t="n"/>
      <c r="N194" s="211" t="n"/>
      <c r="O194" s="16" t="inlineStr">
        <is>
          <t>Primary</t>
        </is>
      </c>
    </row>
    <row r="195" ht="28" customHeight="1">
      <c r="A195" s="13" t="inlineStr">
        <is>
          <t>S19</t>
        </is>
      </c>
      <c r="B195" s="16" t="inlineStr">
        <is>
          <t>CIPD Profession Map</t>
        </is>
      </c>
      <c r="C195" s="212" t="n"/>
      <c r="D195" s="211" t="n"/>
      <c r="E195" s="16" t="inlineStr">
        <is>
          <t>HR profession standard</t>
        </is>
      </c>
      <c r="F195" s="211" t="n"/>
      <c r="G195" s="16" t="inlineStr">
        <is>
          <t>HR specialist areas</t>
        </is>
      </c>
      <c r="H195" s="212" t="n"/>
      <c r="I195" s="212" t="n"/>
      <c r="J195" s="211" t="n"/>
      <c r="K195" s="16" t="inlineStr">
        <is>
          <t>https://www.cipd.org/en/the-people-profession/the-profession-map/</t>
        </is>
      </c>
      <c r="L195" s="212" t="n"/>
      <c r="M195" s="212" t="n"/>
      <c r="N195" s="211" t="n"/>
      <c r="O195" s="16" t="inlineStr">
        <is>
          <t>Primary</t>
        </is>
      </c>
    </row>
    <row r="196" ht="28" customHeight="1">
      <c r="A196" s="13" t="inlineStr">
        <is>
          <t>S20</t>
        </is>
      </c>
      <c r="B196" s="16" t="inlineStr">
        <is>
          <t>IMA Competency Framework · management accounting</t>
        </is>
      </c>
      <c r="C196" s="212" t="n"/>
      <c r="D196" s="211" t="n"/>
      <c r="E196" s="16" t="inlineStr">
        <is>
          <t>Finance competency model</t>
        </is>
      </c>
      <c r="F196" s="211" t="n"/>
      <c r="G196" s="16" t="inlineStr">
        <is>
          <t>Finance department technical competencies</t>
        </is>
      </c>
      <c r="H196" s="212" t="n"/>
      <c r="I196" s="212" t="n"/>
      <c r="J196" s="211" t="n"/>
      <c r="K196" s="16" t="inlineStr">
        <is>
          <t>https://www.imanet.org/framework</t>
        </is>
      </c>
      <c r="L196" s="212" t="n"/>
      <c r="M196" s="212" t="n"/>
      <c r="N196" s="211" t="n"/>
      <c r="O196" s="16" t="inlineStr">
        <is>
          <t>Primary</t>
        </is>
      </c>
    </row>
    <row r="197" ht="28" customHeight="1">
      <c r="A197" s="13" t="inlineStr">
        <is>
          <t>S21</t>
        </is>
      </c>
      <c r="B197" s="16" t="inlineStr">
        <is>
          <t>IIBA BABOK Guide v3</t>
        </is>
      </c>
      <c r="C197" s="212" t="n"/>
      <c r="D197" s="211" t="n"/>
      <c r="E197" s="16" t="inlineStr">
        <is>
          <t>Business-analysis standard</t>
        </is>
      </c>
      <c r="F197" s="211" t="n"/>
      <c r="G197" s="16" t="inlineStr">
        <is>
          <t>Business Analysis competencies</t>
        </is>
      </c>
      <c r="H197" s="212" t="n"/>
      <c r="I197" s="212" t="n"/>
      <c r="J197" s="211" t="n"/>
      <c r="K197" s="16" t="inlineStr">
        <is>
          <t>https://www.iiba.org</t>
        </is>
      </c>
      <c r="L197" s="212" t="n"/>
      <c r="M197" s="212" t="n"/>
      <c r="N197" s="211" t="n"/>
      <c r="O197" s="16" t="inlineStr">
        <is>
          <t>Primary</t>
        </is>
      </c>
    </row>
    <row r="198" ht="15" customHeight="1">
      <c r="A198" s="13" t="inlineStr">
        <is>
          <t>S22</t>
        </is>
      </c>
      <c r="B198" s="16" t="inlineStr">
        <is>
          <t>ISTQB</t>
        </is>
      </c>
      <c r="C198" s="212" t="n"/>
      <c r="D198" s="211" t="n"/>
      <c r="E198" s="16" t="inlineStr">
        <is>
          <t>Testing standard</t>
        </is>
      </c>
      <c r="F198" s="211" t="n"/>
      <c r="G198" s="16" t="inlineStr">
        <is>
          <t>Quality Assurance competencies and credentials</t>
        </is>
      </c>
      <c r="H198" s="212" t="n"/>
      <c r="I198" s="212" t="n"/>
      <c r="J198" s="211" t="n"/>
      <c r="K198" s="16" t="inlineStr">
        <is>
          <t>https://www.istqb.org</t>
        </is>
      </c>
      <c r="L198" s="212" t="n"/>
      <c r="M198" s="212" t="n"/>
      <c r="N198" s="211" t="n"/>
      <c r="O198" s="16" t="inlineStr">
        <is>
          <t>Primary</t>
        </is>
      </c>
    </row>
    <row r="199" ht="28" customHeight="1">
      <c r="A199" s="13" t="inlineStr">
        <is>
          <t>S23</t>
        </is>
      </c>
      <c r="B199" s="16" t="inlineStr">
        <is>
          <t>ITIL 4 and ISO/IEC 27001:2022</t>
        </is>
      </c>
      <c r="C199" s="212" t="n"/>
      <c r="D199" s="211" t="n"/>
      <c r="E199" s="16" t="inlineStr">
        <is>
          <t>IT service / security standards</t>
        </is>
      </c>
      <c r="F199" s="211" t="n"/>
      <c r="G199" s="16" t="inlineStr">
        <is>
          <t>IT &amp; Infrastructure competencies</t>
        </is>
      </c>
      <c r="H199" s="212" t="n"/>
      <c r="I199" s="212" t="n"/>
      <c r="J199" s="211" t="n"/>
      <c r="K199" s="16" t="inlineStr">
        <is>
          <t>https://www.iso.org/standard/27001</t>
        </is>
      </c>
      <c r="L199" s="212" t="n"/>
      <c r="M199" s="212" t="n"/>
      <c r="N199" s="211" t="n"/>
      <c r="O199" s="16" t="inlineStr">
        <is>
          <t>Primary</t>
        </is>
      </c>
    </row>
    <row r="200" ht="28" customHeight="1">
      <c r="A200" s="13" t="inlineStr">
        <is>
          <t>S24</t>
        </is>
      </c>
      <c r="B200" s="16" t="inlineStr">
        <is>
          <t>ICSI · Institute of Company Secretaries of India</t>
        </is>
      </c>
      <c r="C200" s="212" t="n"/>
      <c r="D200" s="211" t="n"/>
      <c r="E200" s="16" t="inlineStr">
        <is>
          <t>Statutory body</t>
        </is>
      </c>
      <c r="F200" s="211" t="n"/>
      <c r="G200" s="16" t="inlineStr">
        <is>
          <t>Secretarial &amp; Legal competencies; statutory gate for Company Secretary</t>
        </is>
      </c>
      <c r="H200" s="212" t="n"/>
      <c r="I200" s="212" t="n"/>
      <c r="J200" s="211" t="n"/>
      <c r="K200" s="16" t="inlineStr">
        <is>
          <t>https://www.icsi.edu</t>
        </is>
      </c>
      <c r="L200" s="212" t="n"/>
      <c r="M200" s="212" t="n"/>
      <c r="N200" s="211" t="n"/>
      <c r="O200" s="16" t="inlineStr">
        <is>
          <t>Primary</t>
        </is>
      </c>
    </row>
    <row r="201" ht="28" customHeight="1">
      <c r="A201" s="13" t="inlineStr">
        <is>
          <t>S25</t>
        </is>
      </c>
      <c r="B201" s="16" t="inlineStr">
        <is>
          <t>AICPA &amp; XBRL US — XBRL US GAAP Certificate</t>
        </is>
      </c>
      <c r="C201" s="212" t="n"/>
      <c r="D201" s="211" t="n"/>
      <c r="E201" s="16" t="inlineStr">
        <is>
          <t>Professional credential</t>
        </is>
      </c>
      <c r="F201" s="211" t="n"/>
      <c r="G201" s="16" t="inlineStr">
        <is>
          <t>XBRL &amp; taxonomy competency and credential</t>
        </is>
      </c>
      <c r="H201" s="212" t="n"/>
      <c r="I201" s="212" t="n"/>
      <c r="J201" s="211" t="n"/>
      <c r="K201" s="16" t="inlineStr">
        <is>
          <t>https://xbrl.us</t>
        </is>
      </c>
      <c r="L201" s="212" t="n"/>
      <c r="M201" s="212" t="n"/>
      <c r="N201" s="211" t="n"/>
      <c r="O201" s="16" t="inlineStr">
        <is>
          <t>Primary</t>
        </is>
      </c>
    </row>
    <row r="202" ht="28" customHeight="1">
      <c r="A202" s="13" t="inlineStr">
        <is>
          <t>S26</t>
        </is>
      </c>
      <c r="B202" s="16" t="inlineStr">
        <is>
          <t>ILO ISCO-08 · India's NCO-2015 follows the same structure</t>
        </is>
      </c>
      <c r="C202" s="212" t="n"/>
      <c r="D202" s="211" t="n"/>
      <c r="E202" s="16" t="inlineStr">
        <is>
          <t>Occupation classification</t>
        </is>
      </c>
      <c r="F202" s="211" t="n"/>
      <c r="G202" s="16" t="inlineStr">
        <is>
          <t>Each job family is anchored to an ISCO-08 unit group so families are standard, not invented</t>
        </is>
      </c>
      <c r="H202" s="212" t="n"/>
      <c r="I202" s="212" t="n"/>
      <c r="J202" s="211" t="n"/>
      <c r="K202" s="16" t="inlineStr">
        <is>
          <t>https://worldoftaxonomy.com/system/isco_08/node/251</t>
        </is>
      </c>
      <c r="L202" s="212" t="n"/>
      <c r="M202" s="212" t="n"/>
      <c r="N202" s="211" t="n"/>
      <c r="O202" s="16" t="inlineStr">
        <is>
          <t>Primary</t>
        </is>
      </c>
    </row>
    <row r="203" ht="67" customHeight="1">
      <c r="A203" s="13" t="inlineStr">
        <is>
          <t>S27</t>
        </is>
      </c>
      <c r="B203" s="16" t="inlineStr">
        <is>
          <t>Deloitte — The skills-based organization: a new operating model for work and the workforce</t>
        </is>
      </c>
      <c r="C203" s="212" t="n"/>
      <c r="D203" s="211" t="n"/>
      <c r="E203" s="16" t="inlineStr">
        <is>
          <t>Workforce research</t>
        </is>
      </c>
      <c r="F203" s="211" t="n"/>
      <c r="G203" s="16" t="inlineStr">
        <is>
          <t>71% of workers already perform some work outside the scope of their job descriptions · The skills-based organization, Deloitte Insights, 7 Sep 2022 → sub-families describe actual work; skills tracked per person</t>
        </is>
      </c>
      <c r="H203" s="212" t="n"/>
      <c r="I203" s="212" t="n"/>
      <c r="J203" s="211" t="n"/>
      <c r="K203" s="16" t="inlineStr">
        <is>
          <t>https://www.deloitte.com/us/en/insights/topics/talent/organizational-skill-based-hiring.html</t>
        </is>
      </c>
      <c r="L203" s="212" t="n"/>
      <c r="M203" s="212" t="n"/>
      <c r="N203" s="211" t="n"/>
      <c r="O203" s="16" t="inlineStr">
        <is>
          <t>Primary</t>
        </is>
      </c>
    </row>
    <row r="204" ht="54" customHeight="1">
      <c r="A204" s="13" t="inlineStr">
        <is>
          <t>S30</t>
        </is>
      </c>
      <c r="B204" s="16" t="inlineStr">
        <is>
          <t>Workiva — engineering levels · Levels.fyi</t>
        </is>
      </c>
      <c r="C204" s="212" t="n"/>
      <c r="D204" s="211" t="n"/>
      <c r="E204" s="16" t="inlineStr">
        <is>
          <t>Product peer · XBRL / regtech SaaS</t>
        </is>
      </c>
      <c r="F204" s="211" t="n"/>
      <c r="G204" s="16" t="inlineStr">
        <is>
          <t>Associate SE → SE → Senior SE → Staff SE → Senior Staff SE · Levels.fyi pages could not be loaded; level names confirmed from Levels.fyi page titles and Workiva postings</t>
        </is>
      </c>
      <c r="H204" s="212" t="n"/>
      <c r="I204" s="212" t="n"/>
      <c r="J204" s="211" t="n"/>
      <c r="K204" s="16" t="inlineStr">
        <is>
          <t>https://www.levels.fyi/companies/workiva/salaries/software-engineer</t>
        </is>
      </c>
      <c r="L204" s="212" t="n"/>
      <c r="M204" s="212" t="n"/>
      <c r="N204" s="211" t="n"/>
      <c r="O204" s="16" t="inlineStr">
        <is>
          <t>Secondary</t>
        </is>
      </c>
    </row>
    <row r="205" ht="28" customHeight="1">
      <c r="A205" s="13" t="inlineStr">
        <is>
          <t>S31</t>
        </is>
      </c>
      <c r="B205" s="16" t="inlineStr">
        <is>
          <t>DataTracks — careers site</t>
        </is>
      </c>
      <c r="C205" s="212" t="n"/>
      <c r="D205" s="211" t="n"/>
      <c r="E205" s="16" t="inlineStr">
        <is>
          <t>Services peer · XBRL / iXBRL filing, India</t>
        </is>
      </c>
      <c r="F205" s="211" t="n"/>
      <c r="G205" s="16" t="inlineStr">
        <is>
          <r>
            <rPr>
              <rFont val="Calibri"/>
              <b val="1"/>
              <sz val="10"/>
            </rPr>
            <t>Two published rungs:</t>
          </r>
          <r>
            <rPr>
              <rFont val="Calibri"/>
              <sz val="10"/>
            </rPr>
            <t xml:space="preserve"> Associate · freshers → Senior Associate · 2–5 yrs; nothing above is published</t>
          </r>
        </is>
      </c>
      <c r="H205" s="212" t="n"/>
      <c r="I205" s="212" t="n"/>
      <c r="J205" s="211" t="n"/>
      <c r="K205" s="16" t="inlineStr">
        <is>
          <t>https://www.datatracks.com/in/careers/</t>
        </is>
      </c>
      <c r="L205" s="212" t="n"/>
      <c r="M205" s="212" t="n"/>
      <c r="N205" s="211" t="n"/>
      <c r="O205" s="16" t="inlineStr">
        <is>
          <t>Job postings</t>
        </is>
      </c>
    </row>
    <row r="206" ht="54" customHeight="1">
      <c r="A206" s="13" t="inlineStr">
        <is>
          <t>S32</t>
        </is>
      </c>
      <c r="B206" s="16" t="inlineStr">
        <is>
          <t>Google / Microsoft / Amazon engineering levels</t>
        </is>
      </c>
      <c r="C206" s="212" t="n"/>
      <c r="D206" s="211" t="n"/>
      <c r="E206" s="16" t="inlineStr">
        <is>
          <t>Global product companies</t>
        </is>
      </c>
      <c r="F206" s="211" t="n"/>
      <c r="G206" s="16" t="inlineStr">
        <is>
          <r>
            <rPr>
              <rFont val="Calibri"/>
              <b val="1"/>
              <sz val="10"/>
            </rPr>
            <t>Core bands used:</t>
          </r>
          <r>
            <rPr>
              <rFont val="Calibri"/>
              <sz val="10"/>
            </rPr>
            <t xml:space="preserve"> Google L3–L8 · Microsoft 59–68 · Amazon L4–L8 · full ladders run Google L2–L11, Microsoft 57–80+, Amazon L4–L10; equivalences and typical experience</t>
          </r>
        </is>
      </c>
      <c r="H206" s="212" t="n"/>
      <c r="I206" s="212" t="n"/>
      <c r="J206" s="211" t="n"/>
      <c r="K206" s="16" t="inlineStr">
        <is>
          <t>https://testrigor.com/blog/engineering-levels-in-different-companies-compared/ ; https://rajendrauppal.substack.com/p/understanding-levels-at-google-microsoft</t>
        </is>
      </c>
      <c r="L206" s="212" t="n"/>
      <c r="M206" s="212" t="n"/>
      <c r="N206" s="211" t="n"/>
      <c r="O206" s="16" t="inlineStr">
        <is>
          <t>Secondary</t>
        </is>
      </c>
    </row>
    <row r="207" ht="54" customHeight="1">
      <c r="A207" s="13" t="inlineStr">
        <is>
          <t>S33</t>
        </is>
      </c>
      <c r="B207" s="16" t="inlineStr">
        <is>
          <t>Infosys job levels</t>
        </is>
      </c>
      <c r="C207" s="212" t="n"/>
      <c r="D207" s="211" t="n"/>
      <c r="E207" s="16" t="inlineStr">
        <is>
          <t>Indian IT services</t>
        </is>
      </c>
      <c r="F207" s="211" t="n"/>
      <c r="G207" s="16" t="inlineStr">
        <is>
          <t>JL3B Systems Engineer · 0–3 yrs → JL3A Senior SE → JL4 Technology Analyst → JL5 Technology Lead → JL6B Architect / PM → JL6A Senior Architect</t>
        </is>
      </c>
      <c r="H207" s="212" t="n"/>
      <c r="I207" s="212" t="n"/>
      <c r="J207" s="211" t="n"/>
      <c r="K207" s="16" t="inlineStr">
        <is>
          <t>https://www.designgurus.io/blog/infosys-job-levels</t>
        </is>
      </c>
      <c r="L207" s="212" t="n"/>
      <c r="M207" s="212" t="n"/>
      <c r="N207" s="211" t="n"/>
      <c r="O207" s="16" t="inlineStr">
        <is>
          <t>Indicative</t>
        </is>
      </c>
    </row>
    <row r="208" ht="54" customHeight="1">
      <c r="A208" s="13" t="inlineStr">
        <is>
          <t>S34</t>
        </is>
      </c>
      <c r="B208" s="16" t="inlineStr">
        <is>
          <t>TCS grades</t>
        </is>
      </c>
      <c r="C208" s="212" t="n"/>
      <c r="D208" s="211" t="n"/>
      <c r="E208" s="16" t="inlineStr">
        <is>
          <t>Indian IT services</t>
        </is>
      </c>
      <c r="F208" s="211" t="n"/>
      <c r="G208" s="16" t="inlineStr">
        <is>
          <t>C1Y ASE Trainee → C1 ASE / System Engineer → C2 IT Analyst → C3A Assistant Consultant → C3B Associate Consultant → C4 Consultant → C5 Senior Consultant → SP1 Principal Consultant</t>
        </is>
      </c>
      <c r="H208" s="212" t="n"/>
      <c r="I208" s="212" t="n"/>
      <c r="J208" s="211" t="n"/>
      <c r="K208" s="16" t="inlineStr">
        <is>
          <t>https://www.designgurus.io/blog/tcs-job-levels</t>
        </is>
      </c>
      <c r="L208" s="212" t="n"/>
      <c r="M208" s="212" t="n"/>
      <c r="N208" s="211" t="n"/>
      <c r="O208" s="16" t="inlineStr">
        <is>
          <t>Indicative</t>
        </is>
      </c>
    </row>
    <row r="209" ht="54" customHeight="1">
      <c r="A209" s="13" t="inlineStr">
        <is>
          <t>S35</t>
        </is>
      </c>
      <c r="B209" s="16" t="inlineStr">
        <is>
          <t>Accenture India career levels</t>
        </is>
      </c>
      <c r="C209" s="212" t="n"/>
      <c r="D209" s="211" t="n"/>
      <c r="E209" s="16" t="inlineStr">
        <is>
          <t>Global IT services</t>
        </is>
      </c>
      <c r="F209" s="211" t="n"/>
      <c r="G209" s="16" t="inlineStr">
        <is>
          <t>L12 Associate · 0–1 yrs → L11 Analyst → L10 Senior Analyst → L9 Team Lead / Consultant → L8 Associate Manager → L7 Manager → L6 Senior Manager → L5+ leadership</t>
        </is>
      </c>
      <c r="H209" s="212" t="n"/>
      <c r="I209" s="212" t="n"/>
      <c r="J209" s="211" t="n"/>
      <c r="K209" s="16" t="inlineStr">
        <is>
          <t>https://jobrise.io/hi/blog/accenture-salary-package-2026-india/</t>
        </is>
      </c>
      <c r="L209" s="212" t="n"/>
      <c r="M209" s="212" t="n"/>
      <c r="N209" s="211" t="n"/>
      <c r="O209" s="16" t="inlineStr">
        <is>
          <t>Indicative</t>
        </is>
      </c>
    </row>
    <row r="210" ht="41" customHeight="1">
      <c r="A210" s="13" t="inlineStr">
        <is>
          <t>S36</t>
        </is>
      </c>
      <c r="B210" s="16" t="inlineStr">
        <is>
          <t>Deloitte India / USI hierarchy</t>
        </is>
      </c>
      <c r="C210" s="212" t="n"/>
      <c r="D210" s="211" t="n"/>
      <c r="E210" s="16" t="inlineStr">
        <is>
          <t>Big Four consulting</t>
        </is>
      </c>
      <c r="F210" s="211" t="n"/>
      <c r="G210" s="16" t="inlineStr">
        <is>
          <t>Associate Analyst → Analyst → Consultant → Senior Consultant → Manager → Senior Manager → Managing Director → Partner / Principal</t>
        </is>
      </c>
      <c r="H210" s="212" t="n"/>
      <c r="I210" s="212" t="n"/>
      <c r="J210" s="211" t="n"/>
      <c r="K210" s="16" t="inlineStr">
        <is>
          <t>https://networkinterview.com/technical-hierarchy-deloitte-india/</t>
        </is>
      </c>
      <c r="L210" s="212" t="n"/>
      <c r="M210" s="212" t="n"/>
      <c r="N210" s="211" t="n"/>
      <c r="O210" s="16" t="inlineStr">
        <is>
          <t>Indicative</t>
        </is>
      </c>
    </row>
    <row r="211" ht="41" customHeight="1">
      <c r="A211" s="13" t="inlineStr">
        <is>
          <t>S37</t>
        </is>
      </c>
      <c r="B211" s="16" t="inlineStr">
        <is>
          <t>GitLab — job frameworks and layers</t>
        </is>
      </c>
      <c r="C211" s="212" t="n"/>
      <c r="D211" s="211" t="n"/>
      <c r="E211" s="16" t="inlineStr">
        <is>
          <t>Product company · public handbook</t>
        </is>
      </c>
      <c r="F211" s="211" t="n"/>
      <c r="G211" s="16" t="inlineStr">
        <is>
          <t>Two job frameworks · IC, people manager; ≤ 8 layers; Staff ↔ Manager, Principal ↔ Senior Manager, Distinguished ↔ Director, Fellow ↔ VP</t>
        </is>
      </c>
      <c r="H211" s="212" t="n"/>
      <c r="I211" s="212" t="n"/>
      <c r="J211" s="211" t="n"/>
      <c r="K211" s="16" t="inlineStr">
        <is>
          <t>https://handbook.gitlab.com/handbook/company/structure/</t>
        </is>
      </c>
      <c r="L211" s="212" t="n"/>
      <c r="M211" s="212" t="n"/>
      <c r="N211" s="211" t="n"/>
      <c r="O211" s="16" t="inlineStr">
        <is>
          <t>Primary</t>
        </is>
      </c>
    </row>
    <row r="212" ht="41" customHeight="1">
      <c r="A212" s="13" t="inlineStr">
        <is>
          <t>S38</t>
        </is>
      </c>
      <c r="B212" s="16" t="inlineStr">
        <is>
          <t>Infosys, McKinsey, Unilever / HUL, Google — hiring practices</t>
        </is>
      </c>
      <c r="C212" s="212" t="n"/>
      <c r="D212" s="211" t="n"/>
      <c r="E212" s="16" t="inlineStr">
        <is>
          <t>Practice benchmarks</t>
        </is>
      </c>
      <c r="F212" s="211" t="n"/>
      <c r="G212" s="16" t="inlineStr">
        <is>
          <t>Tiered campus entry; entry level by qualification; management-trainee programme; independent levelling panel</t>
        </is>
      </c>
      <c r="H212" s="212" t="n"/>
      <c r="I212" s="212" t="n"/>
      <c r="J212" s="211" t="n"/>
      <c r="K212" s="16" t="inlineStr">
        <is>
          <t>Public careers / recruiting pages</t>
        </is>
      </c>
      <c r="L212" s="212" t="n"/>
      <c r="M212" s="212" t="n"/>
      <c r="N212" s="211" t="n"/>
      <c r="O212" s="16" t="inlineStr">
        <is>
          <t>Secondary</t>
        </is>
      </c>
    </row>
    <row r="213" ht="41" customHeight="1">
      <c r="A213" s="13" t="inlineStr">
        <is>
          <t>S44</t>
        </is>
      </c>
      <c r="B213" s="16" t="inlineStr">
        <is>
          <t>Software Engineering at Google — ch. 5 'How to Lead a Team' · Tech Lead Manager</t>
        </is>
      </c>
      <c r="C213" s="212" t="n"/>
      <c r="D213" s="211" t="n"/>
      <c r="E213" s="16" t="inlineStr">
        <is>
          <t>Practice benchmark</t>
        </is>
      </c>
      <c r="F213" s="211" t="n"/>
      <c r="G213" s="16" t="inlineStr">
        <is>
          <t>The Tech Lead Manager · TLM — a hybrid who leads a team and still contributes technically → B+ Player-Coach</t>
        </is>
      </c>
      <c r="H213" s="212" t="n"/>
      <c r="I213" s="212" t="n"/>
      <c r="J213" s="211" t="n"/>
      <c r="K213" s="16" t="inlineStr">
        <is>
          <t>https://abseil.io/resources/swe-book/html/ch05.html ; https://newsletter.pragmaticengineer.com/p/leading-effective-engineering-teams</t>
        </is>
      </c>
      <c r="L213" s="212" t="n"/>
      <c r="M213" s="212" t="n"/>
      <c r="N213" s="211" t="n"/>
      <c r="O213" s="16" t="inlineStr">
        <is>
          <t>Primary</t>
        </is>
      </c>
    </row>
    <row r="214" ht="67" customHeight="1">
      <c r="A214" s="13" t="inlineStr">
        <is>
          <t>S45</t>
        </is>
      </c>
      <c r="B214" s="16" t="inlineStr">
        <is>
          <t>SaaS player-coach sales and revenue leaders · job postings</t>
        </is>
      </c>
      <c r="C214" s="212" t="n"/>
      <c r="D214" s="211" t="n"/>
      <c r="E214" s="16" t="inlineStr">
        <is>
          <t>Practice benchmark</t>
        </is>
      </c>
      <c r="F214" s="211" t="n"/>
      <c r="G214" s="16" t="inlineStr">
        <is>
          <t>Leaders who carry their own quota or book while building and coaching the team → C+ / B+ Player-Coach in commercial roles</t>
        </is>
      </c>
      <c r="H214" s="212" t="n"/>
      <c r="I214" s="212" t="n"/>
      <c r="J214" s="211" t="n"/>
      <c r="K214" s="16" t="inlineStr">
        <is>
          <t>https://www.itjobswatch.co.uk/jv/Space-Executive/Sales-Lead-Player-Coach-HR-Tech-Job-City-of-London-Greater-London-UK-4vommq ; https://salesgravy.com/the-player-coach-problem-how-to-prospect-and-lead-at-the-same-time-ask-jeb/</t>
        </is>
      </c>
      <c r="L214" s="212" t="n"/>
      <c r="M214" s="212" t="n"/>
      <c r="N214" s="211" t="n"/>
      <c r="O214" s="16" t="inlineStr">
        <is>
          <t>Job postings</t>
        </is>
      </c>
    </row>
    <row r="215" ht="54" customHeight="1">
      <c r="A215" s="13" t="inlineStr">
        <is>
          <t>S46</t>
        </is>
      </c>
      <c r="B215" s="16" t="inlineStr">
        <is>
          <t>Canada Treasury Board — Executive Group Position Evaluation Plan, 2005</t>
        </is>
      </c>
      <c r="C215" s="212" t="n"/>
      <c r="D215" s="211" t="n"/>
      <c r="E215" s="16" t="inlineStr">
        <is>
          <t>Job-evaluation plan · Hay-based</t>
        </is>
      </c>
      <c r="F215" s="211" t="n"/>
      <c r="G215" s="16" t="inlineStr">
        <is>
          <t>Verified Hay point evaluations of real manager and executive jobs; the know-how / problem solving / accountability split by level used in the weight derivation</t>
        </is>
      </c>
      <c r="H215" s="212" t="n"/>
      <c r="I215" s="212" t="n"/>
      <c r="J215" s="211" t="n"/>
      <c r="K215" s="16" t="inlineStr">
        <is>
          <t>https://www.canada.ca/en/treasury-board-secretariat/services/collective-agreements/job-evaluation/executive-group-position-evaluation-plan-september-2005.html</t>
        </is>
      </c>
      <c r="L215" s="212" t="n"/>
      <c r="M215" s="212" t="n"/>
      <c r="N215" s="211" t="n"/>
      <c r="O215" s="16" t="inlineStr">
        <is>
          <t>Primary</t>
        </is>
      </c>
    </row>
    <row r="216" ht="80" customHeight="1">
      <c r="A216" s="13" t="inlineStr">
        <is>
          <t>S47</t>
        </is>
      </c>
      <c r="B216" s="16" t="inlineStr">
        <is>
          <t>Canada Treasury Board — Executive Group Position Evaluation Plan, 2022</t>
        </is>
      </c>
      <c r="C216" s="212" t="n"/>
      <c r="D216" s="211" t="n"/>
      <c r="E216" s="16" t="inlineStr">
        <is>
          <t>Job-evaluation plan · Hay-based</t>
        </is>
      </c>
      <c r="F216" s="211" t="n"/>
      <c r="G216" s="16" t="inlineStr">
        <is>
          <t>Current version of the same plan with benchmark evaluations; confirms accountability's share rises with seniority</t>
        </is>
      </c>
      <c r="H216" s="212" t="n"/>
      <c r="I216" s="212" t="n"/>
      <c r="J216" s="211" t="n"/>
      <c r="K216" s="16" t="inlineStr">
        <is>
          <t>https://www.canada.ca/en/treasury-board-secretariat/services/collective-agreements/job-evaluation/executive-group-position-evaluation-plan-2022.html ; https://www.canada.ca/content/dam/tbs-sct/documents/public-service-staffing/organization-evaluation-work/job-evaluation-ex/20221018-p48_eng.pdf</t>
        </is>
      </c>
      <c r="L216" s="212" t="n"/>
      <c r="M216" s="212" t="n"/>
      <c r="N216" s="211" t="n"/>
      <c r="O216" s="16" t="inlineStr">
        <is>
          <t>Primary</t>
        </is>
      </c>
    </row>
    <row r="217" ht="41" customHeight="1">
      <c r="A217" s="13" t="inlineStr">
        <is>
          <t>S48</t>
        </is>
      </c>
      <c r="B217" s="16" t="inlineStr">
        <is>
          <t>Hay Group — summary deck of the Guide Chart-Profile method</t>
        </is>
      </c>
      <c r="C217" s="212" t="n"/>
      <c r="D217" s="211" t="n"/>
      <c r="E217" s="16" t="inlineStr">
        <is>
          <t>Method summary</t>
        </is>
      </c>
      <c r="F217" s="211" t="n"/>
      <c r="G217" s="16" t="inlineStr">
        <is>
          <t>Typical Hay profiles for clerical, specialist and supervisory jobs; the shares used for the junior and professional rows</t>
        </is>
      </c>
      <c r="H217" s="212" t="n"/>
      <c r="I217" s="212" t="n"/>
      <c r="J217" s="211" t="n"/>
      <c r="K217" s="16" t="inlineStr">
        <is>
          <t>https://www.slideshare.net/slideshow/hay-summary/55196354</t>
        </is>
      </c>
      <c r="L217" s="212" t="n"/>
      <c r="M217" s="212" t="n"/>
      <c r="N217" s="211" t="n"/>
      <c r="O217" s="16" t="inlineStr">
        <is>
          <t>Secondary</t>
        </is>
      </c>
    </row>
    <row r="218" ht="41" customHeight="1">
      <c r="A218" s="13" t="inlineStr">
        <is>
          <t>S49</t>
        </is>
      </c>
      <c r="B218" s="16" t="inlineStr">
        <is>
          <t>Lincolnshire County Council — Hay Group job evaluation method</t>
        </is>
      </c>
      <c r="C218" s="212" t="n"/>
      <c r="D218" s="211" t="n"/>
      <c r="E218" s="16" t="inlineStr">
        <is>
          <t>Public-sector Hay guide</t>
        </is>
      </c>
      <c r="F218" s="211" t="n"/>
      <c r="G218" s="16" t="inlineStr">
        <is>
          <t>Defines know-how as all knowledge and skill however acquired — the basis for not scoring experience on its own</t>
        </is>
      </c>
      <c r="H218" s="212" t="n"/>
      <c r="I218" s="212" t="n"/>
      <c r="J218" s="211" t="n"/>
      <c r="K218" s="16" t="inlineStr">
        <is>
          <t>https://professionals.lincolnshire.gov.uk/downloads/file/576/hay-group-je-method</t>
        </is>
      </c>
      <c r="L218" s="212" t="n"/>
      <c r="M218" s="212" t="n"/>
      <c r="N218" s="211" t="n"/>
      <c r="O218" s="16" t="inlineStr">
        <is>
          <t>Primary</t>
        </is>
      </c>
    </row>
    <row r="219" ht="28" customHeight="1">
      <c r="A219" s="13" t="inlineStr">
        <is>
          <t>S50</t>
        </is>
      </c>
      <c r="B219" s="16" t="inlineStr">
        <is>
          <t>Western University — Hay method overview</t>
        </is>
      </c>
      <c r="C219" s="212" t="n"/>
      <c r="D219" s="211" t="n"/>
      <c r="E219" s="16" t="inlineStr">
        <is>
          <t>University Hay guide</t>
        </is>
      </c>
      <c r="F219" s="211" t="n"/>
      <c r="G219" s="16" t="inlineStr">
        <is>
          <t>Plain explanation of the three Hay factors and the short profile; cross-check of the Hay shares</t>
        </is>
      </c>
      <c r="H219" s="212" t="n"/>
      <c r="I219" s="212" t="n"/>
      <c r="J219" s="211" t="n"/>
      <c r="K219" s="16" t="inlineStr">
        <is>
          <t>https://www.uwo.ca/humanresources/wjec/docs/hay_method_overview.pdf</t>
        </is>
      </c>
      <c r="L219" s="212" t="n"/>
      <c r="M219" s="212" t="n"/>
      <c r="N219" s="211" t="n"/>
      <c r="O219" s="16" t="inlineStr">
        <is>
          <t>Secondary</t>
        </is>
      </c>
    </row>
    <row r="220" ht="41" customHeight="1">
      <c r="A220" s="13" t="inlineStr">
        <is>
          <t>S51</t>
        </is>
      </c>
      <c r="B220" s="16" t="inlineStr">
        <is>
          <t>Derbyshire County Council — Korn Ferry Hay scheme</t>
        </is>
      </c>
      <c r="C220" s="212" t="n"/>
      <c r="D220" s="211" t="n"/>
      <c r="E220" s="16" t="inlineStr">
        <is>
          <t>Public-sector Hay guide</t>
        </is>
      </c>
      <c r="F220" s="211" t="n"/>
      <c r="G220" s="16" t="inlineStr">
        <is>
          <t>Confirms current Korn Ferry Hay use in UK public employers and the factor definitions</t>
        </is>
      </c>
      <c r="H220" s="212" t="n"/>
      <c r="I220" s="212" t="n"/>
      <c r="J220" s="211" t="n"/>
      <c r="K220" s="16" t="inlineStr">
        <is>
          <t>https://staff.derbyshire.gov.uk/jobs-and-recruitment/job-evaluation/korn-ferry-hay-scheme/korn-ferry-hay-scheme.aspx</t>
        </is>
      </c>
      <c r="L220" s="212" t="n"/>
      <c r="M220" s="212" t="n"/>
      <c r="N220" s="211" t="n"/>
      <c r="O220" s="16" t="inlineStr">
        <is>
          <t>Secondary</t>
        </is>
      </c>
    </row>
    <row r="221" ht="41" customHeight="1">
      <c r="A221" s="13" t="inlineStr">
        <is>
          <t>S52</t>
        </is>
      </c>
      <c r="B221" s="16" t="inlineStr">
        <is>
          <t>Mercer IPE — position evaluation manual and factor sheet</t>
        </is>
      </c>
      <c r="C221" s="212" t="n"/>
      <c r="D221" s="211" t="n"/>
      <c r="E221" s="16" t="inlineStr">
        <is>
          <t>Job-evaluation method · third-party copies</t>
        </is>
      </c>
      <c r="F221" s="211" t="n"/>
      <c r="G221" s="16" t="inlineStr">
        <is>
          <t>Maximum points per factor and the factor definitions — Impact, Communication, Innovation, Knowledge — used for the IPE column of the derivation</t>
        </is>
      </c>
      <c r="H221" s="212" t="n"/>
      <c r="I221" s="212" t="n"/>
      <c r="J221" s="211" t="n"/>
      <c r="K221" s="16" t="inlineStr">
        <is>
          <t>https://www.karlancer.com/api/file/1685038954-V7Gx.pdf ; https://studylib.net/doc/25471018/197145561-evaluation-factors-mercer</t>
        </is>
      </c>
      <c r="L221" s="212" t="n"/>
      <c r="M221" s="212" t="n"/>
      <c r="N221" s="211" t="n"/>
      <c r="O221" s="16" t="inlineStr">
        <is>
          <t>Secondary</t>
        </is>
      </c>
    </row>
    <row r="222" ht="41" customHeight="1">
      <c r="A222" s="13" t="inlineStr">
        <is>
          <t>S53</t>
        </is>
      </c>
      <c r="B222" s="16" t="inlineStr">
        <is>
          <t>NHS Agenda for Change — Job Evaluation Handbook</t>
        </is>
      </c>
      <c r="C222" s="212" t="n"/>
      <c r="D222" s="211" t="n"/>
      <c r="E222" s="16" t="inlineStr">
        <is>
          <t>Public point-factor plan</t>
        </is>
      </c>
      <c r="F222" s="211" t="n"/>
      <c r="G222" s="16" t="inlineStr">
        <is>
          <t>16 factors and 1,000 points with published weights; knowledge 24%, financial and physical resources 6%</t>
        </is>
      </c>
      <c r="H222" s="212" t="n"/>
      <c r="I222" s="212" t="n"/>
      <c r="J222" s="211" t="n"/>
      <c r="K222" s="16" t="inlineStr">
        <is>
          <t>https://www.nhsemployers.org/sites/default/files/pdf/22/165.pdf</t>
        </is>
      </c>
      <c r="L222" s="212" t="n"/>
      <c r="M222" s="212" t="n"/>
      <c r="N222" s="211" t="n"/>
      <c r="O222" s="16" t="inlineStr">
        <is>
          <t>Primary</t>
        </is>
      </c>
    </row>
    <row r="223" ht="28" customHeight="1">
      <c r="A223" s="13" t="inlineStr">
        <is>
          <t>S54</t>
        </is>
      </c>
      <c r="B223" s="16" t="inlineStr">
        <is>
          <t>Police Staff Council — job evaluation handbook, NJC 13-factor scheme</t>
        </is>
      </c>
      <c r="C223" s="212" t="n"/>
      <c r="D223" s="211" t="n"/>
      <c r="E223" s="16" t="inlineStr">
        <is>
          <t>Public point-factor plan</t>
        </is>
      </c>
      <c r="F223" s="211" t="n"/>
      <c r="G223" s="16" t="inlineStr">
        <is>
          <t>Published factor points for the UK local-government scheme; used for the public-plan average</t>
        </is>
      </c>
      <c r="H223" s="212" t="n"/>
      <c r="I223" s="212" t="n"/>
      <c r="J223" s="211" t="n"/>
      <c r="K223" s="16" t="inlineStr">
        <is>
          <t>https://lb2.local.gov.uk/sites/default/files/documents/police-staff-council-13-f-342.pdf</t>
        </is>
      </c>
      <c r="L223" s="212" t="n"/>
      <c r="M223" s="212" t="n"/>
      <c r="N223" s="211" t="n"/>
      <c r="O223" s="16" t="inlineStr">
        <is>
          <t>Primary</t>
        </is>
      </c>
    </row>
    <row r="224" ht="41" customHeight="1">
      <c r="A224" s="13" t="inlineStr">
        <is>
          <t>S55</t>
        </is>
      </c>
      <c r="B224" s="16" t="inlineStr">
        <is>
          <t>Greater London Provincial Council — points weighting, Denbighshire County Council</t>
        </is>
      </c>
      <c r="C224" s="212" t="n"/>
      <c r="D224" s="211" t="n"/>
      <c r="E224" s="16" t="inlineStr">
        <is>
          <t>Public point-factor plan</t>
        </is>
      </c>
      <c r="F224" s="211" t="n"/>
      <c r="G224" s="16" t="inlineStr">
        <is>
          <t>11 factors and 948 points with published weights</t>
        </is>
      </c>
      <c r="H224" s="212" t="n"/>
      <c r="I224" s="212" t="n"/>
      <c r="J224" s="211" t="n"/>
      <c r="K224" s="16" t="inlineStr">
        <is>
          <t>https://www.sirddinbych.gov.uk/en/documents/jobs-and-employees/my-employment/reorganisation-and-change/glpc-points-weighting.pdf</t>
        </is>
      </c>
      <c r="L224" s="212" t="n"/>
      <c r="M224" s="212" t="n"/>
      <c r="N224" s="211" t="n"/>
      <c r="O224" s="16" t="inlineStr">
        <is>
          <t>Primary</t>
        </is>
      </c>
    </row>
    <row r="225" ht="28" customHeight="1">
      <c r="A225" s="13" t="inlineStr">
        <is>
          <t>S56</t>
        </is>
      </c>
      <c r="B225" s="16" t="inlineStr">
        <is>
          <t>Scottish Joint Council scheme — Highland Council scoring matrix</t>
        </is>
      </c>
      <c r="C225" s="212" t="n"/>
      <c r="D225" s="211" t="n"/>
      <c r="E225" s="16" t="inlineStr">
        <is>
          <t>Public point-factor plan</t>
        </is>
      </c>
      <c r="F225" s="211" t="n"/>
      <c r="G225" s="16" t="inlineStr">
        <is>
          <t>13 factors and 1,000 points with published weights</t>
        </is>
      </c>
      <c r="H225" s="212" t="n"/>
      <c r="I225" s="212" t="n"/>
      <c r="J225" s="211" t="n"/>
      <c r="K225" s="16" t="inlineStr">
        <is>
          <t>https://www.highland.gov.uk/download/downloads/id/3889/scoring_matrix.pdf</t>
        </is>
      </c>
      <c r="L225" s="212" t="n"/>
      <c r="M225" s="212" t="n"/>
      <c r="N225" s="211" t="n"/>
      <c r="O225" s="16" t="inlineStr">
        <is>
          <t>Primary</t>
        </is>
      </c>
    </row>
    <row r="226" ht="41" customHeight="1">
      <c r="A226" s="13" t="inlineStr">
        <is>
          <t>S57</t>
        </is>
      </c>
      <c r="B226" s="16" t="inlineStr">
        <is>
          <t>US OPM — Introduction to the Position Classification Standards, Factor Evaluation System</t>
        </is>
      </c>
      <c r="C226" s="212" t="n"/>
      <c r="D226" s="211" t="n"/>
      <c r="E226" s="16" t="inlineStr">
        <is>
          <t>Public point-factor plan</t>
        </is>
      </c>
      <c r="F226" s="211" t="n"/>
      <c r="G226" s="16" t="inlineStr">
        <is>
          <t>9 factors and 4,480 points; the most knowledge-heavy plan, with no separate financial factor</t>
        </is>
      </c>
      <c r="H226" s="212" t="n"/>
      <c r="I226" s="212" t="n"/>
      <c r="J226" s="211" t="n"/>
      <c r="K226" s="16" t="inlineStr">
        <is>
          <t>https://www.opm.gov/policy-data-oversight/classification-qualifications/classifying-general-schedule-positions/positionclassificationintro.pdf</t>
        </is>
      </c>
      <c r="L226" s="212" t="n"/>
      <c r="M226" s="212" t="n"/>
      <c r="N226" s="211" t="n"/>
      <c r="O226" s="16" t="inlineStr">
        <is>
          <t>Primary</t>
        </is>
      </c>
    </row>
    <row r="227" ht="80" customHeight="1">
      <c r="A227" s="13" t="inlineStr">
        <is>
          <t>S58</t>
        </is>
      </c>
      <c r="B227" s="16" t="inlineStr">
        <is>
          <t>McKinsey — Taking a skills-based approach to building the future workforce, 2022</t>
        </is>
      </c>
      <c r="C227" s="212" t="n"/>
      <c r="D227" s="211" t="n"/>
      <c r="E227" s="16" t="inlineStr">
        <is>
          <t>Research report</t>
        </is>
      </c>
      <c r="F227" s="211" t="n"/>
      <c r="G227" s="16" t="inlineStr">
        <is>
          <t>Hiring for skills is more than twice as predictive as hiring for work experience — support for a low Experience weight</t>
        </is>
      </c>
      <c r="H227" s="212" t="n"/>
      <c r="I227" s="212" t="n"/>
      <c r="J227" s="211" t="n"/>
      <c r="K227" s="16" t="inlineStr">
        <is>
          <t>https://www.mckinsey.com/~/media/mckinsey/business%20functions/people%20and%20organizational%20performance/our%20insights/taking%20a%20skills%20based%20approach%20to%20building%20the%20future%20workforce/taking-a-skills-based-approach-to-building-the-future-workforce-vf.pdf</t>
        </is>
      </c>
      <c r="L227" s="212" t="n"/>
      <c r="M227" s="212" t="n"/>
      <c r="N227" s="211" t="n"/>
      <c r="O227" s="16" t="inlineStr">
        <is>
          <t>Primary</t>
        </is>
      </c>
    </row>
    <row r="228" ht="41" customHeight="1">
      <c r="A228" s="13" t="inlineStr">
        <is>
          <t>S59</t>
        </is>
      </c>
      <c r="B228" s="16" t="inlineStr">
        <is>
          <t>Deloitte — Human Capital Trends 2023, skills-based model</t>
        </is>
      </c>
      <c r="C228" s="212" t="n"/>
      <c r="D228" s="211" t="n"/>
      <c r="E228" s="16" t="inlineStr">
        <is>
          <t>Research report</t>
        </is>
      </c>
      <c r="F228" s="211" t="n"/>
      <c r="G228" s="16" t="inlineStr">
        <is>
          <t>Organisations moving to deploy and promote on skills rather than tenure or job history</t>
        </is>
      </c>
      <c r="H228" s="212" t="n"/>
      <c r="I228" s="212" t="n"/>
      <c r="J228" s="211" t="n"/>
      <c r="K228" s="16" t="inlineStr">
        <is>
          <t>https://www.deloitte.com/us/en/insights/topics/talent/human-capital-trends/2023/skills-based-model-end-of-jobs.html</t>
        </is>
      </c>
      <c r="L228" s="212" t="n"/>
      <c r="M228" s="212" t="n"/>
      <c r="N228" s="211" t="n"/>
      <c r="O228" s="16" t="inlineStr">
        <is>
          <t>Primary</t>
        </is>
      </c>
    </row>
    <row r="229" ht="28" customHeight="1">
      <c r="A229" s="13" t="inlineStr">
        <is>
          <t>S60</t>
        </is>
      </c>
      <c r="B229" s="16" t="inlineStr">
        <is>
          <t>World Economic Forum — Skills-first: 6 success factors, 2024</t>
        </is>
      </c>
      <c r="C229" s="212" t="n"/>
      <c r="D229" s="211" t="n"/>
      <c r="E229" s="16" t="inlineStr">
        <is>
          <t>Research article</t>
        </is>
      </c>
      <c r="F229" s="211" t="n"/>
      <c r="G229" s="16" t="inlineStr">
        <is>
          <t>Rethink education and previous experience as proxies for ability</t>
        </is>
      </c>
      <c r="H229" s="212" t="n"/>
      <c r="I229" s="212" t="n"/>
      <c r="J229" s="211" t="n"/>
      <c r="K229" s="16" t="inlineStr">
        <is>
          <t>https://www.weforum.org/stories/2024/01/skills-first-6-success-factors-recruiting-developing-talent/</t>
        </is>
      </c>
      <c r="L229" s="212" t="n"/>
      <c r="M229" s="212" t="n"/>
      <c r="N229" s="211" t="n"/>
      <c r="O229" s="16" t="inlineStr">
        <is>
          <t>Secondary</t>
        </is>
      </c>
    </row>
    <row r="230" ht="41" customHeight="1">
      <c r="A230" s="13" t="inlineStr">
        <is>
          <t>S61</t>
        </is>
      </c>
      <c r="B230" s="16" t="inlineStr">
        <is>
          <t>EY Future of Pay via People Matters — India's 2026 salary increases to reward skills over seniority</t>
        </is>
      </c>
      <c r="C230" s="212" t="n"/>
      <c r="D230" s="211" t="n"/>
      <c r="E230" s="16" t="inlineStr">
        <is>
          <t>India market news</t>
        </is>
      </c>
      <c r="F230" s="211" t="n"/>
      <c r="G230" s="16" t="inlineStr">
        <is>
          <t>India pay moving away from tenure-based increases towards skills-led, performance-driven frameworks</t>
        </is>
      </c>
      <c r="H230" s="212" t="n"/>
      <c r="I230" s="212" t="n"/>
      <c r="J230" s="211" t="n"/>
      <c r="K230" s="16" t="inlineStr">
        <is>
          <t>https://www.peoplematters.in/news/compensation-benefits/indias-2026-salary-increases-to-reward-skills-over-seniority-ey-48541</t>
        </is>
      </c>
      <c r="L230" s="212" t="n"/>
      <c r="M230" s="212" t="n"/>
      <c r="N230" s="211" t="n"/>
      <c r="O230" s="16" t="inlineStr">
        <is>
          <t>Secondary</t>
        </is>
      </c>
    </row>
    <row r="231" ht="41" customHeight="1">
      <c r="A231" s="13" t="inlineStr">
        <is>
          <t>S62</t>
        </is>
      </c>
      <c r="B231" s="16" t="inlineStr">
        <is>
          <t>WTW — Building resilient career ecosystems, India 2023</t>
        </is>
      </c>
      <c r="C231" s="212" t="n"/>
      <c r="D231" s="211" t="n"/>
      <c r="E231" s="16" t="inlineStr">
        <is>
          <t>Consulting insight · India</t>
        </is>
      </c>
      <c r="F231" s="211" t="n"/>
      <c r="G231" s="16" t="inlineStr">
        <is>
          <t>WTW's view of career architecture design in India; complements the WTW GGS factors in S07</t>
        </is>
      </c>
      <c r="H231" s="212" t="n"/>
      <c r="I231" s="212" t="n"/>
      <c r="J231" s="211" t="n"/>
      <c r="K231" s="16" t="inlineStr">
        <is>
          <t>https://www.wtwco.com/en-in/insights/2023/09/building-resilient-career-ecosystems-with-robust-career-strategy-and-design</t>
        </is>
      </c>
      <c r="L231" s="212" t="n"/>
      <c r="M231" s="212" t="n"/>
      <c r="N231" s="211" t="n"/>
      <c r="O231" s="16" t="inlineStr">
        <is>
          <t>Secondary</t>
        </is>
      </c>
    </row>
    <row r="232" ht="41" customHeight="1">
      <c r="A232" s="13" t="inlineStr">
        <is>
          <t>S63</t>
        </is>
      </c>
      <c r="B232" s="16" t="inlineStr">
        <is>
          <t>iPleaders — Director under the Companies Act 2013</t>
        </is>
      </c>
      <c r="C232" s="212" t="n"/>
      <c r="D232" s="211" t="n"/>
      <c r="E232" s="16" t="inlineStr">
        <is>
          <t>Legal explainer · India</t>
        </is>
      </c>
      <c r="F232" s="211" t="n"/>
      <c r="G232" s="16" t="inlineStr">
        <is>
          <r>
            <rPr>
              <rFont val="Calibri"/>
              <b val="1"/>
              <sz val="10"/>
            </rPr>
            <t>Section 2, clause 34:</t>
          </r>
          <r>
            <rPr>
              <rFont val="Calibri"/>
              <sz val="10"/>
            </rPr>
            <t xml:space="preserve"> 'director' means a director appointed to the Board — the reason IRIS uses no 'Director' title</t>
          </r>
        </is>
      </c>
      <c r="H232" s="212" t="n"/>
      <c r="I232" s="212" t="n"/>
      <c r="J232" s="211" t="n"/>
      <c r="K232" s="16" t="inlineStr">
        <is>
          <t>https://blog.ipleaders.in/director-companies-act-2013/</t>
        </is>
      </c>
      <c r="L232" s="212" t="n"/>
      <c r="M232" s="212" t="n"/>
      <c r="N232" s="211" t="n"/>
      <c r="O232" s="16" t="inlineStr">
        <is>
          <t>Primary</t>
        </is>
      </c>
    </row>
    <row r="233" ht="41" customHeight="1">
      <c r="A233" s="13" t="inlineStr">
        <is>
          <t>S64</t>
        </is>
      </c>
      <c r="B233" s="16" t="inlineStr">
        <is>
          <t>Kaanoon — 'Director' as an HR designation but not under the Companies Act</t>
        </is>
      </c>
      <c r="C233" s="212" t="n"/>
      <c r="D233" s="211" t="n"/>
      <c r="E233" s="16" t="inlineStr">
        <is>
          <t>Legal Q&amp;A · India</t>
        </is>
      </c>
      <c r="F233" s="211" t="n"/>
      <c r="G233" s="16" t="inlineStr">
        <is>
          <t>Practitioner view that a 'Director' designation for non-board staff causes confusion and disclosure risk</t>
        </is>
      </c>
      <c r="H233" s="212" t="n"/>
      <c r="I233" s="212" t="n"/>
      <c r="J233" s="211" t="n"/>
      <c r="K233" s="16" t="inlineStr">
        <is>
          <t>https://www.kaanoon.com/241487/designation-with-word-director-as-per-hr-policy-but-not-as-per-companies-act</t>
        </is>
      </c>
      <c r="L233" s="212" t="n"/>
      <c r="M233" s="212" t="n"/>
      <c r="N233" s="211" t="n"/>
      <c r="O233" s="16" t="inlineStr">
        <is>
          <t>Secondary</t>
        </is>
      </c>
    </row>
    <row r="234" ht="28" customHeight="1">
      <c r="A234" s="13" t="inlineStr">
        <is>
          <t>S65</t>
        </is>
      </c>
      <c r="B234" s="16" t="inlineStr">
        <is>
          <t>Wipro — Distinguished Member of Technical Staff</t>
        </is>
      </c>
      <c r="C234" s="212" t="n"/>
      <c r="D234" s="211" t="n"/>
      <c r="E234" s="16" t="inlineStr">
        <is>
          <t>Indian IT company programme</t>
        </is>
      </c>
      <c r="F234" s="211" t="n"/>
      <c r="G234" s="16" t="inlineStr">
        <is>
          <t>Indian example of the 'Distinguished' top-specialist title — Option B for the D1 title</t>
        </is>
      </c>
      <c r="H234" s="212" t="n"/>
      <c r="I234" s="212" t="n"/>
      <c r="J234" s="211" t="n"/>
      <c r="K234" s="16" t="inlineStr">
        <is>
          <t>https://www.wipro.com/innovation/distinguished-member-of-technical-staff/</t>
        </is>
      </c>
      <c r="L234" s="212" t="n"/>
      <c r="M234" s="212" t="n"/>
      <c r="N234" s="211" t="n"/>
      <c r="O234" s="16" t="inlineStr">
        <is>
          <t>Primary</t>
        </is>
      </c>
    </row>
    <row r="235" ht="28" customHeight="1">
      <c r="A235" s="13" t="inlineStr">
        <is>
          <t>S66</t>
        </is>
      </c>
      <c r="B235" s="16" t="inlineStr">
        <is>
          <t>Salesforce engineering levels — AMTS to Distinguished Engineer</t>
        </is>
      </c>
      <c r="C235" s="212" t="n"/>
      <c r="D235" s="211" t="n"/>
      <c r="E235" s="16" t="inlineStr">
        <is>
          <t>Company ladder · Design Gurus</t>
        </is>
      </c>
      <c r="F235" s="211" t="n"/>
      <c r="G235" s="16" t="inlineStr">
        <is>
          <t>Global SaaS example of the top-specialist title above Principal Architect</t>
        </is>
      </c>
      <c r="H235" s="212" t="n"/>
      <c r="I235" s="212" t="n"/>
      <c r="J235" s="211" t="n"/>
      <c r="K235" s="16" t="inlineStr">
        <is>
          <t>https://www.designgurus.io/blog/salesforce-software-engineer-levels</t>
        </is>
      </c>
      <c r="L235" s="212" t="n"/>
      <c r="M235" s="212" t="n"/>
      <c r="N235" s="211" t="n"/>
      <c r="O235" s="16" t="inlineStr">
        <is>
          <t>Secondary</t>
        </is>
      </c>
    </row>
    <row r="236" ht="28" customHeight="1">
      <c r="A236" s="13" t="inlineStr">
        <is>
          <t>S67</t>
        </is>
      </c>
      <c r="B236" s="16" t="inlineStr">
        <is>
          <t>LeadDev — Who are staff, principal and distinguished engineers</t>
        </is>
      </c>
      <c r="C236" s="212" t="n"/>
      <c r="D236" s="211" t="n"/>
      <c r="E236" s="16" t="inlineStr">
        <is>
          <t>Practice article</t>
        </is>
      </c>
      <c r="F236" s="211" t="n"/>
      <c r="G236" s="16" t="inlineStr">
        <is>
          <t>How Principal, Distinguished and Fellow tiers are used and how rare they are</t>
        </is>
      </c>
      <c r="H236" s="212" t="n"/>
      <c r="I236" s="212" t="n"/>
      <c r="J236" s="211" t="n"/>
      <c r="K236" s="16" t="inlineStr">
        <is>
          <t>https://leaddev.com/career-ladders/who-are-staff-principal-and-distinguished-engineers</t>
        </is>
      </c>
      <c r="L236" s="212" t="n"/>
      <c r="M236" s="212" t="n"/>
      <c r="N236" s="211" t="n"/>
      <c r="O236" s="16" t="inlineStr">
        <is>
          <t>Secondary</t>
        </is>
      </c>
    </row>
    <row r="237" ht="28" customHeight="1">
      <c r="A237" s="13" t="inlineStr">
        <is>
          <t>S68</t>
        </is>
      </c>
      <c r="B237" s="16" t="inlineStr">
        <is>
          <t>Dropbox — engineering career framework</t>
        </is>
      </c>
      <c r="C237" s="212" t="n"/>
      <c r="D237" s="211" t="n"/>
      <c r="E237" s="16" t="inlineStr">
        <is>
          <t>Company framework</t>
        </is>
      </c>
      <c r="F237" s="211" t="n"/>
      <c r="G237" s="16" t="inlineStr">
        <is>
          <t>Published IC ladder with top-specialist tiers and their scope</t>
        </is>
      </c>
      <c r="H237" s="212" t="n"/>
      <c r="I237" s="212" t="n"/>
      <c r="J237" s="211" t="n"/>
      <c r="K237" s="16" t="inlineStr">
        <is>
          <t>https://dropbox.tech/culture/our-updated-engineering-career-framework</t>
        </is>
      </c>
      <c r="L237" s="212" t="n"/>
      <c r="M237" s="212" t="n"/>
      <c r="N237" s="211" t="n"/>
      <c r="O237" s="16" t="inlineStr">
        <is>
          <t>Secondary</t>
        </is>
      </c>
    </row>
    <row r="238" ht="28" customHeight="1">
      <c r="A238" s="13" t="inlineStr">
        <is>
          <t>S69</t>
        </is>
      </c>
      <c r="B238" s="16" t="inlineStr">
        <is>
          <t>Square — growth framework for engineers and engineering managers</t>
        </is>
      </c>
      <c r="C238" s="212" t="n"/>
      <c r="D238" s="211" t="n"/>
      <c r="E238" s="16" t="inlineStr">
        <is>
          <t>Company framework</t>
        </is>
      </c>
      <c r="F238" s="211" t="n"/>
      <c r="G238" s="16" t="inlineStr">
        <is>
          <t>Published IC and manager ladders side by side</t>
        </is>
      </c>
      <c r="H238" s="212" t="n"/>
      <c r="I238" s="212" t="n"/>
      <c r="J238" s="211" t="n"/>
      <c r="K238" s="16" t="inlineStr">
        <is>
          <t>https://developer.squareup.com/blog/squares-growth-framework-for-engineers-and-engineering-managers/</t>
        </is>
      </c>
      <c r="L238" s="212" t="n"/>
      <c r="M238" s="212" t="n"/>
      <c r="N238" s="211" t="n"/>
      <c r="O238" s="16" t="inlineStr">
        <is>
          <t>Secondary</t>
        </is>
      </c>
    </row>
    <row r="239" ht="41" customHeight="1">
      <c r="A239" s="13" t="inlineStr">
        <is>
          <t>S70</t>
        </is>
      </c>
      <c r="B239" s="16" t="inlineStr">
        <is>
          <t>Carta and Pave — job levelling frameworks</t>
        </is>
      </c>
      <c r="C239" s="212" t="n"/>
      <c r="D239" s="211" t="n"/>
      <c r="E239" s="16" t="inlineStr">
        <is>
          <t>Compensation platforms</t>
        </is>
      </c>
      <c r="F239" s="211" t="n"/>
      <c r="G239" s="16" t="inlineStr">
        <is>
          <t>Market levelling guides used to check the level count and the IC ↔ manager pairing</t>
        </is>
      </c>
      <c r="H239" s="212" t="n"/>
      <c r="I239" s="212" t="n"/>
      <c r="J239" s="211" t="n"/>
      <c r="K239" s="16" t="inlineStr">
        <is>
          <t>https://carta.com/learn/startups/compensation/job-leveling/ ; https://pave.com/blog-posts/job-leveling-framework</t>
        </is>
      </c>
      <c r="L239" s="212" t="n"/>
      <c r="M239" s="212" t="n"/>
      <c r="N239" s="211" t="n"/>
      <c r="O239" s="16" t="inlineStr">
        <is>
          <t>Secondary</t>
        </is>
      </c>
    </row>
    <row r="240" ht="28" customHeight="1">
      <c r="A240" s="13" t="inlineStr">
        <is>
          <t>S71</t>
        </is>
      </c>
      <c r="B240" s="16" t="inlineStr">
        <is>
          <t>Figures — Figures levels</t>
        </is>
      </c>
      <c r="C240" s="212" t="n"/>
      <c r="D240" s="211" t="n"/>
      <c r="E240" s="16" t="inlineStr">
        <is>
          <t>Compensation platform</t>
        </is>
      </c>
      <c r="F240" s="211" t="n"/>
      <c r="G240" s="16" t="inlineStr">
        <is>
          <t>Second levelling crosswalk alongside the Mercer levels in S03</t>
        </is>
      </c>
      <c r="H240" s="212" t="n"/>
      <c r="I240" s="212" t="n"/>
      <c r="J240" s="211" t="n"/>
      <c r="K240" s="16" t="inlineStr">
        <is>
          <t>https://help.figures.hr/en/articles/389317-figures-levels</t>
        </is>
      </c>
      <c r="L240" s="212" t="n"/>
      <c r="M240" s="212" t="n"/>
      <c r="N240" s="211" t="n"/>
      <c r="O240" s="16" t="inlineStr">
        <is>
          <t>Secondary</t>
        </is>
      </c>
    </row>
    <row r="241" ht="41" customHeight="1">
      <c r="A241" s="13" t="inlineStr">
        <is>
          <t>S72</t>
        </is>
      </c>
      <c r="B241" s="16" t="inlineStr">
        <is>
          <t>PayScale India — Chief Architect, IT</t>
        </is>
      </c>
      <c r="C241" s="212" t="n"/>
      <c r="D241" s="211" t="n"/>
      <c r="E241" s="16" t="inlineStr">
        <is>
          <t>Salary data site · India</t>
        </is>
      </c>
      <c r="F241" s="211" t="n"/>
      <c r="G241" s="16" t="inlineStr">
        <is>
          <t>Shows Chief Architect, IT tracked as an experienced and late-career role in India — Option A for the D1 title</t>
        </is>
      </c>
      <c r="H241" s="212" t="n"/>
      <c r="I241" s="212" t="n"/>
      <c r="J241" s="211" t="n"/>
      <c r="K241" s="16" t="inlineStr">
        <is>
          <t>https://www.payscale.com/research/IN/Job=Chief_Architect%2C_IT/Skill-Experience</t>
        </is>
      </c>
      <c r="L241" s="212" t="n"/>
      <c r="M241" s="212" t="n"/>
      <c r="N241" s="211" t="n"/>
      <c r="O241" s="16" t="inlineStr">
        <is>
          <t>Indicative</t>
        </is>
      </c>
    </row>
    <row r="242" ht="28" customHeight="1">
      <c r="A242" s="13" t="inlineStr">
        <is>
          <t>S40</t>
        </is>
      </c>
      <c r="B242" s="16" t="inlineStr">
        <is>
          <t>Employee Master_New_23092026 and Employee Master_OLD</t>
        </is>
      </c>
      <c r="C242" s="212" t="n"/>
      <c r="D242" s="211" t="n"/>
      <c r="E242" s="16" t="inlineStr">
        <is>
          <t>IRIS HRIS</t>
        </is>
      </c>
      <c r="F242" s="211" t="n"/>
      <c r="G242" s="16" t="inlineStr">
        <is>
          <t>Roster, department, manager, experience, qualification, category</t>
        </is>
      </c>
      <c r="H242" s="212" t="n"/>
      <c r="I242" s="212" t="n"/>
      <c r="J242" s="211" t="n"/>
      <c r="K242" s="16" t="inlineStr">
        <is>
          <t>Internal</t>
        </is>
      </c>
      <c r="L242" s="212" t="n"/>
      <c r="M242" s="212" t="n"/>
      <c r="N242" s="211" t="n"/>
      <c r="O242" s="16" t="inlineStr">
        <is>
          <t>Internal</t>
        </is>
      </c>
    </row>
    <row r="243" ht="28" customHeight="1">
      <c r="A243" s="13" t="inlineStr">
        <is>
          <t>S41</t>
        </is>
      </c>
      <c r="B243" s="16" t="inlineStr">
        <is>
          <t>How We Grow survey · 521 responses</t>
        </is>
      </c>
      <c r="C243" s="212" t="n"/>
      <c r="D243" s="211" t="n"/>
      <c r="E243" s="16" t="inlineStr">
        <is>
          <t>IRIS employees</t>
        </is>
      </c>
      <c r="F243" s="211" t="n"/>
      <c r="G243" s="16" t="inlineStr">
        <is>
          <t>Purpose, deliverables, accountability, decision rights, skills, tools, learning needs</t>
        </is>
      </c>
      <c r="H243" s="212" t="n"/>
      <c r="I243" s="212" t="n"/>
      <c r="J243" s="211" t="n"/>
      <c r="K243" s="16" t="inlineStr">
        <is>
          <t>Internal</t>
        </is>
      </c>
      <c r="L243" s="212" t="n"/>
      <c r="M243" s="212" t="n"/>
      <c r="N243" s="211" t="n"/>
      <c r="O243" s="16" t="inlineStr">
        <is>
          <t>Internal</t>
        </is>
      </c>
    </row>
    <row r="244" ht="28" customHeight="1">
      <c r="A244" s="13" t="inlineStr">
        <is>
          <t>S42</t>
        </is>
      </c>
      <c r="B244" s="16" t="inlineStr">
        <is>
          <t>Manager talent-mapping files</t>
        </is>
      </c>
      <c r="C244" s="212" t="n"/>
      <c r="D244" s="211" t="n"/>
      <c r="E244" s="16" t="inlineStr">
        <is>
          <t>IRIS managers</t>
        </is>
      </c>
      <c r="F244" s="211" t="n"/>
      <c r="G244" s="16" t="inlineStr">
        <is>
          <t>KRAs, rating, potential, readiness, 9-box, manager training need</t>
        </is>
      </c>
      <c r="H244" s="212" t="n"/>
      <c r="I244" s="212" t="n"/>
      <c r="J244" s="211" t="n"/>
      <c r="K244" s="16" t="inlineStr">
        <is>
          <t>Internal</t>
        </is>
      </c>
      <c r="L244" s="212" t="n"/>
      <c r="M244" s="212" t="n"/>
      <c r="N244" s="211" t="n"/>
      <c r="O244" s="16" t="inlineStr">
        <is>
          <t>Internal</t>
        </is>
      </c>
    </row>
    <row r="245" ht="28" customHeight="1">
      <c r="A245" s="13" t="inlineStr">
        <is>
          <t>S43</t>
        </is>
      </c>
      <c r="B245" s="16" t="inlineStr">
        <is>
          <t>IRIS talent-mapping workbooks v1 and v2</t>
        </is>
      </c>
      <c r="C245" s="212" t="n"/>
      <c r="D245" s="211" t="n"/>
      <c r="E245" s="16" t="inlineStr">
        <is>
          <t>This exercise</t>
        </is>
      </c>
      <c r="F245" s="211" t="n"/>
      <c r="G245" s="16" t="inlineStr">
        <is>
          <t>Factor ratings, competency ratings, duplication and mobility analysis</t>
        </is>
      </c>
      <c r="H245" s="212" t="n"/>
      <c r="I245" s="212" t="n"/>
      <c r="J245" s="211" t="n"/>
      <c r="K245" s="16" t="inlineStr">
        <is>
          <t>Internal</t>
        </is>
      </c>
      <c r="L245" s="212" t="n"/>
      <c r="M245" s="212" t="n"/>
      <c r="N245" s="211" t="n"/>
      <c r="O245" s="16" t="inlineStr">
        <is>
          <t>Internal</t>
        </is>
      </c>
    </row>
    <row r="246" ht="15" customHeight="1"/>
    <row r="247" ht="20" customHeight="1">
      <c r="A247" s="6" t="inlineStr">
        <is>
          <t>R5b. Career Architecture V2 evidence register · HR research, 7 Oct 2026</t>
        </is>
      </c>
    </row>
    <row r="248" ht="28" customHeight="1">
      <c r="A248" s="11" t="inlineStr">
        <is>
          <t>The evidence register from IRIS Career Architecture V2 · HR research, 7 Oct 2026: each source with the observed title, what it supports and its transfer limit. Two entries · Regnology Senior Software Engineer, Pune; Dropbox engineering framework v2.9.1 were spot-checked on 7 Oct 2026 and match.</t>
        </is>
      </c>
    </row>
    <row r="249" ht="28" customHeight="1">
      <c r="A249" s="12" t="inlineStr">
        <is>
          <t>ID</t>
        </is>
      </c>
      <c r="B249" s="12" t="inlineStr">
        <is>
          <t>Lens</t>
        </is>
      </c>
      <c r="C249" s="211" t="n"/>
      <c r="D249" s="12" t="inlineStr">
        <is>
          <t>Organisation</t>
        </is>
      </c>
      <c r="E249" s="211" t="n"/>
      <c r="F249" s="12" t="inlineStr">
        <is>
          <t>Observed title / publication</t>
        </is>
      </c>
      <c r="G249" s="211" t="n"/>
      <c r="H249" s="12" t="inlineStr">
        <is>
          <t>What it supports</t>
        </is>
      </c>
      <c r="I249" s="212" t="n"/>
      <c r="J249" s="211" t="n"/>
      <c r="K249" s="12" t="inlineStr">
        <is>
          <t>Transfer limit</t>
        </is>
      </c>
      <c r="L249" s="212" t="n"/>
      <c r="M249" s="211" t="n"/>
      <c r="N249" s="12" t="inlineStr">
        <is>
          <t>Geography</t>
        </is>
      </c>
      <c r="O249" s="12" t="inlineStr">
        <is>
          <t>Link</t>
        </is>
      </c>
    </row>
    <row r="250" ht="54" customHeight="1">
      <c r="A250" s="13" t="inlineStr">
        <is>
          <t>N01</t>
        </is>
      </c>
      <c r="B250" s="16" t="inlineStr">
        <is>
          <t>Lens 1 direct peer</t>
        </is>
      </c>
      <c r="C250" s="211" t="n"/>
      <c r="D250" s="16" t="inlineStr">
        <is>
          <t>Regnology</t>
        </is>
      </c>
      <c r="E250" s="211" t="n"/>
      <c r="F250" s="16" t="inlineStr">
        <is>
          <t>Senior Software Engineer, Pune</t>
        </is>
      </c>
      <c r="G250" s="211" t="n"/>
      <c r="H250" s="16" t="inlineStr">
        <is>
          <t>Java delivery, design, code review and junior mentoring.</t>
        </is>
      </c>
      <c r="I250" s="212" t="n"/>
      <c r="J250" s="211" t="n"/>
      <c r="K250" s="16" t="inlineStr">
        <is>
          <t>Selected senior role only; tenure requirement is not a grading rule.</t>
        </is>
      </c>
      <c r="L250" s="212" t="n"/>
      <c r="M250" s="211" t="n"/>
      <c r="N250" s="16" t="inlineStr">
        <is>
          <t>India</t>
        </is>
      </c>
      <c r="O250" s="16" t="inlineStr">
        <is>
          <t>https://regnology.jobs.personio.de/job/2374470</t>
        </is>
      </c>
    </row>
    <row r="251" ht="67" customHeight="1">
      <c r="A251" s="13" t="inlineStr">
        <is>
          <t>N02</t>
        </is>
      </c>
      <c r="B251" s="16" t="inlineStr">
        <is>
          <t>Lens 1 direct peer</t>
        </is>
      </c>
      <c r="C251" s="211" t="n"/>
      <c r="D251" s="16" t="inlineStr">
        <is>
          <t>Regnology</t>
        </is>
      </c>
      <c r="E251" s="211" t="n"/>
      <c r="F251" s="16" t="inlineStr">
        <is>
          <t>Release Engineer, Pune</t>
        </is>
      </c>
      <c r="G251" s="211" t="n"/>
      <c r="H251" s="16" t="inlineStr">
        <is>
          <t>Independent cross-team release coordination and quality/risk trade-offs.</t>
        </is>
      </c>
      <c r="I251" s="212" t="n"/>
      <c r="J251" s="211" t="n"/>
      <c r="K251" s="16" t="inlineStr">
        <is>
          <t>Supports release scope, not a standalone QA career ladder.</t>
        </is>
      </c>
      <c r="L251" s="212" t="n"/>
      <c r="M251" s="211" t="n"/>
      <c r="N251" s="16" t="inlineStr">
        <is>
          <t>India</t>
        </is>
      </c>
      <c r="O251" s="16" t="inlineStr">
        <is>
          <t>https://regnology.jobs.personio.de/job/2605587?language=en</t>
        </is>
      </c>
    </row>
    <row r="252" ht="106" customHeight="1">
      <c r="A252" s="13" t="inlineStr">
        <is>
          <t>N03</t>
        </is>
      </c>
      <c r="B252" s="16" t="inlineStr">
        <is>
          <t>Lens 1 direct peer</t>
        </is>
      </c>
      <c r="C252" s="211" t="n"/>
      <c r="D252" s="16" t="inlineStr">
        <is>
          <t>Workiva</t>
        </is>
      </c>
      <c r="E252" s="211" t="n"/>
      <c r="F252" s="16" t="inlineStr">
        <is>
          <t>Principal Security Engineer</t>
        </is>
      </c>
      <c r="G252" s="211" t="n"/>
      <c r="H252" s="16" t="inlineStr">
        <is>
          <t>Cross-platform cloud security architecture and enterprise technical influence.</t>
        </is>
      </c>
      <c r="I252" s="212" t="n"/>
      <c r="J252" s="211" t="n"/>
      <c r="K252" s="16" t="inlineStr">
        <is>
          <t>Selected expert role; no verified internal grade or India title match.</t>
        </is>
      </c>
      <c r="L252" s="212" t="n"/>
      <c r="M252" s="211" t="n"/>
      <c r="N252" s="16" t="inlineStr">
        <is>
          <t>USA</t>
        </is>
      </c>
      <c r="O252" s="16" t="inlineStr">
        <is>
          <t>https://workiva.wd503.myworkdayjobs.com/en-US/careers/job/Principal-Security-Engineer_R11408</t>
        </is>
      </c>
    </row>
    <row r="253" ht="119" customHeight="1">
      <c r="A253" s="13" t="inlineStr">
        <is>
          <t>N04</t>
        </is>
      </c>
      <c r="B253" s="16" t="inlineStr">
        <is>
          <t>Lens 1 direct peer</t>
        </is>
      </c>
      <c r="C253" s="211" t="n"/>
      <c r="D253" s="16" t="inlineStr">
        <is>
          <t>Workiva</t>
        </is>
      </c>
      <c r="E253" s="211" t="n"/>
      <c r="F253" s="16" t="inlineStr">
        <is>
          <t>Senior People Business Partner</t>
        </is>
      </c>
      <c r="G253" s="211" t="n"/>
      <c r="H253" s="16" t="inlineStr">
        <is>
          <t>Regional GTM partnership, organisation design, employee relations and leadership advice.</t>
        </is>
      </c>
      <c r="I253" s="212" t="n"/>
      <c r="J253" s="211" t="n"/>
      <c r="K253" s="16" t="inlineStr">
        <is>
          <t>Supports HRBP and adjacent OD work, not every HR speciality.</t>
        </is>
      </c>
      <c r="L253" s="212" t="n"/>
      <c r="M253" s="211" t="n"/>
      <c r="N253" s="16" t="inlineStr">
        <is>
          <t>UK / EMEA</t>
        </is>
      </c>
      <c r="O253" s="16" t="inlineStr">
        <is>
          <t>https://workiva.wd503.myworkdayjobs.com/en-US/careers/job/Senior-People-Business-Partner---GTM---Sales_R11653</t>
        </is>
      </c>
    </row>
    <row r="254" ht="106" customHeight="1">
      <c r="A254" s="13" t="inlineStr">
        <is>
          <t>N05</t>
        </is>
      </c>
      <c r="B254" s="16" t="inlineStr">
        <is>
          <t>Lens 1 direct peer</t>
        </is>
      </c>
      <c r="C254" s="211" t="n"/>
      <c r="D254" s="16" t="inlineStr">
        <is>
          <t>Workiva</t>
        </is>
      </c>
      <c r="E254" s="211" t="n"/>
      <c r="F254" s="16" t="inlineStr">
        <is>
          <t>Principal Product Designer</t>
        </is>
      </c>
      <c r="G254" s="211" t="n"/>
      <c r="H254" s="16" t="inlineStr">
        <is>
          <t>Multi-product UX strategy, hands-on design and mentoring senior designers.</t>
        </is>
      </c>
      <c r="I254" s="212" t="n"/>
      <c r="J254" s="211" t="n"/>
      <c r="K254" s="16" t="inlineStr">
        <is>
          <t>Observed expert role; unrelated to brand-design seniority.</t>
        </is>
      </c>
      <c r="L254" s="212" t="n"/>
      <c r="M254" s="211" t="n"/>
      <c r="N254" s="16" t="inlineStr">
        <is>
          <t>USA</t>
        </is>
      </c>
      <c r="O254" s="16" t="inlineStr">
        <is>
          <t>https://workiva.wd503.myworkdayjobs.com/en-US/careers/job/Principal-Product-Designer_R11461</t>
        </is>
      </c>
    </row>
    <row r="255" ht="119" customHeight="1">
      <c r="A255" s="13" t="inlineStr">
        <is>
          <t>N06</t>
        </is>
      </c>
      <c r="B255" s="16" t="inlineStr">
        <is>
          <t>Lens 1 direct peer</t>
        </is>
      </c>
      <c r="C255" s="211" t="n"/>
      <c r="D255" s="16" t="inlineStr">
        <is>
          <t>Workiva</t>
        </is>
      </c>
      <c r="E255" s="211" t="n"/>
      <c r="F255" s="16" t="inlineStr">
        <is>
          <t>Senior Learning and Development Partner</t>
        </is>
      </c>
      <c r="G255" s="211" t="n"/>
      <c r="H255" s="16" t="inlineStr">
        <is>
          <t>Explicit IC role owning a learning portfolio, facilitation and evaluation.</t>
        </is>
      </c>
      <c r="I255" s="212" t="n"/>
      <c r="J255" s="211" t="n"/>
      <c r="K255" s="16" t="inlineStr">
        <is>
          <t>People-management experience is preferred, not evidence of direct reports in this job.</t>
        </is>
      </c>
      <c r="L255" s="212" t="n"/>
      <c r="M255" s="211" t="n"/>
      <c r="N255" s="16" t="inlineStr">
        <is>
          <t>UK / global remit</t>
        </is>
      </c>
      <c r="O255" s="16" t="inlineStr">
        <is>
          <t>https://workiva.wd503.myworkdayjobs.com/en-US/careers/job/Senior-Learning-and-Development-Partner_R11848</t>
        </is>
      </c>
    </row>
    <row r="256" ht="119" customHeight="1">
      <c r="A256" s="13" t="inlineStr">
        <is>
          <t>N07</t>
        </is>
      </c>
      <c r="B256" s="16" t="inlineStr">
        <is>
          <t>Lens 1 direct peer</t>
        </is>
      </c>
      <c r="C256" s="211" t="n"/>
      <c r="D256" s="16" t="inlineStr">
        <is>
          <t>Workiva</t>
        </is>
      </c>
      <c r="E256" s="211" t="n"/>
      <c r="F256" s="16" t="inlineStr">
        <is>
          <t>Brand Graphic Design Intern, 2027 cohort</t>
        </is>
      </c>
      <c r="G256" s="211" t="n"/>
      <c r="H256" s="16" t="inlineStr">
        <is>
          <t>Mentored brand asset production with review before stakeholder release.</t>
        </is>
      </c>
      <c r="I256" s="212" t="n"/>
      <c r="J256" s="211" t="n"/>
      <c r="K256" s="16" t="inlineStr">
        <is>
          <t>Advertised 2027 programme; listed application deadline predates review. Not an active-vacancy claim.</t>
        </is>
      </c>
      <c r="L256" s="212" t="n"/>
      <c r="M256" s="211" t="n"/>
      <c r="N256" s="16" t="inlineStr">
        <is>
          <t>USA</t>
        </is>
      </c>
      <c r="O256" s="16" t="inlineStr">
        <is>
          <t>https://workiva.wd503.myworkdayjobs.com/en-US/careers/job/Spring---Summer-2027-Intern---Brand-Design_R12318</t>
        </is>
      </c>
    </row>
    <row r="257" ht="119" customHeight="1">
      <c r="A257" s="13" t="inlineStr">
        <is>
          <t>N08</t>
        </is>
      </c>
      <c r="B257" s="16" t="inlineStr">
        <is>
          <t>Lens 1 direct peer</t>
        </is>
      </c>
      <c r="C257" s="211" t="n"/>
      <c r="D257" s="16" t="inlineStr">
        <is>
          <t>Workiva</t>
        </is>
      </c>
      <c r="E257" s="211" t="n"/>
      <c r="F257" s="16" t="inlineStr">
        <is>
          <t>Marketing Intern, 2027 cohort</t>
        </is>
      </c>
      <c r="G257" s="211" t="n"/>
      <c r="H257" s="16" t="inlineStr">
        <is>
          <t>Entry tasks span campaigns, CRM data, automation, content and events.</t>
        </is>
      </c>
      <c r="I257" s="212" t="n"/>
      <c r="J257" s="211" t="n"/>
      <c r="K257" s="16" t="inlineStr">
        <is>
          <t>Entry exposure only; listed September 2026 deadline has passed.</t>
        </is>
      </c>
      <c r="L257" s="212" t="n"/>
      <c r="M257" s="211" t="n"/>
      <c r="N257" s="16" t="inlineStr">
        <is>
          <t>USA</t>
        </is>
      </c>
      <c r="O257" s="16" t="inlineStr">
        <is>
          <t>https://workiva.wd503.myworkdayjobs.com/careers/job/usa---remote/spring---summer-2027-intern---marketing_r12193</t>
        </is>
      </c>
    </row>
    <row r="258" ht="106" customHeight="1">
      <c r="A258" s="13" t="inlineStr">
        <is>
          <t>N09</t>
        </is>
      </c>
      <c r="B258" s="16" t="inlineStr">
        <is>
          <t>Lens 1 direct peer</t>
        </is>
      </c>
      <c r="C258" s="211" t="n"/>
      <c r="D258" s="16" t="inlineStr">
        <is>
          <t>Workiva</t>
        </is>
      </c>
      <c r="E258" s="211" t="n"/>
      <c r="F258" s="16" t="inlineStr">
        <is>
          <t>Senior Campaign Manager</t>
        </is>
      </c>
      <c r="G258" s="211" t="n"/>
      <c r="H258" s="16" t="inlineStr">
        <is>
          <t>Integrated campaign ownership, channel decisions and pipeline accountability.</t>
        </is>
      </c>
      <c r="I258" s="212" t="n"/>
      <c r="J258" s="211" t="n"/>
      <c r="K258" s="16" t="inlineStr">
        <is>
          <t>Manager title does not establish direct reports.</t>
        </is>
      </c>
      <c r="L258" s="212" t="n"/>
      <c r="M258" s="211" t="n"/>
      <c r="N258" s="16" t="inlineStr">
        <is>
          <t>USA</t>
        </is>
      </c>
      <c r="O258" s="16" t="inlineStr">
        <is>
          <t>https://workiva.wd503.myworkdayjobs.com/careers/job/usa---remote/senior-campaign-manager_r12423-1</t>
        </is>
      </c>
    </row>
    <row r="259" ht="119" customHeight="1">
      <c r="A259" s="13" t="inlineStr">
        <is>
          <t>N10</t>
        </is>
      </c>
      <c r="B259" s="16" t="inlineStr">
        <is>
          <t>Lens 1 direct peer</t>
        </is>
      </c>
      <c r="C259" s="211" t="n"/>
      <c r="D259" s="16" t="inlineStr">
        <is>
          <t>Workiva</t>
        </is>
      </c>
      <c r="E259" s="211" t="n"/>
      <c r="F259" s="16" t="inlineStr">
        <is>
          <t>Product Marketing Operations Director</t>
        </is>
      </c>
      <c r="G259" s="211" t="n"/>
      <c r="H259" s="16" t="inlineStr">
        <is>
          <t>Explicit IC director role owning planning, budgets and cross-functional operating cadence.</t>
        </is>
      </c>
      <c r="I259" s="212" t="n"/>
      <c r="J259" s="211" t="n"/>
      <c r="K259" s="16" t="inlineStr">
        <is>
          <t>Not the same job as marketing automation; important title/track counterexample.</t>
        </is>
      </c>
      <c r="L259" s="212" t="n"/>
      <c r="M259" s="211" t="n"/>
      <c r="N259" s="16" t="inlineStr">
        <is>
          <t>USA</t>
        </is>
      </c>
      <c r="O259" s="16" t="inlineStr">
        <is>
          <t>https://workiva.wd503.myworkdayjobs.com/en-US/careers/job/Product-Marketing-Operations-Director_R12164</t>
        </is>
      </c>
    </row>
    <row r="260" ht="145" customHeight="1">
      <c r="A260" s="13" t="inlineStr">
        <is>
          <t>N11</t>
        </is>
      </c>
      <c r="B260" s="16" t="inlineStr">
        <is>
          <t>Lens 1 direct peer</t>
        </is>
      </c>
      <c r="C260" s="211" t="n"/>
      <c r="D260" s="16" t="inlineStr">
        <is>
          <t>Workiva</t>
        </is>
      </c>
      <c r="E260" s="211" t="n"/>
      <c r="F260" s="16" t="inlineStr">
        <is>
          <t>Sales Development Representative, SLED</t>
        </is>
      </c>
      <c r="G260" s="211" t="n"/>
      <c r="H260" s="16" t="inlineStr">
        <is>
          <t>Prospecting and qualification feed account executives.</t>
        </is>
      </c>
      <c r="I260" s="212" t="n"/>
      <c r="J260" s="211" t="n"/>
      <c r="K260" s="16" t="inlineStr">
        <is>
          <t>US public-sector segment; do not transplant activity quotas.</t>
        </is>
      </c>
      <c r="L260" s="212" t="n"/>
      <c r="M260" s="211" t="n"/>
      <c r="N260" s="16" t="inlineStr">
        <is>
          <t>USA</t>
        </is>
      </c>
      <c r="O260" s="16" t="inlineStr">
        <is>
          <t>https://workiva.wd503.myworkdayjobs.com/en-US/careers/job/Territory-Development-Representative---State--Local---Education--SLED-_R12066</t>
        </is>
      </c>
    </row>
    <row r="261" ht="132" customHeight="1">
      <c r="A261" s="13" t="inlineStr">
        <is>
          <t>N12</t>
        </is>
      </c>
      <c r="B261" s="16" t="inlineStr">
        <is>
          <t>Lens 1 direct peer</t>
        </is>
      </c>
      <c r="C261" s="211" t="n"/>
      <c r="D261" s="16" t="inlineStr">
        <is>
          <t>Workiva</t>
        </is>
      </c>
      <c r="E261" s="211" t="n"/>
      <c r="F261" s="16" t="inlineStr">
        <is>
          <t>Account Executive, SLED</t>
        </is>
      </c>
      <c r="G261" s="211" t="n"/>
      <c r="H261" s="16" t="inlineStr">
        <is>
          <t>Owns acquisition, expansion, commercial forecasting and closing.</t>
        </is>
      </c>
      <c r="I261" s="212" t="n"/>
      <c r="J261" s="211" t="n"/>
      <c r="K261" s="16" t="inlineStr">
        <is>
          <t>Account sales is distinct from SDR qualification; no grade inferred.</t>
        </is>
      </c>
      <c r="L261" s="212" t="n"/>
      <c r="M261" s="211" t="n"/>
      <c r="N261" s="16" t="inlineStr">
        <is>
          <t>USA</t>
        </is>
      </c>
      <c r="O261" s="16" t="inlineStr">
        <is>
          <t>https://workiva.wd503.myworkdayjobs.com/careers/job/usa---remote/account-executive---state--local---education--sled-_r12020</t>
        </is>
      </c>
    </row>
    <row r="262" ht="106" customHeight="1">
      <c r="A262" s="13" t="inlineStr">
        <is>
          <t>N13</t>
        </is>
      </c>
      <c r="B262" s="16" t="inlineStr">
        <is>
          <t>Lens 1 direct peer</t>
        </is>
      </c>
      <c r="C262" s="211" t="n"/>
      <c r="D262" s="16" t="inlineStr">
        <is>
          <t>Workiva</t>
        </is>
      </c>
      <c r="E262" s="211" t="n"/>
      <c r="F262" s="16" t="inlineStr">
        <is>
          <t>Senior Account Executive, SLED</t>
        </is>
      </c>
      <c r="G262" s="211" t="n"/>
      <c r="H262" s="16" t="inlineStr">
        <is>
          <t>Senior account-executive title and enterprise sales duties are published.</t>
        </is>
      </c>
      <c r="I262" s="212" t="n"/>
      <c r="J262" s="211" t="n"/>
      <c r="K262" s="16" t="inlineStr">
        <is>
          <r>
            <rPr>
              <rFont val="Calibri"/>
              <b val="1"/>
              <sz val="10"/>
            </rPr>
            <t>Similar duties to AE listing:</t>
          </r>
          <r>
            <rPr>
              <rFont val="Calibri"/>
              <sz val="10"/>
            </rPr>
            <t xml:space="preserve"> precise step-up in scope is not established.</t>
          </r>
        </is>
      </c>
      <c r="L262" s="212" t="n"/>
      <c r="M262" s="211" t="n"/>
      <c r="N262" s="16" t="inlineStr">
        <is>
          <t>USA</t>
        </is>
      </c>
      <c r="O262" s="16" t="inlineStr">
        <is>
          <t>https://workiva.wd503.myworkdayjobs.com/en-US/careers/job/Senior-Account-Executive---SLED_R12096</t>
        </is>
      </c>
    </row>
    <row r="263" ht="119" customHeight="1">
      <c r="A263" s="13" t="inlineStr">
        <is>
          <t>N14</t>
        </is>
      </c>
      <c r="B263" s="16" t="inlineStr">
        <is>
          <t>Lens 1 direct peer</t>
        </is>
      </c>
      <c r="C263" s="211" t="n"/>
      <c r="D263" s="16" t="inlineStr">
        <is>
          <t>Workiva</t>
        </is>
      </c>
      <c r="E263" s="211" t="n"/>
      <c r="F263" s="16" t="inlineStr">
        <is>
          <t>Senior Partner Sales Executive</t>
        </is>
      </c>
      <c r="G263" s="211" t="n"/>
      <c r="H263" s="16" t="inlineStr">
        <is>
          <t>Partner GTM responsibility with a partnerships director reporting line.</t>
        </is>
      </c>
      <c r="I263" s="212" t="n"/>
      <c r="J263" s="211" t="n"/>
      <c r="K263" s="16" t="inlineStr">
        <is>
          <t>Brazil-specific role; not proof of the full alliance hierarchy.</t>
        </is>
      </c>
      <c r="L263" s="212" t="n"/>
      <c r="M263" s="211" t="n"/>
      <c r="N263" s="16" t="inlineStr">
        <is>
          <t>Brazil</t>
        </is>
      </c>
      <c r="O263" s="16" t="inlineStr">
        <is>
          <t>https://workiva.wd503.myworkdayjobs.com/careers/job/remote---brazil/senior-partner-sales-executive---brazil_r12195</t>
        </is>
      </c>
    </row>
    <row r="264" ht="119" customHeight="1">
      <c r="A264" s="13" t="inlineStr">
        <is>
          <t>N15</t>
        </is>
      </c>
      <c r="B264" s="16" t="inlineStr">
        <is>
          <t>Lens 1 direct peer</t>
        </is>
      </c>
      <c r="C264" s="211" t="n"/>
      <c r="D264" s="16" t="inlineStr">
        <is>
          <t>Workiva</t>
        </is>
      </c>
      <c r="E264" s="211" t="n"/>
      <c r="F264" s="16" t="inlineStr">
        <is>
          <t>Customer Success Manager</t>
        </is>
      </c>
      <c r="G264" s="211" t="n"/>
      <c r="H264" s="16" t="inlineStr">
        <is>
          <t>Assigned accounts, adoption, customer outcomes and renewal coordination.</t>
        </is>
      </c>
      <c r="I264" s="212" t="n"/>
      <c r="J264" s="211" t="n"/>
      <c r="K264" s="16" t="inlineStr">
        <is>
          <t>Language and territory requirements are local overlays.</t>
        </is>
      </c>
      <c r="L264" s="212" t="n"/>
      <c r="M264" s="211" t="n"/>
      <c r="N264" s="16" t="inlineStr">
        <is>
          <t>Netherlands / Sweden</t>
        </is>
      </c>
      <c r="O264" s="16" t="inlineStr">
        <is>
          <t>https://workiva.wd503.myworkdayjobs.com/en-US/careers/job/Customer-Success-Manager---Finnish-Speaker_R11553-1</t>
        </is>
      </c>
    </row>
    <row r="265" ht="132" customHeight="1">
      <c r="A265" s="13" t="inlineStr">
        <is>
          <t>N16</t>
        </is>
      </c>
      <c r="B265" s="16" t="inlineStr">
        <is>
          <t>Lens 1 direct peer</t>
        </is>
      </c>
      <c r="C265" s="211" t="n"/>
      <c r="D265" s="16" t="inlineStr">
        <is>
          <t>Workiva</t>
        </is>
      </c>
      <c r="E265" s="211" t="n"/>
      <c r="F265" s="16" t="inlineStr">
        <is>
          <t>Lead Customer Success Manager, Public Sector</t>
        </is>
      </c>
      <c r="G265" s="211" t="n"/>
      <c r="H265" s="16" t="inlineStr">
        <is>
          <t>Complex public-sector account portfolios, executive engagement and escalations.</t>
        </is>
      </c>
      <c r="I265" s="212" t="n"/>
      <c r="J265" s="211" t="n"/>
      <c r="K265" s="16" t="inlineStr">
        <is>
          <t>Cross-geography comparison with N15 is directional, not a certified promotion sequence.</t>
        </is>
      </c>
      <c r="L265" s="212" t="n"/>
      <c r="M265" s="211" t="n"/>
      <c r="N265" s="16" t="inlineStr">
        <is>
          <t>USA</t>
        </is>
      </c>
      <c r="O265" s="16" t="inlineStr">
        <is>
          <t>https://workiva.wd503.myworkdayjobs.com/careers/job/usa---remote/lead-customer-success-manager--public-sector_r12417</t>
        </is>
      </c>
    </row>
    <row r="266" ht="106" customHeight="1">
      <c r="A266" s="13" t="inlineStr">
        <is>
          <t>N17</t>
        </is>
      </c>
      <c r="B266" s="16" t="inlineStr">
        <is>
          <t>Lens 1 direct peer</t>
        </is>
      </c>
      <c r="C266" s="211" t="n"/>
      <c r="D266" s="16" t="inlineStr">
        <is>
          <t>Workiva</t>
        </is>
      </c>
      <c r="E266" s="211" t="n"/>
      <c r="F266" s="16" t="inlineStr">
        <is>
          <t>VP of Customer Experience</t>
        </is>
      </c>
      <c r="G266" s="211" t="n"/>
      <c r="H266" s="16" t="inlineStr">
        <is>
          <t>Broad support, customer education, community and digital-experience leadership.</t>
        </is>
      </c>
      <c r="I266" s="212" t="n"/>
      <c r="J266" s="211" t="n"/>
      <c r="K266" s="16" t="inlineStr">
        <is>
          <t>A shared functional destination, not a separate VP for every support specialism.</t>
        </is>
      </c>
      <c r="L266" s="212" t="n"/>
      <c r="M266" s="211" t="n"/>
      <c r="N266" s="16" t="inlineStr">
        <is>
          <t>USA</t>
        </is>
      </c>
      <c r="O266" s="16" t="inlineStr">
        <is>
          <t>https://workiva.wd503.myworkdayjobs.com/careers/job/USA---Remote/VP-of-Customer-Experience_R11897</t>
        </is>
      </c>
    </row>
    <row r="267" ht="93" customHeight="1">
      <c r="A267" s="13" t="inlineStr">
        <is>
          <t>N18</t>
        </is>
      </c>
      <c r="B267" s="16" t="inlineStr">
        <is>
          <t>Lens 1 direct peer</t>
        </is>
      </c>
      <c r="C267" s="211" t="n"/>
      <c r="D267" s="16" t="inlineStr">
        <is>
          <t>Workiva</t>
        </is>
      </c>
      <c r="E267" s="211" t="n"/>
      <c r="F267" s="16" t="inlineStr">
        <is>
          <t>Product Support Engineer</t>
        </is>
      </c>
      <c r="G267" s="211" t="n"/>
      <c r="H267" s="16" t="inlineStr">
        <is>
          <t>Product diagnosis, customer cases, knowledge articles and junior mentoring.</t>
        </is>
      </c>
      <c r="I267" s="212" t="n"/>
      <c r="J267" s="211" t="n"/>
      <c r="K267" s="16" t="inlineStr">
        <is>
          <t>Customer product support, not internal employee IT.</t>
        </is>
      </c>
      <c r="L267" s="212" t="n"/>
      <c r="M267" s="211" t="n"/>
      <c r="N267" s="16" t="inlineStr">
        <is>
          <t>UK / Netherlands</t>
        </is>
      </c>
      <c r="O267" s="16" t="inlineStr">
        <is>
          <t>https://workiva.wd503.myworkdayjobs.com/en-US/careers/job/Product-Support-Engineer_R11734</t>
        </is>
      </c>
    </row>
    <row r="268" ht="132" customHeight="1">
      <c r="A268" s="13" t="inlineStr">
        <is>
          <t>N19</t>
        </is>
      </c>
      <c r="B268" s="16" t="inlineStr">
        <is>
          <t>Lens 1 direct peer</t>
        </is>
      </c>
      <c r="C268" s="211" t="n"/>
      <c r="D268" s="16" t="inlineStr">
        <is>
          <t>Workiva</t>
        </is>
      </c>
      <c r="E268" s="211" t="n"/>
      <c r="F268" s="16" t="inlineStr">
        <is>
          <t>Senior Manager of Product Support</t>
        </is>
      </c>
      <c r="G268" s="211" t="n"/>
      <c r="H268" s="16" t="inlineStr">
        <is>
          <t>Formal support-team leadership and full performance-cycle ownership.</t>
        </is>
      </c>
      <c r="I268" s="212" t="n"/>
      <c r="J268" s="211" t="n"/>
      <c r="K268" s="16" t="inlineStr">
        <is>
          <t>Evidence distinguishes people management from technical case leadership.</t>
        </is>
      </c>
      <c r="L268" s="212" t="n"/>
      <c r="M268" s="211" t="n"/>
      <c r="N268" s="16" t="inlineStr">
        <is>
          <t>Netherlands</t>
        </is>
      </c>
      <c r="O268" s="16" t="inlineStr">
        <is>
          <t>https://workiva.wd503.myworkdayjobs.com/en-US/careers/job/Senior-Manager-of-Product-Support---FRX---Capital-Markets_R11869</t>
        </is>
      </c>
    </row>
    <row r="269" ht="119" customHeight="1">
      <c r="A269" s="13" t="inlineStr">
        <is>
          <t>N20</t>
        </is>
      </c>
      <c r="B269" s="16" t="inlineStr">
        <is>
          <t>Lens 1 direct peer</t>
        </is>
      </c>
      <c r="C269" s="211" t="n"/>
      <c r="D269" s="16" t="inlineStr">
        <is>
          <t>Workiva</t>
        </is>
      </c>
      <c r="E269" s="211" t="n"/>
      <c r="F269" s="16" t="inlineStr">
        <is>
          <t>Senior AV Engineer</t>
        </is>
      </c>
      <c r="G269" s="211" t="n"/>
      <c r="H269" s="16" t="inlineStr">
        <is>
          <t>Independently recommends equipment and coordinates vendors without purchasing authority.</t>
        </is>
      </c>
      <c r="I269" s="212" t="n"/>
      <c r="J269" s="211" t="n"/>
      <c r="K269" s="16" t="inlineStr">
        <is>
          <t>Adjacent to workplace/IT, not a facilities or procurement ladder.</t>
        </is>
      </c>
      <c r="L269" s="212" t="n"/>
      <c r="M269" s="211" t="n"/>
      <c r="N269" s="16" t="inlineStr">
        <is>
          <t>USA</t>
        </is>
      </c>
      <c r="O269" s="16" t="inlineStr">
        <is>
          <t>https://workiva.wd503.myworkdayjobs.com/en-US/careers/job/Senior-AV-Engineer---Hybrid--Ames--IA-Office-_R11923</t>
        </is>
      </c>
    </row>
    <row r="270" ht="67" customHeight="1">
      <c r="A270" s="13" t="inlineStr">
        <is>
          <t>N21</t>
        </is>
      </c>
      <c r="B270" s="16" t="inlineStr">
        <is>
          <t>Lens 1 direct peer</t>
        </is>
      </c>
      <c r="C270" s="211" t="n"/>
      <c r="D270" s="16" t="inlineStr">
        <is>
          <t>Regnology</t>
        </is>
      </c>
      <c r="E270" s="211" t="n"/>
      <c r="F270" s="16" t="inlineStr">
        <is>
          <t>IT Technical Writer</t>
        </is>
      </c>
      <c r="G270" s="211" t="n"/>
      <c r="H270" s="16" t="inlineStr">
        <is>
          <t>Banking-product documentation, domain accuracy and documentation-as-code.</t>
        </is>
      </c>
      <c r="I270" s="212" t="n"/>
      <c r="J270" s="211" t="n"/>
      <c r="K270" s="16" t="inlineStr">
        <is>
          <t>Distinct from document conversion; supports a proposed technical-writing branch.</t>
        </is>
      </c>
      <c r="L270" s="212" t="n"/>
      <c r="M270" s="211" t="n"/>
      <c r="N270" s="16" t="inlineStr">
        <is>
          <t>Tunisia</t>
        </is>
      </c>
      <c r="O270" s="16" t="inlineStr">
        <is>
          <t>https://www.regnology.net/en/careers/detail/?id=2644483</t>
        </is>
      </c>
    </row>
    <row r="271" ht="67" customHeight="1">
      <c r="A271" s="13" t="inlineStr">
        <is>
          <t>N22</t>
        </is>
      </c>
      <c r="B271" s="16" t="inlineStr">
        <is>
          <t>Lens 2 domain practice</t>
        </is>
      </c>
      <c r="C271" s="211" t="n"/>
      <c r="D271" s="16" t="inlineStr">
        <is>
          <t>Dropbox</t>
        </is>
      </c>
      <c r="E271" s="211" t="n"/>
      <c r="F271" s="16" t="inlineStr">
        <is>
          <t>Engineering career framework v2.9.1</t>
        </is>
      </c>
      <c r="G271" s="211" t="n"/>
      <c r="H271" s="16" t="inlineStr">
        <is>
          <t>Separate software, QA, SDET, reliability, ML, data, security and management paths.</t>
        </is>
      </c>
      <c r="I271" s="212" t="n"/>
      <c r="J271" s="211" t="n"/>
      <c r="K271" s="16" t="inlineStr">
        <is>
          <t>Published discipline paths differ in length. Neither Dropbox codes nor pay levels are copied.</t>
        </is>
      </c>
      <c r="L271" s="212" t="n"/>
      <c r="M271" s="211" t="n"/>
      <c r="N271" s="16" t="inlineStr">
        <is>
          <t>Global</t>
        </is>
      </c>
      <c r="O271" s="16" t="inlineStr">
        <is>
          <t>https://dropbox.github.io/dbx-career-framework/index.html</t>
        </is>
      </c>
    </row>
    <row r="272" ht="41" customHeight="1">
      <c r="A272" s="13" t="inlineStr">
        <is>
          <t>N23</t>
        </is>
      </c>
      <c r="B272" s="16" t="inlineStr">
        <is>
          <t>Lens 2 other sector</t>
        </is>
      </c>
      <c r="C272" s="211" t="n"/>
      <c r="D272" s="16" t="inlineStr">
        <is>
          <t>Wise</t>
        </is>
      </c>
      <c r="E272" s="211" t="n"/>
      <c r="F272" s="16" t="inlineStr">
        <is>
          <t>Product career map</t>
        </is>
      </c>
      <c r="G272" s="211" t="n"/>
      <c r="H272" s="16" t="inlineStr">
        <is>
          <t>Product ownership expands from features through broader product and team portfolios.</t>
        </is>
      </c>
      <c r="I272" s="212" t="n"/>
      <c r="J272" s="211" t="n"/>
      <c r="K272" s="16" t="inlineStr">
        <is>
          <t>Company-specific path; leadership terms do not automatically mean people management.</t>
        </is>
      </c>
      <c r="L272" s="212" t="n"/>
      <c r="M272" s="211" t="n"/>
      <c r="N272" s="16" t="inlineStr">
        <is>
          <t>Global</t>
        </is>
      </c>
      <c r="O272" s="16" t="inlineStr">
        <is>
          <t>https://wise.jobs/product-career-map</t>
        </is>
      </c>
    </row>
    <row r="273" ht="41" customHeight="1">
      <c r="A273" s="13" t="inlineStr">
        <is>
          <t>N24</t>
        </is>
      </c>
      <c r="B273" s="16" t="inlineStr">
        <is>
          <t>Lens 2 other sector</t>
        </is>
      </c>
      <c r="C273" s="211" t="n"/>
      <c r="D273" s="16" t="inlineStr">
        <is>
          <t>Wise</t>
        </is>
      </c>
      <c r="E273" s="211" t="n"/>
      <c r="F273" s="16" t="inlineStr">
        <is>
          <t>Analytics career map</t>
        </is>
      </c>
      <c r="G273" s="211" t="n"/>
      <c r="H273" s="16" t="inlineStr">
        <is>
          <t>Separate IC and analytics leadership paths; responsibility and skills are distinct.</t>
        </is>
      </c>
      <c r="I273" s="212" t="n"/>
      <c r="J273" s="211" t="n"/>
      <c r="K273" s="16" t="inlineStr">
        <is>
          <t>Published job expectations support scope design; salary figures excluded.</t>
        </is>
      </c>
      <c r="L273" s="212" t="n"/>
      <c r="M273" s="211" t="n"/>
      <c r="N273" s="16" t="inlineStr">
        <is>
          <t>Global</t>
        </is>
      </c>
      <c r="O273" s="16" t="inlineStr">
        <is>
          <t>https://wise.jobs/analytics-career-map</t>
        </is>
      </c>
    </row>
    <row r="274" ht="54" customHeight="1">
      <c r="A274" s="13" t="inlineStr">
        <is>
          <t>N25</t>
        </is>
      </c>
      <c r="B274" s="16" t="inlineStr">
        <is>
          <t>Lens 2 other sector</t>
        </is>
      </c>
      <c r="C274" s="211" t="n"/>
      <c r="D274" s="16" t="inlineStr">
        <is>
          <t>Wise</t>
        </is>
      </c>
      <c r="E274" s="211" t="n"/>
      <c r="F274" s="16" t="inlineStr">
        <is>
          <t>Data science career map</t>
        </is>
      </c>
      <c r="G274" s="211" t="n"/>
      <c r="H274" s="16" t="inlineStr">
        <is>
          <t>Published data-science levels describe wider ownership, problem solving and influence.</t>
        </is>
      </c>
      <c r="I274" s="212" t="n"/>
      <c r="J274" s="211" t="n"/>
      <c r="K274" s="16" t="inlineStr">
        <is>
          <t>Data-science evidence replaces the V1 use of data-engineering titles for this discipline.</t>
        </is>
      </c>
      <c r="L274" s="212" t="n"/>
      <c r="M274" s="211" t="n"/>
      <c r="N274" s="16" t="inlineStr">
        <is>
          <t>Global</t>
        </is>
      </c>
      <c r="O274" s="16" t="inlineStr">
        <is>
          <t>https://wise.jobs/data-science-career-map</t>
        </is>
      </c>
    </row>
    <row r="275" ht="119" customHeight="1">
      <c r="A275" s="13" t="inlineStr">
        <is>
          <t>N26</t>
        </is>
      </c>
      <c r="B275" s="16" t="inlineStr">
        <is>
          <t>Lens 2 professional standard</t>
        </is>
      </c>
      <c r="C275" s="211" t="n"/>
      <c r="D275" s="16" t="inlineStr">
        <is>
          <t>NIST</t>
        </is>
      </c>
      <c r="E275" s="211" t="n"/>
      <c r="F275" s="16" t="inlineStr">
        <is>
          <t>NICE framework current components</t>
        </is>
      </c>
      <c r="G275" s="211" t="n"/>
      <c r="H275" s="16" t="inlineStr">
        <is>
          <t>Separates cybersecurity work roles, tasks, knowledge and skills; current listed components v2.2.0.</t>
        </is>
      </c>
      <c r="I275" s="212" t="n"/>
      <c r="J275" s="211" t="n"/>
      <c r="K275" s="16" t="inlineStr">
        <is>
          <t>Work roles are not corporate grades. Retain version and do not infer maturity from title.</t>
        </is>
      </c>
      <c r="L275" s="212" t="n"/>
      <c r="M275" s="211" t="n"/>
      <c r="N275" s="16" t="inlineStr">
        <is>
          <t>Global</t>
        </is>
      </c>
      <c r="O275" s="16" t="inlineStr">
        <is>
          <t>https://www.nist.gov/itl/applied-cybersecurity/nice/nice-framework-resource-center/nice-framework-current-versions</t>
        </is>
      </c>
    </row>
    <row r="276" ht="132" customHeight="1">
      <c r="A276" s="13" t="inlineStr">
        <is>
          <t>N27</t>
        </is>
      </c>
      <c r="B276" s="16" t="inlineStr">
        <is>
          <t>Method</t>
        </is>
      </c>
      <c r="C276" s="211" t="n"/>
      <c r="D276" s="16" t="inlineStr">
        <is>
          <t>ILO</t>
        </is>
      </c>
      <c r="E276" s="211" t="n"/>
      <c r="F276" s="16" t="inlineStr">
        <is>
          <t>Gender-neutral job evaluation guide</t>
        </is>
      </c>
      <c r="G276" s="211" t="n"/>
      <c r="H276" s="16" t="inlineStr">
        <is>
          <t>Analytical evaluation considers skills, effort, responsibility and working conditions.</t>
        </is>
      </c>
      <c r="I276" s="212" t="n"/>
      <c r="J276" s="211" t="n"/>
      <c r="K276" s="16" t="inlineStr">
        <is>
          <t>2009 methodology, not a validation of the proposed weights or current legal advice.</t>
        </is>
      </c>
      <c r="L276" s="212" t="n"/>
      <c r="M276" s="211" t="n"/>
      <c r="N276" s="16" t="inlineStr">
        <is>
          <t>Global</t>
        </is>
      </c>
      <c r="O276" s="16" t="inlineStr">
        <is>
          <t>https://www.ilo.org/sites/default/files/wcmsp5/groups/public/%40ed_norm/%40declaration/documents/publication/wcms_122372.pdf</t>
        </is>
      </c>
    </row>
    <row r="277" ht="80" customHeight="1">
      <c r="A277" s="13" t="inlineStr">
        <is>
          <t>N28</t>
        </is>
      </c>
      <c r="B277" s="16" t="inlineStr">
        <is>
          <t>Lens 2 professional standard</t>
        </is>
      </c>
      <c r="C277" s="211" t="n"/>
      <c r="D277" s="16" t="inlineStr">
        <is>
          <t>Chartered Governance Institute</t>
        </is>
      </c>
      <c r="E277" s="211" t="n"/>
      <c r="F277" s="16" t="inlineStr">
        <is>
          <t>Governance competency framework</t>
        </is>
      </c>
      <c r="G277" s="211" t="n"/>
      <c r="H277" s="16" t="inlineStr">
        <is>
          <t>Governance capability develops through entry, emerging, established and expert stages.</t>
        </is>
      </c>
      <c r="I277" s="212" t="n"/>
      <c r="J277" s="211" t="n"/>
      <c r="K277" s="16" t="inlineStr">
        <is>
          <t>Competence stages are not statutory appointments or corporate grades.</t>
        </is>
      </c>
      <c r="L277" s="212" t="n"/>
      <c r="M277" s="211" t="n"/>
      <c r="N277" s="16" t="inlineStr">
        <is>
          <t>Global</t>
        </is>
      </c>
      <c r="O277" s="16" t="inlineStr">
        <is>
          <t>https://www.cgi.org.uk/qualifications-training/competency-framework/</t>
        </is>
      </c>
    </row>
    <row r="278" ht="80" customHeight="1">
      <c r="A278" s="13" t="inlineStr">
        <is>
          <t>N29</t>
        </is>
      </c>
      <c r="B278" s="16" t="inlineStr">
        <is>
          <t>Lens 2 professional standard</t>
        </is>
      </c>
      <c r="C278" s="211" t="n"/>
      <c r="D278" s="16" t="inlineStr">
        <is>
          <t>Association of Corporate Treasurers</t>
        </is>
      </c>
      <c r="E278" s="211" t="n"/>
      <c r="F278" s="16" t="inlineStr">
        <is>
          <t>Treasury competency framework</t>
        </is>
      </c>
      <c r="G278" s="211" t="n"/>
      <c r="H278" s="16" t="inlineStr">
        <is>
          <t>Treasury has tactical, operational, managerial and strategic responsibility contexts.</t>
        </is>
      </c>
      <c r="I278" s="212" t="n"/>
      <c r="J278" s="211" t="n"/>
      <c r="K278" s="16" t="inlineStr">
        <is>
          <t>Use treasury scope; salary guidance and external level codes are excluded.</t>
        </is>
      </c>
      <c r="L278" s="212" t="n"/>
      <c r="M278" s="211" t="n"/>
      <c r="N278" s="16" t="inlineStr">
        <is>
          <t>Global</t>
        </is>
      </c>
      <c r="O278" s="16" t="inlineStr">
        <is>
          <t>https://www.treasurers.org/cpd-and-training/competency-framework/</t>
        </is>
      </c>
    </row>
    <row r="279" ht="80" customHeight="1">
      <c r="A279" s="13" t="inlineStr">
        <is>
          <t>N30</t>
        </is>
      </c>
      <c r="B279" s="16" t="inlineStr">
        <is>
          <t>Lens 2 professional standard</t>
        </is>
      </c>
      <c r="C279" s="211" t="n"/>
      <c r="D279" s="16" t="inlineStr">
        <is>
          <t>APM</t>
        </is>
      </c>
      <c r="E279" s="211" t="n"/>
      <c r="F279" s="16" t="inlineStr">
        <is>
          <t>Competence framework</t>
        </is>
      </c>
      <c r="G279" s="211" t="n"/>
      <c r="H279" s="16" t="inlineStr">
        <is>
          <t>Separate project, programme, portfolio and PMO roles with knowledge/application criteria.</t>
        </is>
      </c>
      <c r="I279" s="212" t="n"/>
      <c r="J279" s="211" t="n"/>
      <c r="K279" s="16" t="inlineStr">
        <is>
          <t>Competency ratings are not job-size grades or a compulsory career sequence.</t>
        </is>
      </c>
      <c r="L279" s="212" t="n"/>
      <c r="M279" s="211" t="n"/>
      <c r="N279" s="16" t="inlineStr">
        <is>
          <t>Global</t>
        </is>
      </c>
      <c r="O279" s="16" t="inlineStr">
        <is>
          <t>https://www.apm.org.uk/resources/find-a-resource/competence-framework/</t>
        </is>
      </c>
    </row>
    <row r="280" ht="93" customHeight="1">
      <c r="A280" s="13" t="inlineStr">
        <is>
          <t>N31</t>
        </is>
      </c>
      <c r="B280" s="16" t="inlineStr">
        <is>
          <t>Lens 2 professional standard</t>
        </is>
      </c>
      <c r="C280" s="211" t="n"/>
      <c r="D280" s="16" t="inlineStr">
        <is>
          <t>ATD</t>
        </is>
      </c>
      <c r="E280" s="211" t="n"/>
      <c r="F280" s="16" t="inlineStr">
        <is>
          <t>Talent Development Capability Model</t>
        </is>
      </c>
      <c r="G280" s="211" t="n"/>
      <c r="H280" s="16" t="inlineStr">
        <is>
          <t>Development capabilities cover personal, professional and organisational practice.</t>
        </is>
      </c>
      <c r="I280" s="212" t="n"/>
      <c r="J280" s="211" t="n"/>
      <c r="K280" s="16" t="inlineStr">
        <is>
          <t>Capability model guides L&amp;D role content; does not grade jobs.</t>
        </is>
      </c>
      <c r="L280" s="212" t="n"/>
      <c r="M280" s="211" t="n"/>
      <c r="N280" s="16" t="inlineStr">
        <is>
          <t>Global</t>
        </is>
      </c>
      <c r="O280" s="16" t="inlineStr">
        <is>
          <t>https://www.td.org/chapters/clc/talent-development-capability-model-chapter-resources</t>
        </is>
      </c>
    </row>
    <row r="281" ht="80" customHeight="1">
      <c r="A281" s="13" t="inlineStr">
        <is>
          <t>N32</t>
        </is>
      </c>
      <c r="B281" s="16" t="inlineStr">
        <is>
          <t>Lens 2 professional standard</t>
        </is>
      </c>
      <c r="C281" s="211" t="n"/>
      <c r="D281" s="16" t="inlineStr">
        <is>
          <t>CIPS</t>
        </is>
      </c>
      <c r="E281" s="211" t="n"/>
      <c r="F281" s="16" t="inlineStr">
        <is>
          <t>Global Standard for procurement and supply</t>
        </is>
      </c>
      <c r="G281" s="211" t="n"/>
      <c r="H281" s="16" t="inlineStr">
        <is>
          <t>Current overview uses Delivering, Managing, Leading and Influencing bands.</t>
        </is>
      </c>
      <c r="I281" s="212" t="n"/>
      <c r="J281" s="211" t="n"/>
      <c r="K281" s="16" t="inlineStr">
        <is>
          <t>Do not carry forward an older five-band model or map qualification levels to grades.</t>
        </is>
      </c>
      <c r="L281" s="212" t="n"/>
      <c r="M281" s="211" t="n"/>
      <c r="N281" s="16" t="inlineStr">
        <is>
          <t>Global</t>
        </is>
      </c>
      <c r="O281" s="16" t="inlineStr">
        <is>
          <t>https://www.cips.org/intelligence-hub/global-standard-for-procurement-supply</t>
        </is>
      </c>
    </row>
    <row r="282" ht="80" customHeight="1">
      <c r="A282" s="13" t="inlineStr">
        <is>
          <t>N33</t>
        </is>
      </c>
      <c r="B282" s="16" t="inlineStr">
        <is>
          <t>Lens 2 professional standard</t>
        </is>
      </c>
      <c r="C282" s="211" t="n"/>
      <c r="D282" s="16" t="inlineStr">
        <is>
          <t>IIA</t>
        </is>
      </c>
      <c r="E282" s="211" t="n"/>
      <c r="F282" s="16" t="inlineStr">
        <is>
          <t>Internal Auditing Competency Framework, 2025</t>
        </is>
      </c>
      <c r="G282" s="211" t="n"/>
      <c r="H282" s="16" t="inlineStr">
        <is>
          <t>Updated guidance identifies audit knowledge, skills and proficiency expectations.</t>
        </is>
      </c>
      <c r="I282" s="212" t="n"/>
      <c r="J282" s="211" t="n"/>
      <c r="K282" s="16" t="inlineStr">
        <is>
          <t>Overview only; detailed member templates not inspected.</t>
        </is>
      </c>
      <c r="L282" s="212" t="n"/>
      <c r="M282" s="211" t="n"/>
      <c r="N282" s="16" t="inlineStr">
        <is>
          <t>Global</t>
        </is>
      </c>
      <c r="O282" s="16" t="inlineStr">
        <is>
          <t>https://www.theiia.org/en/content/guidance/global/competency-framework/</t>
        </is>
      </c>
    </row>
    <row r="283" ht="158" customHeight="1">
      <c r="A283" s="13" t="inlineStr">
        <is>
          <t>N34</t>
        </is>
      </c>
      <c r="B283" s="16" t="inlineStr">
        <is>
          <t>Lens 2 professional standard</t>
        </is>
      </c>
      <c r="C283" s="211" t="n"/>
      <c r="D283" s="16" t="inlineStr">
        <is>
          <t>ACCA</t>
        </is>
      </c>
      <c r="E283" s="211" t="n"/>
      <c r="F283" s="16" t="inlineStr">
        <is>
          <t>Career Navigator capability model</t>
        </is>
      </c>
      <c r="G283" s="211" t="n"/>
      <c r="H283" s="16" t="inlineStr">
        <is>
          <t>Role requirements combine technical and wider business capabilities across finance careers.</t>
        </is>
      </c>
      <c r="I283" s="212" t="n"/>
      <c r="J283" s="211" t="n"/>
      <c r="K283" s="16" t="inlineStr">
        <is>
          <t>Qualification completion is not automatic corporate seniority.</t>
        </is>
      </c>
      <c r="L283" s="212" t="n"/>
      <c r="M283" s="211" t="n"/>
      <c r="N283" s="16" t="inlineStr">
        <is>
          <t>Global</t>
        </is>
      </c>
      <c r="O283" s="16" t="inlineStr">
        <is>
          <t>https://www.accaglobal.com/gb/en/employer/train-and-develop-finance-talent/what-skills-and-competencies-does-the-acca-qualification-develop.html</t>
        </is>
      </c>
    </row>
    <row r="284" ht="80" customHeight="1">
      <c r="A284" s="13" t="inlineStr">
        <is>
          <t>N35</t>
        </is>
      </c>
      <c r="B284" s="16" t="inlineStr">
        <is>
          <t>Lens 2 other sector</t>
        </is>
      </c>
      <c r="C284" s="211" t="n"/>
      <c r="D284" s="16" t="inlineStr">
        <is>
          <t>Skills England</t>
        </is>
      </c>
      <c r="E284" s="211" t="n"/>
      <c r="F284" s="16" t="inlineStr">
        <is>
          <t>Sales executive occupational standard</t>
        </is>
      </c>
      <c r="G284" s="211" t="n"/>
      <c r="H284" s="16" t="inlineStr">
        <is>
          <t>Sales work includes needs analysis, end-to-end selling and growing accounts.</t>
        </is>
      </c>
      <c r="I284" s="212" t="n"/>
      <c r="J284" s="211" t="n"/>
      <c r="K284" s="16" t="inlineStr">
        <is>
          <t>Apprenticeship level is educational and must not become a job grade.</t>
        </is>
      </c>
      <c r="L284" s="212" t="n"/>
      <c r="M284" s="211" t="n"/>
      <c r="N284" s="16" t="inlineStr">
        <is>
          <t>UK</t>
        </is>
      </c>
      <c r="O284" s="16" t="inlineStr">
        <is>
          <t>https://skillsengland.education.gov.uk/apprenticeship-standards/st0572-v1-1</t>
        </is>
      </c>
    </row>
    <row r="285" ht="41" customHeight="1">
      <c r="A285" s="13" t="inlineStr">
        <is>
          <t>N36</t>
        </is>
      </c>
      <c r="B285" s="16" t="inlineStr">
        <is>
          <t>Lens 2 professional standard</t>
        </is>
      </c>
      <c r="C285" s="211" t="n"/>
      <c r="D285" s="16" t="inlineStr">
        <is>
          <t>IIA</t>
        </is>
      </c>
      <c r="E285" s="211" t="n"/>
      <c r="F285" s="16" t="inlineStr">
        <is>
          <t>Global Internal Audit Standards</t>
        </is>
      </c>
      <c r="G285" s="211" t="n"/>
      <c r="H285" s="16" t="inlineStr">
        <is>
          <t>Professional standards address the effective governance and practice of internal audit.</t>
        </is>
      </c>
      <c r="I285" s="212" t="n"/>
      <c r="J285" s="211" t="n"/>
      <c r="K285" s="16" t="inlineStr">
        <is>
          <t>A role taxonomy must preserve audit independence; it is not a reporting-line mandate for every firm.</t>
        </is>
      </c>
      <c r="L285" s="212" t="n"/>
      <c r="M285" s="211" t="n"/>
      <c r="N285" s="16" t="inlineStr">
        <is>
          <t>Global</t>
        </is>
      </c>
      <c r="O285" s="16" t="inlineStr">
        <is>
          <t>https://www.theiia.org/en/standards/</t>
        </is>
      </c>
    </row>
    <row r="286" ht="54" customHeight="1">
      <c r="A286" s="13" t="inlineStr">
        <is>
          <t>R03</t>
        </is>
      </c>
      <c r="B286" s="16" t="inlineStr">
        <is>
          <t>Lens 1</t>
        </is>
      </c>
      <c r="C286" s="211" t="n"/>
      <c r="D286" s="16" t="inlineStr">
        <is>
          <t>DataTracks</t>
        </is>
      </c>
      <c r="E286" s="211" t="n"/>
      <c r="F286" s="16" t="inlineStr">
        <is>
          <t>Published career openings</t>
        </is>
      </c>
      <c r="G286" s="211" t="n"/>
      <c r="H286" s="16" t="inlineStr">
        <is>
          <t>Associate Document Specialist, Senior Associate Document Specialist and Business Development Executive are published in Chennai.</t>
        </is>
      </c>
      <c r="I286" s="212" t="n"/>
      <c r="J286" s="211" t="n"/>
      <c r="K286" s="16" t="inlineStr">
        <is>
          <t>Observable role titles only. No complete manager-to-executive ladder is published on this page.</t>
        </is>
      </c>
      <c r="L286" s="212" t="n"/>
      <c r="M286" s="211" t="n"/>
      <c r="N286" s="16" t="inlineStr">
        <is>
          <t>India</t>
        </is>
      </c>
      <c r="O286" s="16" t="inlineStr">
        <is>
          <t>https://datatracks.com/careers/</t>
        </is>
      </c>
    </row>
    <row r="287" ht="67" customHeight="1">
      <c r="A287" s="13" t="inlineStr">
        <is>
          <t>R05</t>
        </is>
      </c>
      <c r="B287" s="16" t="inlineStr">
        <is>
          <t>Lens 1</t>
        </is>
      </c>
      <c r="C287" s="211" t="n"/>
      <c r="D287" s="16" t="inlineStr">
        <is>
          <t>Regnology</t>
        </is>
      </c>
      <c r="E287" s="211" t="n"/>
      <c r="F287" s="16" t="inlineStr">
        <is>
          <t>Senior risk consultant</t>
        </is>
      </c>
      <c r="G287" s="211" t="n"/>
      <c r="H287" s="16" t="inlineStr">
        <is>
          <t>A senior risk consultant is described as a domain expert delivering functional financial-institution implementations.</t>
        </is>
      </c>
      <c r="I287" s="212" t="n"/>
      <c r="J287" s="211" t="n"/>
      <c r="K287" s="16" t="inlineStr">
        <is>
          <t>Risk implementation example from Poland; adjacent to XBRL advisory, not identical. No employer grade equivalence.</t>
        </is>
      </c>
      <c r="L287" s="212" t="n"/>
      <c r="M287" s="211" t="n"/>
      <c r="N287" s="16" t="inlineStr">
        <is>
          <t>Global</t>
        </is>
      </c>
      <c r="O287" s="16" t="inlineStr">
        <is>
          <t>https://regnology.jobs.personio.de/job/2645750?language=en</t>
        </is>
      </c>
    </row>
    <row r="288" ht="93" customHeight="1">
      <c r="A288" s="13" t="inlineStr">
        <is>
          <t>R06</t>
        </is>
      </c>
      <c r="B288" s="16" t="inlineStr">
        <is>
          <t>Lens 1</t>
        </is>
      </c>
      <c r="C288" s="211" t="n"/>
      <c r="D288" s="16" t="inlineStr">
        <is>
          <t>Workiva</t>
        </is>
      </c>
      <c r="E288" s="211" t="n"/>
      <c r="F288" s="16" t="inlineStr">
        <is>
          <t>Staff data engineer</t>
        </is>
      </c>
      <c r="G288" s="211" t="n"/>
      <c r="H288" s="16" t="inlineStr">
        <is>
          <t>The posting assigns ownership of data foundations across GRC engineering.</t>
        </is>
      </c>
      <c r="I288" s="212" t="n"/>
      <c r="J288" s="211" t="n"/>
      <c r="K288" s="16" t="inlineStr">
        <is>
          <t>Same requisition has inconsistent indexed text across locale URLs. Use the data-specific canonical extract; title and full grade remain uncertain.</t>
        </is>
      </c>
      <c r="L288" s="212" t="n"/>
      <c r="M288" s="211" t="n"/>
      <c r="N288" s="16" t="inlineStr">
        <is>
          <t>USA</t>
        </is>
      </c>
      <c r="O288" s="16" t="inlineStr">
        <is>
          <t>https://workiva.wd503.myworkdayjobs.com/careers/job/Staff-Data-Engineer_R12046</t>
        </is>
      </c>
    </row>
    <row r="289" ht="119" customHeight="1">
      <c r="A289" s="13" t="inlineStr">
        <is>
          <t>R08</t>
        </is>
      </c>
      <c r="B289" s="16" t="inlineStr">
        <is>
          <t>Lens 1</t>
        </is>
      </c>
      <c r="C289" s="211" t="n"/>
      <c r="D289" s="16" t="inlineStr">
        <is>
          <t>Workiva</t>
        </is>
      </c>
      <c r="E289" s="211" t="n"/>
      <c r="F289" s="16" t="inlineStr">
        <is>
          <t>Vice president product marketing</t>
        </is>
      </c>
      <c r="G289" s="211" t="n"/>
      <c r="H289" s="16" t="inlineStr">
        <is>
          <t>The position leads portfolio positioning, go-to-market strategy and a large product-marketing team.</t>
        </is>
      </c>
      <c r="I289" s="212" t="n"/>
      <c r="J289" s="211" t="n"/>
      <c r="K289" s="16" t="inlineStr">
        <is>
          <t>Supports functional executive scope. Does not mean every marketing speciality needs a VP.</t>
        </is>
      </c>
      <c r="L289" s="212" t="n"/>
      <c r="M289" s="211" t="n"/>
      <c r="N289" s="16" t="inlineStr">
        <is>
          <t>USA</t>
        </is>
      </c>
      <c r="O289" s="16" t="inlineStr">
        <is>
          <t>https://workiva.wd503.myworkdayjobs.com/careers/job/usa---remote/vice-president-of-product-marketing_r12408</t>
        </is>
      </c>
    </row>
    <row r="290" ht="119" customHeight="1">
      <c r="A290" s="13" t="inlineStr">
        <is>
          <t>R09</t>
        </is>
      </c>
      <c r="B290" s="16" t="inlineStr">
        <is>
          <t>Lens 1</t>
        </is>
      </c>
      <c r="C290" s="211" t="n"/>
      <c r="D290" s="16" t="inlineStr">
        <is>
          <t>Workiva</t>
        </is>
      </c>
      <c r="E290" s="211" t="n"/>
      <c r="F290" s="16" t="inlineStr">
        <is>
          <t>Lead program manager</t>
        </is>
      </c>
      <c r="G290" s="211" t="n"/>
      <c r="H290" s="16" t="inlineStr">
        <is>
          <t>The role coordinates complex cross-functional revenue programs, dependencies, adoption and outcomes.</t>
        </is>
      </c>
      <c r="I290" s="212" t="n"/>
      <c r="J290" s="211" t="n"/>
      <c r="K290" s="16" t="inlineStr">
        <is>
          <t>Program leadership can operate through influence without formal reporting authority.</t>
        </is>
      </c>
      <c r="L290" s="212" t="n"/>
      <c r="M290" s="211" t="n"/>
      <c r="N290" s="16" t="inlineStr">
        <is>
          <t>USA</t>
        </is>
      </c>
      <c r="O290" s="16" t="inlineStr">
        <is>
          <t>https://workiva.wd503.myworkdayjobs.com/careers/job/USA---Remote/Lead-Program-Manager---GTM-Acceleration_R11909</t>
        </is>
      </c>
    </row>
    <row r="291" ht="106" customHeight="1">
      <c r="A291" s="13" t="inlineStr">
        <is>
          <t>R10</t>
        </is>
      </c>
      <c r="B291" s="16" t="inlineStr">
        <is>
          <t>Lens 1</t>
        </is>
      </c>
      <c r="C291" s="211" t="n"/>
      <c r="D291" s="16" t="inlineStr">
        <is>
          <t>Workiva</t>
        </is>
      </c>
      <c r="E291" s="211" t="n"/>
      <c r="F291" s="16" t="inlineStr">
        <is>
          <t>Lead data product manager</t>
        </is>
      </c>
      <c r="G291" s="211" t="n"/>
      <c r="H291" s="16" t="inlineStr">
        <is>
          <t>The position owns data-product requirements, quality and adoption with finance and people stakeholders.</t>
        </is>
      </c>
      <c r="I291" s="212" t="n"/>
      <c r="J291" s="211" t="n"/>
      <c r="K291" s="16" t="inlineStr">
        <is>
          <t>Product ownership is distinct from engineering or people management.</t>
        </is>
      </c>
      <c r="L291" s="212" t="n"/>
      <c r="M291" s="211" t="n"/>
      <c r="N291" s="16" t="inlineStr">
        <is>
          <t>USA</t>
        </is>
      </c>
      <c r="O291" s="16" t="inlineStr">
        <is>
          <t>https://workiva.wd503.myworkdayjobs.com/en-US/careers/job/Lead-Data-Product-Manager_R12042</t>
        </is>
      </c>
    </row>
    <row r="292" ht="54" customHeight="1">
      <c r="A292" s="13" t="inlineStr">
        <is>
          <t>R13</t>
        </is>
      </c>
      <c r="B292" s="16" t="inlineStr">
        <is>
          <t>Lens 1</t>
        </is>
      </c>
      <c r="C292" s="211" t="n"/>
      <c r="D292" s="16" t="inlineStr">
        <is>
          <t>CoreFiling</t>
        </is>
      </c>
      <c r="E292" s="211" t="n"/>
      <c r="F292" s="16" t="inlineStr">
        <is>
          <t>Careers and technical context</t>
        </is>
      </c>
      <c r="G292" s="211" t="n"/>
      <c r="H292" s="16" t="inlineStr">
        <is>
          <t>Careers content links regulatory-domain expertise with Java, microservices, Kubernetes, training and rotations.</t>
        </is>
      </c>
      <c r="I292" s="212" t="n"/>
      <c r="J292" s="211" t="n"/>
      <c r="K292" s="16" t="inlineStr">
        <is>
          <t>Describes development practice but does not publish a full level hierarchy.</t>
        </is>
      </c>
      <c r="L292" s="212" t="n"/>
      <c r="M292" s="211" t="n"/>
      <c r="N292" s="16" t="inlineStr">
        <is>
          <t>Global</t>
        </is>
      </c>
      <c r="O292" s="16" t="inlineStr">
        <is>
          <t>https://www.corefiling.com/company/careers/</t>
        </is>
      </c>
    </row>
    <row r="293" ht="67" customHeight="1">
      <c r="A293" s="13" t="inlineStr">
        <is>
          <t>R16</t>
        </is>
      </c>
      <c r="B293" s="16" t="inlineStr">
        <is>
          <t>Lens 1 adjacent</t>
        </is>
      </c>
      <c r="C293" s="211" t="n"/>
      <c r="D293" s="16" t="inlineStr">
        <is>
          <t>S&amp;P Global</t>
        </is>
      </c>
      <c r="E293" s="211" t="n"/>
      <c r="F293" s="16" t="inlineStr">
        <is>
          <t>Lead data analyst</t>
        </is>
      </c>
      <c r="G293" s="211" t="n"/>
      <c r="H293" s="16" t="inlineStr">
        <is>
          <t>The listed duties include financial-data sourcing, validation, reconciliation and escalation within SOPs.</t>
        </is>
      </c>
      <c r="I293" s="212" t="n"/>
      <c r="J293" s="211" t="n"/>
      <c r="K293" s="16" t="inlineStr">
        <is>
          <t>Lead title coexists with bounded operating duties. Title alone cannot size the role; direct fetch returned 403.</t>
        </is>
      </c>
      <c r="L293" s="212" t="n"/>
      <c r="M293" s="211" t="n"/>
      <c r="N293" s="16" t="inlineStr">
        <is>
          <t>India</t>
        </is>
      </c>
      <c r="O293" s="16" t="inlineStr">
        <is>
          <t>https://careers.spglobal.com/jobs/330702?lang=en-us</t>
        </is>
      </c>
    </row>
    <row r="294" ht="67" customHeight="1">
      <c r="A294" s="13" t="inlineStr">
        <is>
          <t>R19</t>
        </is>
      </c>
      <c r="B294" s="16" t="inlineStr">
        <is>
          <t>Lens 1 adjacent</t>
        </is>
      </c>
      <c r="C294" s="211" t="n"/>
      <c r="D294" s="16" t="inlineStr">
        <is>
          <t>SAP</t>
        </is>
      </c>
      <c r="E294" s="211" t="n"/>
      <c r="F294" s="16" t="inlineStr">
        <is>
          <t>Legal counsel</t>
        </is>
      </c>
      <c r="G294" s="211" t="n"/>
      <c r="H294" s="16" t="inlineStr">
        <is>
          <t>Bangalore counsel role covers independent privacy/AI legal advice, documentation and risk ownership.</t>
        </is>
      </c>
      <c r="I294" s="212" t="n"/>
      <c r="J294" s="211" t="n"/>
      <c r="K294" s="16" t="inlineStr">
        <is>
          <t>Privacy counsel is a legal sub-specialism, not company-secretarial work or the full commercial legal hierarchy.</t>
        </is>
      </c>
      <c r="L294" s="212" t="n"/>
      <c r="M294" s="211" t="n"/>
      <c r="N294" s="16" t="inlineStr">
        <is>
          <t>India</t>
        </is>
      </c>
      <c r="O294" s="16" t="inlineStr">
        <is>
          <t>https://jobs.sap.com/en/jobs/744000153442007/legal-counsel/</t>
        </is>
      </c>
    </row>
    <row r="295" ht="145" customHeight="1">
      <c r="A295" s="13" t="inlineStr">
        <is>
          <t>R20</t>
        </is>
      </c>
      <c r="B295" s="16" t="inlineStr">
        <is>
          <t>Lens 1 adjacent</t>
        </is>
      </c>
      <c r="C295" s="211" t="n"/>
      <c r="D295" s="16" t="inlineStr">
        <is>
          <t>Thomson Reuters</t>
        </is>
      </c>
      <c r="E295" s="211" t="n"/>
      <c r="F295" s="16" t="inlineStr">
        <is>
          <t>Senior accountant</t>
        </is>
      </c>
      <c r="G295" s="211" t="n"/>
      <c r="H295" s="16" t="inlineStr">
        <is>
          <t>An India posting provides senior-accountant nomenclature in an information-services employer.</t>
        </is>
      </c>
      <c r="I295" s="212" t="n"/>
      <c r="J295" s="211" t="n"/>
      <c r="K295" s="16" t="inlineStr">
        <is>
          <t>Adjacent sector example and selected accounting scope, not a universal finance level.</t>
        </is>
      </c>
      <c r="L295" s="212" t="n"/>
      <c r="M295" s="211" t="n"/>
      <c r="N295" s="16" t="inlineStr">
        <is>
          <t>India</t>
        </is>
      </c>
      <c r="O295" s="16" t="inlineStr">
        <is>
          <t>https://thomsonreuters.wd5.myworkdayjobs.com/en-US/External_Career_Site/job/Senior-Accountant---Fixed-Asset---Project-Accounting_JREQ200356</t>
        </is>
      </c>
    </row>
    <row r="296" ht="67" customHeight="1">
      <c r="A296" s="13" t="inlineStr">
        <is>
          <t>R21</t>
        </is>
      </c>
      <c r="B296" s="16" t="inlineStr">
        <is>
          <t>Lens 2</t>
        </is>
      </c>
      <c r="C296" s="211" t="n"/>
      <c r="D296" s="16" t="inlineStr">
        <is>
          <t>GitLab</t>
        </is>
      </c>
      <c r="E296" s="211" t="n"/>
      <c r="F296" s="16" t="inlineStr">
        <is>
          <t>Organizational structure</t>
        </is>
      </c>
      <c r="G296" s="211" t="n"/>
      <c r="H296" s="16" t="inlineStr">
        <is>
          <t>Public structure material separates IC and manager frameworks and links progression to business need and scope.</t>
        </is>
      </c>
      <c r="I296" s="212" t="n"/>
      <c r="J296" s="211" t="n"/>
      <c r="K296" s="16" t="inlineStr">
        <is>
          <t>Use the design principles; do not copy GitLab grades or spans automatically.</t>
        </is>
      </c>
      <c r="L296" s="212" t="n"/>
      <c r="M296" s="211" t="n"/>
      <c r="N296" s="16" t="inlineStr">
        <is>
          <t>Global</t>
        </is>
      </c>
      <c r="O296" s="16" t="inlineStr">
        <is>
          <t>https://handbook.gitlab.com/handbook/company/structure/</t>
        </is>
      </c>
    </row>
    <row r="297" ht="93" customHeight="1">
      <c r="A297" s="13" t="inlineStr">
        <is>
          <t>R24</t>
        </is>
      </c>
      <c r="B297" s="16" t="inlineStr">
        <is>
          <t>Lens 2</t>
        </is>
      </c>
      <c r="C297" s="211" t="n"/>
      <c r="D297" s="16" t="inlineStr">
        <is>
          <t>GitLab</t>
        </is>
      </c>
      <c r="E297" s="211" t="n"/>
      <c r="F297" s="16" t="inlineStr">
        <is>
          <t>Product design</t>
        </is>
      </c>
      <c r="G297" s="211" t="n"/>
      <c r="H297" s="16" t="inlineStr">
        <is>
          <t>Staff, principal and distinguished design roles broaden influence from a group to company-level direction.</t>
        </is>
      </c>
      <c r="I297" s="212" t="n"/>
      <c r="J297" s="211" t="n"/>
      <c r="K297" s="16" t="inlineStr">
        <is>
          <t>Provides an expert path, not a requirement for every design team to create those positions.</t>
        </is>
      </c>
      <c r="L297" s="212" t="n"/>
      <c r="M297" s="211" t="n"/>
      <c r="N297" s="16" t="inlineStr">
        <is>
          <t>Global</t>
        </is>
      </c>
      <c r="O297" s="16" t="inlineStr">
        <is>
          <t>https://handbook.gitlab.com/job-description-library/product/product-designer/</t>
        </is>
      </c>
    </row>
    <row r="298" ht="93" customHeight="1">
      <c r="A298" s="13" t="inlineStr">
        <is>
          <t>R26</t>
        </is>
      </c>
      <c r="B298" s="16" t="inlineStr">
        <is>
          <t>Lens 2</t>
        </is>
      </c>
      <c r="C298" s="211" t="n"/>
      <c r="D298" s="16" t="inlineStr">
        <is>
          <t>GitLab</t>
        </is>
      </c>
      <c r="E298" s="211" t="n"/>
      <c r="F298" s="16" t="inlineStr">
        <is>
          <t>Solutions architect</t>
        </is>
      </c>
      <c r="G298" s="211" t="n"/>
      <c r="H298" s="16" t="inlineStr">
        <is>
          <t>The role supports technical evaluation, solution validation and customer business value; an associate level is published.</t>
        </is>
      </c>
      <c r="I298" s="212" t="n"/>
      <c r="J298" s="211" t="n"/>
      <c r="K298" s="16" t="inlineStr">
        <is>
          <t>Sales solutions architecture is distinct from internal platform architecture.</t>
        </is>
      </c>
      <c r="L298" s="212" t="n"/>
      <c r="M298" s="211" t="n"/>
      <c r="N298" s="16" t="inlineStr">
        <is>
          <t>Global</t>
        </is>
      </c>
      <c r="O298" s="16" t="inlineStr">
        <is>
          <t>https://handbook.gitlab.com/job-description-library/sales/solutions-architect/</t>
        </is>
      </c>
    </row>
    <row r="299" ht="93" customHeight="1">
      <c r="A299" s="13" t="inlineStr">
        <is>
          <t>R27</t>
        </is>
      </c>
      <c r="B299" s="16" t="inlineStr">
        <is>
          <t>Lens 2</t>
        </is>
      </c>
      <c r="C299" s="211" t="n"/>
      <c r="D299" s="16" t="inlineStr">
        <is>
          <t>GitLab</t>
        </is>
      </c>
      <c r="E299" s="211" t="n"/>
      <c r="F299" s="16" t="inlineStr">
        <is>
          <t>Support engineer</t>
        </is>
      </c>
      <c r="G299" s="211" t="n"/>
      <c r="H299" s="16" t="inlineStr">
        <is>
          <t>The role handles product problems through customer tickets; associate and other support-engineering levels are documented.</t>
        </is>
      </c>
      <c r="I299" s="212" t="n"/>
      <c r="J299" s="211" t="n"/>
      <c r="K299" s="16" t="inlineStr">
        <is>
          <t>Do not treat customer support as the same discipline as IT service desk.</t>
        </is>
      </c>
      <c r="L299" s="212" t="n"/>
      <c r="M299" s="211" t="n"/>
      <c r="N299" s="16" t="inlineStr">
        <is>
          <t>Global</t>
        </is>
      </c>
      <c r="O299" s="16" t="inlineStr">
        <is>
          <t>https://handbook.gitlab.com/job-description-library/engineering/support-engineer/</t>
        </is>
      </c>
    </row>
    <row r="300" ht="106" customHeight="1">
      <c r="A300" s="13" t="inlineStr">
        <is>
          <t>R32</t>
        </is>
      </c>
      <c r="B300" s="16" t="inlineStr">
        <is>
          <t>Lens 2</t>
        </is>
      </c>
      <c r="C300" s="211" t="n"/>
      <c r="D300" s="16" t="inlineStr">
        <is>
          <t>GitLab</t>
        </is>
      </c>
      <c r="E300" s="211" t="n"/>
      <c r="F300" s="16" t="inlineStr">
        <is>
          <t>Legal counsel</t>
        </is>
      </c>
      <c r="G300" s="211" t="n"/>
      <c r="H300" s="16" t="inlineStr">
        <is>
          <t>Associate and counsel responsibilities are published; the page explicitly leaves the next career step undefined.</t>
        </is>
      </c>
      <c r="I300" s="212" t="n"/>
      <c r="J300" s="211" t="n"/>
      <c r="K300" s="16" t="inlineStr">
        <is>
          <t>Higher legal roles in the proposal are synthesized, not represented as GitLab's published full ladder.</t>
        </is>
      </c>
      <c r="L300" s="212" t="n"/>
      <c r="M300" s="211" t="n"/>
      <c r="N300" s="16" t="inlineStr">
        <is>
          <t>Global</t>
        </is>
      </c>
      <c r="O300" s="16" t="inlineStr">
        <is>
          <t>https://handbook.gitlab.com/job-description-library/legal-and-corporate-affairs/legal-counsel/</t>
        </is>
      </c>
    </row>
    <row r="301" ht="119" customHeight="1">
      <c r="A301" s="13" t="inlineStr">
        <is>
          <t>R33</t>
        </is>
      </c>
      <c r="B301" s="16" t="inlineStr">
        <is>
          <t>Lens 2</t>
        </is>
      </c>
      <c r="C301" s="211" t="n"/>
      <c r="D301" s="16" t="inlineStr">
        <is>
          <t>Whatfix</t>
        </is>
      </c>
      <c r="E301" s="211" t="n"/>
      <c r="F301" s="16" t="inlineStr">
        <is>
          <t>Sales development framework</t>
        </is>
      </c>
      <c r="G301" s="211" t="n"/>
      <c r="H301" s="16" t="inlineStr">
        <is>
          <t>The published framework distinguishes descriptive title, scope and competency expectations for sales development.</t>
        </is>
      </c>
      <c r="I301" s="212" t="n"/>
      <c r="J301" s="211" t="n"/>
      <c r="K301" s="16" t="inlineStr">
        <is>
          <t>Version history is 2023–2024. It is a dated India SaaS practice example, not current internal policy.</t>
        </is>
      </c>
      <c r="L301" s="212" t="n"/>
      <c r="M301" s="211" t="n"/>
      <c r="N301" s="16" t="inlineStr">
        <is>
          <t>Global</t>
        </is>
      </c>
      <c r="O301" s="16" t="inlineStr">
        <is>
          <t>https://whatfix.com/wp-content/uploads/2024/06/sales_development_team_-_career___competency_framework.pdf</t>
        </is>
      </c>
    </row>
    <row r="302" ht="54" customHeight="1">
      <c r="A302" s="13" t="inlineStr">
        <is>
          <t>R35</t>
        </is>
      </c>
      <c r="B302" s="16" t="inlineStr">
        <is>
          <t>Professional overlay</t>
        </is>
      </c>
      <c r="C302" s="211" t="n"/>
      <c r="D302" s="16" t="inlineStr">
        <is>
          <t>SFIA Foundation</t>
        </is>
      </c>
      <c r="E302" s="211" t="n"/>
      <c r="F302" s="16" t="inlineStr">
        <is>
          <t>SFIA 9 responsibility levels</t>
        </is>
      </c>
      <c r="G302" s="211" t="n"/>
      <c r="H302" s="16" t="inlineStr">
        <is>
          <t>Seven responsibility levels distinguish autonomy, influence, complexity and broader accountability.</t>
        </is>
      </c>
      <c r="I302" s="212" t="n"/>
      <c r="J302" s="211" t="n"/>
      <c r="K302" s="16" t="inlineStr">
        <is>
          <t>SFIA levels are skills/responsibility anchors, not salary grades or this model's 13 levels.</t>
        </is>
      </c>
      <c r="L302" s="212" t="n"/>
      <c r="M302" s="211" t="n"/>
      <c r="N302" s="16" t="inlineStr">
        <is>
          <t>Global</t>
        </is>
      </c>
      <c r="O302" s="16" t="inlineStr">
        <is>
          <t>https://sfia-online.org/en/sfia-9/responsibilities</t>
        </is>
      </c>
    </row>
    <row r="303" ht="106" customHeight="1">
      <c r="A303" s="13" t="inlineStr">
        <is>
          <t>R36</t>
        </is>
      </c>
      <c r="B303" s="16" t="inlineStr">
        <is>
          <t>Professional overlay</t>
        </is>
      </c>
      <c r="C303" s="211" t="n"/>
      <c r="D303" s="16" t="inlineStr">
        <is>
          <t>CIPD</t>
        </is>
      </c>
      <c r="E303" s="211" t="n"/>
      <c r="F303" s="16" t="inlineStr">
        <is>
          <t>Profession map impact levels</t>
        </is>
      </c>
      <c r="G303" s="211" t="n"/>
      <c r="H303" s="16" t="inlineStr">
        <is>
          <t>The four impact levels move from tactical work through operational complexity to strategic and sustained value.</t>
        </is>
      </c>
      <c r="I303" s="212" t="n"/>
      <c r="J303" s="211" t="n"/>
      <c r="K303" s="16" t="inlineStr">
        <is>
          <t>Membership designations and impact levels are not corporate job titles.</t>
        </is>
      </c>
      <c r="L303" s="212" t="n"/>
      <c r="M303" s="211" t="n"/>
      <c r="N303" s="16" t="inlineStr">
        <is>
          <t>Global</t>
        </is>
      </c>
      <c r="O303" s="16" t="inlineStr">
        <is>
          <t>https://www.cipd.org/en/the-people-profession/the-profession-map/explore-the-profession-map/levels/</t>
        </is>
      </c>
    </row>
    <row r="304" ht="106" customHeight="1">
      <c r="A304" s="13" t="inlineStr">
        <is>
          <t>R40</t>
        </is>
      </c>
      <c r="B304" s="16" t="inlineStr">
        <is>
          <t>Professional overlay</t>
        </is>
      </c>
      <c r="C304" s="211" t="n"/>
      <c r="D304" s="16" t="inlineStr">
        <is>
          <t>CIM</t>
        </is>
      </c>
      <c r="E304" s="211" t="n"/>
      <c r="F304" s="16" t="inlineStr">
        <is>
          <t>Global professional marketing framework</t>
        </is>
      </c>
      <c r="G304" s="211" t="n"/>
      <c r="H304" s="16" t="inlineStr">
        <is>
          <t>The framework differentiates marketing capabilities and five competency stages from aware to expert.</t>
        </is>
      </c>
      <c r="I304" s="212" t="n"/>
      <c r="J304" s="211" t="n"/>
      <c r="K304" s="16" t="inlineStr">
        <is>
          <t>Use concepts and attribution; this proposal does not reproduce or modify the licensed framework.</t>
        </is>
      </c>
      <c r="L304" s="212" t="n"/>
      <c r="M304" s="211" t="n"/>
      <c r="N304" s="16" t="inlineStr">
        <is>
          <t>Global</t>
        </is>
      </c>
      <c r="O304" s="16" t="inlineStr">
        <is>
          <t>https://www.cim.co.uk/membership/cim-standards/global-professional-marketing-framework-gpmf/</t>
        </is>
      </c>
    </row>
    <row r="305" ht="67" customHeight="1">
      <c r="A305" s="13" t="inlineStr">
        <is>
          <t>R42</t>
        </is>
      </c>
      <c r="B305" s="16" t="inlineStr">
        <is>
          <t>Professional overlay</t>
        </is>
      </c>
      <c r="C305" s="211" t="n"/>
      <c r="D305" s="16" t="inlineStr">
        <is>
          <t>XBRL International</t>
        </is>
      </c>
      <c r="E305" s="211" t="n"/>
      <c r="F305" s="16" t="inlineStr">
        <is>
          <t>Taxonomy quick start guide</t>
        </is>
      </c>
      <c r="G305" s="211" t="n"/>
      <c r="H305" s="16" t="inlineStr">
        <is>
          <t>Taxonomy development involves content, architecture, testing, documentation and lifecycle governance.</t>
        </is>
      </c>
      <c r="I305" s="212" t="n"/>
      <c r="J305" s="211" t="n"/>
      <c r="K305" s="16" t="inlineStr">
        <is>
          <t>The page labels the guide a review draft published in 2023. Role design uses its technical process concepts.</t>
        </is>
      </c>
      <c r="L305" s="212" t="n"/>
      <c r="M305" s="211" t="n"/>
      <c r="N305" s="16" t="inlineStr">
        <is>
          <t>Global</t>
        </is>
      </c>
      <c r="O305" s="16" t="inlineStr">
        <is>
          <t>https://www.xbrl.org/guidance/taxonomy-quick-start-guide/</t>
        </is>
      </c>
    </row>
    <row r="306" ht="41" customHeight="1">
      <c r="A306" s="13" t="inlineStr">
        <is>
          <t>R44</t>
        </is>
      </c>
      <c r="B306" s="16" t="inlineStr">
        <is>
          <t>Professional overlay</t>
        </is>
      </c>
      <c r="C306" s="211" t="n"/>
      <c r="D306" s="16" t="inlineStr">
        <is>
          <t>IFMA</t>
        </is>
      </c>
      <c r="E306" s="211" t="n"/>
      <c r="F306" s="16" t="inlineStr">
        <is>
          <t>Facility management competencies</t>
        </is>
      </c>
      <c r="G306" s="211" t="n"/>
      <c r="H306" s="16" t="inlineStr">
        <is>
          <t>Facility management integrates people, places and processes and spans several competence domains.</t>
        </is>
      </c>
      <c r="I306" s="212" t="n"/>
      <c r="J306" s="211" t="n"/>
      <c r="K306" s="16" t="inlineStr">
        <is>
          <t>Facilities and workplace roles have broader scope than general office administration.</t>
        </is>
      </c>
      <c r="L306" s="212" t="n"/>
      <c r="M306" s="211" t="n"/>
      <c r="N306" s="16" t="inlineStr">
        <is>
          <t>Global</t>
        </is>
      </c>
      <c r="O306" s="16" t="inlineStr">
        <is>
          <t>https://www.ifma.org/about/what-is-fm/</t>
        </is>
      </c>
    </row>
    <row r="307" ht="93" customHeight="1">
      <c r="A307" s="13" t="inlineStr">
        <is>
          <t>R49</t>
        </is>
      </c>
      <c r="B307" s="16" t="inlineStr">
        <is>
          <t>Lens 2 other</t>
        </is>
      </c>
      <c r="C307" s="211" t="n"/>
      <c r="D307" s="16" t="inlineStr">
        <is>
          <t>UK Government</t>
        </is>
      </c>
      <c r="E307" s="211" t="n"/>
      <c r="F307" s="16" t="inlineStr">
        <is>
          <t>Business analyst role levels</t>
        </is>
      </c>
      <c r="G307" s="211" t="n"/>
      <c r="H307" s="16" t="inlineStr">
        <is>
          <t>The current public framework identifies trainee, junior, practitioner, senior, lead and head roles.</t>
        </is>
      </c>
      <c r="I307" s="212" t="n"/>
      <c r="J307" s="211" t="n"/>
      <c r="K307" s="16" t="inlineStr">
        <is>
          <t>Updated August 2026. Civil Service grades are not private-sector corporate levels.</t>
        </is>
      </c>
      <c r="L307" s="212" t="n"/>
      <c r="M307" s="211" t="n"/>
      <c r="N307" s="16" t="inlineStr">
        <is>
          <t>Global</t>
        </is>
      </c>
      <c r="O307" s="16" t="inlineStr">
        <is>
          <t>https://understand-digital-data-roles-skills.service.gov.uk/role/business-analyst/</t>
        </is>
      </c>
    </row>
    <row r="308" ht="15" customHeight="1"/>
    <row r="309" ht="20" customHeight="1">
      <c r="A309" s="6" t="inlineStr">
        <is>
          <t>R6. Websites referenced</t>
        </is>
      </c>
    </row>
    <row r="310" ht="15" customHeight="1">
      <c r="A310" s="12" t="inlineStr">
        <is>
          <t>Website</t>
        </is>
      </c>
      <c r="B310" s="212" t="n"/>
      <c r="C310" s="211" t="n"/>
      <c r="D310" s="12" t="inlineStr">
        <is>
          <t>References</t>
        </is>
      </c>
      <c r="E310" s="12" t="inlineStr">
        <is>
          <t>Example link</t>
        </is>
      </c>
      <c r="F310" s="212" t="n"/>
      <c r="G310" s="212" t="n"/>
      <c r="H310" s="212" t="n"/>
      <c r="I310" s="212" t="n"/>
      <c r="J310" s="212" t="n"/>
      <c r="K310" s="212" t="n"/>
      <c r="L310" s="212" t="n"/>
      <c r="M310" s="212" t="n"/>
      <c r="N310" s="212" t="n"/>
      <c r="O310" s="211" t="n"/>
    </row>
    <row r="311" ht="15" customHeight="1">
      <c r="A311" s="13" t="inlineStr">
        <is>
          <t>levels.fyi</t>
        </is>
      </c>
      <c r="B311" s="212" t="n"/>
      <c r="C311" s="211" t="n"/>
      <c r="D311" s="15" t="n">
        <v>9</v>
      </c>
      <c r="E311" s="16" t="inlineStr">
        <is>
          <t>https://www.levels.fyi/companies/workiva/salaries/software-engineer</t>
        </is>
      </c>
      <c r="F311" s="212" t="n"/>
      <c r="G311" s="212" t="n"/>
      <c r="H311" s="212" t="n"/>
      <c r="I311" s="212" t="n"/>
      <c r="J311" s="212" t="n"/>
      <c r="K311" s="212" t="n"/>
      <c r="L311" s="212" t="n"/>
      <c r="M311" s="212" t="n"/>
      <c r="N311" s="212" t="n"/>
      <c r="O311" s="211" t="n"/>
    </row>
    <row r="312" ht="15" customHeight="1">
      <c r="A312" s="13" t="inlineStr">
        <is>
          <t>designgurus.io</t>
        </is>
      </c>
      <c r="B312" s="212" t="n"/>
      <c r="C312" s="211" t="n"/>
      <c r="D312" s="15" t="n">
        <v>7</v>
      </c>
      <c r="E312" s="16" t="inlineStr">
        <is>
          <t>https://www.designgurus.io/blog/salesforce-software-engineer-levels</t>
        </is>
      </c>
      <c r="F312" s="212" t="n"/>
      <c r="G312" s="212" t="n"/>
      <c r="H312" s="212" t="n"/>
      <c r="I312" s="212" t="n"/>
      <c r="J312" s="212" t="n"/>
      <c r="K312" s="212" t="n"/>
      <c r="L312" s="212" t="n"/>
      <c r="M312" s="212" t="n"/>
      <c r="N312" s="212" t="n"/>
      <c r="O312" s="211" t="n"/>
    </row>
    <row r="313" ht="15" customHeight="1">
      <c r="A313" s="13" t="inlineStr">
        <is>
          <t>sfia-online.org</t>
        </is>
      </c>
      <c r="B313" s="212" t="n"/>
      <c r="C313" s="211" t="n"/>
      <c r="D313" s="15" t="n">
        <v>4</v>
      </c>
      <c r="E313" s="16" t="inlineStr">
        <is>
          <t>https://sfia-online.org/en/about-sfia/how-sfia-works</t>
        </is>
      </c>
      <c r="F313" s="212" t="n"/>
      <c r="G313" s="212" t="n"/>
      <c r="H313" s="212" t="n"/>
      <c r="I313" s="212" t="n"/>
      <c r="J313" s="212" t="n"/>
      <c r="K313" s="212" t="n"/>
      <c r="L313" s="212" t="n"/>
      <c r="M313" s="212" t="n"/>
      <c r="N313" s="212" t="n"/>
      <c r="O313" s="211" t="n"/>
    </row>
    <row r="314" ht="28" customHeight="1">
      <c r="A314" s="13" t="inlineStr">
        <is>
          <t>canada.ca</t>
        </is>
      </c>
      <c r="B314" s="212" t="n"/>
      <c r="C314" s="211" t="n"/>
      <c r="D314" s="15" t="n">
        <v>3</v>
      </c>
      <c r="E314" s="16" t="inlineStr">
        <is>
          <t>https://www.canada.ca/en/treasury-board-secretariat/services/collective-agreements/job-evaluation/executive-group-position-evaluation-plan-september-2005.html</t>
        </is>
      </c>
      <c r="F314" s="212" t="n"/>
      <c r="G314" s="212" t="n"/>
      <c r="H314" s="212" t="n"/>
      <c r="I314" s="212" t="n"/>
      <c r="J314" s="212" t="n"/>
      <c r="K314" s="212" t="n"/>
      <c r="L314" s="212" t="n"/>
      <c r="M314" s="212" t="n"/>
      <c r="N314" s="212" t="n"/>
      <c r="O314" s="211" t="n"/>
    </row>
    <row r="315" ht="15" customHeight="1">
      <c r="A315" s="13" t="inlineStr">
        <is>
          <t>cfoshortlist.com</t>
        </is>
      </c>
      <c r="B315" s="212" t="n"/>
      <c r="C315" s="211" t="n"/>
      <c r="D315" s="15" t="n">
        <v>3</v>
      </c>
      <c r="E315" s="16" t="inlineStr">
        <is>
          <t>https://www.cfoshortlist.com/reports/sec-reporting-software</t>
        </is>
      </c>
      <c r="F315" s="212" t="n"/>
      <c r="G315" s="212" t="n"/>
      <c r="H315" s="212" t="n"/>
      <c r="I315" s="212" t="n"/>
      <c r="J315" s="212" t="n"/>
      <c r="K315" s="212" t="n"/>
      <c r="L315" s="212" t="n"/>
      <c r="M315" s="212" t="n"/>
      <c r="N315" s="212" t="n"/>
      <c r="O315" s="211" t="n"/>
    </row>
    <row r="316" ht="15" customHeight="1">
      <c r="A316" s="13" t="inlineStr">
        <is>
          <t>regnology.net</t>
        </is>
      </c>
      <c r="B316" s="212" t="n"/>
      <c r="C316" s="211" t="n"/>
      <c r="D316" s="15" t="n">
        <v>3</v>
      </c>
      <c r="E316" s="16" t="inlineStr">
        <is>
          <t>https://www.regnology.net/en/careers/detail/?id=2527504</t>
        </is>
      </c>
      <c r="F316" s="212" t="n"/>
      <c r="G316" s="212" t="n"/>
      <c r="H316" s="212" t="n"/>
      <c r="I316" s="212" t="n"/>
      <c r="J316" s="212" t="n"/>
      <c r="K316" s="212" t="n"/>
      <c r="L316" s="212" t="n"/>
      <c r="M316" s="212" t="n"/>
      <c r="N316" s="212" t="n"/>
      <c r="O316" s="211" t="n"/>
    </row>
    <row r="317" ht="15" customHeight="1">
      <c r="A317" s="13" t="inlineStr">
        <is>
          <t>support.pave.com</t>
        </is>
      </c>
      <c r="B317" s="212" t="n"/>
      <c r="C317" s="211" t="n"/>
      <c r="D317" s="15" t="n">
        <v>3</v>
      </c>
      <c r="E317" s="16" t="inlineStr">
        <is>
          <t>https://support.pave.com/articles/understand-job-levels-SiKTjMHZtr.md</t>
        </is>
      </c>
      <c r="F317" s="212" t="n"/>
      <c r="G317" s="212" t="n"/>
      <c r="H317" s="212" t="n"/>
      <c r="I317" s="212" t="n"/>
      <c r="J317" s="212" t="n"/>
      <c r="K317" s="212" t="n"/>
      <c r="L317" s="212" t="n"/>
      <c r="M317" s="212" t="n"/>
      <c r="N317" s="212" t="n"/>
      <c r="O317" s="211" t="n"/>
    </row>
    <row r="318" ht="15" customHeight="1">
      <c r="A318" s="13" t="inlineStr">
        <is>
          <t>builtin.com</t>
        </is>
      </c>
      <c r="B318" s="212" t="n"/>
      <c r="C318" s="211" t="n"/>
      <c r="D318" s="15" t="n">
        <v>2</v>
      </c>
      <c r="E318" s="16" t="inlineStr">
        <is>
          <t>https://builtin.com/job/professional-services-manager/3581840</t>
        </is>
      </c>
      <c r="F318" s="212" t="n"/>
      <c r="G318" s="212" t="n"/>
      <c r="H318" s="212" t="n"/>
      <c r="I318" s="212" t="n"/>
      <c r="J318" s="212" t="n"/>
      <c r="K318" s="212" t="n"/>
      <c r="L318" s="212" t="n"/>
      <c r="M318" s="212" t="n"/>
      <c r="N318" s="212" t="n"/>
      <c r="O318" s="211" t="n"/>
    </row>
    <row r="319" ht="15" customHeight="1">
      <c r="A319" s="13" t="inlineStr">
        <is>
          <t>centralbanking.com</t>
        </is>
      </c>
      <c r="B319" s="212" t="n"/>
      <c r="C319" s="211" t="n"/>
      <c r="D319" s="15" t="n">
        <v>2</v>
      </c>
      <c r="E319" s="16" t="inlineStr">
        <is>
          <t>https://www.centralbanking.com/awards/7941536/technology-services-regulatory-regnology</t>
        </is>
      </c>
      <c r="F319" s="212" t="n"/>
      <c r="G319" s="212" t="n"/>
      <c r="H319" s="212" t="n"/>
      <c r="I319" s="212" t="n"/>
      <c r="J319" s="212" t="n"/>
      <c r="K319" s="212" t="n"/>
      <c r="L319" s="212" t="n"/>
      <c r="M319" s="212" t="n"/>
      <c r="N319" s="212" t="n"/>
      <c r="O319" s="211" t="n"/>
    </row>
    <row r="320" ht="15" customHeight="1">
      <c r="A320" s="13" t="inlineStr">
        <is>
          <t>datatracks.com</t>
        </is>
      </c>
      <c r="B320" s="212" t="n"/>
      <c r="C320" s="211" t="n"/>
      <c r="D320" s="15" t="n">
        <v>2</v>
      </c>
      <c r="E320" s="16" t="inlineStr">
        <is>
          <t>https://www.datatracks.com/in/careers/</t>
        </is>
      </c>
      <c r="F320" s="212" t="n"/>
      <c r="G320" s="212" t="n"/>
      <c r="H320" s="212" t="n"/>
      <c r="I320" s="212" t="n"/>
      <c r="J320" s="212" t="n"/>
      <c r="K320" s="212" t="n"/>
      <c r="L320" s="212" t="n"/>
      <c r="M320" s="212" t="n"/>
      <c r="N320" s="212" t="n"/>
      <c r="O320" s="211" t="n"/>
    </row>
    <row r="321" ht="15" customHeight="1">
      <c r="A321" s="13" t="inlineStr">
        <is>
          <t>deloitte.com</t>
        </is>
      </c>
      <c r="B321" s="212" t="n"/>
      <c r="C321" s="211" t="n"/>
      <c r="D321" s="15" t="n">
        <v>2</v>
      </c>
      <c r="E321" s="16" t="inlineStr">
        <is>
          <t>https://www.deloitte.com/us/en/insights/topics/talent/organizational-skill-based-hiring.html</t>
        </is>
      </c>
      <c r="F321" s="212" t="n"/>
      <c r="G321" s="212" t="n"/>
      <c r="H321" s="212" t="n"/>
      <c r="I321" s="212" t="n"/>
      <c r="J321" s="212" t="n"/>
      <c r="K321" s="212" t="n"/>
      <c r="L321" s="212" t="n"/>
      <c r="M321" s="212" t="n"/>
      <c r="N321" s="212" t="n"/>
      <c r="O321" s="211" t="n"/>
    </row>
    <row r="322" ht="15" customHeight="1">
      <c r="A322" s="13" t="inlineStr">
        <is>
          <t>gainsight.com</t>
        </is>
      </c>
      <c r="B322" s="212" t="n"/>
      <c r="C322" s="211" t="n"/>
      <c r="D322" s="15" t="n">
        <v>2</v>
      </c>
      <c r="E322" s="16" t="inlineStr">
        <is>
          <t>https://www.gainsight.com/blog/customer-success-career-opportunities/</t>
        </is>
      </c>
      <c r="F322" s="212" t="n"/>
      <c r="G322" s="212" t="n"/>
      <c r="H322" s="212" t="n"/>
      <c r="I322" s="212" t="n"/>
      <c r="J322" s="212" t="n"/>
      <c r="K322" s="212" t="n"/>
      <c r="L322" s="212" t="n"/>
      <c r="M322" s="212" t="n"/>
      <c r="N322" s="212" t="n"/>
      <c r="O322" s="211" t="n"/>
    </row>
    <row r="323" ht="15" customHeight="1">
      <c r="A323" s="13" t="inlineStr">
        <is>
          <t>handbook.gitlab.com</t>
        </is>
      </c>
      <c r="B323" s="212" t="n"/>
      <c r="C323" s="211" t="n"/>
      <c r="D323" s="15" t="n">
        <v>2</v>
      </c>
      <c r="E323" s="16" t="inlineStr">
        <is>
          <t>https://handbook.gitlab.com/handbook/company/structure/</t>
        </is>
      </c>
      <c r="F323" s="212" t="n"/>
      <c r="G323" s="212" t="n"/>
      <c r="H323" s="212" t="n"/>
      <c r="I323" s="212" t="n"/>
      <c r="J323" s="212" t="n"/>
      <c r="K323" s="212" t="n"/>
      <c r="L323" s="212" t="n"/>
      <c r="M323" s="212" t="n"/>
      <c r="N323" s="212" t="n"/>
      <c r="O323" s="211" t="n"/>
    </row>
    <row r="324" ht="15" customHeight="1">
      <c r="A324" s="13" t="inlineStr">
        <is>
          <t>help.figures.hr</t>
        </is>
      </c>
      <c r="B324" s="212" t="n"/>
      <c r="C324" s="211" t="n"/>
      <c r="D324" s="15" t="n">
        <v>2</v>
      </c>
      <c r="E324" s="16" t="inlineStr">
        <is>
          <t>https://help.figures.hr/en/articles/389223-mercer-levels</t>
        </is>
      </c>
      <c r="F324" s="212" t="n"/>
      <c r="G324" s="212" t="n"/>
      <c r="H324" s="212" t="n"/>
      <c r="I324" s="212" t="n"/>
      <c r="J324" s="212" t="n"/>
      <c r="K324" s="212" t="n"/>
      <c r="L324" s="212" t="n"/>
      <c r="M324" s="212" t="n"/>
      <c r="N324" s="212" t="n"/>
      <c r="O324" s="211" t="n"/>
    </row>
    <row r="325" ht="15" customHeight="1">
      <c r="A325" s="13" t="inlineStr">
        <is>
          <t>icsi.edu</t>
        </is>
      </c>
      <c r="B325" s="212" t="n"/>
      <c r="C325" s="211" t="n"/>
      <c r="D325" s="15" t="n">
        <v>2</v>
      </c>
      <c r="E325" s="16" t="inlineStr">
        <is>
          <t>https://www.icsi.edu</t>
        </is>
      </c>
      <c r="F325" s="212" t="n"/>
      <c r="G325" s="212" t="n"/>
      <c r="H325" s="212" t="n"/>
      <c r="I325" s="212" t="n"/>
      <c r="J325" s="212" t="n"/>
      <c r="K325" s="212" t="n"/>
      <c r="L325" s="212" t="n"/>
      <c r="M325" s="212" t="n"/>
      <c r="N325" s="212" t="n"/>
      <c r="O325" s="211" t="n"/>
    </row>
    <row r="326" ht="15" customHeight="1">
      <c r="A326" s="13" t="inlineStr">
        <is>
          <t>iiba.org</t>
        </is>
      </c>
      <c r="B326" s="212" t="n"/>
      <c r="C326" s="211" t="n"/>
      <c r="D326" s="15" t="n">
        <v>2</v>
      </c>
      <c r="E326" s="16" t="inlineStr">
        <is>
          <t>https://www.iiba.org</t>
        </is>
      </c>
      <c r="F326" s="212" t="n"/>
      <c r="G326" s="212" t="n"/>
      <c r="H326" s="212" t="n"/>
      <c r="I326" s="212" t="n"/>
      <c r="J326" s="212" t="n"/>
      <c r="K326" s="212" t="n"/>
      <c r="L326" s="212" t="n"/>
      <c r="M326" s="212" t="n"/>
      <c r="N326" s="212" t="n"/>
      <c r="O326" s="211" t="n"/>
    </row>
    <row r="327" ht="15" customHeight="1">
      <c r="A327" s="13" t="inlineStr">
        <is>
          <t>imanet.org</t>
        </is>
      </c>
      <c r="B327" s="212" t="n"/>
      <c r="C327" s="211" t="n"/>
      <c r="D327" s="15" t="n">
        <v>2</v>
      </c>
      <c r="E327" s="16" t="inlineStr">
        <is>
          <t>https://www.imanet.org/framework</t>
        </is>
      </c>
      <c r="F327" s="212" t="n"/>
      <c r="G327" s="212" t="n"/>
      <c r="H327" s="212" t="n"/>
      <c r="I327" s="212" t="n"/>
      <c r="J327" s="212" t="n"/>
      <c r="K327" s="212" t="n"/>
      <c r="L327" s="212" t="n"/>
      <c r="M327" s="212" t="n"/>
      <c r="N327" s="212" t="n"/>
      <c r="O327" s="211" t="n"/>
    </row>
    <row r="328" ht="15" customHeight="1">
      <c r="A328" s="13" t="inlineStr">
        <is>
          <t>iso.org</t>
        </is>
      </c>
      <c r="B328" s="212" t="n"/>
      <c r="C328" s="211" t="n"/>
      <c r="D328" s="15" t="n">
        <v>2</v>
      </c>
      <c r="E328" s="16" t="inlineStr">
        <is>
          <t>https://www.iso.org/standard/27001</t>
        </is>
      </c>
      <c r="F328" s="212" t="n"/>
      <c r="G328" s="212" t="n"/>
      <c r="H328" s="212" t="n"/>
      <c r="I328" s="212" t="n"/>
      <c r="J328" s="212" t="n"/>
      <c r="K328" s="212" t="n"/>
      <c r="L328" s="212" t="n"/>
      <c r="M328" s="212" t="n"/>
      <c r="N328" s="212" t="n"/>
      <c r="O328" s="211" t="n"/>
    </row>
    <row r="329" ht="15" customHeight="1">
      <c r="A329" s="13" t="inlineStr">
        <is>
          <t>istqb.org</t>
        </is>
      </c>
      <c r="B329" s="212" t="n"/>
      <c r="C329" s="211" t="n"/>
      <c r="D329" s="15" t="n">
        <v>2</v>
      </c>
      <c r="E329" s="16" t="inlineStr">
        <is>
          <t>https://www.istqb.org</t>
        </is>
      </c>
      <c r="F329" s="212" t="n"/>
      <c r="G329" s="212" t="n"/>
      <c r="H329" s="212" t="n"/>
      <c r="I329" s="212" t="n"/>
      <c r="J329" s="212" t="n"/>
      <c r="K329" s="212" t="n"/>
      <c r="L329" s="212" t="n"/>
      <c r="M329" s="212" t="n"/>
      <c r="N329" s="212" t="n"/>
      <c r="O329" s="211" t="n"/>
    </row>
    <row r="330" ht="15" customHeight="1">
      <c r="A330" s="13" t="inlineStr">
        <is>
          <t>jobrise.io</t>
        </is>
      </c>
      <c r="B330" s="212" t="n"/>
      <c r="C330" s="211" t="n"/>
      <c r="D330" s="15" t="n">
        <v>2</v>
      </c>
      <c r="E330" s="16" t="inlineStr">
        <is>
          <t>https://jobrise.io/hi/blog/accenture-salary-package-2026-india/</t>
        </is>
      </c>
      <c r="F330" s="212" t="n"/>
      <c r="G330" s="212" t="n"/>
      <c r="H330" s="212" t="n"/>
      <c r="I330" s="212" t="n"/>
      <c r="J330" s="212" t="n"/>
      <c r="K330" s="212" t="n"/>
      <c r="L330" s="212" t="n"/>
      <c r="M330" s="212" t="n"/>
      <c r="N330" s="212" t="n"/>
      <c r="O330" s="211" t="n"/>
    </row>
    <row r="331" ht="28" customHeight="1">
      <c r="A331" s="13" t="inlineStr">
        <is>
          <t>mckinsey.com</t>
        </is>
      </c>
      <c r="B331" s="212" t="n"/>
      <c r="C331" s="211" t="n"/>
      <c r="D331" s="15" t="n">
        <v>2</v>
      </c>
      <c r="E331" s="16" t="inlineStr">
        <is>
          <t>https://www.mckinsey.com/capabilities/people-and-organizational-performance/our-insights/how-to-identify-the-right-spans-of-control-for-your-organization</t>
        </is>
      </c>
      <c r="F331" s="212" t="n"/>
      <c r="G331" s="212" t="n"/>
      <c r="H331" s="212" t="n"/>
      <c r="I331" s="212" t="n"/>
      <c r="J331" s="212" t="n"/>
      <c r="K331" s="212" t="n"/>
      <c r="L331" s="212" t="n"/>
      <c r="M331" s="212" t="n"/>
      <c r="N331" s="212" t="n"/>
      <c r="O331" s="211" t="n"/>
    </row>
    <row r="332" ht="15" customHeight="1">
      <c r="A332" s="13" t="inlineStr">
        <is>
          <t>mercer.com</t>
        </is>
      </c>
      <c r="B332" s="212" t="n"/>
      <c r="C332" s="211" t="n"/>
      <c r="D332" s="15" t="n">
        <v>2</v>
      </c>
      <c r="E332" s="16" t="inlineStr">
        <is>
          <t>https://info.mercer.com/rs/521-DEV-513/images/MLS-Job-Catalogue.pdf</t>
        </is>
      </c>
      <c r="F332" s="212" t="n"/>
      <c r="G332" s="212" t="n"/>
      <c r="H332" s="212" t="n"/>
      <c r="I332" s="212" t="n"/>
      <c r="J332" s="212" t="n"/>
      <c r="K332" s="212" t="n"/>
      <c r="L332" s="212" t="n"/>
      <c r="M332" s="212" t="n"/>
      <c r="N332" s="212" t="n"/>
      <c r="O332" s="211" t="n"/>
    </row>
    <row r="333" ht="15" customHeight="1">
      <c r="A333" s="13" t="inlineStr">
        <is>
          <t>networkinterview.com</t>
        </is>
      </c>
      <c r="B333" s="212" t="n"/>
      <c r="C333" s="211" t="n"/>
      <c r="D333" s="15" t="n">
        <v>2</v>
      </c>
      <c r="E333" s="16" t="inlineStr">
        <is>
          <t>https://networkinterview.com/technical-hierarchy-deloitte-india/</t>
        </is>
      </c>
      <c r="F333" s="212" t="n"/>
      <c r="G333" s="212" t="n"/>
      <c r="H333" s="212" t="n"/>
      <c r="I333" s="212" t="n"/>
      <c r="J333" s="212" t="n"/>
      <c r="K333" s="212" t="n"/>
      <c r="L333" s="212" t="n"/>
      <c r="M333" s="212" t="n"/>
      <c r="N333" s="212" t="n"/>
      <c r="O333" s="211" t="n"/>
    </row>
    <row r="334" ht="15" customHeight="1">
      <c r="A334" s="13" t="inlineStr">
        <is>
          <t>pmi.org</t>
        </is>
      </c>
      <c r="B334" s="212" t="n"/>
      <c r="C334" s="211" t="n"/>
      <c r="D334" s="15" t="n">
        <v>2</v>
      </c>
      <c r="E334" s="16" t="inlineStr">
        <is>
          <t>https://www.pmi.org/certifications/certification-resources/maintain/talent-triangle</t>
        </is>
      </c>
      <c r="F334" s="212" t="n"/>
      <c r="G334" s="212" t="n"/>
      <c r="H334" s="212" t="n"/>
      <c r="I334" s="212" t="n"/>
      <c r="J334" s="212" t="n"/>
      <c r="K334" s="212" t="n"/>
      <c r="L334" s="212" t="n"/>
      <c r="M334" s="212" t="n"/>
      <c r="N334" s="212" t="n"/>
      <c r="O334" s="211" t="n"/>
    </row>
    <row r="335" ht="15" customHeight="1">
      <c r="A335" s="13" t="inlineStr">
        <is>
          <t>prospeo.io</t>
        </is>
      </c>
      <c r="B335" s="212" t="n"/>
      <c r="C335" s="211" t="n"/>
      <c r="D335" s="15" t="n">
        <v>2</v>
      </c>
      <c r="E335" s="16" t="inlineStr">
        <is>
          <t>https://prospeo.io/s/sales-titles-hierarchy</t>
        </is>
      </c>
      <c r="F335" s="212" t="n"/>
      <c r="G335" s="212" t="n"/>
      <c r="H335" s="212" t="n"/>
      <c r="I335" s="212" t="n"/>
      <c r="J335" s="212" t="n"/>
      <c r="K335" s="212" t="n"/>
      <c r="L335" s="212" t="n"/>
      <c r="M335" s="212" t="n"/>
      <c r="N335" s="212" t="n"/>
      <c r="O335" s="211" t="n"/>
    </row>
    <row r="336" ht="15" customHeight="1">
      <c r="A336" s="13" t="inlineStr">
        <is>
          <t>radford.aon.com</t>
        </is>
      </c>
      <c r="B336" s="212" t="n"/>
      <c r="C336" s="211" t="n"/>
      <c r="D336" s="15" t="n">
        <v>2</v>
      </c>
      <c r="E336" s="16" t="inlineStr">
        <is>
          <t>https://radford.aon.com/en-us/products/release-notes/2021/radford-job-architecture-leveling</t>
        </is>
      </c>
      <c r="F336" s="212" t="n"/>
      <c r="G336" s="212" t="n"/>
      <c r="H336" s="212" t="n"/>
      <c r="I336" s="212" t="n"/>
      <c r="J336" s="212" t="n"/>
      <c r="K336" s="212" t="n"/>
      <c r="L336" s="212" t="n"/>
      <c r="M336" s="212" t="n"/>
      <c r="N336" s="212" t="n"/>
      <c r="O336" s="211" t="n"/>
    </row>
    <row r="337" ht="15" customHeight="1">
      <c r="A337" s="13" t="inlineStr">
        <is>
          <t>shrm.org</t>
        </is>
      </c>
      <c r="B337" s="212" t="n"/>
      <c r="C337" s="211" t="n"/>
      <c r="D337" s="15" t="n">
        <v>2</v>
      </c>
      <c r="E337" s="16" t="inlineStr">
        <is>
          <t>https://www.shrm.org/credentials/certification/shrm-bask</t>
        </is>
      </c>
      <c r="F337" s="212" t="n"/>
      <c r="G337" s="212" t="n"/>
      <c r="H337" s="212" t="n"/>
      <c r="I337" s="212" t="n"/>
      <c r="J337" s="212" t="n"/>
      <c r="K337" s="212" t="n"/>
      <c r="L337" s="212" t="n"/>
      <c r="M337" s="212" t="n"/>
      <c r="N337" s="212" t="n"/>
      <c r="O337" s="211" t="n"/>
    </row>
    <row r="338" ht="15" customHeight="1">
      <c r="A338" s="13" t="inlineStr">
        <is>
          <t>testrigor.com</t>
        </is>
      </c>
      <c r="B338" s="212" t="n"/>
      <c r="C338" s="211" t="n"/>
      <c r="D338" s="15" t="n">
        <v>2</v>
      </c>
      <c r="E338" s="16" t="inlineStr">
        <is>
          <t>https://testrigor.com/blog/engineering-levels-in-different-companies-compared/</t>
        </is>
      </c>
      <c r="F338" s="212" t="n"/>
      <c r="G338" s="212" t="n"/>
      <c r="H338" s="212" t="n"/>
      <c r="I338" s="212" t="n"/>
      <c r="J338" s="212" t="n"/>
      <c r="K338" s="212" t="n"/>
      <c r="L338" s="212" t="n"/>
      <c r="M338" s="212" t="n"/>
      <c r="N338" s="212" t="n"/>
      <c r="O338" s="211" t="n"/>
    </row>
    <row r="339" ht="15" customHeight="1">
      <c r="A339" s="13" t="inlineStr">
        <is>
          <t>tsia.com</t>
        </is>
      </c>
      <c r="B339" s="212" t="n"/>
      <c r="C339" s="211" t="n"/>
      <c r="D339" s="15" t="n">
        <v>2</v>
      </c>
      <c r="E339" s="16" t="inlineStr">
        <is>
          <t>https://www.tsia.com</t>
        </is>
      </c>
      <c r="F339" s="212" t="n"/>
      <c r="G339" s="212" t="n"/>
      <c r="H339" s="212" t="n"/>
      <c r="I339" s="212" t="n"/>
      <c r="J339" s="212" t="n"/>
      <c r="K339" s="212" t="n"/>
      <c r="L339" s="212" t="n"/>
      <c r="M339" s="212" t="n"/>
      <c r="N339" s="212" t="n"/>
      <c r="O339" s="211" t="n"/>
    </row>
    <row r="340" ht="15" customHeight="1">
      <c r="A340" s="13" t="inlineStr">
        <is>
          <t>uwo.ca</t>
        </is>
      </c>
      <c r="B340" s="212" t="n"/>
      <c r="C340" s="211" t="n"/>
      <c r="D340" s="15" t="n">
        <v>2</v>
      </c>
      <c r="E340" s="16" t="inlineStr">
        <is>
          <t>https://www.uwo.ca/humanresources/wjec/docs/hay_method_overview.pdf</t>
        </is>
      </c>
      <c r="F340" s="212" t="n"/>
      <c r="G340" s="212" t="n"/>
      <c r="H340" s="212" t="n"/>
      <c r="I340" s="212" t="n"/>
      <c r="J340" s="212" t="n"/>
      <c r="K340" s="212" t="n"/>
      <c r="L340" s="212" t="n"/>
      <c r="M340" s="212" t="n"/>
      <c r="N340" s="212" t="n"/>
      <c r="O340" s="211" t="n"/>
    </row>
    <row r="341" ht="15" customHeight="1">
      <c r="A341" s="13" t="inlineStr">
        <is>
          <t>weforum.org</t>
        </is>
      </c>
      <c r="B341" s="212" t="n"/>
      <c r="C341" s="211" t="n"/>
      <c r="D341" s="15" t="n">
        <v>2</v>
      </c>
      <c r="E341" s="16" t="inlineStr">
        <is>
          <t>https://www.weforum.org/publications/the-future-of-jobs-report-2025/digest/</t>
        </is>
      </c>
      <c r="F341" s="212" t="n"/>
      <c r="G341" s="212" t="n"/>
      <c r="H341" s="212" t="n"/>
      <c r="I341" s="212" t="n"/>
      <c r="J341" s="212" t="n"/>
      <c r="K341" s="212" t="n"/>
      <c r="L341" s="212" t="n"/>
      <c r="M341" s="212" t="n"/>
      <c r="N341" s="212" t="n"/>
      <c r="O341" s="211" t="n"/>
    </row>
    <row r="342" ht="15" customHeight="1">
      <c r="A342" s="13" t="inlineStr">
        <is>
          <t>wtwco.com</t>
        </is>
      </c>
      <c r="B342" s="212" t="n"/>
      <c r="C342" s="211" t="n"/>
      <c r="D342" s="15" t="n">
        <v>2</v>
      </c>
      <c r="E342" s="16" t="inlineStr">
        <is>
          <t>https://www.wtwco.com/en-in/insights/2023/09/building-resilient-career-ecosystems-with-robust-career-strategy-and-design</t>
        </is>
      </c>
      <c r="F342" s="212" t="n"/>
      <c r="G342" s="212" t="n"/>
      <c r="H342" s="212" t="n"/>
      <c r="I342" s="212" t="n"/>
      <c r="J342" s="212" t="n"/>
      <c r="K342" s="212" t="n"/>
      <c r="L342" s="212" t="n"/>
      <c r="M342" s="212" t="n"/>
      <c r="N342" s="212" t="n"/>
      <c r="O342" s="211" t="n"/>
    </row>
    <row r="343" ht="15" customHeight="1">
      <c r="A343" s="13" t="inlineStr">
        <is>
          <t>xbrl.us</t>
        </is>
      </c>
      <c r="B343" s="212" t="n"/>
      <c r="C343" s="211" t="n"/>
      <c r="D343" s="15" t="n">
        <v>2</v>
      </c>
      <c r="E343" s="16" t="inlineStr">
        <is>
          <t>https://xbrl.us</t>
        </is>
      </c>
      <c r="F343" s="212" t="n"/>
      <c r="G343" s="212" t="n"/>
      <c r="H343" s="212" t="n"/>
      <c r="I343" s="212" t="n"/>
      <c r="J343" s="212" t="n"/>
      <c r="K343" s="212" t="n"/>
      <c r="L343" s="212" t="n"/>
      <c r="M343" s="212" t="n"/>
      <c r="N343" s="212" t="n"/>
      <c r="O343" s="211" t="n"/>
    </row>
    <row r="344" ht="15" customHeight="1">
      <c r="A344" s="13" t="inlineStr">
        <is>
          <t>abseil.io</t>
        </is>
      </c>
      <c r="B344" s="212" t="n"/>
      <c r="C344" s="211" t="n"/>
      <c r="D344" s="15" t="n">
        <v>1</v>
      </c>
      <c r="E344" s="16" t="inlineStr">
        <is>
          <t>https://abseil.io/resources/swe-book/html/ch05.html</t>
        </is>
      </c>
      <c r="F344" s="212" t="n"/>
      <c r="G344" s="212" t="n"/>
      <c r="H344" s="212" t="n"/>
      <c r="I344" s="212" t="n"/>
      <c r="J344" s="212" t="n"/>
      <c r="K344" s="212" t="n"/>
      <c r="L344" s="212" t="n"/>
      <c r="M344" s="212" t="n"/>
      <c r="N344" s="212" t="n"/>
      <c r="O344" s="211" t="n"/>
    </row>
    <row r="345" ht="15" customHeight="1">
      <c r="A345" s="13" t="inlineStr">
        <is>
          <t>assets.publishing.service.gov.uk</t>
        </is>
      </c>
      <c r="B345" s="212" t="n"/>
      <c r="C345" s="211" t="n"/>
      <c r="D345" s="15" t="n">
        <v>1</v>
      </c>
      <c r="E345" s="16" t="inlineStr">
        <is>
          <t>https://assets.publishing.service.gov.uk/media/66a370440808eaf43b50d7b2/WTW_OME-STRB_Job_Levelling_FOR_PUBLICATION.pdf</t>
        </is>
      </c>
      <c r="F345" s="212" t="n"/>
      <c r="G345" s="212" t="n"/>
      <c r="H345" s="212" t="n"/>
      <c r="I345" s="212" t="n"/>
      <c r="J345" s="212" t="n"/>
      <c r="K345" s="212" t="n"/>
      <c r="L345" s="212" t="n"/>
      <c r="M345" s="212" t="n"/>
      <c r="N345" s="212" t="n"/>
      <c r="O345" s="211" t="n"/>
    </row>
    <row r="346" ht="15" customHeight="1">
      <c r="A346" s="13" t="inlineStr">
        <is>
          <t>blog.ipleaders.in</t>
        </is>
      </c>
      <c r="B346" s="212" t="n"/>
      <c r="C346" s="211" t="n"/>
      <c r="D346" s="15" t="n">
        <v>1</v>
      </c>
      <c r="E346" s="16" t="inlineStr">
        <is>
          <t>https://blog.ipleaders.in/director-companies-act-2013/</t>
        </is>
      </c>
      <c r="F346" s="212" t="n"/>
      <c r="G346" s="212" t="n"/>
      <c r="H346" s="212" t="n"/>
      <c r="I346" s="212" t="n"/>
      <c r="J346" s="212" t="n"/>
      <c r="K346" s="212" t="n"/>
      <c r="L346" s="212" t="n"/>
      <c r="M346" s="212" t="n"/>
      <c r="N346" s="212" t="n"/>
      <c r="O346" s="211" t="n"/>
    </row>
    <row r="347" ht="15" customHeight="1">
      <c r="A347" s="13" t="inlineStr">
        <is>
          <t>bootcamp.uxdesign.cc</t>
        </is>
      </c>
      <c r="B347" s="212" t="n"/>
      <c r="C347" s="211" t="n"/>
      <c r="D347" s="15" t="n">
        <v>1</v>
      </c>
      <c r="E347" s="16" t="inlineStr">
        <is>
          <t>https://bootcamp.uxdesign.cc/career-ladder-from-junior-to-director-guidance-for-ux-professionals-1b5f9b2bd6b8</t>
        </is>
      </c>
      <c r="F347" s="212" t="n"/>
      <c r="G347" s="212" t="n"/>
      <c r="H347" s="212" t="n"/>
      <c r="I347" s="212" t="n"/>
      <c r="J347" s="212" t="n"/>
      <c r="K347" s="212" t="n"/>
      <c r="L347" s="212" t="n"/>
      <c r="M347" s="212" t="n"/>
      <c r="N347" s="212" t="n"/>
      <c r="O347" s="211" t="n"/>
    </row>
    <row r="348" ht="15" customHeight="1">
      <c r="A348" s="13" t="inlineStr">
        <is>
          <t>builtinbengaluru.in</t>
        </is>
      </c>
      <c r="B348" s="212" t="n"/>
      <c r="C348" s="211" t="n"/>
      <c r="D348" s="15" t="n">
        <v>1</v>
      </c>
      <c r="E348" s="16" t="inlineStr">
        <is>
          <t>https://builtinbengaluru.in/job/xbrl-financial-analyst-assoc/4131532</t>
        </is>
      </c>
      <c r="F348" s="212" t="n"/>
      <c r="G348" s="212" t="n"/>
      <c r="H348" s="212" t="n"/>
      <c r="I348" s="212" t="n"/>
      <c r="J348" s="212" t="n"/>
      <c r="K348" s="212" t="n"/>
      <c r="L348" s="212" t="n"/>
      <c r="M348" s="212" t="n"/>
      <c r="N348" s="212" t="n"/>
      <c r="O348" s="211" t="n"/>
    </row>
    <row r="349" ht="15" customHeight="1">
      <c r="A349" s="13" t="inlineStr">
        <is>
          <t>businesswire.com</t>
        </is>
      </c>
      <c r="B349" s="212" t="n"/>
      <c r="C349" s="211" t="n"/>
      <c r="D349" s="15" t="n">
        <v>1</v>
      </c>
      <c r="E349" s="16" t="inlineStr">
        <is>
          <t>https://www.businesswire.com/news/home/20241124525888/en/</t>
        </is>
      </c>
      <c r="F349" s="212" t="n"/>
      <c r="G349" s="212" t="n"/>
      <c r="H349" s="212" t="n"/>
      <c r="I349" s="212" t="n"/>
      <c r="J349" s="212" t="n"/>
      <c r="K349" s="212" t="n"/>
      <c r="L349" s="212" t="n"/>
      <c r="M349" s="212" t="n"/>
      <c r="N349" s="212" t="n"/>
      <c r="O349" s="211" t="n"/>
    </row>
    <row r="350" ht="15" customHeight="1">
      <c r="A350" s="13" t="inlineStr">
        <is>
          <t>cardinalatwork.stanford.edu</t>
        </is>
      </c>
      <c r="B350" s="212" t="n"/>
      <c r="C350" s="211" t="n"/>
      <c r="D350" s="15" t="n">
        <v>1</v>
      </c>
      <c r="E350" s="16" t="inlineStr">
        <is>
          <t>https://cardinalatwork.stanford.edu/careers/performance-management/competencies</t>
        </is>
      </c>
      <c r="F350" s="212" t="n"/>
      <c r="G350" s="212" t="n"/>
      <c r="H350" s="212" t="n"/>
      <c r="I350" s="212" t="n"/>
      <c r="J350" s="212" t="n"/>
      <c r="K350" s="212" t="n"/>
      <c r="L350" s="212" t="n"/>
      <c r="M350" s="212" t="n"/>
      <c r="N350" s="212" t="n"/>
      <c r="O350" s="211" t="n"/>
    </row>
    <row r="351" ht="15" customHeight="1">
      <c r="A351" s="13" t="inlineStr">
        <is>
          <t>carta.com</t>
        </is>
      </c>
      <c r="B351" s="212" t="n"/>
      <c r="C351" s="211" t="n"/>
      <c r="D351" s="15" t="n">
        <v>1</v>
      </c>
      <c r="E351" s="16" t="inlineStr">
        <is>
          <t>https://carta.com/learn/startups/compensation/job-leveling/</t>
        </is>
      </c>
      <c r="F351" s="212" t="n"/>
      <c r="G351" s="212" t="n"/>
      <c r="H351" s="212" t="n"/>
      <c r="I351" s="212" t="n"/>
      <c r="J351" s="212" t="n"/>
      <c r="K351" s="212" t="n"/>
      <c r="L351" s="212" t="n"/>
      <c r="M351" s="212" t="n"/>
      <c r="N351" s="212" t="n"/>
      <c r="O351" s="211" t="n"/>
    </row>
    <row r="352" ht="15" customHeight="1">
      <c r="A352" s="13" t="inlineStr">
        <is>
          <t>cim.co.uk</t>
        </is>
      </c>
      <c r="B352" s="212" t="n"/>
      <c r="C352" s="211" t="n"/>
      <c r="D352" s="15" t="n">
        <v>1</v>
      </c>
      <c r="E352" s="16" t="inlineStr">
        <is>
          <t>https://www.cim.co.uk/more/professional-marketing-competencies</t>
        </is>
      </c>
      <c r="F352" s="212" t="n"/>
      <c r="G352" s="212" t="n"/>
      <c r="H352" s="212" t="n"/>
      <c r="I352" s="212" t="n"/>
      <c r="J352" s="212" t="n"/>
      <c r="K352" s="212" t="n"/>
      <c r="L352" s="212" t="n"/>
      <c r="M352" s="212" t="n"/>
      <c r="N352" s="212" t="n"/>
      <c r="O352" s="211" t="n"/>
    </row>
    <row r="353" ht="15" customHeight="1">
      <c r="A353" s="13" t="inlineStr">
        <is>
          <t>cipd.org</t>
        </is>
      </c>
      <c r="B353" s="212" t="n"/>
      <c r="C353" s="211" t="n"/>
      <c r="D353" s="15" t="n">
        <v>1</v>
      </c>
      <c r="E353" s="16" t="inlineStr">
        <is>
          <t>https://www.cipd.org/en/the-people-profession/the-profession-map/</t>
        </is>
      </c>
      <c r="F353" s="212" t="n"/>
      <c r="G353" s="212" t="n"/>
      <c r="H353" s="212" t="n"/>
      <c r="I353" s="212" t="n"/>
      <c r="J353" s="212" t="n"/>
      <c r="K353" s="212" t="n"/>
      <c r="L353" s="212" t="n"/>
      <c r="M353" s="212" t="n"/>
      <c r="N353" s="212" t="n"/>
      <c r="O353" s="211" t="n"/>
    </row>
    <row r="354" ht="15" customHeight="1">
      <c r="A354" s="13" t="inlineStr">
        <is>
          <t>copc.com</t>
        </is>
      </c>
      <c r="B354" s="212" t="n"/>
      <c r="C354" s="211" t="n"/>
      <c r="D354" s="15" t="n">
        <v>1</v>
      </c>
      <c r="E354" s="16" t="inlineStr">
        <is>
          <t>https://copc.com/copc-standards</t>
        </is>
      </c>
      <c r="F354" s="212" t="n"/>
      <c r="G354" s="212" t="n"/>
      <c r="H354" s="212" t="n"/>
      <c r="I354" s="212" t="n"/>
      <c r="J354" s="212" t="n"/>
      <c r="K354" s="212" t="n"/>
      <c r="L354" s="212" t="n"/>
      <c r="M354" s="212" t="n"/>
      <c r="N354" s="212" t="n"/>
      <c r="O354" s="211" t="n"/>
    </row>
    <row r="355" ht="15" customHeight="1">
      <c r="A355" s="13" t="inlineStr">
        <is>
          <t>developer.squareup.com</t>
        </is>
      </c>
      <c r="B355" s="212" t="n"/>
      <c r="C355" s="211" t="n"/>
      <c r="D355" s="15" t="n">
        <v>1</v>
      </c>
      <c r="E355" s="16" t="inlineStr">
        <is>
          <t>https://developer.squareup.com/blog/squares-growth-framework-for-engineers-and-engineering-managers/</t>
        </is>
      </c>
      <c r="F355" s="212" t="n"/>
      <c r="G355" s="212" t="n"/>
      <c r="H355" s="212" t="n"/>
      <c r="I355" s="212" t="n"/>
      <c r="J355" s="212" t="n"/>
      <c r="K355" s="212" t="n"/>
      <c r="L355" s="212" t="n"/>
      <c r="M355" s="212" t="n"/>
      <c r="N355" s="212" t="n"/>
      <c r="O355" s="211" t="n"/>
    </row>
    <row r="356" ht="15" customHeight="1">
      <c r="A356" s="13" t="inlineStr">
        <is>
          <t>dfinsolutions.com</t>
        </is>
      </c>
      <c r="B356" s="212" t="n"/>
      <c r="C356" s="211" t="n"/>
      <c r="D356" s="15" t="n">
        <v>1</v>
      </c>
      <c r="E356" s="16" t="inlineStr">
        <is>
          <t>https://www.dfinsolutions.com</t>
        </is>
      </c>
      <c r="F356" s="212" t="n"/>
      <c r="G356" s="212" t="n"/>
      <c r="H356" s="212" t="n"/>
      <c r="I356" s="212" t="n"/>
      <c r="J356" s="212" t="n"/>
      <c r="K356" s="212" t="n"/>
      <c r="L356" s="212" t="n"/>
      <c r="M356" s="212" t="n"/>
      <c r="N356" s="212" t="n"/>
      <c r="O356" s="211" t="n"/>
    </row>
    <row r="357" ht="15" customHeight="1">
      <c r="A357" s="13" t="inlineStr">
        <is>
          <t>dropbox.tech</t>
        </is>
      </c>
      <c r="B357" s="212" t="n"/>
      <c r="C357" s="211" t="n"/>
      <c r="D357" s="15" t="n">
        <v>1</v>
      </c>
      <c r="E357" s="16" t="inlineStr">
        <is>
          <t>https://dropbox.tech/culture/our-updated-engineering-career-framework</t>
        </is>
      </c>
      <c r="F357" s="212" t="n"/>
      <c r="G357" s="212" t="n"/>
      <c r="H357" s="212" t="n"/>
      <c r="I357" s="212" t="n"/>
      <c r="J357" s="212" t="n"/>
      <c r="K357" s="212" t="n"/>
      <c r="L357" s="212" t="n"/>
      <c r="M357" s="212" t="n"/>
      <c r="N357" s="212" t="n"/>
      <c r="O357" s="211" t="n"/>
    </row>
    <row r="358" ht="28" customHeight="1">
      <c r="A358" s="13" t="inlineStr">
        <is>
          <t>gov.nl.ca</t>
        </is>
      </c>
      <c r="B358" s="212" t="n"/>
      <c r="C358" s="211" t="n"/>
      <c r="D358" s="15" t="n">
        <v>1</v>
      </c>
      <c r="E358" s="16" t="inlineStr">
        <is>
          <t>https://www.gov.nl.ca/exec/tbs/department/branches/classification/what-is-the-korn-ferry-hay-group-guide-chart-profile-method-of-job-evaluation/</t>
        </is>
      </c>
      <c r="F358" s="212" t="n"/>
      <c r="G358" s="212" t="n"/>
      <c r="H358" s="212" t="n"/>
      <c r="I358" s="212" t="n"/>
      <c r="J358" s="212" t="n"/>
      <c r="K358" s="212" t="n"/>
      <c r="L358" s="212" t="n"/>
      <c r="M358" s="212" t="n"/>
      <c r="N358" s="212" t="n"/>
      <c r="O358" s="211" t="n"/>
    </row>
    <row r="359" ht="15" customHeight="1">
      <c r="A359" s="13" t="inlineStr">
        <is>
          <t>highland.gov.uk</t>
        </is>
      </c>
      <c r="B359" s="212" t="n"/>
      <c r="C359" s="211" t="n"/>
      <c r="D359" s="15" t="n">
        <v>1</v>
      </c>
      <c r="E359" s="16" t="inlineStr">
        <is>
          <t>https://www.highland.gov.uk/download/downloads/id/3889/scoring_matrix.pdf</t>
        </is>
      </c>
      <c r="F359" s="212" t="n"/>
      <c r="G359" s="212" t="n"/>
      <c r="H359" s="212" t="n"/>
      <c r="I359" s="212" t="n"/>
      <c r="J359" s="212" t="n"/>
      <c r="K359" s="212" t="n"/>
      <c r="L359" s="212" t="n"/>
      <c r="M359" s="212" t="n"/>
      <c r="N359" s="212" t="n"/>
      <c r="O359" s="211" t="n"/>
    </row>
    <row r="360" ht="15" customHeight="1">
      <c r="A360" s="13" t="inlineStr">
        <is>
          <t>info.mercer.com</t>
        </is>
      </c>
      <c r="B360" s="212" t="n"/>
      <c r="C360" s="211" t="n"/>
      <c r="D360" s="15" t="n">
        <v>1</v>
      </c>
      <c r="E360" s="16" t="inlineStr">
        <is>
          <t>https://info.mercer.com/rs/521-DEV-513/images/MLS-Job-Catalogue.pdf</t>
        </is>
      </c>
      <c r="F360" s="212" t="n"/>
      <c r="G360" s="212" t="n"/>
      <c r="H360" s="212" t="n"/>
      <c r="I360" s="212" t="n"/>
      <c r="J360" s="212" t="n"/>
      <c r="K360" s="212" t="n"/>
      <c r="L360" s="212" t="n"/>
      <c r="M360" s="212" t="n"/>
      <c r="N360" s="212" t="n"/>
      <c r="O360" s="211" t="n"/>
    </row>
    <row r="361" ht="15" customHeight="1">
      <c r="A361" s="13" t="inlineStr">
        <is>
          <t>itjobswatch.co.uk</t>
        </is>
      </c>
      <c r="B361" s="212" t="n"/>
      <c r="C361" s="211" t="n"/>
      <c r="D361" s="15" t="n">
        <v>1</v>
      </c>
      <c r="E361" s="16" t="inlineStr">
        <is>
          <t>https://www.itjobswatch.co.uk/jv/Space-Executive/Sales-Lead-Player-Coach-HR-Tech-Job-City-of-London-Greater-London-UK-4vommq</t>
        </is>
      </c>
      <c r="F361" s="212" t="n"/>
      <c r="G361" s="212" t="n"/>
      <c r="H361" s="212" t="n"/>
      <c r="I361" s="212" t="n"/>
      <c r="J361" s="212" t="n"/>
      <c r="K361" s="212" t="n"/>
      <c r="L361" s="212" t="n"/>
      <c r="M361" s="212" t="n"/>
      <c r="N361" s="212" t="n"/>
      <c r="O361" s="211" t="n"/>
    </row>
    <row r="362" ht="15" customHeight="1">
      <c r="A362" s="13" t="inlineStr">
        <is>
          <t>jobs.insightpartners.com</t>
        </is>
      </c>
      <c r="B362" s="212" t="n"/>
      <c r="C362" s="211" t="n"/>
      <c r="D362" s="15" t="n">
        <v>1</v>
      </c>
      <c r="E362" s="16" t="inlineStr">
        <is>
          <t>https://jobs.insightpartners.com/companies/gainsight/jobs/64120646-director-customer-success</t>
        </is>
      </c>
      <c r="F362" s="212" t="n"/>
      <c r="G362" s="212" t="n"/>
      <c r="H362" s="212" t="n"/>
      <c r="I362" s="212" t="n"/>
      <c r="J362" s="212" t="n"/>
      <c r="K362" s="212" t="n"/>
      <c r="L362" s="212" t="n"/>
      <c r="M362" s="212" t="n"/>
      <c r="N362" s="212" t="n"/>
      <c r="O362" s="211" t="n"/>
    </row>
    <row r="363" ht="15" customHeight="1">
      <c r="A363" s="13" t="inlineStr">
        <is>
          <t>kaanoon.com</t>
        </is>
      </c>
      <c r="B363" s="212" t="n"/>
      <c r="C363" s="211" t="n"/>
      <c r="D363" s="15" t="n">
        <v>1</v>
      </c>
      <c r="E363" s="16" t="inlineStr">
        <is>
          <t>https://www.kaanoon.com/241487/designation-with-word-director-as-per-hr-policy-but-not-as-per-companies-act</t>
        </is>
      </c>
      <c r="F363" s="212" t="n"/>
      <c r="G363" s="212" t="n"/>
      <c r="H363" s="212" t="n"/>
      <c r="I363" s="212" t="n"/>
      <c r="J363" s="212" t="n"/>
      <c r="K363" s="212" t="n"/>
      <c r="L363" s="212" t="n"/>
      <c r="M363" s="212" t="n"/>
      <c r="N363" s="212" t="n"/>
      <c r="O363" s="211" t="n"/>
    </row>
    <row r="364" ht="15" customHeight="1">
      <c r="A364" s="13" t="inlineStr">
        <is>
          <t>karlancer.com</t>
        </is>
      </c>
      <c r="B364" s="212" t="n"/>
      <c r="C364" s="211" t="n"/>
      <c r="D364" s="15" t="n">
        <v>1</v>
      </c>
      <c r="E364" s="16" t="inlineStr">
        <is>
          <t>https://www.karlancer.com/api/file/1685038954-V7Gx.pdf</t>
        </is>
      </c>
      <c r="F364" s="212" t="n"/>
      <c r="G364" s="212" t="n"/>
      <c r="H364" s="212" t="n"/>
      <c r="I364" s="212" t="n"/>
      <c r="J364" s="212" t="n"/>
      <c r="K364" s="212" t="n"/>
      <c r="L364" s="212" t="n"/>
      <c r="M364" s="212" t="n"/>
      <c r="N364" s="212" t="n"/>
      <c r="O364" s="211" t="n"/>
    </row>
    <row r="365" ht="15" customHeight="1">
      <c r="A365" s="13" t="inlineStr">
        <is>
          <t>kornferry.com</t>
        </is>
      </c>
      <c r="B365" s="212" t="n"/>
      <c r="C365" s="211" t="n"/>
      <c r="D365" s="15" t="n">
        <v>1</v>
      </c>
      <c r="E365" s="16" t="inlineStr">
        <is>
          <t>https://www.kornferry.com</t>
        </is>
      </c>
      <c r="F365" s="212" t="n"/>
      <c r="G365" s="212" t="n"/>
      <c r="H365" s="212" t="n"/>
      <c r="I365" s="212" t="n"/>
      <c r="J365" s="212" t="n"/>
      <c r="K365" s="212" t="n"/>
      <c r="L365" s="212" t="n"/>
      <c r="M365" s="212" t="n"/>
      <c r="N365" s="212" t="n"/>
      <c r="O365" s="211" t="n"/>
    </row>
    <row r="366" ht="15" customHeight="1">
      <c r="A366" s="13" t="inlineStr">
        <is>
          <t>lb2.local.gov.uk</t>
        </is>
      </c>
      <c r="B366" s="212" t="n"/>
      <c r="C366" s="211" t="n"/>
      <c r="D366" s="15" t="n">
        <v>1</v>
      </c>
      <c r="E366" s="16" t="inlineStr">
        <is>
          <t>https://lb2.local.gov.uk/sites/default/files/documents/police-staff-council-13-f-342.pdf</t>
        </is>
      </c>
      <c r="F366" s="212" t="n"/>
      <c r="G366" s="212" t="n"/>
      <c r="H366" s="212" t="n"/>
      <c r="I366" s="212" t="n"/>
      <c r="J366" s="212" t="n"/>
      <c r="K366" s="212" t="n"/>
      <c r="L366" s="212" t="n"/>
      <c r="M366" s="212" t="n"/>
      <c r="N366" s="212" t="n"/>
      <c r="O366" s="211" t="n"/>
    </row>
    <row r="367" ht="15" customHeight="1">
      <c r="A367" s="13" t="inlineStr">
        <is>
          <t>leaddev.com</t>
        </is>
      </c>
      <c r="B367" s="212" t="n"/>
      <c r="C367" s="211" t="n"/>
      <c r="D367" s="15" t="n">
        <v>1</v>
      </c>
      <c r="E367" s="16" t="inlineStr">
        <is>
          <t>https://leaddev.com/career-ladders/who-are-staff-principal-and-distinguished-engineers</t>
        </is>
      </c>
      <c r="F367" s="212" t="n"/>
      <c r="G367" s="212" t="n"/>
      <c r="H367" s="212" t="n"/>
      <c r="I367" s="212" t="n"/>
      <c r="J367" s="212" t="n"/>
      <c r="K367" s="212" t="n"/>
      <c r="L367" s="212" t="n"/>
      <c r="M367" s="212" t="n"/>
      <c r="N367" s="212" t="n"/>
      <c r="O367" s="211" t="n"/>
    </row>
    <row r="368" ht="15" customHeight="1">
      <c r="A368" s="13" t="inlineStr">
        <is>
          <t>newsletter.pragmaticengineer.com</t>
        </is>
      </c>
      <c r="B368" s="212" t="n"/>
      <c r="C368" s="211" t="n"/>
      <c r="D368" s="15" t="n">
        <v>1</v>
      </c>
      <c r="E368" s="16" t="inlineStr">
        <is>
          <t>https://newsletter.pragmaticengineer.com/p/leading-effective-engineering-teams</t>
        </is>
      </c>
      <c r="F368" s="212" t="n"/>
      <c r="G368" s="212" t="n"/>
      <c r="H368" s="212" t="n"/>
      <c r="I368" s="212" t="n"/>
      <c r="J368" s="212" t="n"/>
      <c r="K368" s="212" t="n"/>
      <c r="L368" s="212" t="n"/>
      <c r="M368" s="212" t="n"/>
      <c r="N368" s="212" t="n"/>
      <c r="O368" s="211" t="n"/>
    </row>
    <row r="369" ht="15" customHeight="1">
      <c r="A369" s="13" t="inlineStr">
        <is>
          <t>nhsemployers.org</t>
        </is>
      </c>
      <c r="B369" s="212" t="n"/>
      <c r="C369" s="211" t="n"/>
      <c r="D369" s="15" t="n">
        <v>1</v>
      </c>
      <c r="E369" s="16" t="inlineStr">
        <is>
          <t>https://www.nhsemployers.org/sites/default/files/pdf/22/165.pdf</t>
        </is>
      </c>
      <c r="F369" s="212" t="n"/>
      <c r="G369" s="212" t="n"/>
      <c r="H369" s="212" t="n"/>
      <c r="I369" s="212" t="n"/>
      <c r="J369" s="212" t="n"/>
      <c r="K369" s="212" t="n"/>
      <c r="L369" s="212" t="n"/>
      <c r="M369" s="212" t="n"/>
      <c r="N369" s="212" t="n"/>
      <c r="O369" s="211" t="n"/>
    </row>
    <row r="370" ht="28" customHeight="1">
      <c r="A370" s="13" t="inlineStr">
        <is>
          <t>opm.gov</t>
        </is>
      </c>
      <c r="B370" s="212" t="n"/>
      <c r="C370" s="211" t="n"/>
      <c r="D370" s="15" t="n">
        <v>1</v>
      </c>
      <c r="E370" s="16" t="inlineStr">
        <is>
          <t>https://www.opm.gov/policy-data-oversight/classification-qualifications/classifying-general-schedule-positions/positionclassificationintro.pdf</t>
        </is>
      </c>
      <c r="F370" s="212" t="n"/>
      <c r="G370" s="212" t="n"/>
      <c r="H370" s="212" t="n"/>
      <c r="I370" s="212" t="n"/>
      <c r="J370" s="212" t="n"/>
      <c r="K370" s="212" t="n"/>
      <c r="L370" s="212" t="n"/>
      <c r="M370" s="212" t="n"/>
      <c r="N370" s="212" t="n"/>
      <c r="O370" s="211" t="n"/>
    </row>
    <row r="371" ht="15" customHeight="1">
      <c r="A371" s="13" t="inlineStr">
        <is>
          <t>pave.com</t>
        </is>
      </c>
      <c r="B371" s="212" t="n"/>
      <c r="C371" s="211" t="n"/>
      <c r="D371" s="15" t="n">
        <v>1</v>
      </c>
      <c r="E371" s="16" t="inlineStr">
        <is>
          <t>https://support.pave.com/articles/understand-job-levels-SiKTjMHZtr.md</t>
        </is>
      </c>
      <c r="F371" s="212" t="n"/>
      <c r="G371" s="212" t="n"/>
      <c r="H371" s="212" t="n"/>
      <c r="I371" s="212" t="n"/>
      <c r="J371" s="212" t="n"/>
      <c r="K371" s="212" t="n"/>
      <c r="L371" s="212" t="n"/>
      <c r="M371" s="212" t="n"/>
      <c r="N371" s="212" t="n"/>
      <c r="O371" s="211" t="n"/>
    </row>
    <row r="372" ht="15" customHeight="1">
      <c r="A372" s="13" t="inlineStr">
        <is>
          <t>payscale.com</t>
        </is>
      </c>
      <c r="B372" s="212" t="n"/>
      <c r="C372" s="211" t="n"/>
      <c r="D372" s="15" t="n">
        <v>1</v>
      </c>
      <c r="E372" s="16" t="inlineStr">
        <is>
          <t>https://www.payscale.com/research/IN/Job=Chief_Architect%2C_IT/Skill-Experience</t>
        </is>
      </c>
      <c r="F372" s="212" t="n"/>
      <c r="G372" s="212" t="n"/>
      <c r="H372" s="212" t="n"/>
      <c r="I372" s="212" t="n"/>
      <c r="J372" s="212" t="n"/>
      <c r="K372" s="212" t="n"/>
      <c r="L372" s="212" t="n"/>
      <c r="M372" s="212" t="n"/>
      <c r="N372" s="212" t="n"/>
      <c r="O372" s="211" t="n"/>
    </row>
    <row r="373" ht="15" customHeight="1">
      <c r="A373" s="13" t="inlineStr">
        <is>
          <t>peoplecentre.wordpress.com</t>
        </is>
      </c>
      <c r="B373" s="212" t="n"/>
      <c r="C373" s="211" t="n"/>
      <c r="D373" s="15" t="n">
        <v>1</v>
      </c>
      <c r="E373" s="16" t="inlineStr">
        <is>
          <t>https://peoplecentre.wordpress.com/2016/10/02/hay-job-evaluation-methodology-the-short-profile/</t>
        </is>
      </c>
      <c r="F373" s="212" t="n"/>
      <c r="G373" s="212" t="n"/>
      <c r="H373" s="212" t="n"/>
      <c r="I373" s="212" t="n"/>
      <c r="J373" s="212" t="n"/>
      <c r="K373" s="212" t="n"/>
      <c r="L373" s="212" t="n"/>
      <c r="M373" s="212" t="n"/>
      <c r="N373" s="212" t="n"/>
      <c r="O373" s="211" t="n"/>
    </row>
    <row r="374" ht="15" customHeight="1">
      <c r="A374" s="13" t="inlineStr">
        <is>
          <t>peoplematters.in</t>
        </is>
      </c>
      <c r="B374" s="212" t="n"/>
      <c r="C374" s="211" t="n"/>
      <c r="D374" s="15" t="n">
        <v>1</v>
      </c>
      <c r="E374" s="16" t="inlineStr">
        <is>
          <t>https://www.peoplematters.in/news/compensation-benefits/indias-2026-salary-increases-to-reward-skills-over-seniority-ey-48541</t>
        </is>
      </c>
      <c r="F374" s="212" t="n"/>
      <c r="G374" s="212" t="n"/>
      <c r="H374" s="212" t="n"/>
      <c r="I374" s="212" t="n"/>
      <c r="J374" s="212" t="n"/>
      <c r="K374" s="212" t="n"/>
      <c r="L374" s="212" t="n"/>
      <c r="M374" s="212" t="n"/>
      <c r="N374" s="212" t="n"/>
      <c r="O374" s="211" t="n"/>
    </row>
    <row r="375" ht="15" customHeight="1">
      <c r="A375" s="13" t="inlineStr">
        <is>
          <t>pragmaticinstitute.com</t>
        </is>
      </c>
      <c r="B375" s="212" t="n"/>
      <c r="C375" s="211" t="n"/>
      <c r="D375" s="15" t="n">
        <v>1</v>
      </c>
      <c r="E375" s="16" t="inlineStr">
        <is>
          <t>https://pragmaticinstitute.com/product/framework/launch</t>
        </is>
      </c>
      <c r="F375" s="212" t="n"/>
      <c r="G375" s="212" t="n"/>
      <c r="H375" s="212" t="n"/>
      <c r="I375" s="212" t="n"/>
      <c r="J375" s="212" t="n"/>
      <c r="K375" s="212" t="n"/>
      <c r="L375" s="212" t="n"/>
      <c r="M375" s="212" t="n"/>
      <c r="N375" s="212" t="n"/>
      <c r="O375" s="211" t="n"/>
    </row>
    <row r="376" ht="15" customHeight="1">
      <c r="A376" s="13" t="inlineStr">
        <is>
          <t>professionals.lincolnshire.gov.uk</t>
        </is>
      </c>
      <c r="B376" s="212" t="n"/>
      <c r="C376" s="211" t="n"/>
      <c r="D376" s="15" t="n">
        <v>1</v>
      </c>
      <c r="E376" s="16" t="inlineStr">
        <is>
          <t>https://professionals.lincolnshire.gov.uk/downloads/file/576/hay-group-je-method</t>
        </is>
      </c>
      <c r="F376" s="212" t="n"/>
      <c r="G376" s="212" t="n"/>
      <c r="H376" s="212" t="n"/>
      <c r="I376" s="212" t="n"/>
      <c r="J376" s="212" t="n"/>
      <c r="K376" s="212" t="n"/>
      <c r="L376" s="212" t="n"/>
      <c r="M376" s="212" t="n"/>
      <c r="N376" s="212" t="n"/>
      <c r="O376" s="211" t="n"/>
    </row>
    <row r="377" ht="15" customHeight="1">
      <c r="A377" s="13" t="inlineStr">
        <is>
          <t>rajendrauppal.substack.com</t>
        </is>
      </c>
      <c r="B377" s="212" t="n"/>
      <c r="C377" s="211" t="n"/>
      <c r="D377" s="15" t="n">
        <v>1</v>
      </c>
      <c r="E377" s="16" t="inlineStr">
        <is>
          <t>https://rajendrauppal.substack.com/p/understanding-levels-at-google-microsoft</t>
        </is>
      </c>
      <c r="F377" s="212" t="n"/>
      <c r="G377" s="212" t="n"/>
      <c r="H377" s="212" t="n"/>
      <c r="I377" s="212" t="n"/>
      <c r="J377" s="212" t="n"/>
      <c r="K377" s="212" t="n"/>
      <c r="L377" s="212" t="n"/>
      <c r="M377" s="212" t="n"/>
      <c r="N377" s="212" t="n"/>
      <c r="O377" s="211" t="n"/>
    </row>
    <row r="378" ht="15" customHeight="1">
      <c r="A378" s="13" t="inlineStr">
        <is>
          <t>rework.withgoogle.com</t>
        </is>
      </c>
      <c r="B378" s="212" t="n"/>
      <c r="C378" s="211" t="n"/>
      <c r="D378" s="15" t="n">
        <v>1</v>
      </c>
      <c r="E378" s="16" t="inlineStr">
        <is>
          <t>https://rework.withgoogle.com/intl/en/guides/following-the-data-the-research-behind-great-managers</t>
        </is>
      </c>
      <c r="F378" s="212" t="n"/>
      <c r="G378" s="212" t="n"/>
      <c r="H378" s="212" t="n"/>
      <c r="I378" s="212" t="n"/>
      <c r="J378" s="212" t="n"/>
      <c r="K378" s="212" t="n"/>
      <c r="L378" s="212" t="n"/>
      <c r="M378" s="212" t="n"/>
      <c r="N378" s="212" t="n"/>
      <c r="O378" s="211" t="n"/>
    </row>
    <row r="379" ht="15" customHeight="1">
      <c r="A379" s="13" t="inlineStr">
        <is>
          <t>saastr.com</t>
        </is>
      </c>
      <c r="B379" s="212" t="n"/>
      <c r="C379" s="211" t="n"/>
      <c r="D379" s="15" t="n">
        <v>1</v>
      </c>
      <c r="E379" s="16" t="inlineStr">
        <is>
          <t>https://www.saastr.com/dear-saastr-do-i-have-to-provide-a-promotion-path-from-sdr-to-ae</t>
        </is>
      </c>
      <c r="F379" s="212" t="n"/>
      <c r="G379" s="212" t="n"/>
      <c r="H379" s="212" t="n"/>
      <c r="I379" s="212" t="n"/>
      <c r="J379" s="212" t="n"/>
      <c r="K379" s="212" t="n"/>
      <c r="L379" s="212" t="n"/>
      <c r="M379" s="212" t="n"/>
      <c r="N379" s="212" t="n"/>
      <c r="O379" s="211" t="n"/>
    </row>
    <row r="380" ht="15" customHeight="1">
      <c r="A380" s="13" t="inlineStr">
        <is>
          <t>salesgravy.com</t>
        </is>
      </c>
      <c r="B380" s="212" t="n"/>
      <c r="C380" s="211" t="n"/>
      <c r="D380" s="15" t="n">
        <v>1</v>
      </c>
      <c r="E380" s="16" t="inlineStr">
        <is>
          <t>https://salesgravy.com/the-player-coach-problem-how-to-prospect-and-lead-at-the-same-time-ask-jeb/</t>
        </is>
      </c>
      <c r="F380" s="212" t="n"/>
      <c r="G380" s="212" t="n"/>
      <c r="H380" s="212" t="n"/>
      <c r="I380" s="212" t="n"/>
      <c r="J380" s="212" t="n"/>
      <c r="K380" s="212" t="n"/>
      <c r="L380" s="212" t="n"/>
      <c r="M380" s="212" t="n"/>
      <c r="N380" s="212" t="n"/>
      <c r="O380" s="211" t="n"/>
    </row>
    <row r="381" ht="15" customHeight="1">
      <c r="A381" s="13" t="inlineStr">
        <is>
          <t>sec.gov</t>
        </is>
      </c>
      <c r="B381" s="212" t="n"/>
      <c r="C381" s="211" t="n"/>
      <c r="D381" s="15" t="n">
        <v>1</v>
      </c>
      <c r="E381" s="16" t="inlineStr">
        <is>
          <t>https://www.sec.gov/Archives/edgar/data/1445305/000144530526000016/wk-20251231.htm</t>
        </is>
      </c>
      <c r="F381" s="212" t="n"/>
      <c r="G381" s="212" t="n"/>
      <c r="H381" s="212" t="n"/>
      <c r="I381" s="212" t="n"/>
      <c r="J381" s="212" t="n"/>
      <c r="K381" s="212" t="n"/>
      <c r="L381" s="212" t="n"/>
      <c r="M381" s="212" t="n"/>
      <c r="N381" s="212" t="n"/>
      <c r="O381" s="211" t="n"/>
    </row>
    <row r="382" ht="15" customHeight="1">
      <c r="A382" s="13" t="inlineStr">
        <is>
          <t>shl.com</t>
        </is>
      </c>
      <c r="B382" s="212" t="n"/>
      <c r="C382" s="211" t="n"/>
      <c r="D382" s="15" t="n">
        <v>1</v>
      </c>
      <c r="E382" s="16" t="inlineStr">
        <is>
          <t>https://www.shl.com/assets/campaigns/global/competency-fit/universal-competency-framework-whitepaper-en.pdf</t>
        </is>
      </c>
      <c r="F382" s="212" t="n"/>
      <c r="G382" s="212" t="n"/>
      <c r="H382" s="212" t="n"/>
      <c r="I382" s="212" t="n"/>
      <c r="J382" s="212" t="n"/>
      <c r="K382" s="212" t="n"/>
      <c r="L382" s="212" t="n"/>
      <c r="M382" s="212" t="n"/>
      <c r="N382" s="212" t="n"/>
      <c r="O382" s="211" t="n"/>
    </row>
    <row r="383" ht="15" customHeight="1">
      <c r="A383" s="13" t="inlineStr">
        <is>
          <t>sirddinbych.gov.uk</t>
        </is>
      </c>
      <c r="B383" s="212" t="n"/>
      <c r="C383" s="211" t="n"/>
      <c r="D383" s="15" t="n">
        <v>1</v>
      </c>
      <c r="E383" s="16" t="inlineStr">
        <is>
          <t>https://www.sirddinbych.gov.uk/en/documents/jobs-and-employees/my-employment/reorganisation-and-change/glpc-points-weighting.pdf</t>
        </is>
      </c>
      <c r="F383" s="212" t="n"/>
      <c r="G383" s="212" t="n"/>
      <c r="H383" s="212" t="n"/>
      <c r="I383" s="212" t="n"/>
      <c r="J383" s="212" t="n"/>
      <c r="K383" s="212" t="n"/>
      <c r="L383" s="212" t="n"/>
      <c r="M383" s="212" t="n"/>
      <c r="N383" s="212" t="n"/>
      <c r="O383" s="211" t="n"/>
    </row>
    <row r="384" ht="15" customHeight="1">
      <c r="A384" s="13" t="inlineStr">
        <is>
          <t>slideshare.net</t>
        </is>
      </c>
      <c r="B384" s="212" t="n"/>
      <c r="C384" s="211" t="n"/>
      <c r="D384" s="15" t="n">
        <v>1</v>
      </c>
      <c r="E384" s="16" t="inlineStr">
        <is>
          <t>https://www.slideshare.net/slideshow/hay-summary/55196354</t>
        </is>
      </c>
      <c r="F384" s="212" t="n"/>
      <c r="G384" s="212" t="n"/>
      <c r="H384" s="212" t="n"/>
      <c r="I384" s="212" t="n"/>
      <c r="J384" s="212" t="n"/>
      <c r="K384" s="212" t="n"/>
      <c r="L384" s="212" t="n"/>
      <c r="M384" s="212" t="n"/>
      <c r="N384" s="212" t="n"/>
      <c r="O384" s="211" t="n"/>
    </row>
    <row r="385" ht="15" customHeight="1">
      <c r="A385" s="13" t="inlineStr">
        <is>
          <t>snowflake.com</t>
        </is>
      </c>
      <c r="B385" s="212" t="n"/>
      <c r="C385" s="211" t="n"/>
      <c r="D385" s="15" t="n">
        <v>1</v>
      </c>
      <c r="E385" s="16" t="inlineStr">
        <is>
          <t>https://www.snowflake.com/en/fundamentals/data-governance/framework/dama-dmbok/</t>
        </is>
      </c>
      <c r="F385" s="212" t="n"/>
      <c r="G385" s="212" t="n"/>
      <c r="H385" s="212" t="n"/>
      <c r="I385" s="212" t="n"/>
      <c r="J385" s="212" t="n"/>
      <c r="K385" s="212" t="n"/>
      <c r="L385" s="212" t="n"/>
      <c r="M385" s="212" t="n"/>
      <c r="N385" s="212" t="n"/>
      <c r="O385" s="211" t="n"/>
    </row>
    <row r="386" ht="15" customHeight="1">
      <c r="A386" s="13" t="inlineStr">
        <is>
          <t>staff.derbyshire.gov.uk</t>
        </is>
      </c>
      <c r="B386" s="212" t="n"/>
      <c r="C386" s="211" t="n"/>
      <c r="D386" s="15" t="n">
        <v>1</v>
      </c>
      <c r="E386" s="16" t="inlineStr">
        <is>
          <t>https://staff.derbyshire.gov.uk/jobs-and-recruitment/job-evaluation/korn-ferry-hay-scheme/korn-ferry-hay-scheme.aspx</t>
        </is>
      </c>
      <c r="F386" s="212" t="n"/>
      <c r="G386" s="212" t="n"/>
      <c r="H386" s="212" t="n"/>
      <c r="I386" s="212" t="n"/>
      <c r="J386" s="212" t="n"/>
      <c r="K386" s="212" t="n"/>
      <c r="L386" s="212" t="n"/>
      <c r="M386" s="212" t="n"/>
      <c r="N386" s="212" t="n"/>
      <c r="O386" s="211" t="n"/>
    </row>
    <row r="387" ht="15" customHeight="1">
      <c r="A387" s="13" t="inlineStr">
        <is>
          <t>studylib.net</t>
        </is>
      </c>
      <c r="B387" s="212" t="n"/>
      <c r="C387" s="211" t="n"/>
      <c r="D387" s="15" t="n">
        <v>1</v>
      </c>
      <c r="E387" s="16" t="inlineStr">
        <is>
          <t>https://studylib.net/doc/25471018/197145561-evaluation-factors-mercer</t>
        </is>
      </c>
      <c r="F387" s="212" t="n"/>
      <c r="G387" s="212" t="n"/>
      <c r="H387" s="212" t="n"/>
      <c r="I387" s="212" t="n"/>
      <c r="J387" s="212" t="n"/>
      <c r="K387" s="212" t="n"/>
      <c r="L387" s="212" t="n"/>
      <c r="M387" s="212" t="n"/>
      <c r="N387" s="212" t="n"/>
      <c r="O387" s="211" t="n"/>
    </row>
    <row r="388" ht="15" customHeight="1">
      <c r="A388" s="13" t="inlineStr">
        <is>
          <t>toppanmerrill.com</t>
        </is>
      </c>
      <c r="B388" s="212" t="n"/>
      <c r="C388" s="211" t="n"/>
      <c r="D388" s="15" t="n">
        <v>1</v>
      </c>
      <c r="E388" s="16" t="inlineStr">
        <is>
          <t>https://toppanmerrill.com/bridge/</t>
        </is>
      </c>
      <c r="F388" s="212" t="n"/>
      <c r="G388" s="212" t="n"/>
      <c r="H388" s="212" t="n"/>
      <c r="I388" s="212" t="n"/>
      <c r="J388" s="212" t="n"/>
      <c r="K388" s="212" t="n"/>
      <c r="L388" s="212" t="n"/>
      <c r="M388" s="212" t="n"/>
      <c r="N388" s="212" t="n"/>
      <c r="O388" s="211" t="n"/>
    </row>
    <row r="389" ht="15" customHeight="1">
      <c r="A389" s="13" t="inlineStr">
        <is>
          <t>wipro.com</t>
        </is>
      </c>
      <c r="B389" s="212" t="n"/>
      <c r="C389" s="211" t="n"/>
      <c r="D389" s="15" t="n">
        <v>1</v>
      </c>
      <c r="E389" s="16" t="inlineStr">
        <is>
          <t>https://www.wipro.com/innovation/distinguished-member-of-technical-staff/</t>
        </is>
      </c>
      <c r="F389" s="212" t="n"/>
      <c r="G389" s="212" t="n"/>
      <c r="H389" s="212" t="n"/>
      <c r="I389" s="212" t="n"/>
      <c r="J389" s="212" t="n"/>
      <c r="K389" s="212" t="n"/>
      <c r="L389" s="212" t="n"/>
      <c r="M389" s="212" t="n"/>
      <c r="N389" s="212" t="n"/>
      <c r="O389" s="211" t="n"/>
    </row>
    <row r="390" ht="15" customHeight="1">
      <c r="A390" s="13" t="inlineStr">
        <is>
          <t>worldatwork.org</t>
        </is>
      </c>
      <c r="B390" s="212" t="n"/>
      <c r="C390" s="211" t="n"/>
      <c r="D390" s="15" t="n">
        <v>1</v>
      </c>
      <c r="E390" s="16" t="inlineStr">
        <is>
          <t>https://worldatwork.org/media/CDN/dist/CDN2/documents/pdf/resources/research/Salary-Structure-Policies-Practices-2012.pdf</t>
        </is>
      </c>
      <c r="F390" s="212" t="n"/>
      <c r="G390" s="212" t="n"/>
      <c r="H390" s="212" t="n"/>
      <c r="I390" s="212" t="n"/>
      <c r="J390" s="212" t="n"/>
      <c r="K390" s="212" t="n"/>
      <c r="L390" s="212" t="n"/>
      <c r="M390" s="212" t="n"/>
      <c r="N390" s="212" t="n"/>
      <c r="O390" s="211" t="n"/>
    </row>
    <row r="391" ht="15" customHeight="1">
      <c r="A391" s="13" t="inlineStr">
        <is>
          <t>worldoftaxonomy.com</t>
        </is>
      </c>
      <c r="B391" s="212" t="n"/>
      <c r="C391" s="211" t="n"/>
      <c r="D391" s="15" t="n">
        <v>1</v>
      </c>
      <c r="E391" s="16" t="inlineStr">
        <is>
          <t>https://worldoftaxonomy.com/system/isco_08/node/251</t>
        </is>
      </c>
      <c r="F391" s="212" t="n"/>
      <c r="G391" s="212" t="n"/>
      <c r="H391" s="212" t="n"/>
      <c r="I391" s="212" t="n"/>
      <c r="J391" s="212" t="n"/>
      <c r="K391" s="212" t="n"/>
      <c r="L391" s="212" t="n"/>
      <c r="M391" s="212" t="n"/>
      <c r="N391" s="212" t="n"/>
      <c r="O391" s="211" t="n"/>
    </row>
  </sheetData>
  <mergeCells count="992">
    <mergeCell ref="G225:J225"/>
    <mergeCell ref="B231:D231"/>
    <mergeCell ref="E376:O376"/>
    <mergeCell ref="A326:C326"/>
    <mergeCell ref="H251:J251"/>
    <mergeCell ref="A364:C364"/>
    <mergeCell ref="G200:J200"/>
    <mergeCell ref="E313:O313"/>
    <mergeCell ref="E234:F234"/>
    <mergeCell ref="K191:N191"/>
    <mergeCell ref="G227:J227"/>
    <mergeCell ref="H278:J278"/>
    <mergeCell ref="H253:J253"/>
    <mergeCell ref="G202:J202"/>
    <mergeCell ref="E244:F244"/>
    <mergeCell ref="D281:E281"/>
    <mergeCell ref="M35:N35"/>
    <mergeCell ref="B297:C297"/>
    <mergeCell ref="E371:O371"/>
    <mergeCell ref="K218:N218"/>
    <mergeCell ref="E236:F236"/>
    <mergeCell ref="D297:E297"/>
    <mergeCell ref="E358:O358"/>
    <mergeCell ref="N169:O169"/>
    <mergeCell ref="H304:J304"/>
    <mergeCell ref="B241:D241"/>
    <mergeCell ref="E229:F229"/>
    <mergeCell ref="D263:E263"/>
    <mergeCell ref="F263:G263"/>
    <mergeCell ref="B299:C299"/>
    <mergeCell ref="H273:J273"/>
    <mergeCell ref="B213:D213"/>
    <mergeCell ref="K232:N232"/>
    <mergeCell ref="B249:C249"/>
    <mergeCell ref="A33:B33"/>
    <mergeCell ref="C11:J11"/>
    <mergeCell ref="K219:N219"/>
    <mergeCell ref="E310:O310"/>
    <mergeCell ref="E335:O335"/>
    <mergeCell ref="A352:C352"/>
    <mergeCell ref="K305:M305"/>
    <mergeCell ref="A40:O40"/>
    <mergeCell ref="B242:D242"/>
    <mergeCell ref="D307:E307"/>
    <mergeCell ref="G184:J184"/>
    <mergeCell ref="A35:B35"/>
    <mergeCell ref="B190:D190"/>
    <mergeCell ref="A368:C368"/>
    <mergeCell ref="G36:I36"/>
    <mergeCell ref="A49:C49"/>
    <mergeCell ref="B208:D208"/>
    <mergeCell ref="N168:O168"/>
    <mergeCell ref="H306:J306"/>
    <mergeCell ref="J46:N46"/>
    <mergeCell ref="A334:C334"/>
    <mergeCell ref="A28:B28"/>
    <mergeCell ref="A383:C383"/>
    <mergeCell ref="C28:D28"/>
    <mergeCell ref="D45:I45"/>
    <mergeCell ref="A370:C370"/>
    <mergeCell ref="B219:D219"/>
    <mergeCell ref="G222:J222"/>
    <mergeCell ref="A146:O146"/>
    <mergeCell ref="B210:D210"/>
    <mergeCell ref="K271:M271"/>
    <mergeCell ref="K300:M300"/>
    <mergeCell ref="E326:O326"/>
    <mergeCell ref="J48:N48"/>
    <mergeCell ref="H297:J297"/>
    <mergeCell ref="A30:B30"/>
    <mergeCell ref="H291:J291"/>
    <mergeCell ref="C30:D30"/>
    <mergeCell ref="E361:O361"/>
    <mergeCell ref="K179:N179"/>
    <mergeCell ref="G215:J215"/>
    <mergeCell ref="K273:M273"/>
    <mergeCell ref="K9:O9"/>
    <mergeCell ref="E219:F219"/>
    <mergeCell ref="D258:E258"/>
    <mergeCell ref="K230:N230"/>
    <mergeCell ref="N171:O171"/>
    <mergeCell ref="H305:J305"/>
    <mergeCell ref="J163:M163"/>
    <mergeCell ref="H292:J292"/>
    <mergeCell ref="K11:O11"/>
    <mergeCell ref="F251:G251"/>
    <mergeCell ref="B287:C287"/>
    <mergeCell ref="D287:E287"/>
    <mergeCell ref="J171:M171"/>
    <mergeCell ref="B201:D201"/>
    <mergeCell ref="B239:D239"/>
    <mergeCell ref="J165:M165"/>
    <mergeCell ref="D253:E253"/>
    <mergeCell ref="F253:G253"/>
    <mergeCell ref="B289:C289"/>
    <mergeCell ref="G241:J241"/>
    <mergeCell ref="N166:O166"/>
    <mergeCell ref="A44:C44"/>
    <mergeCell ref="D289:E289"/>
    <mergeCell ref="A357:C357"/>
    <mergeCell ref="B203:D203"/>
    <mergeCell ref="G228:J228"/>
    <mergeCell ref="E379:O379"/>
    <mergeCell ref="A329:C329"/>
    <mergeCell ref="H254:J254"/>
    <mergeCell ref="K255:M255"/>
    <mergeCell ref="E366:O366"/>
    <mergeCell ref="G243:J243"/>
    <mergeCell ref="J166:M166"/>
    <mergeCell ref="E316:O316"/>
    <mergeCell ref="E237:F237"/>
    <mergeCell ref="B232:D232"/>
    <mergeCell ref="E381:O381"/>
    <mergeCell ref="H256:J256"/>
    <mergeCell ref="A358:C358"/>
    <mergeCell ref="E187:F187"/>
    <mergeCell ref="B215:D215"/>
    <mergeCell ref="E380:O380"/>
    <mergeCell ref="E239:F239"/>
    <mergeCell ref="A88:O88"/>
    <mergeCell ref="A360:C360"/>
    <mergeCell ref="E189:F189"/>
    <mergeCell ref="K286:M286"/>
    <mergeCell ref="A34:B34"/>
    <mergeCell ref="E238:F238"/>
    <mergeCell ref="B244:D244"/>
    <mergeCell ref="C34:D34"/>
    <mergeCell ref="K261:M261"/>
    <mergeCell ref="F266:G266"/>
    <mergeCell ref="B302:C302"/>
    <mergeCell ref="B229:D229"/>
    <mergeCell ref="A54:O54"/>
    <mergeCell ref="D302:E302"/>
    <mergeCell ref="G19:I19"/>
    <mergeCell ref="B181:D181"/>
    <mergeCell ref="A36:B36"/>
    <mergeCell ref="C14:J14"/>
    <mergeCell ref="A385:C385"/>
    <mergeCell ref="G221:J221"/>
    <mergeCell ref="A50:C50"/>
    <mergeCell ref="D300:E300"/>
    <mergeCell ref="A154:O154"/>
    <mergeCell ref="A42:C42"/>
    <mergeCell ref="B245:D245"/>
    <mergeCell ref="A384:C384"/>
    <mergeCell ref="C29:D29"/>
    <mergeCell ref="A129:O129"/>
    <mergeCell ref="E29:F29"/>
    <mergeCell ref="K187:N187"/>
    <mergeCell ref="G198:J198"/>
    <mergeCell ref="E205:F205"/>
    <mergeCell ref="G223:J223"/>
    <mergeCell ref="H249:J249"/>
    <mergeCell ref="A386:C386"/>
    <mergeCell ref="C31:D31"/>
    <mergeCell ref="M31:N31"/>
    <mergeCell ref="E31:F31"/>
    <mergeCell ref="K189:N189"/>
    <mergeCell ref="K238:N238"/>
    <mergeCell ref="E329:O329"/>
    <mergeCell ref="D284:E284"/>
    <mergeCell ref="H307:J307"/>
    <mergeCell ref="K188:N188"/>
    <mergeCell ref="D259:E259"/>
    <mergeCell ref="H294:J294"/>
    <mergeCell ref="K182:N182"/>
    <mergeCell ref="F259:G259"/>
    <mergeCell ref="B270:C270"/>
    <mergeCell ref="K240:N240"/>
    <mergeCell ref="E331:O331"/>
    <mergeCell ref="M26:N26"/>
    <mergeCell ref="F261:G261"/>
    <mergeCell ref="B238:D238"/>
    <mergeCell ref="A1:O1"/>
    <mergeCell ref="D303:E303"/>
    <mergeCell ref="F254:G254"/>
    <mergeCell ref="D290:E290"/>
    <mergeCell ref="F290:G290"/>
    <mergeCell ref="A355:C355"/>
    <mergeCell ref="A78:O78"/>
    <mergeCell ref="J168:M168"/>
    <mergeCell ref="G234:J234"/>
    <mergeCell ref="B240:D240"/>
    <mergeCell ref="A24:B24"/>
    <mergeCell ref="A330:C330"/>
    <mergeCell ref="A379:C379"/>
    <mergeCell ref="C24:D24"/>
    <mergeCell ref="F256:G256"/>
    <mergeCell ref="E24:F24"/>
    <mergeCell ref="E195:F195"/>
    <mergeCell ref="K292:M292"/>
    <mergeCell ref="A366:C366"/>
    <mergeCell ref="E382:O382"/>
    <mergeCell ref="A381:C381"/>
    <mergeCell ref="K258:M258"/>
    <mergeCell ref="K307:M307"/>
    <mergeCell ref="E188:F188"/>
    <mergeCell ref="C26:D26"/>
    <mergeCell ref="H262:J262"/>
    <mergeCell ref="B263:C263"/>
    <mergeCell ref="F285:G285"/>
    <mergeCell ref="E180:F180"/>
    <mergeCell ref="E240:F240"/>
    <mergeCell ref="A374:C374"/>
    <mergeCell ref="K260:M260"/>
    <mergeCell ref="A361:C361"/>
    <mergeCell ref="E19:F19"/>
    <mergeCell ref="E190:F190"/>
    <mergeCell ref="K287:M287"/>
    <mergeCell ref="K201:N201"/>
    <mergeCell ref="D165:I165"/>
    <mergeCell ref="E182:F182"/>
    <mergeCell ref="D272:E272"/>
    <mergeCell ref="F272:G272"/>
    <mergeCell ref="A311:C311"/>
    <mergeCell ref="J21:L21"/>
    <mergeCell ref="G25:I25"/>
    <mergeCell ref="K289:M289"/>
    <mergeCell ref="B258:C258"/>
    <mergeCell ref="E319:O319"/>
    <mergeCell ref="D274:E274"/>
    <mergeCell ref="D301:E301"/>
    <mergeCell ref="F274:G274"/>
    <mergeCell ref="M28:N28"/>
    <mergeCell ref="J23:L23"/>
    <mergeCell ref="B197:D197"/>
    <mergeCell ref="B224:D224"/>
    <mergeCell ref="K213:N213"/>
    <mergeCell ref="B260:C260"/>
    <mergeCell ref="A350:C350"/>
    <mergeCell ref="E179:F179"/>
    <mergeCell ref="H275:J275"/>
    <mergeCell ref="A45:C45"/>
    <mergeCell ref="B184:D184"/>
    <mergeCell ref="M32:N32"/>
    <mergeCell ref="G239:J239"/>
    <mergeCell ref="A343:C343"/>
    <mergeCell ref="C37:D37"/>
    <mergeCell ref="F269:G269"/>
    <mergeCell ref="E37:F37"/>
    <mergeCell ref="K190:N190"/>
    <mergeCell ref="E208:F208"/>
    <mergeCell ref="E330:O330"/>
    <mergeCell ref="H252:J252"/>
    <mergeCell ref="A345:C345"/>
    <mergeCell ref="A316:C316"/>
    <mergeCell ref="G38:I38"/>
    <mergeCell ref="J164:M164"/>
    <mergeCell ref="D170:I170"/>
    <mergeCell ref="B271:C271"/>
    <mergeCell ref="E210:F210"/>
    <mergeCell ref="A46:C46"/>
    <mergeCell ref="F300:G300"/>
    <mergeCell ref="E332:O332"/>
    <mergeCell ref="K282:M282"/>
    <mergeCell ref="B179:D179"/>
    <mergeCell ref="E203:F203"/>
    <mergeCell ref="A376:C376"/>
    <mergeCell ref="G242:J242"/>
    <mergeCell ref="A248:O248"/>
    <mergeCell ref="A7:B7"/>
    <mergeCell ref="A104:O104"/>
    <mergeCell ref="K193:N193"/>
    <mergeCell ref="A175:O175"/>
    <mergeCell ref="B230:D230"/>
    <mergeCell ref="A313:C313"/>
    <mergeCell ref="G208:J208"/>
    <mergeCell ref="A380:C380"/>
    <mergeCell ref="G244:J244"/>
    <mergeCell ref="D306:E306"/>
    <mergeCell ref="A371:C371"/>
    <mergeCell ref="A171:C171"/>
    <mergeCell ref="A165:C165"/>
    <mergeCell ref="G194:J194"/>
    <mergeCell ref="H288:J288"/>
    <mergeCell ref="G181:J181"/>
    <mergeCell ref="G237:J237"/>
    <mergeCell ref="A382:C382"/>
    <mergeCell ref="K259:M259"/>
    <mergeCell ref="C27:D27"/>
    <mergeCell ref="H263:J263"/>
    <mergeCell ref="E27:F27"/>
    <mergeCell ref="E350:O350"/>
    <mergeCell ref="B255:C255"/>
    <mergeCell ref="E325:O325"/>
    <mergeCell ref="K209:N209"/>
    <mergeCell ref="D255:E255"/>
    <mergeCell ref="K203:N203"/>
    <mergeCell ref="G245:J245"/>
    <mergeCell ref="J29:L29"/>
    <mergeCell ref="H265:J265"/>
    <mergeCell ref="E196:F196"/>
    <mergeCell ref="G189:J189"/>
    <mergeCell ref="B266:C266"/>
    <mergeCell ref="F293:G293"/>
    <mergeCell ref="E183:F183"/>
    <mergeCell ref="E389:O389"/>
    <mergeCell ref="D260:E260"/>
    <mergeCell ref="E327:O327"/>
    <mergeCell ref="M19:N19"/>
    <mergeCell ref="E22:F22"/>
    <mergeCell ref="K186:N186"/>
    <mergeCell ref="E198:F198"/>
    <mergeCell ref="E345:O345"/>
    <mergeCell ref="E193:F193"/>
    <mergeCell ref="B268:C268"/>
    <mergeCell ref="K204:N204"/>
    <mergeCell ref="E391:O391"/>
    <mergeCell ref="F275:G275"/>
    <mergeCell ref="G207:J207"/>
    <mergeCell ref="J24:L24"/>
    <mergeCell ref="G28:I28"/>
    <mergeCell ref="B225:D225"/>
    <mergeCell ref="B261:C261"/>
    <mergeCell ref="D261:E261"/>
    <mergeCell ref="A351:C351"/>
    <mergeCell ref="F277:G277"/>
    <mergeCell ref="F304:G304"/>
    <mergeCell ref="J26:L26"/>
    <mergeCell ref="G30:I30"/>
    <mergeCell ref="A331:C331"/>
    <mergeCell ref="F276:G276"/>
    <mergeCell ref="K279:M279"/>
    <mergeCell ref="E38:F38"/>
    <mergeCell ref="A2:O2"/>
    <mergeCell ref="E209:F209"/>
    <mergeCell ref="F306:G306"/>
    <mergeCell ref="K254:M254"/>
    <mergeCell ref="H293:J293"/>
    <mergeCell ref="B187:D187"/>
    <mergeCell ref="B250:C250"/>
    <mergeCell ref="E211:F211"/>
    <mergeCell ref="C9:J9"/>
    <mergeCell ref="A332:C332"/>
    <mergeCell ref="E338:O338"/>
    <mergeCell ref="E186:F186"/>
    <mergeCell ref="A26:B26"/>
    <mergeCell ref="K12:O12"/>
    <mergeCell ref="D42:I42"/>
    <mergeCell ref="K283:M283"/>
    <mergeCell ref="B189:D189"/>
    <mergeCell ref="G176:J176"/>
    <mergeCell ref="B216:D216"/>
    <mergeCell ref="K274:M274"/>
    <mergeCell ref="A112:O112"/>
    <mergeCell ref="B279:C279"/>
    <mergeCell ref="K298:M298"/>
    <mergeCell ref="F303:G303"/>
    <mergeCell ref="B188:D188"/>
    <mergeCell ref="D50:I50"/>
    <mergeCell ref="G191:J191"/>
    <mergeCell ref="K14:O14"/>
    <mergeCell ref="D44:I44"/>
    <mergeCell ref="K285:M285"/>
    <mergeCell ref="A8:B8"/>
    <mergeCell ref="E340:O340"/>
    <mergeCell ref="B218:D218"/>
    <mergeCell ref="M24:N24"/>
    <mergeCell ref="B281:C281"/>
    <mergeCell ref="B193:D193"/>
    <mergeCell ref="K7:O7"/>
    <mergeCell ref="F288:G288"/>
    <mergeCell ref="G220:J220"/>
    <mergeCell ref="J37:L37"/>
    <mergeCell ref="A10:B10"/>
    <mergeCell ref="H271:J271"/>
    <mergeCell ref="G195:J195"/>
    <mergeCell ref="K211:N211"/>
    <mergeCell ref="F271:G271"/>
    <mergeCell ref="E351:O351"/>
    <mergeCell ref="K301:M301"/>
    <mergeCell ref="G197:J197"/>
    <mergeCell ref="C6:J6"/>
    <mergeCell ref="B292:C292"/>
    <mergeCell ref="H266:J266"/>
    <mergeCell ref="G34:I34"/>
    <mergeCell ref="D166:I166"/>
    <mergeCell ref="K267:M267"/>
    <mergeCell ref="N164:O164"/>
    <mergeCell ref="E353:O353"/>
    <mergeCell ref="H302:J302"/>
    <mergeCell ref="K303:M303"/>
    <mergeCell ref="B307:C307"/>
    <mergeCell ref="K212:N212"/>
    <mergeCell ref="E328:O328"/>
    <mergeCell ref="K206:N206"/>
    <mergeCell ref="E224:F224"/>
    <mergeCell ref="F283:G283"/>
    <mergeCell ref="B294:C294"/>
    <mergeCell ref="J32:L32"/>
    <mergeCell ref="A47:C47"/>
    <mergeCell ref="H268:J268"/>
    <mergeCell ref="D168:I168"/>
    <mergeCell ref="B211:D211"/>
    <mergeCell ref="K269:M269"/>
    <mergeCell ref="K296:M296"/>
    <mergeCell ref="F298:G298"/>
    <mergeCell ref="K214:N214"/>
    <mergeCell ref="B183:D183"/>
    <mergeCell ref="D167:I167"/>
    <mergeCell ref="B177:D177"/>
    <mergeCell ref="K235:N235"/>
    <mergeCell ref="G29:I29"/>
    <mergeCell ref="F291:G291"/>
    <mergeCell ref="A21:B21"/>
    <mergeCell ref="C21:D21"/>
    <mergeCell ref="G179:J179"/>
    <mergeCell ref="D169:I169"/>
    <mergeCell ref="M37:N37"/>
    <mergeCell ref="B212:D212"/>
    <mergeCell ref="G31:I31"/>
    <mergeCell ref="B206:D206"/>
    <mergeCell ref="A167:C167"/>
    <mergeCell ref="A32:B32"/>
    <mergeCell ref="D264:E264"/>
    <mergeCell ref="J41:N41"/>
    <mergeCell ref="F264:G264"/>
    <mergeCell ref="A23:B23"/>
    <mergeCell ref="K280:M280"/>
    <mergeCell ref="H284:J284"/>
    <mergeCell ref="C23:D23"/>
    <mergeCell ref="A169:C169"/>
    <mergeCell ref="K266:M266"/>
    <mergeCell ref="K295:M295"/>
    <mergeCell ref="K224:N224"/>
    <mergeCell ref="E346:O346"/>
    <mergeCell ref="J43:N43"/>
    <mergeCell ref="B251:C251"/>
    <mergeCell ref="M38:N38"/>
    <mergeCell ref="E212:F212"/>
    <mergeCell ref="B180:D180"/>
    <mergeCell ref="D251:E251"/>
    <mergeCell ref="G210:J210"/>
    <mergeCell ref="H286:J286"/>
    <mergeCell ref="K13:O13"/>
    <mergeCell ref="E348:O348"/>
    <mergeCell ref="B305:C305"/>
    <mergeCell ref="H279:J279"/>
    <mergeCell ref="E214:F214"/>
    <mergeCell ref="B280:C280"/>
    <mergeCell ref="D280:E280"/>
    <mergeCell ref="A164:C164"/>
    <mergeCell ref="G192:J192"/>
    <mergeCell ref="K225:N225"/>
    <mergeCell ref="A335:C335"/>
    <mergeCell ref="A128:O128"/>
    <mergeCell ref="F296:G296"/>
    <mergeCell ref="E341:O341"/>
    <mergeCell ref="B295:C295"/>
    <mergeCell ref="K200:N200"/>
    <mergeCell ref="H281:J281"/>
    <mergeCell ref="B282:C282"/>
    <mergeCell ref="J20:L20"/>
    <mergeCell ref="D282:E282"/>
    <mergeCell ref="A136:O136"/>
    <mergeCell ref="B196:D196"/>
    <mergeCell ref="D47:I47"/>
    <mergeCell ref="E372:O372"/>
    <mergeCell ref="A322:C322"/>
    <mergeCell ref="K202:N202"/>
    <mergeCell ref="A113:O113"/>
    <mergeCell ref="D275:E275"/>
    <mergeCell ref="J22:L22"/>
    <mergeCell ref="G236:J236"/>
    <mergeCell ref="F297:G297"/>
    <mergeCell ref="E230:F230"/>
    <mergeCell ref="E374:O374"/>
    <mergeCell ref="A324:C324"/>
    <mergeCell ref="K250:M250"/>
    <mergeCell ref="K231:N231"/>
    <mergeCell ref="D277:E277"/>
    <mergeCell ref="F302:G302"/>
    <mergeCell ref="C12:J12"/>
    <mergeCell ref="E311:O311"/>
    <mergeCell ref="E232:F232"/>
    <mergeCell ref="E367:O367"/>
    <mergeCell ref="A52:O52"/>
    <mergeCell ref="E354:O354"/>
    <mergeCell ref="E207:F207"/>
    <mergeCell ref="K304:M304"/>
    <mergeCell ref="A353:C353"/>
    <mergeCell ref="B237:D237"/>
    <mergeCell ref="E225:F225"/>
    <mergeCell ref="A328:C328"/>
    <mergeCell ref="E369:O369"/>
    <mergeCell ref="A48:C48"/>
    <mergeCell ref="B300:C300"/>
    <mergeCell ref="A319:C319"/>
    <mergeCell ref="E356:O356"/>
    <mergeCell ref="B209:D209"/>
    <mergeCell ref="K306:M306"/>
    <mergeCell ref="A29:B29"/>
    <mergeCell ref="C7:J7"/>
    <mergeCell ref="D46:I46"/>
    <mergeCell ref="G187:J187"/>
    <mergeCell ref="E227:F227"/>
    <mergeCell ref="B214:D214"/>
    <mergeCell ref="G205:J205"/>
    <mergeCell ref="G180:J180"/>
    <mergeCell ref="A31:B31"/>
    <mergeCell ref="G216:J216"/>
    <mergeCell ref="D295:E295"/>
    <mergeCell ref="A174:O174"/>
    <mergeCell ref="G188:J188"/>
    <mergeCell ref="D41:I41"/>
    <mergeCell ref="G182:J182"/>
    <mergeCell ref="G218:J218"/>
    <mergeCell ref="J35:L35"/>
    <mergeCell ref="E347:O347"/>
    <mergeCell ref="E322:O322"/>
    <mergeCell ref="H300:J300"/>
    <mergeCell ref="A55:O55"/>
    <mergeCell ref="D43:I43"/>
    <mergeCell ref="H287:J287"/>
    <mergeCell ref="G211:J211"/>
    <mergeCell ref="K288:M288"/>
    <mergeCell ref="E362:O362"/>
    <mergeCell ref="K233:N233"/>
    <mergeCell ref="E324:O324"/>
    <mergeCell ref="E349:O349"/>
    <mergeCell ref="K227:N227"/>
    <mergeCell ref="F287:G287"/>
    <mergeCell ref="H289:J289"/>
    <mergeCell ref="D254:E254"/>
    <mergeCell ref="E220:F220"/>
    <mergeCell ref="K177:N177"/>
    <mergeCell ref="B290:C290"/>
    <mergeCell ref="E364:O364"/>
    <mergeCell ref="A43:C43"/>
    <mergeCell ref="N167:O167"/>
    <mergeCell ref="K226:N226"/>
    <mergeCell ref="H301:J301"/>
    <mergeCell ref="B204:D204"/>
    <mergeCell ref="B198:D198"/>
    <mergeCell ref="E363:O363"/>
    <mergeCell ref="A121:O121"/>
    <mergeCell ref="K241:N241"/>
    <mergeCell ref="E222:F222"/>
    <mergeCell ref="B283:C283"/>
    <mergeCell ref="D283:E283"/>
    <mergeCell ref="K228:N228"/>
    <mergeCell ref="J167:M167"/>
    <mergeCell ref="H303:J303"/>
    <mergeCell ref="H290:J290"/>
    <mergeCell ref="B233:D233"/>
    <mergeCell ref="B298:C298"/>
    <mergeCell ref="B227:D227"/>
    <mergeCell ref="F249:G249"/>
    <mergeCell ref="B285:C285"/>
    <mergeCell ref="D285:E285"/>
    <mergeCell ref="J50:N50"/>
    <mergeCell ref="B199:D199"/>
    <mergeCell ref="E375:O375"/>
    <mergeCell ref="G229:J229"/>
    <mergeCell ref="A325:C325"/>
    <mergeCell ref="A19:B19"/>
    <mergeCell ref="K251:M251"/>
    <mergeCell ref="C19:D19"/>
    <mergeCell ref="K180:N180"/>
    <mergeCell ref="H255:J255"/>
    <mergeCell ref="F278:G278"/>
    <mergeCell ref="K281:M281"/>
    <mergeCell ref="C13:J13"/>
    <mergeCell ref="E233:F233"/>
    <mergeCell ref="E317:O317"/>
    <mergeCell ref="B228:D228"/>
    <mergeCell ref="A367:C367"/>
    <mergeCell ref="K256:M256"/>
    <mergeCell ref="E377:O377"/>
    <mergeCell ref="K253:M253"/>
    <mergeCell ref="A354:C354"/>
    <mergeCell ref="E235:F235"/>
    <mergeCell ref="K264:M264"/>
    <mergeCell ref="B301:C301"/>
    <mergeCell ref="A369:C369"/>
    <mergeCell ref="E368:O368"/>
    <mergeCell ref="H250:J250"/>
    <mergeCell ref="G213:J213"/>
    <mergeCell ref="E185:F185"/>
    <mergeCell ref="A356:C356"/>
    <mergeCell ref="K221:N221"/>
    <mergeCell ref="K257:M257"/>
    <mergeCell ref="D267:E267"/>
    <mergeCell ref="K215:N215"/>
    <mergeCell ref="E312:O312"/>
    <mergeCell ref="F267:G267"/>
    <mergeCell ref="H283:J283"/>
    <mergeCell ref="B303:C303"/>
    <mergeCell ref="H277:J277"/>
    <mergeCell ref="B217:D217"/>
    <mergeCell ref="K236:N236"/>
    <mergeCell ref="B253:C253"/>
    <mergeCell ref="C10:J10"/>
    <mergeCell ref="A37:B37"/>
    <mergeCell ref="K223:N223"/>
    <mergeCell ref="D269:E269"/>
    <mergeCell ref="E314:O314"/>
    <mergeCell ref="D296:E296"/>
    <mergeCell ref="N170:O170"/>
    <mergeCell ref="F262:G262"/>
    <mergeCell ref="E201:F201"/>
    <mergeCell ref="G219:J219"/>
    <mergeCell ref="D298:E298"/>
    <mergeCell ref="A372:C372"/>
    <mergeCell ref="N172:O172"/>
    <mergeCell ref="D273:E273"/>
    <mergeCell ref="E388:O388"/>
    <mergeCell ref="F273:G273"/>
    <mergeCell ref="M27:N27"/>
    <mergeCell ref="A338:C338"/>
    <mergeCell ref="K185:N185"/>
    <mergeCell ref="A349:C349"/>
    <mergeCell ref="E390:O390"/>
    <mergeCell ref="A340:C340"/>
    <mergeCell ref="E25:F25"/>
    <mergeCell ref="K178:N178"/>
    <mergeCell ref="E365:O365"/>
    <mergeCell ref="K243:N243"/>
    <mergeCell ref="A315:C315"/>
    <mergeCell ref="A79:O79"/>
    <mergeCell ref="B306:C306"/>
    <mergeCell ref="B235:D235"/>
    <mergeCell ref="E223:F223"/>
    <mergeCell ref="F257:G257"/>
    <mergeCell ref="G201:J201"/>
    <mergeCell ref="A137:O137"/>
    <mergeCell ref="G203:J203"/>
    <mergeCell ref="A145:O145"/>
    <mergeCell ref="G230:J230"/>
    <mergeCell ref="B243:D243"/>
    <mergeCell ref="C20:D20"/>
    <mergeCell ref="B286:C286"/>
    <mergeCell ref="F252:G252"/>
    <mergeCell ref="E20:F20"/>
    <mergeCell ref="E343:O343"/>
    <mergeCell ref="G238:J238"/>
    <mergeCell ref="E318:O318"/>
    <mergeCell ref="K196:N196"/>
    <mergeCell ref="E177:F177"/>
    <mergeCell ref="G232:J232"/>
    <mergeCell ref="A377:C377"/>
    <mergeCell ref="K183:N183"/>
    <mergeCell ref="C22:D22"/>
    <mergeCell ref="H258:J258"/>
    <mergeCell ref="E176:F176"/>
    <mergeCell ref="E320:O320"/>
    <mergeCell ref="E241:F241"/>
    <mergeCell ref="K198:N198"/>
    <mergeCell ref="A63:O63"/>
    <mergeCell ref="H260:J260"/>
    <mergeCell ref="A362:C362"/>
    <mergeCell ref="E191:F191"/>
    <mergeCell ref="G233:J233"/>
    <mergeCell ref="E178:F178"/>
    <mergeCell ref="E384:O384"/>
    <mergeCell ref="B304:C304"/>
    <mergeCell ref="E378:O378"/>
    <mergeCell ref="D304:E304"/>
    <mergeCell ref="G21:I21"/>
    <mergeCell ref="K237:N237"/>
    <mergeCell ref="B254:C254"/>
    <mergeCell ref="A38:B38"/>
    <mergeCell ref="H299:J299"/>
    <mergeCell ref="E315:O315"/>
    <mergeCell ref="C38:D38"/>
    <mergeCell ref="F270:G270"/>
    <mergeCell ref="J19:L19"/>
    <mergeCell ref="G23:I23"/>
    <mergeCell ref="B220:D220"/>
    <mergeCell ref="K239:N239"/>
    <mergeCell ref="B256:C256"/>
    <mergeCell ref="A359:C359"/>
    <mergeCell ref="D256:E256"/>
    <mergeCell ref="J172:M172"/>
    <mergeCell ref="A346:C346"/>
    <mergeCell ref="K272:M272"/>
    <mergeCell ref="D299:E299"/>
    <mergeCell ref="F299:G299"/>
    <mergeCell ref="K176:N176"/>
    <mergeCell ref="A41:C41"/>
    <mergeCell ref="A388:C388"/>
    <mergeCell ref="K277:M277"/>
    <mergeCell ref="C33:D33"/>
    <mergeCell ref="F265:G265"/>
    <mergeCell ref="E33:F33"/>
    <mergeCell ref="E204:F204"/>
    <mergeCell ref="A375:C375"/>
    <mergeCell ref="K249:M249"/>
    <mergeCell ref="K276:M276"/>
    <mergeCell ref="B182:D182"/>
    <mergeCell ref="A341:C341"/>
    <mergeCell ref="A6:B6"/>
    <mergeCell ref="G226:J226"/>
    <mergeCell ref="C35:D35"/>
    <mergeCell ref="A105:O105"/>
    <mergeCell ref="K184:N184"/>
    <mergeCell ref="E35:F35"/>
    <mergeCell ref="E206:F206"/>
    <mergeCell ref="G217:J217"/>
    <mergeCell ref="E231:F231"/>
    <mergeCell ref="B272:C272"/>
    <mergeCell ref="K242:N242"/>
    <mergeCell ref="B259:C259"/>
    <mergeCell ref="K278:M278"/>
    <mergeCell ref="D288:E288"/>
    <mergeCell ref="E333:O333"/>
    <mergeCell ref="E28:F28"/>
    <mergeCell ref="B274:C274"/>
    <mergeCell ref="E245:F245"/>
    <mergeCell ref="M30:N30"/>
    <mergeCell ref="E30:F30"/>
    <mergeCell ref="B267:C267"/>
    <mergeCell ref="D292:E292"/>
    <mergeCell ref="J170:M170"/>
    <mergeCell ref="G240:J240"/>
    <mergeCell ref="F258:G258"/>
    <mergeCell ref="B269:C269"/>
    <mergeCell ref="G190:J190"/>
    <mergeCell ref="D294:E294"/>
    <mergeCell ref="F294:G294"/>
    <mergeCell ref="E359:O359"/>
    <mergeCell ref="H259:J259"/>
    <mergeCell ref="F260:G260"/>
    <mergeCell ref="E199:F199"/>
    <mergeCell ref="E321:O321"/>
    <mergeCell ref="E242:F242"/>
    <mergeCell ref="K199:N199"/>
    <mergeCell ref="E217:F217"/>
    <mergeCell ref="G235:J235"/>
    <mergeCell ref="E386:O386"/>
    <mergeCell ref="H261:J261"/>
    <mergeCell ref="K262:M262"/>
    <mergeCell ref="E21:F21"/>
    <mergeCell ref="E192:F192"/>
    <mergeCell ref="K245:N245"/>
    <mergeCell ref="A363:C363"/>
    <mergeCell ref="F289:G289"/>
    <mergeCell ref="K207:N207"/>
    <mergeCell ref="E323:O323"/>
    <mergeCell ref="A378:C378"/>
    <mergeCell ref="J27:L27"/>
    <mergeCell ref="A365:C365"/>
    <mergeCell ref="E23:F23"/>
    <mergeCell ref="E194:F194"/>
    <mergeCell ref="B264:C264"/>
    <mergeCell ref="K291:M291"/>
    <mergeCell ref="E181:F181"/>
    <mergeCell ref="E387:O387"/>
    <mergeCell ref="A3:O3"/>
    <mergeCell ref="B234:D234"/>
    <mergeCell ref="G24:I24"/>
    <mergeCell ref="J25:L25"/>
    <mergeCell ref="B186:D186"/>
    <mergeCell ref="D257:E257"/>
    <mergeCell ref="B262:C262"/>
    <mergeCell ref="K268:M268"/>
    <mergeCell ref="A5:O5"/>
    <mergeCell ref="G26:I26"/>
    <mergeCell ref="J49:N49"/>
    <mergeCell ref="A97:O97"/>
    <mergeCell ref="A27:B27"/>
    <mergeCell ref="A389:C389"/>
    <mergeCell ref="K217:N217"/>
    <mergeCell ref="A327:C327"/>
    <mergeCell ref="K275:M275"/>
    <mergeCell ref="E34:F34"/>
    <mergeCell ref="M25:N25"/>
    <mergeCell ref="K192:N192"/>
    <mergeCell ref="A96:O96"/>
    <mergeCell ref="A391:C391"/>
    <mergeCell ref="C36:D36"/>
    <mergeCell ref="M36:N36"/>
    <mergeCell ref="H272:J272"/>
    <mergeCell ref="M33:N33"/>
    <mergeCell ref="E36:F36"/>
    <mergeCell ref="K194:N194"/>
    <mergeCell ref="E334:O334"/>
    <mergeCell ref="A22:B22"/>
    <mergeCell ref="K181:N181"/>
    <mergeCell ref="B185:D185"/>
    <mergeCell ref="J38:L38"/>
    <mergeCell ref="H274:J274"/>
    <mergeCell ref="B275:C275"/>
    <mergeCell ref="E336:O336"/>
    <mergeCell ref="K10:O10"/>
    <mergeCell ref="B176:D176"/>
    <mergeCell ref="A9:B9"/>
    <mergeCell ref="K195:N195"/>
    <mergeCell ref="G231:J231"/>
    <mergeCell ref="B277:C277"/>
    <mergeCell ref="F284:G284"/>
    <mergeCell ref="B252:C252"/>
    <mergeCell ref="A16:O16"/>
    <mergeCell ref="G37:I37"/>
    <mergeCell ref="A317:C317"/>
    <mergeCell ref="A11:B11"/>
    <mergeCell ref="D305:E305"/>
    <mergeCell ref="D270:E270"/>
    <mergeCell ref="F292:G292"/>
    <mergeCell ref="G183:J183"/>
    <mergeCell ref="F286:G286"/>
    <mergeCell ref="A18:O18"/>
    <mergeCell ref="K270:M270"/>
    <mergeCell ref="E200:F200"/>
    <mergeCell ref="G193:J193"/>
    <mergeCell ref="K297:M297"/>
    <mergeCell ref="A321:C321"/>
    <mergeCell ref="G185:J185"/>
    <mergeCell ref="K205:N205"/>
    <mergeCell ref="K263:M263"/>
    <mergeCell ref="A312:C312"/>
    <mergeCell ref="H267:J267"/>
    <mergeCell ref="A373:C373"/>
    <mergeCell ref="E202:F202"/>
    <mergeCell ref="K299:M299"/>
    <mergeCell ref="K293:M293"/>
    <mergeCell ref="G178:J178"/>
    <mergeCell ref="A323:C323"/>
    <mergeCell ref="H264:J264"/>
    <mergeCell ref="G32:I32"/>
    <mergeCell ref="M21:N21"/>
    <mergeCell ref="J33:L33"/>
    <mergeCell ref="D164:I164"/>
    <mergeCell ref="A170:C170"/>
    <mergeCell ref="B207:D207"/>
    <mergeCell ref="K265:M265"/>
    <mergeCell ref="H269:J269"/>
    <mergeCell ref="K8:O8"/>
    <mergeCell ref="B257:C257"/>
    <mergeCell ref="B288:C288"/>
    <mergeCell ref="G209:J209"/>
    <mergeCell ref="E26:F26"/>
    <mergeCell ref="E197:F197"/>
    <mergeCell ref="K294:M294"/>
    <mergeCell ref="K208:N208"/>
    <mergeCell ref="D172:I172"/>
    <mergeCell ref="D279:E279"/>
    <mergeCell ref="F279:G279"/>
    <mergeCell ref="G27:I27"/>
    <mergeCell ref="J28:L28"/>
    <mergeCell ref="B202:D202"/>
    <mergeCell ref="B265:C265"/>
    <mergeCell ref="D265:E265"/>
    <mergeCell ref="J42:N42"/>
    <mergeCell ref="E184:F184"/>
    <mergeCell ref="G177:J177"/>
    <mergeCell ref="H280:J280"/>
    <mergeCell ref="G204:J204"/>
    <mergeCell ref="D252:E252"/>
    <mergeCell ref="F281:G281"/>
    <mergeCell ref="J30:L30"/>
    <mergeCell ref="A162:O162"/>
    <mergeCell ref="A172:C172"/>
    <mergeCell ref="E342:O342"/>
    <mergeCell ref="K220:N220"/>
    <mergeCell ref="H295:J295"/>
    <mergeCell ref="F280:G280"/>
    <mergeCell ref="M34:N34"/>
    <mergeCell ref="J44:N44"/>
    <mergeCell ref="H282:J282"/>
    <mergeCell ref="E213:F213"/>
    <mergeCell ref="G206:J206"/>
    <mergeCell ref="E357:O357"/>
    <mergeCell ref="H257:J257"/>
    <mergeCell ref="A163:C163"/>
    <mergeCell ref="E344:O344"/>
    <mergeCell ref="D48:I48"/>
    <mergeCell ref="B191:D191"/>
    <mergeCell ref="K222:N222"/>
    <mergeCell ref="J169:M169"/>
    <mergeCell ref="B276:C276"/>
    <mergeCell ref="B178:D178"/>
    <mergeCell ref="K197:N197"/>
    <mergeCell ref="E215:F215"/>
    <mergeCell ref="K234:N234"/>
    <mergeCell ref="D249:E249"/>
    <mergeCell ref="D276:E276"/>
    <mergeCell ref="H296:J296"/>
    <mergeCell ref="F305:G305"/>
    <mergeCell ref="E337:O337"/>
    <mergeCell ref="E373:O373"/>
    <mergeCell ref="B226:D226"/>
    <mergeCell ref="A390:C390"/>
    <mergeCell ref="B278:C278"/>
    <mergeCell ref="E352:O352"/>
    <mergeCell ref="A309:O309"/>
    <mergeCell ref="D278:E278"/>
    <mergeCell ref="G20:I20"/>
    <mergeCell ref="F307:G307"/>
    <mergeCell ref="E339:O339"/>
    <mergeCell ref="B192:D192"/>
    <mergeCell ref="A17:O17"/>
    <mergeCell ref="A318:C318"/>
    <mergeCell ref="A12:B12"/>
    <mergeCell ref="A53:O53"/>
    <mergeCell ref="B222:D222"/>
    <mergeCell ref="A348:C348"/>
    <mergeCell ref="G22:I22"/>
    <mergeCell ref="E226:F226"/>
    <mergeCell ref="B221:D221"/>
    <mergeCell ref="E370:O370"/>
    <mergeCell ref="G224:J224"/>
    <mergeCell ref="A320:C320"/>
    <mergeCell ref="A14:B14"/>
    <mergeCell ref="A347:C347"/>
    <mergeCell ref="A314:C314"/>
    <mergeCell ref="G199:J199"/>
    <mergeCell ref="C8:J8"/>
    <mergeCell ref="J47:N47"/>
    <mergeCell ref="G186:J186"/>
    <mergeCell ref="E228:F228"/>
    <mergeCell ref="A387:C387"/>
    <mergeCell ref="C32:D32"/>
    <mergeCell ref="M29:N29"/>
    <mergeCell ref="E32:F32"/>
    <mergeCell ref="E355:O355"/>
    <mergeCell ref="M23:N23"/>
    <mergeCell ref="E243:F243"/>
    <mergeCell ref="B296:C296"/>
    <mergeCell ref="H276:J276"/>
    <mergeCell ref="J34:L34"/>
    <mergeCell ref="H270:J270"/>
    <mergeCell ref="K302:M302"/>
    <mergeCell ref="D271:E271"/>
    <mergeCell ref="D49:I49"/>
    <mergeCell ref="K216:N216"/>
    <mergeCell ref="K252:M252"/>
    <mergeCell ref="D262:E262"/>
    <mergeCell ref="K210:N210"/>
    <mergeCell ref="D163:I163"/>
    <mergeCell ref="J36:L36"/>
    <mergeCell ref="B273:C273"/>
    <mergeCell ref="F255:G255"/>
    <mergeCell ref="G212:J212"/>
    <mergeCell ref="D171:I171"/>
    <mergeCell ref="B291:C291"/>
    <mergeCell ref="D291:E291"/>
    <mergeCell ref="G33:I33"/>
    <mergeCell ref="B205:D205"/>
    <mergeCell ref="N165:O165"/>
    <mergeCell ref="D266:E266"/>
    <mergeCell ref="F301:G301"/>
    <mergeCell ref="F295:G295"/>
    <mergeCell ref="M20:N20"/>
    <mergeCell ref="A25:B25"/>
    <mergeCell ref="C25:D25"/>
    <mergeCell ref="A247:O247"/>
    <mergeCell ref="E221:F221"/>
    <mergeCell ref="G214:J214"/>
    <mergeCell ref="J31:L31"/>
    <mergeCell ref="F282:G282"/>
    <mergeCell ref="B293:C293"/>
    <mergeCell ref="G35:I35"/>
    <mergeCell ref="D293:E293"/>
    <mergeCell ref="A342:C342"/>
    <mergeCell ref="D268:E268"/>
    <mergeCell ref="A336:C336"/>
    <mergeCell ref="J45:N45"/>
    <mergeCell ref="F268:G268"/>
    <mergeCell ref="M22:N22"/>
    <mergeCell ref="K284:M284"/>
    <mergeCell ref="A333:C333"/>
    <mergeCell ref="E383:O383"/>
    <mergeCell ref="H298:J298"/>
    <mergeCell ref="A344:C344"/>
    <mergeCell ref="E385:O385"/>
    <mergeCell ref="H285:J285"/>
    <mergeCell ref="E216:F216"/>
    <mergeCell ref="K244:N244"/>
    <mergeCell ref="E360:O360"/>
    <mergeCell ref="A310:C310"/>
    <mergeCell ref="A166:C166"/>
    <mergeCell ref="A337:C337"/>
    <mergeCell ref="B200:D200"/>
    <mergeCell ref="B194:D194"/>
    <mergeCell ref="A20:B20"/>
    <mergeCell ref="E218:F218"/>
    <mergeCell ref="B284:C284"/>
    <mergeCell ref="A168:C168"/>
    <mergeCell ref="G196:J196"/>
    <mergeCell ref="K229:N229"/>
    <mergeCell ref="B236:D236"/>
    <mergeCell ref="K290:M290"/>
    <mergeCell ref="A13:B13"/>
    <mergeCell ref="A339:C339"/>
    <mergeCell ref="B223:D223"/>
    <mergeCell ref="K6:O6"/>
    <mergeCell ref="D250:E250"/>
    <mergeCell ref="F250:G250"/>
    <mergeCell ref="D286:E286"/>
    <mergeCell ref="N163:O163"/>
    <mergeCell ref="B195:D195"/>
  </mergeCells>
  <hyperlinks>
    <hyperlink xmlns:r="http://schemas.openxmlformats.org/officeDocument/2006/relationships" ref="P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8.xml><?xml version="1.0" encoding="utf-8"?>
<worksheet xmlns="http://schemas.openxmlformats.org/spreadsheetml/2006/main">
  <sheetPr>
    <tabColor rgb="00C55A11"/>
    <outlinePr summaryBelow="1" summaryRight="1"/>
    <pageSetUpPr fitToPage="1"/>
  </sheetPr>
  <dimension ref="A1:H41"/>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2" customWidth="1" min="3" max="3"/>
    <col width="12" customWidth="1" min="4" max="4"/>
    <col width="12" customWidth="1" min="5" max="5"/>
    <col width="12" customWidth="1" min="6" max="6"/>
    <col width="40" customWidth="1" min="7" max="7"/>
    <col width="13" customWidth="1" min="8" max="8"/>
  </cols>
  <sheetData>
    <row r="1" ht="34" customHeight="1">
      <c r="A1" s="1" t="inlineStr">
        <is>
          <t>Org health — spans, layers and overlap, with the people behind them</t>
        </is>
      </c>
      <c r="H1" s="242" t="inlineStr">
        <is>
          <t>◂ Contents</t>
        </is>
      </c>
    </row>
    <row r="2" ht="32" customHeight="1">
      <c r="A2" s="3" t="inlineStr">
        <is>
          <t>Sheet 12 · Managers with very small or very large teams, the deepest reporting chains, and the sub-family overlap across businesses. Counts and charts: Leadership Dashboard, sheet 0b.</t>
        </is>
      </c>
    </row>
    <row r="3">
      <c r="A3" s="4" t="inlineStr">
        <is>
          <t>IRIS · Job Architecture &amp; Job Design · Final v1.12 · October 2026 · Internal — Confidential</t>
        </is>
      </c>
    </row>
    <row r="4"/>
    <row r="5" ht="20" customHeight="1">
      <c r="A5" s="6" t="inlineStr">
        <is>
          <t>Managers with 2 or fewer, or 10 or more, direct reports — 10</t>
        </is>
      </c>
    </row>
    <row r="6" ht="28" customHeight="1">
      <c r="A6" s="12" t="inlineStr">
        <is>
          <t>Manager</t>
        </is>
      </c>
      <c r="B6" s="12" t="inlineStr">
        <is>
          <t>Business</t>
        </is>
      </c>
      <c r="C6" s="12" t="inlineStr">
        <is>
          <t>Department</t>
        </is>
      </c>
      <c r="D6" s="12" t="inlineStr">
        <is>
          <t>Level</t>
        </is>
      </c>
      <c r="E6" s="12" t="inlineStr">
        <is>
          <t>Direct reports</t>
        </is>
      </c>
      <c r="F6" s="12" t="inlineStr">
        <is>
          <t>Layer</t>
        </is>
      </c>
      <c r="G6" s="12" t="inlineStr">
        <is>
          <t>What to look at</t>
        </is>
      </c>
    </row>
    <row r="7" ht="28" customHeight="1">
      <c r="A7" s="13" t="inlineStr">
        <is>
          <t>Sudhakar Sawant</t>
        </is>
      </c>
      <c r="B7" s="16" t="inlineStr">
        <is>
          <t>Corporate</t>
        </is>
      </c>
      <c r="C7" s="16" t="inlineStr">
        <is>
          <t>Finance</t>
        </is>
      </c>
      <c r="D7" s="15" t="inlineStr">
        <is>
          <t>C1</t>
        </is>
      </c>
      <c r="E7" s="15" t="n">
        <v>1</v>
      </c>
      <c r="F7" s="15" t="n">
        <v>3</v>
      </c>
      <c r="G7" s="16" t="inlineStr">
        <is>
          <r>
            <rPr>
              <rFont val="Calibri"/>
              <b val="1"/>
              <sz val="10"/>
            </rPr>
            <t>Very small team:</t>
          </r>
          <r>
            <rPr>
              <rFont val="Calibri"/>
              <sz val="10"/>
            </rPr>
            <t xml:space="preserve"> merge with a neighbouring team or make a POD Lead role</t>
          </r>
        </is>
      </c>
    </row>
    <row r="8" ht="28" customHeight="1">
      <c r="A8" s="13" t="inlineStr">
        <is>
          <t>Winny Nair</t>
        </is>
      </c>
      <c r="B8" s="16" t="inlineStr">
        <is>
          <t>Corporate</t>
        </is>
      </c>
      <c r="C8" s="16" t="inlineStr">
        <is>
          <t>Finance</t>
        </is>
      </c>
      <c r="D8" s="15" t="inlineStr">
        <is>
          <t>B2</t>
        </is>
      </c>
      <c r="E8" s="15" t="n">
        <v>1</v>
      </c>
      <c r="F8" s="15" t="n">
        <v>4</v>
      </c>
      <c r="G8" s="16" t="inlineStr">
        <is>
          <r>
            <rPr>
              <rFont val="Calibri"/>
              <b val="1"/>
              <sz val="10"/>
            </rPr>
            <t>Very small team:</t>
          </r>
          <r>
            <rPr>
              <rFont val="Calibri"/>
              <sz val="10"/>
            </rPr>
            <t xml:space="preserve"> merge with a neighbouring team or make a POD Lead role</t>
          </r>
        </is>
      </c>
    </row>
    <row r="9" ht="28" customHeight="1">
      <c r="A9" s="13" t="inlineStr">
        <is>
          <t>Anita Chavan</t>
        </is>
      </c>
      <c r="B9" s="16" t="inlineStr">
        <is>
          <t>Corporate</t>
        </is>
      </c>
      <c r="C9" s="16" t="inlineStr">
        <is>
          <t>Finance</t>
        </is>
      </c>
      <c r="D9" s="15" t="inlineStr">
        <is>
          <t>B1</t>
        </is>
      </c>
      <c r="E9" s="15" t="n">
        <v>1</v>
      </c>
      <c r="F9" s="15" t="n">
        <v>6</v>
      </c>
      <c r="G9" s="16" t="inlineStr">
        <is>
          <r>
            <rPr>
              <rFont val="Calibri"/>
              <b val="1"/>
              <sz val="10"/>
            </rPr>
            <t>Very small team:</t>
          </r>
          <r>
            <rPr>
              <rFont val="Calibri"/>
              <sz val="10"/>
            </rPr>
            <t xml:space="preserve"> merge with a neighbouring team or make a POD Lead role</t>
          </r>
        </is>
      </c>
    </row>
    <row r="10" ht="28" customHeight="1">
      <c r="A10" s="13" t="inlineStr">
        <is>
          <t>Gaurangee Gaurav Tawde</t>
        </is>
      </c>
      <c r="B10" s="16" t="inlineStr">
        <is>
          <t>Corporate</t>
        </is>
      </c>
      <c r="C10" s="16" t="inlineStr">
        <is>
          <t>Finance</t>
        </is>
      </c>
      <c r="D10" s="15" t="inlineStr">
        <is>
          <t>B1</t>
        </is>
      </c>
      <c r="E10" s="15" t="n">
        <v>1</v>
      </c>
      <c r="F10" s="15" t="n">
        <v>6</v>
      </c>
      <c r="G10" s="16" t="inlineStr">
        <is>
          <r>
            <rPr>
              <rFont val="Calibri"/>
              <b val="1"/>
              <sz val="10"/>
            </rPr>
            <t>Very small team:</t>
          </r>
          <r>
            <rPr>
              <rFont val="Calibri"/>
              <sz val="10"/>
            </rPr>
            <t xml:space="preserve"> merge with a neighbouring team or make a POD Lead role</t>
          </r>
        </is>
      </c>
    </row>
    <row r="11" ht="28" customHeight="1">
      <c r="A11" s="13" t="inlineStr">
        <is>
          <t>Nikitha Nair</t>
        </is>
      </c>
      <c r="B11" s="16" t="inlineStr">
        <is>
          <t>Corporate</t>
        </is>
      </c>
      <c r="C11" s="16" t="inlineStr">
        <is>
          <t>HR</t>
        </is>
      </c>
      <c r="D11" s="15" t="inlineStr">
        <is>
          <t>B1</t>
        </is>
      </c>
      <c r="E11" s="15" t="n">
        <v>1</v>
      </c>
      <c r="F11" s="15" t="n">
        <v>3</v>
      </c>
      <c r="G11" s="16" t="inlineStr">
        <is>
          <r>
            <rPr>
              <rFont val="Calibri"/>
              <b val="1"/>
              <sz val="10"/>
            </rPr>
            <t>Very small team:</t>
          </r>
          <r>
            <rPr>
              <rFont val="Calibri"/>
              <sz val="10"/>
            </rPr>
            <t xml:space="preserve"> merge with a neighbouring team or make a POD Lead role</t>
          </r>
        </is>
      </c>
    </row>
    <row r="12" ht="28" customHeight="1">
      <c r="A12" s="13" t="inlineStr">
        <is>
          <t>Ramesh Kone</t>
        </is>
      </c>
      <c r="B12" s="16" t="inlineStr">
        <is>
          <t>Corporate</t>
        </is>
      </c>
      <c r="C12" s="16" t="inlineStr">
        <is>
          <t>IT &amp; Infrastructure</t>
        </is>
      </c>
      <c r="D12" s="15" t="inlineStr">
        <is>
          <t>B1</t>
        </is>
      </c>
      <c r="E12" s="15" t="n">
        <v>1</v>
      </c>
      <c r="F12" s="15" t="n">
        <v>3</v>
      </c>
      <c r="G12" s="16" t="inlineStr">
        <is>
          <r>
            <rPr>
              <rFont val="Calibri"/>
              <b val="1"/>
              <sz val="10"/>
            </rPr>
            <t>Very small team:</t>
          </r>
          <r>
            <rPr>
              <rFont val="Calibri"/>
              <sz val="10"/>
            </rPr>
            <t xml:space="preserve"> merge with a neighbouring team or make a POD Lead role</t>
          </r>
        </is>
      </c>
    </row>
    <row r="13" ht="28" customHeight="1">
      <c r="A13" s="13" t="inlineStr">
        <is>
          <t>Deepta Rangarajan</t>
        </is>
      </c>
      <c r="B13" s="16" t="inlineStr">
        <is>
          <t>Corporate</t>
        </is>
      </c>
      <c r="C13" s="16" t="inlineStr">
        <is>
          <t>Management</t>
        </is>
      </c>
      <c r="D13" s="15" t="inlineStr">
        <is>
          <t>E1</t>
        </is>
      </c>
      <c r="E13" s="15" t="n">
        <v>1</v>
      </c>
      <c r="F13" s="15" t="n">
        <v>1</v>
      </c>
      <c r="G13" s="16" t="inlineStr">
        <is>
          <r>
            <rPr>
              <rFont val="Calibri"/>
              <b val="1"/>
              <sz val="10"/>
            </rPr>
            <t>Very small team:</t>
          </r>
          <r>
            <rPr>
              <rFont val="Calibri"/>
              <sz val="10"/>
            </rPr>
            <t xml:space="preserve"> merge with a neighbouring team or make a POD Lead role</t>
          </r>
        </is>
      </c>
    </row>
    <row r="14" ht="28" customHeight="1">
      <c r="A14" s="13" t="inlineStr">
        <is>
          <t>Vineet Kandoi</t>
        </is>
      </c>
      <c r="B14" s="16" t="inlineStr">
        <is>
          <t>Corporate</t>
        </is>
      </c>
      <c r="C14" s="16" t="inlineStr">
        <is>
          <t>Finance</t>
        </is>
      </c>
      <c r="D14" s="15" t="inlineStr">
        <is>
          <t>E1</t>
        </is>
      </c>
      <c r="E14" s="15" t="n">
        <v>2</v>
      </c>
      <c r="F14" s="15" t="n">
        <v>2</v>
      </c>
      <c r="G14" s="16" t="inlineStr">
        <is>
          <r>
            <rPr>
              <rFont val="Calibri"/>
              <b val="1"/>
              <sz val="10"/>
            </rPr>
            <t>Very small team:</t>
          </r>
          <r>
            <rPr>
              <rFont val="Calibri"/>
              <sz val="10"/>
            </rPr>
            <t xml:space="preserve"> merge with a neighbouring team or make a POD Lead role</t>
          </r>
        </is>
      </c>
    </row>
    <row r="15" ht="28" customHeight="1">
      <c r="A15" s="13" t="inlineStr">
        <is>
          <t>Shreya Singh</t>
        </is>
      </c>
      <c r="B15" s="16" t="inlineStr">
        <is>
          <t>Corporate</t>
        </is>
      </c>
      <c r="C15" s="16" t="inlineStr">
        <is>
          <t>Finance</t>
        </is>
      </c>
      <c r="D15" s="15" t="inlineStr">
        <is>
          <t>B1</t>
        </is>
      </c>
      <c r="E15" s="15" t="n">
        <v>2</v>
      </c>
      <c r="F15" s="15" t="n">
        <v>5</v>
      </c>
      <c r="G15" s="16" t="inlineStr">
        <is>
          <r>
            <rPr>
              <rFont val="Calibri"/>
              <b val="1"/>
              <sz val="10"/>
            </rPr>
            <t>Very small team:</t>
          </r>
          <r>
            <rPr>
              <rFont val="Calibri"/>
              <sz val="10"/>
            </rPr>
            <t xml:space="preserve"> merge with a neighbouring team or make a POD Lead role</t>
          </r>
        </is>
      </c>
    </row>
    <row r="16" ht="28" customHeight="1">
      <c r="A16" s="13" t="inlineStr">
        <is>
          <t>Santosh Sharma</t>
        </is>
      </c>
      <c r="B16" s="16" t="inlineStr">
        <is>
          <t>Corporate</t>
        </is>
      </c>
      <c r="C16" s="16" t="inlineStr">
        <is>
          <t>Secretarial &amp; Legal</t>
        </is>
      </c>
      <c r="D16" s="15" t="inlineStr">
        <is>
          <t>C1</t>
        </is>
      </c>
      <c r="E16" s="15" t="n">
        <v>2</v>
      </c>
      <c r="F16" s="15" t="n">
        <v>2</v>
      </c>
      <c r="G16" s="16" t="inlineStr">
        <is>
          <r>
            <rPr>
              <rFont val="Calibri"/>
              <b val="1"/>
              <sz val="10"/>
            </rPr>
            <t>Very small team:</t>
          </r>
          <r>
            <rPr>
              <rFont val="Calibri"/>
              <sz val="10"/>
            </rPr>
            <t xml:space="preserve"> merge with a neighbouring team or make a POD Lead role</t>
          </r>
        </is>
      </c>
    </row>
    <row r="17" ht="15" customHeight="1"/>
    <row r="18" ht="20" customHeight="1">
      <c r="A18" s="6" t="inlineStr">
        <is>
          <t>People 8 or more layers from the top — 0</t>
        </is>
      </c>
    </row>
    <row r="19" ht="15" customHeight="1">
      <c r="A19" s="11" t="inlineStr">
        <is>
          <t>Check whether every layer above them is a real management step.</t>
        </is>
      </c>
    </row>
    <row r="20" ht="15" customHeight="1">
      <c r="A20" s="12" t="inlineStr">
        <is>
          <t>Person</t>
        </is>
      </c>
      <c r="B20" s="12" t="inlineStr">
        <is>
          <t>Business</t>
        </is>
      </c>
      <c r="C20" s="12" t="inlineStr">
        <is>
          <t>Department</t>
        </is>
      </c>
      <c r="D20" s="12" t="inlineStr">
        <is>
          <t>Level</t>
        </is>
      </c>
      <c r="E20" s="12" t="inlineStr">
        <is>
          <t>Layer</t>
        </is>
      </c>
      <c r="F20" s="12" t="inlineStr">
        <is>
          <t>Reporting manager</t>
        </is>
      </c>
      <c r="G20" s="211" t="n"/>
    </row>
    <row r="21" ht="15" customHeight="1"/>
    <row r="22" ht="20" customHeight="1">
      <c r="A22" s="6" t="inlineStr">
        <is>
          <t>Sub-family overlap across businesses · people</t>
        </is>
      </c>
    </row>
    <row r="23" ht="15" customHeight="1">
      <c r="A23" s="12" t="inlineStr">
        <is>
          <t>Sub-family · family</t>
        </is>
      </c>
      <c r="B23" s="12" t="inlineStr">
        <is>
          <t>CARBON</t>
        </is>
      </c>
      <c r="C23" s="12" t="inlineStr">
        <is>
          <t>iFile</t>
        </is>
      </c>
      <c r="D23" s="12" t="inlineStr">
        <is>
          <t>iDEAL</t>
        </is>
      </c>
      <c r="E23" s="12" t="inlineStr">
        <is>
          <t>Datatech</t>
        </is>
      </c>
      <c r="F23" s="12" t="inlineStr">
        <is>
          <t>Consume</t>
        </is>
      </c>
      <c r="G23" s="12" t="inlineStr">
        <is>
          <t>Corporate</t>
        </is>
      </c>
    </row>
    <row r="24" ht="41" customHeight="1">
      <c r="A24" s="13" t="inlineStr">
        <is>
          <t>Accounting &amp; Transaction Processing · Finance &amp; Accounts</t>
        </is>
      </c>
      <c r="B24" s="15" t="n"/>
      <c r="C24" s="15" t="n"/>
      <c r="D24" s="15" t="n"/>
      <c r="E24" s="15" t="n"/>
      <c r="F24" s="15" t="n"/>
      <c r="G24" s="15" t="n">
        <v>4</v>
      </c>
    </row>
    <row r="25" ht="41" customHeight="1">
      <c r="A25" s="13" t="inlineStr">
        <is>
          <t>Administration &amp; Facilities · Administration, Legal &amp; Secretarial</t>
        </is>
      </c>
      <c r="B25" s="15" t="n"/>
      <c r="C25" s="15" t="n"/>
      <c r="D25" s="15" t="n"/>
      <c r="E25" s="15" t="n"/>
      <c r="F25" s="15" t="n"/>
      <c r="G25" s="15" t="n">
        <v>6</v>
      </c>
    </row>
    <row r="26" ht="41" customHeight="1">
      <c r="A26" s="13" t="inlineStr">
        <is>
          <t>Brand, Graphic &amp; Video Design · Design &amp; Creative</t>
        </is>
      </c>
      <c r="B26" s="15" t="n"/>
      <c r="C26" s="15" t="n"/>
      <c r="D26" s="15" t="n"/>
      <c r="E26" s="15" t="n"/>
      <c r="F26" s="15" t="n"/>
      <c r="G26" s="15" t="n">
        <v>1</v>
      </c>
    </row>
    <row r="27" ht="41" customHeight="1">
      <c r="A27" s="13" t="inlineStr">
        <is>
          <t>Company Secretarial &amp; Legal · Administration, Legal &amp; Secretarial</t>
        </is>
      </c>
      <c r="B27" s="15" t="n"/>
      <c r="C27" s="15" t="n"/>
      <c r="D27" s="15" t="n"/>
      <c r="E27" s="15" t="n"/>
      <c r="F27" s="15" t="n"/>
      <c r="G27" s="15" t="n">
        <v>3</v>
      </c>
    </row>
    <row r="28" ht="28" customHeight="1">
      <c r="A28" s="13" t="inlineStr">
        <is>
          <t>Content Marketing · Marketing &amp; Communications</t>
        </is>
      </c>
      <c r="B28" s="15" t="n"/>
      <c r="C28" s="15" t="n"/>
      <c r="D28" s="15" t="n"/>
      <c r="E28" s="15" t="n"/>
      <c r="F28" s="15" t="n"/>
      <c r="G28" s="15" t="n">
        <v>1</v>
      </c>
    </row>
    <row r="29" ht="41" customHeight="1">
      <c r="A29" s="13" t="inlineStr">
        <is>
          <t>DevOps &amp; Release Engineering · Engineering &amp; Development</t>
        </is>
      </c>
      <c r="B29" s="15" t="n"/>
      <c r="C29" s="15" t="n"/>
      <c r="D29" s="15" t="n"/>
      <c r="E29" s="15" t="n"/>
      <c r="F29" s="15" t="n"/>
      <c r="G29" s="15" t="n">
        <v>1</v>
      </c>
    </row>
    <row r="30" ht="28" customHeight="1">
      <c r="A30" s="13" t="inlineStr">
        <is>
          <t>End-User Support · IT &amp; Infrastructure</t>
        </is>
      </c>
      <c r="B30" s="15" t="n"/>
      <c r="C30" s="15" t="n"/>
      <c r="D30" s="15" t="n"/>
      <c r="E30" s="15" t="n"/>
      <c r="F30" s="15" t="n"/>
      <c r="G30" s="15" t="n">
        <v>1</v>
      </c>
    </row>
    <row r="31" ht="28" customHeight="1">
      <c r="A31" s="13" t="inlineStr">
        <is>
          <t>Enterprise Leadership · Executive Leadership</t>
        </is>
      </c>
      <c r="B31" s="15" t="n"/>
      <c r="C31" s="15" t="n"/>
      <c r="D31" s="15" t="n"/>
      <c r="E31" s="15" t="n"/>
      <c r="F31" s="15" t="n"/>
      <c r="G31" s="15" t="n">
        <v>4</v>
      </c>
    </row>
    <row r="32" ht="28" customHeight="1">
      <c r="A32" s="13" t="inlineStr">
        <is>
          <t>Finance Leadership · Finance &amp; Accounts</t>
        </is>
      </c>
      <c r="B32" s="15" t="n"/>
      <c r="C32" s="15" t="n"/>
      <c r="D32" s="15" t="n"/>
      <c r="E32" s="15" t="n"/>
      <c r="F32" s="15" t="n"/>
      <c r="G32" s="15" t="n">
        <v>2</v>
      </c>
    </row>
    <row r="33" ht="41" customHeight="1">
      <c r="A33" s="13" t="inlineStr">
        <is>
          <t>Financial Reporting, Compliance &amp; Audit · Finance &amp; Accounts</t>
        </is>
      </c>
      <c r="B33" s="15" t="n"/>
      <c r="C33" s="15" t="n"/>
      <c r="D33" s="15" t="n"/>
      <c r="E33" s="15" t="n"/>
      <c r="F33" s="15" t="n"/>
      <c r="G33" s="15" t="n">
        <v>4</v>
      </c>
    </row>
    <row r="34" ht="28" customHeight="1">
      <c r="A34" s="13" t="inlineStr">
        <is>
          <t>HR Leadership · Human Resources</t>
        </is>
      </c>
      <c r="B34" s="15" t="n"/>
      <c r="C34" s="15" t="n"/>
      <c r="D34" s="15" t="n"/>
      <c r="E34" s="15" t="n"/>
      <c r="F34" s="15" t="n"/>
      <c r="G34" s="15" t="n">
        <v>1</v>
      </c>
    </row>
    <row r="35" ht="28" customHeight="1">
      <c r="A35" s="13" t="inlineStr">
        <is>
          <t>HR Operations &amp; Payroll · Human Resources</t>
        </is>
      </c>
      <c r="B35" s="15" t="n"/>
      <c r="C35" s="15" t="n"/>
      <c r="D35" s="15" t="n"/>
      <c r="E35" s="15" t="n"/>
      <c r="F35" s="15" t="n"/>
      <c r="G35" s="15" t="n">
        <v>3</v>
      </c>
    </row>
    <row r="36" ht="28" customHeight="1">
      <c r="A36" s="13" t="inlineStr">
        <is>
          <t>HR Transformation &amp; OD · Human Resources</t>
        </is>
      </c>
      <c r="B36" s="15" t="n"/>
      <c r="C36" s="15" t="n"/>
      <c r="D36" s="15" t="n"/>
      <c r="E36" s="15" t="n"/>
      <c r="F36" s="15" t="n"/>
      <c r="G36" s="15" t="n">
        <v>1</v>
      </c>
    </row>
    <row r="37" ht="41" customHeight="1">
      <c r="A37" s="13" t="inlineStr">
        <is>
          <t>IT Infrastructure Leadership · IT &amp; Infrastructure</t>
        </is>
      </c>
      <c r="B37" s="15" t="n"/>
      <c r="C37" s="15" t="n"/>
      <c r="D37" s="15" t="n"/>
      <c r="E37" s="15" t="n"/>
      <c r="F37" s="15" t="n"/>
      <c r="G37" s="15" t="n">
        <v>1</v>
      </c>
    </row>
    <row r="38" ht="41" customHeight="1">
      <c r="A38" s="13" t="inlineStr">
        <is>
          <t>Infrastructure &amp; Cloud Operations · IT &amp; Infrastructure</t>
        </is>
      </c>
      <c r="B38" s="15" t="n"/>
      <c r="C38" s="15" t="n"/>
      <c r="D38" s="15" t="n"/>
      <c r="E38" s="15" t="n"/>
      <c r="F38" s="15" t="n"/>
      <c r="G38" s="15" t="n">
        <v>11</v>
      </c>
    </row>
    <row r="39" ht="41" customHeight="1">
      <c r="A39" s="13" t="inlineStr">
        <is>
          <t>Marketing Operations &amp; Automation · Marketing &amp; Communications</t>
        </is>
      </c>
      <c r="B39" s="15" t="n"/>
      <c r="C39" s="15" t="n"/>
      <c r="D39" s="15" t="n"/>
      <c r="E39" s="15" t="n"/>
      <c r="F39" s="15" t="n"/>
      <c r="G39" s="15" t="n">
        <v>1</v>
      </c>
    </row>
    <row r="40" ht="41" customHeight="1">
      <c r="A40" s="13" t="inlineStr">
        <is>
          <t>PMO &amp; Delivery Excellence · Project &amp; Program Management</t>
        </is>
      </c>
      <c r="B40" s="15" t="n"/>
      <c r="C40" s="15" t="n"/>
      <c r="D40" s="15" t="n"/>
      <c r="E40" s="15" t="n"/>
      <c r="F40" s="15" t="n"/>
      <c r="G40" s="15" t="n">
        <v>1</v>
      </c>
    </row>
    <row r="41" ht="28" customHeight="1">
      <c r="A41" s="13" t="inlineStr">
        <is>
          <t>Talent Acquisition · Human Resources</t>
        </is>
      </c>
      <c r="B41" s="15" t="n"/>
      <c r="C41" s="15" t="n"/>
      <c r="D41" s="15" t="n"/>
      <c r="E41" s="15" t="n"/>
      <c r="F41" s="15" t="n"/>
      <c r="G41" s="15" t="n">
        <v>3</v>
      </c>
    </row>
  </sheetData>
  <mergeCells count="8">
    <mergeCell ref="A1:G1"/>
    <mergeCell ref="A18:G18"/>
    <mergeCell ref="A3:G3"/>
    <mergeCell ref="A22:G22"/>
    <mergeCell ref="F20:G20"/>
    <mergeCell ref="A2:G2"/>
    <mergeCell ref="A19:G19"/>
    <mergeCell ref="A5:G5"/>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2">
    <tablePart xmlns:r="http://schemas.openxmlformats.org/officeDocument/2006/relationships" r:id="rId2"/>
    <tablePart xmlns:r="http://schemas.openxmlformats.org/officeDocument/2006/relationships" r:id="rId3"/>
  </tableParts>
</worksheet>
</file>

<file path=xl/worksheets/sheet19.xml><?xml version="1.0" encoding="utf-8"?>
<worksheet xmlns="http://schemas.openxmlformats.org/spreadsheetml/2006/main">
  <sheetPr>
    <tabColor rgb="001F3864"/>
    <outlinePr summaryBelow="1" summaryRight="1"/>
    <pageSetUpPr fitToPage="1"/>
  </sheetPr>
  <dimension ref="A1:H45"/>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22" customWidth="1" min="3" max="3"/>
    <col width="10" customWidth="1" min="4" max="4"/>
    <col width="10" customWidth="1" min="5" max="5"/>
    <col width="12" customWidth="1" min="6" max="6"/>
    <col width="44" customWidth="1" min="7" max="7"/>
    <col width="13" customWidth="1" min="8" max="8"/>
  </cols>
  <sheetData>
    <row r="1" ht="34" customHeight="1">
      <c r="A1" s="1" t="inlineStr">
        <is>
          <t>Weight sensitivity — would the levels change if the weights moved?</t>
        </is>
      </c>
      <c r="H1" s="242" t="inlineStr">
        <is>
          <t>◂ Contents</t>
        </is>
      </c>
    </row>
    <row r="2" ht="32" customHeight="1">
      <c r="A2" s="3" t="inlineStr">
        <is>
          <t>Sheet 13 · Every placement re-run 30 times, each time moving 5 weight points from one factor to another in every weight set. 42 of 47 scored people keep their level in all 30 runs. Below: each test, then the people whose level moves in 5 or more tests.</t>
        </is>
      </c>
    </row>
    <row r="3">
      <c r="A3" s="4" t="inlineStr">
        <is>
          <t>IRIS · Job Architecture &amp; Job Design · Final v1.12 · October 2026 · Internal — Confidential</t>
        </is>
      </c>
    </row>
    <row r="4"/>
    <row r="5" ht="20" customHeight="1">
      <c r="A5" s="6" t="inlineStr">
        <is>
          <t>The 30 tests</t>
        </is>
      </c>
    </row>
    <row r="6" ht="15" customHeight="1">
      <c r="A6" s="12" t="inlineStr">
        <is>
          <t>Weight change · all sets</t>
        </is>
      </c>
      <c r="B6" s="12" t="inlineStr">
        <is>
          <t>Levels that change</t>
        </is>
      </c>
      <c r="C6" s="211" t="n"/>
      <c r="D6" s="12" t="inlineStr">
        <is>
          <t>Up</t>
        </is>
      </c>
      <c r="E6" s="12" t="inlineStr">
        <is>
          <t>Down</t>
        </is>
      </c>
      <c r="F6" s="12" t="inlineStr">
        <is>
          <t>Share</t>
        </is>
      </c>
      <c r="G6" s="211" t="n"/>
    </row>
    <row r="7" ht="28" customHeight="1">
      <c r="A7" s="16" t="inlineStr">
        <is>
          <t>−5 Complexity → +5 Autonomy</t>
        </is>
      </c>
      <c r="B7" s="15" t="n">
        <v>0</v>
      </c>
      <c r="C7" s="211" t="n"/>
      <c r="D7" s="15" t="n">
        <v>0</v>
      </c>
      <c r="E7" s="15" t="n">
        <v>0</v>
      </c>
      <c r="F7" s="15" t="inlineStr">
        <is>
          <t>0.0%</t>
        </is>
      </c>
      <c r="G7" s="211" t="n"/>
    </row>
    <row r="8" ht="28" customHeight="1">
      <c r="A8" s="16" t="inlineStr">
        <is>
          <t>−5 Complexity → +5 Accountability</t>
        </is>
      </c>
      <c r="B8" s="15" t="n">
        <v>0</v>
      </c>
      <c r="C8" s="211" t="n"/>
      <c r="D8" s="15" t="n">
        <v>0</v>
      </c>
      <c r="E8" s="15" t="n">
        <v>0</v>
      </c>
      <c r="F8" s="15" t="inlineStr">
        <is>
          <t>0.0%</t>
        </is>
      </c>
      <c r="G8" s="211" t="n"/>
    </row>
    <row r="9" ht="28" customHeight="1">
      <c r="A9" s="16" t="inlineStr">
        <is>
          <t>−5 Complexity → +5 Leadership</t>
        </is>
      </c>
      <c r="B9" s="15" t="n">
        <v>1</v>
      </c>
      <c r="C9" s="211" t="n"/>
      <c r="D9" s="15" t="n">
        <v>0</v>
      </c>
      <c r="E9" s="15" t="n">
        <v>1</v>
      </c>
      <c r="F9" s="15" t="inlineStr">
        <is>
          <t>2.1%</t>
        </is>
      </c>
      <c r="G9" s="211" t="n"/>
    </row>
    <row r="10" ht="28" customHeight="1">
      <c r="A10" s="16" t="inlineStr">
        <is>
          <t>−5 Complexity → +5 Experience</t>
        </is>
      </c>
      <c r="B10" s="15" t="n">
        <v>2</v>
      </c>
      <c r="C10" s="211" t="n"/>
      <c r="D10" s="15" t="n">
        <v>2</v>
      </c>
      <c r="E10" s="15" t="n">
        <v>0</v>
      </c>
      <c r="F10" s="15" t="inlineStr">
        <is>
          <t>4.3%</t>
        </is>
      </c>
      <c r="G10" s="211" t="n"/>
    </row>
    <row r="11" ht="28" customHeight="1">
      <c r="A11" s="16" t="inlineStr">
        <is>
          <t>−5 Complexity → +5 Business impact</t>
        </is>
      </c>
      <c r="B11" s="15" t="n">
        <v>0</v>
      </c>
      <c r="C11" s="211" t="n"/>
      <c r="D11" s="15" t="n">
        <v>0</v>
      </c>
      <c r="E11" s="15" t="n">
        <v>0</v>
      </c>
      <c r="F11" s="15" t="inlineStr">
        <is>
          <t>0.0%</t>
        </is>
      </c>
      <c r="G11" s="211" t="n"/>
    </row>
    <row r="12" ht="28" customHeight="1">
      <c r="A12" s="16" t="inlineStr">
        <is>
          <t>−5 Autonomy → +5 Complexity</t>
        </is>
      </c>
      <c r="B12" s="15" t="n">
        <v>1</v>
      </c>
      <c r="C12" s="211" t="n"/>
      <c r="D12" s="15" t="n">
        <v>1</v>
      </c>
      <c r="E12" s="15" t="n">
        <v>0</v>
      </c>
      <c r="F12" s="15" t="inlineStr">
        <is>
          <t>2.1%</t>
        </is>
      </c>
      <c r="G12" s="211" t="n"/>
    </row>
    <row r="13" ht="28" customHeight="1">
      <c r="A13" s="16" t="inlineStr">
        <is>
          <t>−5 Autonomy → +5 Accountability</t>
        </is>
      </c>
      <c r="B13" s="15" t="n">
        <v>1</v>
      </c>
      <c r="C13" s="211" t="n"/>
      <c r="D13" s="15" t="n">
        <v>1</v>
      </c>
      <c r="E13" s="15" t="n">
        <v>0</v>
      </c>
      <c r="F13" s="15" t="inlineStr">
        <is>
          <t>2.1%</t>
        </is>
      </c>
      <c r="G13" s="211" t="n"/>
    </row>
    <row r="14" ht="28" customHeight="1">
      <c r="A14" s="16" t="inlineStr">
        <is>
          <t>−5 Autonomy → +5 Leadership</t>
        </is>
      </c>
      <c r="B14" s="15" t="n">
        <v>1</v>
      </c>
      <c r="C14" s="211" t="n"/>
      <c r="D14" s="15" t="n">
        <v>0</v>
      </c>
      <c r="E14" s="15" t="n">
        <v>1</v>
      </c>
      <c r="F14" s="15" t="inlineStr">
        <is>
          <t>2.1%</t>
        </is>
      </c>
      <c r="G14" s="211" t="n"/>
    </row>
    <row r="15" ht="28" customHeight="1">
      <c r="A15" s="16" t="inlineStr">
        <is>
          <t>−5 Autonomy → +5 Experience</t>
        </is>
      </c>
      <c r="B15" s="15" t="n">
        <v>2</v>
      </c>
      <c r="C15" s="211" t="n"/>
      <c r="D15" s="15" t="n">
        <v>2</v>
      </c>
      <c r="E15" s="15" t="n">
        <v>0</v>
      </c>
      <c r="F15" s="15" t="inlineStr">
        <is>
          <t>4.3%</t>
        </is>
      </c>
      <c r="G15" s="211" t="n"/>
    </row>
    <row r="16" ht="28" customHeight="1">
      <c r="A16" s="16" t="inlineStr">
        <is>
          <t>−5 Autonomy → +5 Business impact</t>
        </is>
      </c>
      <c r="B16" s="15" t="n">
        <v>1</v>
      </c>
      <c r="C16" s="211" t="n"/>
      <c r="D16" s="15" t="n">
        <v>1</v>
      </c>
      <c r="E16" s="15" t="n">
        <v>0</v>
      </c>
      <c r="F16" s="15" t="inlineStr">
        <is>
          <t>2.1%</t>
        </is>
      </c>
      <c r="G16" s="211" t="n"/>
    </row>
    <row r="17" ht="28" customHeight="1">
      <c r="A17" s="16" t="inlineStr">
        <is>
          <t>−5 Accountability → +5 Complexity</t>
        </is>
      </c>
      <c r="B17" s="15" t="n">
        <v>0</v>
      </c>
      <c r="C17" s="211" t="n"/>
      <c r="D17" s="15" t="n">
        <v>0</v>
      </c>
      <c r="E17" s="15" t="n">
        <v>0</v>
      </c>
      <c r="F17" s="15" t="inlineStr">
        <is>
          <t>0.0%</t>
        </is>
      </c>
      <c r="G17" s="211" t="n"/>
    </row>
    <row r="18" ht="28" customHeight="1">
      <c r="A18" s="16" t="inlineStr">
        <is>
          <t>−5 Accountability → +5 Autonomy</t>
        </is>
      </c>
      <c r="B18" s="15" t="n">
        <v>0</v>
      </c>
      <c r="C18" s="211" t="n"/>
      <c r="D18" s="15" t="n">
        <v>0</v>
      </c>
      <c r="E18" s="15" t="n">
        <v>0</v>
      </c>
      <c r="F18" s="15" t="inlineStr">
        <is>
          <t>0.0%</t>
        </is>
      </c>
      <c r="G18" s="211" t="n"/>
    </row>
    <row r="19" ht="28" customHeight="1">
      <c r="A19" s="16" t="inlineStr">
        <is>
          <t>−5 Accountability → +5 Leadership</t>
        </is>
      </c>
      <c r="B19" s="15" t="n">
        <v>1</v>
      </c>
      <c r="C19" s="211" t="n"/>
      <c r="D19" s="15" t="n">
        <v>0</v>
      </c>
      <c r="E19" s="15" t="n">
        <v>1</v>
      </c>
      <c r="F19" s="15" t="inlineStr">
        <is>
          <t>2.1%</t>
        </is>
      </c>
      <c r="G19" s="211" t="n"/>
    </row>
    <row r="20" ht="28" customHeight="1">
      <c r="A20" s="16" t="inlineStr">
        <is>
          <t>−5 Accountability → +5 Experience</t>
        </is>
      </c>
      <c r="B20" s="15" t="n">
        <v>2</v>
      </c>
      <c r="C20" s="211" t="n"/>
      <c r="D20" s="15" t="n">
        <v>2</v>
      </c>
      <c r="E20" s="15" t="n">
        <v>0</v>
      </c>
      <c r="F20" s="15" t="inlineStr">
        <is>
          <t>4.3%</t>
        </is>
      </c>
      <c r="G20" s="211" t="n"/>
    </row>
    <row r="21" ht="28" customHeight="1">
      <c r="A21" s="16" t="inlineStr">
        <is>
          <t>−5 Accountability → +5 Business impact</t>
        </is>
      </c>
      <c r="B21" s="15" t="n">
        <v>0</v>
      </c>
      <c r="C21" s="211" t="n"/>
      <c r="D21" s="15" t="n">
        <v>0</v>
      </c>
      <c r="E21" s="15" t="n">
        <v>0</v>
      </c>
      <c r="F21" s="15" t="inlineStr">
        <is>
          <t>0.0%</t>
        </is>
      </c>
      <c r="G21" s="211" t="n"/>
    </row>
    <row r="22" ht="28" customHeight="1">
      <c r="A22" s="16" t="inlineStr">
        <is>
          <t>−5 Leadership → +5 Complexity</t>
        </is>
      </c>
      <c r="B22" s="15" t="n">
        <v>1</v>
      </c>
      <c r="C22" s="211" t="n"/>
      <c r="D22" s="15" t="n">
        <v>1</v>
      </c>
      <c r="E22" s="15" t="n">
        <v>0</v>
      </c>
      <c r="F22" s="15" t="inlineStr">
        <is>
          <t>2.1%</t>
        </is>
      </c>
      <c r="G22" s="211" t="n"/>
    </row>
    <row r="23" ht="28" customHeight="1">
      <c r="A23" s="16" t="inlineStr">
        <is>
          <t>−5 Leadership → +5 Autonomy</t>
        </is>
      </c>
      <c r="B23" s="15" t="n">
        <v>1</v>
      </c>
      <c r="C23" s="211" t="n"/>
      <c r="D23" s="15" t="n">
        <v>1</v>
      </c>
      <c r="E23" s="15" t="n">
        <v>0</v>
      </c>
      <c r="F23" s="15" t="inlineStr">
        <is>
          <t>2.1%</t>
        </is>
      </c>
      <c r="G23" s="211" t="n"/>
    </row>
    <row r="24" ht="28" customHeight="1">
      <c r="A24" s="16" t="inlineStr">
        <is>
          <t>−5 Leadership → +5 Accountability</t>
        </is>
      </c>
      <c r="B24" s="15" t="n">
        <v>1</v>
      </c>
      <c r="C24" s="211" t="n"/>
      <c r="D24" s="15" t="n">
        <v>1</v>
      </c>
      <c r="E24" s="15" t="n">
        <v>0</v>
      </c>
      <c r="F24" s="15" t="inlineStr">
        <is>
          <t>2.1%</t>
        </is>
      </c>
      <c r="G24" s="211" t="n"/>
    </row>
    <row r="25" ht="28" customHeight="1">
      <c r="A25" s="16" t="inlineStr">
        <is>
          <t>−5 Leadership → +5 Experience</t>
        </is>
      </c>
      <c r="B25" s="15" t="n">
        <v>2</v>
      </c>
      <c r="C25" s="211" t="n"/>
      <c r="D25" s="15" t="n">
        <v>2</v>
      </c>
      <c r="E25" s="15" t="n">
        <v>0</v>
      </c>
      <c r="F25" s="15" t="inlineStr">
        <is>
          <t>4.3%</t>
        </is>
      </c>
      <c r="G25" s="211" t="n"/>
    </row>
    <row r="26" ht="28" customHeight="1">
      <c r="A26" s="16" t="inlineStr">
        <is>
          <t>−5 Leadership → +5 Business impact</t>
        </is>
      </c>
      <c r="B26" s="15" t="n">
        <v>1</v>
      </c>
      <c r="C26" s="211" t="n"/>
      <c r="D26" s="15" t="n">
        <v>1</v>
      </c>
      <c r="E26" s="15" t="n">
        <v>0</v>
      </c>
      <c r="F26" s="15" t="inlineStr">
        <is>
          <t>2.1%</t>
        </is>
      </c>
      <c r="G26" s="211" t="n"/>
    </row>
    <row r="27" ht="28" customHeight="1">
      <c r="A27" s="16" t="inlineStr">
        <is>
          <t>−5 Experience → +5 Complexity</t>
        </is>
      </c>
      <c r="B27" s="15" t="n">
        <v>2</v>
      </c>
      <c r="C27" s="211" t="n"/>
      <c r="D27" s="15" t="n">
        <v>0</v>
      </c>
      <c r="E27" s="15" t="n">
        <v>2</v>
      </c>
      <c r="F27" s="15" t="inlineStr">
        <is>
          <t>4.3%</t>
        </is>
      </c>
      <c r="G27" s="211" t="n"/>
    </row>
    <row r="28" ht="28" customHeight="1">
      <c r="A28" s="16" t="inlineStr">
        <is>
          <t>−5 Experience → +5 Autonomy</t>
        </is>
      </c>
      <c r="B28" s="15" t="n">
        <v>2</v>
      </c>
      <c r="C28" s="211" t="n"/>
      <c r="D28" s="15" t="n">
        <v>0</v>
      </c>
      <c r="E28" s="15" t="n">
        <v>2</v>
      </c>
      <c r="F28" s="15" t="inlineStr">
        <is>
          <t>4.3%</t>
        </is>
      </c>
      <c r="G28" s="211" t="n"/>
    </row>
    <row r="29" ht="28" customHeight="1">
      <c r="A29" s="16" t="inlineStr">
        <is>
          <t>−5 Experience → +5 Accountability</t>
        </is>
      </c>
      <c r="B29" s="15" t="n">
        <v>2</v>
      </c>
      <c r="C29" s="211" t="n"/>
      <c r="D29" s="15" t="n">
        <v>0</v>
      </c>
      <c r="E29" s="15" t="n">
        <v>2</v>
      </c>
      <c r="F29" s="15" t="inlineStr">
        <is>
          <t>4.3%</t>
        </is>
      </c>
      <c r="G29" s="211" t="n"/>
    </row>
    <row r="30" ht="28" customHeight="1">
      <c r="A30" s="16" t="inlineStr">
        <is>
          <t>−5 Experience → +5 Leadership</t>
        </is>
      </c>
      <c r="B30" s="15" t="n">
        <v>3</v>
      </c>
      <c r="C30" s="211" t="n"/>
      <c r="D30" s="15" t="n">
        <v>0</v>
      </c>
      <c r="E30" s="15" t="n">
        <v>3</v>
      </c>
      <c r="F30" s="15" t="inlineStr">
        <is>
          <t>6.4%</t>
        </is>
      </c>
      <c r="G30" s="211" t="n"/>
    </row>
    <row r="31" ht="28" customHeight="1">
      <c r="A31" s="16" t="inlineStr">
        <is>
          <t>−5 Experience → +5 Business impact</t>
        </is>
      </c>
      <c r="B31" s="15" t="n">
        <v>1</v>
      </c>
      <c r="C31" s="211" t="n"/>
      <c r="D31" s="15" t="n">
        <v>0</v>
      </c>
      <c r="E31" s="15" t="n">
        <v>1</v>
      </c>
      <c r="F31" s="15" t="inlineStr">
        <is>
          <t>2.1%</t>
        </is>
      </c>
      <c r="G31" s="211" t="n"/>
    </row>
    <row r="32" ht="28" customHeight="1">
      <c r="A32" s="16" t="inlineStr">
        <is>
          <t>−5 Business impact → +5 Complexity</t>
        </is>
      </c>
      <c r="B32" s="15" t="n">
        <v>0</v>
      </c>
      <c r="C32" s="211" t="n"/>
      <c r="D32" s="15" t="n">
        <v>0</v>
      </c>
      <c r="E32" s="15" t="n">
        <v>0</v>
      </c>
      <c r="F32" s="15" t="inlineStr">
        <is>
          <t>0.0%</t>
        </is>
      </c>
      <c r="G32" s="211" t="n"/>
    </row>
    <row r="33" ht="28" customHeight="1">
      <c r="A33" s="16" t="inlineStr">
        <is>
          <t>−5 Business impact → +5 Autonomy</t>
        </is>
      </c>
      <c r="B33" s="15" t="n">
        <v>0</v>
      </c>
      <c r="C33" s="211" t="n"/>
      <c r="D33" s="15" t="n">
        <v>0</v>
      </c>
      <c r="E33" s="15" t="n">
        <v>0</v>
      </c>
      <c r="F33" s="15" t="inlineStr">
        <is>
          <t>0.0%</t>
        </is>
      </c>
      <c r="G33" s="211" t="n"/>
    </row>
    <row r="34" ht="28" customHeight="1">
      <c r="A34" s="16" t="inlineStr">
        <is>
          <t>−5 Business impact → +5 Accountability</t>
        </is>
      </c>
      <c r="B34" s="15" t="n">
        <v>0</v>
      </c>
      <c r="C34" s="211" t="n"/>
      <c r="D34" s="15" t="n">
        <v>0</v>
      </c>
      <c r="E34" s="15" t="n">
        <v>0</v>
      </c>
      <c r="F34" s="15" t="inlineStr">
        <is>
          <t>0.0%</t>
        </is>
      </c>
      <c r="G34" s="211" t="n"/>
    </row>
    <row r="35" ht="28" customHeight="1">
      <c r="A35" s="16" t="inlineStr">
        <is>
          <t>−5 Business impact → +5 Leadership</t>
        </is>
      </c>
      <c r="B35" s="15" t="n">
        <v>2</v>
      </c>
      <c r="C35" s="211" t="n"/>
      <c r="D35" s="15" t="n">
        <v>0</v>
      </c>
      <c r="E35" s="15" t="n">
        <v>2</v>
      </c>
      <c r="F35" s="15" t="inlineStr">
        <is>
          <t>4.3%</t>
        </is>
      </c>
      <c r="G35" s="211" t="n"/>
    </row>
    <row r="36" ht="28" customHeight="1">
      <c r="A36" s="16" t="inlineStr">
        <is>
          <t>−5 Business impact → +5 Experience</t>
        </is>
      </c>
      <c r="B36" s="15" t="n">
        <v>2</v>
      </c>
      <c r="C36" s="211" t="n"/>
      <c r="D36" s="15" t="n">
        <v>2</v>
      </c>
      <c r="E36" s="15" t="n">
        <v>0</v>
      </c>
      <c r="F36" s="15" t="inlineStr">
        <is>
          <t>4.3%</t>
        </is>
      </c>
      <c r="G36" s="211" t="n"/>
    </row>
    <row r="37" ht="15" customHeight="1"/>
    <row r="38" ht="20" customHeight="1">
      <c r="A38" s="6" t="inlineStr">
        <is>
          <t>People whose level moves in 5 or more of the 30 tests — 5</t>
        </is>
      </c>
    </row>
    <row r="39" ht="15" customHeight="1">
      <c r="A39" s="11" t="inlineStr">
        <is>
          <r>
            <rPr>
              <rFont val="Calibri"/>
              <b val="1"/>
              <i val="1"/>
              <color rgb="00595959"/>
              <sz val="10"/>
            </rPr>
            <t>Their placement depends on the exact weights:</t>
          </r>
          <r>
            <rPr>
              <rFont val="Calibri"/>
              <i val="1"/>
              <color rgb="00595959"/>
              <sz val="10"/>
            </rPr>
            <t xml:space="preserve"> calibrate them first.</t>
          </r>
        </is>
      </c>
    </row>
    <row r="40" ht="28" customHeight="1">
      <c r="A40" s="12" t="inlineStr">
        <is>
          <t>Person</t>
        </is>
      </c>
      <c r="B40" s="12" t="inlineStr">
        <is>
          <t>Business</t>
        </is>
      </c>
      <c r="C40" s="12" t="inlineStr">
        <is>
          <t>Department</t>
        </is>
      </c>
      <c r="D40" s="12" t="inlineStr">
        <is>
          <t>Level</t>
        </is>
      </c>
      <c r="E40" s="12" t="inlineStr">
        <is>
          <t>Score</t>
        </is>
      </c>
      <c r="F40" s="12" t="inlineStr">
        <is>
          <t>Tests that move it</t>
        </is>
      </c>
      <c r="G40" s="12" t="inlineStr">
        <is>
          <t>Final designation</t>
        </is>
      </c>
    </row>
    <row r="41" ht="15" customHeight="1">
      <c r="A41" s="13" t="inlineStr">
        <is>
          <t>Hemant Chordekar</t>
        </is>
      </c>
      <c r="B41" s="16" t="inlineStr">
        <is>
          <t>Corporate</t>
        </is>
      </c>
      <c r="C41" s="16" t="inlineStr">
        <is>
          <t>IT &amp; Infrastructure</t>
        </is>
      </c>
      <c r="D41" s="15" t="inlineStr">
        <is>
          <t>A3</t>
        </is>
      </c>
      <c r="E41" s="15" t="n">
        <v>3.57</v>
      </c>
      <c r="F41" s="15" t="n">
        <v>12</v>
      </c>
      <c r="G41" s="16" t="inlineStr">
        <is>
          <t>Infrastructure Specialist</t>
        </is>
      </c>
    </row>
    <row r="42" ht="15" customHeight="1">
      <c r="A42" s="13" t="inlineStr">
        <is>
          <t>Simran Kaur Raina</t>
        </is>
      </c>
      <c r="B42" s="16" t="inlineStr">
        <is>
          <t>Corporate</t>
        </is>
      </c>
      <c r="C42" s="16" t="inlineStr">
        <is>
          <t>HR</t>
        </is>
      </c>
      <c r="D42" s="15" t="inlineStr">
        <is>
          <t>B2</t>
        </is>
      </c>
      <c r="E42" s="15" t="n">
        <v>4.53</v>
      </c>
      <c r="F42" s="15" t="n">
        <v>5</v>
      </c>
      <c r="G42" s="16" t="inlineStr">
        <is>
          <t>Senior Talent Acquisition Specialist</t>
        </is>
      </c>
    </row>
    <row r="43" ht="15" customHeight="1">
      <c r="A43" s="13" t="inlineStr">
        <is>
          <t>Vikas Mithbawkar</t>
        </is>
      </c>
      <c r="B43" s="16" t="inlineStr">
        <is>
          <t>Corporate</t>
        </is>
      </c>
      <c r="C43" s="16" t="inlineStr">
        <is>
          <t>IT &amp; Infrastructure</t>
        </is>
      </c>
      <c r="D43" s="15" t="inlineStr">
        <is>
          <t>B1</t>
        </is>
      </c>
      <c r="E43" s="15" t="n">
        <v>4.35</v>
      </c>
      <c r="F43" s="15" t="n">
        <v>5</v>
      </c>
      <c r="G43" s="16" t="inlineStr">
        <is>
          <t>IT Infrastructure Manager</t>
        </is>
      </c>
    </row>
    <row r="44" ht="15" customHeight="1">
      <c r="A44" s="13" t="inlineStr">
        <is>
          <t>Rajit Kumar Sahu</t>
        </is>
      </c>
      <c r="B44" s="16" t="inlineStr">
        <is>
          <t>Corporate</t>
        </is>
      </c>
      <c r="C44" s="16" t="inlineStr">
        <is>
          <t>IT &amp; Infrastructure</t>
        </is>
      </c>
      <c r="D44" s="15" t="inlineStr">
        <is>
          <t>B1</t>
        </is>
      </c>
      <c r="E44" s="15" t="n">
        <v>3.58</v>
      </c>
      <c r="F44" s="15" t="n">
        <v>5</v>
      </c>
      <c r="G44" s="16" t="inlineStr">
        <is>
          <t>Infrastructure Specialist</t>
        </is>
      </c>
    </row>
    <row r="45" ht="15" customHeight="1">
      <c r="A45" s="13" t="inlineStr">
        <is>
          <t>Barsha Gloria Gomes</t>
        </is>
      </c>
      <c r="B45" s="16" t="inlineStr">
        <is>
          <t>Corporate</t>
        </is>
      </c>
      <c r="C45" s="16" t="inlineStr">
        <is>
          <t>Marketing</t>
        </is>
      </c>
      <c r="D45" s="15" t="inlineStr">
        <is>
          <t>B2</t>
        </is>
      </c>
      <c r="E45" s="15" t="n">
        <v>4.58</v>
      </c>
      <c r="F45" s="15" t="n">
        <v>5</v>
      </c>
      <c r="G45" s="16" t="inlineStr">
        <is>
          <t>Senior Content Marketing Specialist</t>
        </is>
      </c>
    </row>
  </sheetData>
  <mergeCells count="68">
    <mergeCell ref="F11:G11"/>
    <mergeCell ref="B16:C16"/>
    <mergeCell ref="B7:C7"/>
    <mergeCell ref="B25:C25"/>
    <mergeCell ref="F10:G10"/>
    <mergeCell ref="F16:G16"/>
    <mergeCell ref="F29:G29"/>
    <mergeCell ref="F19:G19"/>
    <mergeCell ref="F25:G25"/>
    <mergeCell ref="F34:G34"/>
    <mergeCell ref="B22:C22"/>
    <mergeCell ref="F6:G6"/>
    <mergeCell ref="A38:G38"/>
    <mergeCell ref="B31:C31"/>
    <mergeCell ref="B27:C27"/>
    <mergeCell ref="B18:C18"/>
    <mergeCell ref="F7:G7"/>
    <mergeCell ref="B12:C12"/>
    <mergeCell ref="F21:G21"/>
    <mergeCell ref="B21:C21"/>
    <mergeCell ref="F12:G12"/>
    <mergeCell ref="F24:G24"/>
    <mergeCell ref="F30:G30"/>
    <mergeCell ref="B11:C11"/>
    <mergeCell ref="F15:G15"/>
    <mergeCell ref="A39:G39"/>
    <mergeCell ref="F20:G20"/>
    <mergeCell ref="F18:G18"/>
    <mergeCell ref="B23:C23"/>
    <mergeCell ref="F33:G33"/>
    <mergeCell ref="B14:C14"/>
    <mergeCell ref="F36:G36"/>
    <mergeCell ref="F32:G32"/>
    <mergeCell ref="B17:C17"/>
    <mergeCell ref="F26:G26"/>
    <mergeCell ref="B8:C8"/>
    <mergeCell ref="F17:G17"/>
    <mergeCell ref="F35:G35"/>
    <mergeCell ref="F8:G8"/>
    <mergeCell ref="B13:C13"/>
    <mergeCell ref="A1:G1"/>
    <mergeCell ref="B29:C29"/>
    <mergeCell ref="B19:C19"/>
    <mergeCell ref="B34:C34"/>
    <mergeCell ref="B10:C10"/>
    <mergeCell ref="F23:G23"/>
    <mergeCell ref="B28:C28"/>
    <mergeCell ref="F31:G31"/>
    <mergeCell ref="F22:G22"/>
    <mergeCell ref="F28:G28"/>
    <mergeCell ref="F13:G13"/>
    <mergeCell ref="B9:C9"/>
    <mergeCell ref="F27:G27"/>
    <mergeCell ref="F9:G9"/>
    <mergeCell ref="B6:C6"/>
    <mergeCell ref="B24:C24"/>
    <mergeCell ref="B30:C30"/>
    <mergeCell ref="B15:C15"/>
    <mergeCell ref="B33:C33"/>
    <mergeCell ref="A3:G3"/>
    <mergeCell ref="B20:C20"/>
    <mergeCell ref="B36:C36"/>
    <mergeCell ref="A2:G2"/>
    <mergeCell ref="B32:C32"/>
    <mergeCell ref="F14:G14"/>
    <mergeCell ref="B26:C26"/>
    <mergeCell ref="B35:C35"/>
    <mergeCell ref="A5:G5"/>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0.xml><?xml version="1.0" encoding="utf-8"?>
<worksheet xmlns="http://schemas.openxmlformats.org/spreadsheetml/2006/main">
  <sheetPr>
    <tabColor rgb="00C55A11"/>
    <outlinePr summaryBelow="1" summaryRight="1"/>
    <pageSetUpPr fitToPage="1"/>
  </sheetPr>
  <dimension ref="A1:I27"/>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2" customWidth="1" min="3" max="3"/>
    <col width="26" customWidth="1" min="4" max="4"/>
    <col width="10" customWidth="1" min="5" max="5"/>
    <col width="10" customWidth="1" min="6" max="6"/>
    <col width="10" customWidth="1" min="7" max="7"/>
    <col width="30" customWidth="1" min="8" max="8"/>
    <col width="13" customWidth="1" min="9" max="9"/>
  </cols>
  <sheetData>
    <row r="1" ht="34" customHeight="1">
      <c r="A1" s="1" t="inlineStr">
        <is>
          <t>A3 deep-dive — who is close to B1?</t>
        </is>
      </c>
      <c r="I1" s="242" t="inlineStr">
        <is>
          <t>◂ Contents</t>
        </is>
      </c>
    </row>
    <row r="2" ht="32" customHeight="1">
      <c r="A2" s="3" t="inlineStr">
        <is>
          <t>Sheet 14 · 21 employees at A3. 'Gap to B1' = 3.5 minus the person's score on Band B's own weights · B's entry point. Within 0.25: check whether the role already carries B1 work. Long tenure at A3 with a large gap: widen the role, or pay at the top of the A3 range.</t>
        </is>
      </c>
    </row>
    <row r="3">
      <c r="A3" s="4" t="inlineStr">
        <is>
          <t>IRIS · Job Architecture &amp; Job Design · Final v1.12 · October 2026 · Internal — Confidential</t>
        </is>
      </c>
    </row>
    <row r="4"/>
    <row r="5" ht="20" customHeight="1">
      <c r="A5" s="6" t="inlineStr">
        <is>
          <t>Everyone at A3, closest to B1 first</t>
        </is>
      </c>
    </row>
    <row r="6" ht="28" customHeight="1">
      <c r="A6" s="12" t="inlineStr">
        <is>
          <t>Person</t>
        </is>
      </c>
      <c r="B6" s="12" t="inlineStr">
        <is>
          <t>Business</t>
        </is>
      </c>
      <c r="C6" s="12" t="inlineStr">
        <is>
          <t>Department</t>
        </is>
      </c>
      <c r="D6" s="12" t="inlineStr">
        <is>
          <t>Designation</t>
        </is>
      </c>
      <c r="E6" s="12" t="inlineStr">
        <is>
          <t>Total exp. · yrs</t>
        </is>
      </c>
      <c r="F6" s="12" t="inlineStr">
        <is>
          <t>Score</t>
        </is>
      </c>
      <c r="G6" s="12" t="inlineStr">
        <is>
          <t>Gap to B1</t>
        </is>
      </c>
      <c r="H6" s="12" t="inlineStr">
        <is>
          <t>Group</t>
        </is>
      </c>
    </row>
    <row r="7" ht="15" customHeight="1">
      <c r="A7" s="13" t="inlineStr">
        <is>
          <t>Hemant Chordekar</t>
        </is>
      </c>
      <c r="B7" s="16" t="inlineStr">
        <is>
          <t>Corporate</t>
        </is>
      </c>
      <c r="C7" s="16" t="inlineStr">
        <is>
          <t>IT &amp; Infrastructure</t>
        </is>
      </c>
      <c r="D7" s="16" t="inlineStr">
        <is>
          <t>Infrastructure Specialist</t>
        </is>
      </c>
      <c r="E7" s="15" t="n">
        <v>20.7</v>
      </c>
      <c r="F7" s="15" t="n">
        <v>3.57</v>
      </c>
      <c r="G7" s="15" t="n">
        <v>0.01</v>
      </c>
      <c r="H7" s="16" t="inlineStr">
        <is>
          <t>Within 0.25 of B1</t>
        </is>
      </c>
    </row>
    <row r="8" ht="28" customHeight="1">
      <c r="A8" s="13" t="inlineStr">
        <is>
          <t>Sandip Mane</t>
        </is>
      </c>
      <c r="B8" s="16" t="inlineStr">
        <is>
          <t>Corporate</t>
        </is>
      </c>
      <c r="C8" s="16" t="inlineStr">
        <is>
          <t>IT &amp; Infrastructure</t>
        </is>
      </c>
      <c r="D8" s="16" t="inlineStr">
        <is>
          <t>Senior System Administrator</t>
        </is>
      </c>
      <c r="E8" s="15" t="n">
        <v>10.6</v>
      </c>
      <c r="F8" s="15" t="n">
        <v>3.27</v>
      </c>
      <c r="G8" s="15" t="n">
        <v>0.31</v>
      </c>
      <c r="H8" s="16" t="inlineStr">
        <is>
          <t>0.25–0.5 from B1</t>
        </is>
      </c>
    </row>
    <row r="9" ht="28" customHeight="1">
      <c r="A9" s="13" t="inlineStr">
        <is>
          <t>Vishal Vare</t>
        </is>
      </c>
      <c r="B9" s="16" t="inlineStr">
        <is>
          <t>Corporate</t>
        </is>
      </c>
      <c r="C9" s="16" t="inlineStr">
        <is>
          <t>IT &amp; Infrastructure</t>
        </is>
      </c>
      <c r="D9" s="16" t="inlineStr">
        <is>
          <t>Senior System Administrator</t>
        </is>
      </c>
      <c r="E9" s="15" t="n">
        <v>10.3</v>
      </c>
      <c r="F9" s="15" t="n">
        <v>3.22</v>
      </c>
      <c r="G9" s="15" t="n">
        <v>0.36</v>
      </c>
      <c r="H9" s="16" t="inlineStr">
        <is>
          <t>0.25–0.5 from B1</t>
        </is>
      </c>
    </row>
    <row r="10" ht="28" customHeight="1">
      <c r="A10" s="13" t="inlineStr">
        <is>
          <t>Renuka Badhoria</t>
        </is>
      </c>
      <c r="B10" s="16" t="inlineStr">
        <is>
          <t>Corporate</t>
        </is>
      </c>
      <c r="C10" s="16" t="inlineStr">
        <is>
          <t>HR</t>
        </is>
      </c>
      <c r="D10" s="16" t="inlineStr">
        <is>
          <t>Senior Talent Acquisition Executive</t>
        </is>
      </c>
      <c r="E10" s="15" t="n">
        <v>3.4</v>
      </c>
      <c r="F10" s="15" t="n">
        <v>3.15</v>
      </c>
      <c r="G10" s="15" t="n">
        <v>0.39</v>
      </c>
      <c r="H10" s="16" t="inlineStr">
        <is>
          <t>0.25–0.5 from B1</t>
        </is>
      </c>
    </row>
    <row r="11" ht="28" customHeight="1">
      <c r="A11" s="13" t="inlineStr">
        <is>
          <t>Mangesh Kosty</t>
        </is>
      </c>
      <c r="B11" s="16" t="inlineStr">
        <is>
          <t>Corporate</t>
        </is>
      </c>
      <c r="C11" s="16" t="inlineStr">
        <is>
          <t>Administration</t>
        </is>
      </c>
      <c r="D11" s="16" t="inlineStr">
        <is>
          <t>Senior Administration Executive</t>
        </is>
      </c>
      <c r="E11" s="15" t="n">
        <v>21.7</v>
      </c>
      <c r="F11" s="15" t="n">
        <v>3.12</v>
      </c>
      <c r="G11" s="15" t="n">
        <v>0.42</v>
      </c>
      <c r="H11" s="16" t="inlineStr">
        <is>
          <t>0.25–0.5 from B1</t>
        </is>
      </c>
    </row>
    <row r="12" ht="28" customHeight="1">
      <c r="A12" s="13" t="inlineStr">
        <is>
          <t>Rajesh Khurambe</t>
        </is>
      </c>
      <c r="B12" s="16" t="inlineStr">
        <is>
          <t>Corporate</t>
        </is>
      </c>
      <c r="C12" s="16" t="inlineStr">
        <is>
          <t>Administration</t>
        </is>
      </c>
      <c r="D12" s="16" t="inlineStr">
        <is>
          <t>Senior Administration Executive</t>
        </is>
      </c>
      <c r="E12" s="15" t="n">
        <v>21.7</v>
      </c>
      <c r="F12" s="15" t="n">
        <v>3.12</v>
      </c>
      <c r="G12" s="15" t="n">
        <v>0.42</v>
      </c>
      <c r="H12" s="16" t="inlineStr">
        <is>
          <t>0.25–0.5 from B1</t>
        </is>
      </c>
    </row>
    <row r="13" ht="15" customHeight="1">
      <c r="A13" s="13" t="inlineStr">
        <is>
          <t>Abhishek Sharma</t>
        </is>
      </c>
      <c r="B13" s="16" t="inlineStr">
        <is>
          <t>Corporate</t>
        </is>
      </c>
      <c r="C13" s="16" t="inlineStr">
        <is>
          <t>Marketing</t>
        </is>
      </c>
      <c r="D13" s="16" t="inlineStr">
        <is>
          <t>Senior Designer</t>
        </is>
      </c>
      <c r="E13" s="15" t="n">
        <v>6</v>
      </c>
      <c r="F13" s="15" t="n">
        <v>3.16</v>
      </c>
      <c r="G13" s="15" t="n">
        <v>0.42</v>
      </c>
      <c r="H13" s="16" t="inlineStr">
        <is>
          <t>0.25–0.5 from B1</t>
        </is>
      </c>
    </row>
    <row r="14" ht="28" customHeight="1">
      <c r="A14" s="13" t="inlineStr">
        <is>
          <t>Rajyalakshmi Koyagura</t>
        </is>
      </c>
      <c r="B14" s="16" t="inlineStr">
        <is>
          <t>Corporate</t>
        </is>
      </c>
      <c r="C14" s="16" t="inlineStr">
        <is>
          <t>IT &amp; Infrastructure</t>
        </is>
      </c>
      <c r="D14" s="16" t="inlineStr">
        <is>
          <t>Senior System Administrator</t>
        </is>
      </c>
      <c r="E14" s="15" t="n">
        <v>8</v>
      </c>
      <c r="F14" s="15" t="n">
        <v>3.12</v>
      </c>
      <c r="G14" s="15" t="n">
        <v>0.46</v>
      </c>
      <c r="H14" s="16" t="inlineStr">
        <is>
          <t>0.25–0.5 from B1</t>
        </is>
      </c>
    </row>
    <row r="15" ht="28" customHeight="1">
      <c r="A15" s="13" t="inlineStr">
        <is>
          <t>Nimit Sadafal</t>
        </is>
      </c>
      <c r="B15" s="16" t="inlineStr">
        <is>
          <t>Corporate</t>
        </is>
      </c>
      <c r="C15" s="16" t="inlineStr">
        <is>
          <t>IT &amp; Infrastructure</t>
        </is>
      </c>
      <c r="D15" s="16" t="inlineStr">
        <is>
          <t>Senior System Administrator</t>
        </is>
      </c>
      <c r="E15" s="15" t="n">
        <v>13.6</v>
      </c>
      <c r="F15" s="15" t="n">
        <v>3.05</v>
      </c>
      <c r="G15" s="15" t="n">
        <v>0.49</v>
      </c>
      <c r="H15" s="16" t="inlineStr">
        <is>
          <t>0.25–0.5 from B1</t>
        </is>
      </c>
    </row>
    <row r="16" ht="28" customHeight="1">
      <c r="A16" s="13" t="inlineStr">
        <is>
          <t>Shruti Gawas</t>
        </is>
      </c>
      <c r="B16" s="16" t="inlineStr">
        <is>
          <t>Corporate</t>
        </is>
      </c>
      <c r="C16" s="16" t="inlineStr">
        <is>
          <t>HR</t>
        </is>
      </c>
      <c r="D16" s="16" t="inlineStr">
        <is>
          <t>Senior Talent Acquisition Executive</t>
        </is>
      </c>
      <c r="E16" s="15" t="n">
        <v>3.6</v>
      </c>
      <c r="F16" s="15" t="n">
        <v>3.08</v>
      </c>
      <c r="G16" s="15" t="n">
        <v>0.5</v>
      </c>
      <c r="H16" s="16" t="inlineStr">
        <is>
          <t>0.25–0.5 from B1</t>
        </is>
      </c>
    </row>
    <row r="17" ht="28" customHeight="1">
      <c r="A17" s="13" t="inlineStr">
        <is>
          <t>Melita Suares</t>
        </is>
      </c>
      <c r="B17" s="16" t="inlineStr">
        <is>
          <t>Corporate</t>
        </is>
      </c>
      <c r="C17" s="16" t="inlineStr">
        <is>
          <t>Secretarial &amp; Legal</t>
        </is>
      </c>
      <c r="D17" s="16" t="inlineStr">
        <is>
          <t>Senior Secretarial Executive</t>
        </is>
      </c>
      <c r="E17" s="15" t="n">
        <v>5.4</v>
      </c>
      <c r="F17" s="15" t="n">
        <v>2.88</v>
      </c>
      <c r="G17" s="15" t="n">
        <v>0.67</v>
      </c>
      <c r="H17" s="16" t="inlineStr">
        <is>
          <t>0.5–1.0 from B1</t>
        </is>
      </c>
    </row>
    <row r="18" ht="15" customHeight="1">
      <c r="A18" s="13" t="inlineStr">
        <is>
          <t>Parthiban Thangaraj</t>
        </is>
      </c>
      <c r="B18" s="16" t="inlineStr">
        <is>
          <t>Corporate</t>
        </is>
      </c>
      <c r="C18" s="16" t="inlineStr">
        <is>
          <t>IT &amp; Infrastructure</t>
        </is>
      </c>
      <c r="D18" s="16" t="inlineStr">
        <is>
          <t>Senior DevOps Engineer</t>
        </is>
      </c>
      <c r="E18" s="15" t="n">
        <v>9.800000000000001</v>
      </c>
      <c r="F18" s="15" t="n">
        <v>2.85</v>
      </c>
      <c r="G18" s="15" t="n">
        <v>0.7</v>
      </c>
      <c r="H18" s="16" t="inlineStr">
        <is>
          <t>0.5–1.0 from B1</t>
        </is>
      </c>
    </row>
    <row r="19" ht="28" customHeight="1">
      <c r="A19" s="13" t="inlineStr">
        <is>
          <t>Ashish Pawar</t>
        </is>
      </c>
      <c r="B19" s="16" t="inlineStr">
        <is>
          <t>Corporate</t>
        </is>
      </c>
      <c r="C19" s="16" t="inlineStr">
        <is>
          <t>Administration</t>
        </is>
      </c>
      <c r="D19" s="16" t="inlineStr">
        <is>
          <t>Senior Administration Executive</t>
        </is>
      </c>
      <c r="E19" s="15" t="n">
        <v>13.2</v>
      </c>
      <c r="F19" s="15" t="n">
        <v>2.83</v>
      </c>
      <c r="G19" s="15" t="n">
        <v>0.73</v>
      </c>
      <c r="H19" s="16" t="inlineStr">
        <is>
          <t>0.5–1.0 from B1</t>
        </is>
      </c>
    </row>
    <row r="20" ht="28" customHeight="1">
      <c r="A20" s="13" t="inlineStr">
        <is>
          <t>Sunil Pawar</t>
        </is>
      </c>
      <c r="B20" s="16" t="inlineStr">
        <is>
          <t>Corporate</t>
        </is>
      </c>
      <c r="C20" s="16" t="inlineStr">
        <is>
          <t>Administration</t>
        </is>
      </c>
      <c r="D20" s="16" t="inlineStr">
        <is>
          <t>Senior Administration Executive</t>
        </is>
      </c>
      <c r="E20" s="15" t="n">
        <v>14.9</v>
      </c>
      <c r="F20" s="15" t="n">
        <v>2.83</v>
      </c>
      <c r="G20" s="15" t="n">
        <v>0.73</v>
      </c>
      <c r="H20" s="16" t="inlineStr">
        <is>
          <t>0.5–1.0 from B1</t>
        </is>
      </c>
    </row>
    <row r="21" ht="28" customHeight="1">
      <c r="A21" s="13" t="inlineStr">
        <is>
          <t>Gouri Kohale</t>
        </is>
      </c>
      <c r="B21" s="16" t="inlineStr">
        <is>
          <t>Corporate</t>
        </is>
      </c>
      <c r="C21" s="16" t="inlineStr">
        <is>
          <t>IT &amp; Infrastructure</t>
        </is>
      </c>
      <c r="D21" s="16" t="inlineStr">
        <is>
          <t>Senior System Administrator</t>
        </is>
      </c>
      <c r="E21" s="15" t="n">
        <v>5.5</v>
      </c>
      <c r="F21" s="15" t="n">
        <v>2.65</v>
      </c>
      <c r="G21" s="15" t="n">
        <v>0.9</v>
      </c>
      <c r="H21" s="16" t="inlineStr">
        <is>
          <t>0.5–1.0 from B1</t>
        </is>
      </c>
    </row>
    <row r="22" ht="28" customHeight="1">
      <c r="A22" s="13" t="inlineStr">
        <is>
          <t>Esther Kanagaselvam D</t>
        </is>
      </c>
      <c r="B22" s="16" t="inlineStr">
        <is>
          <t>Corporate</t>
        </is>
      </c>
      <c r="C22" s="16" t="inlineStr">
        <is>
          <t>Marketing</t>
        </is>
      </c>
      <c r="D22" s="16" t="inlineStr">
        <is>
          <t>Senior Marketing Operations Associate</t>
        </is>
      </c>
      <c r="E22" s="15" t="n">
        <v>5.5</v>
      </c>
      <c r="F22" s="15" t="n">
        <v>2.65</v>
      </c>
      <c r="G22" s="15" t="n">
        <v>0.92</v>
      </c>
      <c r="H22" s="16" t="inlineStr">
        <is>
          <t>0.5–1.0 from B1</t>
        </is>
      </c>
    </row>
    <row r="23" ht="15" customHeight="1">
      <c r="A23" s="13" t="inlineStr">
        <is>
          <t>Bhushan Kashid</t>
        </is>
      </c>
      <c r="B23" s="16" t="inlineStr">
        <is>
          <t>Corporate</t>
        </is>
      </c>
      <c r="C23" s="16" t="inlineStr">
        <is>
          <t>Finance</t>
        </is>
      </c>
      <c r="D23" s="16" t="inlineStr">
        <is>
          <t>Senior Accounts Executive</t>
        </is>
      </c>
      <c r="E23" s="15" t="n">
        <v>8.699999999999999</v>
      </c>
      <c r="F23" s="15" t="n">
        <v>2.52</v>
      </c>
      <c r="G23" s="15" t="n">
        <v>1.02</v>
      </c>
      <c r="H23" s="16" t="inlineStr">
        <is>
          <t>More than 1.0 from B1</t>
        </is>
      </c>
    </row>
    <row r="24" ht="15" customHeight="1">
      <c r="A24" s="13" t="inlineStr">
        <is>
          <t>Riddhi Narkar</t>
        </is>
      </c>
      <c r="B24" s="16" t="inlineStr">
        <is>
          <t>Corporate</t>
        </is>
      </c>
      <c r="C24" s="16" t="inlineStr">
        <is>
          <t>Finance</t>
        </is>
      </c>
      <c r="D24" s="16" t="inlineStr">
        <is>
          <t>Senior Accounts Executive</t>
        </is>
      </c>
      <c r="E24" s="15" t="n">
        <v>9.800000000000001</v>
      </c>
      <c r="F24" s="15" t="n">
        <v>2.52</v>
      </c>
      <c r="G24" s="15" t="n">
        <v>1.04</v>
      </c>
      <c r="H24" s="16" t="inlineStr">
        <is>
          <t>More than 1.0 from B1</t>
        </is>
      </c>
    </row>
    <row r="25" ht="28" customHeight="1">
      <c r="A25" s="13" t="inlineStr">
        <is>
          <t>Sagar Jamadar</t>
        </is>
      </c>
      <c r="B25" s="16" t="inlineStr">
        <is>
          <t>Corporate</t>
        </is>
      </c>
      <c r="C25" s="16" t="inlineStr">
        <is>
          <t>IT &amp; Infrastructure</t>
        </is>
      </c>
      <c r="D25" s="16" t="inlineStr">
        <is>
          <t>Senior Desktop Support Engineer</t>
        </is>
      </c>
      <c r="E25" s="15" t="n">
        <v>8.6</v>
      </c>
      <c r="F25" s="15" t="n">
        <v>2.3</v>
      </c>
      <c r="G25" s="15" t="n">
        <v>1.25</v>
      </c>
      <c r="H25" s="16" t="inlineStr">
        <is>
          <t>More than 1.0 from B1</t>
        </is>
      </c>
    </row>
    <row r="26" ht="28" customHeight="1">
      <c r="A26" s="13" t="inlineStr">
        <is>
          <t>Ketan Balbhadra Yadav</t>
        </is>
      </c>
      <c r="B26" s="16" t="inlineStr">
        <is>
          <t>Corporate</t>
        </is>
      </c>
      <c r="C26" s="16" t="inlineStr">
        <is>
          <t>IT &amp; Infrastructure</t>
        </is>
      </c>
      <c r="D26" s="16" t="inlineStr">
        <is>
          <t>Senior System Administrator</t>
        </is>
      </c>
      <c r="E26" s="15" t="n">
        <v>3.4</v>
      </c>
      <c r="F26" s="15" t="n">
        <v>2.1</v>
      </c>
      <c r="G26" s="15" t="n">
        <v>1.45</v>
      </c>
      <c r="H26" s="16" t="inlineStr">
        <is>
          <t>More than 1.0 from B1</t>
        </is>
      </c>
    </row>
    <row r="27" ht="28" customHeight="1">
      <c r="A27" s="13" t="inlineStr">
        <is>
          <t>Amit Gangaram Kamble</t>
        </is>
      </c>
      <c r="B27" s="16" t="inlineStr">
        <is>
          <t>Corporate</t>
        </is>
      </c>
      <c r="C27" s="16" t="inlineStr">
        <is>
          <t>IT &amp; Infrastructure</t>
        </is>
      </c>
      <c r="D27" s="16" t="inlineStr">
        <is>
          <t>Senior System Administrator</t>
        </is>
      </c>
      <c r="E27" s="15" t="n">
        <v>3.6</v>
      </c>
      <c r="F27" s="15" t="n">
        <v>2.1</v>
      </c>
      <c r="G27" s="15" t="n">
        <v>1.45</v>
      </c>
      <c r="H27" s="16" t="inlineStr">
        <is>
          <t>More than 1.0 from B1</t>
        </is>
      </c>
    </row>
  </sheetData>
  <mergeCells count="4">
    <mergeCell ref="A3:H3"/>
    <mergeCell ref="A2:H2"/>
    <mergeCell ref="A5:H5"/>
    <mergeCell ref="A1:H1"/>
  </mergeCells>
  <conditionalFormatting sqref="G7:G27">
    <cfRule type="colorScale" priority="1">
      <colorScale>
        <cfvo type="num" val="0"/>
        <cfvo type="num" val="1.5"/>
        <color rgb="00A9D08E"/>
        <color rgb="00FFFFFF"/>
      </colorScale>
    </cfRule>
  </conditionalFormatting>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1.xml><?xml version="1.0" encoding="utf-8"?>
<worksheet xmlns="http://schemas.openxmlformats.org/spreadsheetml/2006/main">
  <sheetPr>
    <tabColor rgb="007030A0"/>
    <outlinePr summaryBelow="1" summaryRight="1"/>
    <pageSetUpPr fitToPage="1"/>
  </sheetPr>
  <dimension ref="A1:I13"/>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6" customWidth="1" min="3" max="3"/>
    <col width="9" customWidth="1" min="4" max="4"/>
    <col width="22" customWidth="1" min="5" max="5"/>
    <col width="34" customWidth="1" min="6" max="6"/>
    <col width="34" customWidth="1" min="7" max="7"/>
    <col width="34" customWidth="1" min="8" max="8"/>
    <col width="13" customWidth="1" min="9" max="9"/>
  </cols>
  <sheetData>
    <row r="1" ht="34" customHeight="1">
      <c r="A1" s="1" t="inlineStr">
        <is>
          <t>Succession — C–E roles and who could step up</t>
        </is>
      </c>
      <c r="I1" s="242" t="inlineStr">
        <is>
          <t>◂ Contents</t>
        </is>
      </c>
    </row>
    <row r="2" ht="32" customHeight="1">
      <c r="A2" s="3" t="inlineStr">
        <is>
          <r>
            <rPr>
              <rFont val="Calibri"/>
              <b val="1"/>
              <i val="1"/>
              <color rgb="00404040"/>
              <sz val="10"/>
            </rPr>
            <t>Sheet 15 · For every role at C1 and above:</t>
          </r>
          <r>
            <rPr>
              <rFont val="Calibri"/>
              <i val="1"/>
              <color rgb="00404040"/>
              <sz val="10"/>
            </rPr>
            <t xml:space="preserve"> people in the same job family, up to three steps below, by readiness · from the talent data on sheet 8. Business and enterprise leaders: anyone at C1 or above in the same business · enterprise roles: any business. Confirm or name successors in calibration.</t>
          </r>
        </is>
      </c>
    </row>
    <row r="3">
      <c r="A3" s="4" t="inlineStr">
        <is>
          <t>IRIS · Job Architecture &amp; Job Design · Final v1.12 · October 2026 · Internal — Confidential</t>
        </is>
      </c>
    </row>
    <row r="4"/>
    <row r="5" ht="15" customHeight="1">
      <c r="A5" s="12" t="inlineStr">
        <is>
          <t>Role holder</t>
        </is>
      </c>
      <c r="B5" s="12" t="inlineStr">
        <is>
          <t>Business</t>
        </is>
      </c>
      <c r="C5" s="12" t="inlineStr">
        <is>
          <t>Role</t>
        </is>
      </c>
      <c r="D5" s="12" t="inlineStr">
        <is>
          <t>Level</t>
        </is>
      </c>
      <c r="E5" s="12" t="inlineStr">
        <is>
          <t>Cover</t>
        </is>
      </c>
      <c r="F5" s="12" t="inlineStr">
        <is>
          <t>Ready now</t>
        </is>
      </c>
      <c r="G5" s="12" t="inlineStr">
        <is>
          <t>Ready in 6–12 months</t>
        </is>
      </c>
      <c r="H5" s="12" t="inlineStr">
        <is>
          <t>High potential</t>
        </is>
      </c>
    </row>
    <row r="6" ht="28" customHeight="1">
      <c r="A6" s="13" t="inlineStr">
        <is>
          <t>Balachandran K</t>
        </is>
      </c>
      <c r="B6" s="16" t="inlineStr">
        <is>
          <t>Corporate</t>
        </is>
      </c>
      <c r="C6" s="16" t="inlineStr">
        <is>
          <t>Chief Executive Officer</t>
        </is>
      </c>
      <c r="D6" s="15" t="inlineStr">
        <is>
          <t>E2</t>
        </is>
      </c>
      <c r="E6" s="18" t="inlineStr">
        <is>
          <t>No successor identified</t>
        </is>
      </c>
      <c r="F6" s="16" t="inlineStr">
        <is>
          <t>—</t>
        </is>
      </c>
      <c r="G6" s="16" t="inlineStr">
        <is>
          <t>—</t>
        </is>
      </c>
      <c r="H6" s="16" t="inlineStr">
        <is>
          <t>—</t>
        </is>
      </c>
    </row>
    <row r="7" ht="28" customHeight="1">
      <c r="A7" s="13" t="inlineStr">
        <is>
          <t>Vineet Kandoi</t>
        </is>
      </c>
      <c r="B7" s="16" t="inlineStr">
        <is>
          <t>Corporate</t>
        </is>
      </c>
      <c r="C7" s="16" t="inlineStr">
        <is>
          <t>Chief Financial Officer</t>
        </is>
      </c>
      <c r="D7" s="15" t="inlineStr">
        <is>
          <t>E1</t>
        </is>
      </c>
      <c r="E7" s="18" t="inlineStr">
        <is>
          <t>No successor identified</t>
        </is>
      </c>
      <c r="F7" s="16" t="inlineStr">
        <is>
          <t>—</t>
        </is>
      </c>
      <c r="G7" s="16" t="inlineStr">
        <is>
          <t>—</t>
        </is>
      </c>
      <c r="H7" s="16" t="inlineStr">
        <is>
          <t>—</t>
        </is>
      </c>
    </row>
    <row r="8" ht="28" customHeight="1">
      <c r="A8" s="13" t="inlineStr">
        <is>
          <t>Deepta Rangarajan</t>
        </is>
      </c>
      <c r="B8" s="16" t="inlineStr">
        <is>
          <t>Corporate</t>
        </is>
      </c>
      <c r="C8" s="16" t="inlineStr">
        <is>
          <t>Chief Operating Officer</t>
        </is>
      </c>
      <c r="D8" s="15" t="inlineStr">
        <is>
          <t>E1</t>
        </is>
      </c>
      <c r="E8" s="18" t="inlineStr">
        <is>
          <t>No successor identified</t>
        </is>
      </c>
      <c r="F8" s="16" t="inlineStr">
        <is>
          <t>—</t>
        </is>
      </c>
      <c r="G8" s="16" t="inlineStr">
        <is>
          <t>—</t>
        </is>
      </c>
      <c r="H8" s="16" t="inlineStr">
        <is>
          <t>—</t>
        </is>
      </c>
    </row>
    <row r="9" ht="28" customHeight="1">
      <c r="A9" s="13" t="inlineStr">
        <is>
          <t>P K X Thomas</t>
        </is>
      </c>
      <c r="B9" s="16" t="inlineStr">
        <is>
          <t>Corporate</t>
        </is>
      </c>
      <c r="C9" s="16" t="inlineStr">
        <is>
          <t>Chief Technology Officer</t>
        </is>
      </c>
      <c r="D9" s="15" t="inlineStr">
        <is>
          <t>E1</t>
        </is>
      </c>
      <c r="E9" s="18" t="inlineStr">
        <is>
          <t>No successor identified</t>
        </is>
      </c>
      <c r="F9" s="16" t="inlineStr">
        <is>
          <t>—</t>
        </is>
      </c>
      <c r="G9" s="16" t="inlineStr">
        <is>
          <t>—</t>
        </is>
      </c>
      <c r="H9" s="16" t="inlineStr">
        <is>
          <t>—</t>
        </is>
      </c>
    </row>
    <row r="10" ht="28" customHeight="1">
      <c r="A10" s="13" t="inlineStr">
        <is>
          <t>Shweta Jha</t>
        </is>
      </c>
      <c r="B10" s="16" t="inlineStr">
        <is>
          <t>Corporate</t>
        </is>
      </c>
      <c r="C10" s="16" t="inlineStr">
        <is>
          <t>Vice President – Human Resources</t>
        </is>
      </c>
      <c r="D10" s="15" t="inlineStr">
        <is>
          <t>D2</t>
        </is>
      </c>
      <c r="E10" s="18" t="inlineStr">
        <is>
          <t>No successor identified</t>
        </is>
      </c>
      <c r="F10" s="16" t="inlineStr">
        <is>
          <t>—</t>
        </is>
      </c>
      <c r="G10" s="16" t="inlineStr">
        <is>
          <t>—</t>
        </is>
      </c>
      <c r="H10" s="16" t="inlineStr">
        <is>
          <t>—</t>
        </is>
      </c>
    </row>
    <row r="11" ht="28" customHeight="1">
      <c r="A11" s="13" t="inlineStr">
        <is>
          <t>Sudhakar Sawant</t>
        </is>
      </c>
      <c r="B11" s="16" t="inlineStr">
        <is>
          <t>Corporate</t>
        </is>
      </c>
      <c r="C11" s="16" t="inlineStr">
        <is>
          <t>Associate Head – Admin &amp; Internal Audit</t>
        </is>
      </c>
      <c r="D11" s="15" t="inlineStr">
        <is>
          <t>C1</t>
        </is>
      </c>
      <c r="E11" s="18" t="inlineStr">
        <is>
          <t>No successor identified</t>
        </is>
      </c>
      <c r="F11" s="16" t="inlineStr">
        <is>
          <t>—</t>
        </is>
      </c>
      <c r="G11" s="16" t="inlineStr">
        <is>
          <t>—</t>
        </is>
      </c>
      <c r="H11" s="16" t="inlineStr">
        <is>
          <t>—</t>
        </is>
      </c>
    </row>
    <row r="12" ht="28" customHeight="1">
      <c r="A12" s="13" t="inlineStr">
        <is>
          <t>Nishant Gupta</t>
        </is>
      </c>
      <c r="B12" s="16" t="inlineStr">
        <is>
          <t>Corporate</t>
        </is>
      </c>
      <c r="C12" s="16" t="inlineStr">
        <is>
          <t>Associate Head – Finance &amp; Accounts</t>
        </is>
      </c>
      <c r="D12" s="15" t="inlineStr">
        <is>
          <t>C1</t>
        </is>
      </c>
      <c r="E12" s="18" t="inlineStr">
        <is>
          <t>No successor identified</t>
        </is>
      </c>
      <c r="F12" s="16" t="inlineStr">
        <is>
          <t>—</t>
        </is>
      </c>
      <c r="G12" s="16" t="inlineStr">
        <is>
          <t>—</t>
        </is>
      </c>
      <c r="H12" s="16" t="inlineStr">
        <is>
          <t>—</t>
        </is>
      </c>
    </row>
    <row r="13" ht="28" customHeight="1">
      <c r="A13" s="13" t="inlineStr">
        <is>
          <t>Santosh Sharma</t>
        </is>
      </c>
      <c r="B13" s="16" t="inlineStr">
        <is>
          <t>Corporate</t>
        </is>
      </c>
      <c r="C13" s="16" t="inlineStr">
        <is>
          <t>Company Secretary – POD Lead</t>
        </is>
      </c>
      <c r="D13" s="15" t="inlineStr">
        <is>
          <t>C1</t>
        </is>
      </c>
      <c r="E13" s="18" t="inlineStr">
        <is>
          <t>No successor identified</t>
        </is>
      </c>
      <c r="F13" s="16" t="inlineStr">
        <is>
          <t>—</t>
        </is>
      </c>
      <c r="G13" s="16" t="inlineStr">
        <is>
          <t>—</t>
        </is>
      </c>
      <c r="H13" s="16" t="inlineStr">
        <is>
          <t>—</t>
        </is>
      </c>
    </row>
  </sheetData>
  <mergeCells count="3">
    <mergeCell ref="A3:H3"/>
    <mergeCell ref="A2:H2"/>
    <mergeCell ref="A1:H1"/>
  </mergeCell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2.xml><?xml version="1.0" encoding="utf-8"?>
<worksheet xmlns="http://schemas.openxmlformats.org/spreadsheetml/2006/main">
  <sheetPr>
    <tabColor rgb="00C00000"/>
    <outlinePr summaryBelow="1" summaryRight="1"/>
    <pageSetUpPr fitToPage="1"/>
  </sheetPr>
  <dimension ref="A1:M7"/>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1" customWidth="1" min="2" max="2"/>
    <col width="11" customWidth="1" min="3" max="3"/>
    <col width="18" customWidth="1" min="4" max="4"/>
    <col width="30" customWidth="1" min="5" max="5"/>
    <col width="7" customWidth="1" min="6" max="6"/>
    <col width="9" customWidth="1" min="7" max="7"/>
    <col width="9" customWidth="1" min="8" max="8"/>
    <col width="9" customWidth="1" min="9" max="9"/>
    <col width="9" customWidth="1" min="10" max="10"/>
    <col width="44" customWidth="1" min="11" max="11"/>
    <col width="40" customWidth="1" min="12" max="12"/>
    <col width="13" customWidth="1" min="13" max="13"/>
  </cols>
  <sheetData>
    <row r="1" ht="34" customHeight="1">
      <c r="A1" s="1" t="inlineStr">
        <is>
          <t>Critical roles at risk — where cover is needed first</t>
        </is>
      </c>
      <c r="M1" s="242" t="inlineStr">
        <is>
          <t>◂ Contents</t>
        </is>
      </c>
    </row>
    <row r="2" ht="32" customHeight="1">
      <c r="A2" s="3" t="inlineStr">
        <is>
          <t>Sheet 15a · 2 people whose role is critical, or whose work only they do, with no successor named · 0 high risk. From the survey's 'critical role' and 'only you do this' answers and the successor field; possible cover = people in the same sub-family at or near this level · same product first. Name a successor, document the work and cross-train.</t>
        </is>
      </c>
    </row>
    <row r="3">
      <c r="A3" s="4" t="inlineStr">
        <is>
          <t>IRIS · Job Architecture &amp; Job Design · Final v1.12 · October 2026 · Internal — Confidential</t>
        </is>
      </c>
    </row>
    <row r="4"/>
    <row r="5" ht="28" customHeight="1">
      <c r="A5" s="12" t="inlineStr">
        <is>
          <t>Person</t>
        </is>
      </c>
      <c r="B5" s="12" t="inlineStr">
        <is>
          <t>Emp ID</t>
        </is>
      </c>
      <c r="C5" s="12" t="inlineStr">
        <is>
          <t>Business</t>
        </is>
      </c>
      <c r="D5" s="12" t="inlineStr">
        <is>
          <t>Department</t>
        </is>
      </c>
      <c r="E5" s="12" t="inlineStr">
        <is>
          <t>Role</t>
        </is>
      </c>
      <c r="F5" s="12" t="inlineStr">
        <is>
          <t>Level</t>
        </is>
      </c>
      <c r="G5" s="12" t="inlineStr">
        <is>
          <t>Critical role</t>
        </is>
      </c>
      <c r="H5" s="12" t="inlineStr">
        <is>
          <t>Only this person</t>
        </is>
      </c>
      <c r="I5" s="12" t="inlineStr">
        <is>
          <t>Successor named</t>
        </is>
      </c>
      <c r="J5" s="12" t="inlineStr">
        <is>
          <t>Risk</t>
        </is>
      </c>
      <c r="K5" s="12" t="inlineStr">
        <is>
          <t>Possible cover · same sub-family</t>
        </is>
      </c>
      <c r="L5" s="12" t="inlineStr">
        <is>
          <t>Action</t>
        </is>
      </c>
    </row>
    <row r="6" ht="28" customHeight="1">
      <c r="A6" s="13" t="inlineStr">
        <is>
          <t>Barsha Gloria Gomes</t>
        </is>
      </c>
      <c r="B6" s="16" t="inlineStr">
        <is>
          <t>IRIS2200</t>
        </is>
      </c>
      <c r="C6" s="16" t="inlineStr">
        <is>
          <t>Corporate</t>
        </is>
      </c>
      <c r="D6" s="16" t="inlineStr">
        <is>
          <t>Marketing</t>
        </is>
      </c>
      <c r="E6" s="16" t="inlineStr">
        <is>
          <t>Senior Content Marketing Specialist</t>
        </is>
      </c>
      <c r="F6" s="15" t="inlineStr">
        <is>
          <t>B2</t>
        </is>
      </c>
      <c r="G6" s="15" t="inlineStr">
        <is>
          <t>Yes</t>
        </is>
      </c>
      <c r="H6" s="15" t="inlineStr">
        <is>
          <t>—</t>
        </is>
      </c>
      <c r="I6" s="15" t="inlineStr">
        <is>
          <t>No</t>
        </is>
      </c>
      <c r="J6" s="176" t="inlineStr">
        <is>
          <t>Medium</t>
        </is>
      </c>
      <c r="K6" s="16" t="inlineStr">
        <is>
          <t>No one in the same sub-family at or near this level — external hire or develop</t>
        </is>
      </c>
      <c r="L6" s="16" t="inlineStr">
        <is>
          <t>Name a successor; document the key process; cross-train one person</t>
        </is>
      </c>
    </row>
    <row r="7" ht="28" customHeight="1">
      <c r="A7" s="13" t="inlineStr">
        <is>
          <t>Abhishek Sharma</t>
        </is>
      </c>
      <c r="B7" s="16" t="inlineStr">
        <is>
          <t>IRIS2307</t>
        </is>
      </c>
      <c r="C7" s="16" t="inlineStr">
        <is>
          <t>Corporate</t>
        </is>
      </c>
      <c r="D7" s="16" t="inlineStr">
        <is>
          <t>Marketing</t>
        </is>
      </c>
      <c r="E7" s="16" t="inlineStr">
        <is>
          <t>Senior Designer</t>
        </is>
      </c>
      <c r="F7" s="15" t="inlineStr">
        <is>
          <t>A3</t>
        </is>
      </c>
      <c r="G7" s="15" t="inlineStr">
        <is>
          <t>Yes</t>
        </is>
      </c>
      <c r="H7" s="15" t="inlineStr">
        <is>
          <t>—</t>
        </is>
      </c>
      <c r="I7" s="15" t="inlineStr">
        <is>
          <t>No</t>
        </is>
      </c>
      <c r="J7" s="176" t="inlineStr">
        <is>
          <t>Medium</t>
        </is>
      </c>
      <c r="K7" s="16" t="inlineStr">
        <is>
          <t>No one in the same sub-family at or near this level — external hire or develop</t>
        </is>
      </c>
      <c r="L7" s="16" t="inlineStr">
        <is>
          <t>Name a successor; document the key process; cross-train one person</t>
        </is>
      </c>
    </row>
  </sheetData>
  <mergeCells count="3">
    <mergeCell ref="A3:L3"/>
    <mergeCell ref="A2:L2"/>
    <mergeCell ref="A1:L1"/>
  </mergeCells>
  <hyperlinks>
    <hyperlink xmlns:r="http://schemas.openxmlformats.org/officeDocument/2006/relationships" ref="M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3.xml><?xml version="1.0" encoding="utf-8"?>
<worksheet xmlns="http://schemas.openxmlformats.org/spreadsheetml/2006/main">
  <sheetPr>
    <tabColor rgb="00548235"/>
    <outlinePr summaryBelow="1" summaryRight="1"/>
    <pageSetUpPr fitToPage="1"/>
  </sheetPr>
  <dimension ref="A1:G13"/>
  <sheetViews>
    <sheetView showGridLines="0" workbookViewId="0">
      <pane ySplit="4" topLeftCell="A5" activePane="bottomLeft" state="frozen"/>
      <selection pane="bottomLeft" activeCell="A1" sqref="A1"/>
    </sheetView>
  </sheetViews>
  <sheetFormatPr baseColWidth="8" defaultRowHeight="15"/>
  <cols>
    <col width="26" customWidth="1" min="1" max="1"/>
    <col width="30" customWidth="1" min="2" max="2"/>
    <col width="9" customWidth="1" min="3" max="3"/>
    <col width="14" customWidth="1" min="4" max="4"/>
    <col width="8" customWidth="1" min="5" max="5"/>
    <col width="60" customWidth="1" min="6" max="6"/>
    <col width="13" customWidth="1" min="7" max="7"/>
  </cols>
  <sheetData>
    <row r="1" ht="34" customHeight="1">
      <c r="A1" s="1" t="inlineStr">
        <is>
          <t>Role definitions — the same work in more than one place</t>
        </is>
      </c>
      <c r="G1" s="242" t="inlineStr">
        <is>
          <t>◂ Contents</t>
        </is>
      </c>
    </row>
    <row r="2" ht="32" customHeight="1">
      <c r="A2" s="3" t="inlineStr">
        <is>
          <t>Sheet 16 · 35 department-level roles map to 31 role definitions · family · sub-family · level · track. First: definitions that carry more than one title · harmonise. Then: definitions held in several departments or businesses · document once in the catalogue.</t>
        </is>
      </c>
    </row>
    <row r="3">
      <c r="A3" s="4" t="inlineStr">
        <is>
          <t>IRIS · Job Architecture &amp; Job Design · Final v1.12 · October 2026 · Internal — Confidential</t>
        </is>
      </c>
    </row>
    <row r="4"/>
    <row r="5" ht="20" customHeight="1">
      <c r="A5" s="6" t="inlineStr">
        <is>
          <t>Definitions with more than one title — 2</t>
        </is>
      </c>
    </row>
    <row r="6" ht="15" customHeight="1">
      <c r="A6" s="12" t="inlineStr">
        <is>
          <t>Job family</t>
        </is>
      </c>
      <c r="B6" s="12" t="inlineStr">
        <is>
          <t>Sub-family</t>
        </is>
      </c>
      <c r="C6" s="12" t="inlineStr">
        <is>
          <t>Level</t>
        </is>
      </c>
      <c r="D6" s="12" t="inlineStr">
        <is>
          <t>Track</t>
        </is>
      </c>
      <c r="E6" s="12" t="inlineStr">
        <is>
          <t>People</t>
        </is>
      </c>
      <c r="F6" s="12" t="inlineStr">
        <is>
          <t>Titles in use</t>
        </is>
      </c>
    </row>
    <row r="7" ht="28" customHeight="1">
      <c r="A7" s="13" t="inlineStr">
        <is>
          <t>Finance &amp; Accounts</t>
        </is>
      </c>
      <c r="B7" s="16" t="inlineStr">
        <is>
          <t>Finance Leadership</t>
        </is>
      </c>
      <c r="C7" s="15" t="inlineStr">
        <is>
          <t>C1</t>
        </is>
      </c>
      <c r="D7" s="16" t="inlineStr">
        <is>
          <t>People Manager</t>
        </is>
      </c>
      <c r="E7" s="15" t="n">
        <v>2</v>
      </c>
      <c r="F7" s="16" t="inlineStr">
        <is>
          <t>Associate Head – Admin &amp; Internal Audit | Associate Head – Finance &amp; Accounts</t>
        </is>
      </c>
    </row>
    <row r="8" ht="28" customHeight="1">
      <c r="A8" s="13" t="inlineStr">
        <is>
          <t>IT &amp; Infrastructure</t>
        </is>
      </c>
      <c r="B8" s="16" t="inlineStr">
        <is>
          <t>Infrastructure &amp; Cloud Operations</t>
        </is>
      </c>
      <c r="C8" s="15" t="inlineStr">
        <is>
          <t>A3</t>
        </is>
      </c>
      <c r="D8" s="16" t="inlineStr">
        <is>
          <t>IC</t>
        </is>
      </c>
      <c r="E8" s="15" t="n">
        <v>8</v>
      </c>
      <c r="F8" s="16" t="inlineStr">
        <is>
          <t>Infrastructure Specialist | Senior System Administrator</t>
        </is>
      </c>
    </row>
    <row r="9" ht="15" customHeight="1"/>
    <row r="10" ht="20" customHeight="1">
      <c r="A10" s="6" t="inlineStr">
        <is>
          <t>Definitions held in more than one department or business — 2</t>
        </is>
      </c>
    </row>
    <row r="11" ht="15" customHeight="1">
      <c r="A11" s="12" t="inlineStr">
        <is>
          <t>Job family</t>
        </is>
      </c>
      <c r="B11" s="12" t="inlineStr">
        <is>
          <t>Sub-family</t>
        </is>
      </c>
      <c r="C11" s="12" t="inlineStr">
        <is>
          <t>Level</t>
        </is>
      </c>
      <c r="D11" s="12" t="inlineStr">
        <is>
          <t>Track</t>
        </is>
      </c>
      <c r="E11" s="12" t="inlineStr">
        <is>
          <t>Roles</t>
        </is>
      </c>
      <c r="F11" s="12" t="inlineStr">
        <is>
          <t>Where · business · department · title · people</t>
        </is>
      </c>
    </row>
    <row r="12" ht="41" customHeight="1">
      <c r="A12" s="13" t="inlineStr">
        <is>
          <t>Finance &amp; Accounts</t>
        </is>
      </c>
      <c r="B12" s="16" t="inlineStr">
        <is>
          <t>Finance Leadership</t>
        </is>
      </c>
      <c r="C12" s="15" t="inlineStr">
        <is>
          <t>C1</t>
        </is>
      </c>
      <c r="D12" s="16" t="inlineStr">
        <is>
          <t>People Manager</t>
        </is>
      </c>
      <c r="E12" s="15" t="n">
        <v>2</v>
      </c>
      <c r="F12" s="16" t="inlineStr">
        <is>
          <t>Corporate · Finance · Associate Head – Admin &amp; Internal Audit · 1 | Corporate · Finance · Associate Head – Finance &amp; Accounts · 1</t>
        </is>
      </c>
    </row>
    <row r="13" ht="41" customHeight="1">
      <c r="A13" s="13" t="inlineStr">
        <is>
          <t>IT &amp; Infrastructure</t>
        </is>
      </c>
      <c r="B13" s="16" t="inlineStr">
        <is>
          <t>Infrastructure &amp; Cloud Operations</t>
        </is>
      </c>
      <c r="C13" s="15" t="inlineStr">
        <is>
          <t>A3</t>
        </is>
      </c>
      <c r="D13" s="16" t="inlineStr">
        <is>
          <t>IC</t>
        </is>
      </c>
      <c r="E13" s="15" t="n">
        <v>2</v>
      </c>
      <c r="F13" s="16" t="inlineStr">
        <is>
          <t>Corporate · IT &amp; Infrastructure · Infrastructure Specialist · 1 | Corporate · IT &amp; Infrastructure · Senior System Administrator · 7</t>
        </is>
      </c>
    </row>
  </sheetData>
  <mergeCells count="5">
    <mergeCell ref="A2:F2"/>
    <mergeCell ref="A10:F10"/>
    <mergeCell ref="A1:F1"/>
    <mergeCell ref="A5:F5"/>
    <mergeCell ref="A3:F3"/>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2">
    <tablePart xmlns:r="http://schemas.openxmlformats.org/officeDocument/2006/relationships" r:id="rId2"/>
    <tablePart xmlns:r="http://schemas.openxmlformats.org/officeDocument/2006/relationships" r:id="rId3"/>
  </tableParts>
</worksheet>
</file>

<file path=xl/worksheets/sheet24.xml><?xml version="1.0" encoding="utf-8"?>
<worksheet xmlns="http://schemas.openxmlformats.org/spreadsheetml/2006/main">
  <sheetPr>
    <tabColor rgb="00C00000"/>
    <outlinePr summaryBelow="1" summaryRight="1"/>
    <pageSetUpPr fitToPage="1"/>
  </sheetPr>
  <dimension ref="A1:H30"/>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12" customWidth="1" min="3" max="3"/>
    <col width="22" customWidth="1" min="4" max="4"/>
    <col width="9" customWidth="1" min="5" max="5"/>
    <col width="60" customWidth="1" min="6" max="6"/>
    <col width="26" customWidth="1" min="7" max="7"/>
    <col width="13" customWidth="1" min="8" max="8"/>
  </cols>
  <sheetData>
    <row r="1" ht="34" customHeight="1">
      <c r="A1" s="1" t="inlineStr">
        <is>
          <t>Data gaps — what is missing, and who supplies it</t>
        </is>
      </c>
      <c r="H1" s="242" t="inlineStr">
        <is>
          <t>◂ Contents</t>
        </is>
      </c>
    </row>
    <row r="2" ht="30" customHeight="1">
      <c r="A2" s="3" t="inlineStr">
        <is>
          <t>Sheet 17 · 19 employees with at least one missing input. The same list, with owner and status columns, is in the HR Super Master's calibration tracker.</t>
        </is>
      </c>
    </row>
    <row r="3">
      <c r="A3" s="4" t="inlineStr">
        <is>
          <t>IRIS · Job Architecture &amp; Job Design · Final v1.12 · October 2026 · Internal — Confidential</t>
        </is>
      </c>
    </row>
    <row r="4"/>
    <row r="5" ht="15" customHeight="1">
      <c r="A5" s="12" t="inlineStr">
        <is>
          <t>Emp ID</t>
        </is>
      </c>
      <c r="B5" s="12" t="inlineStr">
        <is>
          <t>Person</t>
        </is>
      </c>
      <c r="C5" s="12" t="inlineStr">
        <is>
          <t>Business</t>
        </is>
      </c>
      <c r="D5" s="12" t="inlineStr">
        <is>
          <t>Department</t>
        </is>
      </c>
      <c r="E5" s="12" t="inlineStr">
        <is>
          <t>Level</t>
        </is>
      </c>
      <c r="F5" s="12" t="inlineStr">
        <is>
          <t>What is missing</t>
        </is>
      </c>
      <c r="G5" s="12" t="inlineStr">
        <is>
          <t>Who supplies it</t>
        </is>
      </c>
    </row>
    <row r="6" ht="28" customHeight="1">
      <c r="A6" s="15" t="inlineStr">
        <is>
          <t>IRIS0020</t>
        </is>
      </c>
      <c r="B6" s="16" t="inlineStr">
        <is>
          <t>Mangesh Kosty</t>
        </is>
      </c>
      <c r="C6" s="16" t="inlineStr">
        <is>
          <t>Corporate</t>
        </is>
      </c>
      <c r="D6" s="16" t="inlineStr">
        <is>
          <t>Administration</t>
        </is>
      </c>
      <c r="E6" s="15" t="inlineStr">
        <is>
          <t>A3</t>
        </is>
      </c>
      <c r="F6" s="16" t="inlineStr">
        <is>
          <t>Survey response or KRAs describing the work · nothing on file</t>
        </is>
      </c>
      <c r="G6" s="16" t="inlineStr">
        <is>
          <t>Employee + manager</t>
        </is>
      </c>
    </row>
    <row r="7" ht="15" customHeight="1">
      <c r="A7" s="15" t="inlineStr">
        <is>
          <t>IRIS0020</t>
        </is>
      </c>
      <c r="B7" s="16" t="inlineStr">
        <is>
          <t>Mangesh Kosty</t>
        </is>
      </c>
      <c r="C7" s="16" t="inlineStr">
        <is>
          <t>Corporate</t>
        </is>
      </c>
      <c r="D7" s="16" t="inlineStr">
        <is>
          <t>Administration</t>
        </is>
      </c>
      <c r="E7" s="15" t="inlineStr">
        <is>
          <t>A3</t>
        </is>
      </c>
      <c r="F7" s="16" t="inlineStr">
        <is>
          <t>Correct the experience record</t>
        </is>
      </c>
      <c r="G7" s="16" t="inlineStr">
        <is>
          <t>HR</t>
        </is>
      </c>
    </row>
    <row r="8" ht="28" customHeight="1">
      <c r="A8" s="15" t="inlineStr">
        <is>
          <t>IRIS0021</t>
        </is>
      </c>
      <c r="B8" s="16" t="inlineStr">
        <is>
          <t>Rajesh Khurambe</t>
        </is>
      </c>
      <c r="C8" s="16" t="inlineStr">
        <is>
          <t>Corporate</t>
        </is>
      </c>
      <c r="D8" s="16" t="inlineStr">
        <is>
          <t>Administration</t>
        </is>
      </c>
      <c r="E8" s="15" t="inlineStr">
        <is>
          <t>A3</t>
        </is>
      </c>
      <c r="F8" s="16" t="inlineStr">
        <is>
          <t>Survey response or KRAs describing the work · nothing on file</t>
        </is>
      </c>
      <c r="G8" s="16" t="inlineStr">
        <is>
          <t>Employee + manager</t>
        </is>
      </c>
    </row>
    <row r="9" ht="15" customHeight="1">
      <c r="A9" s="15" t="inlineStr">
        <is>
          <t>IRIS0021</t>
        </is>
      </c>
      <c r="B9" s="16" t="inlineStr">
        <is>
          <t>Rajesh Khurambe</t>
        </is>
      </c>
      <c r="C9" s="16" t="inlineStr">
        <is>
          <t>Corporate</t>
        </is>
      </c>
      <c r="D9" s="16" t="inlineStr">
        <is>
          <t>Administration</t>
        </is>
      </c>
      <c r="E9" s="15" t="inlineStr">
        <is>
          <t>A3</t>
        </is>
      </c>
      <c r="F9" s="16" t="inlineStr">
        <is>
          <t>Correct the experience record</t>
        </is>
      </c>
      <c r="G9" s="16" t="inlineStr">
        <is>
          <t>HR</t>
        </is>
      </c>
    </row>
    <row r="10" ht="28" customHeight="1">
      <c r="A10" s="15" t="inlineStr">
        <is>
          <t>IRIS1008</t>
        </is>
      </c>
      <c r="B10" s="16" t="inlineStr">
        <is>
          <t>Sunil Pawar</t>
        </is>
      </c>
      <c r="C10" s="16" t="inlineStr">
        <is>
          <t>Corporate</t>
        </is>
      </c>
      <c r="D10" s="16" t="inlineStr">
        <is>
          <t>Administration</t>
        </is>
      </c>
      <c r="E10" s="15" t="inlineStr">
        <is>
          <t>A3</t>
        </is>
      </c>
      <c r="F10" s="16" t="inlineStr">
        <is>
          <t>Survey response or KRAs describing the work · nothing on file</t>
        </is>
      </c>
      <c r="G10" s="16" t="inlineStr">
        <is>
          <t>Employee + manager</t>
        </is>
      </c>
    </row>
    <row r="11" ht="15" customHeight="1">
      <c r="A11" s="15" t="inlineStr">
        <is>
          <t>IRIS1008</t>
        </is>
      </c>
      <c r="B11" s="16" t="inlineStr">
        <is>
          <t>Sunil Pawar</t>
        </is>
      </c>
      <c r="C11" s="16" t="inlineStr">
        <is>
          <t>Corporate</t>
        </is>
      </c>
      <c r="D11" s="16" t="inlineStr">
        <is>
          <t>Administration</t>
        </is>
      </c>
      <c r="E11" s="15" t="inlineStr">
        <is>
          <t>A3</t>
        </is>
      </c>
      <c r="F11" s="16" t="inlineStr">
        <is>
          <t>Correct the experience record</t>
        </is>
      </c>
      <c r="G11" s="16" t="inlineStr">
        <is>
          <t>HR</t>
        </is>
      </c>
    </row>
    <row r="12" ht="28" customHeight="1">
      <c r="A12" s="15" t="inlineStr">
        <is>
          <t>IRIS0919</t>
        </is>
      </c>
      <c r="B12" s="16" t="inlineStr">
        <is>
          <t>Vineet Kandoi</t>
        </is>
      </c>
      <c r="C12" s="16" t="inlineStr">
        <is>
          <t>Corporate</t>
        </is>
      </c>
      <c r="D12" s="16" t="inlineStr">
        <is>
          <t>Finance</t>
        </is>
      </c>
      <c r="E12" s="15" t="inlineStr">
        <is>
          <t>E1</t>
        </is>
      </c>
      <c r="F12" s="16" t="inlineStr">
        <is>
          <t>Survey response or KRAs describing the work · nothing on file</t>
        </is>
      </c>
      <c r="G12" s="16" t="inlineStr">
        <is>
          <t>Employee + manager</t>
        </is>
      </c>
    </row>
    <row r="13" ht="28" customHeight="1">
      <c r="A13" s="15" t="inlineStr">
        <is>
          <t>IRIS0006</t>
        </is>
      </c>
      <c r="B13" s="16" t="inlineStr">
        <is>
          <t>Sudhakar Sawant</t>
        </is>
      </c>
      <c r="C13" s="16" t="inlineStr">
        <is>
          <t>Corporate</t>
        </is>
      </c>
      <c r="D13" s="16" t="inlineStr">
        <is>
          <t>Finance</t>
        </is>
      </c>
      <c r="E13" s="15" t="inlineStr">
        <is>
          <t>C1</t>
        </is>
      </c>
      <c r="F13" s="16" t="inlineStr">
        <is>
          <t>Survey response or KRAs describing the work · nothing on file</t>
        </is>
      </c>
      <c r="G13" s="16" t="inlineStr">
        <is>
          <t>Employee + manager</t>
        </is>
      </c>
    </row>
    <row r="14" ht="15" customHeight="1">
      <c r="A14" s="15" t="inlineStr">
        <is>
          <t>IRIS0006</t>
        </is>
      </c>
      <c r="B14" s="16" t="inlineStr">
        <is>
          <t>Sudhakar Sawant</t>
        </is>
      </c>
      <c r="C14" s="16" t="inlineStr">
        <is>
          <t>Corporate</t>
        </is>
      </c>
      <c r="D14" s="16" t="inlineStr">
        <is>
          <t>Finance</t>
        </is>
      </c>
      <c r="E14" s="15" t="inlineStr">
        <is>
          <t>C1</t>
        </is>
      </c>
      <c r="F14" s="16" t="inlineStr">
        <is>
          <t>Confirm structure behind the senior title · org chart</t>
        </is>
      </c>
      <c r="G14" s="16" t="inlineStr">
        <is>
          <t>Business head</t>
        </is>
      </c>
    </row>
    <row r="15" ht="28" customHeight="1">
      <c r="A15" s="15" t="inlineStr">
        <is>
          <t>IRIS1918</t>
        </is>
      </c>
      <c r="B15" s="16" t="inlineStr">
        <is>
          <t>Nishant Gupta</t>
        </is>
      </c>
      <c r="C15" s="16" t="inlineStr">
        <is>
          <t>Corporate</t>
        </is>
      </c>
      <c r="D15" s="16" t="inlineStr">
        <is>
          <t>Finance</t>
        </is>
      </c>
      <c r="E15" s="15" t="inlineStr">
        <is>
          <t>C1</t>
        </is>
      </c>
      <c r="F15" s="16" t="inlineStr">
        <is>
          <t>Survey response or KRAs describing the work · nothing on file</t>
        </is>
      </c>
      <c r="G15" s="16" t="inlineStr">
        <is>
          <t>Employee + manager</t>
        </is>
      </c>
    </row>
    <row r="16" ht="15" customHeight="1">
      <c r="A16" s="15" t="inlineStr">
        <is>
          <t>IRIS2561</t>
        </is>
      </c>
      <c r="B16" s="16" t="inlineStr">
        <is>
          <t>Radhika Karnani</t>
        </is>
      </c>
      <c r="C16" s="16" t="inlineStr">
        <is>
          <t>Corporate</t>
        </is>
      </c>
      <c r="D16" s="16" t="inlineStr">
        <is>
          <t>Finance</t>
        </is>
      </c>
      <c r="E16" s="15" t="inlineStr">
        <is>
          <t>B1</t>
        </is>
      </c>
      <c r="F16" s="16" t="inlineStr">
        <is>
          <t>Total experience · outside + at IRIS</t>
        </is>
      </c>
      <c r="G16" s="16" t="inlineStr">
        <is>
          <t>HR — HRIS</t>
        </is>
      </c>
    </row>
    <row r="17" ht="15" customHeight="1">
      <c r="A17" s="15" t="inlineStr">
        <is>
          <t>IRIS2561</t>
        </is>
      </c>
      <c r="B17" s="16" t="inlineStr">
        <is>
          <t>Radhika Karnani</t>
        </is>
      </c>
      <c r="C17" s="16" t="inlineStr">
        <is>
          <t>Corporate</t>
        </is>
      </c>
      <c r="D17" s="16" t="inlineStr">
        <is>
          <t>Finance</t>
        </is>
      </c>
      <c r="E17" s="15" t="inlineStr">
        <is>
          <t>B1</t>
        </is>
      </c>
      <c r="F17" s="16" t="inlineStr">
        <is>
          <t>Confirm prior experience · provisional placement</t>
        </is>
      </c>
      <c r="G17" s="16" t="inlineStr">
        <is>
          <t>HR</t>
        </is>
      </c>
    </row>
    <row r="18" ht="28" customHeight="1">
      <c r="A18" s="15" t="inlineStr">
        <is>
          <t>IRIS2533</t>
        </is>
      </c>
      <c r="B18" s="16" t="inlineStr">
        <is>
          <t>Shweta Jha</t>
        </is>
      </c>
      <c r="C18" s="16" t="inlineStr">
        <is>
          <t>Corporate</t>
        </is>
      </c>
      <c r="D18" s="16" t="inlineStr">
        <is>
          <t>HR</t>
        </is>
      </c>
      <c r="E18" s="15" t="inlineStr">
        <is>
          <t>D2</t>
        </is>
      </c>
      <c r="F18" s="16" t="inlineStr">
        <is>
          <t>Survey response or KRAs describing the work · nothing on file</t>
        </is>
      </c>
      <c r="G18" s="16" t="inlineStr">
        <is>
          <t>Employee + manager</t>
        </is>
      </c>
    </row>
    <row r="19" ht="28" customHeight="1">
      <c r="A19" s="15" t="inlineStr">
        <is>
          <t>IRIS2556</t>
        </is>
      </c>
      <c r="B19" s="16" t="inlineStr">
        <is>
          <t>Mohammed Hanzala Shaikh</t>
        </is>
      </c>
      <c r="C19" s="16" t="inlineStr">
        <is>
          <t>Corporate</t>
        </is>
      </c>
      <c r="D19" s="16" t="inlineStr">
        <is>
          <t>HR</t>
        </is>
      </c>
      <c r="E19" s="15" t="inlineStr">
        <is>
          <t>B3</t>
        </is>
      </c>
      <c r="F19" s="16" t="inlineStr">
        <is>
          <t>Survey response or KRAs describing the work · nothing on file</t>
        </is>
      </c>
      <c r="G19" s="16" t="inlineStr">
        <is>
          <t>Employee + manager</t>
        </is>
      </c>
    </row>
    <row r="20" ht="15" customHeight="1">
      <c r="A20" s="15" t="inlineStr">
        <is>
          <t>IRIS2557</t>
        </is>
      </c>
      <c r="B20" s="16" t="inlineStr">
        <is>
          <t>Simran Kaur Raina</t>
        </is>
      </c>
      <c r="C20" s="16" t="inlineStr">
        <is>
          <t>Corporate</t>
        </is>
      </c>
      <c r="D20" s="16" t="inlineStr">
        <is>
          <t>HR</t>
        </is>
      </c>
      <c r="E20" s="15" t="inlineStr">
        <is>
          <t>B2</t>
        </is>
      </c>
      <c r="F20" s="16" t="inlineStr">
        <is>
          <t>Total experience · outside + at IRIS</t>
        </is>
      </c>
      <c r="G20" s="16" t="inlineStr">
        <is>
          <t>HR — HRIS</t>
        </is>
      </c>
    </row>
    <row r="21" ht="15" customHeight="1">
      <c r="A21" s="15" t="inlineStr">
        <is>
          <t>IRIS2557</t>
        </is>
      </c>
      <c r="B21" s="16" t="inlineStr">
        <is>
          <t>Simran Kaur Raina</t>
        </is>
      </c>
      <c r="C21" s="16" t="inlineStr">
        <is>
          <t>Corporate</t>
        </is>
      </c>
      <c r="D21" s="16" t="inlineStr">
        <is>
          <t>HR</t>
        </is>
      </c>
      <c r="E21" s="15" t="inlineStr">
        <is>
          <t>B2</t>
        </is>
      </c>
      <c r="F21" s="16" t="inlineStr">
        <is>
          <t>Confirm prior experience · provisional placement</t>
        </is>
      </c>
      <c r="G21" s="16" t="inlineStr">
        <is>
          <t>HR</t>
        </is>
      </c>
    </row>
    <row r="22" ht="15" customHeight="1">
      <c r="A22" s="15" t="inlineStr">
        <is>
          <t>IRIS2103</t>
        </is>
      </c>
      <c r="B22" s="16" t="inlineStr">
        <is>
          <t>Mahesh Tilave</t>
        </is>
      </c>
      <c r="C22" s="16" t="inlineStr">
        <is>
          <t>Corporate</t>
        </is>
      </c>
      <c r="D22" s="16" t="inlineStr">
        <is>
          <t>IT &amp; Infrastructure</t>
        </is>
      </c>
      <c r="E22" s="15" t="inlineStr">
        <is>
          <t>B2</t>
        </is>
      </c>
      <c r="F22" s="16" t="inlineStr">
        <is>
          <t>Confirm the reporting line</t>
        </is>
      </c>
      <c r="G22" s="16" t="inlineStr">
        <is>
          <t>Manager</t>
        </is>
      </c>
    </row>
    <row r="23" ht="15" customHeight="1">
      <c r="A23" s="15" t="inlineStr">
        <is>
          <t>IRIS1581</t>
        </is>
      </c>
      <c r="B23" s="16" t="inlineStr">
        <is>
          <t>Vishal Vare</t>
        </is>
      </c>
      <c r="C23" s="16" t="inlineStr">
        <is>
          <t>Corporate</t>
        </is>
      </c>
      <c r="D23" s="16" t="inlineStr">
        <is>
          <t>IT &amp; Infrastructure</t>
        </is>
      </c>
      <c r="E23" s="15" t="inlineStr">
        <is>
          <t>A3</t>
        </is>
      </c>
      <c r="F23" s="16" t="inlineStr">
        <is>
          <t>Correct the experience record</t>
        </is>
      </c>
      <c r="G23" s="16" t="inlineStr">
        <is>
          <t>HR</t>
        </is>
      </c>
    </row>
    <row r="24" ht="28" customHeight="1">
      <c r="A24" s="15" t="inlineStr">
        <is>
          <t>IRIS2468</t>
        </is>
      </c>
      <c r="B24" s="16" t="inlineStr">
        <is>
          <t>Amit Gangaram Kamble</t>
        </is>
      </c>
      <c r="C24" s="16" t="inlineStr">
        <is>
          <t>Corporate</t>
        </is>
      </c>
      <c r="D24" s="16" t="inlineStr">
        <is>
          <t>IT &amp; Infrastructure</t>
        </is>
      </c>
      <c r="E24" s="15" t="inlineStr">
        <is>
          <t>A3</t>
        </is>
      </c>
      <c r="F24" s="16" t="inlineStr">
        <is>
          <t>Survey response or KRAs describing the work · nothing on file</t>
        </is>
      </c>
      <c r="G24" s="16" t="inlineStr">
        <is>
          <t>Employee + manager</t>
        </is>
      </c>
    </row>
    <row r="25" ht="28" customHeight="1">
      <c r="A25" s="15" t="inlineStr">
        <is>
          <t>IRIS2206</t>
        </is>
      </c>
      <c r="B25" s="16" t="inlineStr">
        <is>
          <t>Hemant Chordekar</t>
        </is>
      </c>
      <c r="C25" s="16" t="inlineStr">
        <is>
          <t>Corporate</t>
        </is>
      </c>
      <c r="D25" s="16" t="inlineStr">
        <is>
          <t>IT &amp; Infrastructure</t>
        </is>
      </c>
      <c r="E25" s="15" t="inlineStr">
        <is>
          <t>A3</t>
        </is>
      </c>
      <c r="F25" s="16" t="inlineStr">
        <is>
          <t>Survey response or KRAs describing the work · nothing on file</t>
        </is>
      </c>
      <c r="G25" s="16" t="inlineStr">
        <is>
          <t>Employee + manager</t>
        </is>
      </c>
    </row>
    <row r="26" ht="28" customHeight="1">
      <c r="A26" s="15" t="inlineStr">
        <is>
          <t>IRIS0001</t>
        </is>
      </c>
      <c r="B26" s="16" t="inlineStr">
        <is>
          <t>Balachandran K</t>
        </is>
      </c>
      <c r="C26" s="16" t="inlineStr">
        <is>
          <t>Corporate</t>
        </is>
      </c>
      <c r="D26" s="16" t="inlineStr">
        <is>
          <t>Management</t>
        </is>
      </c>
      <c r="E26" s="15" t="inlineStr">
        <is>
          <t>E2</t>
        </is>
      </c>
      <c r="F26" s="16" t="inlineStr">
        <is>
          <t>Survey response or KRAs describing the work · nothing on file</t>
        </is>
      </c>
      <c r="G26" s="16" t="inlineStr">
        <is>
          <t>Employee + manager</t>
        </is>
      </c>
    </row>
    <row r="27" ht="28" customHeight="1">
      <c r="A27" s="15" t="inlineStr">
        <is>
          <t>IRIS0002</t>
        </is>
      </c>
      <c r="B27" s="16" t="inlineStr">
        <is>
          <t>Deepta Rangarajan</t>
        </is>
      </c>
      <c r="C27" s="16" t="inlineStr">
        <is>
          <t>Corporate</t>
        </is>
      </c>
      <c r="D27" s="16" t="inlineStr">
        <is>
          <t>Management</t>
        </is>
      </c>
      <c r="E27" s="15" t="inlineStr">
        <is>
          <t>E1</t>
        </is>
      </c>
      <c r="F27" s="16" t="inlineStr">
        <is>
          <t>Survey response or KRAs describing the work · nothing on file</t>
        </is>
      </c>
      <c r="G27" s="16" t="inlineStr">
        <is>
          <t>Employee + manager</t>
        </is>
      </c>
    </row>
    <row r="28" ht="28" customHeight="1">
      <c r="A28" s="15" t="inlineStr">
        <is>
          <t>IRIS1914</t>
        </is>
      </c>
      <c r="B28" s="16" t="inlineStr">
        <is>
          <t>Santosh Sharma</t>
        </is>
      </c>
      <c r="C28" s="16" t="inlineStr">
        <is>
          <t>Corporate</t>
        </is>
      </c>
      <c r="D28" s="16" t="inlineStr">
        <is>
          <t>Secretarial &amp; Legal</t>
        </is>
      </c>
      <c r="E28" s="15" t="inlineStr">
        <is>
          <t>C1</t>
        </is>
      </c>
      <c r="F28" s="16" t="inlineStr">
        <is>
          <t>Survey response or KRAs describing the work · nothing on file</t>
        </is>
      </c>
      <c r="G28" s="16" t="inlineStr">
        <is>
          <t>Employee + manager</t>
        </is>
      </c>
    </row>
    <row r="29" ht="28" customHeight="1">
      <c r="A29" s="15" t="inlineStr">
        <is>
          <t>IRIS2060</t>
        </is>
      </c>
      <c r="B29" s="16" t="inlineStr">
        <is>
          <t>P K X Thomas</t>
        </is>
      </c>
      <c r="C29" s="16" t="inlineStr">
        <is>
          <t>Corporate</t>
        </is>
      </c>
      <c r="D29" s="16" t="inlineStr">
        <is>
          <t>Technology</t>
        </is>
      </c>
      <c r="E29" s="15" t="inlineStr">
        <is>
          <t>E1</t>
        </is>
      </c>
      <c r="F29" s="16" t="inlineStr">
        <is>
          <t>Survey response or KRAs describing the work · nothing on file</t>
        </is>
      </c>
      <c r="G29" s="16" t="inlineStr">
        <is>
          <t>Employee + manager</t>
        </is>
      </c>
    </row>
    <row r="30" ht="28" customHeight="1">
      <c r="A30" s="15" t="inlineStr">
        <is>
          <t>IRISC344</t>
        </is>
      </c>
      <c r="B30" s="16" t="inlineStr">
        <is>
          <t>Vikas Thakur</t>
        </is>
      </c>
      <c r="C30" s="16" t="inlineStr">
        <is>
          <t>Corporate</t>
        </is>
      </c>
      <c r="D30" s="16" t="inlineStr">
        <is>
          <t>Technology</t>
        </is>
      </c>
      <c r="E30" s="15" t="inlineStr">
        <is>
          <t>B3</t>
        </is>
      </c>
      <c r="F30" s="16" t="inlineStr">
        <is>
          <t>Survey response or KRAs describing the work · nothing on file</t>
        </is>
      </c>
      <c r="G30" s="16" t="inlineStr">
        <is>
          <t>Employee + manager</t>
        </is>
      </c>
    </row>
  </sheetData>
  <mergeCells count="3">
    <mergeCell ref="A3:G3"/>
    <mergeCell ref="A2:G2"/>
    <mergeCell ref="A1:G1"/>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5.xml><?xml version="1.0" encoding="utf-8"?>
<worksheet xmlns="http://schemas.openxmlformats.org/spreadsheetml/2006/main">
  <sheetPr>
    <tabColor rgb="002E75B6"/>
    <outlinePr summaryBelow="1" summaryRight="1"/>
    <pageSetUpPr fitToPage="1"/>
  </sheetPr>
  <dimension ref="A1:Q42"/>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Corporate: department → band → level, competencies and overlaps</t>
        </is>
      </c>
      <c r="Q1" s="242" t="inlineStr">
        <is>
          <t>◂ Contents</t>
        </is>
      </c>
    </row>
    <row r="2" ht="32" customHeight="1">
      <c r="A2" s="3" t="inlineStr">
        <is>
          <t>Sheet 18 · 49 people in 8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92" t="inlineStr">
        <is>
          <t>Department</t>
        </is>
      </c>
      <c r="B6" s="92" t="inlineStr">
        <is>
          <t>Band</t>
        </is>
      </c>
      <c r="C6" s="92" t="inlineStr">
        <is>
          <t>Level</t>
        </is>
      </c>
      <c r="D6" s="92" t="inlineStr">
        <is>
          <t>Level title</t>
        </is>
      </c>
      <c r="E6" s="92" t="inlineStr">
        <is>
          <t>Job family</t>
        </is>
      </c>
      <c r="F6" s="92" t="inlineStr">
        <is>
          <t>Sub-family</t>
        </is>
      </c>
      <c r="G6" s="92" t="inlineStr">
        <is>
          <t>Designation</t>
        </is>
      </c>
      <c r="H6" s="92" t="inlineStr">
        <is>
          <t>Track</t>
        </is>
      </c>
      <c r="I6" s="92" t="inlineStr">
        <is>
          <t>Holders</t>
        </is>
      </c>
      <c r="J6" s="92" t="inlineStr">
        <is>
          <t>Ladder in this sub-family here · level: designation</t>
        </is>
      </c>
      <c r="K6" s="92" t="inlineStr">
        <is>
          <t>★ Must-have competencies</t>
        </is>
      </c>
      <c r="L6" s="92" t="inlineStr">
        <is>
          <t>Other functional competencies</t>
        </is>
      </c>
      <c r="M6" s="92" t="inlineStr">
        <is>
          <t>Proficiency needed</t>
        </is>
      </c>
      <c r="N6" s="92" t="inlineStr">
        <is>
          <t>Credentials</t>
        </is>
      </c>
      <c r="O6" s="92" t="inlineStr">
        <is>
          <t>Overlap within Corporate · same work in other departments</t>
        </is>
      </c>
      <c r="P6" s="92" t="inlineStr">
        <is>
          <t>Overlap across IRIS · same work in other products</t>
        </is>
      </c>
    </row>
    <row r="7" ht="68" customHeight="1">
      <c r="A7" s="16" t="inlineStr">
        <is>
          <t>Administration</t>
        </is>
      </c>
      <c r="B7" s="139" t="inlineStr">
        <is>
          <t>A · Practitioner</t>
        </is>
      </c>
      <c r="C7" s="139" t="inlineStr">
        <is>
          <t>A3</t>
        </is>
      </c>
      <c r="D7" s="16" t="inlineStr">
        <is>
          <t>Senior Associate</t>
        </is>
      </c>
      <c r="E7" s="16" t="inlineStr">
        <is>
          <t>Administration, Legal &amp; Secretarial</t>
        </is>
      </c>
      <c r="F7" s="16" t="inlineStr">
        <is>
          <t>Administration &amp; Facilities</t>
        </is>
      </c>
      <c r="G7" s="16" t="inlineStr">
        <is>
          <t>Senior Administration Executive</t>
        </is>
      </c>
      <c r="H7" s="16" t="inlineStr">
        <is>
          <t>IC</t>
        </is>
      </c>
      <c r="I7" s="16" t="n">
        <v>4</v>
      </c>
      <c r="J7" s="16" t="inlineStr">
        <is>
          <r>
            <rPr>
              <rFont val="Calibri"/>
              <b val="1"/>
              <sz val="10"/>
            </rPr>
            <t>A3:</t>
          </r>
          <r>
            <rPr>
              <rFont val="Calibri"/>
              <sz val="10"/>
            </rPr>
            <t xml:space="preserve"> Senior Administration Executive → B2: Manager – Administration → X1: Associate Consultant – Administration &amp; Facilities</t>
          </r>
        </is>
      </c>
      <c r="K7" s="16" t="inlineStr">
        <is>
          <t>Regulatory &amp; BFSI Domain · Stakeholder &amp; Client Management</t>
        </is>
      </c>
      <c r="L7" s="16" t="inlineStr">
        <is>
          <t>Process Improvement &amp; Quality Mindset · Advanced Excel &amp; Productivity Tools · Communication &amp; Presentation · Time, Priority &amp; Self-Management</t>
        </is>
      </c>
      <c r="M7" s="16" t="inlineStr">
        <is>
          <t>Core 2 · Future-ready 2 · Functional 3 · Leadership —</t>
        </is>
      </c>
      <c r="N7" s="16" t="inlineStr">
        <is>
          <t>Domain certifications · optional</t>
        </is>
      </c>
      <c r="O7" s="16" t="inlineStr">
        <is>
          <t>None — only this department</t>
        </is>
      </c>
      <c r="P7" s="16" t="inlineStr">
        <is>
          <t>None — only Corporate</t>
        </is>
      </c>
    </row>
    <row r="8" ht="68" customHeight="1">
      <c r="A8" s="16" t="inlineStr">
        <is>
          <t>Administration</t>
        </is>
      </c>
      <c r="B8" s="21" t="inlineStr">
        <is>
          <t>B · Specialist / Manager</t>
        </is>
      </c>
      <c r="C8" s="21" t="inlineStr">
        <is>
          <t>B2</t>
        </is>
      </c>
      <c r="D8" s="16" t="inlineStr">
        <is>
          <t>Manager</t>
        </is>
      </c>
      <c r="E8" s="16" t="inlineStr">
        <is>
          <t>Administration, Legal &amp; Secretarial</t>
        </is>
      </c>
      <c r="F8" s="16" t="inlineStr">
        <is>
          <t>Administration &amp; Facilities</t>
        </is>
      </c>
      <c r="G8" s="16" t="inlineStr">
        <is>
          <t>Manager – Administration</t>
        </is>
      </c>
      <c r="H8" s="16" t="inlineStr">
        <is>
          <t>People Manager</t>
        </is>
      </c>
      <c r="I8" s="16" t="n">
        <v>1</v>
      </c>
      <c r="J8" s="16" t="inlineStr">
        <is>
          <r>
            <rPr>
              <rFont val="Calibri"/>
              <b val="1"/>
              <sz val="10"/>
            </rPr>
            <t>A3:</t>
          </r>
          <r>
            <rPr>
              <rFont val="Calibri"/>
              <sz val="10"/>
            </rPr>
            <t xml:space="preserve"> Senior Administration Executive → B2: Manager – Administration → X1: Associate Consultant – Administration &amp; Facilities</t>
          </r>
        </is>
      </c>
      <c r="K8" s="16" t="inlineStr">
        <is>
          <t>Regulatory &amp; BFSI Domain · Stakeholder &amp; Client Management</t>
        </is>
      </c>
      <c r="L8" s="16" t="inlineStr">
        <is>
          <t>Process Improvement &amp; Quality Mindset · Advanced Excel &amp; Productivity Tools · Communication &amp; Presentation · Time, Priority &amp; Self-Management</t>
        </is>
      </c>
      <c r="M8" s="16" t="inlineStr">
        <is>
          <t>Core 3 · Future-ready 3 · Functional 4 · Leadership 3</t>
        </is>
      </c>
      <c r="N8" s="16" t="inlineStr">
        <is>
          <t>Domain certifications · optional</t>
        </is>
      </c>
      <c r="O8" s="16" t="inlineStr">
        <is>
          <t>None — only this department</t>
        </is>
      </c>
      <c r="P8" s="16" t="inlineStr">
        <is>
          <t>None — only Corporate</t>
        </is>
      </c>
    </row>
    <row r="9" ht="68" customHeight="1">
      <c r="A9" s="16" t="inlineStr">
        <is>
          <t>Administration</t>
        </is>
      </c>
      <c r="B9" s="136" t="inlineStr">
        <is>
          <t>X · Consultant</t>
        </is>
      </c>
      <c r="C9" s="136" t="inlineStr">
        <is>
          <t>X1</t>
        </is>
      </c>
      <c r="D9" s="16" t="inlineStr">
        <is>
          <t>Associate Consultant</t>
        </is>
      </c>
      <c r="E9" s="16" t="inlineStr">
        <is>
          <t>Administration, Legal &amp; Secretarial</t>
        </is>
      </c>
      <c r="F9" s="16" t="inlineStr">
        <is>
          <t>Administration &amp; Facilities</t>
        </is>
      </c>
      <c r="G9" s="16" t="inlineStr">
        <is>
          <t>Associate Consultant – Administration &amp; Facilities</t>
        </is>
      </c>
      <c r="H9" s="16" t="inlineStr">
        <is>
          <t>Consultant</t>
        </is>
      </c>
      <c r="I9" s="16" t="n">
        <v>1</v>
      </c>
      <c r="J9" s="16" t="inlineStr">
        <is>
          <r>
            <rPr>
              <rFont val="Calibri"/>
              <b val="1"/>
              <sz val="10"/>
            </rPr>
            <t>A3:</t>
          </r>
          <r>
            <rPr>
              <rFont val="Calibri"/>
              <sz val="10"/>
            </rPr>
            <t xml:space="preserve"> Senior Administration Executive → B2: Manager – Administration → X1: Associate Consultant – Administration &amp; Facilities</t>
          </r>
        </is>
      </c>
      <c r="K9" s="16" t="inlineStr">
        <is>
          <t>Regulatory &amp; BFSI Domain · Stakeholder &amp; Client Management</t>
        </is>
      </c>
      <c r="L9" s="16" t="inlineStr">
        <is>
          <t>Process Improvement &amp; Quality Mindset · Advanced Excel &amp; Productivity Tools · Communication &amp; Presentation · Time, Priority &amp; Self-Management</t>
        </is>
      </c>
      <c r="M9" s="16" t="inlineStr">
        <is>
          <t>Per statement of work</t>
        </is>
      </c>
      <c r="N9" s="16" t="inlineStr">
        <is>
          <t>Domain certifications · optional</t>
        </is>
      </c>
      <c r="O9" s="16" t="inlineStr">
        <is>
          <t>None — only this department</t>
        </is>
      </c>
      <c r="P9" s="16" t="inlineStr">
        <is>
          <t>None — only Corporate</t>
        </is>
      </c>
    </row>
    <row r="10" ht="55" customHeight="1">
      <c r="A10" s="16" t="inlineStr">
        <is>
          <t>Finance</t>
        </is>
      </c>
      <c r="B10" s="139" t="inlineStr">
        <is>
          <t>A · Practitioner</t>
        </is>
      </c>
      <c r="C10" s="139" t="inlineStr">
        <is>
          <t>A3</t>
        </is>
      </c>
      <c r="D10" s="16" t="inlineStr">
        <is>
          <t>Senior Associate</t>
        </is>
      </c>
      <c r="E10" s="16" t="inlineStr">
        <is>
          <t>Finance &amp; Accounts</t>
        </is>
      </c>
      <c r="F10" s="16" t="inlineStr">
        <is>
          <t>Accounting &amp; Transaction Processing</t>
        </is>
      </c>
      <c r="G10" s="16" t="inlineStr">
        <is>
          <t>Senior Accounts Executive</t>
        </is>
      </c>
      <c r="H10" s="16" t="inlineStr">
        <is>
          <t>IC</t>
        </is>
      </c>
      <c r="I10" s="16" t="n">
        <v>2</v>
      </c>
      <c r="J10" s="16" t="inlineStr">
        <is>
          <r>
            <rPr>
              <rFont val="Calibri"/>
              <b val="1"/>
              <sz val="10"/>
            </rPr>
            <t>A3:</t>
          </r>
          <r>
            <rPr>
              <rFont val="Calibri"/>
              <sz val="10"/>
            </rPr>
            <t xml:space="preserve"> Senior Accounts Executive → B1: Accounts Specialist – POD Lead</t>
          </r>
        </is>
      </c>
      <c r="K10" s="16" t="inlineStr">
        <is>
          <t>Accounting &amp; Reporting Standards · IFRS/US GAAP · Advanced Excel &amp; Productivity Tools</t>
        </is>
      </c>
      <c r="L10" s="16" t="inlineStr">
        <is>
          <t>Regulatory &amp; BFSI Domain · Data Analytics, BI &amp; Visualisation · Process Improvement &amp; Quality Mindset · Strategic Thinking &amp; Business Acumen</t>
        </is>
      </c>
      <c r="M10" s="16" t="inlineStr">
        <is>
          <t>Core 2 · Future-ready 2 · Functional 3 · Leadership —</t>
        </is>
      </c>
      <c r="N10" s="16" t="inlineStr">
        <is>
          <t>CA / CMA / ACCA / CFA / IFRS certificate; MOS Excel · optional</t>
        </is>
      </c>
      <c r="O10" s="16" t="inlineStr">
        <is>
          <t>None — only this department</t>
        </is>
      </c>
      <c r="P10" s="16" t="inlineStr">
        <is>
          <t>None — only Corporate</t>
        </is>
      </c>
    </row>
    <row r="11" ht="55" customHeight="1">
      <c r="A11" s="16" t="inlineStr">
        <is>
          <t>Finance</t>
        </is>
      </c>
      <c r="B11" s="21" t="inlineStr">
        <is>
          <t>B · Specialist / Manager</t>
        </is>
      </c>
      <c r="C11" s="21" t="inlineStr">
        <is>
          <t>B1</t>
        </is>
      </c>
      <c r="D11" s="16" t="inlineStr">
        <is>
          <t>Specialist · POD Lead</t>
        </is>
      </c>
      <c r="E11" s="16" t="inlineStr">
        <is>
          <t>Finance &amp; Accounts</t>
        </is>
      </c>
      <c r="F11" s="16" t="inlineStr">
        <is>
          <t>Accounting &amp; Transaction Processing</t>
        </is>
      </c>
      <c r="G11" s="16" t="inlineStr">
        <is>
          <t>Accounts Specialist – POD Lead</t>
        </is>
      </c>
      <c r="H11" s="16" t="inlineStr">
        <is>
          <t>POD Lead</t>
        </is>
      </c>
      <c r="I11" s="16" t="n">
        <v>2</v>
      </c>
      <c r="J11" s="16" t="inlineStr">
        <is>
          <r>
            <rPr>
              <rFont val="Calibri"/>
              <b val="1"/>
              <sz val="10"/>
            </rPr>
            <t>A3:</t>
          </r>
          <r>
            <rPr>
              <rFont val="Calibri"/>
              <sz val="10"/>
            </rPr>
            <t xml:space="preserve"> Senior Accounts Executive → B1: Accounts Specialist – POD Lead</t>
          </r>
        </is>
      </c>
      <c r="K11" s="16" t="inlineStr">
        <is>
          <t>Accounting &amp; Reporting Standards · IFRS/US GAAP · Advanced Excel &amp; Productivity Tools</t>
        </is>
      </c>
      <c r="L11" s="16" t="inlineStr">
        <is>
          <t>Regulatory &amp; BFSI Domain · Data Analytics, BI &amp; Visualisation · Process Improvement &amp; Quality Mindset · Strategic Thinking &amp; Business Acumen</t>
        </is>
      </c>
      <c r="M11" s="16" t="inlineStr">
        <is>
          <t>Core 3 · Future-ready 3 · Functional 3 · Leadership 1</t>
        </is>
      </c>
      <c r="N11" s="16" t="inlineStr">
        <is>
          <t>CA / CMA / ACCA / CFA / IFRS certificate; MOS Excel · optional</t>
        </is>
      </c>
      <c r="O11" s="16" t="inlineStr">
        <is>
          <t>None — only this department</t>
        </is>
      </c>
      <c r="P11" s="16" t="inlineStr">
        <is>
          <t>None — only Corporate</t>
        </is>
      </c>
    </row>
    <row r="12" ht="55" customHeight="1">
      <c r="A12" s="16" t="inlineStr">
        <is>
          <t>Finance</t>
        </is>
      </c>
      <c r="B12" s="21" t="inlineStr">
        <is>
          <t>B · Specialist / Manager</t>
        </is>
      </c>
      <c r="C12" s="21" t="inlineStr">
        <is>
          <t>B1</t>
        </is>
      </c>
      <c r="D12" s="16" t="inlineStr">
        <is>
          <t>Specialist</t>
        </is>
      </c>
      <c r="E12" s="16" t="inlineStr">
        <is>
          <t>Finance &amp; Accounts</t>
        </is>
      </c>
      <c r="F12" s="16" t="inlineStr">
        <is>
          <t>Financial Reporting, Compliance &amp; Audit</t>
        </is>
      </c>
      <c r="G12" s="16" t="inlineStr">
        <is>
          <t>Finance Specialist</t>
        </is>
      </c>
      <c r="H12" s="16" t="inlineStr">
        <is>
          <t>IC</t>
        </is>
      </c>
      <c r="I12" s="16" t="n">
        <v>2</v>
      </c>
      <c r="J12" s="16" t="inlineStr">
        <is>
          <r>
            <rPr>
              <rFont val="Calibri"/>
              <b val="1"/>
              <sz val="10"/>
            </rPr>
            <t>B1:</t>
          </r>
          <r>
            <rPr>
              <rFont val="Calibri"/>
              <sz val="10"/>
            </rPr>
            <t xml:space="preserve"> Finance Specialist / Finance Specialist – POD Lead → B2: Senior Finance Specialist – POD Lead</t>
          </r>
        </is>
      </c>
      <c r="K12" s="16" t="inlineStr">
        <is>
          <t>Accounting &amp; Reporting Standards · IFRS/US GAAP · Advanced Excel &amp; Productivity Tools</t>
        </is>
      </c>
      <c r="L12" s="16" t="inlineStr">
        <is>
          <t>Regulatory &amp; BFSI Domain · Data Analytics, BI &amp; Visualisation · Process Improvement &amp; Quality Mindset · Strategic Thinking &amp; Business Acumen</t>
        </is>
      </c>
      <c r="M12" s="16" t="inlineStr">
        <is>
          <t>Core 3 · Future-ready 3 · Functional 3 · Leadership 1</t>
        </is>
      </c>
      <c r="N12" s="16" t="inlineStr">
        <is>
          <t>CA / CMA / ACCA / CFA / IFRS certificate; MOS Excel · optional</t>
        </is>
      </c>
      <c r="O12" s="16" t="inlineStr">
        <is>
          <t>None — only this department</t>
        </is>
      </c>
      <c r="P12" s="16" t="inlineStr">
        <is>
          <t>None — only Corporate</t>
        </is>
      </c>
    </row>
    <row r="13" ht="55" customHeight="1">
      <c r="A13" s="16" t="inlineStr">
        <is>
          <t>Finance</t>
        </is>
      </c>
      <c r="B13" s="21" t="inlineStr">
        <is>
          <t>B · Specialist / Manager</t>
        </is>
      </c>
      <c r="C13" s="21" t="inlineStr">
        <is>
          <t>B1</t>
        </is>
      </c>
      <c r="D13" s="16" t="inlineStr">
        <is>
          <t>Specialist · POD Lead</t>
        </is>
      </c>
      <c r="E13" s="16" t="inlineStr">
        <is>
          <t>Finance &amp; Accounts</t>
        </is>
      </c>
      <c r="F13" s="16" t="inlineStr">
        <is>
          <t>Financial Reporting, Compliance &amp; Audit</t>
        </is>
      </c>
      <c r="G13" s="16" t="inlineStr">
        <is>
          <t>Finance Specialist – POD Lead</t>
        </is>
      </c>
      <c r="H13" s="16" t="inlineStr">
        <is>
          <t>POD Lead</t>
        </is>
      </c>
      <c r="I13" s="16" t="n">
        <v>1</v>
      </c>
      <c r="J13" s="16" t="inlineStr">
        <is>
          <r>
            <rPr>
              <rFont val="Calibri"/>
              <b val="1"/>
              <sz val="10"/>
            </rPr>
            <t>B1:</t>
          </r>
          <r>
            <rPr>
              <rFont val="Calibri"/>
              <sz val="10"/>
            </rPr>
            <t xml:space="preserve"> Finance Specialist / Finance Specialist – POD Lead → B2: Senior Finance Specialist – POD Lead</t>
          </r>
        </is>
      </c>
      <c r="K13" s="16" t="inlineStr">
        <is>
          <t>Accounting &amp; Reporting Standards · IFRS/US GAAP · Advanced Excel &amp; Productivity Tools</t>
        </is>
      </c>
      <c r="L13" s="16" t="inlineStr">
        <is>
          <t>Regulatory &amp; BFSI Domain · Data Analytics, BI &amp; Visualisation · Process Improvement &amp; Quality Mindset · Strategic Thinking &amp; Business Acumen</t>
        </is>
      </c>
      <c r="M13" s="16" t="inlineStr">
        <is>
          <t>Core 3 · Future-ready 3 · Functional 3 · Leadership 1</t>
        </is>
      </c>
      <c r="N13" s="16" t="inlineStr">
        <is>
          <t>CA / CMA / ACCA / CFA / IFRS certificate; MOS Excel · optional</t>
        </is>
      </c>
      <c r="O13" s="16" t="inlineStr">
        <is>
          <t>None — only this department</t>
        </is>
      </c>
      <c r="P13" s="16" t="inlineStr">
        <is>
          <t>None — only Corporate</t>
        </is>
      </c>
    </row>
    <row r="14" ht="55" customHeight="1">
      <c r="A14" s="16" t="inlineStr">
        <is>
          <t>Finance</t>
        </is>
      </c>
      <c r="B14" s="21" t="inlineStr">
        <is>
          <t>B · Specialist / Manager</t>
        </is>
      </c>
      <c r="C14" s="21" t="inlineStr">
        <is>
          <t>B2</t>
        </is>
      </c>
      <c r="D14" s="16" t="inlineStr">
        <is>
          <t>Senior Specialist · POD Lead</t>
        </is>
      </c>
      <c r="E14" s="16" t="inlineStr">
        <is>
          <t>Finance &amp; Accounts</t>
        </is>
      </c>
      <c r="F14" s="16" t="inlineStr">
        <is>
          <t>Financial Reporting, Compliance &amp; Audit</t>
        </is>
      </c>
      <c r="G14" s="16" t="inlineStr">
        <is>
          <t>Senior Finance Specialist – POD Lead</t>
        </is>
      </c>
      <c r="H14" s="16" t="inlineStr">
        <is>
          <t>POD Lead</t>
        </is>
      </c>
      <c r="I14" s="16" t="n">
        <v>1</v>
      </c>
      <c r="J14" s="16" t="inlineStr">
        <is>
          <r>
            <rPr>
              <rFont val="Calibri"/>
              <b val="1"/>
              <sz val="10"/>
            </rPr>
            <t>B1:</t>
          </r>
          <r>
            <rPr>
              <rFont val="Calibri"/>
              <sz val="10"/>
            </rPr>
            <t xml:space="preserve"> Finance Specialist / Finance Specialist – POD Lead → B2: Senior Finance Specialist – POD Lead</t>
          </r>
        </is>
      </c>
      <c r="K14" s="16" t="inlineStr">
        <is>
          <t>Accounting &amp; Reporting Standards · IFRS/US GAAP · Advanced Excel &amp; Productivity Tools</t>
        </is>
      </c>
      <c r="L14" s="16" t="inlineStr">
        <is>
          <t>Regulatory &amp; BFSI Domain · Data Analytics, BI &amp; Visualisation · Process Improvement &amp; Quality Mindset · Strategic Thinking &amp; Business Acumen</t>
        </is>
      </c>
      <c r="M14" s="16" t="inlineStr">
        <is>
          <t>Core 3 · Future-ready 3 · Functional 4 · Leadership 2</t>
        </is>
      </c>
      <c r="N14" s="16" t="inlineStr">
        <is>
          <t>CA / CMA / ACCA / CFA / IFRS certificate; MOS Excel · optional</t>
        </is>
      </c>
      <c r="O14" s="16" t="inlineStr">
        <is>
          <t>None — only this department</t>
        </is>
      </c>
      <c r="P14" s="16" t="inlineStr">
        <is>
          <t>None — only Corporate</t>
        </is>
      </c>
    </row>
    <row r="15" ht="55" customHeight="1">
      <c r="A15" s="16" t="inlineStr">
        <is>
          <t>Finance</t>
        </is>
      </c>
      <c r="B15" s="146" t="inlineStr">
        <is>
          <t>C · Principal / Head</t>
        </is>
      </c>
      <c r="C15" s="146" t="inlineStr">
        <is>
          <t>C1</t>
        </is>
      </c>
      <c r="D15" s="16" t="inlineStr">
        <is>
          <t>Associate Head</t>
        </is>
      </c>
      <c r="E15" s="16" t="inlineStr">
        <is>
          <t>Finance &amp; Accounts</t>
        </is>
      </c>
      <c r="F15" s="16" t="inlineStr">
        <is>
          <t>Finance Leadership</t>
        </is>
      </c>
      <c r="G15" s="16" t="inlineStr">
        <is>
          <t>Associate Head – Admin &amp; Internal Audit</t>
        </is>
      </c>
      <c r="H15" s="16" t="inlineStr">
        <is>
          <t>People Manager</t>
        </is>
      </c>
      <c r="I15" s="16" t="n">
        <v>1</v>
      </c>
      <c r="J15" s="16" t="inlineStr">
        <is>
          <r>
            <rPr>
              <rFont val="Calibri"/>
              <b val="1"/>
              <sz val="10"/>
            </rPr>
            <t>C1:</t>
          </r>
          <r>
            <rPr>
              <rFont val="Calibri"/>
              <sz val="10"/>
            </rPr>
            <t xml:space="preserve"> Associate Head – Admin &amp; Internal Audit / Associate Head – Finance &amp; Accounts</t>
          </r>
        </is>
      </c>
      <c r="K15" s="16" t="inlineStr">
        <is>
          <t>Accounting &amp; Reporting Standards · IFRS/US GAAP · Advanced Excel &amp; Productivity Tools</t>
        </is>
      </c>
      <c r="L15" s="16" t="inlineStr">
        <is>
          <t>Regulatory &amp; BFSI Domain · Data Analytics, BI &amp; Visualisation · Process Improvement &amp; Quality Mindset · Strategic Thinking &amp; Business Acumen</t>
        </is>
      </c>
      <c r="M15" s="16" t="inlineStr">
        <is>
          <t>Core 4 · Future-ready 4 · Functional 4 · Leadership 4</t>
        </is>
      </c>
      <c r="N15" s="16" t="inlineStr">
        <is>
          <t>CA / CMA / ACCA / CFA / IFRS certificate; MOS Excel · optional</t>
        </is>
      </c>
      <c r="O15" s="16" t="inlineStr">
        <is>
          <t>None — only this department</t>
        </is>
      </c>
      <c r="P15" s="16" t="inlineStr">
        <is>
          <t>None — only Corporate</t>
        </is>
      </c>
    </row>
    <row r="16" ht="55" customHeight="1">
      <c r="A16" s="16" t="inlineStr">
        <is>
          <t>Finance</t>
        </is>
      </c>
      <c r="B16" s="146" t="inlineStr">
        <is>
          <t>C · Principal / Head</t>
        </is>
      </c>
      <c r="C16" s="146" t="inlineStr">
        <is>
          <t>C1</t>
        </is>
      </c>
      <c r="D16" s="16" t="inlineStr">
        <is>
          <t>Associate Head</t>
        </is>
      </c>
      <c r="E16" s="16" t="inlineStr">
        <is>
          <t>Finance &amp; Accounts</t>
        </is>
      </c>
      <c r="F16" s="16" t="inlineStr">
        <is>
          <t>Finance Leadership</t>
        </is>
      </c>
      <c r="G16" s="16" t="inlineStr">
        <is>
          <t>Associate Head – Finance &amp; Accounts</t>
        </is>
      </c>
      <c r="H16" s="16" t="inlineStr">
        <is>
          <t>People Manager</t>
        </is>
      </c>
      <c r="I16" s="16" t="n">
        <v>1</v>
      </c>
      <c r="J16" s="16" t="inlineStr">
        <is>
          <r>
            <rPr>
              <rFont val="Calibri"/>
              <b val="1"/>
              <sz val="10"/>
            </rPr>
            <t>C1:</t>
          </r>
          <r>
            <rPr>
              <rFont val="Calibri"/>
              <sz val="10"/>
            </rPr>
            <t xml:space="preserve"> Associate Head – Admin &amp; Internal Audit / Associate Head – Finance &amp; Accounts</t>
          </r>
        </is>
      </c>
      <c r="K16" s="16" t="inlineStr">
        <is>
          <t>Accounting &amp; Reporting Standards · IFRS/US GAAP · Advanced Excel &amp; Productivity Tools</t>
        </is>
      </c>
      <c r="L16" s="16" t="inlineStr">
        <is>
          <t>Regulatory &amp; BFSI Domain · Data Analytics, BI &amp; Visualisation · Process Improvement &amp; Quality Mindset · Strategic Thinking &amp; Business Acumen</t>
        </is>
      </c>
      <c r="M16" s="16" t="inlineStr">
        <is>
          <t>Core 4 · Future-ready 4 · Functional 4 · Leadership 4</t>
        </is>
      </c>
      <c r="N16" s="16" t="inlineStr">
        <is>
          <t>CA / CMA / ACCA / CFA / IFRS certificate; MOS Excel · optional</t>
        </is>
      </c>
      <c r="O16" s="16" t="inlineStr">
        <is>
          <t>None — only this department</t>
        </is>
      </c>
      <c r="P16" s="16" t="inlineStr">
        <is>
          <t>None — only Corporate</t>
        </is>
      </c>
    </row>
    <row r="17" ht="55" customHeight="1">
      <c r="A17" s="16" t="inlineStr">
        <is>
          <t>Finance</t>
        </is>
      </c>
      <c r="B17" s="145" t="inlineStr">
        <is>
          <t>E · Enterprise leadership</t>
        </is>
      </c>
      <c r="C17" s="145" t="inlineStr">
        <is>
          <t>E1</t>
        </is>
      </c>
      <c r="D17" s="16" t="inlineStr">
        <is>
          <t>CXO / President</t>
        </is>
      </c>
      <c r="E17" s="16" t="inlineStr">
        <is>
          <t>Executive Leadership</t>
        </is>
      </c>
      <c r="F17" s="16" t="inlineStr">
        <is>
          <t>Enterprise Leadership</t>
        </is>
      </c>
      <c r="G17" s="16" t="inlineStr">
        <is>
          <t>Chief Financial Officer</t>
        </is>
      </c>
      <c r="H17" s="16" t="inlineStr">
        <is>
          <t>People Manager</t>
        </is>
      </c>
      <c r="I17" s="16" t="n">
        <v>1</v>
      </c>
      <c r="J17" s="16" t="inlineStr">
        <is>
          <r>
            <rPr>
              <rFont val="Calibri"/>
              <b val="1"/>
              <sz val="10"/>
            </rPr>
            <t>E1:</t>
          </r>
          <r>
            <rPr>
              <rFont val="Calibri"/>
              <sz val="10"/>
            </rPr>
            <t xml:space="preserve"> Chief Financial Officer</t>
          </r>
        </is>
      </c>
      <c r="K17" s="16" t="inlineStr">
        <is>
          <t>Strategic Thinking &amp; Business Acumen · People Leadership &amp; Mentoring</t>
        </is>
      </c>
      <c r="L17" s="16" t="inlineStr">
        <is>
          <t>Stakeholder &amp; Client Management · Product, Platform &amp; Domain Knowledge · Regulatory &amp; BFSI Domain · Communication &amp; Presentation</t>
        </is>
      </c>
      <c r="M17" s="16" t="inlineStr">
        <is>
          <t>Core 5 · Future-ready 5 · Functional 4 · Leadership 5</t>
        </is>
      </c>
      <c r="N17" s="16" t="inlineStr">
        <is>
          <t>MBA / PGDM · preferred at C+</t>
        </is>
      </c>
      <c r="O17" s="241" t="inlineStr">
        <is>
          <t>Management · Technology</t>
        </is>
      </c>
      <c r="P17" s="139" t="inlineStr">
        <is>
          <r>
            <rPr>
              <rFont val="Calibri"/>
              <sz val="10"/>
            </rPr>
            <t xml:space="preserve">CARBON 1
</t>
          </r>
          <r>
            <rPr>
              <rFont val="Calibri"/>
              <b val="1"/>
              <sz val="10"/>
            </rPr>
            <t>Titled there:</t>
          </r>
          <r>
            <rPr>
              <rFont val="Calibri"/>
              <sz val="10"/>
            </rPr>
            <t xml:space="preserve"> Chief Revenue Officer</t>
          </r>
        </is>
      </c>
    </row>
    <row r="18" ht="68" customHeight="1">
      <c r="A18" s="16" t="inlineStr">
        <is>
          <t>HR</t>
        </is>
      </c>
      <c r="B18" s="139" t="inlineStr">
        <is>
          <t>A · Practitioner</t>
        </is>
      </c>
      <c r="C18" s="139" t="inlineStr">
        <is>
          <t>A2</t>
        </is>
      </c>
      <c r="D18" s="16" t="inlineStr">
        <is>
          <t>Associate</t>
        </is>
      </c>
      <c r="E18" s="16" t="inlineStr">
        <is>
          <t>Human Resources</t>
        </is>
      </c>
      <c r="F18" s="16" t="inlineStr">
        <is>
          <t>HR Operations &amp; Payroll</t>
        </is>
      </c>
      <c r="G18" s="16" t="inlineStr">
        <is>
          <t>HR Executive</t>
        </is>
      </c>
      <c r="H18" s="16" t="inlineStr">
        <is>
          <t>IC</t>
        </is>
      </c>
      <c r="I18" s="16" t="n">
        <v>1</v>
      </c>
      <c r="J18" s="16" t="inlineStr">
        <is>
          <r>
            <rPr>
              <rFont val="Calibri"/>
              <b val="1"/>
              <sz val="10"/>
            </rPr>
            <t>A2:</t>
          </r>
          <r>
            <rPr>
              <rFont val="Calibri"/>
              <sz val="10"/>
            </rPr>
            <t xml:space="preserve"> HR Executive → B1: HR Specialist / HR Specialist – POD Lead</t>
          </r>
        </is>
      </c>
      <c r="K18" s="16" t="inlineStr">
        <is>
          <t>Stakeholder &amp; Client Management · Communication &amp; Presentation</t>
        </is>
      </c>
      <c r="L18" s="16" t="inlineStr">
        <is>
          <t>Data Analytics, BI &amp; Visualisation · Process Improvement &amp; Quality Mindset · People Leadership &amp; Mentoring · Advanced Excel &amp; Productivity Tools</t>
        </is>
      </c>
      <c r="M18" s="16" t="inlineStr">
        <is>
          <t>Core 2 · Future-ready 2 · Functional 2 · Leadership —</t>
        </is>
      </c>
      <c r="N18" s="16" t="inlineStr">
        <is>
          <t>—</t>
        </is>
      </c>
      <c r="O18" s="16" t="inlineStr">
        <is>
          <t>None — only this department</t>
        </is>
      </c>
      <c r="P18" s="16" t="inlineStr">
        <is>
          <t>None — only Corporate</t>
        </is>
      </c>
    </row>
    <row r="19" ht="68" customHeight="1">
      <c r="A19" s="16" t="inlineStr">
        <is>
          <t>HR</t>
        </is>
      </c>
      <c r="B19" s="139" t="inlineStr">
        <is>
          <t>A · Practitioner</t>
        </is>
      </c>
      <c r="C19" s="139" t="inlineStr">
        <is>
          <t>A3</t>
        </is>
      </c>
      <c r="D19" s="16" t="inlineStr">
        <is>
          <t>Senior Associate</t>
        </is>
      </c>
      <c r="E19" s="16" t="inlineStr">
        <is>
          <t>Human Resources</t>
        </is>
      </c>
      <c r="F19" s="16" t="inlineStr">
        <is>
          <t>Talent Acquisition</t>
        </is>
      </c>
      <c r="G19" s="16" t="inlineStr">
        <is>
          <t>Senior Talent Acquisition Executive</t>
        </is>
      </c>
      <c r="H19" s="16" t="inlineStr">
        <is>
          <t>IC</t>
        </is>
      </c>
      <c r="I19" s="16" t="n">
        <v>2</v>
      </c>
      <c r="J19" s="16" t="inlineStr">
        <is>
          <r>
            <rPr>
              <rFont val="Calibri"/>
              <b val="1"/>
              <sz val="10"/>
            </rPr>
            <t>A3:</t>
          </r>
          <r>
            <rPr>
              <rFont val="Calibri"/>
              <sz val="10"/>
            </rPr>
            <t xml:space="preserve"> Senior Talent Acquisition Executive → B2: Senior Talent Acquisition Specialist</t>
          </r>
        </is>
      </c>
      <c r="K19" s="16" t="inlineStr">
        <is>
          <t>Stakeholder &amp; Client Management · Communication &amp; Presentation</t>
        </is>
      </c>
      <c r="L19" s="16" t="inlineStr">
        <is>
          <t>Data Analytics, BI &amp; Visualisation · Process Improvement &amp; Quality Mindset · People Leadership &amp; Mentoring · Advanced Excel &amp; Productivity Tools</t>
        </is>
      </c>
      <c r="M19" s="16" t="inlineStr">
        <is>
          <t>Core 2 · Future-ready 2 · Functional 3 · Leadership —</t>
        </is>
      </c>
      <c r="N19" s="16" t="inlineStr">
        <is>
          <t>—</t>
        </is>
      </c>
      <c r="O19" s="16" t="inlineStr">
        <is>
          <t>None — only this department</t>
        </is>
      </c>
      <c r="P19" s="16" t="inlineStr">
        <is>
          <t>None — only Corporate</t>
        </is>
      </c>
    </row>
    <row r="20" ht="68" customHeight="1">
      <c r="A20" s="16" t="inlineStr">
        <is>
          <t>HR</t>
        </is>
      </c>
      <c r="B20" s="21" t="inlineStr">
        <is>
          <t>B · Specialist / Manager</t>
        </is>
      </c>
      <c r="C20" s="21" t="inlineStr">
        <is>
          <t>B1</t>
        </is>
      </c>
      <c r="D20" s="16" t="inlineStr">
        <is>
          <t>Specialist</t>
        </is>
      </c>
      <c r="E20" s="16" t="inlineStr">
        <is>
          <t>Human Resources</t>
        </is>
      </c>
      <c r="F20" s="16" t="inlineStr">
        <is>
          <t>HR Operations &amp; Payroll</t>
        </is>
      </c>
      <c r="G20" s="16" t="inlineStr">
        <is>
          <t>HR Specialist</t>
        </is>
      </c>
      <c r="H20" s="16" t="inlineStr">
        <is>
          <t>IC</t>
        </is>
      </c>
      <c r="I20" s="16" t="n">
        <v>1</v>
      </c>
      <c r="J20" s="16" t="inlineStr">
        <is>
          <r>
            <rPr>
              <rFont val="Calibri"/>
              <b val="1"/>
              <sz val="10"/>
            </rPr>
            <t>A2:</t>
          </r>
          <r>
            <rPr>
              <rFont val="Calibri"/>
              <sz val="10"/>
            </rPr>
            <t xml:space="preserve"> HR Executive → B1: HR Specialist / HR Specialist – POD Lead</t>
          </r>
        </is>
      </c>
      <c r="K20" s="16" t="inlineStr">
        <is>
          <t>Stakeholder &amp; Client Management · Communication &amp; Presentation</t>
        </is>
      </c>
      <c r="L20" s="16" t="inlineStr">
        <is>
          <t>Data Analytics, BI &amp; Visualisation · Process Improvement &amp; Quality Mindset · People Leadership &amp; Mentoring · Advanced Excel &amp; Productivity Tools</t>
        </is>
      </c>
      <c r="M20" s="16" t="inlineStr">
        <is>
          <t>Core 3 · Future-ready 3 · Functional 3 · Leadership 1</t>
        </is>
      </c>
      <c r="N20" s="16" t="inlineStr">
        <is>
          <t>—</t>
        </is>
      </c>
      <c r="O20" s="16" t="inlineStr">
        <is>
          <t>None — only this department</t>
        </is>
      </c>
      <c r="P20" s="16" t="inlineStr">
        <is>
          <t>None — only Corporate</t>
        </is>
      </c>
    </row>
    <row r="21" ht="68" customHeight="1">
      <c r="A21" s="16" t="inlineStr">
        <is>
          <t>HR</t>
        </is>
      </c>
      <c r="B21" s="21" t="inlineStr">
        <is>
          <t>B · Specialist / Manager</t>
        </is>
      </c>
      <c r="C21" s="21" t="inlineStr">
        <is>
          <t>B1</t>
        </is>
      </c>
      <c r="D21" s="16" t="inlineStr">
        <is>
          <t>Specialist · POD Lead</t>
        </is>
      </c>
      <c r="E21" s="16" t="inlineStr">
        <is>
          <t>Human Resources</t>
        </is>
      </c>
      <c r="F21" s="16" t="inlineStr">
        <is>
          <t>HR Operations &amp; Payroll</t>
        </is>
      </c>
      <c r="G21" s="16" t="inlineStr">
        <is>
          <t>HR Specialist – POD Lead</t>
        </is>
      </c>
      <c r="H21" s="16" t="inlineStr">
        <is>
          <t>POD Lead</t>
        </is>
      </c>
      <c r="I21" s="16" t="n">
        <v>1</v>
      </c>
      <c r="J21" s="16" t="inlineStr">
        <is>
          <r>
            <rPr>
              <rFont val="Calibri"/>
              <b val="1"/>
              <sz val="10"/>
            </rPr>
            <t>A2:</t>
          </r>
          <r>
            <rPr>
              <rFont val="Calibri"/>
              <sz val="10"/>
            </rPr>
            <t xml:space="preserve"> HR Executive → B1: HR Specialist / HR Specialist – POD Lead</t>
          </r>
        </is>
      </c>
      <c r="K21" s="16" t="inlineStr">
        <is>
          <t>Stakeholder &amp; Client Management · Communication &amp; Presentation</t>
        </is>
      </c>
      <c r="L21" s="16" t="inlineStr">
        <is>
          <t>Data Analytics, BI &amp; Visualisation · Process Improvement &amp; Quality Mindset · People Leadership &amp; Mentoring · Advanced Excel &amp; Productivity Tools</t>
        </is>
      </c>
      <c r="M21" s="16" t="inlineStr">
        <is>
          <t>Core 3 · Future-ready 3 · Functional 3 · Leadership 1</t>
        </is>
      </c>
      <c r="N21" s="16" t="inlineStr">
        <is>
          <t>—</t>
        </is>
      </c>
      <c r="O21" s="16" t="inlineStr">
        <is>
          <t>None — only this department</t>
        </is>
      </c>
      <c r="P21" s="16" t="inlineStr">
        <is>
          <t>None — only Corporate</t>
        </is>
      </c>
    </row>
    <row r="22" ht="68" customHeight="1">
      <c r="A22" s="16" t="inlineStr">
        <is>
          <t>HR</t>
        </is>
      </c>
      <c r="B22" s="21" t="inlineStr">
        <is>
          <t>B · Specialist / Manager</t>
        </is>
      </c>
      <c r="C22" s="21" t="inlineStr">
        <is>
          <t>B2</t>
        </is>
      </c>
      <c r="D22" s="16" t="inlineStr">
        <is>
          <t>Senior Specialist</t>
        </is>
      </c>
      <c r="E22" s="16" t="inlineStr">
        <is>
          <t>Human Resources</t>
        </is>
      </c>
      <c r="F22" s="16" t="inlineStr">
        <is>
          <t>Talent Acquisition</t>
        </is>
      </c>
      <c r="G22" s="16" t="inlineStr">
        <is>
          <t>Senior Talent Acquisition Specialist</t>
        </is>
      </c>
      <c r="H22" s="16" t="inlineStr">
        <is>
          <t>IC</t>
        </is>
      </c>
      <c r="I22" s="16" t="n">
        <v>1</v>
      </c>
      <c r="J22" s="16" t="inlineStr">
        <is>
          <r>
            <rPr>
              <rFont val="Calibri"/>
              <b val="1"/>
              <sz val="10"/>
            </rPr>
            <t>A3:</t>
          </r>
          <r>
            <rPr>
              <rFont val="Calibri"/>
              <sz val="10"/>
            </rPr>
            <t xml:space="preserve"> Senior Talent Acquisition Executive → B2: Senior Talent Acquisition Specialist</t>
          </r>
        </is>
      </c>
      <c r="K22" s="16" t="inlineStr">
        <is>
          <t>Stakeholder &amp; Client Management · Communication &amp; Presentation</t>
        </is>
      </c>
      <c r="L22" s="16" t="inlineStr">
        <is>
          <t>Data Analytics, BI &amp; Visualisation · Process Improvement &amp; Quality Mindset · People Leadership &amp; Mentoring · Advanced Excel &amp; Productivity Tools</t>
        </is>
      </c>
      <c r="M22" s="16" t="inlineStr">
        <is>
          <t>Core 3 · Future-ready 3 · Functional 4 · Leadership 2</t>
        </is>
      </c>
      <c r="N22" s="16" t="inlineStr">
        <is>
          <t>—</t>
        </is>
      </c>
      <c r="O22" s="16" t="inlineStr">
        <is>
          <t>None — only this department</t>
        </is>
      </c>
      <c r="P22" s="16" t="inlineStr">
        <is>
          <t>None — only Corporate</t>
        </is>
      </c>
    </row>
    <row r="23" ht="68" customHeight="1">
      <c r="A23" s="16" t="inlineStr">
        <is>
          <t>HR</t>
        </is>
      </c>
      <c r="B23" s="21" t="inlineStr">
        <is>
          <t>B · Specialist / Manager</t>
        </is>
      </c>
      <c r="C23" s="21" t="inlineStr">
        <is>
          <t>B3</t>
        </is>
      </c>
      <c r="D23" s="16" t="inlineStr">
        <is>
          <t>Lead Specialist</t>
        </is>
      </c>
      <c r="E23" s="16" t="inlineStr">
        <is>
          <t>Human Resources</t>
        </is>
      </c>
      <c r="F23" s="16" t="inlineStr">
        <is>
          <t>HR Transformation &amp; OD</t>
        </is>
      </c>
      <c r="G23" s="16" t="inlineStr">
        <is>
          <t>Lead HR Specialist – Transformation &amp; OD</t>
        </is>
      </c>
      <c r="H23" s="16" t="inlineStr">
        <is>
          <t>IC</t>
        </is>
      </c>
      <c r="I23" s="16" t="n">
        <v>1</v>
      </c>
      <c r="J23" s="16" t="inlineStr">
        <is>
          <r>
            <rPr>
              <rFont val="Calibri"/>
              <b val="1"/>
              <sz val="10"/>
            </rPr>
            <t>B3:</t>
          </r>
          <r>
            <rPr>
              <rFont val="Calibri"/>
              <sz val="10"/>
            </rPr>
            <t xml:space="preserve"> Lead HR Specialist – Transformation &amp; OD</t>
          </r>
        </is>
      </c>
      <c r="K23" s="16" t="inlineStr">
        <is>
          <t>Stakeholder &amp; Client Management · Communication &amp; Presentation</t>
        </is>
      </c>
      <c r="L23" s="16" t="inlineStr">
        <is>
          <t>Data Analytics, BI &amp; Visualisation · Process Improvement &amp; Quality Mindset · People Leadership &amp; Mentoring · Advanced Excel &amp; Productivity Tools</t>
        </is>
      </c>
      <c r="M23" s="16" t="inlineStr">
        <is>
          <t>Core 4 · Future-ready 3 · Functional 4 · Leadership 3</t>
        </is>
      </c>
      <c r="N23" s="16" t="inlineStr">
        <is>
          <t>—</t>
        </is>
      </c>
      <c r="O23" s="16" t="inlineStr">
        <is>
          <t>None — only this department</t>
        </is>
      </c>
      <c r="P23" s="16" t="inlineStr">
        <is>
          <t>None — only Corporate</t>
        </is>
      </c>
    </row>
    <row r="24" ht="68" customHeight="1">
      <c r="A24" s="16" t="inlineStr">
        <is>
          <t>HR</t>
        </is>
      </c>
      <c r="B24" s="149" t="inlineStr">
        <is>
          <t>D · Business leadership</t>
        </is>
      </c>
      <c r="C24" s="149" t="inlineStr">
        <is>
          <t>D2</t>
        </is>
      </c>
      <c r="D24" s="16" t="inlineStr">
        <is>
          <t>Vice President</t>
        </is>
      </c>
      <c r="E24" s="16" t="inlineStr">
        <is>
          <t>Human Resources</t>
        </is>
      </c>
      <c r="F24" s="16" t="inlineStr">
        <is>
          <t>HR Leadership</t>
        </is>
      </c>
      <c r="G24" s="16" t="inlineStr">
        <is>
          <t>Vice President – Human Resources</t>
        </is>
      </c>
      <c r="H24" s="16" t="inlineStr">
        <is>
          <t>People Manager</t>
        </is>
      </c>
      <c r="I24" s="16" t="n">
        <v>1</v>
      </c>
      <c r="J24" s="16" t="inlineStr">
        <is>
          <r>
            <rPr>
              <rFont val="Calibri"/>
              <b val="1"/>
              <sz val="10"/>
            </rPr>
            <t>D2:</t>
          </r>
          <r>
            <rPr>
              <rFont val="Calibri"/>
              <sz val="10"/>
            </rPr>
            <t xml:space="preserve"> Vice President – Human Resources</t>
          </r>
        </is>
      </c>
      <c r="K24" s="16" t="inlineStr">
        <is>
          <t>Stakeholder &amp; Client Management · Communication &amp; Presentation</t>
        </is>
      </c>
      <c r="L24" s="16" t="inlineStr">
        <is>
          <t>Data Analytics, BI &amp; Visualisation · Process Improvement &amp; Quality Mindset · People Leadership &amp; Mentoring · Advanced Excel &amp; Productivity Tools</t>
        </is>
      </c>
      <c r="M24" s="16" t="inlineStr">
        <is>
          <t>Core 5 · Future-ready 4 · Functional 4 · Leadership 5</t>
        </is>
      </c>
      <c r="N24" s="16" t="inlineStr">
        <is>
          <t>—</t>
        </is>
      </c>
      <c r="O24" s="16" t="inlineStr">
        <is>
          <t>None — only this department</t>
        </is>
      </c>
      <c r="P24" s="16" t="inlineStr">
        <is>
          <t>None — only Corporate</t>
        </is>
      </c>
    </row>
    <row r="25" ht="55" customHeight="1">
      <c r="A25" s="16" t="inlineStr">
        <is>
          <t>IT &amp; Infrastructure</t>
        </is>
      </c>
      <c r="B25" s="139" t="inlineStr">
        <is>
          <t>A · Practitioner</t>
        </is>
      </c>
      <c r="C25" s="139" t="inlineStr">
        <is>
          <t>A3</t>
        </is>
      </c>
      <c r="D25" s="16" t="inlineStr">
        <is>
          <t>Senior Associate</t>
        </is>
      </c>
      <c r="E25" s="16" t="inlineStr">
        <is>
          <t>Engineering &amp; Development</t>
        </is>
      </c>
      <c r="F25" s="16" t="inlineStr">
        <is>
          <t>DevOps &amp; Release Engineering</t>
        </is>
      </c>
      <c r="G25" s="16" t="inlineStr">
        <is>
          <t>Senior DevOps Engineer</t>
        </is>
      </c>
      <c r="H25" s="16" t="inlineStr">
        <is>
          <t>IC</t>
        </is>
      </c>
      <c r="I25" s="16" t="n">
        <v>1</v>
      </c>
      <c r="J25" s="16" t="inlineStr">
        <is>
          <r>
            <rPr>
              <rFont val="Calibri"/>
              <b val="1"/>
              <sz val="10"/>
            </rPr>
            <t>A3:</t>
          </r>
          <r>
            <rPr>
              <rFont val="Calibri"/>
              <sz val="10"/>
            </rPr>
            <t xml:space="preserve"> Senior DevOps Engineer</t>
          </r>
        </is>
      </c>
      <c r="K25" s="16" t="inlineStr">
        <is>
          <t>Programming &amp; Tech-Stack Depth · System Design &amp; Architecture</t>
        </is>
      </c>
      <c r="L25" s="16" t="inlineStr">
        <is>
          <t>Database, SQL &amp; Data Engineering · Cloud, DevOps &amp; CI/CD · AI, GenAI &amp; Prompt Engineering · Product, Platform &amp; Domain Knowledge</t>
        </is>
      </c>
      <c r="M25" s="16" t="inlineStr">
        <is>
          <t>Core 2 · Future-ready 2 · Functional 3 · Leadership —</t>
        </is>
      </c>
      <c r="N25" s="16" t="inlineStr">
        <is>
          <t>Cloud / language certifications · optional; AWS / Azure architect · optional</t>
        </is>
      </c>
      <c r="O25" s="16" t="inlineStr">
        <is>
          <t>None — only this department</t>
        </is>
      </c>
      <c r="P25" s="139" t="inlineStr">
        <is>
          <t>iFile 1
Same title</t>
        </is>
      </c>
    </row>
    <row r="26" ht="55" customHeight="1">
      <c r="A26" s="16" t="inlineStr">
        <is>
          <t>IT &amp; Infrastructure</t>
        </is>
      </c>
      <c r="B26" s="139" t="inlineStr">
        <is>
          <t>A · Practitioner</t>
        </is>
      </c>
      <c r="C26" s="139" t="inlineStr">
        <is>
          <t>A3</t>
        </is>
      </c>
      <c r="D26" s="16" t="inlineStr">
        <is>
          <t>Senior Associate</t>
        </is>
      </c>
      <c r="E26" s="16" t="inlineStr">
        <is>
          <t>IT &amp; Infrastructure</t>
        </is>
      </c>
      <c r="F26" s="16" t="inlineStr">
        <is>
          <t>End-User Support</t>
        </is>
      </c>
      <c r="G26" s="16" t="inlineStr">
        <is>
          <t>Senior Desktop Support Engineer</t>
        </is>
      </c>
      <c r="H26" s="16" t="inlineStr">
        <is>
          <t>IC</t>
        </is>
      </c>
      <c r="I26" s="16" t="n">
        <v>1</v>
      </c>
      <c r="J26" s="16" t="inlineStr">
        <is>
          <r>
            <rPr>
              <rFont val="Calibri"/>
              <b val="1"/>
              <sz val="10"/>
            </rPr>
            <t>A3:</t>
          </r>
          <r>
            <rPr>
              <rFont val="Calibri"/>
              <sz val="10"/>
            </rPr>
            <t xml:space="preserve"> Senior Desktop Support Engineer</t>
          </r>
        </is>
      </c>
      <c r="K26" s="16" t="inlineStr">
        <is>
          <t>Cybersecurity &amp; Infrastructure · Cloud, DevOps &amp; CI/CD</t>
        </is>
      </c>
      <c r="L26" s="16" t="inlineStr">
        <is>
          <t>Process Improvement &amp; Quality Mindset · Stakeholder &amp; Client Management · Time, Priority &amp; Self-Management · AI, GenAI &amp; Prompt Engineering</t>
        </is>
      </c>
      <c r="M26" s="16" t="inlineStr">
        <is>
          <t>Core 2 · Future-ready 2 · Functional 3 · Leadership —</t>
        </is>
      </c>
      <c r="N26" s="16" t="inlineStr">
        <is>
          <t>Microsoft / CCNA / ISO 27001 / ITIL; AWS / Azure / Kubernetes certifications</t>
        </is>
      </c>
      <c r="O26" s="16" t="inlineStr">
        <is>
          <t>None — only this department</t>
        </is>
      </c>
      <c r="P26" s="16" t="inlineStr">
        <is>
          <t>None — only Corporate</t>
        </is>
      </c>
    </row>
    <row r="27" ht="55" customHeight="1">
      <c r="A27" s="16" t="inlineStr">
        <is>
          <t>IT &amp; Infrastructure</t>
        </is>
      </c>
      <c r="B27" s="139" t="inlineStr">
        <is>
          <t>A · Practitioner</t>
        </is>
      </c>
      <c r="C27" s="139" t="inlineStr">
        <is>
          <t>A3</t>
        </is>
      </c>
      <c r="D27" s="16" t="inlineStr">
        <is>
          <t>Senior Associate</t>
        </is>
      </c>
      <c r="E27" s="16" t="inlineStr">
        <is>
          <t>IT &amp; Infrastructure</t>
        </is>
      </c>
      <c r="F27" s="16" t="inlineStr">
        <is>
          <t>Infrastructure &amp; Cloud Operations</t>
        </is>
      </c>
      <c r="G27" s="16" t="inlineStr">
        <is>
          <t>Infrastructure Specialist</t>
        </is>
      </c>
      <c r="H27" s="16" t="inlineStr">
        <is>
          <t>IC</t>
        </is>
      </c>
      <c r="I27" s="16" t="n">
        <v>1</v>
      </c>
      <c r="J27" s="16" t="inlineStr">
        <is>
          <r>
            <rPr>
              <rFont val="Calibri"/>
              <b val="1"/>
              <sz val="10"/>
            </rPr>
            <t>A3:</t>
          </r>
          <r>
            <rPr>
              <rFont val="Calibri"/>
              <sz val="10"/>
            </rPr>
            <t xml:space="preserve"> Infrastructure Specialist / Senior System Administrator → B1: IT Infrastructure Manager / Infrastructure Specialist / Infrastructure Specialist – POD Lead</t>
          </r>
        </is>
      </c>
      <c r="K27" s="16" t="inlineStr">
        <is>
          <t>Cybersecurity &amp; Infrastructure · Cloud, DevOps &amp; CI/CD</t>
        </is>
      </c>
      <c r="L27" s="16" t="inlineStr">
        <is>
          <t>Process Improvement &amp; Quality Mindset · Stakeholder &amp; Client Management · Time, Priority &amp; Self-Management · AI, GenAI &amp; Prompt Engineering</t>
        </is>
      </c>
      <c r="M27" s="16" t="inlineStr">
        <is>
          <t>Core 2 · Future-ready 2 · Functional 3 · Leadership —</t>
        </is>
      </c>
      <c r="N27" s="16" t="inlineStr">
        <is>
          <t>Microsoft / CCNA / ISO 27001 / ITIL; AWS / Azure / Kubernetes certifications</t>
        </is>
      </c>
      <c r="O27" s="16" t="inlineStr">
        <is>
          <t>None — only this department</t>
        </is>
      </c>
      <c r="P27" s="16" t="inlineStr">
        <is>
          <t>None — only Corporate</t>
        </is>
      </c>
    </row>
    <row r="28" ht="55" customHeight="1">
      <c r="A28" s="16" t="inlineStr">
        <is>
          <t>IT &amp; Infrastructure</t>
        </is>
      </c>
      <c r="B28" s="139" t="inlineStr">
        <is>
          <t>A · Practitioner</t>
        </is>
      </c>
      <c r="C28" s="139" t="inlineStr">
        <is>
          <t>A3</t>
        </is>
      </c>
      <c r="D28" s="16" t="inlineStr">
        <is>
          <t>Senior Associate</t>
        </is>
      </c>
      <c r="E28" s="16" t="inlineStr">
        <is>
          <t>IT &amp; Infrastructure</t>
        </is>
      </c>
      <c r="F28" s="16" t="inlineStr">
        <is>
          <t>Infrastructure &amp; Cloud Operations</t>
        </is>
      </c>
      <c r="G28" s="16" t="inlineStr">
        <is>
          <t>Senior System Administrator</t>
        </is>
      </c>
      <c r="H28" s="16" t="inlineStr">
        <is>
          <t>IC</t>
        </is>
      </c>
      <c r="I28" s="16" t="n">
        <v>7</v>
      </c>
      <c r="J28" s="16" t="inlineStr">
        <is>
          <r>
            <rPr>
              <rFont val="Calibri"/>
              <b val="1"/>
              <sz val="10"/>
            </rPr>
            <t>A3:</t>
          </r>
          <r>
            <rPr>
              <rFont val="Calibri"/>
              <sz val="10"/>
            </rPr>
            <t xml:space="preserve"> Infrastructure Specialist / Senior System Administrator → B1: IT Infrastructure Manager / Infrastructure Specialist / Infrastructure Specialist – POD Lead</t>
          </r>
        </is>
      </c>
      <c r="K28" s="16" t="inlineStr">
        <is>
          <t>Cybersecurity &amp; Infrastructure · Cloud, DevOps &amp; CI/CD</t>
        </is>
      </c>
      <c r="L28" s="16" t="inlineStr">
        <is>
          <t>Process Improvement &amp; Quality Mindset · Stakeholder &amp; Client Management · Time, Priority &amp; Self-Management · AI, GenAI &amp; Prompt Engineering</t>
        </is>
      </c>
      <c r="M28" s="16" t="inlineStr">
        <is>
          <t>Core 2 · Future-ready 2 · Functional 3 · Leadership —</t>
        </is>
      </c>
      <c r="N28" s="16" t="inlineStr">
        <is>
          <t>Microsoft / CCNA / ISO 27001 / ITIL; AWS / Azure / Kubernetes certifications</t>
        </is>
      </c>
      <c r="O28" s="16" t="inlineStr">
        <is>
          <t>None — only this department</t>
        </is>
      </c>
      <c r="P28" s="16" t="inlineStr">
        <is>
          <t>None — only Corporate</t>
        </is>
      </c>
    </row>
    <row r="29" ht="55" customHeight="1">
      <c r="A29" s="16" t="inlineStr">
        <is>
          <t>IT &amp; Infrastructure</t>
        </is>
      </c>
      <c r="B29" s="21" t="inlineStr">
        <is>
          <t>B · Specialist / Manager</t>
        </is>
      </c>
      <c r="C29" s="21" t="inlineStr">
        <is>
          <t>B1</t>
        </is>
      </c>
      <c r="D29" s="16" t="inlineStr">
        <is>
          <t>Team Lead</t>
        </is>
      </c>
      <c r="E29" s="16" t="inlineStr">
        <is>
          <t>IT &amp; Infrastructure</t>
        </is>
      </c>
      <c r="F29" s="16" t="inlineStr">
        <is>
          <t>Infrastructure &amp; Cloud Operations</t>
        </is>
      </c>
      <c r="G29" s="16" t="inlineStr">
        <is>
          <t>IT Infrastructure Manager</t>
        </is>
      </c>
      <c r="H29" s="16" t="inlineStr">
        <is>
          <t>People Manager</t>
        </is>
      </c>
      <c r="I29" s="16" t="n">
        <v>1</v>
      </c>
      <c r="J29" s="16" t="inlineStr">
        <is>
          <r>
            <rPr>
              <rFont val="Calibri"/>
              <b val="1"/>
              <sz val="10"/>
            </rPr>
            <t>A3:</t>
          </r>
          <r>
            <rPr>
              <rFont val="Calibri"/>
              <sz val="10"/>
            </rPr>
            <t xml:space="preserve"> Infrastructure Specialist / Senior System Administrator → B1: IT Infrastructure Manager / Infrastructure Specialist / Infrastructure Specialist – POD Lead</t>
          </r>
        </is>
      </c>
      <c r="K29" s="16" t="inlineStr">
        <is>
          <t>Cybersecurity &amp; Infrastructure · Cloud, DevOps &amp; CI/CD</t>
        </is>
      </c>
      <c r="L29" s="16" t="inlineStr">
        <is>
          <t>Process Improvement &amp; Quality Mindset · Stakeholder &amp; Client Management · Time, Priority &amp; Self-Management · AI, GenAI &amp; Prompt Engineering</t>
        </is>
      </c>
      <c r="M29" s="16" t="inlineStr">
        <is>
          <t>Core 3 · Future-ready 3 · Functional 3 · Leadership 2</t>
        </is>
      </c>
      <c r="N29" s="16" t="inlineStr">
        <is>
          <t>Microsoft / CCNA / ISO 27001 / ITIL; AWS / Azure / Kubernetes certifications</t>
        </is>
      </c>
      <c r="O29" s="16" t="inlineStr">
        <is>
          <t>None — only this department</t>
        </is>
      </c>
      <c r="P29" s="16" t="inlineStr">
        <is>
          <t>None — only Corporate</t>
        </is>
      </c>
    </row>
    <row r="30" ht="55" customHeight="1">
      <c r="A30" s="16" t="inlineStr">
        <is>
          <t>IT &amp; Infrastructure</t>
        </is>
      </c>
      <c r="B30" s="21" t="inlineStr">
        <is>
          <t>B · Specialist / Manager</t>
        </is>
      </c>
      <c r="C30" s="21" t="inlineStr">
        <is>
          <t>B1</t>
        </is>
      </c>
      <c r="D30" s="16" t="inlineStr">
        <is>
          <t>Specialist</t>
        </is>
      </c>
      <c r="E30" s="16" t="inlineStr">
        <is>
          <t>IT &amp; Infrastructure</t>
        </is>
      </c>
      <c r="F30" s="16" t="inlineStr">
        <is>
          <t>Infrastructure &amp; Cloud Operations</t>
        </is>
      </c>
      <c r="G30" s="16" t="inlineStr">
        <is>
          <t>Infrastructure Specialist</t>
        </is>
      </c>
      <c r="H30" s="16" t="inlineStr">
        <is>
          <t>IC</t>
        </is>
      </c>
      <c r="I30" s="16" t="n">
        <v>1</v>
      </c>
      <c r="J30" s="16" t="inlineStr">
        <is>
          <r>
            <rPr>
              <rFont val="Calibri"/>
              <b val="1"/>
              <sz val="10"/>
            </rPr>
            <t>A3:</t>
          </r>
          <r>
            <rPr>
              <rFont val="Calibri"/>
              <sz val="10"/>
            </rPr>
            <t xml:space="preserve"> Infrastructure Specialist / Senior System Administrator → B1: IT Infrastructure Manager / Infrastructure Specialist / Infrastructure Specialist – POD Lead</t>
          </r>
        </is>
      </c>
      <c r="K30" s="16" t="inlineStr">
        <is>
          <t>Cybersecurity &amp; Infrastructure · Cloud, DevOps &amp; CI/CD</t>
        </is>
      </c>
      <c r="L30" s="16" t="inlineStr">
        <is>
          <t>Process Improvement &amp; Quality Mindset · Stakeholder &amp; Client Management · Time, Priority &amp; Self-Management · AI, GenAI &amp; Prompt Engineering</t>
        </is>
      </c>
      <c r="M30" s="16" t="inlineStr">
        <is>
          <t>Core 3 · Future-ready 3 · Functional 3 · Leadership 1</t>
        </is>
      </c>
      <c r="N30" s="16" t="inlineStr">
        <is>
          <t>Microsoft / CCNA / ISO 27001 / ITIL; AWS / Azure / Kubernetes certifications</t>
        </is>
      </c>
      <c r="O30" s="16" t="inlineStr">
        <is>
          <t>None — only this department</t>
        </is>
      </c>
      <c r="P30" s="16" t="inlineStr">
        <is>
          <t>None — only Corporate</t>
        </is>
      </c>
    </row>
    <row r="31" ht="55" customHeight="1">
      <c r="A31" s="16" t="inlineStr">
        <is>
          <t>IT &amp; Infrastructure</t>
        </is>
      </c>
      <c r="B31" s="21" t="inlineStr">
        <is>
          <t>B · Specialist / Manager</t>
        </is>
      </c>
      <c r="C31" s="21" t="inlineStr">
        <is>
          <t>B1</t>
        </is>
      </c>
      <c r="D31" s="16" t="inlineStr">
        <is>
          <t>Specialist · POD Lead</t>
        </is>
      </c>
      <c r="E31" s="16" t="inlineStr">
        <is>
          <t>IT &amp; Infrastructure</t>
        </is>
      </c>
      <c r="F31" s="16" t="inlineStr">
        <is>
          <t>Infrastructure &amp; Cloud Operations</t>
        </is>
      </c>
      <c r="G31" s="16" t="inlineStr">
        <is>
          <t>Infrastructure Specialist – POD Lead</t>
        </is>
      </c>
      <c r="H31" s="16" t="inlineStr">
        <is>
          <t>POD Lead</t>
        </is>
      </c>
      <c r="I31" s="16" t="n">
        <v>1</v>
      </c>
      <c r="J31" s="16" t="inlineStr">
        <is>
          <r>
            <rPr>
              <rFont val="Calibri"/>
              <b val="1"/>
              <sz val="10"/>
            </rPr>
            <t>A3:</t>
          </r>
          <r>
            <rPr>
              <rFont val="Calibri"/>
              <sz val="10"/>
            </rPr>
            <t xml:space="preserve"> Infrastructure Specialist / Senior System Administrator → B1: IT Infrastructure Manager / Infrastructure Specialist / Infrastructure Specialist – POD Lead</t>
          </r>
        </is>
      </c>
      <c r="K31" s="16" t="inlineStr">
        <is>
          <t>Cybersecurity &amp; Infrastructure · Cloud, DevOps &amp; CI/CD</t>
        </is>
      </c>
      <c r="L31" s="16" t="inlineStr">
        <is>
          <t>Process Improvement &amp; Quality Mindset · Stakeholder &amp; Client Management · Time, Priority &amp; Self-Management · AI, GenAI &amp; Prompt Engineering</t>
        </is>
      </c>
      <c r="M31" s="16" t="inlineStr">
        <is>
          <t>Core 3 · Future-ready 3 · Functional 3 · Leadership 1</t>
        </is>
      </c>
      <c r="N31" s="16" t="inlineStr">
        <is>
          <t>Microsoft / CCNA / ISO 27001 / ITIL; AWS / Azure / Kubernetes certifications</t>
        </is>
      </c>
      <c r="O31" s="16" t="inlineStr">
        <is>
          <t>None — only this department</t>
        </is>
      </c>
      <c r="P31" s="16" t="inlineStr">
        <is>
          <t>None — only Corporate</t>
        </is>
      </c>
    </row>
    <row r="32" ht="55" customHeight="1">
      <c r="A32" s="16" t="inlineStr">
        <is>
          <t>IT &amp; Infrastructure</t>
        </is>
      </c>
      <c r="B32" s="21" t="inlineStr">
        <is>
          <t>B · Specialist / Manager</t>
        </is>
      </c>
      <c r="C32" s="21" t="inlineStr">
        <is>
          <t>B2</t>
        </is>
      </c>
      <c r="D32" s="16" t="inlineStr">
        <is>
          <t>Manager</t>
        </is>
      </c>
      <c r="E32" s="16" t="inlineStr">
        <is>
          <t>IT &amp; Infrastructure</t>
        </is>
      </c>
      <c r="F32" s="16" t="inlineStr">
        <is>
          <t>IT Infrastructure Leadership</t>
        </is>
      </c>
      <c r="G32" s="16" t="inlineStr">
        <is>
          <t>Senior IT Manager</t>
        </is>
      </c>
      <c r="H32" s="16" t="inlineStr">
        <is>
          <t>People Manager</t>
        </is>
      </c>
      <c r="I32" s="16" t="n">
        <v>1</v>
      </c>
      <c r="J32" s="16" t="inlineStr">
        <is>
          <r>
            <rPr>
              <rFont val="Calibri"/>
              <b val="1"/>
              <sz val="10"/>
            </rPr>
            <t>B2:</t>
          </r>
          <r>
            <rPr>
              <rFont val="Calibri"/>
              <sz val="10"/>
            </rPr>
            <t xml:space="preserve"> Senior IT Manager</t>
          </r>
        </is>
      </c>
      <c r="K32" s="16" t="inlineStr">
        <is>
          <t>Cybersecurity &amp; Infrastructure · Cloud, DevOps &amp; CI/CD</t>
        </is>
      </c>
      <c r="L32" s="16" t="inlineStr">
        <is>
          <t>Process Improvement &amp; Quality Mindset · Stakeholder &amp; Client Management · Time, Priority &amp; Self-Management · AI, GenAI &amp; Prompt Engineering</t>
        </is>
      </c>
      <c r="M32" s="16" t="inlineStr">
        <is>
          <t>Core 3 · Future-ready 3 · Functional 4 · Leadership 3</t>
        </is>
      </c>
      <c r="N32" s="16" t="inlineStr">
        <is>
          <t>Microsoft / CCNA / ISO 27001 / ITIL; AWS / Azure / Kubernetes certifications</t>
        </is>
      </c>
      <c r="O32" s="16" t="inlineStr">
        <is>
          <t>None — only this department</t>
        </is>
      </c>
      <c r="P32" s="16" t="inlineStr">
        <is>
          <t>None — only Corporate</t>
        </is>
      </c>
    </row>
    <row r="33" ht="55" customHeight="1">
      <c r="A33" s="16" t="inlineStr">
        <is>
          <t>Management</t>
        </is>
      </c>
      <c r="B33" s="145" t="inlineStr">
        <is>
          <t>E · Enterprise leadership</t>
        </is>
      </c>
      <c r="C33" s="145" t="inlineStr">
        <is>
          <t>E1</t>
        </is>
      </c>
      <c r="D33" s="16" t="inlineStr">
        <is>
          <t>CXO / President</t>
        </is>
      </c>
      <c r="E33" s="16" t="inlineStr">
        <is>
          <t>Executive Leadership</t>
        </is>
      </c>
      <c r="F33" s="16" t="inlineStr">
        <is>
          <t>Enterprise Leadership</t>
        </is>
      </c>
      <c r="G33" s="16" t="inlineStr">
        <is>
          <t>Chief Operating Officer</t>
        </is>
      </c>
      <c r="H33" s="16" t="inlineStr">
        <is>
          <t>People Manager</t>
        </is>
      </c>
      <c r="I33" s="16" t="n">
        <v>1</v>
      </c>
      <c r="J33" s="16" t="inlineStr">
        <is>
          <r>
            <rPr>
              <rFont val="Calibri"/>
              <b val="1"/>
              <sz val="10"/>
            </rPr>
            <t>E1:</t>
          </r>
          <r>
            <rPr>
              <rFont val="Calibri"/>
              <sz val="10"/>
            </rPr>
            <t xml:space="preserve"> Chief Operating Officer → E2: Chief Executive Officer</t>
          </r>
        </is>
      </c>
      <c r="K33" s="16" t="inlineStr">
        <is>
          <t>Strategic Thinking &amp; Business Acumen · People Leadership &amp; Mentoring</t>
        </is>
      </c>
      <c r="L33" s="16" t="inlineStr">
        <is>
          <t>Stakeholder &amp; Client Management · Product, Platform &amp; Domain Knowledge · Regulatory &amp; BFSI Domain · Communication &amp; Presentation</t>
        </is>
      </c>
      <c r="M33" s="16" t="inlineStr">
        <is>
          <t>Core 5 · Future-ready 5 · Functional 4 · Leadership 5</t>
        </is>
      </c>
      <c r="N33" s="16" t="inlineStr">
        <is>
          <t>MBA / PGDM · preferred at C+</t>
        </is>
      </c>
      <c r="O33" s="241" t="inlineStr">
        <is>
          <t>Finance · Technology</t>
        </is>
      </c>
      <c r="P33" s="139" t="inlineStr">
        <is>
          <r>
            <rPr>
              <rFont val="Calibri"/>
              <sz val="10"/>
            </rPr>
            <t xml:space="preserve">CARBON 1
</t>
          </r>
          <r>
            <rPr>
              <rFont val="Calibri"/>
              <b val="1"/>
              <sz val="10"/>
            </rPr>
            <t>Titled there:</t>
          </r>
          <r>
            <rPr>
              <rFont val="Calibri"/>
              <sz val="10"/>
            </rPr>
            <t xml:space="preserve"> Chief Revenue Officer</t>
          </r>
        </is>
      </c>
    </row>
    <row r="34" ht="55" customHeight="1">
      <c r="A34" s="16" t="inlineStr">
        <is>
          <t>Management</t>
        </is>
      </c>
      <c r="B34" s="145" t="inlineStr">
        <is>
          <t>E · Enterprise leadership</t>
        </is>
      </c>
      <c r="C34" s="145" t="inlineStr">
        <is>
          <t>E2</t>
        </is>
      </c>
      <c r="D34" s="16" t="inlineStr">
        <is>
          <t>Chief Executive Officer</t>
        </is>
      </c>
      <c r="E34" s="16" t="inlineStr">
        <is>
          <t>Executive Leadership</t>
        </is>
      </c>
      <c r="F34" s="16" t="inlineStr">
        <is>
          <t>Enterprise Leadership</t>
        </is>
      </c>
      <c r="G34" s="16" t="inlineStr">
        <is>
          <t>Chief Executive Officer</t>
        </is>
      </c>
      <c r="H34" s="16" t="inlineStr">
        <is>
          <t>People Manager</t>
        </is>
      </c>
      <c r="I34" s="16" t="n">
        <v>1</v>
      </c>
      <c r="J34" s="16" t="inlineStr">
        <is>
          <r>
            <rPr>
              <rFont val="Calibri"/>
              <b val="1"/>
              <sz val="10"/>
            </rPr>
            <t>E1:</t>
          </r>
          <r>
            <rPr>
              <rFont val="Calibri"/>
              <sz val="10"/>
            </rPr>
            <t xml:space="preserve"> Chief Operating Officer → E2: Chief Executive Officer</t>
          </r>
        </is>
      </c>
      <c r="K34" s="16" t="inlineStr">
        <is>
          <t>Strategic Thinking &amp; Business Acumen · People Leadership &amp; Mentoring</t>
        </is>
      </c>
      <c r="L34" s="16" t="inlineStr">
        <is>
          <t>Stakeholder &amp; Client Management · Product, Platform &amp; Domain Knowledge · Regulatory &amp; BFSI Domain · Communication &amp; Presentation</t>
        </is>
      </c>
      <c r="M34" s="16" t="inlineStr">
        <is>
          <t>Core 5 · Future-ready 5 · Functional 4 · Leadership 5</t>
        </is>
      </c>
      <c r="N34" s="16" t="inlineStr">
        <is>
          <t>MBA / PGDM · preferred at C+</t>
        </is>
      </c>
      <c r="O34" s="16" t="inlineStr">
        <is>
          <t>None — only this department</t>
        </is>
      </c>
      <c r="P34" s="16" t="inlineStr">
        <is>
          <t>None — only Corporate</t>
        </is>
      </c>
    </row>
    <row r="35" ht="68" customHeight="1">
      <c r="A35" s="16" t="inlineStr">
        <is>
          <t>Marketing</t>
        </is>
      </c>
      <c r="B35" s="139" t="inlineStr">
        <is>
          <t>A · Practitioner</t>
        </is>
      </c>
      <c r="C35" s="139" t="inlineStr">
        <is>
          <t>A3</t>
        </is>
      </c>
      <c r="D35" s="16" t="inlineStr">
        <is>
          <t>Senior Associate</t>
        </is>
      </c>
      <c r="E35" s="16" t="inlineStr">
        <is>
          <t>Design &amp; Creative</t>
        </is>
      </c>
      <c r="F35" s="16" t="inlineStr">
        <is>
          <t>Brand, Graphic &amp; Video Design</t>
        </is>
      </c>
      <c r="G35" s="16" t="inlineStr">
        <is>
          <t>Senior Designer</t>
        </is>
      </c>
      <c r="H35" s="16" t="inlineStr">
        <is>
          <t>IC</t>
        </is>
      </c>
      <c r="I35" s="16" t="n">
        <v>1</v>
      </c>
      <c r="J35" s="16" t="inlineStr">
        <is>
          <r>
            <rPr>
              <rFont val="Calibri"/>
              <b val="1"/>
              <sz val="10"/>
            </rPr>
            <t>A3:</t>
          </r>
          <r>
            <rPr>
              <rFont val="Calibri"/>
              <sz val="10"/>
            </rPr>
            <t xml:space="preserve"> Senior Designer</t>
          </r>
        </is>
      </c>
      <c r="K35" s="16" t="inlineStr">
        <is>
          <t>Product, Platform &amp; Domain Knowledge · Communication &amp; Presentation</t>
        </is>
      </c>
      <c r="L35" s="16" t="inlineStr">
        <is>
          <t>Marketing Tech &amp; Digital Marketing · Process Improvement &amp; Quality Mindset · AI, GenAI &amp; Prompt Engineering · Stakeholder &amp; Client Management</t>
        </is>
      </c>
      <c r="M35" s="16" t="inlineStr">
        <is>
          <t>Core 2 · Future-ready 2 · Functional 3 · Leadership —</t>
        </is>
      </c>
      <c r="N35" s="16" t="inlineStr">
        <is>
          <t>Internal product certification</t>
        </is>
      </c>
      <c r="O35" s="16" t="inlineStr">
        <is>
          <t>None — only this department</t>
        </is>
      </c>
      <c r="P35" s="139" t="inlineStr">
        <is>
          <t>CARBON 1
Same title</t>
        </is>
      </c>
    </row>
    <row r="36" ht="68" customHeight="1">
      <c r="A36" s="16" t="inlineStr">
        <is>
          <t>Marketing</t>
        </is>
      </c>
      <c r="B36" s="139" t="inlineStr">
        <is>
          <t>A · Practitioner</t>
        </is>
      </c>
      <c r="C36" s="139" t="inlineStr">
        <is>
          <t>A3</t>
        </is>
      </c>
      <c r="D36" s="16" t="inlineStr">
        <is>
          <t>Senior Associate</t>
        </is>
      </c>
      <c r="E36" s="16" t="inlineStr">
        <is>
          <t>Marketing &amp; Communications</t>
        </is>
      </c>
      <c r="F36" s="16" t="inlineStr">
        <is>
          <t>Marketing Operations &amp; Automation</t>
        </is>
      </c>
      <c r="G36" s="16" t="inlineStr">
        <is>
          <t>Senior Marketing Operations Associate</t>
        </is>
      </c>
      <c r="H36" s="16" t="inlineStr">
        <is>
          <t>IC</t>
        </is>
      </c>
      <c r="I36" s="16" t="n">
        <v>1</v>
      </c>
      <c r="J36" s="16" t="inlineStr">
        <is>
          <r>
            <rPr>
              <rFont val="Calibri"/>
              <b val="1"/>
              <sz val="10"/>
            </rPr>
            <t>A3:</t>
          </r>
          <r>
            <rPr>
              <rFont val="Calibri"/>
              <sz val="10"/>
            </rPr>
            <t xml:space="preserve"> Senior Marketing Operations Associate</t>
          </r>
        </is>
      </c>
      <c r="K36" s="16" t="inlineStr">
        <is>
          <t>Marketing Tech &amp; Digital Marketing · Communication &amp; Presentation</t>
        </is>
      </c>
      <c r="L36" s="16" t="inlineStr">
        <is>
          <t>Data Analytics, BI &amp; Visualisation · AI, GenAI &amp; Prompt Engineering · Product, Platform &amp; Domain Knowledge · Strategic Thinking &amp; Business Acumen</t>
        </is>
      </c>
      <c r="M36" s="16" t="inlineStr">
        <is>
          <t>Core 2 · Future-ready 2 · Functional 3 · Leadership —</t>
        </is>
      </c>
      <c r="N36" s="16" t="inlineStr">
        <is>
          <t>Google / HubSpot certifications</t>
        </is>
      </c>
      <c r="O36" s="16" t="inlineStr">
        <is>
          <t>None — only this department</t>
        </is>
      </c>
      <c r="P36" s="139" t="inlineStr">
        <is>
          <t>CARBON 1 · iFile 1
Same title</t>
        </is>
      </c>
    </row>
    <row r="37" ht="68" customHeight="1">
      <c r="A37" s="16" t="inlineStr">
        <is>
          <t>Marketing</t>
        </is>
      </c>
      <c r="B37" s="21" t="inlineStr">
        <is>
          <t>B · Specialist / Manager</t>
        </is>
      </c>
      <c r="C37" s="21" t="inlineStr">
        <is>
          <t>B2</t>
        </is>
      </c>
      <c r="D37" s="16" t="inlineStr">
        <is>
          <t>Senior Specialist</t>
        </is>
      </c>
      <c r="E37" s="16" t="inlineStr">
        <is>
          <t>Marketing &amp; Communications</t>
        </is>
      </c>
      <c r="F37" s="16" t="inlineStr">
        <is>
          <t>Content Marketing</t>
        </is>
      </c>
      <c r="G37" s="16" t="inlineStr">
        <is>
          <t>Senior Content Marketing Specialist</t>
        </is>
      </c>
      <c r="H37" s="16" t="inlineStr">
        <is>
          <t>IC</t>
        </is>
      </c>
      <c r="I37" s="16" t="n">
        <v>1</v>
      </c>
      <c r="J37" s="16" t="inlineStr">
        <is>
          <r>
            <rPr>
              <rFont val="Calibri"/>
              <b val="1"/>
              <sz val="10"/>
            </rPr>
            <t>B2:</t>
          </r>
          <r>
            <rPr>
              <rFont val="Calibri"/>
              <sz val="10"/>
            </rPr>
            <t xml:space="preserve"> Senior Content Marketing Specialist</t>
          </r>
        </is>
      </c>
      <c r="K37" s="16" t="inlineStr">
        <is>
          <t>Marketing Tech &amp; Digital Marketing · Communication &amp; Presentation</t>
        </is>
      </c>
      <c r="L37" s="16" t="inlineStr">
        <is>
          <t>Data Analytics, BI &amp; Visualisation · AI, GenAI &amp; Prompt Engineering · Product, Platform &amp; Domain Knowledge · Strategic Thinking &amp; Business Acumen</t>
        </is>
      </c>
      <c r="M37" s="16" t="inlineStr">
        <is>
          <t>Core 3 · Future-ready 3 · Functional 4 · Leadership 2</t>
        </is>
      </c>
      <c r="N37" s="16" t="inlineStr">
        <is>
          <t>Google / HubSpot certifications</t>
        </is>
      </c>
      <c r="O37" s="16" t="inlineStr">
        <is>
          <t>None — only this department</t>
        </is>
      </c>
      <c r="P37" s="16" t="inlineStr">
        <is>
          <t>None — only Corporate</t>
        </is>
      </c>
    </row>
    <row r="38" ht="68" customHeight="1">
      <c r="A38" s="16" t="inlineStr">
        <is>
          <t>Secretarial &amp; Legal</t>
        </is>
      </c>
      <c r="B38" s="139" t="inlineStr">
        <is>
          <t>A · Practitioner</t>
        </is>
      </c>
      <c r="C38" s="139" t="inlineStr">
        <is>
          <t>A1</t>
        </is>
      </c>
      <c r="D38" s="16" t="inlineStr">
        <is>
          <t>Intern / Trainee</t>
        </is>
      </c>
      <c r="E38" s="16" t="inlineStr">
        <is>
          <t>Administration, Legal &amp; Secretarial</t>
        </is>
      </c>
      <c r="F38" s="16" t="inlineStr">
        <is>
          <t>Company Secretarial &amp; Legal</t>
        </is>
      </c>
      <c r="G38" s="16" t="inlineStr">
        <is>
          <t>Intern – Company Secretarial &amp; Legal</t>
        </is>
      </c>
      <c r="H38" s="16" t="inlineStr">
        <is>
          <t>IC</t>
        </is>
      </c>
      <c r="I38" s="16" t="n">
        <v>1</v>
      </c>
      <c r="J38" s="16" t="inlineStr">
        <is>
          <r>
            <rPr>
              <rFont val="Calibri"/>
              <b val="1"/>
              <sz val="10"/>
            </rPr>
            <t>A1:</t>
          </r>
          <r>
            <rPr>
              <rFont val="Calibri"/>
              <sz val="10"/>
            </rPr>
            <t xml:space="preserve"> Intern – Company Secretarial &amp; Legal → A3: Senior Secretarial Executive → C1: Company Secretary – POD Lead</t>
          </r>
        </is>
      </c>
      <c r="K38" s="16" t="inlineStr">
        <is>
          <t>Regulatory &amp; BFSI Domain · Stakeholder &amp; Client Management</t>
        </is>
      </c>
      <c r="L38" s="16" t="inlineStr">
        <is>
          <t>Process Improvement &amp; Quality Mindset · Advanced Excel &amp; Productivity Tools · Communication &amp; Presentation · Time, Priority &amp; Self-Management</t>
        </is>
      </c>
      <c r="M38" s="16" t="inlineStr">
        <is>
          <t>Core 1 · Future-ready 1 · Functional 1 · Leadership —</t>
        </is>
      </c>
      <c r="N38" s="16" t="inlineStr">
        <is>
          <t>Domain certifications · optional</t>
        </is>
      </c>
      <c r="O38" s="16" t="inlineStr">
        <is>
          <t>None — only this department</t>
        </is>
      </c>
      <c r="P38" s="16" t="inlineStr">
        <is>
          <t>None — only Corporate</t>
        </is>
      </c>
    </row>
    <row r="39" ht="68" customHeight="1">
      <c r="A39" s="16" t="inlineStr">
        <is>
          <t>Secretarial &amp; Legal</t>
        </is>
      </c>
      <c r="B39" s="139" t="inlineStr">
        <is>
          <t>A · Practitioner</t>
        </is>
      </c>
      <c r="C39" s="139" t="inlineStr">
        <is>
          <t>A3</t>
        </is>
      </c>
      <c r="D39" s="16" t="inlineStr">
        <is>
          <t>Senior Associate</t>
        </is>
      </c>
      <c r="E39" s="16" t="inlineStr">
        <is>
          <t>Administration, Legal &amp; Secretarial</t>
        </is>
      </c>
      <c r="F39" s="16" t="inlineStr">
        <is>
          <t>Company Secretarial &amp; Legal</t>
        </is>
      </c>
      <c r="G39" s="16" t="inlineStr">
        <is>
          <t>Senior Secretarial Executive</t>
        </is>
      </c>
      <c r="H39" s="16" t="inlineStr">
        <is>
          <t>IC</t>
        </is>
      </c>
      <c r="I39" s="16" t="n">
        <v>1</v>
      </c>
      <c r="J39" s="16" t="inlineStr">
        <is>
          <r>
            <rPr>
              <rFont val="Calibri"/>
              <b val="1"/>
              <sz val="10"/>
            </rPr>
            <t>A1:</t>
          </r>
          <r>
            <rPr>
              <rFont val="Calibri"/>
              <sz val="10"/>
            </rPr>
            <t xml:space="preserve"> Intern – Company Secretarial &amp; Legal → A3: Senior Secretarial Executive → C1: Company Secretary – POD Lead</t>
          </r>
        </is>
      </c>
      <c r="K39" s="16" t="inlineStr">
        <is>
          <t>Regulatory &amp; BFSI Domain · Stakeholder &amp; Client Management</t>
        </is>
      </c>
      <c r="L39" s="16" t="inlineStr">
        <is>
          <t>Process Improvement &amp; Quality Mindset · Advanced Excel &amp; Productivity Tools · Communication &amp; Presentation · Time, Priority &amp; Self-Management</t>
        </is>
      </c>
      <c r="M39" s="16" t="inlineStr">
        <is>
          <t>Core 2 · Future-ready 2 · Functional 3 · Leadership —</t>
        </is>
      </c>
      <c r="N39" s="16" t="inlineStr">
        <is>
          <t>Domain certifications · optional</t>
        </is>
      </c>
      <c r="O39" s="16" t="inlineStr">
        <is>
          <t>None — only this department</t>
        </is>
      </c>
      <c r="P39" s="16" t="inlineStr">
        <is>
          <t>None — only Corporate</t>
        </is>
      </c>
    </row>
    <row r="40" ht="68" customHeight="1">
      <c r="A40" s="16" t="inlineStr">
        <is>
          <t>Secretarial &amp; Legal</t>
        </is>
      </c>
      <c r="B40" s="146" t="inlineStr">
        <is>
          <t>C · Principal / Head</t>
        </is>
      </c>
      <c r="C40" s="146" t="inlineStr">
        <is>
          <t>C1</t>
        </is>
      </c>
      <c r="D40" s="16" t="inlineStr">
        <is>
          <t>Principal · POD Lead</t>
        </is>
      </c>
      <c r="E40" s="16" t="inlineStr">
        <is>
          <t>Administration, Legal &amp; Secretarial</t>
        </is>
      </c>
      <c r="F40" s="16" t="inlineStr">
        <is>
          <t>Company Secretarial &amp; Legal</t>
        </is>
      </c>
      <c r="G40" s="16" t="inlineStr">
        <is>
          <t>Company Secretary – POD Lead</t>
        </is>
      </c>
      <c r="H40" s="16" t="inlineStr">
        <is>
          <t>POD Lead</t>
        </is>
      </c>
      <c r="I40" s="16" t="n">
        <v>1</v>
      </c>
      <c r="J40" s="16" t="inlineStr">
        <is>
          <r>
            <rPr>
              <rFont val="Calibri"/>
              <b val="1"/>
              <sz val="10"/>
            </rPr>
            <t>A1:</t>
          </r>
          <r>
            <rPr>
              <rFont val="Calibri"/>
              <sz val="10"/>
            </rPr>
            <t xml:space="preserve"> Intern – Company Secretarial &amp; Legal → A3: Senior Secretarial Executive → C1: Company Secretary – POD Lead</t>
          </r>
        </is>
      </c>
      <c r="K40" s="16" t="inlineStr">
        <is>
          <t>Regulatory &amp; BFSI Domain · Stakeholder &amp; Client Management</t>
        </is>
      </c>
      <c r="L40" s="16" t="inlineStr">
        <is>
          <t>Process Improvement &amp; Quality Mindset · Advanced Excel &amp; Productivity Tools · Communication &amp; Presentation · Time, Priority &amp; Self-Management</t>
        </is>
      </c>
      <c r="M40" s="16" t="inlineStr">
        <is>
          <t>Core 4 · Future-ready 4 · Functional 4 · Leadership 4</t>
        </is>
      </c>
      <c r="N40" s="16" t="inlineStr">
        <is>
          <t>Domain certifications · optional</t>
        </is>
      </c>
      <c r="O40" s="16" t="inlineStr">
        <is>
          <t>None — only this department</t>
        </is>
      </c>
      <c r="P40" s="16" t="inlineStr">
        <is>
          <t>None — only Corporate</t>
        </is>
      </c>
    </row>
    <row r="41" ht="68" customHeight="1">
      <c r="A41" s="16" t="inlineStr">
        <is>
          <t>Technology</t>
        </is>
      </c>
      <c r="B41" s="21" t="inlineStr">
        <is>
          <t>B · Specialist / Manager</t>
        </is>
      </c>
      <c r="C41" s="21" t="inlineStr">
        <is>
          <t>B3</t>
        </is>
      </c>
      <c r="D41" s="16" t="inlineStr">
        <is>
          <t>Lead Specialist</t>
        </is>
      </c>
      <c r="E41" s="16" t="inlineStr">
        <is>
          <t>Project &amp; Program Management</t>
        </is>
      </c>
      <c r="F41" s="16" t="inlineStr">
        <is>
          <t>PMO &amp; Delivery Excellence</t>
        </is>
      </c>
      <c r="G41" s="16" t="inlineStr">
        <is>
          <t>Agile Coach</t>
        </is>
      </c>
      <c r="H41" s="16" t="inlineStr">
        <is>
          <t>IC</t>
        </is>
      </c>
      <c r="I41" s="16" t="n">
        <v>1</v>
      </c>
      <c r="J41" s="16" t="inlineStr">
        <is>
          <r>
            <rPr>
              <rFont val="Calibri"/>
              <b val="1"/>
              <sz val="10"/>
            </rPr>
            <t>B3:</t>
          </r>
          <r>
            <rPr>
              <rFont val="Calibri"/>
              <sz val="10"/>
            </rPr>
            <t xml:space="preserve"> Agile Coach</t>
          </r>
        </is>
      </c>
      <c r="K41" s="16" t="inlineStr">
        <is>
          <t>Project, Program &amp; Agile Management · Stakeholder &amp; Client Management</t>
        </is>
      </c>
      <c r="L41" s="16" t="inlineStr">
        <is>
          <t>Communication &amp; Presentation · Process Improvement &amp; Quality Mindset · Strategic Thinking &amp; Business Acumen · Product, Platform &amp; Domain Knowledge</t>
        </is>
      </c>
      <c r="M41" s="16" t="inlineStr">
        <is>
          <t>Core 4 · Future-ready 3 · Functional 4 · Leadership 3</t>
        </is>
      </c>
      <c r="N41" s="16" t="inlineStr">
        <is>
          <t>PMP / PRINCE2 / CSM / SAFe</t>
        </is>
      </c>
      <c r="O41" s="16" t="inlineStr">
        <is>
          <t>None — only this department</t>
        </is>
      </c>
      <c r="P41" s="16" t="inlineStr">
        <is>
          <t>None — only Corporate</t>
        </is>
      </c>
    </row>
    <row r="42" ht="55" customHeight="1">
      <c r="A42" s="16" t="inlineStr">
        <is>
          <t>Technology</t>
        </is>
      </c>
      <c r="B42" s="145" t="inlineStr">
        <is>
          <t>E · Enterprise leadership</t>
        </is>
      </c>
      <c r="C42" s="145" t="inlineStr">
        <is>
          <t>E1</t>
        </is>
      </c>
      <c r="D42" s="16" t="inlineStr">
        <is>
          <t>CXO / President</t>
        </is>
      </c>
      <c r="E42" s="16" t="inlineStr">
        <is>
          <t>Executive Leadership</t>
        </is>
      </c>
      <c r="F42" s="16" t="inlineStr">
        <is>
          <t>Enterprise Leadership</t>
        </is>
      </c>
      <c r="G42" s="16" t="inlineStr">
        <is>
          <t>Chief Technology Officer</t>
        </is>
      </c>
      <c r="H42" s="16" t="inlineStr">
        <is>
          <t>People Manager</t>
        </is>
      </c>
      <c r="I42" s="16" t="n">
        <v>1</v>
      </c>
      <c r="J42" s="16" t="inlineStr">
        <is>
          <r>
            <rPr>
              <rFont val="Calibri"/>
              <b val="1"/>
              <sz val="10"/>
            </rPr>
            <t>E1:</t>
          </r>
          <r>
            <rPr>
              <rFont val="Calibri"/>
              <sz val="10"/>
            </rPr>
            <t xml:space="preserve"> Chief Technology Officer</t>
          </r>
        </is>
      </c>
      <c r="K42" s="16" t="inlineStr">
        <is>
          <t>Strategic Thinking &amp; Business Acumen · People Leadership &amp; Mentoring</t>
        </is>
      </c>
      <c r="L42" s="16" t="inlineStr">
        <is>
          <t>Stakeholder &amp; Client Management · Product, Platform &amp; Domain Knowledge · Regulatory &amp; BFSI Domain · Communication &amp; Presentation</t>
        </is>
      </c>
      <c r="M42" s="16" t="inlineStr">
        <is>
          <t>Core 5 · Future-ready 5 · Functional 4 · Leadership 5</t>
        </is>
      </c>
      <c r="N42" s="16" t="inlineStr">
        <is>
          <t>MBA / PGDM · preferred at C+</t>
        </is>
      </c>
      <c r="O42" s="241" t="inlineStr">
        <is>
          <t>Finance · Management</t>
        </is>
      </c>
      <c r="P42" s="139" t="inlineStr">
        <is>
          <r>
            <rPr>
              <rFont val="Calibri"/>
              <sz val="10"/>
            </rPr>
            <t xml:space="preserve">CARBON 1
</t>
          </r>
          <r>
            <rPr>
              <rFont val="Calibri"/>
              <b val="1"/>
              <sz val="10"/>
            </rPr>
            <t>Titled there:</t>
          </r>
          <r>
            <rPr>
              <rFont val="Calibri"/>
              <sz val="10"/>
            </rPr>
            <t xml:space="preserve"> Chief Revenue Officer</t>
          </r>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26.xml><?xml version="1.0" encoding="utf-8"?>
<worksheet xmlns="http://schemas.openxmlformats.org/spreadsheetml/2006/main">
  <sheetPr>
    <outlinePr summaryBelow="1" summaryRight="1"/>
    <pageSetUpPr/>
  </sheetPr>
  <dimension ref="A1:Q49"/>
  <sheetViews>
    <sheetView workbookViewId="0">
      <selection activeCell="A1" sqref="A1"/>
    </sheetView>
  </sheetViews>
  <sheetFormatPr baseColWidth="8" defaultRowHeight="15"/>
  <sheetData>
    <row r="1">
      <c r="A1" t="inlineStr">
        <is>
          <t>Corporate</t>
        </is>
      </c>
      <c r="B1" t="inlineStr">
        <is>
          <t>Administration</t>
        </is>
      </c>
      <c r="D1" t="inlineStr">
        <is>
          <t>Ashish Pawar</t>
        </is>
      </c>
      <c r="E1" t="inlineStr">
        <is>
          <t>IRIS2431</t>
        </is>
      </c>
      <c r="F1" t="inlineStr">
        <is>
          <t>Corporate|Administration</t>
        </is>
      </c>
      <c r="H1" t="inlineStr">
        <is>
          <t>Corporate|Administration|Ashish Pawar</t>
        </is>
      </c>
      <c r="I1" t="inlineStr">
        <is>
          <t>IRIS2431</t>
        </is>
      </c>
      <c r="J1" t="n">
        <v>2</v>
      </c>
      <c r="L1">
        <f>IF(TRUE,1,0)</f>
        <v>1</v>
      </c>
      <c r="M1" t="str">
        <f>IFERROR(INDEX($A$1:$A$1,MATCH(1,$L$1:$L$1,0)),"")</f>
        <v>Corporate</v>
      </c>
      <c r="N1">
        <f>IF(AND(LEFT($F1,LEN('1b. Person Card'!$J$5)+1)='1b. Person Card'!$J$5&amp;"|",OR('1b. Person Card'!$F$5="",ISNUMBER(SEARCH('1b. Person Card'!$F$5,MID($F1,LEN('1b. Person Card'!$J$5)+2,250))))),1,0)</f>
        <v>1</v>
      </c>
      <c r="O1" t="str">
        <f>IFERROR(MID(INDEX($F$1:$F$8,MATCH(1,$N$1:$N$8,0)),LEN('1b. Person Card'!$J$5)+2,250),"")</f>
        <v>Administration</v>
      </c>
      <c r="P1">
        <f>IF(AND(LEFT($H1,LEN('1b. Person Card'!$J$5)+LEN('1b. Person Card'!$B$5)+2)='1b. Person Card'!$J$5&amp;"|"&amp;'1b. Person Card'!$B$5&amp;"|",OR('1b. Person Card'!$F$6="",ISNUMBER(SEARCH('1b. Person Card'!$F$6,$D1)))),1,0)</f>
        <v>1</v>
      </c>
      <c r="Q1" t="str">
        <f>IFERROR(INDEX($D$1:$D$49,MATCH(1,$P$1:$P$49,0)),"")</f>
        <v>Ashish Pawar</v>
      </c>
    </row>
    <row r="2">
      <c r="B2" t="inlineStr">
        <is>
          <t>Finance</t>
        </is>
      </c>
      <c r="D2" t="inlineStr">
        <is>
          <t>Ganesh Prabhakar Amrutsagar</t>
        </is>
      </c>
      <c r="E2" t="inlineStr">
        <is>
          <t>IRISC291</t>
        </is>
      </c>
      <c r="F2" t="inlineStr">
        <is>
          <t>Corporate|Finance</t>
        </is>
      </c>
      <c r="H2" t="inlineStr">
        <is>
          <t>Corporate|Administration|Ganesh Prabhakar Amrutsagar</t>
        </is>
      </c>
      <c r="I2" t="inlineStr">
        <is>
          <t>IRISC291</t>
        </is>
      </c>
      <c r="J2" t="n">
        <v>6</v>
      </c>
      <c r="N2">
        <f>IF(AND(LEFT($F2,LEN('1b. Person Card'!$J$5)+1)='1b. Person Card'!$J$5&amp;"|",OR('1b. Person Card'!$F$5="",ISNUMBER(SEARCH('1b. Person Card'!$F$5,MID($F2,LEN('1b. Person Card'!$J$5)+2,250))))),1,0)+N1</f>
        <v>2</v>
      </c>
      <c r="O2" t="str">
        <f>IFERROR(MID(INDEX($F$1:$F$8,MATCH(2,$N$1:$N$8,0)),LEN('1b. Person Card'!$J$5)+2,250),"")</f>
        <v>Finance</v>
      </c>
      <c r="P2">
        <f>IF(AND(LEFT($H2,LEN('1b. Person Card'!$J$5)+LEN('1b. Person Card'!$B$5)+2)='1b. Person Card'!$J$5&amp;"|"&amp;'1b. Person Card'!$B$5&amp;"|",OR('1b. Person Card'!$F$6="",ISNUMBER(SEARCH('1b. Person Card'!$F$6,$D2)))),1,0)+P1</f>
        <v>2</v>
      </c>
      <c r="Q2" t="str">
        <f>IFERROR(INDEX($D$1:$D$49,MATCH(2,$P$1:$P$49,0)),"")</f>
        <v>Ganesh Prabhakar Amrutsagar</v>
      </c>
    </row>
    <row r="3">
      <c r="B3" t="inlineStr">
        <is>
          <t>HR</t>
        </is>
      </c>
      <c r="D3" t="inlineStr">
        <is>
          <t>Mangesh Kosty</t>
        </is>
      </c>
      <c r="E3" t="inlineStr">
        <is>
          <t>IRIS0020</t>
        </is>
      </c>
      <c r="F3" t="inlineStr">
        <is>
          <t>Corporate|HR</t>
        </is>
      </c>
      <c r="H3" t="inlineStr">
        <is>
          <t>Corporate|Administration|Mangesh Kosty</t>
        </is>
      </c>
      <c r="I3" t="inlineStr">
        <is>
          <t>IRIS0020</t>
        </is>
      </c>
      <c r="J3" t="n">
        <v>3</v>
      </c>
      <c r="N3">
        <f>IF(AND(LEFT($F3,LEN('1b. Person Card'!$J$5)+1)='1b. Person Card'!$J$5&amp;"|",OR('1b. Person Card'!$F$5="",ISNUMBER(SEARCH('1b. Person Card'!$F$5,MID($F3,LEN('1b. Person Card'!$J$5)+2,250))))),1,0)+N2</f>
        <v>3</v>
      </c>
      <c r="O3" t="str">
        <f>IFERROR(MID(INDEX($F$1:$F$8,MATCH(3,$N$1:$N$8,0)),LEN('1b. Person Card'!$J$5)+2,250),"")</f>
        <v>HR</v>
      </c>
      <c r="P3">
        <f>IF(AND(LEFT($H3,LEN('1b. Person Card'!$J$5)+LEN('1b. Person Card'!$B$5)+2)='1b. Person Card'!$J$5&amp;"|"&amp;'1b. Person Card'!$B$5&amp;"|",OR('1b. Person Card'!$F$6="",ISNUMBER(SEARCH('1b. Person Card'!$F$6,$D3)))),1,0)+P2</f>
        <v>3</v>
      </c>
      <c r="Q3" t="str">
        <f>IFERROR(INDEX($D$1:$D$49,MATCH(3,$P$1:$P$49,0)),"")</f>
        <v>Mangesh Kosty</v>
      </c>
    </row>
    <row r="4">
      <c r="B4" t="inlineStr">
        <is>
          <t>IT &amp; Infrastructure</t>
        </is>
      </c>
      <c r="D4" t="inlineStr">
        <is>
          <t>Rajesh Khurambe</t>
        </is>
      </c>
      <c r="E4" t="inlineStr">
        <is>
          <t>IRIS0021</t>
        </is>
      </c>
      <c r="F4" t="inlineStr">
        <is>
          <t>Corporate|IT &amp; Infrastructure</t>
        </is>
      </c>
      <c r="H4" t="inlineStr">
        <is>
          <t>Corporate|Administration|Rajesh Khurambe</t>
        </is>
      </c>
      <c r="I4" t="inlineStr">
        <is>
          <t>IRIS0021</t>
        </is>
      </c>
      <c r="J4" t="n">
        <v>4</v>
      </c>
      <c r="N4">
        <f>IF(AND(LEFT($F4,LEN('1b. Person Card'!$J$5)+1)='1b. Person Card'!$J$5&amp;"|",OR('1b. Person Card'!$F$5="",ISNUMBER(SEARCH('1b. Person Card'!$F$5,MID($F4,LEN('1b. Person Card'!$J$5)+2,250))))),1,0)+N3</f>
        <v>4</v>
      </c>
      <c r="O4" t="str">
        <f>IFERROR(MID(INDEX($F$1:$F$8,MATCH(4,$N$1:$N$8,0)),LEN('1b. Person Card'!$J$5)+2,250),"")</f>
        <v>IT &amp; Infrastructure</v>
      </c>
      <c r="P4">
        <f>IF(AND(LEFT($H4,LEN('1b. Person Card'!$J$5)+LEN('1b. Person Card'!$B$5)+2)='1b. Person Card'!$J$5&amp;"|"&amp;'1b. Person Card'!$B$5&amp;"|",OR('1b. Person Card'!$F$6="",ISNUMBER(SEARCH('1b. Person Card'!$F$6,$D4)))),1,0)+P3</f>
        <v>4</v>
      </c>
      <c r="Q4" t="str">
        <f>IFERROR(INDEX($D$1:$D$49,MATCH(4,$P$1:$P$49,0)),"")</f>
        <v>Rajesh Khurambe</v>
      </c>
    </row>
    <row r="5">
      <c r="B5" t="inlineStr">
        <is>
          <t>Management</t>
        </is>
      </c>
      <c r="D5" t="inlineStr">
        <is>
          <t>Sujit Acharya</t>
        </is>
      </c>
      <c r="E5" t="inlineStr">
        <is>
          <t>IRIS1326</t>
        </is>
      </c>
      <c r="F5" t="inlineStr">
        <is>
          <t>Corporate|Management</t>
        </is>
      </c>
      <c r="H5" t="inlineStr">
        <is>
          <t>Corporate|Administration|Sujit Acharya</t>
        </is>
      </c>
      <c r="I5" t="inlineStr">
        <is>
          <t>IRIS1326</t>
        </is>
      </c>
      <c r="J5" t="n">
        <v>1</v>
      </c>
      <c r="N5">
        <f>IF(AND(LEFT($F5,LEN('1b. Person Card'!$J$5)+1)='1b. Person Card'!$J$5&amp;"|",OR('1b. Person Card'!$F$5="",ISNUMBER(SEARCH('1b. Person Card'!$F$5,MID($F5,LEN('1b. Person Card'!$J$5)+2,250))))),1,0)+N4</f>
        <v>5</v>
      </c>
      <c r="O5" t="str">
        <f>IFERROR(MID(INDEX($F$1:$F$8,MATCH(5,$N$1:$N$8,0)),LEN('1b. Person Card'!$J$5)+2,250),"")</f>
        <v>Management</v>
      </c>
      <c r="P5">
        <f>IF(AND(LEFT($H5,LEN('1b. Person Card'!$J$5)+LEN('1b. Person Card'!$B$5)+2)='1b. Person Card'!$J$5&amp;"|"&amp;'1b. Person Card'!$B$5&amp;"|",OR('1b. Person Card'!$F$6="",ISNUMBER(SEARCH('1b. Person Card'!$F$6,$D5)))),1,0)+P4</f>
        <v>5</v>
      </c>
      <c r="Q5" t="str">
        <f>IFERROR(INDEX($D$1:$D$49,MATCH(5,$P$1:$P$49,0)),"")</f>
        <v>Sujit Acharya</v>
      </c>
    </row>
    <row r="6">
      <c r="B6" t="inlineStr">
        <is>
          <t>Marketing</t>
        </is>
      </c>
      <c r="D6" t="inlineStr">
        <is>
          <t>Sunil Pawar</t>
        </is>
      </c>
      <c r="E6" t="inlineStr">
        <is>
          <t>IRIS1008</t>
        </is>
      </c>
      <c r="F6" t="inlineStr">
        <is>
          <t>Corporate|Marketing</t>
        </is>
      </c>
      <c r="H6" t="inlineStr">
        <is>
          <t>Corporate|Administration|Sunil Pawar</t>
        </is>
      </c>
      <c r="I6" t="inlineStr">
        <is>
          <t>IRIS1008</t>
        </is>
      </c>
      <c r="J6" t="n">
        <v>5</v>
      </c>
      <c r="N6">
        <f>IF(AND(LEFT($F6,LEN('1b. Person Card'!$J$5)+1)='1b. Person Card'!$J$5&amp;"|",OR('1b. Person Card'!$F$5="",ISNUMBER(SEARCH('1b. Person Card'!$F$5,MID($F6,LEN('1b. Person Card'!$J$5)+2,250))))),1,0)+N5</f>
        <v>6</v>
      </c>
      <c r="O6" t="str">
        <f>IFERROR(MID(INDEX($F$1:$F$8,MATCH(6,$N$1:$N$8,0)),LEN('1b. Person Card'!$J$5)+2,250),"")</f>
        <v>Marketing</v>
      </c>
      <c r="P6">
        <f>IF(AND(LEFT($H6,LEN('1b. Person Card'!$J$5)+LEN('1b. Person Card'!$B$5)+2)='1b. Person Card'!$J$5&amp;"|"&amp;'1b. Person Card'!$B$5&amp;"|",OR('1b. Person Card'!$F$6="",ISNUMBER(SEARCH('1b. Person Card'!$F$6,$D6)))),1,0)+P5</f>
        <v>6</v>
      </c>
      <c r="Q6" t="str">
        <f>IFERROR(INDEX($D$1:$D$49,MATCH(6,$P$1:$P$49,0)),"")</f>
        <v>Sunil Pawar</v>
      </c>
    </row>
    <row r="7">
      <c r="B7" t="inlineStr">
        <is>
          <t>Secretarial &amp; Legal</t>
        </is>
      </c>
      <c r="D7" t="inlineStr">
        <is>
          <t>Anita Chavan</t>
        </is>
      </c>
      <c r="E7" t="inlineStr">
        <is>
          <t>IRIS1724</t>
        </is>
      </c>
      <c r="F7" t="inlineStr">
        <is>
          <t>Corporate|Secretarial &amp; Legal</t>
        </is>
      </c>
      <c r="H7" t="inlineStr">
        <is>
          <t>Corporate|Finance|Anita Chavan</t>
        </is>
      </c>
      <c r="I7" t="inlineStr">
        <is>
          <t>IRIS1724</t>
        </is>
      </c>
      <c r="J7" t="n">
        <v>11</v>
      </c>
      <c r="N7">
        <f>IF(AND(LEFT($F7,LEN('1b. Person Card'!$J$5)+1)='1b. Person Card'!$J$5&amp;"|",OR('1b. Person Card'!$F$5="",ISNUMBER(SEARCH('1b. Person Card'!$F$5,MID($F7,LEN('1b. Person Card'!$J$5)+2,250))))),1,0)+N6</f>
        <v>7</v>
      </c>
      <c r="O7" t="str">
        <f>IFERROR(MID(INDEX($F$1:$F$8,MATCH(7,$N$1:$N$8,0)),LEN('1b. Person Card'!$J$5)+2,250),"")</f>
        <v>Secretarial &amp; Legal</v>
      </c>
      <c r="P7">
        <f>IF(AND(LEFT($H7,LEN('1b. Person Card'!$J$5)+LEN('1b. Person Card'!$B$5)+2)='1b. Person Card'!$J$5&amp;"|"&amp;'1b. Person Card'!$B$5&amp;"|",OR('1b. Person Card'!$F$6="",ISNUMBER(SEARCH('1b. Person Card'!$F$6,$D7)))),1,0)+P6</f>
        <v>6</v>
      </c>
      <c r="Q7">
        <f>IFERROR(INDEX($D$1:$D$49,MATCH(7,$P$1:$P$49,0)),"")</f>
      </c>
    </row>
    <row r="8">
      <c r="B8" t="inlineStr">
        <is>
          <t>Technology</t>
        </is>
      </c>
      <c r="D8" t="inlineStr">
        <is>
          <t>Bhushan Kashid</t>
        </is>
      </c>
      <c r="E8" t="inlineStr">
        <is>
          <t>IRIS2217</t>
        </is>
      </c>
      <c r="F8" t="inlineStr">
        <is>
          <t>Corporate|Technology</t>
        </is>
      </c>
      <c r="H8" t="inlineStr">
        <is>
          <t>Corporate|Finance|Bhushan Kashid</t>
        </is>
      </c>
      <c r="I8" t="inlineStr">
        <is>
          <t>IRIS2217</t>
        </is>
      </c>
      <c r="J8" t="n">
        <v>16</v>
      </c>
      <c r="N8">
        <f>IF(AND(LEFT($F8,LEN('1b. Person Card'!$J$5)+1)='1b. Person Card'!$J$5&amp;"|",OR('1b. Person Card'!$F$5="",ISNUMBER(SEARCH('1b. Person Card'!$F$5,MID($F8,LEN('1b. Person Card'!$J$5)+2,250))))),1,0)+N7</f>
        <v>8</v>
      </c>
      <c r="O8" t="str">
        <f>IFERROR(MID(INDEX($F$1:$F$8,MATCH(8,$N$1:$N$8,0)),LEN('1b. Person Card'!$J$5)+2,250),"")</f>
        <v>Technology</v>
      </c>
      <c r="P8">
        <f>IF(AND(LEFT($H8,LEN('1b. Person Card'!$J$5)+LEN('1b. Person Card'!$B$5)+2)='1b. Person Card'!$J$5&amp;"|"&amp;'1b. Person Card'!$B$5&amp;"|",OR('1b. Person Card'!$F$6="",ISNUMBER(SEARCH('1b. Person Card'!$F$6,$D8)))),1,0)+P7</f>
        <v>6</v>
      </c>
      <c r="Q8">
        <f>IFERROR(INDEX($D$1:$D$49,MATCH(8,$P$1:$P$49,0)),"")</f>
      </c>
    </row>
    <row r="9">
      <c r="D9" t="inlineStr">
        <is>
          <t>Gaurangee Gaurav Tawde</t>
        </is>
      </c>
      <c r="E9" t="inlineStr">
        <is>
          <t>IRIS1557</t>
        </is>
      </c>
      <c r="H9" t="inlineStr">
        <is>
          <t>Corporate|Finance|Gaurangee Gaurav Tawde</t>
        </is>
      </c>
      <c r="I9" t="inlineStr">
        <is>
          <t>IRIS1557</t>
        </is>
      </c>
      <c r="J9" t="n">
        <v>12</v>
      </c>
      <c r="P9">
        <f>IF(AND(LEFT($H9,LEN('1b. Person Card'!$J$5)+LEN('1b. Person Card'!$B$5)+2)='1b. Person Card'!$J$5&amp;"|"&amp;'1b. Person Card'!$B$5&amp;"|",OR('1b. Person Card'!$F$6="",ISNUMBER(SEARCH('1b. Person Card'!$F$6,$D9)))),1,0)+P8</f>
        <v>6</v>
      </c>
      <c r="Q9">
        <f>IFERROR(INDEX($D$1:$D$49,MATCH(9,$P$1:$P$49,0)),"")</f>
      </c>
    </row>
    <row r="10">
      <c r="D10" t="inlineStr">
        <is>
          <t>Lalit Choudhary</t>
        </is>
      </c>
      <c r="E10" t="inlineStr">
        <is>
          <t>IRIS2547</t>
        </is>
      </c>
      <c r="H10" t="inlineStr">
        <is>
          <t>Corporate|Finance|Lalit Choudhary</t>
        </is>
      </c>
      <c r="I10" t="inlineStr">
        <is>
          <t>IRIS2547</t>
        </is>
      </c>
      <c r="J10" t="n">
        <v>13</v>
      </c>
      <c r="P10">
        <f>IF(AND(LEFT($H10,LEN('1b. Person Card'!$J$5)+LEN('1b. Person Card'!$B$5)+2)='1b. Person Card'!$J$5&amp;"|"&amp;'1b. Person Card'!$B$5&amp;"|",OR('1b. Person Card'!$F$6="",ISNUMBER(SEARCH('1b. Person Card'!$F$6,$D10)))),1,0)+P9</f>
        <v>6</v>
      </c>
      <c r="Q10">
        <f>IFERROR(INDEX($D$1:$D$49,MATCH(10,$P$1:$P$49,0)),"")</f>
      </c>
    </row>
    <row r="11">
      <c r="D11" t="inlineStr">
        <is>
          <t>Nishant Gupta</t>
        </is>
      </c>
      <c r="E11" t="inlineStr">
        <is>
          <t>IRIS1918</t>
        </is>
      </c>
      <c r="H11" t="inlineStr">
        <is>
          <t>Corporate|Finance|Nishant Gupta</t>
        </is>
      </c>
      <c r="I11" t="inlineStr">
        <is>
          <t>IRIS1918</t>
        </is>
      </c>
      <c r="J11" t="n">
        <v>8</v>
      </c>
      <c r="P11">
        <f>IF(AND(LEFT($H11,LEN('1b. Person Card'!$J$5)+LEN('1b. Person Card'!$B$5)+2)='1b. Person Card'!$J$5&amp;"|"&amp;'1b. Person Card'!$B$5&amp;"|",OR('1b. Person Card'!$F$6="",ISNUMBER(SEARCH('1b. Person Card'!$F$6,$D11)))),1,0)+P10</f>
        <v>6</v>
      </c>
      <c r="Q11">
        <f>IFERROR(INDEX($D$1:$D$49,MATCH(11,$P$1:$P$49,0)),"")</f>
      </c>
    </row>
    <row r="12">
      <c r="D12" t="inlineStr">
        <is>
          <t>Radhika Karnani</t>
        </is>
      </c>
      <c r="E12" t="inlineStr">
        <is>
          <t>IRIS2561</t>
        </is>
      </c>
      <c r="H12" t="inlineStr">
        <is>
          <t>Corporate|Finance|Radhika Karnani</t>
        </is>
      </c>
      <c r="I12" t="inlineStr">
        <is>
          <t>IRIS2561</t>
        </is>
      </c>
      <c r="J12" t="n">
        <v>14</v>
      </c>
      <c r="P12">
        <f>IF(AND(LEFT($H12,LEN('1b. Person Card'!$J$5)+LEN('1b. Person Card'!$B$5)+2)='1b. Person Card'!$J$5&amp;"|"&amp;'1b. Person Card'!$B$5&amp;"|",OR('1b. Person Card'!$F$6="",ISNUMBER(SEARCH('1b. Person Card'!$F$6,$D12)))),1,0)+P11</f>
        <v>6</v>
      </c>
      <c r="Q12">
        <f>IFERROR(INDEX($D$1:$D$49,MATCH(12,$P$1:$P$49,0)),"")</f>
      </c>
    </row>
    <row r="13">
      <c r="D13" t="inlineStr">
        <is>
          <t>Riddhi Narkar</t>
        </is>
      </c>
      <c r="E13" t="inlineStr">
        <is>
          <t>IRIS2062</t>
        </is>
      </c>
      <c r="H13" t="inlineStr">
        <is>
          <t>Corporate|Finance|Riddhi Narkar</t>
        </is>
      </c>
      <c r="I13" t="inlineStr">
        <is>
          <t>IRIS2062</t>
        </is>
      </c>
      <c r="J13" t="n">
        <v>17</v>
      </c>
      <c r="P13">
        <f>IF(AND(LEFT($H13,LEN('1b. Person Card'!$J$5)+LEN('1b. Person Card'!$B$5)+2)='1b. Person Card'!$J$5&amp;"|"&amp;'1b. Person Card'!$B$5&amp;"|",OR('1b. Person Card'!$F$6="",ISNUMBER(SEARCH('1b. Person Card'!$F$6,$D13)))),1,0)+P12</f>
        <v>6</v>
      </c>
      <c r="Q13">
        <f>IFERROR(INDEX($D$1:$D$49,MATCH(13,$P$1:$P$49,0)),"")</f>
      </c>
    </row>
    <row r="14">
      <c r="D14" t="inlineStr">
        <is>
          <t>Shreya Singh</t>
        </is>
      </c>
      <c r="E14" t="inlineStr">
        <is>
          <t>IRIS2214</t>
        </is>
      </c>
      <c r="H14" t="inlineStr">
        <is>
          <t>Corporate|Finance|Shreya Singh</t>
        </is>
      </c>
      <c r="I14" t="inlineStr">
        <is>
          <t>IRIS2214</t>
        </is>
      </c>
      <c r="J14" t="n">
        <v>15</v>
      </c>
      <c r="P14">
        <f>IF(AND(LEFT($H14,LEN('1b. Person Card'!$J$5)+LEN('1b. Person Card'!$B$5)+2)='1b. Person Card'!$J$5&amp;"|"&amp;'1b. Person Card'!$B$5&amp;"|",OR('1b. Person Card'!$F$6="",ISNUMBER(SEARCH('1b. Person Card'!$F$6,$D14)))),1,0)+P13</f>
        <v>6</v>
      </c>
      <c r="Q14">
        <f>IFERROR(INDEX($D$1:$D$49,MATCH(14,$P$1:$P$49,0)),"")</f>
      </c>
    </row>
    <row r="15">
      <c r="D15" t="inlineStr">
        <is>
          <t>Sudhakar Sawant</t>
        </is>
      </c>
      <c r="E15" t="inlineStr">
        <is>
          <t>IRIS0006</t>
        </is>
      </c>
      <c r="H15" t="inlineStr">
        <is>
          <t>Corporate|Finance|Sudhakar Sawant</t>
        </is>
      </c>
      <c r="I15" t="inlineStr">
        <is>
          <t>IRIS0006</t>
        </is>
      </c>
      <c r="J15" t="n">
        <v>9</v>
      </c>
      <c r="P15">
        <f>IF(AND(LEFT($H15,LEN('1b. Person Card'!$J$5)+LEN('1b. Person Card'!$B$5)+2)='1b. Person Card'!$J$5&amp;"|"&amp;'1b. Person Card'!$B$5&amp;"|",OR('1b. Person Card'!$F$6="",ISNUMBER(SEARCH('1b. Person Card'!$F$6,$D15)))),1,0)+P14</f>
        <v>6</v>
      </c>
      <c r="Q15">
        <f>IFERROR(INDEX($D$1:$D$49,MATCH(15,$P$1:$P$49,0)),"")</f>
      </c>
    </row>
    <row r="16">
      <c r="D16" t="inlineStr">
        <is>
          <t>Vineet Kandoi</t>
        </is>
      </c>
      <c r="E16" t="inlineStr">
        <is>
          <t>IRIS0919</t>
        </is>
      </c>
      <c r="H16" t="inlineStr">
        <is>
          <t>Corporate|Finance|Vineet Kandoi</t>
        </is>
      </c>
      <c r="I16" t="inlineStr">
        <is>
          <t>IRIS0919</t>
        </is>
      </c>
      <c r="J16" t="n">
        <v>7</v>
      </c>
      <c r="P16">
        <f>IF(AND(LEFT($H16,LEN('1b. Person Card'!$J$5)+LEN('1b. Person Card'!$B$5)+2)='1b. Person Card'!$J$5&amp;"|"&amp;'1b. Person Card'!$B$5&amp;"|",OR('1b. Person Card'!$F$6="",ISNUMBER(SEARCH('1b. Person Card'!$F$6,$D16)))),1,0)+P15</f>
        <v>6</v>
      </c>
      <c r="Q16">
        <f>IFERROR(INDEX($D$1:$D$49,MATCH(16,$P$1:$P$49,0)),"")</f>
      </c>
    </row>
    <row r="17">
      <c r="D17" t="inlineStr">
        <is>
          <t>Winny Nair</t>
        </is>
      </c>
      <c r="E17" t="inlineStr">
        <is>
          <t>IRIS1508</t>
        </is>
      </c>
      <c r="H17" t="inlineStr">
        <is>
          <t>Corporate|Finance|Winny Nair</t>
        </is>
      </c>
      <c r="I17" t="inlineStr">
        <is>
          <t>IRIS1508</t>
        </is>
      </c>
      <c r="J17" t="n">
        <v>10</v>
      </c>
      <c r="P17">
        <f>IF(AND(LEFT($H17,LEN('1b. Person Card'!$J$5)+LEN('1b. Person Card'!$B$5)+2)='1b. Person Card'!$J$5&amp;"|"&amp;'1b. Person Card'!$B$5&amp;"|",OR('1b. Person Card'!$F$6="",ISNUMBER(SEARCH('1b. Person Card'!$F$6,$D17)))),1,0)+P16</f>
        <v>6</v>
      </c>
      <c r="Q17">
        <f>IFERROR(INDEX($D$1:$D$49,MATCH(17,$P$1:$P$49,0)),"")</f>
      </c>
    </row>
    <row r="18">
      <c r="D18" t="inlineStr">
        <is>
          <t>Blossom Dsouza</t>
        </is>
      </c>
      <c r="E18" t="inlineStr">
        <is>
          <t>IRIS2558</t>
        </is>
      </c>
      <c r="H18" t="inlineStr">
        <is>
          <t>Corporate|HR|Blossom Dsouza</t>
        </is>
      </c>
      <c r="I18" t="inlineStr">
        <is>
          <t>IRIS2558</t>
        </is>
      </c>
      <c r="J18" t="n">
        <v>25</v>
      </c>
      <c r="P18">
        <f>IF(AND(LEFT($H18,LEN('1b. Person Card'!$J$5)+LEN('1b. Person Card'!$B$5)+2)='1b. Person Card'!$J$5&amp;"|"&amp;'1b. Person Card'!$B$5&amp;"|",OR('1b. Person Card'!$F$6="",ISNUMBER(SEARCH('1b. Person Card'!$F$6,$D18)))),1,0)+P17</f>
        <v>6</v>
      </c>
      <c r="Q18">
        <f>IFERROR(INDEX($D$1:$D$49,MATCH(18,$P$1:$P$49,0)),"")</f>
      </c>
    </row>
    <row r="19">
      <c r="D19" t="inlineStr">
        <is>
          <t>Chandrakumar Moopanar</t>
        </is>
      </c>
      <c r="E19" t="inlineStr">
        <is>
          <t>IRIS0204</t>
        </is>
      </c>
      <c r="H19" t="inlineStr">
        <is>
          <t>Corporate|HR|Chandrakumar Moopanar</t>
        </is>
      </c>
      <c r="I19" t="inlineStr">
        <is>
          <t>IRIS0204</t>
        </is>
      </c>
      <c r="J19" t="n">
        <v>21</v>
      </c>
      <c r="P19">
        <f>IF(AND(LEFT($H19,LEN('1b. Person Card'!$J$5)+LEN('1b. Person Card'!$B$5)+2)='1b. Person Card'!$J$5&amp;"|"&amp;'1b. Person Card'!$B$5&amp;"|",OR('1b. Person Card'!$F$6="",ISNUMBER(SEARCH('1b. Person Card'!$F$6,$D19)))),1,0)+P18</f>
        <v>6</v>
      </c>
      <c r="Q19">
        <f>IFERROR(INDEX($D$1:$D$49,MATCH(19,$P$1:$P$49,0)),"")</f>
      </c>
    </row>
    <row r="20">
      <c r="D20" t="inlineStr">
        <is>
          <t>Mohammed Hanzala Shaikh</t>
        </is>
      </c>
      <c r="E20" t="inlineStr">
        <is>
          <t>IRIS2556</t>
        </is>
      </c>
      <c r="H20" t="inlineStr">
        <is>
          <t>Corporate|HR|Mohammed Hanzala Shaikh</t>
        </is>
      </c>
      <c r="I20" t="inlineStr">
        <is>
          <t>IRIS2556</t>
        </is>
      </c>
      <c r="J20" t="n">
        <v>19</v>
      </c>
      <c r="P20">
        <f>IF(AND(LEFT($H20,LEN('1b. Person Card'!$J$5)+LEN('1b. Person Card'!$B$5)+2)='1b. Person Card'!$J$5&amp;"|"&amp;'1b. Person Card'!$B$5&amp;"|",OR('1b. Person Card'!$F$6="",ISNUMBER(SEARCH('1b. Person Card'!$F$6,$D20)))),1,0)+P19</f>
        <v>6</v>
      </c>
      <c r="Q20">
        <f>IFERROR(INDEX($D$1:$D$49,MATCH(20,$P$1:$P$49,0)),"")</f>
      </c>
    </row>
    <row r="21">
      <c r="D21" t="inlineStr">
        <is>
          <t>Nikitha Nair</t>
        </is>
      </c>
      <c r="E21" t="inlineStr">
        <is>
          <t>IRIS2152</t>
        </is>
      </c>
      <c r="H21" t="inlineStr">
        <is>
          <t>Corporate|HR|Nikitha Nair</t>
        </is>
      </c>
      <c r="I21" t="inlineStr">
        <is>
          <t>IRIS2152</t>
        </is>
      </c>
      <c r="J21" t="n">
        <v>22</v>
      </c>
      <c r="P21">
        <f>IF(AND(LEFT($H21,LEN('1b. Person Card'!$J$5)+LEN('1b. Person Card'!$B$5)+2)='1b. Person Card'!$J$5&amp;"|"&amp;'1b. Person Card'!$B$5&amp;"|",OR('1b. Person Card'!$F$6="",ISNUMBER(SEARCH('1b. Person Card'!$F$6,$D21)))),1,0)+P20</f>
        <v>6</v>
      </c>
      <c r="Q21">
        <f>IFERROR(INDEX($D$1:$D$49,MATCH(21,$P$1:$P$49,0)),"")</f>
      </c>
    </row>
    <row r="22">
      <c r="D22" t="inlineStr">
        <is>
          <t>Renuka Badhoria</t>
        </is>
      </c>
      <c r="E22" t="inlineStr">
        <is>
          <t>IRIS2402</t>
        </is>
      </c>
      <c r="H22" t="inlineStr">
        <is>
          <t>Corporate|HR|Renuka Badhoria</t>
        </is>
      </c>
      <c r="I22" t="inlineStr">
        <is>
          <t>IRIS2402</t>
        </is>
      </c>
      <c r="J22" t="n">
        <v>23</v>
      </c>
      <c r="P22">
        <f>IF(AND(LEFT($H22,LEN('1b. Person Card'!$J$5)+LEN('1b. Person Card'!$B$5)+2)='1b. Person Card'!$J$5&amp;"|"&amp;'1b. Person Card'!$B$5&amp;"|",OR('1b. Person Card'!$F$6="",ISNUMBER(SEARCH('1b. Person Card'!$F$6,$D22)))),1,0)+P21</f>
        <v>6</v>
      </c>
      <c r="Q22">
        <f>IFERROR(INDEX($D$1:$D$49,MATCH(22,$P$1:$P$49,0)),"")</f>
      </c>
    </row>
    <row r="23">
      <c r="D23" t="inlineStr">
        <is>
          <t>Shruti Gawas</t>
        </is>
      </c>
      <c r="E23" t="inlineStr">
        <is>
          <t>IRIS2245</t>
        </is>
      </c>
      <c r="H23" t="inlineStr">
        <is>
          <t>Corporate|HR|Shruti Gawas</t>
        </is>
      </c>
      <c r="I23" t="inlineStr">
        <is>
          <t>IRIS2245</t>
        </is>
      </c>
      <c r="J23" t="n">
        <v>24</v>
      </c>
      <c r="P23">
        <f>IF(AND(LEFT($H23,LEN('1b. Person Card'!$J$5)+LEN('1b. Person Card'!$B$5)+2)='1b. Person Card'!$J$5&amp;"|"&amp;'1b. Person Card'!$B$5&amp;"|",OR('1b. Person Card'!$F$6="",ISNUMBER(SEARCH('1b. Person Card'!$F$6,$D23)))),1,0)+P22</f>
        <v>6</v>
      </c>
      <c r="Q23">
        <f>IFERROR(INDEX($D$1:$D$49,MATCH(23,$P$1:$P$49,0)),"")</f>
      </c>
    </row>
    <row r="24">
      <c r="D24" t="inlineStr">
        <is>
          <t>Shweta Jha</t>
        </is>
      </c>
      <c r="E24" t="inlineStr">
        <is>
          <t>IRIS2533</t>
        </is>
      </c>
      <c r="H24" t="inlineStr">
        <is>
          <t>Corporate|HR|Shweta Jha</t>
        </is>
      </c>
      <c r="I24" t="inlineStr">
        <is>
          <t>IRIS2533</t>
        </is>
      </c>
      <c r="J24" t="n">
        <v>18</v>
      </c>
      <c r="P24">
        <f>IF(AND(LEFT($H24,LEN('1b. Person Card'!$J$5)+LEN('1b. Person Card'!$B$5)+2)='1b. Person Card'!$J$5&amp;"|"&amp;'1b. Person Card'!$B$5&amp;"|",OR('1b. Person Card'!$F$6="",ISNUMBER(SEARCH('1b. Person Card'!$F$6,$D24)))),1,0)+P23</f>
        <v>6</v>
      </c>
      <c r="Q24">
        <f>IFERROR(INDEX($D$1:$D$49,MATCH(24,$P$1:$P$49,0)),"")</f>
      </c>
    </row>
    <row r="25">
      <c r="D25" t="inlineStr">
        <is>
          <t>Simran Kaur Raina</t>
        </is>
      </c>
      <c r="E25" t="inlineStr">
        <is>
          <t>IRIS2557</t>
        </is>
      </c>
      <c r="H25" t="inlineStr">
        <is>
          <t>Corporate|HR|Simran Kaur Raina</t>
        </is>
      </c>
      <c r="I25" t="inlineStr">
        <is>
          <t>IRIS2557</t>
        </is>
      </c>
      <c r="J25" t="n">
        <v>20</v>
      </c>
      <c r="P25">
        <f>IF(AND(LEFT($H25,LEN('1b. Person Card'!$J$5)+LEN('1b. Person Card'!$B$5)+2)='1b. Person Card'!$J$5&amp;"|"&amp;'1b. Person Card'!$B$5&amp;"|",OR('1b. Person Card'!$F$6="",ISNUMBER(SEARCH('1b. Person Card'!$F$6,$D25)))),1,0)+P24</f>
        <v>6</v>
      </c>
      <c r="Q25">
        <f>IFERROR(INDEX($D$1:$D$49,MATCH(25,$P$1:$P$49,0)),"")</f>
      </c>
    </row>
    <row r="26">
      <c r="D26" t="inlineStr">
        <is>
          <t>Amit Gangaram Kamble</t>
        </is>
      </c>
      <c r="E26" t="inlineStr">
        <is>
          <t>IRIS2468</t>
        </is>
      </c>
      <c r="H26" t="inlineStr">
        <is>
          <t>Corporate|IT &amp; Infrastructure|Amit Gangaram Kamble</t>
        </is>
      </c>
      <c r="I26" t="inlineStr">
        <is>
          <t>IRIS2468</t>
        </is>
      </c>
      <c r="J26" t="n">
        <v>31</v>
      </c>
      <c r="P26">
        <f>IF(AND(LEFT($H26,LEN('1b. Person Card'!$J$5)+LEN('1b. Person Card'!$B$5)+2)='1b. Person Card'!$J$5&amp;"|"&amp;'1b. Person Card'!$B$5&amp;"|",OR('1b. Person Card'!$F$6="",ISNUMBER(SEARCH('1b. Person Card'!$F$6,$D26)))),1,0)+P25</f>
        <v>6</v>
      </c>
      <c r="Q26">
        <f>IFERROR(INDEX($D$1:$D$49,MATCH(26,$P$1:$P$49,0)),"")</f>
      </c>
    </row>
    <row r="27">
      <c r="D27" t="inlineStr">
        <is>
          <t>Gouri Kohale</t>
        </is>
      </c>
      <c r="E27" t="inlineStr">
        <is>
          <t>IRIS2315</t>
        </is>
      </c>
      <c r="H27" t="inlineStr">
        <is>
          <t>Corporate|IT &amp; Infrastructure|Gouri Kohale</t>
        </is>
      </c>
      <c r="I27" t="inlineStr">
        <is>
          <t>IRIS2315</t>
        </is>
      </c>
      <c r="J27" t="n">
        <v>32</v>
      </c>
      <c r="P27">
        <f>IF(AND(LEFT($H27,LEN('1b. Person Card'!$J$5)+LEN('1b. Person Card'!$B$5)+2)='1b. Person Card'!$J$5&amp;"|"&amp;'1b. Person Card'!$B$5&amp;"|",OR('1b. Person Card'!$F$6="",ISNUMBER(SEARCH('1b. Person Card'!$F$6,$D27)))),1,0)+P26</f>
        <v>6</v>
      </c>
      <c r="Q27">
        <f>IFERROR(INDEX($D$1:$D$49,MATCH(27,$P$1:$P$49,0)),"")</f>
      </c>
    </row>
    <row r="28">
      <c r="D28" t="inlineStr">
        <is>
          <t>Hemant Chordekar</t>
        </is>
      </c>
      <c r="E28" t="inlineStr">
        <is>
          <t>IRIS2206</t>
        </is>
      </c>
      <c r="H28" t="inlineStr">
        <is>
          <t>Corporate|IT &amp; Infrastructure|Hemant Chordekar</t>
        </is>
      </c>
      <c r="I28" t="inlineStr">
        <is>
          <t>IRIS2206</t>
        </is>
      </c>
      <c r="J28" t="n">
        <v>33</v>
      </c>
      <c r="P28">
        <f>IF(AND(LEFT($H28,LEN('1b. Person Card'!$J$5)+LEN('1b. Person Card'!$B$5)+2)='1b. Person Card'!$J$5&amp;"|"&amp;'1b. Person Card'!$B$5&amp;"|",OR('1b. Person Card'!$F$6="",ISNUMBER(SEARCH('1b. Person Card'!$F$6,$D28)))),1,0)+P27</f>
        <v>6</v>
      </c>
      <c r="Q28">
        <f>IFERROR(INDEX($D$1:$D$49,MATCH(28,$P$1:$P$49,0)),"")</f>
      </c>
    </row>
    <row r="29">
      <c r="D29" t="inlineStr">
        <is>
          <t>Ketan Balbhadra Yadav</t>
        </is>
      </c>
      <c r="E29" t="inlineStr">
        <is>
          <t>IRISC298</t>
        </is>
      </c>
      <c r="H29" t="inlineStr">
        <is>
          <t>Corporate|IT &amp; Infrastructure|Ketan Balbhadra Yadav</t>
        </is>
      </c>
      <c r="I29" t="inlineStr">
        <is>
          <t>IRISC298</t>
        </is>
      </c>
      <c r="J29" t="n">
        <v>34</v>
      </c>
      <c r="P29">
        <f>IF(AND(LEFT($H29,LEN('1b. Person Card'!$J$5)+LEN('1b. Person Card'!$B$5)+2)='1b. Person Card'!$J$5&amp;"|"&amp;'1b. Person Card'!$B$5&amp;"|",OR('1b. Person Card'!$F$6="",ISNUMBER(SEARCH('1b. Person Card'!$F$6,$D29)))),1,0)+P28</f>
        <v>6</v>
      </c>
      <c r="Q29">
        <f>IFERROR(INDEX($D$1:$D$49,MATCH(29,$P$1:$P$49,0)),"")</f>
      </c>
    </row>
    <row r="30">
      <c r="D30" t="inlineStr">
        <is>
          <t>Mahesh Tilave</t>
        </is>
      </c>
      <c r="E30" t="inlineStr">
        <is>
          <t>IRIS2103</t>
        </is>
      </c>
      <c r="H30" t="inlineStr">
        <is>
          <t>Corporate|IT &amp; Infrastructure|Mahesh Tilave</t>
        </is>
      </c>
      <c r="I30" t="inlineStr">
        <is>
          <t>IRIS2103</t>
        </is>
      </c>
      <c r="J30" t="n">
        <v>26</v>
      </c>
      <c r="P30">
        <f>IF(AND(LEFT($H30,LEN('1b. Person Card'!$J$5)+LEN('1b. Person Card'!$B$5)+2)='1b. Person Card'!$J$5&amp;"|"&amp;'1b. Person Card'!$B$5&amp;"|",OR('1b. Person Card'!$F$6="",ISNUMBER(SEARCH('1b. Person Card'!$F$6,$D30)))),1,0)+P29</f>
        <v>6</v>
      </c>
      <c r="Q30">
        <f>IFERROR(INDEX($D$1:$D$49,MATCH(30,$P$1:$P$49,0)),"")</f>
      </c>
    </row>
    <row r="31">
      <c r="D31" t="inlineStr">
        <is>
          <t>Nimit Sadafal</t>
        </is>
      </c>
      <c r="E31" t="inlineStr">
        <is>
          <t>IRIS1998</t>
        </is>
      </c>
      <c r="H31" t="inlineStr">
        <is>
          <t>Corporate|IT &amp; Infrastructure|Nimit Sadafal</t>
        </is>
      </c>
      <c r="I31" t="inlineStr">
        <is>
          <t>IRIS1998</t>
        </is>
      </c>
      <c r="J31" t="n">
        <v>35</v>
      </c>
      <c r="P31">
        <f>IF(AND(LEFT($H31,LEN('1b. Person Card'!$J$5)+LEN('1b. Person Card'!$B$5)+2)='1b. Person Card'!$J$5&amp;"|"&amp;'1b. Person Card'!$B$5&amp;"|",OR('1b. Person Card'!$F$6="",ISNUMBER(SEARCH('1b. Person Card'!$F$6,$D31)))),1,0)+P30</f>
        <v>6</v>
      </c>
      <c r="Q31">
        <f>IFERROR(INDEX($D$1:$D$49,MATCH(31,$P$1:$P$49,0)),"")</f>
      </c>
    </row>
    <row r="32">
      <c r="D32" t="inlineStr">
        <is>
          <t>Parthiban Thangaraj</t>
        </is>
      </c>
      <c r="E32" t="inlineStr">
        <is>
          <t>IRIS2099</t>
        </is>
      </c>
      <c r="H32" t="inlineStr">
        <is>
          <t>Corporate|IT &amp; Infrastructure|Parthiban Thangaraj</t>
        </is>
      </c>
      <c r="I32" t="inlineStr">
        <is>
          <t>IRIS2099</t>
        </is>
      </c>
      <c r="J32" t="n">
        <v>30</v>
      </c>
      <c r="P32">
        <f>IF(AND(LEFT($H32,LEN('1b. Person Card'!$J$5)+LEN('1b. Person Card'!$B$5)+2)='1b. Person Card'!$J$5&amp;"|"&amp;'1b. Person Card'!$B$5&amp;"|",OR('1b. Person Card'!$F$6="",ISNUMBER(SEARCH('1b. Person Card'!$F$6,$D32)))),1,0)+P31</f>
        <v>6</v>
      </c>
      <c r="Q32">
        <f>IFERROR(INDEX($D$1:$D$49,MATCH(32,$P$1:$P$49,0)),"")</f>
      </c>
    </row>
    <row r="33">
      <c r="D33" t="inlineStr">
        <is>
          <t>Rajit Kumar Sahu</t>
        </is>
      </c>
      <c r="E33" t="inlineStr">
        <is>
          <t>IRIS0265</t>
        </is>
      </c>
      <c r="H33" t="inlineStr">
        <is>
          <t>Corporate|IT &amp; Infrastructure|Rajit Kumar Sahu</t>
        </is>
      </c>
      <c r="I33" t="inlineStr">
        <is>
          <t>IRIS0265</t>
        </is>
      </c>
      <c r="J33" t="n">
        <v>27</v>
      </c>
      <c r="P33">
        <f>IF(AND(LEFT($H33,LEN('1b. Person Card'!$J$5)+LEN('1b. Person Card'!$B$5)+2)='1b. Person Card'!$J$5&amp;"|"&amp;'1b. Person Card'!$B$5&amp;"|",OR('1b. Person Card'!$F$6="",ISNUMBER(SEARCH('1b. Person Card'!$F$6,$D33)))),1,0)+P32</f>
        <v>6</v>
      </c>
      <c r="Q33">
        <f>IFERROR(INDEX($D$1:$D$49,MATCH(33,$P$1:$P$49,0)),"")</f>
      </c>
    </row>
    <row r="34">
      <c r="D34" t="inlineStr">
        <is>
          <t>Rajyalakshmi Koyagura</t>
        </is>
      </c>
      <c r="E34" t="inlineStr">
        <is>
          <t>IRIS2003</t>
        </is>
      </c>
      <c r="H34" t="inlineStr">
        <is>
          <t>Corporate|IT &amp; Infrastructure|Rajyalakshmi Koyagura</t>
        </is>
      </c>
      <c r="I34" t="inlineStr">
        <is>
          <t>IRIS2003</t>
        </is>
      </c>
      <c r="J34" t="n">
        <v>36</v>
      </c>
      <c r="P34">
        <f>IF(AND(LEFT($H34,LEN('1b. Person Card'!$J$5)+LEN('1b. Person Card'!$B$5)+2)='1b. Person Card'!$J$5&amp;"|"&amp;'1b. Person Card'!$B$5&amp;"|",OR('1b. Person Card'!$F$6="",ISNUMBER(SEARCH('1b. Person Card'!$F$6,$D34)))),1,0)+P33</f>
        <v>6</v>
      </c>
      <c r="Q34">
        <f>IFERROR(INDEX($D$1:$D$49,MATCH(34,$P$1:$P$49,0)),"")</f>
      </c>
    </row>
    <row r="35">
      <c r="D35" t="inlineStr">
        <is>
          <t>Ramesh Kone</t>
        </is>
      </c>
      <c r="E35" t="inlineStr">
        <is>
          <t>IRIS0909</t>
        </is>
      </c>
      <c r="H35" t="inlineStr">
        <is>
          <t>Corporate|IT &amp; Infrastructure|Ramesh Kone</t>
        </is>
      </c>
      <c r="I35" t="inlineStr">
        <is>
          <t>IRIS0909</t>
        </is>
      </c>
      <c r="J35" t="n">
        <v>28</v>
      </c>
      <c r="P35">
        <f>IF(AND(LEFT($H35,LEN('1b. Person Card'!$J$5)+LEN('1b. Person Card'!$B$5)+2)='1b. Person Card'!$J$5&amp;"|"&amp;'1b. Person Card'!$B$5&amp;"|",OR('1b. Person Card'!$F$6="",ISNUMBER(SEARCH('1b. Person Card'!$F$6,$D35)))),1,0)+P34</f>
        <v>6</v>
      </c>
      <c r="Q35">
        <f>IFERROR(INDEX($D$1:$D$49,MATCH(35,$P$1:$P$49,0)),"")</f>
      </c>
    </row>
    <row r="36">
      <c r="D36" t="inlineStr">
        <is>
          <t>Sagar Jamadar</t>
        </is>
      </c>
      <c r="E36" t="inlineStr">
        <is>
          <t>IRIS2098</t>
        </is>
      </c>
      <c r="H36" t="inlineStr">
        <is>
          <t>Corporate|IT &amp; Infrastructure|Sagar Jamadar</t>
        </is>
      </c>
      <c r="I36" t="inlineStr">
        <is>
          <t>IRIS2098</t>
        </is>
      </c>
      <c r="J36" t="n">
        <v>37</v>
      </c>
      <c r="P36">
        <f>IF(AND(LEFT($H36,LEN('1b. Person Card'!$J$5)+LEN('1b. Person Card'!$B$5)+2)='1b. Person Card'!$J$5&amp;"|"&amp;'1b. Person Card'!$B$5&amp;"|",OR('1b. Person Card'!$F$6="",ISNUMBER(SEARCH('1b. Person Card'!$F$6,$D36)))),1,0)+P35</f>
        <v>6</v>
      </c>
      <c r="Q36">
        <f>IFERROR(INDEX($D$1:$D$49,MATCH(36,$P$1:$P$49,0)),"")</f>
      </c>
    </row>
    <row r="37">
      <c r="D37" t="inlineStr">
        <is>
          <t>Sandip Mane</t>
        </is>
      </c>
      <c r="E37" t="inlineStr">
        <is>
          <t>IRIS1958</t>
        </is>
      </c>
      <c r="H37" t="inlineStr">
        <is>
          <t>Corporate|IT &amp; Infrastructure|Sandip Mane</t>
        </is>
      </c>
      <c r="I37" t="inlineStr">
        <is>
          <t>IRIS1958</t>
        </is>
      </c>
      <c r="J37" t="n">
        <v>38</v>
      </c>
      <c r="P37">
        <f>IF(AND(LEFT($H37,LEN('1b. Person Card'!$J$5)+LEN('1b. Person Card'!$B$5)+2)='1b. Person Card'!$J$5&amp;"|"&amp;'1b. Person Card'!$B$5&amp;"|",OR('1b. Person Card'!$F$6="",ISNUMBER(SEARCH('1b. Person Card'!$F$6,$D37)))),1,0)+P36</f>
        <v>6</v>
      </c>
      <c r="Q37">
        <f>IFERROR(INDEX($D$1:$D$49,MATCH(37,$P$1:$P$49,0)),"")</f>
      </c>
    </row>
    <row r="38">
      <c r="D38" t="inlineStr">
        <is>
          <t>Vikas Mithbawkar</t>
        </is>
      </c>
      <c r="E38" t="inlineStr">
        <is>
          <t>IRIS0038</t>
        </is>
      </c>
      <c r="H38" t="inlineStr">
        <is>
          <t>Corporate|IT &amp; Infrastructure|Vikas Mithbawkar</t>
        </is>
      </c>
      <c r="I38" t="inlineStr">
        <is>
          <t>IRIS0038</t>
        </is>
      </c>
      <c r="J38" t="n">
        <v>29</v>
      </c>
      <c r="P38">
        <f>IF(AND(LEFT($H38,LEN('1b. Person Card'!$J$5)+LEN('1b. Person Card'!$B$5)+2)='1b. Person Card'!$J$5&amp;"|"&amp;'1b. Person Card'!$B$5&amp;"|",OR('1b. Person Card'!$F$6="",ISNUMBER(SEARCH('1b. Person Card'!$F$6,$D38)))),1,0)+P37</f>
        <v>6</v>
      </c>
      <c r="Q38">
        <f>IFERROR(INDEX($D$1:$D$49,MATCH(38,$P$1:$P$49,0)),"")</f>
      </c>
    </row>
    <row r="39">
      <c r="D39" t="inlineStr">
        <is>
          <t>Vishal Vare</t>
        </is>
      </c>
      <c r="E39" t="inlineStr">
        <is>
          <t>IRIS1581</t>
        </is>
      </c>
      <c r="H39" t="inlineStr">
        <is>
          <t>Corporate|IT &amp; Infrastructure|Vishal Vare</t>
        </is>
      </c>
      <c r="I39" t="inlineStr">
        <is>
          <t>IRIS1581</t>
        </is>
      </c>
      <c r="J39" t="n">
        <v>39</v>
      </c>
      <c r="P39">
        <f>IF(AND(LEFT($H39,LEN('1b. Person Card'!$J$5)+LEN('1b. Person Card'!$B$5)+2)='1b. Person Card'!$J$5&amp;"|"&amp;'1b. Person Card'!$B$5&amp;"|",OR('1b. Person Card'!$F$6="",ISNUMBER(SEARCH('1b. Person Card'!$F$6,$D39)))),1,0)+P38</f>
        <v>6</v>
      </c>
      <c r="Q39">
        <f>IFERROR(INDEX($D$1:$D$49,MATCH(39,$P$1:$P$49,0)),"")</f>
      </c>
    </row>
    <row r="40">
      <c r="D40" t="inlineStr">
        <is>
          <t>Balachandran K</t>
        </is>
      </c>
      <c r="E40" t="inlineStr">
        <is>
          <t>IRIS0001</t>
        </is>
      </c>
      <c r="H40" t="inlineStr">
        <is>
          <t>Corporate|Management|Balachandran K</t>
        </is>
      </c>
      <c r="I40" t="inlineStr">
        <is>
          <t>IRIS0001</t>
        </is>
      </c>
      <c r="J40" t="n">
        <v>40</v>
      </c>
      <c r="P40">
        <f>IF(AND(LEFT($H40,LEN('1b. Person Card'!$J$5)+LEN('1b. Person Card'!$B$5)+2)='1b. Person Card'!$J$5&amp;"|"&amp;'1b. Person Card'!$B$5&amp;"|",OR('1b. Person Card'!$F$6="",ISNUMBER(SEARCH('1b. Person Card'!$F$6,$D40)))),1,0)+P39</f>
        <v>6</v>
      </c>
      <c r="Q40">
        <f>IFERROR(INDEX($D$1:$D$49,MATCH(40,$P$1:$P$49,0)),"")</f>
      </c>
    </row>
    <row r="41">
      <c r="D41" t="inlineStr">
        <is>
          <t>Deepta Rangarajan</t>
        </is>
      </c>
      <c r="E41" t="inlineStr">
        <is>
          <t>IRIS0002</t>
        </is>
      </c>
      <c r="H41" t="inlineStr">
        <is>
          <t>Corporate|Management|Deepta Rangarajan</t>
        </is>
      </c>
      <c r="I41" t="inlineStr">
        <is>
          <t>IRIS0002</t>
        </is>
      </c>
      <c r="J41" t="n">
        <v>41</v>
      </c>
      <c r="P41">
        <f>IF(AND(LEFT($H41,LEN('1b. Person Card'!$J$5)+LEN('1b. Person Card'!$B$5)+2)='1b. Person Card'!$J$5&amp;"|"&amp;'1b. Person Card'!$B$5&amp;"|",OR('1b. Person Card'!$F$6="",ISNUMBER(SEARCH('1b. Person Card'!$F$6,$D41)))),1,0)+P40</f>
        <v>6</v>
      </c>
      <c r="Q41">
        <f>IFERROR(INDEX($D$1:$D$49,MATCH(41,$P$1:$P$49,0)),"")</f>
      </c>
    </row>
    <row r="42">
      <c r="D42" t="inlineStr">
        <is>
          <t>Abhishek Sharma</t>
        </is>
      </c>
      <c r="E42" t="inlineStr">
        <is>
          <t>IRIS2307</t>
        </is>
      </c>
      <c r="H42" t="inlineStr">
        <is>
          <t>Corporate|Marketing|Abhishek Sharma</t>
        </is>
      </c>
      <c r="I42" t="inlineStr">
        <is>
          <t>IRIS2307</t>
        </is>
      </c>
      <c r="J42" t="n">
        <v>43</v>
      </c>
      <c r="P42">
        <f>IF(AND(LEFT($H42,LEN('1b. Person Card'!$J$5)+LEN('1b. Person Card'!$B$5)+2)='1b. Person Card'!$J$5&amp;"|"&amp;'1b. Person Card'!$B$5&amp;"|",OR('1b. Person Card'!$F$6="",ISNUMBER(SEARCH('1b. Person Card'!$F$6,$D42)))),1,0)+P41</f>
        <v>6</v>
      </c>
      <c r="Q42">
        <f>IFERROR(INDEX($D$1:$D$49,MATCH(42,$P$1:$P$49,0)),"")</f>
      </c>
    </row>
    <row r="43">
      <c r="D43" t="inlineStr">
        <is>
          <t>Barsha Gloria Gomes</t>
        </is>
      </c>
      <c r="E43" t="inlineStr">
        <is>
          <t>IRIS2200</t>
        </is>
      </c>
      <c r="H43" t="inlineStr">
        <is>
          <t>Corporate|Marketing|Barsha Gloria Gomes</t>
        </is>
      </c>
      <c r="I43" t="inlineStr">
        <is>
          <t>IRIS2200</t>
        </is>
      </c>
      <c r="J43" t="n">
        <v>42</v>
      </c>
      <c r="P43">
        <f>IF(AND(LEFT($H43,LEN('1b. Person Card'!$J$5)+LEN('1b. Person Card'!$B$5)+2)='1b. Person Card'!$J$5&amp;"|"&amp;'1b. Person Card'!$B$5&amp;"|",OR('1b. Person Card'!$F$6="",ISNUMBER(SEARCH('1b. Person Card'!$F$6,$D43)))),1,0)+P42</f>
        <v>6</v>
      </c>
      <c r="Q43">
        <f>IFERROR(INDEX($D$1:$D$49,MATCH(43,$P$1:$P$49,0)),"")</f>
      </c>
    </row>
    <row r="44">
      <c r="D44" t="inlineStr">
        <is>
          <t>Esther Kanagaselvam D</t>
        </is>
      </c>
      <c r="E44" t="inlineStr">
        <is>
          <t>IRIS2190</t>
        </is>
      </c>
      <c r="H44" t="inlineStr">
        <is>
          <t>Corporate|Marketing|Esther Kanagaselvam D</t>
        </is>
      </c>
      <c r="I44" t="inlineStr">
        <is>
          <t>IRIS2190</t>
        </is>
      </c>
      <c r="J44" t="n">
        <v>44</v>
      </c>
      <c r="P44">
        <f>IF(AND(LEFT($H44,LEN('1b. Person Card'!$J$5)+LEN('1b. Person Card'!$B$5)+2)='1b. Person Card'!$J$5&amp;"|"&amp;'1b. Person Card'!$B$5&amp;"|",OR('1b. Person Card'!$F$6="",ISNUMBER(SEARCH('1b. Person Card'!$F$6,$D44)))),1,0)+P43</f>
        <v>6</v>
      </c>
      <c r="Q44">
        <f>IFERROR(INDEX($D$1:$D$49,MATCH(44,$P$1:$P$49,0)),"")</f>
      </c>
    </row>
    <row r="45">
      <c r="D45" t="inlineStr">
        <is>
          <t>Melita Suares</t>
        </is>
      </c>
      <c r="E45" t="inlineStr">
        <is>
          <t>IRIS2290</t>
        </is>
      </c>
      <c r="H45" t="inlineStr">
        <is>
          <t>Corporate|Secretarial &amp; Legal|Melita Suares</t>
        </is>
      </c>
      <c r="I45" t="inlineStr">
        <is>
          <t>IRIS2290</t>
        </is>
      </c>
      <c r="J45" t="n">
        <v>46</v>
      </c>
      <c r="P45">
        <f>IF(AND(LEFT($H45,LEN('1b. Person Card'!$J$5)+LEN('1b. Person Card'!$B$5)+2)='1b. Person Card'!$J$5&amp;"|"&amp;'1b. Person Card'!$B$5&amp;"|",OR('1b. Person Card'!$F$6="",ISNUMBER(SEARCH('1b. Person Card'!$F$6,$D45)))),1,0)+P44</f>
        <v>6</v>
      </c>
      <c r="Q45">
        <f>IFERROR(INDEX($D$1:$D$49,MATCH(45,$P$1:$P$49,0)),"")</f>
      </c>
    </row>
    <row r="46">
      <c r="D46" t="inlineStr">
        <is>
          <t>Santosh Sharma</t>
        </is>
      </c>
      <c r="E46" t="inlineStr">
        <is>
          <t>IRIS1914</t>
        </is>
      </c>
      <c r="H46" t="inlineStr">
        <is>
          <t>Corporate|Secretarial &amp; Legal|Santosh Sharma</t>
        </is>
      </c>
      <c r="I46" t="inlineStr">
        <is>
          <t>IRIS1914</t>
        </is>
      </c>
      <c r="J46" t="n">
        <v>45</v>
      </c>
      <c r="P46">
        <f>IF(AND(LEFT($H46,LEN('1b. Person Card'!$J$5)+LEN('1b. Person Card'!$B$5)+2)='1b. Person Card'!$J$5&amp;"|"&amp;'1b. Person Card'!$B$5&amp;"|",OR('1b. Person Card'!$F$6="",ISNUMBER(SEARCH('1b. Person Card'!$F$6,$D46)))),1,0)+P45</f>
        <v>6</v>
      </c>
      <c r="Q46">
        <f>IFERROR(INDEX($D$1:$D$49,MATCH(46,$P$1:$P$49,0)),"")</f>
      </c>
    </row>
    <row r="47">
      <c r="D47" t="inlineStr">
        <is>
          <t>Sneha Pillai</t>
        </is>
      </c>
      <c r="E47" t="inlineStr">
        <is>
          <t>INTN0296</t>
        </is>
      </c>
      <c r="H47" t="inlineStr">
        <is>
          <t>Corporate|Secretarial &amp; Legal|Sneha Pillai</t>
        </is>
      </c>
      <c r="I47" t="inlineStr">
        <is>
          <t>INTN0296</t>
        </is>
      </c>
      <c r="J47" t="n">
        <v>47</v>
      </c>
      <c r="P47">
        <f>IF(AND(LEFT($H47,LEN('1b. Person Card'!$J$5)+LEN('1b. Person Card'!$B$5)+2)='1b. Person Card'!$J$5&amp;"|"&amp;'1b. Person Card'!$B$5&amp;"|",OR('1b. Person Card'!$F$6="",ISNUMBER(SEARCH('1b. Person Card'!$F$6,$D47)))),1,0)+P46</f>
        <v>6</v>
      </c>
      <c r="Q47">
        <f>IFERROR(INDEX($D$1:$D$49,MATCH(47,$P$1:$P$49,0)),"")</f>
      </c>
    </row>
    <row r="48">
      <c r="D48" t="inlineStr">
        <is>
          <t>P K X Thomas</t>
        </is>
      </c>
      <c r="E48" t="inlineStr">
        <is>
          <t>IRIS2060</t>
        </is>
      </c>
      <c r="H48" t="inlineStr">
        <is>
          <t>Corporate|Technology|P K X Thomas</t>
        </is>
      </c>
      <c r="I48" t="inlineStr">
        <is>
          <t>IRIS2060</t>
        </is>
      </c>
      <c r="J48" t="n">
        <v>48</v>
      </c>
      <c r="P48">
        <f>IF(AND(LEFT($H48,LEN('1b. Person Card'!$J$5)+LEN('1b. Person Card'!$B$5)+2)='1b. Person Card'!$J$5&amp;"|"&amp;'1b. Person Card'!$B$5&amp;"|",OR('1b. Person Card'!$F$6="",ISNUMBER(SEARCH('1b. Person Card'!$F$6,$D48)))),1,0)+P47</f>
        <v>6</v>
      </c>
      <c r="Q48">
        <f>IFERROR(INDEX($D$1:$D$49,MATCH(48,$P$1:$P$49,0)),"")</f>
      </c>
    </row>
    <row r="49">
      <c r="D49" t="inlineStr">
        <is>
          <t>Vikas Thakur</t>
        </is>
      </c>
      <c r="E49" t="inlineStr">
        <is>
          <t>IRISC344</t>
        </is>
      </c>
      <c r="H49" t="inlineStr">
        <is>
          <t>Corporate|Technology|Vikas Thakur</t>
        </is>
      </c>
      <c r="I49" t="inlineStr">
        <is>
          <t>IRISC344</t>
        </is>
      </c>
      <c r="J49" t="n">
        <v>49</v>
      </c>
      <c r="P49">
        <f>IF(AND(LEFT($H49,LEN('1b. Person Card'!$J$5)+LEN('1b. Person Card'!$B$5)+2)='1b. Person Card'!$J$5&amp;"|"&amp;'1b. Person Card'!$B$5&amp;"|",OR('1b. Person Card'!$F$6="",ISNUMBER(SEARCH('1b. Person Card'!$F$6,$D49)))),1,0)+P48</f>
        <v>6</v>
      </c>
      <c r="Q49">
        <f>IFERROR(INDEX($D$1:$D$49,MATCH(49,$P$1:$P$49,0)),"")</f>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IRIS HR — Job Architecture &amp; Job Design</dc:creator>
  <dc:title xmlns:dc="http://purl.org/dc/elements/1.1/">IRIS Job Architecture — Corporate Product Master</dc:title>
  <dcterms:created xmlns:dcterms="http://purl.org/dc/terms/" xmlns:xsi="http://www.w3.org/2001/XMLSchema-instance" xsi:type="dcterms:W3CDTF">2026-10-12T06:11:22Z</dcterms:created>
  <dcterms:modified xmlns:dcterms="http://purl.org/dc/terms/" xmlns:xsi="http://www.w3.org/2001/XMLSchema-instance" xsi:type="dcterms:W3CDTF">2026-10-12T06:13:39Z</dcterms:modified>
</cp:coreProperties>
</file>