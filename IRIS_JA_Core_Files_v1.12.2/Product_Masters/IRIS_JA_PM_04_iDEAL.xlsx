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9.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19.xml" ContentType="application/vnd.openxmlformats-officedocument.spreadsheetml.worksheet+xml"/>
  <Override PartName="/xl/tables/table8.xml" ContentType="application/vnd.openxmlformats-officedocument.spreadsheetml.table+xml"/>
  <Override PartName="/xl/worksheets/sheet20.xml" ContentType="application/vnd.openxmlformats-officedocument.spreadsheetml.worksheet+xml"/>
  <Override PartName="/xl/tables/table9.xml" ContentType="application/vnd.openxmlformats-officedocument.spreadsheetml.table+xml"/>
  <Override PartName="/xl/worksheets/sheet21.xml" ContentType="application/vnd.openxmlformats-officedocument.spreadsheetml.worksheet+xml"/>
  <Override PartName="/xl/tables/table10.xml" ContentType="application/vnd.openxmlformats-officedocument.spreadsheetml.table+xml"/>
  <Override PartName="/xl/worksheets/sheet22.xml" ContentType="application/vnd.openxmlformats-officedocument.spreadsheetml.worksheet+xml"/>
  <Override PartName="/xl/tables/table11.xml" ContentType="application/vnd.openxmlformats-officedocument.spreadsheetml.table+xml"/>
  <Override PartName="/xl/worksheets/sheet23.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24.xml" ContentType="application/vnd.openxmlformats-officedocument.spreadsheetml.worksheet+xml"/>
  <Override PartName="/xl/tables/table14.xml" ContentType="application/vnd.openxmlformats-officedocument.spreadsheetml.table+xml"/>
  <Override PartName="/xl/worksheets/sheet25.xml" ContentType="application/vnd.openxmlformats-officedocument.spreadsheetml.worksheet+xml"/>
  <Override PartName="/xl/comments/comment6.xml" ContentType="application/vnd.openxmlformats-officedocument.spreadsheetml.comments+xml"/>
  <Override PartName="/xl/tables/table15.xml" ContentType="application/vnd.openxmlformats-officedocument.spreadsheetml.table+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Contents" sheetId="2" state="visible" r:id="rId2"/>
    <sheet xmlns:r="http://schemas.openxmlformats.org/officeDocument/2006/relationships" name="1. Overview" sheetId="3" state="visible" r:id="rId3"/>
    <sheet xmlns:r="http://schemas.openxmlformats.org/officeDocument/2006/relationships" name="1a. Placements" sheetId="4" state="visible" r:id="rId4"/>
    <sheet xmlns:r="http://schemas.openxmlformats.org/officeDocument/2006/relationships" name="1b. Person Card" sheetId="5" state="visible" r:id="rId5"/>
    <sheet xmlns:r="http://schemas.openxmlformats.org/officeDocument/2006/relationships" name="1d. Weightage Matrix" sheetId="6" state="visible" r:id="rId6"/>
    <sheet xmlns:r="http://schemas.openxmlformats.org/officeDocument/2006/relationships" name="1e. Weight Benchmark" sheetId="7" state="visible" r:id="rId7"/>
    <sheet xmlns:r="http://schemas.openxmlformats.org/officeDocument/2006/relationships" name="2. Talent Mapping" sheetId="8" state="visible" r:id="rId8"/>
    <sheet xmlns:r="http://schemas.openxmlformats.org/officeDocument/2006/relationships" name="3. Raw Data &amp; Market Standards" sheetId="9" state="visible" r:id="rId9"/>
    <sheet xmlns:r="http://schemas.openxmlformats.org/officeDocument/2006/relationships" name="4. Role Competency Framework" sheetId="10" state="visible" r:id="rId10"/>
    <sheet xmlns:r="http://schemas.openxmlformats.org/officeDocument/2006/relationships" name="5. Capability Framework" sheetId="11" state="visible" r:id="rId11"/>
    <sheet xmlns:r="http://schemas.openxmlformats.org/officeDocument/2006/relationships" name="6. Role Catalogue" sheetId="12" state="visible" r:id="rId12"/>
    <sheet xmlns:r="http://schemas.openxmlformats.org/officeDocument/2006/relationships" name="7. Role Requirements" sheetId="13" state="visible" r:id="rId13"/>
    <sheet xmlns:r="http://schemas.openxmlformats.org/officeDocument/2006/relationships" name="8. Talent, Learning &amp; Mobility" sheetId="14" state="visible" r:id="rId14"/>
    <sheet xmlns:r="http://schemas.openxmlformats.org/officeDocument/2006/relationships" name="9. Calibration &amp; Decisions" sheetId="15" state="visible" r:id="rId15"/>
    <sheet xmlns:r="http://schemas.openxmlformats.org/officeDocument/2006/relationships" name="10. Framework &amp; Logic" sheetId="16" state="visible" r:id="rId16"/>
    <sheet xmlns:r="http://schemas.openxmlformats.org/officeDocument/2006/relationships" name="11. References &amp; Benchmarks" sheetId="17" state="visible" r:id="rId17"/>
    <sheet xmlns:r="http://schemas.openxmlformats.org/officeDocument/2006/relationships" name="12. Org Health" sheetId="18" state="visible" r:id="rId18"/>
    <sheet xmlns:r="http://schemas.openxmlformats.org/officeDocument/2006/relationships" name="13. Weight Sensitivity" sheetId="19" state="visible" r:id="rId19"/>
    <sheet xmlns:r="http://schemas.openxmlformats.org/officeDocument/2006/relationships" name="14. A3 Deep-Dive" sheetId="20" state="visible" r:id="rId20"/>
    <sheet xmlns:r="http://schemas.openxmlformats.org/officeDocument/2006/relationships" name="15. Succession" sheetId="21" state="visible" r:id="rId21"/>
    <sheet xmlns:r="http://schemas.openxmlformats.org/officeDocument/2006/relationships" name="15a. Critical Roles at Risk" sheetId="22" state="visible" r:id="rId22"/>
    <sheet xmlns:r="http://schemas.openxmlformats.org/officeDocument/2006/relationships" name="16. Role Definitions" sheetId="23" state="visible" r:id="rId23"/>
    <sheet xmlns:r="http://schemas.openxmlformats.org/officeDocument/2006/relationships" name="17. Data Gaps" sheetId="24" state="visible" r:id="rId24"/>
    <sheet xmlns:r="http://schemas.openxmlformats.org/officeDocument/2006/relationships" name="18. Career Ladder" sheetId="25" state="visible" r:id="rId25"/>
    <sheet xmlns:r="http://schemas.openxmlformats.org/officeDocument/2006/relationships" name="Card Lists" sheetId="26" state="hidden" r:id="rId26"/>
  </sheets>
  <definedNames>
    <definedName name="PC_Products">'Card Lists'!$A$1:$A$1</definedName>
    <definedName name="PC_D_1">'Card Lists'!$B$1:$B$6</definedName>
    <definedName name="PC_N_1">'Card Lists'!$D$1:$D$1</definedName>
    <definedName name="PC_I_1">'Card Lists'!$E$1:$E$1</definedName>
    <definedName name="PC_N_2">'Card Lists'!$D$2:$D$4</definedName>
    <definedName name="PC_I_2">'Card Lists'!$E$2:$E$4</definedName>
    <definedName name="PC_N_3">'Card Lists'!$D$5:$D$9</definedName>
    <definedName name="PC_I_3">'Card Lists'!$E$5:$E$9</definedName>
    <definedName name="PC_N_4">'Card Lists'!$D$10:$D$13</definedName>
    <definedName name="PC_I_4">'Card Lists'!$E$10:$E$13</definedName>
    <definedName name="PC_N_5">'Card Lists'!$D$14:$D$46</definedName>
    <definedName name="PC_I_5">'Card Lists'!$E$14:$E$46</definedName>
    <definedName name="PC_N_6">'Card Lists'!$D$47:$D$47</definedName>
    <definedName name="PC_I_6">'Card Lists'!$E$47:$E$47</definedName>
    <definedName name="PC_Keys">'Card Lists'!$F$1:$F$6</definedName>
    <definedName name="PC_NK">'Card Lists'!$H$1:$H$47</definedName>
    <definedName name="PC_NKIds">'Card Lists'!$I$1:$I$47</definedName>
    <definedName name="PC_NKRow">'Card Lists'!$J$1:$J$47</definedName>
    <definedName name="PC_ProdF">OFFSET('Card Lists'!$M$1,0,0,MAX(1,'Card Lists'!$L$1),1)</definedName>
    <definedName name="PC_DeptF">OFFSET('Card Lists'!$O$1,0,0,MAX(1,'Card Lists'!$N$6),1)</definedName>
    <definedName name="PC_NameF">OFFSET('Card Lists'!$Q$1,0,0,MAX(1,'Card Lists'!$P$47),1)</definedName>
    <definedName name="WM_EXP_AB">'1d. Weightage Matrix'!$B$6</definedName>
    <definedName name="WM_EXP_CE">'1d. Weightage Matrix'!$B$7</definedName>
    <definedName name="WM_C">'1d. Weightage Matrix'!$N$17:$N$28</definedName>
    <definedName name="WM_AU">'1d. Weightage Matrix'!$O$17:$O$28</definedName>
    <definedName name="WM_AC">'1d. Weightage Matrix'!$P$17:$P$28</definedName>
    <definedName name="WM_L">'1d. Weightage Matrix'!$Q$17:$Q$28</definedName>
    <definedName name="WM_E">'1d. Weightage Matrix'!$R$17:$R$28</definedName>
    <definedName name="WM_BI">'1d. Weightage Matrix'!$S$17:$S$28</definedName>
    <definedName name="WM_KEY">'1d. Weightage Matrix'!$A$17:$A$28</definedName>
    <definedName name="_xlnm.Print_Titles" localSheetId="3">'1a. Placements'!$5:$6</definedName>
    <definedName name="_xlnm.Print_Area" localSheetId="4">'1b. Person Card'!$A$1:$H$58</definedName>
    <definedName name="_xlnm.Print_Titles" localSheetId="5">'1d. Weightage Matrix'!$15:$16</definedName>
    <definedName name="_xlnm.Print_Titles" localSheetId="7">'2. Talent Mapping'!$5:$6</definedName>
    <definedName name="_xlnm.Print_Titles" localSheetId="8">'3. Raw Data &amp; Market Standards'!$5:$6</definedName>
    <definedName name="_xlnm._FilterDatabase" localSheetId="11" hidden="1">'6. Role Catalogue'!$A$6:$AY$42</definedName>
    <definedName name="_xlnm.Print_Titles" localSheetId="11">'6. Role Catalogue'!$5:$6</definedName>
    <definedName name="_xlnm.Print_Titles" localSheetId="13">'8. Talent, Learning &amp; Mobility'!$5:$6</definedName>
    <definedName name="_xlnm.Print_Titles" localSheetId="17">'12. Org Health'!$5:$6</definedName>
    <definedName name="_xlnm.Print_Titles" localSheetId="18">'13. Weight Sensitivity'!$39:$40</definedName>
    <definedName name="_xlnm.Print_Titles" localSheetId="19">'14. A3 Deep-Dive'!$5:$6</definedName>
    <definedName name="_xlnm.Print_Titles" localSheetId="20">'15. Succession'!$4:$5</definedName>
    <definedName name="_xlnm.Print_Titles" localSheetId="21">'15a. Critical Roles at Risk'!$4:$5</definedName>
    <definedName name="_xlnm.Print_Titles" localSheetId="22">'16. Role Definitions'!$5:$6</definedName>
    <definedName name="_xlnm.Print_Titles" localSheetId="23">'17. Data Gaps'!$4:$5</definedName>
    <definedName name="_xlnm.Print_Titles" localSheetId="24">'18. Career Ladder'!$5:$6</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dd-mmm-yyyy"/>
  </numFmts>
  <fonts count="44">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b val="1"/>
      <color rgb="00FFFFFF"/>
      <sz val="9"/>
    </font>
    <font>
      <name val="Calibri"/>
      <b val="1"/>
      <color rgb="001F3864"/>
      <sz val="18"/>
    </font>
    <font>
      <name val="Calibri"/>
      <i val="1"/>
      <color rgb="00595959"/>
      <sz val="10"/>
    </font>
    <font>
      <name val="Calibri"/>
      <b val="1"/>
      <color rgb="00FFFFFF"/>
      <sz val="10"/>
    </font>
    <font>
      <name val="Calibri"/>
      <b val="1"/>
      <sz val="10"/>
    </font>
    <font>
      <name val="Calibri"/>
      <sz val="10"/>
    </font>
    <font>
      <name val="Calibri"/>
      <b val="1"/>
      <color rgb="009C0006"/>
      <sz val="10"/>
    </font>
    <font>
      <name val="Calibri"/>
      <b val="1"/>
      <color rgb="001F3864"/>
      <sz val="10"/>
    </font>
    <font>
      <name val="Calibri"/>
      <b val="1"/>
      <color rgb="00833C0B"/>
      <sz val="10"/>
    </font>
    <font>
      <name val="Calibri"/>
      <b val="1"/>
      <color rgb="00006100"/>
      <sz val="10"/>
    </font>
    <font>
      <name val="Calibri"/>
      <b val="1"/>
      <color rgb="009C5700"/>
      <sz val="10"/>
    </font>
    <font>
      <name val="Calibri"/>
      <b val="1"/>
      <color rgb="001F4E79"/>
      <sz val="10"/>
    </font>
    <font>
      <name val="Calibri"/>
      <b val="1"/>
      <color rgb="00375623"/>
      <sz val="10"/>
    </font>
    <font>
      <name val="Calibri"/>
      <b val="1"/>
      <color rgb="007F6000"/>
      <sz val="10"/>
    </font>
    <font>
      <name val="Calibri"/>
      <b val="1"/>
      <color rgb="00404040"/>
      <sz val="10"/>
    </font>
    <font>
      <name val="Calibri"/>
      <color rgb="009C0006"/>
      <sz val="10"/>
    </font>
    <font>
      <name val="Calibri"/>
      <b val="1"/>
      <color rgb="001F3864"/>
      <sz val="9"/>
    </font>
    <font>
      <name val="Calibri"/>
      <b val="1"/>
      <color rgb="00833C0B"/>
      <sz val="9"/>
    </font>
    <font>
      <name val="Calibri"/>
      <b val="1"/>
      <color rgb="00006100"/>
      <sz val="9"/>
    </font>
    <font>
      <name val="Calibri"/>
      <b val="1"/>
      <color rgb="009C5700"/>
      <sz val="9"/>
    </font>
    <font>
      <name val="Calibri"/>
      <b val="1"/>
      <color rgb="001F4E79"/>
      <sz val="9"/>
    </font>
    <font>
      <name val="Calibri"/>
      <b val="1"/>
      <color rgb="00375623"/>
      <sz val="9"/>
    </font>
    <font>
      <name val="Calibri"/>
      <b val="1"/>
      <color rgb="009C0006"/>
      <sz val="9"/>
    </font>
    <font>
      <name val="Calibri"/>
      <b val="1"/>
      <color rgb="007F6000"/>
      <sz val="9"/>
    </font>
    <font>
      <name val="Calibri"/>
      <i val="1"/>
      <sz val="10"/>
    </font>
    <font>
      <name val="Calibri"/>
      <color rgb="00006100"/>
      <sz val="10"/>
    </font>
    <font>
      <name val="Calibri"/>
      <color rgb="001F4E79"/>
      <sz val="10"/>
    </font>
    <font>
      <name val="Calibri"/>
      <b val="1"/>
      <color rgb="00C00000"/>
      <sz val="10"/>
    </font>
    <font>
      <name val="Calibri"/>
      <color rgb="009C5700"/>
      <sz val="10"/>
    </font>
    <font>
      <name val="Calibri"/>
      <b val="1"/>
      <color rgb="001F3864"/>
      <sz val="11"/>
    </font>
    <font>
      <name val="Calibri"/>
      <b val="1"/>
      <sz val="11"/>
    </font>
    <font>
      <name val="Calibri"/>
      <b val="1"/>
      <color rgb="00595959"/>
      <sz val="10"/>
    </font>
    <font>
      <name val="Calibri"/>
      <sz val="11"/>
    </font>
    <font>
      <name val="Calibri"/>
      <b val="1"/>
      <color rgb="001F3864"/>
      <sz val="14"/>
    </font>
    <font>
      <name val="Calibri"/>
      <b val="1"/>
      <color rgb="00404040"/>
      <sz val="11"/>
    </font>
    <font>
      <name val="Consolas"/>
      <color rgb="002E75B6"/>
      <sz val="10"/>
    </font>
    <font>
      <name val="Calibri"/>
      <b val="1"/>
      <sz val="12"/>
    </font>
    <font>
      <name val="Calibri"/>
      <b val="1"/>
      <color rgb="000563C1"/>
      <sz val="11"/>
      <u val="single"/>
    </font>
    <font>
      <name val="Calibri"/>
      <b val="1"/>
      <color rgb="000563C1"/>
      <sz val="10"/>
      <u val="single"/>
    </font>
  </fonts>
  <fills count="37">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F2F2F2"/>
      </patternFill>
    </fill>
    <fill>
      <patternFill patternType="solid">
        <fgColor rgb="00E2EFDA"/>
      </patternFill>
    </fill>
    <fill>
      <patternFill patternType="solid">
        <fgColor rgb="00F8CBAD"/>
      </patternFill>
    </fill>
    <fill>
      <patternFill patternType="solid">
        <fgColor rgb="00DDEBF7"/>
      </patternFill>
    </fill>
    <fill>
      <patternFill patternType="solid">
        <fgColor rgb="00C6E0B4"/>
      </patternFill>
    </fill>
    <fill>
      <patternFill patternType="solid">
        <fgColor rgb="00D0E8E5"/>
      </patternFill>
    </fill>
    <fill>
      <patternFill patternType="solid">
        <fgColor rgb="00A9D08E"/>
      </patternFill>
    </fill>
    <fill>
      <patternFill patternType="solid">
        <fgColor rgb="00E4DFEC"/>
      </patternFill>
    </fill>
    <fill>
      <patternFill patternType="solid">
        <fgColor rgb="00E8DCC8"/>
      </patternFill>
    </fill>
    <fill>
      <patternFill patternType="solid">
        <fgColor rgb="00EDEDED"/>
      </patternFill>
    </fill>
    <fill>
      <patternFill patternType="solid">
        <fgColor rgb="00FFC7CE"/>
      </patternFill>
    </fill>
    <fill>
      <patternFill patternType="solid">
        <fgColor rgb="00C6EFCE"/>
      </patternFill>
    </fill>
    <fill>
      <patternFill patternType="solid">
        <fgColor rgb="00FFEB9C"/>
      </patternFill>
    </fill>
    <fill>
      <patternFill patternType="solid">
        <fgColor rgb="00FFF2CC"/>
      </patternFill>
    </fill>
    <fill>
      <patternFill patternType="solid">
        <fgColor rgb="00548235"/>
      </patternFill>
    </fill>
    <fill>
      <patternFill patternType="solid">
        <fgColor rgb="007030A0"/>
      </patternFill>
    </fill>
    <fill>
      <patternFill patternType="solid">
        <fgColor rgb="00C55A11"/>
      </patternFill>
    </fill>
    <fill>
      <patternFill patternType="solid">
        <fgColor rgb="00806000"/>
      </patternFill>
    </fill>
    <fill>
      <patternFill patternType="solid">
        <fgColor rgb="00375623"/>
      </patternFill>
    </fill>
    <fill>
      <patternFill patternType="solid">
        <fgColor rgb="00843C0C"/>
      </patternFill>
    </fill>
    <fill>
      <patternFill patternType="solid">
        <fgColor rgb="003A3838"/>
      </patternFill>
    </fill>
    <fill>
      <patternFill patternType="solid">
        <fgColor rgb="00595959"/>
      </patternFill>
    </fill>
    <fill>
      <patternFill patternType="solid">
        <fgColor rgb="00EEF6EA"/>
      </patternFill>
    </fill>
    <fill>
      <patternFill patternType="solid">
        <fgColor rgb="00EAF3FB"/>
      </patternFill>
    </fill>
    <fill>
      <patternFill patternType="solid">
        <fgColor rgb="00EAF2E6"/>
      </patternFill>
    </fill>
    <fill>
      <patternFill patternType="solid">
        <fgColor rgb="00F4EEF9"/>
      </patternFill>
    </fill>
    <fill>
      <patternFill patternType="solid">
        <fgColor rgb="00F8F4E6"/>
      </patternFill>
    </fill>
    <fill>
      <patternFill patternType="solid">
        <fgColor rgb="00F8EDE7"/>
      </patternFill>
    </fill>
    <fill>
      <patternFill patternType="solid">
        <fgColor rgb="00FCF1EA"/>
      </patternFill>
    </fill>
    <fill>
      <patternFill patternType="solid">
        <fgColor rgb="00EEF2F9"/>
      </patternFill>
    </fill>
    <fill>
      <patternFill patternType="solid">
        <fgColor rgb="00FFFFFF"/>
      </patternFill>
    </fill>
    <fill>
      <patternFill patternType="solid">
        <fgColor rgb="00808080"/>
      </patternFill>
    </fill>
  </fills>
  <borders count="24">
    <border>
      <left/>
      <right/>
      <top/>
      <bottom/>
      <diagonal/>
    </border>
    <border>
      <left style="thin">
        <color rgb="00BFBFBF"/>
      </left>
      <right style="thin">
        <color rgb="00BFBFBF"/>
      </right>
      <top style="thin">
        <color rgb="00BFBFBF"/>
      </top>
      <bottom style="thin">
        <color rgb="00BFBFBF"/>
      </bottom>
    </border>
    <border>
      <left style="medium">
        <color rgb="00548235"/>
      </left>
      <right style="thin">
        <color rgb="00BFBFBF"/>
      </right>
      <top style="thin">
        <color rgb="00BFBFBF"/>
      </top>
      <bottom style="thin">
        <color rgb="00BFBFBF"/>
      </bottom>
    </border>
    <border>
      <left style="medium">
        <color rgb="002E75B6"/>
      </left>
      <right style="thin">
        <color rgb="00BFBFBF"/>
      </right>
      <top style="thin">
        <color rgb="00BFBFBF"/>
      </top>
      <bottom style="thin">
        <color rgb="00BFBFBF"/>
      </bottom>
    </border>
    <border>
      <left style="medium">
        <color rgb="00375623"/>
      </left>
      <right style="thin">
        <color rgb="00BFBFBF"/>
      </right>
      <top style="thin">
        <color rgb="00BFBFBF"/>
      </top>
      <bottom style="thin">
        <color rgb="00BFBFBF"/>
      </bottom>
    </border>
    <border>
      <left style="medium">
        <color rgb="007030A0"/>
      </left>
      <right style="thin">
        <color rgb="00BFBFBF"/>
      </right>
      <top style="thin">
        <color rgb="00BFBFBF"/>
      </top>
      <bottom style="thin">
        <color rgb="00BFBFBF"/>
      </bottom>
    </border>
    <border>
      <left style="medium">
        <color rgb="003A3838"/>
      </left>
      <right style="thin">
        <color rgb="00BFBFBF"/>
      </right>
      <top style="thin">
        <color rgb="00BFBFBF"/>
      </top>
      <bottom style="thin">
        <color rgb="00BFBFBF"/>
      </bottom>
    </border>
    <border>
      <left style="medium">
        <color rgb="00806000"/>
      </left>
      <right style="thin">
        <color rgb="00BFBFBF"/>
      </right>
      <top style="thin">
        <color rgb="00BFBFBF"/>
      </top>
      <bottom style="thin">
        <color rgb="00BFBFBF"/>
      </bottom>
    </border>
    <border>
      <left style="medium">
        <color rgb="001F3864"/>
      </left>
      <right style="thin">
        <color rgb="00BFBFBF"/>
      </right>
      <top style="thin">
        <color rgb="00BFBFBF"/>
      </top>
      <bottom style="thin">
        <color rgb="00BFBFBF"/>
      </bottom>
    </border>
    <border>
      <left style="medium">
        <color rgb="00843C0C"/>
      </left>
      <right style="thin">
        <color rgb="00BFBFBF"/>
      </right>
      <top style="thin">
        <color rgb="00BFBFBF"/>
      </top>
      <bottom style="thin">
        <color rgb="00BFBFBF"/>
      </bottom>
    </border>
    <border>
      <left style="medium">
        <color rgb="00C55A11"/>
      </left>
      <right style="thin">
        <color rgb="00BFBFBF"/>
      </right>
      <top style="thin">
        <color rgb="00BFBFBF"/>
      </top>
      <bottom style="thin">
        <color rgb="00BFBFBF"/>
      </bottom>
    </border>
    <border>
      <left style="medium">
        <color rgb="00595959"/>
      </left>
      <right style="thin">
        <color rgb="00BFBFBF"/>
      </right>
      <top style="thin">
        <color rgb="00BFBFBF"/>
      </top>
      <bottom style="thin">
        <color rgb="00BFBFBF"/>
      </bottom>
    </border>
    <border>
      <left style="medium">
        <color rgb="00548235"/>
      </left>
      <right/>
      <top/>
      <bottom/>
    </border>
    <border>
      <left style="medium">
        <color rgb="00375623"/>
      </left>
      <right/>
      <top/>
      <bottom/>
    </border>
    <border>
      <left style="medium">
        <color rgb="001F3864"/>
      </left>
      <right/>
      <top/>
      <bottom/>
    </border>
    <border>
      <left style="medium">
        <color rgb="00843C0C"/>
      </left>
      <right/>
      <top/>
      <bottom/>
    </border>
    <border>
      <left style="medium">
        <color rgb="007030A0"/>
      </left>
      <right/>
      <top/>
      <bottom/>
    </border>
    <border>
      <left style="medium">
        <color rgb="002E75B6"/>
      </left>
      <right/>
      <top/>
      <bottom/>
    </border>
    <border>
      <left style="medium">
        <color rgb="00C55A11"/>
      </left>
      <right/>
      <top/>
      <bottom/>
    </border>
    <border>
      <left style="medium">
        <color rgb="00806000"/>
      </left>
      <right/>
      <top/>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45">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4" borderId="1" applyAlignment="1" pivotButton="0" quotePrefix="0" xfId="0">
      <alignment horizontal="center" vertical="top" wrapText="1"/>
    </xf>
    <xf numFmtId="0" fontId="0" fillId="4" borderId="1" pivotButton="0" quotePrefix="0" xfId="0"/>
    <xf numFmtId="0" fontId="6" fillId="5" borderId="1" applyAlignment="1" pivotButton="0" quotePrefix="0" xfId="0">
      <alignment horizontal="center" vertical="top" wrapText="1"/>
    </xf>
    <xf numFmtId="0" fontId="0" fillId="5" borderId="1" pivotButton="0" quotePrefix="0" xfId="0"/>
    <xf numFmtId="0" fontId="7" fillId="0" borderId="0" applyAlignment="1" pivotButton="0" quotePrefix="0" xfId="0">
      <alignment vertical="top" wrapText="1"/>
    </xf>
    <xf numFmtId="0" fontId="8" fillId="4" borderId="1" applyAlignment="1" pivotButton="0" quotePrefix="0" xfId="0">
      <alignment horizontal="center" vertical="top" wrapText="1"/>
    </xf>
    <xf numFmtId="0" fontId="9" fillId="0" borderId="1" applyAlignment="1" pivotButton="0" quotePrefix="0" xfId="0">
      <alignment vertical="top" wrapText="1"/>
    </xf>
    <xf numFmtId="0" fontId="0" fillId="0" borderId="1" pivotButton="0" quotePrefix="0" xfId="0"/>
    <xf numFmtId="0" fontId="10" fillId="0" borderId="1" applyAlignment="1" pivotButton="0" quotePrefix="0" xfId="0">
      <alignment horizontal="center" vertical="top" wrapText="1"/>
    </xf>
    <xf numFmtId="0" fontId="10" fillId="0" borderId="1" applyAlignment="1" pivotButton="0" quotePrefix="0" xfId="0">
      <alignment vertical="top" wrapText="1"/>
    </xf>
    <xf numFmtId="0" fontId="9" fillId="0" borderId="0" applyAlignment="1" pivotButton="0" quotePrefix="0" xfId="0">
      <alignment vertical="top" wrapText="1"/>
    </xf>
    <xf numFmtId="0" fontId="10" fillId="6" borderId="1" applyAlignment="1" pivotButton="0" quotePrefix="0" xfId="0">
      <alignment vertical="top" wrapText="1"/>
    </xf>
    <xf numFmtId="0" fontId="0" fillId="6" borderId="1" pivotButton="0" quotePrefix="0" xfId="0"/>
    <xf numFmtId="0" fontId="10" fillId="6" borderId="1" applyAlignment="1" pivotButton="0" quotePrefix="0" xfId="0">
      <alignment horizontal="center" vertical="top" wrapText="1"/>
    </xf>
    <xf numFmtId="0" fontId="10" fillId="7" borderId="1" applyAlignment="1" pivotButton="0" quotePrefix="0" xfId="0">
      <alignment vertical="top" wrapText="1"/>
    </xf>
    <xf numFmtId="0" fontId="0" fillId="7" borderId="1" pivotButton="0" quotePrefix="0" xfId="0"/>
    <xf numFmtId="0" fontId="10" fillId="7" borderId="1" applyAlignment="1" pivotButton="0" quotePrefix="0" xfId="0">
      <alignment horizontal="center" vertical="top" wrapText="1"/>
    </xf>
    <xf numFmtId="0" fontId="9" fillId="8" borderId="1" applyAlignment="1" pivotButton="0" quotePrefix="0" xfId="0">
      <alignment vertical="top" wrapText="1"/>
    </xf>
    <xf numFmtId="0" fontId="0" fillId="8" borderId="1" pivotButton="0" quotePrefix="0" xfId="0"/>
    <xf numFmtId="0" fontId="10" fillId="8" borderId="1" applyAlignment="1" pivotButton="0" quotePrefix="0" xfId="0">
      <alignment horizontal="center" vertical="top" wrapText="1"/>
    </xf>
    <xf numFmtId="0" fontId="9" fillId="6" borderId="1" applyAlignment="1" pivotButton="0" quotePrefix="0" xfId="0">
      <alignment vertical="top" wrapText="1"/>
    </xf>
    <xf numFmtId="0" fontId="9" fillId="9" borderId="1" applyAlignment="1" pivotButton="0" quotePrefix="0" xfId="0">
      <alignment vertical="top" wrapText="1"/>
    </xf>
    <xf numFmtId="0" fontId="0" fillId="9" borderId="1" pivotButton="0" quotePrefix="0" xfId="0"/>
    <xf numFmtId="0" fontId="10" fillId="9" borderId="1" applyAlignment="1" pivotButton="0" quotePrefix="0" xfId="0">
      <alignment horizontal="center" vertical="top" wrapText="1"/>
    </xf>
    <xf numFmtId="0" fontId="9" fillId="10" borderId="1" applyAlignment="1" pivotButton="0" quotePrefix="0" xfId="0">
      <alignment vertical="top" wrapText="1"/>
    </xf>
    <xf numFmtId="0" fontId="0" fillId="10" borderId="1" pivotButton="0" quotePrefix="0" xfId="0"/>
    <xf numFmtId="0" fontId="10" fillId="10" borderId="1" applyAlignment="1" pivotButton="0" quotePrefix="0" xfId="0">
      <alignment horizontal="center" vertical="top" wrapText="1"/>
    </xf>
    <xf numFmtId="0" fontId="9" fillId="11" borderId="1" applyAlignment="1" pivotButton="0" quotePrefix="0" xfId="0">
      <alignment vertical="top" wrapText="1"/>
    </xf>
    <xf numFmtId="0" fontId="0" fillId="11" borderId="1" pivotButton="0" quotePrefix="0" xfId="0"/>
    <xf numFmtId="0" fontId="10" fillId="11" borderId="1" applyAlignment="1" pivotButton="0" quotePrefix="0" xfId="0">
      <alignment horizontal="center" vertical="top" wrapText="1"/>
    </xf>
    <xf numFmtId="0" fontId="9" fillId="12" borderId="1" applyAlignment="1" pivotButton="0" quotePrefix="0" xfId="0">
      <alignment vertical="top" wrapText="1"/>
    </xf>
    <xf numFmtId="0" fontId="0" fillId="12" borderId="1" pivotButton="0" quotePrefix="0" xfId="0"/>
    <xf numFmtId="0" fontId="10" fillId="12" borderId="1" applyAlignment="1" pivotButton="0" quotePrefix="0" xfId="0">
      <alignment horizontal="center" vertical="top" wrapText="1"/>
    </xf>
    <xf numFmtId="0" fontId="9" fillId="13" borderId="1" applyAlignment="1" pivotButton="0" quotePrefix="0" xfId="0">
      <alignment vertical="top" wrapText="1"/>
    </xf>
    <xf numFmtId="0" fontId="0" fillId="13" borderId="1" pivotButton="0" quotePrefix="0" xfId="0"/>
    <xf numFmtId="0" fontId="10" fillId="13" borderId="1" applyAlignment="1" pivotButton="0" quotePrefix="0" xfId="0">
      <alignment horizontal="center" vertical="top" wrapText="1"/>
    </xf>
    <xf numFmtId="0" fontId="9" fillId="14" borderId="1" applyAlignment="1" pivotButton="0" quotePrefix="0" xfId="0">
      <alignment vertical="top" wrapText="1"/>
    </xf>
    <xf numFmtId="0" fontId="0" fillId="14" borderId="1" pivotButton="0" quotePrefix="0" xfId="0"/>
    <xf numFmtId="0" fontId="10" fillId="14" borderId="1" applyAlignment="1" pivotButton="0" quotePrefix="0" xfId="0">
      <alignment horizontal="center" vertical="top" wrapText="1"/>
    </xf>
    <xf numFmtId="0" fontId="9" fillId="5" borderId="1" applyAlignment="1" pivotButton="0" quotePrefix="0" xfId="0">
      <alignment vertical="top" wrapText="1"/>
    </xf>
    <xf numFmtId="0" fontId="10" fillId="5" borderId="1" applyAlignment="1" pivotButton="0" quotePrefix="0" xfId="0">
      <alignment horizontal="center" vertical="top" wrapText="1"/>
    </xf>
    <xf numFmtId="0" fontId="11" fillId="15" borderId="1" applyAlignment="1" pivotButton="0" quotePrefix="0" xfId="0">
      <alignment vertical="top" wrapText="1"/>
    </xf>
    <xf numFmtId="0" fontId="12" fillId="3" borderId="1" applyAlignment="1" pivotButton="0" quotePrefix="0" xfId="0">
      <alignment vertical="center" indent="1"/>
    </xf>
    <xf numFmtId="0" fontId="0" fillId="3" borderId="1" pivotButton="0" quotePrefix="0" xfId="0"/>
    <xf numFmtId="0" fontId="13" fillId="7" borderId="1" applyAlignment="1" pivotButton="0" quotePrefix="0" xfId="0">
      <alignment vertical="center" indent="1"/>
    </xf>
    <xf numFmtId="0" fontId="14" fillId="16" borderId="1" applyAlignment="1" pivotButton="0" quotePrefix="0" xfId="0">
      <alignment vertical="center" indent="1"/>
    </xf>
    <xf numFmtId="0" fontId="0" fillId="16" borderId="1" pivotButton="0" quotePrefix="0" xfId="0"/>
    <xf numFmtId="0" fontId="15" fillId="17" borderId="1" applyAlignment="1" pivotButton="0" quotePrefix="0" xfId="0">
      <alignment vertical="center" indent="1"/>
    </xf>
    <xf numFmtId="0" fontId="0" fillId="17" borderId="1" pivotButton="0" quotePrefix="0" xfId="0"/>
    <xf numFmtId="0" fontId="16" fillId="8" borderId="1" applyAlignment="1" pivotButton="0" quotePrefix="0" xfId="0">
      <alignment vertical="center" indent="1"/>
    </xf>
    <xf numFmtId="0" fontId="17" fillId="9" borderId="1" applyAlignment="1" pivotButton="0" quotePrefix="0" xfId="0">
      <alignment vertical="center" indent="1"/>
    </xf>
    <xf numFmtId="0" fontId="11" fillId="15" borderId="1" applyAlignment="1" pivotButton="0" quotePrefix="0" xfId="0">
      <alignment vertical="center" indent="1"/>
    </xf>
    <xf numFmtId="0" fontId="0" fillId="15" borderId="1" pivotButton="0" quotePrefix="0" xfId="0"/>
    <xf numFmtId="0" fontId="18" fillId="18" borderId="1" applyAlignment="1" pivotButton="0" quotePrefix="0" xfId="0">
      <alignment vertical="center" indent="1"/>
    </xf>
    <xf numFmtId="0" fontId="0" fillId="18" borderId="1" pivotButton="0" quotePrefix="0" xfId="0"/>
    <xf numFmtId="0" fontId="21" fillId="3" borderId="0" applyAlignment="1" pivotButton="0" quotePrefix="0" xfId="0">
      <alignment horizontal="center" vertical="center" wrapText="1"/>
    </xf>
    <xf numFmtId="0" fontId="22" fillId="7" borderId="0" applyAlignment="1" pivotButton="0" quotePrefix="0" xfId="0">
      <alignment horizontal="center" vertical="center" wrapText="1"/>
    </xf>
    <xf numFmtId="0" fontId="0" fillId="7" borderId="0" pivotButton="0" quotePrefix="0" xfId="0"/>
    <xf numFmtId="0" fontId="23" fillId="16" borderId="0" applyAlignment="1" pivotButton="0" quotePrefix="0" xfId="0">
      <alignment horizontal="center" vertical="center" wrapText="1"/>
    </xf>
    <xf numFmtId="0" fontId="24" fillId="17" borderId="0" applyAlignment="1" pivotButton="0" quotePrefix="0" xfId="0">
      <alignment horizontal="center" vertical="center" wrapText="1"/>
    </xf>
    <xf numFmtId="0" fontId="25" fillId="8" borderId="0" applyAlignment="1" pivotButton="0" quotePrefix="0" xfId="0">
      <alignment horizontal="center" vertical="center" wrapText="1"/>
    </xf>
    <xf numFmtId="0" fontId="26" fillId="9" borderId="0" applyAlignment="1" pivotButton="0" quotePrefix="0" xfId="0">
      <alignment horizontal="center" vertical="center" wrapText="1"/>
    </xf>
    <xf numFmtId="0" fontId="27" fillId="15" borderId="0" applyAlignment="1" pivotButton="0" quotePrefix="0" xfId="0">
      <alignment horizontal="center" vertical="center" wrapText="1"/>
    </xf>
    <xf numFmtId="0" fontId="0" fillId="15" borderId="0" pivotButton="0" quotePrefix="0" xfId="0"/>
    <xf numFmtId="0" fontId="28" fillId="18" borderId="0" applyAlignment="1" pivotButton="0" quotePrefix="0" xfId="0">
      <alignment horizontal="center" vertical="center" wrapText="1"/>
    </xf>
    <xf numFmtId="0" fontId="0" fillId="18" borderId="0" pivotButton="0" quotePrefix="0" xfId="0"/>
    <xf numFmtId="0" fontId="4" fillId="2" borderId="0" applyAlignment="1" pivotButton="0" quotePrefix="0" xfId="0">
      <alignment vertical="center" wrapText="1"/>
    </xf>
    <xf numFmtId="0" fontId="4" fillId="4" borderId="0" applyAlignment="1" pivotButton="0" quotePrefix="0" xfId="0">
      <alignment vertical="center" wrapText="1"/>
    </xf>
    <xf numFmtId="0" fontId="0" fillId="4" borderId="0" pivotButton="0" quotePrefix="0" xfId="0"/>
    <xf numFmtId="0" fontId="4" fillId="19" borderId="0" applyAlignment="1" pivotButton="0" quotePrefix="0" xfId="0">
      <alignment vertical="center" wrapText="1"/>
    </xf>
    <xf numFmtId="0" fontId="4" fillId="20" borderId="0" applyAlignment="1" pivotButton="0" quotePrefix="0" xfId="0">
      <alignment vertical="center" wrapText="1"/>
    </xf>
    <xf numFmtId="0" fontId="0" fillId="20" borderId="0" pivotButton="0" quotePrefix="0" xfId="0"/>
    <xf numFmtId="0" fontId="4" fillId="21" borderId="0" applyAlignment="1" pivotButton="0" quotePrefix="0" xfId="0">
      <alignment vertical="center" wrapText="1"/>
    </xf>
    <xf numFmtId="0" fontId="0" fillId="21" borderId="0" pivotButton="0" quotePrefix="0" xfId="0"/>
    <xf numFmtId="0" fontId="4" fillId="22" borderId="0" applyAlignment="1" pivotButton="0" quotePrefix="0" xfId="0">
      <alignment vertical="center" wrapText="1"/>
    </xf>
    <xf numFmtId="0" fontId="0" fillId="22" borderId="0" pivotButton="0" quotePrefix="0" xfId="0"/>
    <xf numFmtId="0" fontId="4" fillId="23" borderId="0" applyAlignment="1" pivotButton="0" quotePrefix="0" xfId="0">
      <alignment vertical="center" wrapText="1"/>
    </xf>
    <xf numFmtId="0" fontId="0" fillId="23" borderId="0" pivotButton="0" quotePrefix="0" xfId="0"/>
    <xf numFmtId="0" fontId="4" fillId="24" borderId="0" applyAlignment="1" pivotButton="0" quotePrefix="0" xfId="0">
      <alignment vertical="center" wrapText="1"/>
    </xf>
    <xf numFmtId="0" fontId="0" fillId="24" borderId="0" pivotButton="0" quotePrefix="0" xfId="0"/>
    <xf numFmtId="0" fontId="4" fillId="25" borderId="0" applyAlignment="1" pivotButton="0" quotePrefix="0" xfId="0">
      <alignment vertical="center" wrapText="1"/>
    </xf>
    <xf numFmtId="0" fontId="0" fillId="25" borderId="0" pivotButton="0" quotePrefix="0" xfId="0"/>
    <xf numFmtId="0" fontId="4" fillId="26" borderId="0" applyAlignment="1" pivotButton="0" quotePrefix="0" xfId="0">
      <alignment vertical="center" wrapText="1"/>
    </xf>
    <xf numFmtId="0" fontId="0" fillId="26" borderId="0" pivotButton="0" quotePrefix="0" xfId="0"/>
    <xf numFmtId="0" fontId="8" fillId="2" borderId="8" applyAlignment="1" pivotButton="0" quotePrefix="0" xfId="0">
      <alignment horizontal="center" vertical="top" wrapText="1"/>
    </xf>
    <xf numFmtId="0" fontId="8" fillId="2" borderId="1" applyAlignment="1" pivotButton="0" quotePrefix="0" xfId="0">
      <alignment horizontal="center" vertical="top" wrapText="1"/>
    </xf>
    <xf numFmtId="0" fontId="8" fillId="4" borderId="3" applyAlignment="1" pivotButton="0" quotePrefix="0" xfId="0">
      <alignment horizontal="center" vertical="top" wrapText="1"/>
    </xf>
    <xf numFmtId="0" fontId="8" fillId="19" borderId="2" applyAlignment="1" pivotButton="0" quotePrefix="0" xfId="0">
      <alignment horizontal="center" vertical="top" wrapText="1"/>
    </xf>
    <xf numFmtId="0" fontId="8" fillId="20" borderId="5" applyAlignment="1" pivotButton="0" quotePrefix="0" xfId="0">
      <alignment horizontal="center" vertical="top" wrapText="1"/>
    </xf>
    <xf numFmtId="0" fontId="8" fillId="20" borderId="1" applyAlignment="1" pivotButton="0" quotePrefix="0" xfId="0">
      <alignment horizontal="center" vertical="top" wrapText="1"/>
    </xf>
    <xf numFmtId="0" fontId="8" fillId="21" borderId="10" applyAlignment="1" pivotButton="0" quotePrefix="0" xfId="0">
      <alignment horizontal="center" vertical="top" wrapText="1"/>
    </xf>
    <xf numFmtId="0" fontId="8" fillId="21" borderId="1" applyAlignment="1" pivotButton="0" quotePrefix="0" xfId="0">
      <alignment horizontal="center" vertical="top" wrapText="1"/>
    </xf>
    <xf numFmtId="0" fontId="8" fillId="22" borderId="7" applyAlignment="1" pivotButton="0" quotePrefix="0" xfId="0">
      <alignment horizontal="center" vertical="top" wrapText="1"/>
    </xf>
    <xf numFmtId="0" fontId="8" fillId="22" borderId="1" applyAlignment="1" pivotButton="0" quotePrefix="0" xfId="0">
      <alignment horizontal="center" vertical="top" wrapText="1"/>
    </xf>
    <xf numFmtId="0" fontId="8" fillId="23" borderId="4" applyAlignment="1" pivotButton="0" quotePrefix="0" xfId="0">
      <alignment horizontal="center" vertical="top" wrapText="1"/>
    </xf>
    <xf numFmtId="0" fontId="8" fillId="23" borderId="1" applyAlignment="1" pivotButton="0" quotePrefix="0" xfId="0">
      <alignment horizontal="center" vertical="top" wrapText="1"/>
    </xf>
    <xf numFmtId="0" fontId="8" fillId="24" borderId="9" applyAlignment="1" pivotButton="0" quotePrefix="0" xfId="0">
      <alignment horizontal="center" vertical="top" wrapText="1"/>
    </xf>
    <xf numFmtId="0" fontId="8" fillId="24" borderId="1" applyAlignment="1" pivotButton="0" quotePrefix="0" xfId="0">
      <alignment horizontal="center" vertical="top" wrapText="1"/>
    </xf>
    <xf numFmtId="0" fontId="8" fillId="25" borderId="6" applyAlignment="1" pivotButton="0" quotePrefix="0" xfId="0">
      <alignment horizontal="center" vertical="top" wrapText="1"/>
    </xf>
    <xf numFmtId="0" fontId="8" fillId="25" borderId="1" applyAlignment="1" pivotButton="0" quotePrefix="0" xfId="0">
      <alignment horizontal="center" vertical="top" wrapText="1"/>
    </xf>
    <xf numFmtId="0" fontId="8" fillId="26" borderId="11" applyAlignment="1" pivotButton="0" quotePrefix="0" xfId="0">
      <alignment horizontal="center" vertical="top" wrapText="1"/>
    </xf>
    <xf numFmtId="0" fontId="8" fillId="26" borderId="1" applyAlignment="1" pivotButton="0" quotePrefix="0" xfId="0">
      <alignment horizontal="center" vertical="top" wrapText="1"/>
    </xf>
    <xf numFmtId="0" fontId="10" fillId="34" borderId="8" applyAlignment="1" pivotButton="0" quotePrefix="0" xfId="0">
      <alignment vertical="top" wrapText="1"/>
    </xf>
    <xf numFmtId="0" fontId="9" fillId="34" borderId="1" applyAlignment="1" pivotButton="0" quotePrefix="0" xfId="0">
      <alignment vertical="top" wrapText="1"/>
    </xf>
    <xf numFmtId="0" fontId="10" fillId="34" borderId="1" applyAlignment="1" pivotButton="0" quotePrefix="0" xfId="0">
      <alignment vertical="top" wrapText="1"/>
    </xf>
    <xf numFmtId="0" fontId="10" fillId="34" borderId="1" applyAlignment="1" pivotButton="0" quotePrefix="0" xfId="0">
      <alignment horizontal="center" vertical="top" wrapText="1"/>
    </xf>
    <xf numFmtId="0" fontId="13" fillId="7" borderId="3" applyAlignment="1" pivotButton="0" quotePrefix="0" xfId="0">
      <alignment vertical="top" wrapText="1"/>
    </xf>
    <xf numFmtId="0" fontId="13" fillId="7" borderId="1" applyAlignment="1" pivotButton="0" quotePrefix="0" xfId="0">
      <alignment vertical="top" wrapText="1"/>
    </xf>
    <xf numFmtId="0" fontId="10" fillId="28" borderId="1" applyAlignment="1" pivotButton="0" quotePrefix="0" xfId="0">
      <alignment vertical="top" wrapText="1"/>
    </xf>
    <xf numFmtId="0" fontId="9" fillId="8" borderId="1" applyAlignment="1" pivotButton="0" quotePrefix="0" xfId="0">
      <alignment horizontal="center" vertical="top" wrapText="1"/>
    </xf>
    <xf numFmtId="0" fontId="10" fillId="8" borderId="1" applyAlignment="1" pivotButton="0" quotePrefix="0" xfId="0">
      <alignment vertical="top" wrapText="1"/>
    </xf>
    <xf numFmtId="0" fontId="19" fillId="5" borderId="1" applyAlignment="1" pivotButton="0" quotePrefix="0" xfId="0">
      <alignment vertical="top" wrapText="1"/>
    </xf>
    <xf numFmtId="0" fontId="10" fillId="27" borderId="2" applyAlignment="1" pivotButton="0" quotePrefix="0" xfId="0">
      <alignment vertical="top" wrapText="1"/>
    </xf>
    <xf numFmtId="0" fontId="10" fillId="30" borderId="5" applyAlignment="1" pivotButton="0" quotePrefix="0" xfId="0">
      <alignment vertical="top" wrapText="1"/>
    </xf>
    <xf numFmtId="0" fontId="10" fillId="18" borderId="1" applyAlignment="1" pivotButton="0" quotePrefix="0" xfId="0">
      <alignment vertical="top" wrapText="1"/>
    </xf>
    <xf numFmtId="0" fontId="10" fillId="33" borderId="10" applyAlignment="1" pivotButton="0" quotePrefix="0" xfId="0">
      <alignment vertical="top" wrapText="1"/>
    </xf>
    <xf numFmtId="0" fontId="10" fillId="33" borderId="1" applyAlignment="1" pivotButton="0" quotePrefix="0" xfId="0">
      <alignment vertical="top" wrapText="1"/>
    </xf>
    <xf numFmtId="0" fontId="10" fillId="31" borderId="7" applyAlignment="1" pivotButton="0" quotePrefix="0" xfId="0">
      <alignment vertical="top" wrapText="1"/>
    </xf>
    <xf numFmtId="164" fontId="10" fillId="31" borderId="1" applyAlignment="1" pivotButton="0" quotePrefix="0" xfId="0">
      <alignment horizontal="center" vertical="top" wrapText="1"/>
    </xf>
    <xf numFmtId="9" fontId="10" fillId="31" borderId="1" applyAlignment="1" pivotButton="0" quotePrefix="0" xfId="0">
      <alignment horizontal="center" vertical="top" wrapText="1"/>
    </xf>
    <xf numFmtId="2" fontId="10" fillId="31" borderId="1" applyAlignment="1" pivotButton="0" quotePrefix="0" xfId="0">
      <alignment horizontal="center" vertical="top" wrapText="1"/>
    </xf>
    <xf numFmtId="164" fontId="10" fillId="18" borderId="1" applyAlignment="1" pivotButton="0" quotePrefix="0" xfId="0">
      <alignment horizontal="center" vertical="top" wrapText="1"/>
    </xf>
    <xf numFmtId="0" fontId="10" fillId="31" borderId="1" applyAlignment="1" pivotButton="0" quotePrefix="0" xfId="0">
      <alignment horizontal="center" vertical="top" wrapText="1"/>
    </xf>
    <xf numFmtId="0" fontId="10" fillId="29" borderId="4" applyAlignment="1" pivotButton="0" quotePrefix="0" xfId="0">
      <alignment vertical="top" wrapText="1"/>
    </xf>
    <xf numFmtId="0" fontId="10" fillId="29" borderId="1" applyAlignment="1" pivotButton="0" quotePrefix="0" xfId="0">
      <alignment vertical="top" wrapText="1"/>
    </xf>
    <xf numFmtId="0" fontId="10" fillId="32" borderId="9" applyAlignment="1" pivotButton="0" quotePrefix="0" xfId="0">
      <alignment vertical="top" wrapText="1"/>
    </xf>
    <xf numFmtId="0" fontId="10" fillId="32" borderId="1" applyAlignment="1" pivotButton="0" quotePrefix="0" xfId="0">
      <alignment vertical="top" wrapText="1"/>
    </xf>
    <xf numFmtId="0" fontId="10" fillId="5" borderId="6" applyAlignment="1" pivotButton="0" quotePrefix="0" xfId="0">
      <alignment vertical="top" wrapText="1"/>
    </xf>
    <xf numFmtId="0" fontId="10" fillId="5" borderId="1" applyAlignment="1" pivotButton="0" quotePrefix="0" xfId="0">
      <alignment vertical="top" wrapText="1"/>
    </xf>
    <xf numFmtId="0" fontId="10" fillId="14" borderId="11" applyAlignment="1" pivotButton="0" quotePrefix="0" xfId="0">
      <alignment vertical="top" wrapText="1"/>
    </xf>
    <xf numFmtId="0" fontId="10" fillId="14" borderId="1" applyAlignment="1" pivotButton="0" quotePrefix="0" xfId="0">
      <alignment vertical="top" wrapText="1"/>
    </xf>
    <xf numFmtId="0" fontId="10" fillId="18" borderId="8" applyAlignment="1" pivotButton="0" quotePrefix="0" xfId="0">
      <alignment vertical="top" wrapText="1"/>
    </xf>
    <xf numFmtId="0" fontId="10" fillId="28" borderId="3" applyAlignment="1" pivotButton="0" quotePrefix="0" xfId="0">
      <alignment vertical="top" wrapText="1"/>
    </xf>
    <xf numFmtId="0" fontId="9" fillId="6" borderId="1" applyAlignment="1" pivotButton="0" quotePrefix="0" xfId="0">
      <alignment horizontal="center" vertical="top" wrapText="1"/>
    </xf>
    <xf numFmtId="0" fontId="13" fillId="7" borderId="1" applyAlignment="1" pivotButton="0" quotePrefix="0" xfId="0">
      <alignment horizontal="center" vertical="top" wrapText="1"/>
    </xf>
    <xf numFmtId="0" fontId="14" fillId="16" borderId="1" applyAlignment="1" pivotButton="0" quotePrefix="0" xfId="0">
      <alignment vertical="top" wrapText="1"/>
    </xf>
    <xf numFmtId="0" fontId="16" fillId="8" borderId="1" applyAlignment="1" pivotButton="0" quotePrefix="0" xfId="0">
      <alignment vertical="top" wrapText="1"/>
    </xf>
    <xf numFmtId="0" fontId="17" fillId="9" borderId="1" applyAlignment="1" pivotButton="0" quotePrefix="0" xfId="0">
      <alignment horizontal="center" vertical="top" wrapText="1"/>
    </xf>
    <xf numFmtId="0" fontId="10" fillId="9" borderId="1" applyAlignment="1" pivotButton="0" quotePrefix="0" xfId="0">
      <alignment vertical="top" wrapText="1"/>
    </xf>
    <xf numFmtId="0" fontId="17" fillId="9" borderId="1" applyAlignment="1" pivotButton="0" quotePrefix="0" xfId="0">
      <alignment vertical="top" wrapText="1"/>
    </xf>
    <xf numFmtId="0" fontId="15" fillId="17" borderId="1" applyAlignment="1" pivotButton="0" quotePrefix="0" xfId="0">
      <alignment vertical="top" wrapText="1"/>
    </xf>
    <xf numFmtId="0" fontId="11" fillId="15" borderId="1" applyAlignment="1" pivotButton="0" quotePrefix="0" xfId="0">
      <alignment horizontal="center" vertical="top" wrapText="1"/>
    </xf>
    <xf numFmtId="0" fontId="20" fillId="15" borderId="6" applyAlignment="1" pivotButton="0" quotePrefix="0" xfId="0">
      <alignment vertical="top" wrapText="1"/>
    </xf>
    <xf numFmtId="0" fontId="20" fillId="15" borderId="9" applyAlignment="1" pivotButton="0" quotePrefix="0" xfId="0">
      <alignment vertical="top" wrapText="1"/>
    </xf>
    <xf numFmtId="0" fontId="20" fillId="15" borderId="1" applyAlignment="1" pivotButton="0" quotePrefix="0" xfId="0">
      <alignment vertical="top" wrapText="1"/>
    </xf>
    <xf numFmtId="0" fontId="10" fillId="12" borderId="1" applyAlignment="1" pivotButton="0" quotePrefix="0" xfId="0">
      <alignment vertical="top" wrapText="1"/>
    </xf>
    <xf numFmtId="0" fontId="0" fillId="16" borderId="0" pivotButton="0" quotePrefix="0" xfId="0"/>
    <xf numFmtId="0" fontId="0" fillId="17" borderId="0" pivotButton="0" quotePrefix="0" xfId="0"/>
    <xf numFmtId="0" fontId="0" fillId="9" borderId="0" pivotButton="0" quotePrefix="0" xfId="0"/>
    <xf numFmtId="0" fontId="0" fillId="19" borderId="0" pivotButton="0" quotePrefix="0" xfId="0"/>
    <xf numFmtId="0" fontId="8" fillId="19" borderId="1" applyAlignment="1" pivotButton="0" quotePrefix="0" xfId="0">
      <alignment horizontal="center" vertical="top" wrapText="1"/>
    </xf>
    <xf numFmtId="0" fontId="10" fillId="27" borderId="12" applyAlignment="1" pivotButton="0" quotePrefix="0" xfId="0">
      <alignment vertical="top"/>
    </xf>
    <xf numFmtId="0" fontId="10" fillId="27" borderId="0" applyAlignment="1" pivotButton="0" quotePrefix="0" xfId="0">
      <alignment vertical="top"/>
    </xf>
    <xf numFmtId="165" fontId="10" fillId="27" borderId="0" applyAlignment="1" pivotButton="0" quotePrefix="0" xfId="0">
      <alignment vertical="top"/>
    </xf>
    <xf numFmtId="0" fontId="4" fillId="4" borderId="0" pivotButton="0" quotePrefix="0" xfId="0"/>
    <xf numFmtId="0" fontId="10" fillId="8" borderId="8" applyAlignment="1" pivotButton="0" quotePrefix="0" xfId="0">
      <alignment horizontal="center" vertical="top" wrapText="1"/>
    </xf>
    <xf numFmtId="0" fontId="10" fillId="28" borderId="3" applyAlignment="1" pivotButton="0" quotePrefix="0" xfId="0">
      <alignment horizontal="center" vertical="top" wrapText="1"/>
    </xf>
    <xf numFmtId="0" fontId="10" fillId="28" borderId="1" applyAlignment="1" pivotButton="0" quotePrefix="0" xfId="0">
      <alignment horizontal="center" vertical="top" wrapText="1"/>
    </xf>
    <xf numFmtId="0" fontId="10" fillId="27" borderId="1" applyAlignment="1" pivotButton="0" quotePrefix="0" xfId="0">
      <alignment vertical="top" wrapText="1"/>
    </xf>
    <xf numFmtId="0" fontId="10" fillId="30" borderId="1" applyAlignment="1" pivotButton="0" quotePrefix="0" xfId="0">
      <alignment vertical="top" wrapText="1"/>
    </xf>
    <xf numFmtId="0" fontId="10" fillId="6" borderId="8" applyAlignment="1" pivotButton="0" quotePrefix="0" xfId="0">
      <alignment horizontal="center" vertical="top" wrapText="1"/>
    </xf>
    <xf numFmtId="0" fontId="10" fillId="9" borderId="8" applyAlignment="1" pivotButton="0" quotePrefix="0" xfId="0">
      <alignment horizontal="center" vertical="top" wrapText="1"/>
    </xf>
    <xf numFmtId="0" fontId="10" fillId="12" borderId="8" applyAlignment="1" pivotButton="0" quotePrefix="0" xfId="0">
      <alignment horizontal="center" vertical="top" wrapText="1"/>
    </xf>
    <xf numFmtId="0" fontId="9" fillId="0" borderId="1" applyAlignment="1" pivotButton="0" quotePrefix="0" xfId="0">
      <alignment horizontal="center" vertical="top" wrapText="1"/>
    </xf>
    <xf numFmtId="0" fontId="29" fillId="0" borderId="0" applyAlignment="1" pivotButton="0" quotePrefix="0" xfId="0">
      <alignment vertical="top" wrapText="1"/>
    </xf>
    <xf numFmtId="0" fontId="4" fillId="4" borderId="0" applyAlignment="1" pivotButton="0" quotePrefix="0" xfId="0">
      <alignment vertical="center"/>
    </xf>
    <xf numFmtId="0" fontId="10" fillId="35" borderId="1" applyAlignment="1" pivotButton="0" quotePrefix="0" xfId="0">
      <alignment vertical="top" wrapText="1"/>
    </xf>
    <xf numFmtId="0" fontId="10" fillId="35" borderId="1" applyAlignment="1" pivotButton="0" quotePrefix="0" xfId="0">
      <alignment horizontal="center" vertical="top" wrapText="1"/>
    </xf>
    <xf numFmtId="0" fontId="9" fillId="34" borderId="8" applyAlignment="1" pivotButton="0" quotePrefix="0" xfId="0">
      <alignment horizontal="center" vertical="top" wrapText="1"/>
    </xf>
    <xf numFmtId="0" fontId="10" fillId="31" borderId="7" applyAlignment="1" pivotButton="0" quotePrefix="0" xfId="0">
      <alignment horizontal="center" vertical="top" wrapText="1"/>
    </xf>
    <xf numFmtId="0" fontId="10" fillId="31" borderId="1" applyAlignment="1" pivotButton="0" quotePrefix="0" xfId="0">
      <alignment vertical="top" wrapText="1"/>
    </xf>
    <xf numFmtId="0" fontId="10" fillId="6" borderId="6" applyAlignment="1" pivotButton="0" quotePrefix="0" xfId="0">
      <alignment vertical="top" wrapText="1"/>
    </xf>
    <xf numFmtId="0" fontId="10" fillId="8" borderId="6" applyAlignment="1" pivotButton="0" quotePrefix="0" xfId="0">
      <alignment vertical="top" wrapText="1"/>
    </xf>
    <xf numFmtId="0" fontId="9" fillId="9" borderId="1" applyAlignment="1" pivotButton="0" quotePrefix="0" xfId="0">
      <alignment horizontal="center" vertical="top" wrapText="1"/>
    </xf>
    <xf numFmtId="0" fontId="9" fillId="12" borderId="1" applyAlignment="1" pivotButton="0" quotePrefix="0" xfId="0">
      <alignment horizontal="center" vertical="top" wrapText="1"/>
    </xf>
    <xf numFmtId="0" fontId="10" fillId="27" borderId="2" applyAlignment="1" pivotButton="0" quotePrefix="0" xfId="0">
      <alignment horizontal="center" vertical="top" wrapText="1"/>
    </xf>
    <xf numFmtId="0" fontId="10" fillId="30" borderId="5" applyAlignment="1" pivotButton="0" quotePrefix="0" xfId="0">
      <alignment horizontal="center" vertical="top" wrapText="1"/>
    </xf>
    <xf numFmtId="9" fontId="10" fillId="30" borderId="1" applyAlignment="1" pivotButton="0" quotePrefix="0" xfId="0">
      <alignment horizontal="center" vertical="top" wrapText="1"/>
    </xf>
    <xf numFmtId="0" fontId="10" fillId="29" borderId="4" applyAlignment="1" pivotButton="0" quotePrefix="0" xfId="0">
      <alignment horizontal="center" vertical="top" wrapText="1"/>
    </xf>
    <xf numFmtId="0" fontId="10" fillId="29" borderId="1" applyAlignment="1" pivotButton="0" quotePrefix="0" xfId="0">
      <alignment horizontal="center" vertical="top" wrapText="1"/>
    </xf>
    <xf numFmtId="0" fontId="0" fillId="34" borderId="14" pivotButton="0" quotePrefix="0" xfId="0"/>
    <xf numFmtId="0" fontId="0" fillId="34" borderId="0" pivotButton="0" quotePrefix="0" xfId="0"/>
    <xf numFmtId="0" fontId="0" fillId="28" borderId="17" pivotButton="0" quotePrefix="0" xfId="0"/>
    <xf numFmtId="0" fontId="0" fillId="28" borderId="0" pivotButton="0" quotePrefix="0" xfId="0"/>
    <xf numFmtId="0" fontId="0" fillId="27" borderId="12" pivotButton="0" quotePrefix="0" xfId="0"/>
    <xf numFmtId="0" fontId="0" fillId="27" borderId="0" pivotButton="0" quotePrefix="0" xfId="0"/>
    <xf numFmtId="0" fontId="0" fillId="30" borderId="16" pivotButton="0" quotePrefix="0" xfId="0"/>
    <xf numFmtId="0" fontId="0" fillId="30" borderId="0" pivotButton="0" quotePrefix="0" xfId="0"/>
    <xf numFmtId="0" fontId="0" fillId="33" borderId="18" pivotButton="0" quotePrefix="0" xfId="0"/>
    <xf numFmtId="0" fontId="0" fillId="33" borderId="0" pivotButton="0" quotePrefix="0" xfId="0"/>
    <xf numFmtId="0" fontId="0" fillId="31" borderId="19" pivotButton="0" quotePrefix="0" xfId="0"/>
    <xf numFmtId="0" fontId="0" fillId="29" borderId="13" pivotButton="0" quotePrefix="0" xfId="0"/>
    <xf numFmtId="0" fontId="0" fillId="29" borderId="0" pivotButton="0" quotePrefix="0" xfId="0"/>
    <xf numFmtId="0" fontId="0" fillId="32" borderId="15" pivotButton="0" quotePrefix="0" xfId="0"/>
    <xf numFmtId="0" fontId="0" fillId="32" borderId="0" pivotButton="0" quotePrefix="0" xfId="0"/>
    <xf numFmtId="0" fontId="0" fillId="8" borderId="0" pivotButton="0" quotePrefix="0" xfId="0"/>
    <xf numFmtId="9" fontId="10" fillId="0" borderId="1" applyAlignment="1" pivotButton="0" quotePrefix="0" xfId="0">
      <alignment horizontal="center" vertical="top" wrapText="1"/>
    </xf>
    <xf numFmtId="0" fontId="10" fillId="10" borderId="1" applyAlignment="1" pivotButton="0" quotePrefix="0" xfId="0">
      <alignment vertical="top" wrapText="1"/>
    </xf>
    <xf numFmtId="0" fontId="10" fillId="11" borderId="1" applyAlignment="1" pivotButton="0" quotePrefix="0" xfId="0">
      <alignment vertical="top" wrapText="1"/>
    </xf>
    <xf numFmtId="0" fontId="10" fillId="13" borderId="1" applyAlignment="1" pivotButton="0" quotePrefix="0" xfId="0">
      <alignment vertical="top" wrapText="1"/>
    </xf>
    <xf numFmtId="0" fontId="10" fillId="0" borderId="0" applyAlignment="1" pivotButton="0" quotePrefix="0" xfId="0">
      <alignment vertical="top" wrapText="1"/>
    </xf>
    <xf numFmtId="0" fontId="9" fillId="3" borderId="1" applyAlignment="1" pivotButton="0" quotePrefix="0" xfId="0">
      <alignment vertical="top" wrapText="1"/>
    </xf>
    <xf numFmtId="0" fontId="0" fillId="0" borderId="23" pivotButton="0" quotePrefix="0" xfId="0"/>
    <xf numFmtId="0" fontId="0" fillId="0" borderId="22" pivotButton="0" quotePrefix="0" xfId="0"/>
    <xf numFmtId="0" fontId="10" fillId="3" borderId="1" applyAlignment="1" pivotButton="0" quotePrefix="0" xfId="0">
      <alignment horizontal="center" vertical="top" wrapText="1"/>
    </xf>
    <xf numFmtId="0" fontId="10" fillId="0" borderId="1" applyAlignment="1" pivotButton="0" quotePrefix="0" xfId="0">
      <alignment vertical="top"/>
    </xf>
    <xf numFmtId="0" fontId="30" fillId="16" borderId="1" applyAlignment="1" pivotButton="0" quotePrefix="0" xfId="0">
      <alignment horizontal="center" vertical="top" wrapText="1"/>
    </xf>
    <xf numFmtId="0" fontId="31" fillId="8" borderId="1" applyAlignment="1" pivotButton="0" quotePrefix="0" xfId="0">
      <alignment horizontal="center" vertical="top" wrapText="1"/>
    </xf>
    <xf numFmtId="0" fontId="32" fillId="0" borderId="1" applyAlignment="1" pivotButton="0" quotePrefix="0" xfId="0">
      <alignment vertical="top"/>
    </xf>
    <xf numFmtId="0" fontId="33" fillId="17" borderId="1" applyAlignment="1" pivotButton="0" quotePrefix="0" xfId="0">
      <alignment horizontal="center" vertical="top" wrapText="1"/>
    </xf>
    <xf numFmtId="0" fontId="34" fillId="3" borderId="0" applyAlignment="1" pivotButton="0" quotePrefix="0" xfId="0">
      <alignment vertical="top" wrapText="1"/>
    </xf>
    <xf numFmtId="0" fontId="35" fillId="18" borderId="0" applyAlignment="1" pivotButton="0" quotePrefix="0" xfId="0">
      <alignment vertical="top" wrapText="1"/>
    </xf>
    <xf numFmtId="0" fontId="36" fillId="0" borderId="0" applyAlignment="1" pivotButton="0" quotePrefix="0" xfId="0">
      <alignment horizontal="right" vertical="center"/>
    </xf>
    <xf numFmtId="0" fontId="37" fillId="35" borderId="1" applyAlignment="1" pivotButton="0" quotePrefix="0" xfId="0">
      <alignment vertical="top" wrapText="1"/>
    </xf>
    <xf numFmtId="0" fontId="34"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 fillId="2" borderId="0" applyAlignment="1" pivotButton="0" quotePrefix="0" xfId="0">
      <alignment vertical="center" indent="1"/>
    </xf>
    <xf numFmtId="0" fontId="9" fillId="5" borderId="0" applyAlignment="1" pivotButton="0" quotePrefix="0" xfId="0">
      <alignment vertical="top" wrapText="1"/>
    </xf>
    <xf numFmtId="0" fontId="8" fillId="4" borderId="0" applyAlignment="1" pivotButton="0" quotePrefix="0" xfId="0">
      <alignment vertical="top" wrapText="1"/>
    </xf>
    <xf numFmtId="0" fontId="10" fillId="0" borderId="0" applyAlignment="1" pivotButton="0" quotePrefix="0" xfId="0">
      <alignment horizontal="center" vertical="top" wrapText="1"/>
    </xf>
    <xf numFmtId="0" fontId="40" fillId="0" borderId="0" applyAlignment="1" pivotButton="0" quotePrefix="0" xfId="0">
      <alignment vertical="top" wrapText="1"/>
    </xf>
    <xf numFmtId="9" fontId="10" fillId="0" borderId="0" applyAlignment="1" pivotButton="0" quotePrefix="0" xfId="0">
      <alignment horizontal="center" vertical="top" wrapText="1"/>
    </xf>
    <xf numFmtId="2" fontId="10" fillId="0" borderId="0" applyAlignment="1" pivotButton="0" quotePrefix="0" xfId="0">
      <alignment horizontal="center" vertical="top" wrapText="1"/>
    </xf>
    <xf numFmtId="0" fontId="9" fillId="3" borderId="0" applyAlignment="1" pivotButton="0" quotePrefix="0" xfId="0">
      <alignment vertical="top" wrapText="1"/>
    </xf>
    <xf numFmtId="2" fontId="9" fillId="3" borderId="0" applyAlignment="1" pivotButton="0" quotePrefix="0" xfId="0">
      <alignment horizontal="center" vertical="top" wrapText="1"/>
    </xf>
    <xf numFmtId="0" fontId="9" fillId="3" borderId="0" applyAlignment="1" pivotButton="0" quotePrefix="0" xfId="0">
      <alignment horizontal="center" vertical="top" wrapText="1"/>
    </xf>
    <xf numFmtId="0" fontId="41" fillId="18" borderId="1" applyAlignment="1" pivotButton="0" quotePrefix="0" xfId="0">
      <alignment horizontal="center" vertical="top" wrapText="1"/>
    </xf>
    <xf numFmtId="0" fontId="8" fillId="36" borderId="1" applyAlignment="1" pivotButton="0" quotePrefix="0" xfId="0">
      <alignment horizontal="center" vertical="top" wrapText="1"/>
    </xf>
    <xf numFmtId="164" fontId="9" fillId="0" borderId="1" applyAlignment="1" pivotButton="0" quotePrefix="0" xfId="0">
      <alignment horizontal="center" vertical="top" wrapText="1"/>
    </xf>
    <xf numFmtId="9" fontId="10" fillId="14" borderId="1" applyAlignment="1" pivotButton="0" quotePrefix="0" xfId="0">
      <alignment horizontal="center" vertical="top" wrapText="1"/>
    </xf>
    <xf numFmtId="164" fontId="10" fillId="0" borderId="1" applyAlignment="1" pivotButton="0" quotePrefix="0" xfId="0">
      <alignment vertical="top" wrapText="1"/>
    </xf>
    <xf numFmtId="0" fontId="8" fillId="4" borderId="1" applyAlignment="1" pivotButton="0" quotePrefix="0" xfId="0">
      <alignment vertical="top" wrapText="1"/>
    </xf>
    <xf numFmtId="0" fontId="10" fillId="18" borderId="1" applyAlignment="1" pivotButton="0" quotePrefix="0" xfId="0">
      <alignment horizontal="center" vertical="top" wrapText="1"/>
    </xf>
    <xf numFmtId="0" fontId="43" fillId="0" borderId="0" applyAlignment="1" pivotButton="0" quotePrefix="0" xfId="0">
      <alignment vertical="center"/>
    </xf>
    <xf numFmtId="0" fontId="0" fillId="0" borderId="1" applyAlignment="1" pivotButton="0" quotePrefix="0" xfId="0">
      <alignment horizontal="center" vertical="top"/>
    </xf>
    <xf numFmtId="0" fontId="42" fillId="0" borderId="1" applyAlignment="1" pivotButton="0" quotePrefix="0" xfId="0">
      <alignment vertical="top"/>
    </xf>
    <xf numFmtId="166" fontId="10" fillId="2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People by level</a:t>
            </a:r>
          </a:p>
        </rich>
      </tx>
    </title>
    <plotArea>
      <barChart>
        <barDir val="col"/>
        <grouping val="clustered"/>
        <ser>
          <idx val="0"/>
          <order val="0"/>
          <tx>
            <strRef>
              <f>'1. Overview'!B154</f>
            </strRef>
          </tx>
          <spPr>
            <a:solidFill xmlns:a="http://schemas.openxmlformats.org/drawingml/2006/main">
              <a:srgbClr val="2E75B6"/>
            </a:solidFill>
            <a:ln xmlns:a="http://schemas.openxmlformats.org/drawingml/2006/main">
              <a:solidFill>
                <a:srgbClr val="2E75B6"/>
              </a:solidFill>
              <a:prstDash val="solid"/>
            </a:ln>
          </spPr>
          <cat>
            <numRef>
              <f>'1. Overview'!$A$155:$A$162</f>
            </numRef>
          </cat>
          <val>
            <numRef>
              <f>'1. Overview'!$B$155:$B$162</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Ratings</a:t>
            </a:r>
          </a:p>
        </rich>
      </tx>
    </title>
    <plotArea>
      <barChart>
        <barDir val="bar"/>
        <grouping val="clustered"/>
        <ser>
          <idx val="0"/>
          <order val="0"/>
          <tx>
            <strRef>
              <f>'1b. Person Card'!B31</f>
            </strRef>
          </tx>
          <spPr>
            <a:solidFill xmlns:a="http://schemas.openxmlformats.org/drawingml/2006/main">
              <a:srgbClr val="2E75B6"/>
            </a:solidFill>
            <a:ln xmlns:a="http://schemas.openxmlformats.org/drawingml/2006/main">
              <a:prstDash val="solid"/>
            </a:ln>
          </spPr>
          <cat>
            <numRef>
              <f>'1b. Person Card'!$A$32:$A$37</f>
            </numRef>
          </cat>
          <val>
            <numRef>
              <f>'1b. Person Card'!$B$32:$B$37</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2"/>
          <min val="0"/>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Business line: CARBON, iFile, iDEAL, Datatech, Consume or Corporate.</t>
      </text>
    </comment>
    <comment ref="D6" authorId="0" shapeId="0">
      <text>
        <t>Department in the Employee Master.</t>
      </text>
    </comment>
    <comment ref="E6" authorId="0" shapeId="0">
      <text>
        <t>The discipline, the same across businesses.</t>
      </text>
    </comment>
    <comment ref="G6" authorId="0" shapeId="0">
      <text>
        <t>Title held today · Employee Master.</t>
      </text>
    </comment>
    <comment ref="H6" authorId="0" shapeId="0">
      <text>
        <t>New title: level marker + role noun · title rules N1–N5.</t>
      </text>
    </comment>
    <comment ref="I6" authorId="0" shapeId="0">
      <text>
        <t>Level in the current structure, or 'Not in current mapping files'.</t>
      </text>
    </comment>
    <comment ref="J6" authorId="0" shapeId="0">
      <text>
        <t>Level on the new ladder · A1–E2, B+ / C+ Player-Coach steps, X1–X3 consultants after the rules.</t>
      </text>
    </comment>
    <comment ref="K6" authorId="0" shapeId="0">
      <text>
        <t>Individual Contributor, POD Lead, People Manager, Player-Coach or Consultant.</t>
      </text>
    </comment>
    <comment ref="L6" authorId="0" shapeId="0">
      <text>
        <t>Up, same, down · pay and title protected for one cycle or newly mapped.</t>
      </text>
    </comment>
    <comment ref="M6" authorId="0" shapeId="0">
      <text>
        <t>Weighted score = Σ rating × weight, on the 1–12 level scale. Not performance, not pay.</t>
      </text>
    </comment>
    <comment ref="N6" authorId="0" shapeId="0">
      <text>
        <t>Complexity &amp; Expertise rating: how hard the work is.</t>
      </text>
    </comment>
    <comment ref="O6" authorId="0" shapeId="0">
      <text>
        <t>Autonomy &amp; Decision rating: how freely the person decides.</t>
      </text>
    </comment>
    <comment ref="P6" authorId="0" shapeId="0">
      <text>
        <t>Accountability &amp; Impact rating: what the role answers for.</t>
      </text>
    </comment>
    <comment ref="Q6" authorId="0" shapeId="0">
      <text>
        <t>Leadership &amp; Strategy rating: how much the role leads others.</t>
      </text>
    </comment>
    <comment ref="R6" authorId="0" shapeId="0">
      <text>
        <t>Experience &amp; Qualification rating: the experience and qualification the role needs.</t>
      </text>
    </comment>
    <comment ref="T6" authorId="0" shapeId="0">
      <text>
        <t>'The score decided the level', or the rule that held or moved it · R4–R10; Framework &amp; Model Master.</t>
      </text>
    </comment>
    <comment ref="U6" authorId="0" shapeId="0">
      <text>
        <t>Close call, near a gate, input needed, or a protected move down.</t>
      </text>
    </comment>
    <comment ref="V6" authorId="0" shapeId="0">
      <text>
        <t>High / Medium / Low: how much evidence stands behind the placement.</t>
      </text>
    </comment>
  </commentList>
</comments>
</file>

<file path=xl/comments/comment2.xml><?xml version="1.0" encoding="utf-8"?>
<comments xmlns="http://schemas.openxmlformats.org/spreadsheetml/2006/main">
  <authors>
    <author>IRIS HR</author>
  </authors>
  <commentList>
    <comment ref="B16" authorId="0" shapeId="0">
      <text>
        <t>Business line: CARBON, iFile, iDEAL, Datatech, Consume or Corporate.</t>
      </text>
    </comment>
    <comment ref="C16" authorId="0" shapeId="0">
      <text>
        <t>Department in the Employee Master.</t>
      </text>
    </comment>
  </commentList>
</comments>
</file>

<file path=xl/comments/comment3.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From the Employee Master reporting line.</t>
      </text>
    </comment>
    <comment ref="H6" authorId="0" shapeId="0">
      <text>
        <t>Title held today · Employee Master.</t>
      </text>
    </comment>
    <comment ref="I6" authorId="0" shapeId="0">
      <text>
        <t>New title: level marker + role noun · title rules N1–N5.</t>
      </text>
    </comment>
    <comment ref="J6" authorId="0" shapeId="0">
      <text>
        <t>The discipline, the same across businesses.</t>
      </text>
    </comment>
    <comment ref="L6" authorId="0" shapeId="0">
      <text>
        <t>Level in the current structure, or 'Not in current mapping files'.</t>
      </text>
    </comment>
    <comment ref="M6" authorId="0" shapeId="0">
      <text>
        <t>Level on the new ladder · A1–E2, B+ / C+ Player-Coach steps, X1–X3 consultants after the rules.</t>
      </text>
    </comment>
    <comment ref="N6" authorId="0" shapeId="0">
      <text>
        <t>The generic title of the level on the person's track.</t>
      </text>
    </comment>
    <comment ref="O6" authorId="0" shapeId="0">
      <text>
        <t>A practitioner · B specialist / manager · C principal / head · D business leadership · E enterprise leadership.</t>
      </text>
    </comment>
    <comment ref="P6" authorId="0" shapeId="0">
      <text>
        <t>Individual Contributor, POD Lead, People Manager, Player-Coach or Consultant.</t>
      </text>
    </comment>
    <comment ref="Q6" authorId="0" shapeId="0">
      <text>
        <t>Up, same, down · pay and title protected for one cycle or newly mapped.</t>
      </text>
    </comment>
    <comment ref="R6" authorId="0" shapeId="0">
      <text>
        <t>What the role does, its key responsibilities, deliverables, decision rights, skills, tools and the competencies it requires — from the role catalogue: catalogue text plus counted themes from role-holders' survey answers · only where 3+ answered, never one person's words.</t>
      </text>
    </comment>
    <comment ref="AS6" authorId="0" shapeId="0">
      <text>
        <t>The score rounded to the nearest level ·.5 rounds up, before the rules.</t>
      </text>
    </comment>
    <comment ref="AT6" authorId="0" shapeId="0">
      <text>
        <t>The base weights for the band and track, and the tilt for the type of work.</t>
      </text>
    </comment>
    <comment ref="AU6" authorId="0" shapeId="0">
      <text>
        <t>Each rating × weight = points; the points add up to the score.</t>
      </text>
    </comment>
    <comment ref="BF6" authorId="0" shapeId="0">
      <text>
        <t>High / Medium / Low: how much evidence stands behind the placement.</t>
      </text>
    </comment>
    <comment ref="BG6" authorId="0" shapeId="0">
      <text>
        <t>Facts the business head or HR must confirm before sign-off.</t>
      </text>
    </comment>
    <comment ref="BN6" authorId="0" shapeId="0">
      <text>
        <t>Agree / Change / Discuss — the manager's view of the placement.</t>
      </text>
    </comment>
    <comment ref="BP6" authorId="0" shapeId="0">
      <text>
        <t>Approved / Changed / On hold.</t>
      </text>
    </comment>
    <comment ref="BQ6" authorId="0" shapeId="0">
      <text>
        <t>The level after calibration; enter only when it differs from FINAL LEVEL or once approved.</t>
      </text>
    </comment>
  </commentList>
</comments>
</file>

<file path=xl/comments/comment4.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Level in the current structure, or 'Not in current mapping files'.</t>
      </text>
    </comment>
    <comment ref="G6" authorId="0" shapeId="0">
      <text>
        <t>Level on the new ladder · A1–E2, B+ / C+ Player-Coach steps, X1–X3 consultants after the rules.</t>
      </text>
    </comment>
    <comment ref="H6" authorId="0" shapeId="0">
      <text>
        <t>Up, same, down · pay and title protected for one cycle or newly mapped.</t>
      </text>
    </comment>
    <comment ref="I6" authorId="0" shapeId="0">
      <text>
        <t>The discipline, the same across businesses.</t>
      </text>
    </comment>
    <comment ref="AK6" authorId="0" shapeId="0">
      <text>
        <t>Department in the Employee Master.</t>
      </text>
    </comment>
    <comment ref="AR6" authorId="0" shapeId="0">
      <text>
        <t>Open → In discussion → Agreed / Changed / Escalated → Closed.</t>
      </text>
    </comment>
  </commentList>
</comments>
</file>

<file path=xl/comments/comment5.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Level in the current structure, or 'Not in current mapping files'.</t>
      </text>
    </comment>
    <comment ref="G6" authorId="0" shapeId="0">
      <text>
        <t>Level on the new ladder · A1–E2, B+ / C+ Player-Coach steps, X1–X3 consultants after the rules.</t>
      </text>
    </comment>
    <comment ref="H6" authorId="0" shapeId="0">
      <text>
        <t>Up, same, down · pay and title protected for one cycle or newly mapped.</t>
      </text>
    </comment>
    <comment ref="I6" authorId="0" shapeId="0">
      <text>
        <t>Individual Contributor, POD Lead, People Manager, Player-Coach or Consultant.</t>
      </text>
    </comment>
  </commentList>
</comments>
</file>

<file path=xl/comments/comment6.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3</col>
      <colOff>0</colOff>
      <row>153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30</row>
      <rowOff>0</rowOff>
    </from>
    <ext cx="396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_1a__Placements" displayName="T_1a__Placements" ref="A6:V53" headerRowCount="1">
  <autoFilter ref="A6:V53"/>
  <tableColumns count="22">
    <tableColumn id="1" name="Emp ID"/>
    <tableColumn id="2" name="Employee name"/>
    <tableColumn id="3" name="Business"/>
    <tableColumn id="4" name="Department"/>
    <tableColumn id="5" name="Job family"/>
    <tableColumn id="6" name="Sub-family"/>
    <tableColumn id="7" name="Current designation"/>
    <tableColumn id="8" name="Final designation"/>
    <tableColumn id="9" name="Current level"/>
    <tableColumn id="10" name="FINAL LEVEL"/>
    <tableColumn id="11" name="Track"/>
    <tableColumn id="12" name="Change"/>
    <tableColumn id="13" name="Score"/>
    <tableColumn id="14" name="Complexity"/>
    <tableColumn id="15" name="Autonomy"/>
    <tableColumn id="16" name="Accountability"/>
    <tableColumn id="17" name="Leadership"/>
    <tableColumn id="18" name="Exp &amp; Qual"/>
    <tableColumn id="19" name="Bus. Impact"/>
    <tableColumn id="20" name="What set the level"/>
    <tableColumn id="21" name="Flags"/>
    <tableColumn id="22" name="Confidence"/>
  </tableColumns>
  <tableStyleInfo name="TableStyleLight1" showRowStripes="1" showColumnStripes="0"/>
</table>
</file>

<file path=xl/tables/table2.xml><?xml version="1.0" encoding="utf-8"?>
<table xmlns="http://schemas.openxmlformats.org/spreadsheetml/2006/main" id="2" name="T_1d__Weightage_Matrix" displayName="T_1d__Weightage_Matrix" ref="A16:T28" headerRowCount="1">
  <autoFilter ref="A16:T28"/>
  <tableColumns count="20">
    <tableColumn id="1" name="Weight row"/>
    <tableColumn id="2" name="Business"/>
    <tableColumn id="3" name="Department"/>
    <tableColumn id="4" name="Role group"/>
    <tableColumn id="5" name="People"/>
    <tableColumn id="6" name="Main type of work"/>
    <tableColumn id="7" name="How hard %"/>
    <tableColumn id="8" name="Decides alone %"/>
    <tableColumn id="9" name="Answers for %"/>
    <tableColumn id="10" name="Leads %"/>
    <tableColumn id="11" name="Experience %"/>
    <tableColumn id="12" name="Business impact %"/>
    <tableColumn id="13" name="Entered total"/>
    <tableColumn id="14" name="Used · How hard"/>
    <tableColumn id="15" name="Used · Decides alone"/>
    <tableColumn id="16" name="Used · Answers for"/>
    <tableColumn id="17" name="Used · Leads"/>
    <tableColumn id="18" name="Used · Experience"/>
    <tableColumn id="19" name="Used · Business impact"/>
    <tableColumn id="20" name="Why changed · leader"/>
  </tableColumns>
  <tableStyleInfo name="TableStyleLight1" showRowStripes="1" showColumnStripes="0"/>
</table>
</file>

<file path=xl/tables/table3.xml><?xml version="1.0" encoding="utf-8"?>
<table xmlns="http://schemas.openxmlformats.org/spreadsheetml/2006/main" id="3" name="T_2__Talent_Mapping" displayName="T_2__Talent_Mapping" ref="A6:BV53" headerRowCount="1">
  <autoFilter ref="A6:BV53"/>
  <tableColumns count="74">
    <tableColumn id="1" name="Emp ID"/>
    <tableColumn id="2" name="Employee name"/>
    <tableColumn id="3" name="Department"/>
    <tableColumn id="4" name="Reporting manager"/>
    <tableColumn id="5" name="Total exp. · yrs"/>
    <tableColumn id="6" name="Exp. at IRIS · yrs"/>
    <tableColumn id="7" name="Qualification"/>
    <tableColumn id="8" name="Current designation"/>
    <tableColumn id="9" name="Final designation"/>
    <tableColumn id="10" name="Job family"/>
    <tableColumn id="11" name="Sub-family · what they do"/>
    <tableColumn id="12" name="Current level"/>
    <tableColumn id="13" name="FINAL LEVEL"/>
    <tableColumn id="14" name="Level title"/>
    <tableColumn id="15" name="Band"/>
    <tableColumn id="16" name="Track"/>
    <tableColumn id="17" name="Change vs current"/>
    <tableColumn id="18" name="Role profile — what they do, responsibilities &amp; competencies required"/>
    <tableColumn id="19" name="Business impact — from survey and data"/>
    <tableColumn id="20" name="Business impact — from manager / head · to complete"/>
    <tableColumn id="21" name="Replacement — what they do · simple"/>
    <tableColumn id="22" name="Hire equivalent · external market"/>
    <tableColumn id="23" name="Competencies &amp; skill level to hire for"/>
    <tableColumn id="24" name="Interview questions for the perfect fit"/>
    <tableColumn id="25" name="Weight row — Weightage Matrix"/>
    <tableColumn id="26" name="Complexity rating"/>
    <tableColumn id="27" name="Complexity weight"/>
    <tableColumn id="28" name="Complexity points"/>
    <tableColumn id="29" name="Autonomy rating"/>
    <tableColumn id="30" name="Autonomy weight"/>
    <tableColumn id="31" name="Autonomy points"/>
    <tableColumn id="32" name="Accountab. rating"/>
    <tableColumn id="33" name="Accountab. weight"/>
    <tableColumn id="34" name="Accountab. points"/>
    <tableColumn id="35" name="Leadership rating"/>
    <tableColumn id="36" name="Leadership weight"/>
    <tableColumn id="37" name="Leadership points"/>
    <tableColumn id="38" name="Exp + Qual rating"/>
    <tableColumn id="39" name="Exp + Qual weight"/>
    <tableColumn id="40" name="Exp + Qual points"/>
    <tableColumn id="41" name="Bus. Impact rating"/>
    <tableColumn id="42" name="Bus. Impact weight"/>
    <tableColumn id="43" name="Bus. Impact points"/>
    <tableColumn id="44" name="WEIGHTED SCORE = Σ points"/>
    <tableColumn id="45" name="Level the score indicates"/>
    <tableColumn id="46" name="Why these weights"/>
    <tableColumn id="47" name="Calculation"/>
    <tableColumn id="48" name="Gates, limits &amp; Player-Coach transition steps applied — with the numbers"/>
    <tableColumn id="49" name="Complexity &amp; Expertise — justification"/>
    <tableColumn id="50" name="Autonomy &amp; Decision — justification"/>
    <tableColumn id="51" name="Accountability &amp; Impact — justification"/>
    <tableColumn id="52" name="Leadership &amp; Strategy — justification"/>
    <tableColumn id="53" name="Experience &amp; Qualification — justification"/>
    <tableColumn id="54" name="Business Impact — justification"/>
    <tableColumn id="55" name="ADDITIONAL INPUTS NEEDED — what, and who provides it"/>
    <tableColumn id="56" name="Data used for this person"/>
    <tableColumn id="57" name="Market standard for this role and level"/>
    <tableColumn id="58" name="Confidence"/>
    <tableColumn id="59" name="Points to confirm"/>
    <tableColumn id="60" name="Player-Coach / calibration flag"/>
    <tableColumn id="61" name="Current fixed pay · annual CTC"/>
    <tableColumn id="62" name="Proposed range — minimum"/>
    <tableColumn id="63" name="Proposed range — midpoint"/>
    <tableColumn id="64" name="Proposed range — maximum"/>
    <tableColumn id="65" name="Compa-ratio"/>
    <tableColumn id="66" name="Manager validation"/>
    <tableColumn id="67" name="Manager comment / proposed change"/>
    <tableColumn id="68" name="HR decision"/>
    <tableColumn id="69" name="Approved level"/>
    <tableColumn id="70" name="Approved designation"/>
    <tableColumn id="71" name="Pay / title protection · Y/N"/>
    <tableColumn id="72" name="Reviewer"/>
    <tableColumn id="73" name="Decision date"/>
    <tableColumn id="74" name="Bus. Impact — model start"/>
  </tableColumns>
  <tableStyleInfo name="TableStyleLight1" showRowStripes="1" showColumnStripes="0"/>
</table>
</file>

<file path=xl/tables/table4.xml><?xml version="1.0" encoding="utf-8"?>
<table xmlns="http://schemas.openxmlformats.org/spreadsheetml/2006/main" id="4" name="T_3__Raw_Data___Market_Standards" displayName="T_3__Raw_Data___Market_Standards" ref="A6:EF53" headerRowCount="1">
  <autoFilter ref="A6:EF53"/>
  <tableColumns count="136">
    <tableColumn id="1" name="Emp ID"/>
    <tableColumn id="2" name="Employee name"/>
    <tableColumn id="3" name="Department"/>
    <tableColumn id="4" name="Current designation"/>
    <tableColumn id="5" name="Final designation"/>
    <tableColumn id="6" name="Current level"/>
    <tableColumn id="7" name="FINAL LEVEL"/>
    <tableColumn id="8" name="Change vs current"/>
    <tableColumn id="9" name="Job family"/>
    <tableColumn id="10" name="Sub-family"/>
    <tableColumn id="11" name="ADDITIONAL INPUTS NEEDED — what, and who provides it"/>
    <tableColumn id="12" name="Survey questions answered · of 20"/>
    <tableColumn id="13" name="Radford / Mercer code"/>
    <tableColumn id="14" name="Pave level"/>
    <tableColumn id="15" name="SFIA 9"/>
    <tableColumn id="16" name="IRIS experience guide"/>
    <tableColumn id="17" name="Market experience · Accenture · Infosys"/>
    <tableColumn id="18" name="Typical market title based on competitor/market benchmark"/>
    <tableColumn id="19" name="Competitors, regtech &amp; SaaS leaders"/>
    <tableColumn id="20" name="Professional standard"/>
    <tableColumn id="21" name="Required capability · Core · Future · Functional · Leadership"/>
    <tableColumn id="22" name="Sr No"/>
    <tableColumn id="23" name="Emp Id · 2"/>
    <tableColumn id="24" name="Employee Category"/>
    <tableColumn id="25" name="Employee Status"/>
    <tableColumn id="26" name="Employee Name · 2"/>
    <tableColumn id="27" name="DoJ"/>
    <tableColumn id="28" name="Designation"/>
    <tableColumn id="29" name="Highest Qualifications"/>
    <tableColumn id="30" name="Reporting Manager"/>
    <tableColumn id="31" name="N levels"/>
    <tableColumn id="32" name="Manager or Individual Contributor"/>
    <tableColumn id="33" name="EXP Outside IRIS"/>
    <tableColumn id="34" name="EXP Current IRIS"/>
    <tableColumn id="35" name="Business Line"/>
    <tableColumn id="36" name="Product/Others"/>
    <tableColumn id="37" name="Department · 2"/>
    <tableColumn id="38" name="Sub Functional Categorization"/>
    <tableColumn id="39" name="Core Development"/>
    <tableColumn id="40" name="Functional Categorization"/>
    <tableColumn id="41" name="Skill Sets"/>
    <tableColumn id="42" name="Technical/Non-technical"/>
    <tableColumn id="43" name="Total Question Answered"/>
    <tableColumn id="44" name="Status"/>
    <tableColumn id="45" name="[CARBON Mapping Master] Emp Id"/>
    <tableColumn id="46" name="[CARBON Mapping Master] Employee Name"/>
    <tableColumn id="47" name="[CARBON Mapping Master] Department"/>
    <tableColumn id="48" name="[CARBON Mapping Master] Role Family"/>
    <tableColumn id="49" name="[CARBON Mapping Master] Sub-Family"/>
    <tableColumn id="50" name="[CARBON Mapping Master] Category"/>
    <tableColumn id="51" name="[CARBON Mapping Master] Current Reporting Manager"/>
    <tableColumn id="52" name="[CARBON Mapping Master] New Reporting Manager"/>
    <tableColumn id="53" name="[CARBON Mapping Master] Change in RM?"/>
    <tableColumn id="54" name="[CARBON Mapping Master] Current Designation"/>
    <tableColumn id="55" name="[CARBON Mapping Master] New Designation"/>
    <tableColumn id="56" name="[CARBON Mapping Master] Change in Designation?"/>
    <tableColumn id="57" name="[CARBON Mapping Master] Current Span · Mgrs only"/>
    <tableColumn id="58" name="[CARBON Mapping Master] Current Span — FTE"/>
    <tableColumn id="59" name="[CARBON Mapping Master] Current Span — Consult/Intern"/>
    <tableColumn id="60" name="[CARBON Mapping Master] Current Span Flag"/>
    <tableColumn id="61" name="[CARBON Mapping Master] New Span · Mgrs only"/>
    <tableColumn id="62" name="[CARBON Mapping Master] New Span — FTE"/>
    <tableColumn id="63" name="[CARBON Mapping Master] New Span — Consult/Intern"/>
    <tableColumn id="64" name="[CARBON Mapping Master] New Span Flag"/>
    <tableColumn id="65" name="[CARBON Mapping Master] Change in Span?"/>
    <tableColumn id="66" name="[CARBON Mapping Master] Career Level — Current"/>
    <tableColumn id="67" name="[CARBON Mapping Master] Career Level — New"/>
    <tableColumn id="68" name="[CARBON Mapping Master] Career Level Source"/>
    <tableColumn id="69" name="[CARBON Mapping Master] Region / Operating Area"/>
    <tableColumn id="70" name="[CARBON Talent Mapping · Raw] Emp Id"/>
    <tableColumn id="71" name="[CARBON Talent Mapping · Raw] Employee Category"/>
    <tableColumn id="72" name="[CARBON Talent Mapping · Raw] Employee Status"/>
    <tableColumn id="73" name="[CARBON Talent Mapping · Raw] Employee Name"/>
    <tableColumn id="74" name="[CARBON Talent Mapping · Raw] DoJ"/>
    <tableColumn id="75" name="[CARBON Talent Mapping · Raw] Designation"/>
    <tableColumn id="76" name="[CARBON Talent Mapping · Raw] Actual JD"/>
    <tableColumn id="77" name="[CARBON Talent Mapping · Raw] Role Family"/>
    <tableColumn id="78" name="[CARBON Talent Mapping · Raw] Sub-Family"/>
    <tableColumn id="79" name="[CARBON Talent Mapping · Raw] Job Title"/>
    <tableColumn id="80" name="[CARBON Talent Mapping · Raw] Career Level"/>
    <tableColumn id="81" name="[CARBON Talent Mapping · Raw] Reporting Manager"/>
    <tableColumn id="82" name="[CARBON Talent Mapping · Raw] N levels"/>
    <tableColumn id="83" name="[CARBON Talent Mapping · Raw] Manager or Individual Contributor or Player cum Coach"/>
    <tableColumn id="84" name="[CARBON Talent Mapping · Raw] Business Line"/>
    <tableColumn id="85" name="[CARBON Talent Mapping · Raw] Department"/>
    <tableColumn id="86" name="[CARBON Talent Mapping · Raw] Total Experience"/>
    <tableColumn id="87" name="[CARBON Talent Mapping · Raw] Correct Designation Based on Work"/>
    <tableColumn id="88" name="[CARBON Talent Mapping · Raw] Is a structural Change needed for better future · If yes, What changes"/>
    <tableColumn id="89" name="[CARBON Talent Mapping · Raw] Potential Rating · High/Med/Low"/>
    <tableColumn id="90" name="[CARBON Talent Mapping · Raw] 9-Box Placement"/>
    <tableColumn id="91" name="[CARBON Talent Mapping · Raw] Fast Tracker · Y/N"/>
    <tableColumn id="92" name="[CARBON Talent Mapping · Raw] Critical Role · Y/N"/>
    <tableColumn id="93" name="[CARBON Talent Mapping · Raw] Training Needs identified for current Role"/>
    <tableColumn id="94" name="[CARBON Talent Mapping · Raw] Comments"/>
    <tableColumn id="95" name="[Talent Mapping · iFile / iDEAL / DataTech / Database Content] Emp Id"/>
    <tableColumn id="96" name="[Talent Mapping · iFile / iDEAL / DataTech / Database Content] Employee Category"/>
    <tableColumn id="97" name="[Talent Mapping · iFile / iDEAL / DataTech / Database Content] Employee Status"/>
    <tableColumn id="98" name="[Talent Mapping · iFile / iDEAL / DataTech / Database Content] Employee Name"/>
    <tableColumn id="99" name="[Talent Mapping · iFile / iDEAL / DataTech / Database Content] DoJ"/>
    <tableColumn id="100" name="[Talent Mapping · iFile / iDEAL / DataTech / Database Content] Designation"/>
    <tableColumn id="101" name="[Talent Mapping · iFile / iDEAL / DataTech / Database Content] Role Family"/>
    <tableColumn id="102" name="[Talent Mapping · iFile / iDEAL / DataTech / Database Content] Sub-Family"/>
    <tableColumn id="103" name="[Talent Mapping · iFile / iDEAL / DataTech / Database Content] Job Title"/>
    <tableColumn id="104" name="[Talent Mapping · iFile / iDEAL / DataTech / Database Content] Career Level"/>
    <tableColumn id="105" name="[Talent Mapping · iFile / iDEAL / DataTech / Database Content] Highest Qualifications"/>
    <tableColumn id="106" name="[Talent Mapping · iFile / iDEAL / DataTech / Database Content] Reporting Manager"/>
    <tableColumn id="107" name="[Talent Mapping · iFile / iDEAL / DataTech / Database Content] N levels"/>
    <tableColumn id="108" name="[Talent Mapping · iFile / iDEAL / DataTech / Database Content] Manager or Individual Contributor"/>
    <tableColumn id="109" name="[Talent Mapping · iFile / iDEAL / DataTech / Database Content] EXP Outside IRIS"/>
    <tableColumn id="110" name="[Talent Mapping · iFile / iDEAL / DataTech / Database Content] EXP Current IRIS"/>
    <tableColumn id="111" name="[Talent Mapping · iFile / iDEAL / DataTech / Database Content] Total Experience"/>
    <tableColumn id="112" name="[Talent Mapping · iFile / iDEAL / DataTech / Database Content] Avg Exp in IRIS"/>
    <tableColumn id="113" name="[Talent Mapping · iFile / iDEAL / DataTech / Database Content] Business Line"/>
    <tableColumn id="114" name="[Talent Mapping · iFile / iDEAL / DataTech / Database Content] Product/Others"/>
    <tableColumn id="115" name="[Talent Mapping · iFile / iDEAL / DataTech / Database Content] Department"/>
    <tableColumn id="116" name="[Talent Mapping · iFile / iDEAL / DataTech / Database Content] Sub Functional Categorization"/>
    <tableColumn id="117" name="[Talent Mapping · iFile / iDEAL / DataTech / Database Content] Core Development"/>
    <tableColumn id="118" name="[Talent Mapping · iFile / iDEAL / DataTech / Database Content] Functional Categorization"/>
    <tableColumn id="119" name="[Talent Mapping · iFile / iDEAL / DataTech / Database Content] Skill Sets"/>
    <tableColumn id="120" name="[Talent Mapping · iFile / iDEAL / DataTech / Database Content] Technical/Non-technical"/>
    <tableColumn id="121" name="[Talent Mapping · iFile / iDEAL / DataTech / Database Content] Location"/>
    <tableColumn id="122" name="[Talent Mapping · iFile / iDEAL / DataTech / Database Content] Annual KRAs · objective Measurable Minimum 5 - Self"/>
    <tableColumn id="123" name="[Talent Mapping · iFile / iDEAL / DataTech / Database Content] Annual KRAs · objective Measurable Minimum 5 - set by Manager"/>
    <tableColumn id="124" name="[Talent Mapping · iFile / iDEAL / DataTech / Database Content] Quarterly KRAs"/>
    <tableColumn id="125" name="[Talent Mapping · iFile / iDEAL / DataTech / Database Content] Tentative Rating for Q1 · Scale 1-5"/>
    <tableColumn id="126" name="[Talent Mapping · iFile / iDEAL / DataTech / Database Content] Last Performance Discussion date"/>
    <tableColumn id="127" name="[Talent Mapping · iFile / iDEAL / DataTech / Database Content] Correct Designation"/>
    <tableColumn id="128" name="[Talent Mapping · iFile / iDEAL / DataTech / Database Content] Is a structural Change needed for better future"/>
    <tableColumn id="129" name="[Talent Mapping · iFile / iDEAL / DataTech / Database Content] Quarterly Performance Rating"/>
    <tableColumn id="130" name="[Talent Mapping · iFile / iDEAL / DataTech / Database Content] Potential Rating · High/Med/Low"/>
    <tableColumn id="131" name="[Talent Mapping · iFile / iDEAL / DataTech / Database Content] 9-Box Placement"/>
    <tableColumn id="132" name="[Talent Mapping · iFile / iDEAL / DataTech / Database Content] Ready for Promotion"/>
    <tableColumn id="133" name="[Talent Mapping · iFile / iDEAL / DataTech / Database Content] Fast Tracker · Y/N"/>
    <tableColumn id="134" name="[Talent Mapping · iFile / iDEAL / DataTech / Database Content] Critical Role · Y/N"/>
    <tableColumn id="135" name="[Talent Mapping · iFile / iDEAL / DataTech / Database Content] Training Needs identified for current Role"/>
    <tableColumn id="136" name="[Talent Mapping · iFile / iDEAL / DataTech / Database Content] Training Needs identified if · If promotion Ready"/>
  </tableColumns>
  <tableStyleInfo name="TableStyleLight1" showRowStripes="1" showColumnStripes="0"/>
</table>
</file>

<file path=xl/tables/table5.xml><?xml version="1.0" encoding="utf-8"?>
<table xmlns="http://schemas.openxmlformats.org/spreadsheetml/2006/main" id="5" name="T_8__Talent__Learning___Mobility" displayName="T_8__Talent__Learning___Mobility" ref="A6:AJ53" headerRowCount="1">
  <autoFilter ref="A6:AJ53"/>
  <tableColumns count="36">
    <tableColumn id="1" name="Emp ID"/>
    <tableColumn id="2" name="Employee name"/>
    <tableColumn id="3" name="Department"/>
    <tableColumn id="4" name="Current designation"/>
    <tableColumn id="5" name="Final designation"/>
    <tableColumn id="6" name="Current level"/>
    <tableColumn id="7" name="FINAL LEVEL"/>
    <tableColumn id="8" name="Change vs current"/>
    <tableColumn id="9" name="Track"/>
    <tableColumn id="10" name="Latest rating"/>
    <tableColumn id="11" name="Potential"/>
    <tableColumn id="12" name="9-box"/>
    <tableColumn id="13" name="Readiness"/>
    <tableColumn id="14" name="Top performer"/>
    <tableColumn id="15" name="Critical role · Y/N"/>
    <tableColumn id="16" name="Successor named"/>
    <tableColumn id="17" name="Competency index %"/>
    <tableColumn id="18" name="Fit"/>
    <tableColumn id="19" name="Core %"/>
    <tableColumn id="20" name="Future-ready %"/>
    <tableColumn id="21" name="Functional %"/>
    <tableColumn id="22" name="Leadership %"/>
    <tableColumn id="23" name="Top gaps"/>
    <tableColumn id="24" name="Readiness for next level"/>
    <tableColumn id="25" name="Ratings by competency · rating / required"/>
    <tableColumn id="26" name="Self-identified — topics · survey; not quoted"/>
    <tableColumn id="27" name="Manager-identified"/>
    <tableColumn id="28" name="Role-based priorities"/>
    <tableColumn id="29" name="To move to the next role — topics · survey; not quoted"/>
    <tableColumn id="30" name="Training for next role"/>
    <tableColumn id="31" name="Lateral move options"/>
    <tableColumn id="32" name="Duplication — same business"/>
    <tableColumn id="33" name="Alternate talent pool — other businesses"/>
    <tableColumn id="34" name="Direct reports"/>
    <tableColumn id="35" name="Span status"/>
    <tableColumn id="36" name="Span action"/>
  </tableColumns>
  <tableStyleInfo name="TableStyleLight1" showRowStripes="1" showColumnStripes="0"/>
</table>
</file>

<file path=xl/tables/table6.xml><?xml version="1.0" encoding="utf-8"?>
<table xmlns="http://schemas.openxmlformats.org/spreadsheetml/2006/main" id="6" name="T_12__Org_Health_6" displayName="T_12__Org_Health_6" ref="A6:G8" headerRowCount="1">
  <autoFilter ref="A6:G8"/>
  <tableColumns count="7">
    <tableColumn id="1" name="Manager"/>
    <tableColumn id="2" name="Business"/>
    <tableColumn id="3" name="Department"/>
    <tableColumn id="4" name="Level"/>
    <tableColumn id="5" name="Direct reports"/>
    <tableColumn id="6" name="Layer"/>
    <tableColumn id="7" name="What to look at"/>
  </tableColumns>
  <tableStyleInfo name="TableStyleLight1" showRowStripes="1" showColumnStripes="0"/>
</table>
</file>

<file path=xl/tables/table7.xml><?xml version="1.0" encoding="utf-8"?>
<table xmlns="http://schemas.openxmlformats.org/spreadsheetml/2006/main" id="7" name="T_12__Org_Health_15" displayName="T_12__Org_Health_15" ref="A15:G30" headerRowCount="1">
  <autoFilter ref="A15:G30"/>
  <tableColumns count="7">
    <tableColumn id="1" name="Sub-family · family"/>
    <tableColumn id="2" name="CARBON"/>
    <tableColumn id="3" name="iFile"/>
    <tableColumn id="4" name="iDEAL"/>
    <tableColumn id="5" name="Datatech"/>
    <tableColumn id="6" name="Consume"/>
    <tableColumn id="7" name="Corporate"/>
  </tableColumns>
  <tableStyleInfo name="TableStyleLight1" showRowStripes="1" showColumnStripes="0"/>
</table>
</file>

<file path=xl/tables/table8.xml><?xml version="1.0" encoding="utf-8"?>
<table xmlns="http://schemas.openxmlformats.org/spreadsheetml/2006/main" id="8" name="T_13__Weight_Sensitivity_40" displayName="T_13__Weight_Sensitivity_40" ref="A40:G45" headerRowCount="1">
  <autoFilter ref="A40:G45"/>
  <tableColumns count="7">
    <tableColumn id="1" name="Person"/>
    <tableColumn id="2" name="Business"/>
    <tableColumn id="3" name="Department"/>
    <tableColumn id="4" name="Level"/>
    <tableColumn id="5" name="Score"/>
    <tableColumn id="6" name="Tests that move it"/>
    <tableColumn id="7" name="Final designation"/>
  </tableColumns>
  <tableStyleInfo name="TableStyleLight1" showRowStripes="1" showColumnStripes="0"/>
</table>
</file>

<file path=xl/tables/table9.xml><?xml version="1.0" encoding="utf-8"?>
<table xmlns="http://schemas.openxmlformats.org/spreadsheetml/2006/main" id="9" name="T_14__A3_Deep_Dive_6" displayName="T_14__A3_Deep_Dive_6" ref="A6:H31" headerRowCount="1">
  <autoFilter ref="A6:H31"/>
  <tableColumns count="8">
    <tableColumn id="1" name="Person"/>
    <tableColumn id="2" name="Business"/>
    <tableColumn id="3" name="Department"/>
    <tableColumn id="4" name="Designation"/>
    <tableColumn id="5" name="Total exp. · yrs"/>
    <tableColumn id="6" name="Score"/>
    <tableColumn id="7" name="Gap to B1"/>
    <tableColumn id="8" name="Group"/>
  </tableColumns>
  <tableStyleInfo name="TableStyleLight1" showRowStripes="1" showColumnStripes="0"/>
</table>
</file>

<file path=xl/tables/table10.xml><?xml version="1.0" encoding="utf-8"?>
<table xmlns="http://schemas.openxmlformats.org/spreadsheetml/2006/main" id="10" name="T_15__Succession_5" displayName="T_15__Succession_5" ref="A5:H6" headerRowCount="1">
  <autoFilter ref="A5:H6"/>
  <tableColumns count="8">
    <tableColumn id="1" name="Role holder"/>
    <tableColumn id="2" name="Business"/>
    <tableColumn id="3" name="Role"/>
    <tableColumn id="4" name="Level"/>
    <tableColumn id="5" name="Cover"/>
    <tableColumn id="6" name="Ready now"/>
    <tableColumn id="7" name="Ready in 6–12 months"/>
    <tableColumn id="8" name="High potential"/>
  </tableColumns>
  <tableStyleInfo name="TableStyleLight1" showRowStripes="1" showColumnStripes="0"/>
</table>
</file>

<file path=xl/tables/table11.xml><?xml version="1.0" encoding="utf-8"?>
<table xmlns="http://schemas.openxmlformats.org/spreadsheetml/2006/main" id="11" name="T_15a__Critical_Roles_at_Risk_5" displayName="T_15a__Critical_Roles_at_Risk_5" ref="A5:L25" headerRowCount="1">
  <autoFilter ref="A5:L25"/>
  <tableColumns count="12">
    <tableColumn id="1" name="Person"/>
    <tableColumn id="2" name="Emp ID"/>
    <tableColumn id="3" name="Business"/>
    <tableColumn id="4" name="Department"/>
    <tableColumn id="5" name="Role"/>
    <tableColumn id="6" name="Level"/>
    <tableColumn id="7" name="Critical role"/>
    <tableColumn id="8" name="Only this person"/>
    <tableColumn id="9" name="Successor named"/>
    <tableColumn id="10" name="Risk"/>
    <tableColumn id="11" name="Possible cover · same sub-family"/>
    <tableColumn id="12" name="Action"/>
  </tableColumns>
  <tableStyleInfo name="TableStyleLight1" showRowStripes="1" showColumnStripes="0"/>
</table>
</file>

<file path=xl/tables/table12.xml><?xml version="1.0" encoding="utf-8"?>
<table xmlns="http://schemas.openxmlformats.org/spreadsheetml/2006/main" id="12" name="T_16__Role_Definitions_6" displayName="T_16__Role_Definitions_6" ref="A6:F8" headerRowCount="1">
  <autoFilter ref="A6:F8"/>
  <tableColumns count="6">
    <tableColumn id="1" name="Job family"/>
    <tableColumn id="2" name="Sub-family"/>
    <tableColumn id="3" name="Level"/>
    <tableColumn id="4" name="Track"/>
    <tableColumn id="5" name="People"/>
    <tableColumn id="6" name="Titles in use"/>
  </tableColumns>
  <tableStyleInfo name="TableStyleLight1" showRowStripes="1" showColumnStripes="0"/>
</table>
</file>

<file path=xl/tables/table13.xml><?xml version="1.0" encoding="utf-8"?>
<table xmlns="http://schemas.openxmlformats.org/spreadsheetml/2006/main" id="13" name="T_16__Role_Definitions_11" displayName="T_16__Role_Definitions_11" ref="A11:F13" headerRowCount="1">
  <autoFilter ref="A11:F13"/>
  <tableColumns count="6">
    <tableColumn id="1" name="Job family"/>
    <tableColumn id="2" name="Sub-family"/>
    <tableColumn id="3" name="Level"/>
    <tableColumn id="4" name="Track"/>
    <tableColumn id="5" name="Roles"/>
    <tableColumn id="6" name="Where · business · department · title · people"/>
  </tableColumns>
  <tableStyleInfo name="TableStyleLight1" showRowStripes="1" showColumnStripes="0"/>
</table>
</file>

<file path=xl/tables/table14.xml><?xml version="1.0" encoding="utf-8"?>
<table xmlns="http://schemas.openxmlformats.org/spreadsheetml/2006/main" id="14" name="T_17__Data_Gaps_5" displayName="T_17__Data_Gaps_5" ref="A5:G8" headerRowCount="1">
  <autoFilter ref="A5:G8"/>
  <tableColumns count="7">
    <tableColumn id="1" name="Emp ID"/>
    <tableColumn id="2" name="Person"/>
    <tableColumn id="3" name="Business"/>
    <tableColumn id="4" name="Department"/>
    <tableColumn id="5" name="Level"/>
    <tableColumn id="6" name="What is missing"/>
    <tableColumn id="7" name="Who supplies it"/>
  </tableColumns>
  <tableStyleInfo name="TableStyleLight1" showRowStripes="1" showColumnStripes="0"/>
</table>
</file>

<file path=xl/tables/table15.xml><?xml version="1.0" encoding="utf-8"?>
<table xmlns="http://schemas.openxmlformats.org/spreadsheetml/2006/main" id="15" name="T_18__Career_Ladder" displayName="T_18__Career_Ladder" ref="A6:P35" headerRowCount="1">
  <autoFilter ref="A6:P35"/>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iDEAL · same work in other departments"/>
    <tableColumn id="16" name="Overlap across IRIS · same work in other products"/>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Relationships>
</file>

<file path=xl/worksheets/_rels/sheet2.xml.rels><Relationships xmlns="http://schemas.openxmlformats.org/package/2006/relationships"><Relationship Type="http://schemas.openxmlformats.org/officeDocument/2006/relationships/hyperlink" Target="#'Start &#8212; How It Works'!A1" TargetMode="External" Id="rId1"/><Relationship Type="http://schemas.openxmlformats.org/officeDocument/2006/relationships/hyperlink" Target="#'1. Overview'!A1" TargetMode="External" Id="rId2"/><Relationship Type="http://schemas.openxmlformats.org/officeDocument/2006/relationships/hyperlink" Target="#'1a. Placements'!A1" TargetMode="External" Id="rId3"/><Relationship Type="http://schemas.openxmlformats.org/officeDocument/2006/relationships/hyperlink" Target="#'1b. Person Card'!A1" TargetMode="External" Id="rId4"/><Relationship Type="http://schemas.openxmlformats.org/officeDocument/2006/relationships/hyperlink" Target="#'1d. Weightage Matrix'!A1" TargetMode="External" Id="rId5"/><Relationship Type="http://schemas.openxmlformats.org/officeDocument/2006/relationships/hyperlink" Target="#'1e. Weight Benchmark'!A1" TargetMode="External" Id="rId6"/><Relationship Type="http://schemas.openxmlformats.org/officeDocument/2006/relationships/hyperlink" Target="#'2. Talent Mapping'!A1" TargetMode="External" Id="rId7"/><Relationship Type="http://schemas.openxmlformats.org/officeDocument/2006/relationships/hyperlink" Target="#'3. Raw Data &amp; Market Standards'!A1" TargetMode="External" Id="rId8"/><Relationship Type="http://schemas.openxmlformats.org/officeDocument/2006/relationships/hyperlink" Target="#'4. Role Competency Framework'!A1" TargetMode="External" Id="rId9"/><Relationship Type="http://schemas.openxmlformats.org/officeDocument/2006/relationships/hyperlink" Target="#'5. Capability Framework'!A1" TargetMode="External" Id="rId10"/><Relationship Type="http://schemas.openxmlformats.org/officeDocument/2006/relationships/hyperlink" Target="#'6. Role Catalogue'!A1" TargetMode="External" Id="rId11"/><Relationship Type="http://schemas.openxmlformats.org/officeDocument/2006/relationships/hyperlink" Target="#'7. Role Requirements'!A1" TargetMode="External" Id="rId12"/><Relationship Type="http://schemas.openxmlformats.org/officeDocument/2006/relationships/hyperlink" Target="#'8. Talent, Learning &amp; Mobility'!A1" TargetMode="External" Id="rId13"/><Relationship Type="http://schemas.openxmlformats.org/officeDocument/2006/relationships/hyperlink" Target="#'9. Calibration &amp; Decisions'!A1" TargetMode="External" Id="rId14"/><Relationship Type="http://schemas.openxmlformats.org/officeDocument/2006/relationships/hyperlink" Target="#'10. Framework &amp; Logic'!A1" TargetMode="External" Id="rId15"/><Relationship Type="http://schemas.openxmlformats.org/officeDocument/2006/relationships/hyperlink" Target="#'11. References &amp; Benchmarks'!A1" TargetMode="External" Id="rId16"/><Relationship Type="http://schemas.openxmlformats.org/officeDocument/2006/relationships/hyperlink" Target="#'12. Org Health'!A1" TargetMode="External" Id="rId17"/><Relationship Type="http://schemas.openxmlformats.org/officeDocument/2006/relationships/hyperlink" Target="#'13. Weight Sensitivity'!A1" TargetMode="External" Id="rId18"/><Relationship Type="http://schemas.openxmlformats.org/officeDocument/2006/relationships/hyperlink" Target="#'14. A3 Deep-Dive'!A1" TargetMode="External" Id="rId19"/><Relationship Type="http://schemas.openxmlformats.org/officeDocument/2006/relationships/hyperlink" Target="#'15. Succession'!A1" TargetMode="External" Id="rId20"/><Relationship Type="http://schemas.openxmlformats.org/officeDocument/2006/relationships/hyperlink" Target="#'15a. Critical Roles at Risk'!A1" TargetMode="External" Id="rId21"/><Relationship Type="http://schemas.openxmlformats.org/officeDocument/2006/relationships/hyperlink" Target="#'16. Role Definitions'!A1" TargetMode="External" Id="rId22"/><Relationship Type="http://schemas.openxmlformats.org/officeDocument/2006/relationships/hyperlink" Target="#'17. Data Gaps'!A1" TargetMode="External" Id="rId23"/><Relationship Type="http://schemas.openxmlformats.org/officeDocument/2006/relationships/hyperlink" Target="#'18. Career Ladder'!A1" TargetMode="External" Id="rId24"/></Relationships>
</file>

<file path=xl/worksheets/_rels/sheet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1.xml" Id="rId2"/></Relationships>
</file>

<file path=xl/worksheets/_rels/sheet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2.xml" Id="rId2"/></Relationships>
</file>

<file path=xl/worksheets/_rels/sheet6.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Contents'!A1" TargetMode="External" Id="rId1"/></Relationships>
</file>

<file path=xl/worksheets/_rels/sheet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4.xml" Id="rId2"/><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hyperlink" Target="#'Contents'!A1" TargetMode="External" Id="rId1"/></Relationships>
</file>

<file path=xl/worksheets/_rels/sheet11.xml.rels><Relationships xmlns="http://schemas.openxmlformats.org/package/2006/relationships"><Relationship Type="http://schemas.openxmlformats.org/officeDocument/2006/relationships/hyperlink" Target="#'Contents'!A1" TargetMode="External" Id="rId1"/></Relationships>
</file>

<file path=xl/worksheets/_rels/sheet12.xml.rels><Relationships xmlns="http://schemas.openxmlformats.org/package/2006/relationships"><Relationship Type="http://schemas.openxmlformats.org/officeDocument/2006/relationships/hyperlink" Target="#'Contents'!A1" TargetMode="External" Id="rId1"/></Relationships>
</file>

<file path=xl/worksheets/_rels/sheet13.xml.rels><Relationships xmlns="http://schemas.openxmlformats.org/package/2006/relationships"><Relationship Type="http://schemas.openxmlformats.org/officeDocument/2006/relationships/hyperlink" Target="#'Contents'!A1" TargetMode="External" Id="rId1"/></Relationships>
</file>

<file path=xl/worksheets/_rels/sheet1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5.xm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hyperlink" Target="#'Contents'!A1" TargetMode="External" Id="rId1"/></Relationships>
</file>

<file path=xl/worksheets/_rels/sheet16.xml.rels><Relationships xmlns="http://schemas.openxmlformats.org/package/2006/relationships"><Relationship Type="http://schemas.openxmlformats.org/officeDocument/2006/relationships/hyperlink" Target="#'Contents'!A1" TargetMode="External" Id="rId1"/></Relationships>
</file>

<file path=xl/worksheets/_rels/sheet17.xml.rels><Relationships xmlns="http://schemas.openxmlformats.org/package/2006/relationships"><Relationship Type="http://schemas.openxmlformats.org/officeDocument/2006/relationships/hyperlink" Target="#'Contents'!A1" TargetMode="External" Id="rId1"/></Relationships>
</file>

<file path=xl/worksheets/_rels/sheet1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6.xml" Id="rId2"/><Relationship Type="http://schemas.openxmlformats.org/officeDocument/2006/relationships/table" Target="/xl/tables/table7.xml" Id="rId3"/></Relationships>
</file>

<file path=xl/worksheets/_rels/sheet1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8.xml" Id="rId2"/></Relationships>
</file>

<file path=xl/worksheets/_rels/sheet20.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9.xml" Id="rId2"/></Relationships>
</file>

<file path=xl/worksheets/_rels/sheet21.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0.xml" Id="rId2"/></Relationships>
</file>

<file path=xl/worksheets/_rels/sheet22.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1.xml" Id="rId2"/></Relationships>
</file>

<file path=xl/worksheets/_rels/sheet2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2.xml" Id="rId2"/><Relationship Type="http://schemas.openxmlformats.org/officeDocument/2006/relationships/table" Target="/xl/tables/table13.xml" Id="rId3"/></Relationships>
</file>

<file path=xl/worksheets/_rels/sheet2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4.xml" Id="rId2"/></Relationships>
</file>

<file path=xl/worksheets/_rels/sheet2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5.xml" Id="rId2"/><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241" t="inlineStr">
        <is>
          <t>◂ Contents</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full master for one product: every person, the reasoning, the role catalogue, insights and the career ladder.</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12" t="inlineStr">
        <is>
          <t>#</t>
        </is>
      </c>
      <c r="B6" s="12" t="inlineStr">
        <is>
          <t>Step</t>
        </is>
      </c>
      <c r="C6" s="12" t="inlineStr">
        <is>
          <t>What we did</t>
        </is>
      </c>
      <c r="D6" s="12" t="inlineStr">
        <is>
          <t>What came out of it</t>
        </is>
      </c>
    </row>
    <row r="7" ht="54" customHeight="1">
      <c r="A7" s="15" t="n">
        <v>1</v>
      </c>
      <c r="B7" s="16" t="inlineStr">
        <is>
          <t>Created a base framework</t>
        </is>
      </c>
      <c r="C7" s="16" t="inlineStr">
        <is>
          <t>Built IRIS's job architecture from established market methods — Aon Radford / Mercer career levels, Korn Ferry Hay factors, WTW banding and SFIA — with job families anchored to the ILO occupation standard.</t>
        </is>
      </c>
      <c r="D7" s="16" t="inlineStr">
        <is>
          <t>19 job families, 61 sub-families, a 12-level ladder plus two Player-Coach steps · B+, C+, six factors, individual-contributor and manager tracks</t>
        </is>
      </c>
    </row>
    <row r="8" ht="54" customHeight="1">
      <c r="A8" s="15" t="n">
        <v>2</v>
      </c>
      <c r="B8" s="16" t="inlineStr">
        <is>
          <t>Designed a survey around it</t>
        </is>
      </c>
      <c r="C8" s="16"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16" t="inlineStr">
        <is>
          <t>One evidence form for every role, so each rating can be traced to an answer</t>
        </is>
      </c>
    </row>
    <row r="9" ht="41" customHeight="1">
      <c r="A9" s="15" t="n">
        <v>3</v>
      </c>
      <c r="B9" s="16" t="inlineStr">
        <is>
          <t>Conducted 60–65 workshops</t>
        </is>
      </c>
      <c r="C9" s="16" t="inlineStr">
        <is>
          <t>Ran 60–65 workshops with teams across the six products and Corporate: explained the framework, walked through the questions and collected answers in the room.</t>
        </is>
      </c>
      <c r="D9" s="16" t="inlineStr">
        <is>
          <t>Survey responses from 520 people</t>
        </is>
      </c>
    </row>
    <row r="10" ht="41" customHeight="1">
      <c r="A10" s="15" t="n">
        <v>4</v>
      </c>
      <c r="B10" s="16" t="inlineStr">
        <is>
          <t>Gathered the data</t>
        </is>
      </c>
      <c r="C10" s="16" t="inlineStr">
        <is>
          <t>Combined the survey with the HRIS employee master, KRAs · self and manager-set, the managers' talent mapping · rating, potential, 9-box and the reporting lines.</t>
        </is>
      </c>
      <c r="D10" s="16" t="inlineStr">
        <is>
          <t>One record per person — 586 people; KRAs on file for 453</t>
        </is>
      </c>
    </row>
    <row r="11" ht="41" customHeight="1">
      <c r="A11" s="15" t="n">
        <v>5</v>
      </c>
      <c r="B11" s="16" t="inlineStr">
        <is>
          <t>Cleaned and protected it</t>
        </is>
      </c>
      <c r="C11" s="16" t="inlineStr">
        <is>
          <t>Matched responses to people · with consent where needed, removed personal data, and showed survey content only where three or more role-holders answered — never one person's words against a name.</t>
        </is>
      </c>
      <c r="D11" s="16" t="inlineStr">
        <is>
          <t>Privacy-safe evidence</t>
        </is>
      </c>
    </row>
    <row r="12" ht="28" customHeight="1">
      <c r="A12" s="15" t="n">
        <v>6</v>
      </c>
      <c r="B12" s="16" t="inlineStr">
        <is>
          <t>Mapped every role</t>
        </is>
      </c>
      <c r="C12" s="16" t="inlineStr">
        <is>
          <t>Placed each person in a job family, a sub-family · the work they actually do and a track.</t>
        </is>
      </c>
      <c r="D12" s="16" t="inlineStr">
        <is>
          <t>267 distinct employee roles; one IRIS-wide role catalogue</t>
        </is>
      </c>
    </row>
    <row r="13" ht="54" customHeight="1">
      <c r="A13" s="15" t="n">
        <v>7</v>
      </c>
      <c r="B13" s="16" t="inlineStr">
        <is>
          <t>Rated and scored</t>
        </is>
      </c>
      <c r="C13" s="16" t="inlineStr">
        <is>
          <t>Rated six factors — Complexity, Autonomy, Accountability, Leadership, Experience &amp; Qualification, Business Impact — on the ladder scale from the evidence; rating × weight = points; points add up to a score; the score points to a level.</t>
        </is>
      </c>
      <c r="D13" s="16" t="inlineStr">
        <is>
          <t>A score and an indicated level for 540 employees</t>
        </is>
      </c>
    </row>
    <row r="14" ht="41" customHeight="1">
      <c r="A14" s="15" t="n">
        <v>8</v>
      </c>
      <c r="B14" s="16" t="inlineStr">
        <is>
          <t>Applied the rules</t>
        </is>
      </c>
      <c r="C14" s="16" t="inlineStr">
        <is>
          <t>Gates, limits and Player-Coach steps where the evidence calls for them, and leadership decisions for the top bands — each one written down with its numbers.</t>
        </is>
      </c>
      <c r="D14" s="16" t="inlineStr">
        <is>
          <t>A final level and designation for everyone, every move explained</t>
        </is>
      </c>
    </row>
    <row r="15" ht="41" customHeight="1">
      <c r="A15" s="15" t="n">
        <v>9</v>
      </c>
      <c r="B15" s="16" t="inlineStr">
        <is>
          <t>Benchmarked to the market</t>
        </is>
      </c>
      <c r="C15" s="16" t="inlineStr">
        <is>
          <t>Matched every level to Aon Radford / Mercer codes and SFIA, and to competitor, regtech and SaaS ladders; every source re-read and corrected.</t>
        </is>
      </c>
      <c r="D15" s="16" t="inlineStr">
        <is>
          <t>A market code and a typical market title for every level</t>
        </is>
      </c>
    </row>
    <row r="16" ht="54" customHeight="1">
      <c r="A16" s="15" t="n">
        <v>10</v>
      </c>
      <c r="B16" s="16" t="inlineStr">
        <is>
          <t>Built the file set</t>
        </is>
      </c>
      <c r="C16" s="16" t="inlineStr">
        <is>
          <t>One build produces every file from the same data, so they always agree: the HR Super Master, product masters and simplified editions, the framework &amp; model master, the calibration panel pack, the ladder master and draft letters.</t>
        </is>
      </c>
      <c r="D16" s="16" t="inlineStr">
        <is>
          <t>Files by audience, rebuilt and re-checked in minutes</t>
        </is>
      </c>
    </row>
    <row r="17" ht="28" customHeight="1">
      <c r="A17" s="15" t="n">
        <v>11</v>
      </c>
      <c r="B17" s="16" t="inlineStr">
        <is>
          <t>Reviewed and corrected</t>
        </is>
      </c>
      <c r="C17" s="16" t="inlineStr">
        <is>
          <t>Business-head review, independent reviews, and 100+ automated checks on every build · placements, privacy, formulas, links, counts.</t>
        </is>
      </c>
      <c r="D17" s="16" t="inlineStr">
        <is>
          <t>Corrections fed back as validated inputs, never as hand edits</t>
        </is>
      </c>
    </row>
    <row r="18" ht="15" customHeight="1"/>
    <row r="19" ht="20" customHeight="1">
      <c r="A19" s="6" t="inlineStr">
        <is>
          <t>2. What we are doing now</t>
        </is>
      </c>
      <c r="B19" s="2" t="n"/>
      <c r="C19" s="2" t="n"/>
      <c r="D19" s="2" t="n"/>
    </row>
    <row r="20" ht="15" customHeight="1">
      <c r="A20" s="12" t="inlineStr">
        <is>
          <t>Now</t>
        </is>
      </c>
      <c r="B20" s="8" t="n"/>
      <c r="C20" s="12" t="inlineStr">
        <is>
          <t>What happens</t>
        </is>
      </c>
      <c r="D20" s="12" t="inlineStr">
        <is>
          <t>Who</t>
        </is>
      </c>
    </row>
    <row r="21" ht="28" customHeight="1">
      <c r="A21" s="13" t="inlineStr">
        <is>
          <t>Calibration</t>
        </is>
      </c>
      <c r="B21" s="14" t="n"/>
      <c r="C21" s="16" t="inlineStr">
        <is>
          <t>The panel rates anchor roles blind and compares them with the model; close calls and moves down are decided.</t>
        </is>
      </c>
      <c r="D21" s="16" t="inlineStr">
        <is>
          <t>Calibration panel</t>
        </is>
      </c>
    </row>
    <row r="22" ht="28" customHeight="1">
      <c r="A22" s="13" t="inlineStr">
        <is>
          <t>Decisions and data</t>
        </is>
      </c>
      <c r="B22" s="14" t="n"/>
      <c r="C22" s="16" t="inlineStr">
        <is>
          <t>Open decisions and critical data requests are worked in the HR Super Master's tracker.</t>
        </is>
      </c>
      <c r="D22" s="16" t="inlineStr">
        <is>
          <t>HR, managers, business heads</t>
        </is>
      </c>
    </row>
    <row r="23" ht="28" customHeight="1">
      <c r="A23" s="13" t="inlineStr">
        <is>
          <t>Business-head review</t>
        </is>
      </c>
      <c r="B23" s="14" t="n"/>
      <c r="C23" s="16" t="inlineStr">
        <is>
          <t>Each business head marks Agree / Change / Discuss in their simplified edition; responses are imported and tracked.</t>
        </is>
      </c>
      <c r="D23" s="16" t="inlineStr">
        <is>
          <t>Business heads</t>
        </is>
      </c>
    </row>
    <row r="24" ht="28" customHeight="1">
      <c r="A24" s="13" t="inlineStr">
        <is>
          <t>Sign-off</t>
        </is>
      </c>
      <c r="B24" s="14" t="n"/>
      <c r="C24" s="16" t="inlineStr">
        <is>
          <t>The executive sponsor approves the structure; then the draft letters are issued.</t>
        </is>
      </c>
      <c r="D24" s="16" t="inlineStr">
        <is>
          <t>Executive sponsor, HR</t>
        </is>
      </c>
    </row>
    <row r="25" ht="28" customHeight="1">
      <c r="A25" s="13" t="inlineStr">
        <is>
          <t>Pay · later</t>
        </is>
      </c>
      <c r="B25" s="14" t="n"/>
      <c r="C25" s="16" t="inlineStr">
        <is>
          <t>Buy one India pay survey and price each level; pay columns stay blank until then.</t>
        </is>
      </c>
      <c r="D25" s="16" t="inlineStr">
        <is>
          <t>HR, Finance</t>
        </is>
      </c>
    </row>
    <row r="26" ht="15" customHeight="1"/>
    <row r="27" ht="20" customHeight="1">
      <c r="A27" s="6" t="inlineStr">
        <is>
          <t>3. How it works — in one minute</t>
        </is>
      </c>
      <c r="B27" s="2" t="n"/>
      <c r="C27" s="2" t="n"/>
      <c r="D27" s="2" t="n"/>
    </row>
    <row r="28" ht="15" customHeight="1">
      <c r="A28" s="12" t="inlineStr">
        <is>
          <t>Step</t>
        </is>
      </c>
      <c r="B28" s="8" t="n"/>
      <c r="C28" s="12" t="inlineStr">
        <is>
          <t>In plain words</t>
        </is>
      </c>
      <c r="D28" s="8" t="n"/>
    </row>
    <row r="29" ht="28" customHeight="1">
      <c r="A29" s="13" t="inlineStr">
        <is>
          <t>1 · A building with 12 floors</t>
        </is>
      </c>
      <c r="B29" s="14" t="n"/>
      <c r="C29" s="16" t="inlineStr">
        <is>
          <r>
            <rPr>
              <rFont val="Calibri"/>
              <b val="1"/>
              <sz val="10"/>
            </rPr>
            <t>IRIS is a building:</t>
          </r>
          <r>
            <rPr>
              <rFont val="Calibri"/>
              <sz val="10"/>
            </rPr>
            <t xml:space="preserve"> floor 1 = first job, floor 12 = CEO; two half floors · B+, C+ for player-coaches. Every job lives on one floor.</t>
          </r>
        </is>
      </c>
      <c r="D29" s="14" t="n"/>
    </row>
    <row r="30" ht="28" customHeight="1">
      <c r="A30" s="13" t="inlineStr">
        <is>
          <t>2 · Six judges</t>
        </is>
      </c>
      <c r="B30" s="14" t="n"/>
      <c r="C30" s="16" t="inlineStr">
        <is>
          <t>Six judges look at the job — How hard? Decides alone? Answers for? Leads? Experience? Business impact? — and each holds up a floor number · the rating, using the evidence: survey, KRAs, HRIS, reporting line.</t>
        </is>
      </c>
      <c r="D30" s="14" t="n"/>
    </row>
    <row r="31" ht="28" customHeight="1">
      <c r="A31" s="13" t="inlineStr">
        <is>
          <t>3 · Some count more</t>
        </is>
      </c>
      <c r="B31" s="14" t="n"/>
      <c r="C31" s="16" t="inlineStr">
        <is>
          <t>Starting out, the quality of the work counts most; for leaders, results, leading and business impact count most. Experience counts little. All six add to 100%, and leaders can edit them on the Weightage Matrix.</t>
        </is>
      </c>
      <c r="D31" s="14" t="n"/>
    </row>
    <row r="32" ht="28" customHeight="1">
      <c r="A32" s="13" t="inlineStr">
        <is>
          <t>4 · Add up = the floor</t>
        </is>
      </c>
      <c r="B32" s="14" t="n"/>
      <c r="C32" s="16" t="inlineStr">
        <is>
          <t>Card × how much it counts = points; add the points = the score; round it = the floor · 5.05 → 5 → B2. Fair-play checks can hold it — each one written down.</t>
        </is>
      </c>
      <c r="D32" s="14" t="n"/>
    </row>
    <row r="33" ht="15" customHeight="1"/>
    <row r="34" ht="15" customHeight="1">
      <c r="A34" s="11"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12" t="inlineStr">
        <is>
          <t>Output</t>
        </is>
      </c>
      <c r="B36" s="8" t="n"/>
      <c r="C36" s="8" t="n"/>
      <c r="D36" s="12" t="inlineStr">
        <is>
          <t>Count</t>
        </is>
      </c>
    </row>
    <row r="37" ht="15" customHeight="1">
      <c r="A37" s="13" t="inlineStr">
        <is>
          <t>People mapped · employees + consultants</t>
        </is>
      </c>
      <c r="B37" s="14" t="n"/>
      <c r="C37" s="14" t="n"/>
      <c r="D37" s="15" t="inlineStr">
        <is>
          <t>586</t>
        </is>
      </c>
    </row>
    <row r="38" ht="15" customHeight="1">
      <c r="A38" s="13" t="inlineStr">
        <is>
          <t>Job families · sub-families</t>
        </is>
      </c>
      <c r="B38" s="14" t="n"/>
      <c r="C38" s="14" t="n"/>
      <c r="D38" s="15" t="inlineStr">
        <is>
          <t>19 · 61</t>
        </is>
      </c>
    </row>
    <row r="39" ht="15" customHeight="1">
      <c r="A39" s="13" t="inlineStr">
        <is>
          <t>Ladder steps in use · employees</t>
        </is>
      </c>
      <c r="B39" s="14" t="n"/>
      <c r="C39" s="14" t="n"/>
      <c r="D39" s="15" t="n">
        <v>13</v>
      </c>
    </row>
    <row r="40" ht="15" customHeight="1">
      <c r="A40" s="13" t="inlineStr">
        <is>
          <t>Designations on the new ladder · employees</t>
        </is>
      </c>
      <c r="B40" s="14" t="n"/>
      <c r="C40" s="14" t="n"/>
      <c r="D40" s="15" t="n">
        <v>184</v>
      </c>
    </row>
    <row r="41" ht="15" customHeight="1">
      <c r="A41" s="13" t="inlineStr">
        <is>
          <t>Distinct employee roles</t>
        </is>
      </c>
      <c r="B41" s="14" t="n"/>
      <c r="C41" s="14" t="n"/>
      <c r="D41" s="15" t="n">
        <v>267</v>
      </c>
    </row>
    <row r="42" ht="15" customHeight="1">
      <c r="A42" s="13" t="inlineStr">
        <is>
          <t>Products and Corporate</t>
        </is>
      </c>
      <c r="B42" s="14" t="n"/>
      <c r="C42" s="14" t="n"/>
      <c r="D42" s="15" t="n">
        <v>6</v>
      </c>
    </row>
    <row r="43" ht="15" customHeight="1">
      <c r="A43" s="13" t="inlineStr">
        <is>
          <t>People in leadership bands D–E</t>
        </is>
      </c>
      <c r="B43" s="14" t="n"/>
      <c r="C43" s="14" t="n"/>
      <c r="D43" s="15" t="n">
        <v>11</v>
      </c>
    </row>
    <row r="44" ht="15" customHeight="1"/>
    <row r="45" ht="20" customHeight="1">
      <c r="A45" s="6" t="inlineStr">
        <is>
          <t>5. The impact</t>
        </is>
      </c>
      <c r="B45" s="2" t="n"/>
      <c r="C45" s="2" t="n"/>
      <c r="D45" s="2" t="n"/>
    </row>
    <row r="46" ht="15" customHeight="1">
      <c r="A46" s="12" t="inlineStr">
        <is>
          <t>Impact</t>
        </is>
      </c>
      <c r="B46" s="8" t="n"/>
      <c r="C46" s="12" t="inlineStr">
        <is>
          <t>What it means</t>
        </is>
      </c>
      <c r="D46" s="8" t="n"/>
    </row>
    <row r="47" ht="28" customHeight="1">
      <c r="A47" s="13" t="inlineStr">
        <is>
          <t>One architecture for all of IRIS</t>
        </is>
      </c>
      <c r="B47" s="14" t="n"/>
      <c r="C47" s="16" t="inlineStr">
        <is>
          <t>The same families, the same ladder and the same method in every product — titles mean the same thing everywhere.</t>
        </is>
      </c>
      <c r="D47" s="14" t="n"/>
    </row>
    <row r="48" ht="15" customHeight="1">
      <c r="A48" s="13" t="inlineStr">
        <is>
          <t>Transparent, explainable levels</t>
        </is>
      </c>
      <c r="B48" s="14" t="n"/>
      <c r="C48" s="16" t="inlineStr">
        <is>
          <t>Every level traces to evidence, ratings, weights and named rules; anyone can see why a role sits where it does.</t>
        </is>
      </c>
      <c r="D48" s="14" t="n"/>
    </row>
    <row r="49" ht="28" customHeight="1">
      <c r="A49" s="13" t="inlineStr">
        <is>
          <t>Clear career paths</t>
        </is>
      </c>
      <c r="B49" s="14" t="n"/>
      <c r="C49" s="16" t="inlineStr">
        <is>
          <t>Individual-contributor and manager tracks with a ladder in every sub-family, and the competencies needed for the next step.</t>
        </is>
      </c>
      <c r="D49" s="14" t="n"/>
    </row>
    <row r="50" ht="28" customHeight="1">
      <c r="A50" s="13" t="inlineStr">
        <is>
          <t>Duplication made visible</t>
        </is>
      </c>
      <c r="B50" s="14" t="n"/>
      <c r="C50" s="16" t="inlineStr">
        <is>
          <t>53 family × sub-family × level combinations are held in more than one product — candidates for common role definitions and shared pools.</t>
        </is>
      </c>
      <c r="D50" s="14" t="n"/>
    </row>
    <row r="51" ht="28" customHeight="1">
      <c r="A51" s="13" t="inlineStr">
        <is>
          <t>Leadership consistency</t>
        </is>
      </c>
      <c r="B51" s="14" t="n"/>
      <c r="C51" s="16" t="inlineStr">
        <is>
          <t>No one in Bands D–E sits above their reporting manager, anyone in Band D reporting to an E1 / E2 sits at D2, and leadership levels are set by approved decisions.</t>
        </is>
      </c>
      <c r="D51" s="14" t="n"/>
    </row>
    <row r="52" ht="15" customHeight="1">
      <c r="A52" s="13" t="inlineStr">
        <is>
          <t>Ready for pay and planning</t>
        </is>
      </c>
      <c r="B52" s="14" t="n"/>
      <c r="C52" s="16" t="inlineStr">
        <is>
          <t>Each level carries a market code, so pay ranges, succession and workforce planning can be built on it.</t>
        </is>
      </c>
      <c r="D52" s="14" t="n"/>
    </row>
    <row r="53" ht="15" customHeight="1"/>
    <row r="54" ht="20" customHeight="1">
      <c r="A54" s="6" t="inlineStr">
        <is>
          <t>6. Our framework at a glance</t>
        </is>
      </c>
      <c r="B54" s="2" t="n"/>
      <c r="C54" s="2" t="n"/>
      <c r="D54" s="2" t="n"/>
    </row>
    <row r="55" ht="28" customHeight="1">
      <c r="A55" s="12" t="inlineStr">
        <is>
          <t>Element</t>
        </is>
      </c>
      <c r="B55" s="12" t="inlineStr">
        <is>
          <t>What it is</t>
        </is>
      </c>
      <c r="C55" s="8" t="n"/>
      <c r="D55" s="8" t="n"/>
    </row>
    <row r="56" ht="41" customHeight="1">
      <c r="A56" s="13" t="inlineStr">
        <is>
          <t>Job families</t>
        </is>
      </c>
      <c r="B56" s="16" t="inlineStr">
        <is>
          <t>19 families of work, each anchored to the ILO occupation standard — the same in every product.</t>
        </is>
      </c>
      <c r="C56" s="14" t="n"/>
      <c r="D56" s="14" t="n"/>
    </row>
    <row r="57" ht="41" customHeight="1">
      <c r="A57" s="13" t="inlineStr">
        <is>
          <t>Sub-families</t>
        </is>
      </c>
      <c r="B57" s="16" t="inlineStr">
        <is>
          <t>61 sub-families: the work a person actually does inside a family. One definition each, used everywhere.</t>
        </is>
      </c>
      <c r="C57" s="14" t="n"/>
      <c r="D57" s="14" t="n"/>
    </row>
    <row r="58" ht="41" customHeight="1">
      <c r="A58" s="13" t="inlineStr">
        <is>
          <t>Career ladder</t>
        </is>
      </c>
      <c r="B58" s="16"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4" t="n"/>
      <c r="D58" s="14" t="n"/>
    </row>
    <row r="59" ht="28" customHeight="1">
      <c r="A59" s="13" t="inlineStr">
        <is>
          <t>Tracks</t>
        </is>
      </c>
      <c r="B59" s="16" t="inlineStr">
        <is>
          <t>Individual contributor, POD Lead · leads 1–3 while doing the work, Player-Coach · leads and delivers, People Manager, Consultant — experts progress without having to manage.</t>
        </is>
      </c>
      <c r="C59" s="14" t="n"/>
      <c r="D59" s="14" t="n"/>
    </row>
    <row r="60" ht="28" customHeight="1">
      <c r="A60" s="13" t="inlineStr">
        <is>
          <t>Six factors</t>
        </is>
      </c>
      <c r="B60" s="16" t="inlineStr">
        <is>
          <t>Complexity &amp; Expertise · Autonomy &amp; Decision · Accountability &amp; Impact · Leadership &amp; Strategy · Experience &amp; Qualification · Business Impact — each gets a rating: the floor of the ladder that part of the job looks like.</t>
        </is>
      </c>
      <c r="C60" s="14" t="n"/>
      <c r="D60" s="14" t="n"/>
    </row>
    <row r="61" ht="28" customHeight="1">
      <c r="A61" s="13" t="inlineStr">
        <is>
          <t>Weights</t>
        </is>
      </c>
      <c r="B61" s="16" t="inlineStr">
        <is>
          <t>How much each factor counts, by band and track · junior roles: skill and experience; senior roles: accountability and leadership, fine-tuned ±5 by type of work.</t>
        </is>
      </c>
      <c r="C61" s="14" t="n"/>
      <c r="D61" s="14" t="n"/>
    </row>
    <row r="62" ht="28" customHeight="1">
      <c r="A62" s="13" t="inlineStr">
        <is>
          <t>Rules</t>
        </is>
      </c>
      <c r="B62" s="16" t="inlineStr">
        <is>
          <t>R1–R13: category rules, provisional holds, work-substance and structure gates, experience limits, track minimums, Player-Coach steps, leadership decisions and the D–E reporting-line rules — each written on the person's row with its numbers.</t>
        </is>
      </c>
      <c r="C62" s="14" t="n"/>
      <c r="D62" s="14" t="n"/>
    </row>
    <row r="63" ht="28" customHeight="1">
      <c r="A63" s="13" t="inlineStr">
        <is>
          <t>Titles</t>
        </is>
      </c>
      <c r="B63" s="16" t="inlineStr">
        <is>
          <t>Level marker + role noun; market titles where the market has its own ladder · Product Manager, Account Executive.</t>
        </is>
      </c>
      <c r="C63" s="14" t="n"/>
      <c r="D63" s="14" t="n"/>
    </row>
    <row r="64" ht="41" customHeight="1">
      <c r="A64" s="13" t="inlineStr">
        <is>
          <t>Competencies</t>
        </is>
      </c>
      <c r="B64" s="16" t="inlineStr">
        <is>
          <t>6 core and 4 future-ready for everyone, 4 leadership for leaders, and functional competencies for each family — each with a 1–5 skill level required at every career level.</t>
        </is>
      </c>
      <c r="C64" s="14" t="n"/>
      <c r="D64" s="14" t="n"/>
    </row>
    <row r="65" ht="28" customHeight="1">
      <c r="A65" s="13" t="inlineStr">
        <is>
          <t>Market link</t>
        </is>
      </c>
      <c r="B65" s="16" t="inlineStr">
        <is>
          <t>Every level maps to Aon Radford / Mercer codes and SFIA, with competitor, regtech and SaaS equivalents — the base for pay ranges later.</t>
        </is>
      </c>
      <c r="C65" s="14" t="n"/>
      <c r="D65" s="14" t="n"/>
    </row>
    <row r="66" ht="15" customHeight="1"/>
    <row r="67" ht="20" customHeight="1">
      <c r="A67" s="6" t="inlineStr">
        <is>
          <t>7. The Job Architecture process — how the structure was built</t>
        </is>
      </c>
      <c r="B67" s="2" t="n"/>
      <c r="C67" s="2" t="n"/>
      <c r="D67" s="2" t="n"/>
    </row>
    <row r="68" ht="15" customHeight="1">
      <c r="A68" s="12" t="inlineStr">
        <is>
          <t>#</t>
        </is>
      </c>
      <c r="B68" s="12" t="inlineStr">
        <is>
          <t>Step</t>
        </is>
      </c>
      <c r="C68" s="12" t="inlineStr">
        <is>
          <t>What happens</t>
        </is>
      </c>
      <c r="D68" s="8" t="n"/>
    </row>
    <row r="69" ht="15" customHeight="1">
      <c r="A69" s="15" t="n">
        <v>1</v>
      </c>
      <c r="B69" s="16" t="inlineStr">
        <is>
          <t>Define families</t>
        </is>
      </c>
      <c r="C69" s="16" t="inlineStr">
        <is>
          <t>Group all work into job families anchored to ISCO-08, so the same work has the same name everywhere.</t>
        </is>
      </c>
      <c r="D69" s="14" t="n"/>
    </row>
    <row r="70" ht="15" customHeight="1">
      <c r="A70" s="15" t="n">
        <v>2</v>
      </c>
      <c r="B70" s="16" t="inlineStr">
        <is>
          <t>Define sub-families</t>
        </is>
      </c>
      <c r="C70" s="16" t="inlineStr">
        <is>
          <t>Split each family into the distinct kinds of work people do, from the survey and role data.</t>
        </is>
      </c>
      <c r="D70" s="14" t="n"/>
    </row>
    <row r="71" ht="28" customHeight="1">
      <c r="A71" s="15" t="n">
        <v>3</v>
      </c>
      <c r="B71" s="16" t="inlineStr">
        <is>
          <t>Set the ladder and bands</t>
        </is>
      </c>
      <c r="C71" s="16" t="inlineStr">
        <is>
          <t>One 12-level ladder with five bands and two Player-Coach steps; what each level owns, its experience range and span.</t>
        </is>
      </c>
      <c r="D71" s="14" t="n"/>
    </row>
    <row r="72" ht="28" customHeight="1">
      <c r="A72" s="15" t="n">
        <v>4</v>
      </c>
      <c r="B72" s="16" t="inlineStr">
        <is>
          <t>Set the tracks</t>
        </is>
      </c>
      <c r="C72" s="16" t="inlineStr">
        <is>
          <t>IC, POD Lead, Player-Coach, People Manager, Consultant — and the rules for each.</t>
        </is>
      </c>
      <c r="D72" s="14" t="n"/>
    </row>
    <row r="73" ht="15" customHeight="1">
      <c r="A73" s="15" t="n">
        <v>5</v>
      </c>
      <c r="B73" s="16" t="inlineStr">
        <is>
          <t>Level every role</t>
        </is>
      </c>
      <c r="C73" s="16" t="inlineStr">
        <is>
          <t>Six ratings × weights → score → level, then the rules; leadership levels by approved decision.</t>
        </is>
      </c>
      <c r="D73" s="14" t="n"/>
    </row>
    <row r="74" ht="15" customHeight="1">
      <c r="A74" s="15" t="n">
        <v>6</v>
      </c>
      <c r="B74" s="16" t="inlineStr">
        <is>
          <t>Name every role</t>
        </is>
      </c>
      <c r="C74" s="16" t="inlineStr">
        <is>
          <t>Designation = level marker + role noun; title protection for anyone moving down.</t>
        </is>
      </c>
      <c r="D74" s="14" t="n"/>
    </row>
    <row r="75" ht="15" customHeight="1">
      <c r="A75" s="15" t="n">
        <v>7</v>
      </c>
      <c r="B75" s="16" t="inlineStr">
        <is>
          <t>Benchmark</t>
        </is>
      </c>
      <c r="C75" s="16" t="inlineStr">
        <is>
          <t>Crosswalk every level to Radford / Mercer and SFIA; compare with competitor and peer ladders.</t>
        </is>
      </c>
      <c r="D75" s="14" t="n"/>
    </row>
    <row r="76" ht="15" customHeight="1">
      <c r="A76" s="15" t="n">
        <v>8</v>
      </c>
      <c r="B76" s="16" t="inlineStr">
        <is>
          <t>Govern</t>
        </is>
      </c>
      <c r="C76" s="16" t="inlineStr">
        <is>
          <t>Calibration panel, business-head review, a decision tracker and change rules · who can change a level, and how.</t>
        </is>
      </c>
      <c r="D76" s="14" t="n"/>
    </row>
    <row r="77" ht="15" customHeight="1"/>
    <row r="78" ht="20" customHeight="1">
      <c r="A78" s="6" t="inlineStr">
        <is>
          <t>8. The Job Design process — how each role is described</t>
        </is>
      </c>
      <c r="B78" s="2" t="n"/>
      <c r="C78" s="2" t="n"/>
      <c r="D78" s="2" t="n"/>
    </row>
    <row r="79" ht="15" customHeight="1">
      <c r="A79" s="12" t="inlineStr">
        <is>
          <t>#</t>
        </is>
      </c>
      <c r="B79" s="12" t="inlineStr">
        <is>
          <t>Step</t>
        </is>
      </c>
      <c r="C79" s="12" t="inlineStr">
        <is>
          <t>What happens</t>
        </is>
      </c>
      <c r="D79" s="8" t="n"/>
    </row>
    <row r="80" ht="15" customHeight="1">
      <c r="A80" s="15" t="n">
        <v>1</v>
      </c>
      <c r="B80" s="16" t="inlineStr">
        <is>
          <t>Purpose</t>
        </is>
      </c>
      <c r="C80" s="16" t="inlineStr">
        <is>
          <t>Why the role exists — from the sub-family definition and the level standard.</t>
        </is>
      </c>
      <c r="D80" s="14" t="n"/>
    </row>
    <row r="81" ht="28" customHeight="1">
      <c r="A81" s="15" t="n">
        <v>2</v>
      </c>
      <c r="B81" s="16" t="inlineStr">
        <is>
          <t>Responsibilities and deliverables</t>
        </is>
      </c>
      <c r="C81" s="16" t="inlineStr">
        <is>
          <t>What the role does and produces — from role-holders' survey answers · as counted themes and KRAs.</t>
        </is>
      </c>
      <c r="D81" s="14" t="n"/>
    </row>
    <row r="82" ht="28" customHeight="1">
      <c r="A82" s="15" t="n">
        <v>3</v>
      </c>
      <c r="B82" s="16" t="inlineStr">
        <is>
          <t>Accountability and decision rights</t>
        </is>
      </c>
      <c r="C82" s="16" t="inlineStr">
        <is>
          <t>What the role answers for, what it can decide alone, and what happens if the work is missed.</t>
        </is>
      </c>
      <c r="D82" s="14" t="n"/>
    </row>
    <row r="83" ht="15" customHeight="1">
      <c r="A83" s="15" t="n">
        <v>4</v>
      </c>
      <c r="B83" s="16" t="inlineStr">
        <is>
          <t>Measures</t>
        </is>
      </c>
      <c r="C83" s="16" t="inlineStr">
        <is>
          <r>
            <rPr>
              <rFont val="Calibri"/>
              <b val="1"/>
              <sz val="10"/>
            </rPr>
            <t>Manager-set KRAs:</t>
          </r>
          <r>
            <rPr>
              <rFont val="Calibri"/>
              <sz val="10"/>
            </rPr>
            <t xml:space="preserve"> how the role is judged.</t>
          </r>
        </is>
      </c>
      <c r="D83" s="14" t="n"/>
    </row>
    <row r="84" ht="15" customHeight="1">
      <c r="A84" s="15" t="n">
        <v>5</v>
      </c>
      <c r="B84" s="16" t="inlineStr">
        <is>
          <t>Competencies and skill level</t>
        </is>
      </c>
      <c r="C84" s="16" t="inlineStr">
        <is>
          <t>The core, future-ready, functional and leadership competencies the role needs, each at a 1–5 level.</t>
        </is>
      </c>
      <c r="D84" s="14" t="n"/>
    </row>
    <row r="85" ht="15" customHeight="1">
      <c r="A85" s="15" t="n">
        <v>6</v>
      </c>
      <c r="B85" s="16" t="inlineStr">
        <is>
          <t>Role profile and catalogue</t>
        </is>
      </c>
      <c r="C85" s="16" t="inlineStr">
        <is>
          <t>One IRIS-wide catalogue entry per family × sub-family × level × track — the shared description of the job.</t>
        </is>
      </c>
      <c r="D85" s="14" t="n"/>
    </row>
    <row r="86" ht="15" customHeight="1">
      <c r="A86" s="15" t="n">
        <v>7</v>
      </c>
      <c r="B86" s="16" t="inlineStr">
        <is>
          <t>Career ladder</t>
        </is>
      </c>
      <c r="C86" s="16" t="inlineStr">
        <is>
          <t>Where the role sits in its sub-family's ladder, the next step and what it takes.</t>
        </is>
      </c>
      <c r="D86" s="14" t="n"/>
    </row>
    <row r="87" ht="28" customHeight="1">
      <c r="A87" s="15" t="n">
        <v>8</v>
      </c>
      <c r="B87" s="16" t="inlineStr">
        <is>
          <t>Recruitment profile</t>
        </is>
      </c>
      <c r="C87" s="16" t="inlineStr">
        <is>
          <t>The hire equivalent in the market, the competencies to hire for and the interview questions — on every person card.</t>
        </is>
      </c>
      <c r="D87" s="14"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C29"/>
  <sheetViews>
    <sheetView showGridLines="0" workbookViewId="0">
      <pane ySplit="5" topLeftCell="A6" activePane="bottomLeft" state="frozen"/>
      <selection pane="bottomLeft" activeCell="A1" sqref="A1"/>
    </sheetView>
  </sheetViews>
  <sheetFormatPr baseColWidth="8" defaultRowHeight="15"/>
  <cols>
    <col width="6" customWidth="1" min="1" max="1"/>
    <col width="34" customWidth="1" min="2" max="2"/>
    <col width="90" customWidth="1" min="3" max="3"/>
  </cols>
  <sheetData>
    <row r="1" ht="34" customHeight="1">
      <c r="A1" s="1" t="inlineStr">
        <is>
          <t>IRIS Job Architecture — iDEAL Product Master — contents</t>
        </is>
      </c>
      <c r="B1" s="2" t="n"/>
      <c r="C1" s="2" t="n"/>
    </row>
    <row r="2" ht="30" customHeight="1">
      <c r="A2" s="3" t="inlineStr">
        <is>
          <t>Click a sheet name to go there; every sheet has a '◂ Contents' link at the top right to come back.</t>
        </is>
      </c>
    </row>
    <row r="3">
      <c r="A3" s="4" t="inlineStr">
        <is>
          <t>IRIS · Job Architecture &amp; Job Design · Final v1.12 · October 2026 · Internal — Confidential</t>
        </is>
      </c>
      <c r="B3" s="5" t="n"/>
      <c r="C3" s="5" t="n"/>
    </row>
    <row r="4"/>
    <row r="5">
      <c r="A5" s="92" t="inlineStr">
        <is>
          <t>#</t>
        </is>
      </c>
      <c r="B5" s="92" t="inlineStr">
        <is>
          <t>Sheet</t>
        </is>
      </c>
      <c r="C5" s="92" t="inlineStr">
        <is>
          <t>What it holds</t>
        </is>
      </c>
    </row>
    <row r="6" ht="45" customHeight="1">
      <c r="A6" s="242" t="n">
        <v>1</v>
      </c>
      <c r="B6" s="243" t="inlineStr">
        <is>
          <t>Start — How It Works</t>
        </is>
      </c>
      <c r="C6" s="16" t="inlineStr">
        <is>
          <r>
            <rPr>
              <rFont val="Calibri"/>
              <b val="1"/>
              <sz val="10"/>
            </rPr>
            <t>Read this first:</t>
          </r>
          <r>
            <rPr>
              <rFont val="Calibri"/>
              <sz val="10"/>
            </rPr>
            <t xml:space="preserve"> what we did step by step, what is happening now, how the model works, what it produced, the impact — then our framework, the Job Architecture process and the Job Design process.</t>
          </r>
        </is>
      </c>
    </row>
    <row r="7" ht="60" customHeight="1">
      <c r="A7" s="242" t="n">
        <v>2</v>
      </c>
      <c r="B7" s="243" t="inlineStr">
        <is>
          <t>1. Overview</t>
        </is>
      </c>
      <c r="C7" s="16" t="inlineStr">
        <is>
          <r>
            <rPr>
              <rFont val="Calibri"/>
              <b val="1"/>
              <sz val="10"/>
            </rPr>
            <t>The whole picture on one page:</t>
          </r>
          <r>
            <rPr>
              <rFont val="Calibri"/>
              <sz val="10"/>
            </rPr>
            <t xml:space="preserve"> how many people, families, sub-families and roles; what changed from the old structure; where everyone sits by band, track and department; the Player-Coach transition steps; what each sheet in this workbook is for; and, at the end, how a role's level is worked out.</t>
          </r>
        </is>
      </c>
    </row>
    <row r="8" ht="60" customHeight="1">
      <c r="A8" s="242" t="n">
        <v>3</v>
      </c>
      <c r="B8" s="243" t="inlineStr">
        <is>
          <t>1a. Placements</t>
        </is>
      </c>
      <c r="C8" s="16" t="inlineStr">
        <is>
          <t>Who sits where, before → after, the score as built, the six ratings · bars, what set the level and any flag; after a leader edits the Weightage Matrix, the live score is on sheet 2. The full reasoning for one person is on sheet 1b · choose the Emp ID; every column for everyone is on sheet 2. Filter by business, department, family or level with the header arrows.</t>
        </is>
      </c>
    </row>
    <row r="9" ht="30" customHeight="1">
      <c r="A9" s="242" t="n">
        <v>4</v>
      </c>
      <c r="B9" s="243" t="inlineStr">
        <is>
          <t>1b. Person Card</t>
        </is>
      </c>
      <c r="C9" s="16" t="inlineStr">
        <is>
          <r>
            <rPr>
              <rFont val="Calibri"/>
              <b val="1"/>
              <sz val="10"/>
            </rPr>
            <t>Find a person:</t>
          </r>
          <r>
            <rPr>
              <rFont val="Calibri"/>
              <sz val="10"/>
            </rPr>
            <t xml:space="preserve"> paste or type an Emp ID, or pick Department → Name from the yellow drop-downs — type part of a word in the Search box beside a drop-down to shorten its list.</t>
          </r>
        </is>
      </c>
    </row>
    <row r="10" ht="30" customHeight="1">
      <c r="A10" s="242" t="n">
        <v>5</v>
      </c>
      <c r="B10" s="243" t="inlineStr">
        <is>
          <t>1d. Weightage Matrix</t>
        </is>
      </c>
      <c r="C10" s="16" t="inlineStr">
        <is>
          <t>1d · Leaders: change the yellow weights. Sheet 2 recalculates points, score and 'Level the score indicates' at once.</t>
        </is>
      </c>
    </row>
    <row r="11" ht="30" customHeight="1">
      <c r="A11" s="242" t="n">
        <v>6</v>
      </c>
      <c r="B11" s="243" t="inlineStr">
        <is>
          <t>1e. Weight Benchmark</t>
        </is>
      </c>
      <c r="C11" s="16" t="inlineStr">
        <is>
          <t>1e · The published point-factor plans, how weights shift with seniority, the evidence on experience and on business impact, and IRIS's defaults set against them.</t>
        </is>
      </c>
    </row>
    <row r="12" ht="60" customHeight="1">
      <c r="A12" s="242" t="n">
        <v>7</v>
      </c>
      <c r="B12" s="243" t="inlineStr">
        <is>
          <t>2. Talent Mapping</t>
        </is>
      </c>
      <c r="C12" s="16" t="inlineStr">
        <is>
          <r>
            <rPr>
              <rFont val="Calibri"/>
              <b val="1"/>
              <sz val="10"/>
            </rPr>
            <t>Read left to right:</t>
          </r>
          <r>
            <rPr>
              <rFont val="Calibri"/>
              <sz val="10"/>
            </rPr>
            <t xml:space="preserve"> the person → their role before and after → what the role does · responsibilities and competencies required → six ratings × weights = points → the score and the level it points to → any rule that changed the level → why each rating was given · starting point, evidence, market standard → the data used.</t>
          </r>
        </is>
      </c>
    </row>
    <row r="13" ht="45" customHeight="1">
      <c r="A13" s="242" t="n">
        <v>8</v>
      </c>
      <c r="B13" s="243" t="inlineStr">
        <is>
          <t>3. Raw Data &amp; Market Standards</t>
        </is>
      </c>
      <c r="C13" s="16" t="inlineStr">
        <is>
          <r>
            <rPr>
              <rFont val="Calibri"/>
              <b val="1"/>
              <sz val="10"/>
            </rPr>
            <t>Left:</t>
          </r>
          <r>
            <rPr>
              <rFont val="Calibri"/>
              <sz val="10"/>
            </rPr>
            <t xml:space="preserve"> the person and their final role. Middle: the market standard for that role and level.</t>
          </r>
        </is>
      </c>
    </row>
    <row r="14" ht="75" customHeight="1">
      <c r="A14" s="242" t="n">
        <v>9</v>
      </c>
      <c r="B14" s="243" t="inlineStr">
        <is>
          <t>4. Role Competency Framework</t>
        </is>
      </c>
      <c r="C14" s="16" t="inlineStr">
        <is>
          <t>For every role · designation × level × track and the sub-family it sits in: the proficiency required in each cluster and exactly what that proficiency looks like — the six core and four future-ready competencies, the leadership expected, the family's must-have and other functional competencies, the department's technical competencies, how to assess them, the credentials, and where today's role-holders stand.</t>
        </is>
      </c>
    </row>
    <row r="15" ht="30" customHeight="1">
      <c r="A15" s="242" t="n">
        <v>10</v>
      </c>
      <c r="B15" s="243" t="inlineStr">
        <is>
          <t>5. Capability Framework</t>
        </is>
      </c>
      <c r="C15" s="16" t="inlineStr">
        <is>
          <t>The level sizes the role; the capability framework defines what a person in it must be able to do, and how well · proficiency 1–5, aligned to SFIA 9.</t>
        </is>
      </c>
    </row>
    <row r="16" ht="18" customHeight="1">
      <c r="A16" s="242" t="n">
        <v>11</v>
      </c>
      <c r="B16" s="243" t="inlineStr">
        <is>
          <t>6. Role Catalogue</t>
        </is>
      </c>
      <c r="C16" s="16" t="inlineStr">
        <is>
          <t>One row per catalogue role · job family × sub-family × level × track that someone here holds.</t>
        </is>
      </c>
    </row>
    <row r="17" ht="18" customHeight="1">
      <c r="A17" s="242" t="n">
        <v>12</v>
      </c>
      <c r="B17" s="243" t="inlineStr">
        <is>
          <t>7. Role Requirements</t>
        </is>
      </c>
      <c r="C17" s="16" t="inlineStr">
        <is>
          <t>One row per role · designation × level × track inside each department, lowest level first.</t>
        </is>
      </c>
    </row>
    <row r="18" ht="45" customHeight="1">
      <c r="A18" s="242" t="n">
        <v>13</v>
      </c>
      <c r="B18" s="243" t="inlineStr">
        <is>
          <t>8. Talent, Learning &amp; Mobility</t>
        </is>
      </c>
      <c r="C18" s="16" t="inlineStr">
        <is>
          <t>Manager talent data, competency results against the role's profile, learning needs from three angles · self, manager, role, and mobility signals · lateral options, duplicated work, similar talent elsewhere in IRIS, span.</t>
        </is>
      </c>
    </row>
    <row r="19" ht="60" customHeight="1">
      <c r="A19" s="242" t="n">
        <v>14</v>
      </c>
      <c r="B19" s="243" t="inlineStr">
        <is>
          <t>9. Calibration &amp; Decisions</t>
        </is>
      </c>
      <c r="C19" s="16" t="inlineStr">
        <is>
          <r>
            <rPr>
              <rFont val="Calibri"/>
              <b val="1"/>
              <sz val="10"/>
            </rPr>
            <t>Every placement that needs a human decision, with the reason:</t>
          </r>
          <r>
            <rPr>
              <rFont val="Calibri"/>
              <sz val="10"/>
            </rPr>
            <t xml:space="preserve"> Player-Coach transition steps and candidates, close calls, moves down, changes from the earlier proposal, provisional cases, title checks, long-tenure A3 cases, senior titles without teams — then the open decisions and the quality checks run on this workbook.</t>
          </r>
        </is>
      </c>
    </row>
    <row r="20" ht="45" customHeight="1">
      <c r="A20" s="242" t="n">
        <v>15</v>
      </c>
      <c r="B20" s="243" t="inlineStr">
        <is>
          <t>10. Framework &amp; Logic</t>
        </is>
      </c>
      <c r="C20" s="16" t="inlineStr">
        <is>
          <r>
            <rPr>
              <rFont val="Calibri"/>
              <b val="1"/>
              <sz val="10"/>
            </rPr>
            <t>How the Master Framework is applied to iDEAL, step by step:</t>
          </r>
          <r>
            <rPr>
              <rFont val="Calibri"/>
              <sz val="10"/>
            </rPr>
            <t xml:space="preserve"> classification, tracks, factors and weights, rules, levels, market benchmarks, capability, validation, data and sources.</t>
          </r>
        </is>
      </c>
    </row>
    <row r="21" ht="45" customHeight="1">
      <c r="A21" s="242" t="n">
        <v>16</v>
      </c>
      <c r="B21" s="243" t="inlineStr">
        <is>
          <t>11. References &amp; Benchmarks</t>
        </is>
      </c>
      <c r="C21" s="16" t="inlineStr">
        <is>
          <r>
            <rPr>
              <rFont val="Calibri"/>
              <b val="1"/>
              <sz val="10"/>
            </rPr>
            <t>Scope:</t>
          </r>
          <r>
            <rPr>
              <rFont val="Calibri"/>
              <sz val="10"/>
            </rPr>
            <t xml:space="preserve"> iDEAL. Every company, standard, database and website used, and — department by department — what the best standard looks like at each IRIS level · A1 → E2 at IRIS's direct competitors, regtech leaders and SaaS leaders.</t>
          </r>
        </is>
      </c>
    </row>
    <row r="22" ht="30" customHeight="1">
      <c r="A22" s="242" t="n">
        <v>17</v>
      </c>
      <c r="B22" s="243" t="inlineStr">
        <is>
          <t>12. Org Health</t>
        </is>
      </c>
      <c r="C22" s="16" t="inlineStr">
        <is>
          <t>Managers with very small or very large teams, the deepest reporting chains, and the sub-family overlap across businesses.</t>
        </is>
      </c>
    </row>
    <row r="23" ht="30" customHeight="1">
      <c r="A23" s="242" t="n">
        <v>18</v>
      </c>
      <c r="B23" s="243" t="inlineStr">
        <is>
          <t>13. Weight Sensitivity</t>
        </is>
      </c>
      <c r="C23" s="16" t="inlineStr">
        <is>
          <t>Every placement re-run 30 times, each time moving 5 weight points from one factor to another in every weight set.</t>
        </is>
      </c>
    </row>
    <row r="24" ht="30" customHeight="1">
      <c r="A24" s="242" t="n">
        <v>19</v>
      </c>
      <c r="B24" s="243" t="inlineStr">
        <is>
          <t>14. A3 Deep-Dive</t>
        </is>
      </c>
      <c r="C24" s="16" t="inlineStr">
        <is>
          <t>25 employees at A3. 'Gap to B1' = 3.5 minus the person's score on Band B's own weights · B's entry point.</t>
        </is>
      </c>
    </row>
    <row r="25" ht="30" customHeight="1">
      <c r="A25" s="242" t="n">
        <v>20</v>
      </c>
      <c r="B25" s="243" t="inlineStr">
        <is>
          <t>15. Succession</t>
        </is>
      </c>
      <c r="C25" s="16" t="inlineStr">
        <is>
          <r>
            <rPr>
              <rFont val="Calibri"/>
              <b val="1"/>
              <sz val="10"/>
            </rPr>
            <t>For every role at C1 and above:</t>
          </r>
          <r>
            <rPr>
              <rFont val="Calibri"/>
              <sz val="10"/>
            </rPr>
            <t xml:space="preserve"> people in the same job family, up to three steps below, by readiness · from the talent data on sheet 8.</t>
          </r>
        </is>
      </c>
    </row>
    <row r="26" ht="30" customHeight="1">
      <c r="A26" s="242" t="n">
        <v>21</v>
      </c>
      <c r="B26" s="243" t="inlineStr">
        <is>
          <t>15a. Critical Roles at Risk</t>
        </is>
      </c>
      <c r="C26" s="16" t="inlineStr">
        <is>
          <t>20 people whose role is critical, or whose work only they do, with no successor named · 2 high risk.</t>
        </is>
      </c>
    </row>
    <row r="27" ht="18" customHeight="1">
      <c r="A27" s="242" t="n">
        <v>22</v>
      </c>
      <c r="B27" s="243" t="inlineStr">
        <is>
          <t>16. Role Definitions</t>
        </is>
      </c>
      <c r="C27" s="16" t="inlineStr">
        <is>
          <t>28 department-level roles map to 26 role definitions · family · sub-family · level · track.</t>
        </is>
      </c>
    </row>
    <row r="28" ht="30" customHeight="1">
      <c r="A28" s="242" t="n">
        <v>23</v>
      </c>
      <c r="B28" s="243" t="inlineStr">
        <is>
          <t>17. Data Gaps</t>
        </is>
      </c>
      <c r="C28" s="16" t="inlineStr">
        <is>
          <t>2 employees with at least one missing input. The same list, with owner and status columns, is in the HR Super Master's calibration tracker.</t>
        </is>
      </c>
    </row>
    <row r="29" ht="60" customHeight="1">
      <c r="A29" s="242" t="n">
        <v>24</v>
      </c>
      <c r="B29" s="243" t="inlineStr">
        <is>
          <t>18. Career Ladder</t>
        </is>
      </c>
      <c r="C29" s="16" t="inlineStr">
        <is>
          <t>47 people in 6 departments. One row per designation at a level in a department, ordered department → band → level · bottom to top: earlier rows are lower levels. 'Same work' = same job family, sub-family and level; overlap within the product is shaded orange, overlap across IRIS blue.</t>
        </is>
      </c>
    </row>
  </sheetData>
  <mergeCells count="3">
    <mergeCell ref="A1:C1"/>
    <mergeCell ref="A3:C3"/>
    <mergeCell ref="A2:C2"/>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3.xml><?xml version="1.0" encoding="utf-8"?>
<worksheet xmlns="http://schemas.openxmlformats.org/spreadsheetml/2006/main">
  <sheetPr>
    <tabColor rgb="001F3864"/>
    <outlinePr summaryBelow="1" summaryRight="1"/>
    <pageSetUpPr fitToPage="1"/>
  </sheetPr>
  <dimension ref="A1:O181"/>
  <sheetViews>
    <sheetView showGridLines="0"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3" customWidth="1" min="15" max="15"/>
  </cols>
  <sheetData>
    <row r="1" ht="34" customHeight="1">
      <c r="A1" s="1" t="inlineStr">
        <is>
          <t>Overview — iDEAL</t>
        </is>
      </c>
      <c r="O1" s="241" t="inlineStr">
        <is>
          <t>◂ Contents</t>
        </is>
      </c>
    </row>
    <row r="2" ht="32" customHeight="1">
      <c r="A2" s="3" t="inlineStr">
        <is>
          <r>
            <rPr>
              <rFont val="Calibri"/>
              <b val="1"/>
              <i val="1"/>
              <color rgb="00404040"/>
              <sz val="10"/>
            </rPr>
            <t>Sheet 1 · The whole picture on one page:</t>
          </r>
          <r>
            <rPr>
              <rFont val="Calibri"/>
              <i val="1"/>
              <color rgb="00404040"/>
              <sz val="10"/>
            </rPr>
            <t xml:space="preserve"> how many people, families, sub-families and roles; what changed from the old structure; where everyone sits by band, track and department; the Player-Coach transition steps; what each sheet in this workbook is for; and, at the end, how a role's level is worked out.</t>
          </r>
        </is>
      </c>
    </row>
    <row r="3">
      <c r="A3" s="4" t="inlineStr">
        <is>
          <t>IRIS · Job Architecture &amp; Job Design · Final v1.12 · October 2026 · Internal — Confidential</t>
        </is>
      </c>
    </row>
    <row r="4" ht="15" customHeight="1"/>
    <row r="5" ht="20" customHeight="1">
      <c r="A5" s="6" t="inlineStr">
        <is>
          <t>1. Headline numbers</t>
        </is>
      </c>
    </row>
    <row r="6" ht="15" customHeight="1">
      <c r="A6" s="7" t="inlineStr">
        <is>
          <t>People</t>
        </is>
      </c>
      <c r="B6" s="209" t="n"/>
      <c r="C6" s="7" t="inlineStr">
        <is>
          <t>Departments</t>
        </is>
      </c>
      <c r="D6" s="209" t="n"/>
      <c r="E6" s="7" t="inlineStr">
        <is>
          <t>Job families</t>
        </is>
      </c>
      <c r="F6" s="209" t="n"/>
      <c r="G6" s="7" t="inlineStr">
        <is>
          <t>Sub-families</t>
        </is>
      </c>
      <c r="H6" s="209" t="n"/>
      <c r="I6" s="7" t="inlineStr">
        <is>
          <t>Roles</t>
        </is>
      </c>
      <c r="J6" s="209" t="n"/>
      <c r="K6" s="7" t="inlineStr">
        <is>
          <t>Ladder steps in use</t>
        </is>
      </c>
      <c r="L6" s="209" t="n"/>
      <c r="M6" s="7" t="inlineStr">
        <is>
          <t>Player-Coaches</t>
        </is>
      </c>
      <c r="N6" s="209" t="n"/>
    </row>
    <row r="7" ht="30" customHeight="1">
      <c r="A7" s="9" t="n">
        <v>47</v>
      </c>
      <c r="B7" s="209" t="n"/>
      <c r="C7" s="9" t="n">
        <v>6</v>
      </c>
      <c r="D7" s="209" t="n"/>
      <c r="E7" s="9" t="n">
        <v>10</v>
      </c>
      <c r="F7" s="209" t="n"/>
      <c r="G7" s="9" t="n">
        <v>15</v>
      </c>
      <c r="H7" s="209" t="n"/>
      <c r="I7" s="9" t="n">
        <v>28</v>
      </c>
      <c r="J7" s="209" t="n"/>
      <c r="K7" s="9" t="n">
        <v>8</v>
      </c>
      <c r="L7" s="209" t="n"/>
      <c r="M7" s="9" t="n">
        <v>1</v>
      </c>
      <c r="N7" s="209" t="n"/>
    </row>
    <row r="8" ht="28" customHeight="1">
      <c r="A8" s="7" t="inlineStr">
        <is>
          <t>Level up vs current</t>
        </is>
      </c>
      <c r="B8" s="209" t="n"/>
      <c r="C8" s="7" t="inlineStr">
        <is>
          <t>Level down · protected</t>
        </is>
      </c>
      <c r="D8" s="209" t="n"/>
      <c r="E8" s="7" t="inlineStr">
        <is>
          <t>Same level</t>
        </is>
      </c>
      <c r="F8" s="209" t="n"/>
      <c r="G8" s="7" t="inlineStr">
        <is>
          <t>Newly mapped</t>
        </is>
      </c>
      <c r="H8" s="209" t="n"/>
      <c r="I8" s="7" t="inlineStr">
        <is>
          <t>Close calls / near a gate</t>
        </is>
      </c>
      <c r="J8" s="209" t="n"/>
      <c r="K8" s="7" t="inlineStr">
        <is>
          <t>Consultants</t>
        </is>
      </c>
      <c r="L8" s="209" t="n"/>
    </row>
    <row r="9" ht="30" customHeight="1">
      <c r="A9" s="9" t="n">
        <v>31</v>
      </c>
      <c r="B9" s="209" t="n"/>
      <c r="C9" s="9" t="n">
        <v>2</v>
      </c>
      <c r="D9" s="209" t="n"/>
      <c r="E9" s="9" t="n">
        <v>11</v>
      </c>
      <c r="F9" s="209" t="n"/>
      <c r="G9" s="9" t="n">
        <v>3</v>
      </c>
      <c r="H9" s="209" t="n"/>
      <c r="I9" s="9" t="inlineStr">
        <is>
          <t>0 / 2</t>
        </is>
      </c>
      <c r="J9" s="209" t="n"/>
      <c r="K9" s="9" t="n">
        <v>0</v>
      </c>
      <c r="L9" s="209" t="n"/>
    </row>
    <row r="10" ht="28" customHeight="1">
      <c r="A10" s="11" t="inlineStr">
        <is>
          <t>Job families and sub-families exclude 'Unassigned' · consultants with no role on record. Career levels: 12 levels A1–E2 plus 2 Player-Coach Player-Coach transition steps · B+, C+ = 14; consultants sit outside the ladder at X1–X3. Departments are counted per business line.</t>
        </is>
      </c>
    </row>
    <row r="11" ht="15" customHeight="1"/>
    <row r="12" ht="20" customHeight="1">
      <c r="A12" s="6" t="inlineStr">
        <is>
          <t>2. What changed — old structure → new structure</t>
        </is>
      </c>
    </row>
    <row r="13" ht="28" customHeight="1">
      <c r="A13" s="12" t="inlineStr">
        <is>
          <t>Measure</t>
        </is>
      </c>
      <c r="B13" s="210" t="n"/>
      <c r="C13" s="209" t="n"/>
      <c r="D13" s="12" t="inlineStr">
        <is>
          <t>Old · count</t>
        </is>
      </c>
      <c r="E13" s="209" t="n"/>
      <c r="F13" s="12" t="inlineStr">
        <is>
          <t>New · count</t>
        </is>
      </c>
      <c r="G13" s="209" t="n"/>
      <c r="H13" s="12" t="inlineStr">
        <is>
          <t>People whose value changed</t>
        </is>
      </c>
      <c r="I13" s="209" t="n"/>
      <c r="J13" s="12" t="inlineStr">
        <is>
          <t>People unchanged</t>
        </is>
      </c>
      <c r="K13" s="209" t="n"/>
      <c r="L13" s="12" t="inlineStr">
        <is>
          <t>What it means</t>
        </is>
      </c>
      <c r="M13" s="210" t="n"/>
      <c r="N13" s="209" t="n"/>
    </row>
    <row r="14" ht="41" customHeight="1">
      <c r="A14" s="13" t="inlineStr">
        <is>
          <t>Job families</t>
        </is>
      </c>
      <c r="B14" s="210" t="n"/>
      <c r="C14" s="209" t="n"/>
      <c r="D14" s="15" t="n">
        <v>11</v>
      </c>
      <c r="E14" s="209" t="n"/>
      <c r="F14" s="15" t="n">
        <v>10</v>
      </c>
      <c r="G14" s="209" t="n"/>
      <c r="H14" s="15" t="n">
        <v>6</v>
      </c>
      <c r="I14" s="209" t="n"/>
      <c r="J14" s="15" t="n">
        <v>41</v>
      </c>
      <c r="K14" s="209" t="n"/>
      <c r="L14" s="16" t="inlineStr">
        <is>
          <t>Families are now disciplines, the same across businesses</t>
        </is>
      </c>
      <c r="M14" s="210" t="n"/>
      <c r="N14" s="209" t="n"/>
    </row>
    <row r="15" ht="28" customHeight="1">
      <c r="A15" s="13" t="inlineStr">
        <is>
          <t>Sub-families</t>
        </is>
      </c>
      <c r="B15" s="210" t="n"/>
      <c r="C15" s="209" t="n"/>
      <c r="D15" s="15" t="n">
        <v>14</v>
      </c>
      <c r="E15" s="209" t="n"/>
      <c r="F15" s="15" t="n">
        <v>15</v>
      </c>
      <c r="G15" s="209" t="n"/>
      <c r="H15" s="15" t="n">
        <v>44</v>
      </c>
      <c r="I15" s="209" t="n"/>
      <c r="J15" s="15" t="n">
        <v>3</v>
      </c>
      <c r="K15" s="209" t="n"/>
      <c r="L15" s="16" t="inlineStr">
        <is>
          <t>Sub-families now name the actual work done</t>
        </is>
      </c>
      <c r="M15" s="210" t="n"/>
      <c r="N15" s="209" t="n"/>
    </row>
    <row r="16" ht="28" customHeight="1">
      <c r="A16" s="13" t="inlineStr">
        <is>
          <t>Designations</t>
        </is>
      </c>
      <c r="B16" s="210" t="n"/>
      <c r="C16" s="209" t="n"/>
      <c r="D16" s="15" t="n">
        <v>23</v>
      </c>
      <c r="E16" s="209" t="n"/>
      <c r="F16" s="15" t="n">
        <v>28</v>
      </c>
      <c r="G16" s="209" t="n"/>
      <c r="H16" s="15" t="n">
        <v>42</v>
      </c>
      <c r="I16" s="209" t="n"/>
      <c r="J16" s="15" t="n">
        <v>5</v>
      </c>
      <c r="K16" s="209" t="n"/>
      <c r="L16" s="16" t="inlineStr">
        <is>
          <t>Title = level marker + role noun</t>
        </is>
      </c>
      <c r="M16" s="210" t="n"/>
      <c r="N16" s="209" t="n"/>
    </row>
    <row r="17" ht="41" customHeight="1">
      <c r="A17" s="13" t="inlineStr">
        <is>
          <t>Career levels</t>
        </is>
      </c>
      <c r="B17" s="210" t="n"/>
      <c r="C17" s="209" t="n"/>
      <c r="D17" s="15" t="n">
        <v>8</v>
      </c>
      <c r="E17" s="209" t="n"/>
      <c r="F17" s="15" t="n">
        <v>8</v>
      </c>
      <c r="G17" s="209" t="n"/>
      <c r="H17" s="15" t="n">
        <v>36</v>
      </c>
      <c r="I17" s="209" t="n"/>
      <c r="J17" s="15" t="n">
        <v>11</v>
      </c>
      <c r="K17" s="209" t="n"/>
      <c r="L17" s="16" t="inlineStr">
        <is>
          <r>
            <rPr>
              <rFont val="Calibri"/>
              <b val="1"/>
              <sz val="10"/>
            </rPr>
            <t>New ladder:</t>
          </r>
          <r>
            <rPr>
              <rFont val="Calibri"/>
              <sz val="10"/>
            </rPr>
            <t xml:space="preserve"> 12 levels + 2 Player-Coach transition steps; consultants counted separately</t>
          </r>
        </is>
      </c>
      <c r="M17" s="210" t="n"/>
      <c r="N17" s="209" t="n"/>
    </row>
    <row r="18" ht="15" customHeight="1"/>
    <row r="19" ht="15" customHeight="1">
      <c r="A19" s="17" t="inlineStr">
        <is>
          <t>2a. Job families — old → new</t>
        </is>
      </c>
    </row>
    <row r="20" ht="15" customHeight="1">
      <c r="A20" s="12" t="inlineStr">
        <is>
          <t>Old job family</t>
        </is>
      </c>
      <c r="B20" s="210" t="n"/>
      <c r="C20" s="210" t="n"/>
      <c r="D20" s="210" t="n"/>
      <c r="E20" s="209" t="n"/>
      <c r="F20" s="12" t="inlineStr">
        <is>
          <t>New job family</t>
        </is>
      </c>
      <c r="G20" s="210" t="n"/>
      <c r="H20" s="210" t="n"/>
      <c r="I20" s="210" t="n"/>
      <c r="J20" s="209" t="n"/>
      <c r="K20" s="12" t="inlineStr">
        <is>
          <t>People</t>
        </is>
      </c>
      <c r="L20" s="12" t="inlineStr">
        <is>
          <t>What happened</t>
        </is>
      </c>
      <c r="M20" s="210" t="n"/>
      <c r="N20" s="209" t="n"/>
    </row>
    <row r="21" ht="28" customHeight="1">
      <c r="A21" s="18" t="inlineStr">
        <is>
          <t>Engineering &amp; Development</t>
        </is>
      </c>
      <c r="B21" s="210" t="n"/>
      <c r="C21" s="210" t="n"/>
      <c r="D21" s="210" t="n"/>
      <c r="E21" s="209" t="n"/>
      <c r="F21" s="18" t="inlineStr">
        <is>
          <t>Engineering &amp; Development</t>
        </is>
      </c>
      <c r="G21" s="210" t="n"/>
      <c r="H21" s="210" t="n"/>
      <c r="I21" s="210" t="n"/>
      <c r="J21" s="209" t="n"/>
      <c r="K21" s="20" t="n">
        <v>15</v>
      </c>
      <c r="L21" s="18" t="inlineStr">
        <is>
          <t>Unchanged; part of it moved elsewhere</t>
        </is>
      </c>
      <c r="M21" s="210" t="n"/>
      <c r="N21" s="209" t="n"/>
    </row>
    <row r="22" ht="15" customHeight="1">
      <c r="A22" s="18" t="inlineStr">
        <is>
          <t>Business Analysis</t>
        </is>
      </c>
      <c r="B22" s="210" t="n"/>
      <c r="C22" s="210" t="n"/>
      <c r="D22" s="210" t="n"/>
      <c r="E22" s="209" t="n"/>
      <c r="F22" s="18" t="inlineStr">
        <is>
          <t>Business Analysis</t>
        </is>
      </c>
      <c r="G22" s="210" t="n"/>
      <c r="H22" s="210" t="n"/>
      <c r="I22" s="210" t="n"/>
      <c r="J22" s="209" t="n"/>
      <c r="K22" s="20" t="n">
        <v>13</v>
      </c>
      <c r="L22" s="18" t="inlineStr">
        <is>
          <t>Unchanged</t>
        </is>
      </c>
      <c r="M22" s="210" t="n"/>
      <c r="N22" s="209" t="n"/>
    </row>
    <row r="23" ht="15" customHeight="1">
      <c r="A23" s="18" t="inlineStr">
        <is>
          <t>Quality Assurance</t>
        </is>
      </c>
      <c r="B23" s="210" t="n"/>
      <c r="C23" s="210" t="n"/>
      <c r="D23" s="210" t="n"/>
      <c r="E23" s="209" t="n"/>
      <c r="F23" s="18" t="inlineStr">
        <is>
          <t>Quality Assurance</t>
        </is>
      </c>
      <c r="G23" s="210" t="n"/>
      <c r="H23" s="210" t="n"/>
      <c r="I23" s="210" t="n"/>
      <c r="J23" s="209" t="n"/>
      <c r="K23" s="20" t="n">
        <v>5</v>
      </c>
      <c r="L23" s="18" t="inlineStr">
        <is>
          <t>Unchanged</t>
        </is>
      </c>
      <c r="M23" s="210" t="n"/>
      <c r="N23" s="209" t="n"/>
    </row>
    <row r="24" ht="15" customHeight="1">
      <c r="A24" s="18" t="inlineStr">
        <is>
          <t>Product Management</t>
        </is>
      </c>
      <c r="B24" s="210" t="n"/>
      <c r="C24" s="210" t="n"/>
      <c r="D24" s="210" t="n"/>
      <c r="E24" s="209" t="n"/>
      <c r="F24" s="18" t="inlineStr">
        <is>
          <t>Product Management</t>
        </is>
      </c>
      <c r="G24" s="210" t="n"/>
      <c r="H24" s="210" t="n"/>
      <c r="I24" s="210" t="n"/>
      <c r="J24" s="209" t="n"/>
      <c r="K24" s="20" t="n">
        <v>2</v>
      </c>
      <c r="L24" s="18" t="inlineStr">
        <is>
          <t>Unchanged; others joined it</t>
        </is>
      </c>
      <c r="M24" s="210" t="n"/>
      <c r="N24" s="209" t="n"/>
    </row>
    <row r="25" ht="15" customHeight="1">
      <c r="A25" s="21" t="inlineStr">
        <is>
          <t>Product/Project · Employee Master</t>
        </is>
      </c>
      <c r="B25" s="210" t="n"/>
      <c r="C25" s="210" t="n"/>
      <c r="D25" s="210" t="n"/>
      <c r="E25" s="209" t="n"/>
      <c r="F25" s="21" t="inlineStr">
        <is>
          <t>Customer Success &amp; Support</t>
        </is>
      </c>
      <c r="G25" s="210" t="n"/>
      <c r="H25" s="210" t="n"/>
      <c r="I25" s="210" t="n"/>
      <c r="J25" s="209" t="n"/>
      <c r="K25" s="23" t="n">
        <v>2</v>
      </c>
      <c r="L25" s="21" t="inlineStr">
        <is>
          <t>Merged with others</t>
        </is>
      </c>
      <c r="M25" s="210" t="n"/>
      <c r="N25" s="209" t="n"/>
    </row>
    <row r="26" ht="28" customHeight="1">
      <c r="A26" s="18" t="inlineStr">
        <is>
          <t>Sales &amp; Business Development</t>
        </is>
      </c>
      <c r="B26" s="210" t="n"/>
      <c r="C26" s="210" t="n"/>
      <c r="D26" s="210" t="n"/>
      <c r="E26" s="209" t="n"/>
      <c r="F26" s="18" t="inlineStr">
        <is>
          <t>Sales &amp; Business Development</t>
        </is>
      </c>
      <c r="G26" s="210" t="n"/>
      <c r="H26" s="210" t="n"/>
      <c r="I26" s="210" t="n"/>
      <c r="J26" s="209" t="n"/>
      <c r="K26" s="20" t="n">
        <v>2</v>
      </c>
      <c r="L26" s="18" t="inlineStr">
        <is>
          <t>Unchanged; part of it moved elsewhere; others joined it</t>
        </is>
      </c>
      <c r="M26" s="210" t="n"/>
      <c r="N26" s="209" t="n"/>
    </row>
    <row r="27" ht="15" customHeight="1">
      <c r="A27" s="18" t="inlineStr">
        <is>
          <t>Engineering &amp; Architecture</t>
        </is>
      </c>
      <c r="B27" s="210" t="n"/>
      <c r="C27" s="210" t="n"/>
      <c r="D27" s="210" t="n"/>
      <c r="E27" s="209" t="n"/>
      <c r="F27" s="18" t="inlineStr">
        <is>
          <t>Engineering &amp; Architecture</t>
        </is>
      </c>
      <c r="G27" s="210" t="n"/>
      <c r="H27" s="210" t="n"/>
      <c r="I27" s="210" t="n"/>
      <c r="J27" s="209" t="n"/>
      <c r="K27" s="20" t="n">
        <v>1</v>
      </c>
      <c r="L27" s="18" t="inlineStr">
        <is>
          <t>Unchanged</t>
        </is>
      </c>
      <c r="M27" s="210" t="n"/>
      <c r="N27" s="209" t="n"/>
    </row>
    <row r="28" ht="15" customHeight="1">
      <c r="A28" s="21" t="inlineStr">
        <is>
          <t>Engineering &amp; Development</t>
        </is>
      </c>
      <c r="B28" s="210" t="n"/>
      <c r="C28" s="210" t="n"/>
      <c r="D28" s="210" t="n"/>
      <c r="E28" s="209" t="n"/>
      <c r="F28" s="21" t="inlineStr">
        <is>
          <t>Customer Success &amp; Support</t>
        </is>
      </c>
      <c r="G28" s="210" t="n"/>
      <c r="H28" s="210" t="n"/>
      <c r="I28" s="210" t="n"/>
      <c r="J28" s="209" t="n"/>
      <c r="K28" s="23" t="n">
        <v>1</v>
      </c>
      <c r="L28" s="21" t="inlineStr">
        <is>
          <t>Split and regrouped</t>
        </is>
      </c>
      <c r="M28" s="210" t="n"/>
      <c r="N28" s="209" t="n"/>
    </row>
    <row r="29" ht="28" customHeight="1">
      <c r="A29" s="18" t="inlineStr">
        <is>
          <t>Executive Leadership</t>
        </is>
      </c>
      <c r="B29" s="210" t="n"/>
      <c r="C29" s="210" t="n"/>
      <c r="D29" s="210" t="n"/>
      <c r="E29" s="209" t="n"/>
      <c r="F29" s="18" t="inlineStr">
        <is>
          <t>Executive Leadership</t>
        </is>
      </c>
      <c r="G29" s="210" t="n"/>
      <c r="H29" s="210" t="n"/>
      <c r="I29" s="210" t="n"/>
      <c r="J29" s="209" t="n"/>
      <c r="K29" s="20" t="n">
        <v>1</v>
      </c>
      <c r="L29" s="18" t="inlineStr">
        <is>
          <t>Unchanged; part of it moved elsewhere</t>
        </is>
      </c>
      <c r="M29" s="210" t="n"/>
      <c r="N29" s="209" t="n"/>
    </row>
    <row r="30" ht="15" customHeight="1">
      <c r="A30" s="21" t="inlineStr">
        <is>
          <t>Executive Leadership</t>
        </is>
      </c>
      <c r="B30" s="210" t="n"/>
      <c r="C30" s="210" t="n"/>
      <c r="D30" s="210" t="n"/>
      <c r="E30" s="209" t="n"/>
      <c r="F30" s="21" t="inlineStr">
        <is>
          <t>Product Management</t>
        </is>
      </c>
      <c r="G30" s="210" t="n"/>
      <c r="H30" s="210" t="n"/>
      <c r="I30" s="210" t="n"/>
      <c r="J30" s="209" t="n"/>
      <c r="K30" s="23" t="n">
        <v>1</v>
      </c>
      <c r="L30" s="21" t="inlineStr">
        <is>
          <t>Split and regrouped</t>
        </is>
      </c>
      <c r="M30" s="210" t="n"/>
      <c r="N30" s="209" t="n"/>
    </row>
    <row r="31" ht="15" customHeight="1">
      <c r="A31" s="18" t="inlineStr">
        <is>
          <t>Marketing &amp; Communications</t>
        </is>
      </c>
      <c r="B31" s="210" t="n"/>
      <c r="C31" s="210" t="n"/>
      <c r="D31" s="210" t="n"/>
      <c r="E31" s="209" t="n"/>
      <c r="F31" s="18" t="inlineStr">
        <is>
          <t>Marketing &amp; Communications</t>
        </is>
      </c>
      <c r="G31" s="210" t="n"/>
      <c r="H31" s="210" t="n"/>
      <c r="I31" s="210" t="n"/>
      <c r="J31" s="209" t="n"/>
      <c r="K31" s="20" t="n">
        <v>1</v>
      </c>
      <c r="L31" s="18" t="inlineStr">
        <is>
          <t>Unchanged</t>
        </is>
      </c>
      <c r="M31" s="210" t="n"/>
      <c r="N31" s="209" t="n"/>
    </row>
    <row r="32" ht="15" customHeight="1">
      <c r="A32" s="18" t="inlineStr">
        <is>
          <t>Project &amp; Program Management</t>
        </is>
      </c>
      <c r="B32" s="210" t="n"/>
      <c r="C32" s="210" t="n"/>
      <c r="D32" s="210" t="n"/>
      <c r="E32" s="209" t="n"/>
      <c r="F32" s="18" t="inlineStr">
        <is>
          <t>Project &amp; Program Management</t>
        </is>
      </c>
      <c r="G32" s="210" t="n"/>
      <c r="H32" s="210" t="n"/>
      <c r="I32" s="210" t="n"/>
      <c r="J32" s="209" t="n"/>
      <c r="K32" s="20" t="n">
        <v>1</v>
      </c>
      <c r="L32" s="18" t="inlineStr">
        <is>
          <t>Unchanged</t>
        </is>
      </c>
      <c r="M32" s="210" t="n"/>
      <c r="N32" s="209" t="n"/>
    </row>
    <row r="33" ht="15" customHeight="1">
      <c r="A33" s="21" t="inlineStr">
        <is>
          <t>Sales &amp; Business Development</t>
        </is>
      </c>
      <c r="B33" s="210" t="n"/>
      <c r="C33" s="210" t="n"/>
      <c r="D33" s="210" t="n"/>
      <c r="E33" s="209" t="n"/>
      <c r="F33" s="21" t="inlineStr">
        <is>
          <t>Customer Success &amp; Support</t>
        </is>
      </c>
      <c r="G33" s="210" t="n"/>
      <c r="H33" s="210" t="n"/>
      <c r="I33" s="210" t="n"/>
      <c r="J33" s="209" t="n"/>
      <c r="K33" s="23" t="n">
        <v>1</v>
      </c>
      <c r="L33" s="21" t="inlineStr">
        <is>
          <t>Split and regrouped</t>
        </is>
      </c>
      <c r="M33" s="210" t="n"/>
      <c r="N33" s="209" t="n"/>
    </row>
    <row r="34" ht="15" customHeight="1">
      <c r="A34" s="21" t="inlineStr">
        <is>
          <t>Sales, Marketing &amp; Support · Employee Master</t>
        </is>
      </c>
      <c r="B34" s="210" t="n"/>
      <c r="C34" s="210" t="n"/>
      <c r="D34" s="210" t="n"/>
      <c r="E34" s="209" t="n"/>
      <c r="F34" s="21" t="inlineStr">
        <is>
          <t>Sales &amp; Business Development</t>
        </is>
      </c>
      <c r="G34" s="210" t="n"/>
      <c r="H34" s="210" t="n"/>
      <c r="I34" s="210" t="n"/>
      <c r="J34" s="209" t="n"/>
      <c r="K34" s="23" t="n">
        <v>1</v>
      </c>
      <c r="L34" s="21" t="inlineStr">
        <is>
          <t>Merged with others</t>
        </is>
      </c>
      <c r="M34" s="210" t="n"/>
      <c r="N34" s="209" t="n"/>
    </row>
    <row r="35" ht="15" customHeight="1"/>
    <row r="36" ht="15" customHeight="1">
      <c r="A36" s="17" t="inlineStr">
        <is>
          <t>2b. Sub-families — old → new · the 30 largest moves; sheet 10 §2 lists every sub-family</t>
        </is>
      </c>
    </row>
    <row r="37" ht="15" customHeight="1">
      <c r="A37" s="12" t="inlineStr">
        <is>
          <t>Old sub-family</t>
        </is>
      </c>
      <c r="B37" s="210" t="n"/>
      <c r="C37" s="210" t="n"/>
      <c r="D37" s="210" t="n"/>
      <c r="E37" s="209" t="n"/>
      <c r="F37" s="12" t="inlineStr">
        <is>
          <t>New sub-family</t>
        </is>
      </c>
      <c r="G37" s="210" t="n"/>
      <c r="H37" s="210" t="n"/>
      <c r="I37" s="210" t="n"/>
      <c r="J37" s="209" t="n"/>
      <c r="K37" s="12" t="inlineStr">
        <is>
          <t>People</t>
        </is>
      </c>
      <c r="L37" s="12" t="inlineStr">
        <is>
          <t>What happened</t>
        </is>
      </c>
      <c r="M37" s="210" t="n"/>
      <c r="N37" s="209" t="n"/>
    </row>
    <row r="38" ht="15" customHeight="1">
      <c r="A38" s="16" t="inlineStr">
        <is>
          <t>Business / Functional Analysis</t>
        </is>
      </c>
      <c r="B38" s="210" t="n"/>
      <c r="C38" s="210" t="n"/>
      <c r="D38" s="210" t="n"/>
      <c r="E38" s="209" t="n"/>
      <c r="F38" s="16" t="inlineStr">
        <is>
          <t>Business Analysis</t>
        </is>
      </c>
      <c r="G38" s="210" t="n"/>
      <c r="H38" s="210" t="n"/>
      <c r="I38" s="210" t="n"/>
      <c r="J38" s="209" t="n"/>
      <c r="K38" s="15" t="n">
        <v>13</v>
      </c>
      <c r="L38" s="16" t="inlineStr">
        <is>
          <t>Renamed</t>
        </is>
      </c>
      <c r="M38" s="210" t="n"/>
      <c r="N38" s="209" t="n"/>
    </row>
    <row r="39" ht="15" customHeight="1">
      <c r="A39" s="16" t="inlineStr">
        <is>
          <t>Backend Engineering ·.NET</t>
        </is>
      </c>
      <c r="B39" s="210" t="n"/>
      <c r="C39" s="210" t="n"/>
      <c r="D39" s="210" t="n"/>
      <c r="E39" s="209" t="n"/>
      <c r="F39" s="16" t="inlineStr">
        <is>
          <t>Backend Development</t>
        </is>
      </c>
      <c r="G39" s="210" t="n"/>
      <c r="H39" s="210" t="n"/>
      <c r="I39" s="210" t="n"/>
      <c r="J39" s="209" t="n"/>
      <c r="K39" s="15" t="n">
        <v>9</v>
      </c>
      <c r="L39" s="16" t="inlineStr">
        <is>
          <t>Split into several</t>
        </is>
      </c>
      <c r="M39" s="210" t="n"/>
      <c r="N39" s="209" t="n"/>
    </row>
    <row r="40" ht="15" customHeight="1">
      <c r="A40" s="16" t="inlineStr">
        <is>
          <t>Backend Engineering ·.NET</t>
        </is>
      </c>
      <c r="B40" s="210" t="n"/>
      <c r="C40" s="210" t="n"/>
      <c r="D40" s="210" t="n"/>
      <c r="E40" s="209" t="n"/>
      <c r="F40" s="16" t="inlineStr">
        <is>
          <t>Full-Stack Development</t>
        </is>
      </c>
      <c r="G40" s="210" t="n"/>
      <c r="H40" s="210" t="n"/>
      <c r="I40" s="210" t="n"/>
      <c r="J40" s="209" t="n"/>
      <c r="K40" s="15" t="n">
        <v>2</v>
      </c>
      <c r="L40" s="16" t="inlineStr">
        <is>
          <t>Split into several</t>
        </is>
      </c>
      <c r="M40" s="210" t="n"/>
      <c r="N40" s="209" t="n"/>
    </row>
    <row r="41" ht="15" customHeight="1">
      <c r="A41" s="16" t="inlineStr">
        <is>
          <t>Development · Employee Master</t>
        </is>
      </c>
      <c r="B41" s="210" t="n"/>
      <c r="C41" s="210" t="n"/>
      <c r="D41" s="210" t="n"/>
      <c r="E41" s="209" t="n"/>
      <c r="F41" s="16" t="inlineStr">
        <is>
          <t>Application &amp; Product Support</t>
        </is>
      </c>
      <c r="G41" s="210" t="n"/>
      <c r="H41" s="210" t="n"/>
      <c r="I41" s="210" t="n"/>
      <c r="J41" s="209" t="n"/>
      <c r="K41" s="15" t="n">
        <v>2</v>
      </c>
      <c r="L41" s="16" t="inlineStr">
        <is>
          <t>Merged with others</t>
        </is>
      </c>
      <c r="M41" s="210" t="n"/>
      <c r="N41" s="209" t="n"/>
    </row>
    <row r="42" ht="15" customHeight="1">
      <c r="A42" s="16" t="inlineStr">
        <is>
          <t>Product Management</t>
        </is>
      </c>
      <c r="B42" s="210" t="n"/>
      <c r="C42" s="210" t="n"/>
      <c r="D42" s="210" t="n"/>
      <c r="E42" s="209" t="n"/>
      <c r="F42" s="16" t="inlineStr">
        <is>
          <t>Product Management</t>
        </is>
      </c>
      <c r="G42" s="210" t="n"/>
      <c r="H42" s="210" t="n"/>
      <c r="I42" s="210" t="n"/>
      <c r="J42" s="209" t="n"/>
      <c r="K42" s="15" t="n">
        <v>2</v>
      </c>
      <c r="L42" s="16" t="inlineStr">
        <is>
          <t>Unchanged</t>
        </is>
      </c>
      <c r="M42" s="210" t="n"/>
      <c r="N42" s="209" t="n"/>
    </row>
    <row r="43" ht="15" customHeight="1">
      <c r="A43" s="16" t="inlineStr">
        <is>
          <t>QA Automation</t>
        </is>
      </c>
      <c r="B43" s="210" t="n"/>
      <c r="C43" s="210" t="n"/>
      <c r="D43" s="210" t="n"/>
      <c r="E43" s="209" t="n"/>
      <c r="F43" s="16" t="inlineStr">
        <is>
          <t>Test Automation</t>
        </is>
      </c>
      <c r="G43" s="210" t="n"/>
      <c r="H43" s="210" t="n"/>
      <c r="I43" s="210" t="n"/>
      <c r="J43" s="209" t="n"/>
      <c r="K43" s="15" t="n">
        <v>2</v>
      </c>
      <c r="L43" s="16" t="inlineStr">
        <is>
          <t>Merged with others</t>
        </is>
      </c>
      <c r="M43" s="210" t="n"/>
      <c r="N43" s="209" t="n"/>
    </row>
    <row r="44" ht="15" customHeight="1">
      <c r="A44" s="16" t="inlineStr">
        <is>
          <t>Quality Engineering</t>
        </is>
      </c>
      <c r="B44" s="210" t="n"/>
      <c r="C44" s="210" t="n"/>
      <c r="D44" s="210" t="n"/>
      <c r="E44" s="209" t="n"/>
      <c r="F44" s="16" t="inlineStr">
        <is>
          <t>Functional &amp; Domain Testing</t>
        </is>
      </c>
      <c r="G44" s="210" t="n"/>
      <c r="H44" s="210" t="n"/>
      <c r="I44" s="210" t="n"/>
      <c r="J44" s="209" t="n"/>
      <c r="K44" s="15" t="n">
        <v>2</v>
      </c>
      <c r="L44" s="16" t="inlineStr">
        <is>
          <t>Split into several</t>
        </is>
      </c>
      <c r="M44" s="210" t="n"/>
      <c r="N44" s="209" t="n"/>
    </row>
    <row r="45" ht="15" customHeight="1">
      <c r="A45" s="16" t="inlineStr">
        <is>
          <t>Software Engineering</t>
        </is>
      </c>
      <c r="B45" s="210" t="n"/>
      <c r="C45" s="210" t="n"/>
      <c r="D45" s="210" t="n"/>
      <c r="E45" s="209" t="n"/>
      <c r="F45" s="16" t="inlineStr">
        <is>
          <t>Data Engineering &amp; Database Development</t>
        </is>
      </c>
      <c r="G45" s="210" t="n"/>
      <c r="H45" s="210" t="n"/>
      <c r="I45" s="210" t="n"/>
      <c r="J45" s="209" t="n"/>
      <c r="K45" s="15" t="n">
        <v>2</v>
      </c>
      <c r="L45" s="16" t="inlineStr">
        <is>
          <t>Split and regrouped</t>
        </is>
      </c>
      <c r="M45" s="210" t="n"/>
      <c r="N45" s="209" t="n"/>
    </row>
    <row r="46" ht="15" customHeight="1">
      <c r="A46" s="16" t="inlineStr">
        <is>
          <t>Backend Engineering ·.NET</t>
        </is>
      </c>
      <c r="B46" s="210" t="n"/>
      <c r="C46" s="210" t="n"/>
      <c r="D46" s="210" t="n"/>
      <c r="E46" s="209" t="n"/>
      <c r="F46" s="16" t="inlineStr">
        <is>
          <t>Data Engineering &amp; Database Development</t>
        </is>
      </c>
      <c r="G46" s="210" t="n"/>
      <c r="H46" s="210" t="n"/>
      <c r="I46" s="210" t="n"/>
      <c r="J46" s="209" t="n"/>
      <c r="K46" s="15" t="n">
        <v>1</v>
      </c>
      <c r="L46" s="16" t="inlineStr">
        <is>
          <t>Split and regrouped</t>
        </is>
      </c>
      <c r="M46" s="210" t="n"/>
      <c r="N46" s="209" t="n"/>
    </row>
    <row r="47" ht="15" customHeight="1">
      <c r="A47" s="16" t="inlineStr">
        <is>
          <t>Backend Engineering · Java</t>
        </is>
      </c>
      <c r="B47" s="210" t="n"/>
      <c r="C47" s="210" t="n"/>
      <c r="D47" s="210" t="n"/>
      <c r="E47" s="209" t="n"/>
      <c r="F47" s="16" t="inlineStr">
        <is>
          <t>Data Engineering &amp; Database Development</t>
        </is>
      </c>
      <c r="G47" s="210" t="n"/>
      <c r="H47" s="210" t="n"/>
      <c r="I47" s="210" t="n"/>
      <c r="J47" s="209" t="n"/>
      <c r="K47" s="15" t="n">
        <v>1</v>
      </c>
      <c r="L47" s="16" t="inlineStr">
        <is>
          <t>Merged with others</t>
        </is>
      </c>
      <c r="M47" s="210" t="n"/>
      <c r="N47" s="209" t="n"/>
    </row>
    <row r="48" ht="15" customHeight="1">
      <c r="A48" s="16" t="inlineStr">
        <is>
          <t>Business / Functional Leadership</t>
        </is>
      </c>
      <c r="B48" s="210" t="n"/>
      <c r="C48" s="210" t="n"/>
      <c r="D48" s="210" t="n"/>
      <c r="E48" s="209" t="n"/>
      <c r="F48" s="16" t="inlineStr">
        <is>
          <t>Business &amp; Functional Leadership</t>
        </is>
      </c>
      <c r="G48" s="210" t="n"/>
      <c r="H48" s="210" t="n"/>
      <c r="I48" s="210" t="n"/>
      <c r="J48" s="209" t="n"/>
      <c r="K48" s="15" t="n">
        <v>1</v>
      </c>
      <c r="L48" s="16" t="inlineStr">
        <is>
          <t>Split into several</t>
        </is>
      </c>
      <c r="M48" s="210" t="n"/>
      <c r="N48" s="209" t="n"/>
    </row>
    <row r="49" ht="15" customHeight="1">
      <c r="A49" s="16" t="inlineStr">
        <is>
          <t>Business / Functional Leadership</t>
        </is>
      </c>
      <c r="B49" s="210" t="n"/>
      <c r="C49" s="210" t="n"/>
      <c r="D49" s="210" t="n"/>
      <c r="E49" s="209" t="n"/>
      <c r="F49" s="16" t="inlineStr">
        <is>
          <t>Product Operations &amp; Research</t>
        </is>
      </c>
      <c r="G49" s="210" t="n"/>
      <c r="H49" s="210" t="n"/>
      <c r="I49" s="210" t="n"/>
      <c r="J49" s="209" t="n"/>
      <c r="K49" s="15" t="n">
        <v>1</v>
      </c>
      <c r="L49" s="16" t="inlineStr">
        <is>
          <t>Split into several</t>
        </is>
      </c>
      <c r="M49" s="210" t="n"/>
      <c r="N49" s="209" t="n"/>
    </row>
    <row r="50" ht="15" customHeight="1">
      <c r="A50" s="16" t="inlineStr">
        <is>
          <t>Content Marketing</t>
        </is>
      </c>
      <c r="B50" s="210" t="n"/>
      <c r="C50" s="210" t="n"/>
      <c r="D50" s="210" t="n"/>
      <c r="E50" s="209" t="n"/>
      <c r="F50" s="16" t="inlineStr">
        <is>
          <t>Content Marketing</t>
        </is>
      </c>
      <c r="G50" s="210" t="n"/>
      <c r="H50" s="210" t="n"/>
      <c r="I50" s="210" t="n"/>
      <c r="J50" s="209" t="n"/>
      <c r="K50" s="15" t="n">
        <v>1</v>
      </c>
      <c r="L50" s="16" t="inlineStr">
        <is>
          <t>Unchanged</t>
        </is>
      </c>
      <c r="M50" s="210" t="n"/>
      <c r="N50" s="209" t="n"/>
    </row>
    <row r="51" ht="15" customHeight="1">
      <c r="A51" s="16" t="inlineStr">
        <is>
          <t>Project Management</t>
        </is>
      </c>
      <c r="B51" s="210" t="n"/>
      <c r="C51" s="210" t="n"/>
      <c r="D51" s="210" t="n"/>
      <c r="E51" s="209" t="n"/>
      <c r="F51" s="16" t="inlineStr">
        <is>
          <t>Project &amp; Program Delivery</t>
        </is>
      </c>
      <c r="G51" s="210" t="n"/>
      <c r="H51" s="210" t="n"/>
      <c r="I51" s="210" t="n"/>
      <c r="J51" s="209" t="n"/>
      <c r="K51" s="15" t="n">
        <v>1</v>
      </c>
      <c r="L51" s="16" t="inlineStr">
        <is>
          <t>Renamed</t>
        </is>
      </c>
      <c r="M51" s="210" t="n"/>
      <c r="N51" s="209" t="n"/>
    </row>
    <row r="52" ht="15" customHeight="1">
      <c r="A52" s="16" t="inlineStr">
        <is>
          <t>Quality Engineering</t>
        </is>
      </c>
      <c r="B52" s="210" t="n"/>
      <c r="C52" s="210" t="n"/>
      <c r="D52" s="210" t="n"/>
      <c r="E52" s="209" t="n"/>
      <c r="F52" s="16" t="inlineStr">
        <is>
          <t>Test Automation</t>
        </is>
      </c>
      <c r="G52" s="210" t="n"/>
      <c r="H52" s="210" t="n"/>
      <c r="I52" s="210" t="n"/>
      <c r="J52" s="209" t="n"/>
      <c r="K52" s="15" t="n">
        <v>1</v>
      </c>
      <c r="L52" s="16" t="inlineStr">
        <is>
          <t>Split and regrouped</t>
        </is>
      </c>
      <c r="M52" s="210" t="n"/>
      <c r="N52" s="209" t="n"/>
    </row>
    <row r="53" ht="15" customHeight="1">
      <c r="A53" s="16" t="inlineStr">
        <is>
          <t>Sales · Employee Master</t>
        </is>
      </c>
      <c r="B53" s="210" t="n"/>
      <c r="C53" s="210" t="n"/>
      <c r="D53" s="210" t="n"/>
      <c r="E53" s="209" t="n"/>
      <c r="F53" s="16" t="inlineStr">
        <is>
          <t>Enterprise Sales &amp; Account Management</t>
        </is>
      </c>
      <c r="G53" s="210" t="n"/>
      <c r="H53" s="210" t="n"/>
      <c r="I53" s="210" t="n"/>
      <c r="J53" s="209" t="n"/>
      <c r="K53" s="15" t="n">
        <v>1</v>
      </c>
      <c r="L53" s="16" t="inlineStr">
        <is>
          <t>Merged with others</t>
        </is>
      </c>
      <c r="M53" s="210" t="n"/>
      <c r="N53" s="209" t="n"/>
    </row>
    <row r="54" ht="15" customHeight="1">
      <c r="A54" s="16" t="inlineStr">
        <is>
          <t>Sales / Account Management</t>
        </is>
      </c>
      <c r="B54" s="210" t="n"/>
      <c r="C54" s="210" t="n"/>
      <c r="D54" s="210" t="n"/>
      <c r="E54" s="209" t="n"/>
      <c r="F54" s="16" t="inlineStr">
        <is>
          <t>Application &amp; Product Support</t>
        </is>
      </c>
      <c r="G54" s="210" t="n"/>
      <c r="H54" s="210" t="n"/>
      <c r="I54" s="210" t="n"/>
      <c r="J54" s="209" t="n"/>
      <c r="K54" s="15" t="n">
        <v>1</v>
      </c>
      <c r="L54" s="16" t="inlineStr">
        <is>
          <t>Split and regrouped</t>
        </is>
      </c>
      <c r="M54" s="210" t="n"/>
      <c r="N54" s="209" t="n"/>
    </row>
    <row r="55" ht="15" customHeight="1">
      <c r="A55" s="16" t="inlineStr">
        <is>
          <t>Sales / Account Management</t>
        </is>
      </c>
      <c r="B55" s="210" t="n"/>
      <c r="C55" s="210" t="n"/>
      <c r="D55" s="210" t="n"/>
      <c r="E55" s="209" t="n"/>
      <c r="F55" s="16" t="inlineStr">
        <is>
          <t>Enterprise Sales &amp; Account Management</t>
        </is>
      </c>
      <c r="G55" s="210" t="n"/>
      <c r="H55" s="210" t="n"/>
      <c r="I55" s="210" t="n"/>
      <c r="J55" s="209" t="n"/>
      <c r="K55" s="15" t="n">
        <v>1</v>
      </c>
      <c r="L55" s="16" t="inlineStr">
        <is>
          <t>Split and regrouped</t>
        </is>
      </c>
      <c r="M55" s="210" t="n"/>
      <c r="N55" s="209" t="n"/>
    </row>
    <row r="56" ht="15" customHeight="1">
      <c r="A56" s="16" t="inlineStr">
        <is>
          <t>Sales / Account Management</t>
        </is>
      </c>
      <c r="B56" s="210" t="n"/>
      <c r="C56" s="210" t="n"/>
      <c r="D56" s="210" t="n"/>
      <c r="E56" s="209" t="n"/>
      <c r="F56" s="16" t="inlineStr">
        <is>
          <t>Partnerships &amp; Alliances</t>
        </is>
      </c>
      <c r="G56" s="210" t="n"/>
      <c r="H56" s="210" t="n"/>
      <c r="I56" s="210" t="n"/>
      <c r="J56" s="209" t="n"/>
      <c r="K56" s="15" t="n">
        <v>1</v>
      </c>
      <c r="L56" s="16" t="inlineStr">
        <is>
          <t>Split into several</t>
        </is>
      </c>
      <c r="M56" s="210" t="n"/>
      <c r="N56" s="209" t="n"/>
    </row>
    <row r="57" ht="15" customHeight="1">
      <c r="A57" s="16" t="inlineStr">
        <is>
          <t>Software Engineering</t>
        </is>
      </c>
      <c r="B57" s="210" t="n"/>
      <c r="C57" s="210" t="n"/>
      <c r="D57" s="210" t="n"/>
      <c r="E57" s="209" t="n"/>
      <c r="F57" s="16" t="inlineStr">
        <is>
          <t>Application &amp; Product Support</t>
        </is>
      </c>
      <c r="G57" s="210" t="n"/>
      <c r="H57" s="210" t="n"/>
      <c r="I57" s="210" t="n"/>
      <c r="J57" s="209" t="n"/>
      <c r="K57" s="15" t="n">
        <v>1</v>
      </c>
      <c r="L57" s="16" t="inlineStr">
        <is>
          <t>Split and regrouped</t>
        </is>
      </c>
      <c r="M57" s="210" t="n"/>
      <c r="N57" s="209" t="n"/>
    </row>
    <row r="58" ht="15" customHeight="1">
      <c r="A58" s="16" t="inlineStr">
        <is>
          <t>Solution / Software Architecture</t>
        </is>
      </c>
      <c r="B58" s="210" t="n"/>
      <c r="C58" s="210" t="n"/>
      <c r="D58" s="210" t="n"/>
      <c r="E58" s="209" t="n"/>
      <c r="F58" s="16" t="inlineStr">
        <is>
          <t>Solution &amp; Technical Architecture</t>
        </is>
      </c>
      <c r="G58" s="210" t="n"/>
      <c r="H58" s="210" t="n"/>
      <c r="I58" s="210" t="n"/>
      <c r="J58" s="209" t="n"/>
      <c r="K58" s="15" t="n">
        <v>1</v>
      </c>
      <c r="L58" s="16" t="inlineStr">
        <is>
          <t>Renamed</t>
        </is>
      </c>
      <c r="M58" s="210" t="n"/>
      <c r="N58" s="209" t="n"/>
    </row>
    <row r="59" ht="15" customHeight="1"/>
    <row r="60" ht="20" customHeight="1">
      <c r="A60" s="6" t="inlineStr">
        <is>
          <t>3. Where people sit — band × track</t>
        </is>
      </c>
    </row>
    <row r="61" ht="15" customHeight="1">
      <c r="A61" s="12" t="inlineStr">
        <is>
          <t>Band</t>
        </is>
      </c>
      <c r="B61" s="210" t="n"/>
      <c r="C61" s="209" t="n"/>
      <c r="D61" s="12" t="inlineStr">
        <is>
          <t>IC</t>
        </is>
      </c>
      <c r="E61" s="209" t="n"/>
      <c r="F61" s="12" t="inlineStr">
        <is>
          <t>POD Lead</t>
        </is>
      </c>
      <c r="G61" s="209" t="n"/>
      <c r="H61" s="12" t="inlineStr">
        <is>
          <t>Player-Coach</t>
        </is>
      </c>
      <c r="I61" s="209" t="n"/>
      <c r="J61" s="12" t="inlineStr">
        <is>
          <t>People Manager</t>
        </is>
      </c>
      <c r="K61" s="209" t="n"/>
      <c r="L61" s="12" t="inlineStr">
        <is>
          <t>Consultant</t>
        </is>
      </c>
      <c r="M61" s="209" t="n"/>
      <c r="N61" s="12" t="inlineStr">
        <is>
          <t>Total</t>
        </is>
      </c>
    </row>
    <row r="62" ht="15" customHeight="1">
      <c r="A62" s="24" t="inlineStr">
        <is>
          <t>A</t>
        </is>
      </c>
      <c r="B62" s="210" t="n"/>
      <c r="C62" s="209" t="n"/>
      <c r="D62" s="26" t="n">
        <v>32</v>
      </c>
      <c r="E62" s="209" t="n"/>
      <c r="F62" s="26" t="inlineStr"/>
      <c r="G62" s="209" t="n"/>
      <c r="H62" s="26" t="inlineStr"/>
      <c r="I62" s="209" t="n"/>
      <c r="J62" s="26" t="inlineStr"/>
      <c r="K62" s="209" t="n"/>
      <c r="L62" s="26" t="inlineStr"/>
      <c r="M62" s="209" t="n"/>
      <c r="N62" s="26" t="n">
        <v>32</v>
      </c>
    </row>
    <row r="63" ht="15" customHeight="1">
      <c r="A63" s="27" t="inlineStr">
        <is>
          <t>B</t>
        </is>
      </c>
      <c r="B63" s="210" t="n"/>
      <c r="C63" s="209" t="n"/>
      <c r="D63" s="20" t="n">
        <v>7</v>
      </c>
      <c r="E63" s="209" t="n"/>
      <c r="F63" s="20" t="n">
        <v>2</v>
      </c>
      <c r="G63" s="209" t="n"/>
      <c r="H63" s="20" t="inlineStr"/>
      <c r="I63" s="209" t="n"/>
      <c r="J63" s="20" t="n">
        <v>4</v>
      </c>
      <c r="K63" s="209" t="n"/>
      <c r="L63" s="20" t="inlineStr"/>
      <c r="M63" s="209" t="n"/>
      <c r="N63" s="20" t="n">
        <v>13</v>
      </c>
    </row>
    <row r="64" ht="15" customHeight="1">
      <c r="A64" s="28" t="inlineStr">
        <is>
          <t>B+</t>
        </is>
      </c>
      <c r="B64" s="210" t="n"/>
      <c r="C64" s="209" t="n"/>
      <c r="D64" s="30" t="inlineStr"/>
      <c r="E64" s="209" t="n"/>
      <c r="F64" s="30" t="inlineStr"/>
      <c r="G64" s="209" t="n"/>
      <c r="H64" s="30" t="n">
        <v>1</v>
      </c>
      <c r="I64" s="209" t="n"/>
      <c r="J64" s="30" t="inlineStr"/>
      <c r="K64" s="209" t="n"/>
      <c r="L64" s="30" t="inlineStr"/>
      <c r="M64" s="209" t="n"/>
      <c r="N64" s="30" t="n">
        <v>1</v>
      </c>
    </row>
    <row r="65" ht="15" customHeight="1">
      <c r="A65" s="31" t="inlineStr">
        <is>
          <t>C</t>
        </is>
      </c>
      <c r="B65" s="210" t="n"/>
      <c r="C65" s="209" t="n"/>
      <c r="D65" s="33" t="inlineStr"/>
      <c r="E65" s="209" t="n"/>
      <c r="F65" s="33" t="inlineStr"/>
      <c r="G65" s="209" t="n"/>
      <c r="H65" s="33" t="inlineStr"/>
      <c r="I65" s="209" t="n"/>
      <c r="J65" s="33" t="inlineStr"/>
      <c r="K65" s="209" t="n"/>
      <c r="L65" s="33" t="inlineStr"/>
      <c r="M65" s="209" t="n"/>
      <c r="N65" s="33" t="n">
        <v>0</v>
      </c>
    </row>
    <row r="66" ht="15" customHeight="1">
      <c r="A66" s="34" t="inlineStr">
        <is>
          <t>C+</t>
        </is>
      </c>
      <c r="B66" s="210" t="n"/>
      <c r="C66" s="209" t="n"/>
      <c r="D66" s="36" t="inlineStr"/>
      <c r="E66" s="209" t="n"/>
      <c r="F66" s="36" t="inlineStr"/>
      <c r="G66" s="209" t="n"/>
      <c r="H66" s="36" t="inlineStr"/>
      <c r="I66" s="209" t="n"/>
      <c r="J66" s="36" t="inlineStr"/>
      <c r="K66" s="209" t="n"/>
      <c r="L66" s="36" t="inlineStr"/>
      <c r="M66" s="209" t="n"/>
      <c r="N66" s="36" t="n">
        <v>0</v>
      </c>
    </row>
    <row r="67" ht="15" customHeight="1">
      <c r="A67" s="37" t="inlineStr">
        <is>
          <t>D</t>
        </is>
      </c>
      <c r="B67" s="210" t="n"/>
      <c r="C67" s="209" t="n"/>
      <c r="D67" s="39" t="inlineStr"/>
      <c r="E67" s="209" t="n"/>
      <c r="F67" s="39" t="inlineStr"/>
      <c r="G67" s="209" t="n"/>
      <c r="H67" s="39" t="inlineStr"/>
      <c r="I67" s="209" t="n"/>
      <c r="J67" s="39" t="n">
        <v>1</v>
      </c>
      <c r="K67" s="209" t="n"/>
      <c r="L67" s="39" t="inlineStr"/>
      <c r="M67" s="209" t="n"/>
      <c r="N67" s="39" t="n">
        <v>1</v>
      </c>
    </row>
    <row r="68" ht="15" customHeight="1">
      <c r="A68" s="40" t="inlineStr">
        <is>
          <t>E</t>
        </is>
      </c>
      <c r="B68" s="210" t="n"/>
      <c r="C68" s="209" t="n"/>
      <c r="D68" s="42" t="inlineStr"/>
      <c r="E68" s="209" t="n"/>
      <c r="F68" s="42" t="inlineStr"/>
      <c r="G68" s="209" t="n"/>
      <c r="H68" s="42" t="inlineStr"/>
      <c r="I68" s="209" t="n"/>
      <c r="J68" s="42" t="inlineStr"/>
      <c r="K68" s="209" t="n"/>
      <c r="L68" s="42" t="inlineStr"/>
      <c r="M68" s="209" t="n"/>
      <c r="N68" s="42" t="n">
        <v>0</v>
      </c>
    </row>
    <row r="69" ht="15" customHeight="1">
      <c r="A69" s="43" t="inlineStr">
        <is>
          <t>X</t>
        </is>
      </c>
      <c r="B69" s="210" t="n"/>
      <c r="C69" s="209" t="n"/>
      <c r="D69" s="45" t="inlineStr"/>
      <c r="E69" s="209" t="n"/>
      <c r="F69" s="45" t="inlineStr"/>
      <c r="G69" s="209" t="n"/>
      <c r="H69" s="45" t="inlineStr"/>
      <c r="I69" s="209" t="n"/>
      <c r="J69" s="45" t="inlineStr"/>
      <c r="K69" s="209" t="n"/>
      <c r="L69" s="45" t="inlineStr"/>
      <c r="M69" s="209" t="n"/>
      <c r="N69" s="45" t="n">
        <v>0</v>
      </c>
    </row>
    <row r="70" ht="15" customHeight="1">
      <c r="A70" s="46" t="inlineStr">
        <is>
          <t>Total</t>
        </is>
      </c>
      <c r="B70" s="210" t="n"/>
      <c r="C70" s="209" t="n"/>
      <c r="D70" s="47" t="n">
        <v>39</v>
      </c>
      <c r="E70" s="209" t="n"/>
      <c r="F70" s="47" t="n">
        <v>2</v>
      </c>
      <c r="G70" s="209" t="n"/>
      <c r="H70" s="47" t="n">
        <v>1</v>
      </c>
      <c r="I70" s="209" t="n"/>
      <c r="J70" s="47" t="n">
        <v>5</v>
      </c>
      <c r="K70" s="209" t="n"/>
      <c r="L70" s="47" t="n">
        <v>0</v>
      </c>
      <c r="M70" s="209" t="n"/>
      <c r="N70" s="47" t="n">
        <v>47</v>
      </c>
    </row>
    <row r="71" ht="15" customHeight="1"/>
    <row r="72" ht="20" customHeight="1">
      <c r="A72" s="6" t="inlineStr">
        <is>
          <t>4. Levels by department · bottom to top, left to right</t>
        </is>
      </c>
    </row>
    <row r="73" ht="15" customHeight="1">
      <c r="A73" s="12" t="inlineStr">
        <is>
          <t>Department</t>
        </is>
      </c>
      <c r="B73" s="210" t="n"/>
      <c r="C73" s="210" t="n"/>
      <c r="D73" s="210" t="n"/>
      <c r="E73" s="209" t="n"/>
      <c r="F73" s="12" t="inlineStr">
        <is>
          <t>A1</t>
        </is>
      </c>
      <c r="G73" s="12" t="inlineStr">
        <is>
          <t>A2</t>
        </is>
      </c>
      <c r="H73" s="12" t="inlineStr">
        <is>
          <t>A3</t>
        </is>
      </c>
      <c r="I73" s="12" t="inlineStr">
        <is>
          <t>B1</t>
        </is>
      </c>
      <c r="J73" s="12" t="inlineStr">
        <is>
          <t>B2</t>
        </is>
      </c>
      <c r="K73" s="12" t="inlineStr">
        <is>
          <t>B3</t>
        </is>
      </c>
      <c r="L73" s="12" t="inlineStr">
        <is>
          <t>B+</t>
        </is>
      </c>
      <c r="M73" s="12" t="inlineStr">
        <is>
          <t>D1</t>
        </is>
      </c>
      <c r="N73" s="12" t="inlineStr">
        <is>
          <t>Total</t>
        </is>
      </c>
    </row>
    <row r="74" ht="15" customHeight="1">
      <c r="A74" s="13" t="inlineStr">
        <is>
          <t>Marketing</t>
        </is>
      </c>
      <c r="B74" s="210" t="n"/>
      <c r="C74" s="210" t="n"/>
      <c r="D74" s="210" t="n"/>
      <c r="E74" s="209" t="n"/>
      <c r="F74" s="15" t="inlineStr"/>
      <c r="G74" s="15" t="n">
        <v>1</v>
      </c>
      <c r="H74" s="15" t="inlineStr"/>
      <c r="I74" s="15" t="inlineStr"/>
      <c r="J74" s="15" t="inlineStr"/>
      <c r="K74" s="15" t="inlineStr"/>
      <c r="L74" s="15" t="inlineStr"/>
      <c r="M74" s="15" t="inlineStr"/>
      <c r="N74" s="15" t="n">
        <v>1</v>
      </c>
    </row>
    <row r="75" ht="15" customHeight="1">
      <c r="A75" s="13" t="inlineStr">
        <is>
          <t>Product Management</t>
        </is>
      </c>
      <c r="B75" s="210" t="n"/>
      <c r="C75" s="210" t="n"/>
      <c r="D75" s="210" t="n"/>
      <c r="E75" s="209" t="n"/>
      <c r="F75" s="15" t="inlineStr"/>
      <c r="G75" s="15" t="inlineStr"/>
      <c r="H75" s="15" t="n">
        <v>1</v>
      </c>
      <c r="I75" s="15" t="inlineStr"/>
      <c r="J75" s="15" t="n">
        <v>2</v>
      </c>
      <c r="K75" s="15" t="inlineStr"/>
      <c r="L75" s="15" t="inlineStr"/>
      <c r="M75" s="15" t="inlineStr"/>
      <c r="N75" s="15" t="n">
        <v>3</v>
      </c>
    </row>
    <row r="76" ht="15" customHeight="1">
      <c r="A76" s="13" t="inlineStr">
        <is>
          <t>Quality Assurance</t>
        </is>
      </c>
      <c r="B76" s="210" t="n"/>
      <c r="C76" s="210" t="n"/>
      <c r="D76" s="210" t="n"/>
      <c r="E76" s="209" t="n"/>
      <c r="F76" s="15" t="inlineStr"/>
      <c r="G76" s="15" t="inlineStr"/>
      <c r="H76" s="15" t="n">
        <v>4</v>
      </c>
      <c r="I76" s="15" t="n">
        <v>1</v>
      </c>
      <c r="J76" s="15" t="inlineStr"/>
      <c r="K76" s="15" t="inlineStr"/>
      <c r="L76" s="15" t="inlineStr"/>
      <c r="M76" s="15" t="inlineStr"/>
      <c r="N76" s="15" t="n">
        <v>5</v>
      </c>
    </row>
    <row r="77" ht="15" customHeight="1">
      <c r="A77" s="13" t="inlineStr">
        <is>
          <t>Sales</t>
        </is>
      </c>
      <c r="B77" s="210" t="n"/>
      <c r="C77" s="210" t="n"/>
      <c r="D77" s="210" t="n"/>
      <c r="E77" s="209" t="n"/>
      <c r="F77" s="15" t="n">
        <v>1</v>
      </c>
      <c r="G77" s="15" t="inlineStr"/>
      <c r="H77" s="15" t="n">
        <v>1</v>
      </c>
      <c r="I77" s="15" t="n">
        <v>1</v>
      </c>
      <c r="J77" s="15" t="n">
        <v>1</v>
      </c>
      <c r="K77" s="15" t="inlineStr"/>
      <c r="L77" s="15" t="inlineStr"/>
      <c r="M77" s="15" t="inlineStr"/>
      <c r="N77" s="15" t="n">
        <v>4</v>
      </c>
    </row>
    <row r="78" ht="15" customHeight="1">
      <c r="A78" s="13" t="inlineStr">
        <is>
          <t>Technology</t>
        </is>
      </c>
      <c r="B78" s="210" t="n"/>
      <c r="C78" s="210" t="n"/>
      <c r="D78" s="210" t="n"/>
      <c r="E78" s="209" t="n"/>
      <c r="F78" s="15" t="n">
        <v>2</v>
      </c>
      <c r="G78" s="15" t="n">
        <v>3</v>
      </c>
      <c r="H78" s="15" t="n">
        <v>19</v>
      </c>
      <c r="I78" s="15" t="n">
        <v>7</v>
      </c>
      <c r="J78" s="15" t="inlineStr"/>
      <c r="K78" s="15" t="n">
        <v>1</v>
      </c>
      <c r="L78" s="15" t="n">
        <v>1</v>
      </c>
      <c r="M78" s="15" t="inlineStr"/>
      <c r="N78" s="15" t="n">
        <v>33</v>
      </c>
    </row>
    <row r="79" ht="15" customHeight="1">
      <c r="A79" s="13" t="inlineStr">
        <is>
          <t>iDEAL Business Head</t>
        </is>
      </c>
      <c r="B79" s="210" t="n"/>
      <c r="C79" s="210" t="n"/>
      <c r="D79" s="210" t="n"/>
      <c r="E79" s="209" t="n"/>
      <c r="F79" s="15" t="inlineStr"/>
      <c r="G79" s="15" t="inlineStr"/>
      <c r="H79" s="15" t="inlineStr"/>
      <c r="I79" s="15" t="inlineStr"/>
      <c r="J79" s="15" t="inlineStr"/>
      <c r="K79" s="15" t="inlineStr"/>
      <c r="L79" s="15" t="inlineStr"/>
      <c r="M79" s="15" t="n">
        <v>1</v>
      </c>
      <c r="N79" s="15" t="n">
        <v>1</v>
      </c>
    </row>
    <row r="80" ht="15" customHeight="1">
      <c r="A80" s="13" t="inlineStr">
        <is>
          <t>Total</t>
        </is>
      </c>
      <c r="B80" s="210" t="n"/>
      <c r="C80" s="210" t="n"/>
      <c r="D80" s="210" t="n"/>
      <c r="E80" s="209" t="n"/>
      <c r="F80" s="15" t="n">
        <v>3</v>
      </c>
      <c r="G80" s="15" t="n">
        <v>4</v>
      </c>
      <c r="H80" s="15" t="n">
        <v>25</v>
      </c>
      <c r="I80" s="15" t="n">
        <v>9</v>
      </c>
      <c r="J80" s="15" t="n">
        <v>3</v>
      </c>
      <c r="K80" s="15" t="n">
        <v>1</v>
      </c>
      <c r="L80" s="15" t="n">
        <v>1</v>
      </c>
      <c r="M80" s="15" t="n">
        <v>1</v>
      </c>
      <c r="N80" s="15" t="n">
        <v>47</v>
      </c>
    </row>
    <row r="81" ht="15" customHeight="1"/>
    <row r="82" ht="20" customHeight="1">
      <c r="A82" s="6" t="inlineStr">
        <is>
          <t>5. Job families × band</t>
        </is>
      </c>
    </row>
    <row r="83" ht="28" customHeight="1">
      <c r="A83" s="12" t="inlineStr">
        <is>
          <t>Job family</t>
        </is>
      </c>
      <c r="B83" s="210" t="n"/>
      <c r="C83" s="210" t="n"/>
      <c r="D83" s="209" t="n"/>
      <c r="E83" s="12" t="inlineStr">
        <is>
          <t>A</t>
        </is>
      </c>
      <c r="F83" s="12" t="inlineStr">
        <is>
          <t>B</t>
        </is>
      </c>
      <c r="G83" s="12" t="inlineStr">
        <is>
          <t>B+</t>
        </is>
      </c>
      <c r="H83" s="12" t="inlineStr">
        <is>
          <t>C</t>
        </is>
      </c>
      <c r="I83" s="12" t="inlineStr">
        <is>
          <t>C+</t>
        </is>
      </c>
      <c r="J83" s="12" t="inlineStr">
        <is>
          <t>D</t>
        </is>
      </c>
      <c r="K83" s="12" t="inlineStr">
        <is>
          <t>E</t>
        </is>
      </c>
      <c r="L83" s="12" t="inlineStr">
        <is>
          <t>X</t>
        </is>
      </c>
      <c r="M83" s="12" t="inlineStr">
        <is>
          <t>Total</t>
        </is>
      </c>
      <c r="N83" s="12" t="inlineStr">
        <is>
          <t>Sub-families</t>
        </is>
      </c>
    </row>
    <row r="84" ht="15" customHeight="1">
      <c r="A84" s="13" t="inlineStr">
        <is>
          <t>Engineering &amp; Development</t>
        </is>
      </c>
      <c r="B84" s="210" t="n"/>
      <c r="C84" s="210" t="n"/>
      <c r="D84" s="209" t="n"/>
      <c r="E84" s="15" t="n">
        <v>13</v>
      </c>
      <c r="F84" s="15" t="n">
        <v>2</v>
      </c>
      <c r="G84" s="15" t="inlineStr"/>
      <c r="H84" s="15" t="inlineStr"/>
      <c r="I84" s="15" t="inlineStr"/>
      <c r="J84" s="15" t="inlineStr"/>
      <c r="K84" s="15" t="inlineStr"/>
      <c r="L84" s="15" t="inlineStr"/>
      <c r="M84" s="15" t="n">
        <v>15</v>
      </c>
      <c r="N84" s="15" t="n">
        <v>3</v>
      </c>
    </row>
    <row r="85" ht="15" customHeight="1">
      <c r="A85" s="13" t="inlineStr">
        <is>
          <t>Business Analysis</t>
        </is>
      </c>
      <c r="B85" s="210" t="n"/>
      <c r="C85" s="210" t="n"/>
      <c r="D85" s="209" t="n"/>
      <c r="E85" s="15" t="n">
        <v>8</v>
      </c>
      <c r="F85" s="15" t="n">
        <v>5</v>
      </c>
      <c r="G85" s="15" t="inlineStr"/>
      <c r="H85" s="15" t="inlineStr"/>
      <c r="I85" s="15" t="inlineStr"/>
      <c r="J85" s="15" t="inlineStr"/>
      <c r="K85" s="15" t="inlineStr"/>
      <c r="L85" s="15" t="inlineStr"/>
      <c r="M85" s="15" t="n">
        <v>13</v>
      </c>
      <c r="N85" s="15" t="n">
        <v>1</v>
      </c>
    </row>
    <row r="86" ht="15" customHeight="1">
      <c r="A86" s="13" t="inlineStr">
        <is>
          <t>Quality Assurance</t>
        </is>
      </c>
      <c r="B86" s="210" t="n"/>
      <c r="C86" s="210" t="n"/>
      <c r="D86" s="209" t="n"/>
      <c r="E86" s="15" t="n">
        <v>4</v>
      </c>
      <c r="F86" s="15" t="n">
        <v>1</v>
      </c>
      <c r="G86" s="15" t="inlineStr"/>
      <c r="H86" s="15" t="inlineStr"/>
      <c r="I86" s="15" t="inlineStr"/>
      <c r="J86" s="15" t="inlineStr"/>
      <c r="K86" s="15" t="inlineStr"/>
      <c r="L86" s="15" t="inlineStr"/>
      <c r="M86" s="15" t="n">
        <v>5</v>
      </c>
      <c r="N86" s="15" t="n">
        <v>2</v>
      </c>
    </row>
    <row r="87" ht="15" customHeight="1">
      <c r="A87" s="13" t="inlineStr">
        <is>
          <t>Customer Success &amp; Support</t>
        </is>
      </c>
      <c r="B87" s="210" t="n"/>
      <c r="C87" s="210" t="n"/>
      <c r="D87" s="209" t="n"/>
      <c r="E87" s="15" t="n">
        <v>4</v>
      </c>
      <c r="F87" s="15" t="inlineStr"/>
      <c r="G87" s="15" t="inlineStr"/>
      <c r="H87" s="15" t="inlineStr"/>
      <c r="I87" s="15" t="inlineStr"/>
      <c r="J87" s="15" t="inlineStr"/>
      <c r="K87" s="15" t="inlineStr"/>
      <c r="L87" s="15" t="inlineStr"/>
      <c r="M87" s="15" t="n">
        <v>4</v>
      </c>
      <c r="N87" s="15" t="n">
        <v>1</v>
      </c>
    </row>
    <row r="88" ht="15" customHeight="1">
      <c r="A88" s="13" t="inlineStr">
        <is>
          <t>Product Management</t>
        </is>
      </c>
      <c r="B88" s="210" t="n"/>
      <c r="C88" s="210" t="n"/>
      <c r="D88" s="209" t="n"/>
      <c r="E88" s="15" t="n">
        <v>1</v>
      </c>
      <c r="F88" s="15" t="n">
        <v>2</v>
      </c>
      <c r="G88" s="15" t="inlineStr"/>
      <c r="H88" s="15" t="inlineStr"/>
      <c r="I88" s="15" t="inlineStr"/>
      <c r="J88" s="15" t="inlineStr"/>
      <c r="K88" s="15" t="inlineStr"/>
      <c r="L88" s="15" t="inlineStr"/>
      <c r="M88" s="15" t="n">
        <v>3</v>
      </c>
      <c r="N88" s="15" t="n">
        <v>2</v>
      </c>
    </row>
    <row r="89" ht="15" customHeight="1">
      <c r="A89" s="13" t="inlineStr">
        <is>
          <t>Sales &amp; Business Development</t>
        </is>
      </c>
      <c r="B89" s="210" t="n"/>
      <c r="C89" s="210" t="n"/>
      <c r="D89" s="209" t="n"/>
      <c r="E89" s="15" t="n">
        <v>1</v>
      </c>
      <c r="F89" s="15" t="n">
        <v>2</v>
      </c>
      <c r="G89" s="15" t="inlineStr"/>
      <c r="H89" s="15" t="inlineStr"/>
      <c r="I89" s="15" t="inlineStr"/>
      <c r="J89" s="15" t="inlineStr"/>
      <c r="K89" s="15" t="inlineStr"/>
      <c r="L89" s="15" t="inlineStr"/>
      <c r="M89" s="15" t="n">
        <v>3</v>
      </c>
      <c r="N89" s="15" t="n">
        <v>2</v>
      </c>
    </row>
    <row r="90" ht="15" customHeight="1">
      <c r="A90" s="13" t="inlineStr">
        <is>
          <t>Marketing &amp; Communications</t>
        </is>
      </c>
      <c r="B90" s="210" t="n"/>
      <c r="C90" s="210" t="n"/>
      <c r="D90" s="209" t="n"/>
      <c r="E90" s="15" t="n">
        <v>1</v>
      </c>
      <c r="F90" s="15" t="inlineStr"/>
      <c r="G90" s="15" t="inlineStr"/>
      <c r="H90" s="15" t="inlineStr"/>
      <c r="I90" s="15" t="inlineStr"/>
      <c r="J90" s="15" t="inlineStr"/>
      <c r="K90" s="15" t="inlineStr"/>
      <c r="L90" s="15" t="inlineStr"/>
      <c r="M90" s="15" t="n">
        <v>1</v>
      </c>
      <c r="N90" s="15" t="n">
        <v>1</v>
      </c>
    </row>
    <row r="91" ht="15" customHeight="1">
      <c r="A91" s="13" t="inlineStr">
        <is>
          <t>Engineering &amp; Architecture</t>
        </is>
      </c>
      <c r="B91" s="210" t="n"/>
      <c r="C91" s="210" t="n"/>
      <c r="D91" s="209" t="n"/>
      <c r="E91" s="15" t="inlineStr"/>
      <c r="F91" s="15" t="inlineStr"/>
      <c r="G91" s="15" t="n">
        <v>1</v>
      </c>
      <c r="H91" s="15" t="inlineStr"/>
      <c r="I91" s="15" t="inlineStr"/>
      <c r="J91" s="15" t="inlineStr"/>
      <c r="K91" s="15" t="inlineStr"/>
      <c r="L91" s="15" t="inlineStr"/>
      <c r="M91" s="15" t="n">
        <v>1</v>
      </c>
      <c r="N91" s="15" t="n">
        <v>1</v>
      </c>
    </row>
    <row r="92" ht="15" customHeight="1">
      <c r="A92" s="13" t="inlineStr">
        <is>
          <t>Project &amp; Program Management</t>
        </is>
      </c>
      <c r="B92" s="210" t="n"/>
      <c r="C92" s="210" t="n"/>
      <c r="D92" s="209" t="n"/>
      <c r="E92" s="15" t="inlineStr"/>
      <c r="F92" s="15" t="n">
        <v>1</v>
      </c>
      <c r="G92" s="15" t="inlineStr"/>
      <c r="H92" s="15" t="inlineStr"/>
      <c r="I92" s="15" t="inlineStr"/>
      <c r="J92" s="15" t="inlineStr"/>
      <c r="K92" s="15" t="inlineStr"/>
      <c r="L92" s="15" t="inlineStr"/>
      <c r="M92" s="15" t="n">
        <v>1</v>
      </c>
      <c r="N92" s="15" t="n">
        <v>1</v>
      </c>
    </row>
    <row r="93" ht="15" customHeight="1">
      <c r="A93" s="13" t="inlineStr">
        <is>
          <t>Executive Leadership</t>
        </is>
      </c>
      <c r="B93" s="210" t="n"/>
      <c r="C93" s="210" t="n"/>
      <c r="D93" s="209" t="n"/>
      <c r="E93" s="15" t="inlineStr"/>
      <c r="F93" s="15" t="inlineStr"/>
      <c r="G93" s="15" t="inlineStr"/>
      <c r="H93" s="15" t="inlineStr"/>
      <c r="I93" s="15" t="inlineStr"/>
      <c r="J93" s="15" t="n">
        <v>1</v>
      </c>
      <c r="K93" s="15" t="inlineStr"/>
      <c r="L93" s="15" t="inlineStr"/>
      <c r="M93" s="15" t="n">
        <v>1</v>
      </c>
      <c r="N93" s="15" t="n">
        <v>1</v>
      </c>
    </row>
    <row r="94" ht="15" customHeight="1"/>
    <row r="95" ht="20" customHeight="1">
      <c r="A95" s="6" t="inlineStr">
        <is>
          <t>6. Player-Coach transition steps · new — between Bands B and C, and C and D</t>
        </is>
      </c>
    </row>
    <row r="96" ht="15" customHeight="1">
      <c r="A96" s="11" t="inlineStr">
        <is>
          <t>A Player-Coach leads people AND still delivers hands-on expert work. Placed on evidence only; candidates go to the manager and the calibration panel.</t>
        </is>
      </c>
    </row>
    <row r="97" ht="15" customHeight="1">
      <c r="A97" s="12" t="inlineStr">
        <is>
          <t>Person</t>
        </is>
      </c>
      <c r="B97" s="209" t="n"/>
      <c r="C97" s="12" t="inlineStr">
        <is>
          <t>Department</t>
        </is>
      </c>
      <c r="D97" s="209" t="n"/>
      <c r="E97" s="12" t="inlineStr">
        <is>
          <t>Before</t>
        </is>
      </c>
      <c r="F97" s="12" t="inlineStr">
        <is>
          <t>Now</t>
        </is>
      </c>
      <c r="G97" s="12" t="inlineStr">
        <is>
          <t>Designation</t>
        </is>
      </c>
      <c r="H97" s="210" t="n"/>
      <c r="I97" s="209" t="n"/>
      <c r="J97" s="12" t="inlineStr">
        <is>
          <t>Why</t>
        </is>
      </c>
      <c r="K97" s="210" t="n"/>
      <c r="L97" s="210" t="n"/>
      <c r="M97" s="210" t="n"/>
      <c r="N97" s="209" t="n"/>
    </row>
    <row r="98" ht="93" customHeight="1">
      <c r="A98" s="13" t="inlineStr">
        <is>
          <t>Jitendra Kumar</t>
        </is>
      </c>
      <c r="B98" s="209" t="n"/>
      <c r="C98" s="16" t="inlineStr">
        <is>
          <t>Technology</t>
        </is>
      </c>
      <c r="D98" s="209" t="n"/>
      <c r="E98" s="15" t="inlineStr">
        <is>
          <t>B3</t>
        </is>
      </c>
      <c r="F98" s="15" t="inlineStr">
        <is>
          <t>B+</t>
        </is>
      </c>
      <c r="G98" s="16" t="inlineStr">
        <is>
          <t>Practice Lead – Solution &amp; Technical Architecture · Player-Coach</t>
        </is>
      </c>
      <c r="H98" s="210" t="n"/>
      <c r="I98" s="209" t="n"/>
      <c r="J98" s="16" t="inlineStr">
        <is>
          <r>
            <rPr>
              <rFont val="Calibri"/>
              <b val="1"/>
              <sz val="10"/>
            </rPr>
            <t>Placed with tolerance:</t>
          </r>
          <r>
            <rPr>
              <rFont val="Calibri"/>
              <sz val="10"/>
            </rPr>
            <t xml:space="preserve"> span 9 vs norm 3–6 · outside the ±2 tolerance. A small shortfall or a wider span is accepted and confirmed in calibration; Moved up to the B+ Player-Coach transition step: leads people and still does hands-on work; Player-Coach score 6.25 · needs 6.25 and complexity–accountability average 6.00 · needs 5.5.</t>
          </r>
        </is>
      </c>
      <c r="K98" s="210" t="n"/>
      <c r="L98" s="210" t="n"/>
      <c r="M98" s="210" t="n"/>
      <c r="N98" s="209" t="n"/>
    </row>
    <row r="99" ht="15" customHeight="1"/>
    <row r="100" ht="20" customHeight="1">
      <c r="A100" s="6" t="inlineStr">
        <is>
          <t>7. Critical inputs needed — who must supply what · red cells across the workbook</t>
        </is>
      </c>
    </row>
    <row r="101" ht="15" customHeight="1">
      <c r="A101" s="12" t="inlineStr">
        <is>
          <t>Input needed</t>
        </is>
      </c>
      <c r="B101" s="210" t="n"/>
      <c r="C101" s="210" t="n"/>
      <c r="D101" s="210" t="n"/>
      <c r="E101" s="210" t="n"/>
      <c r="F101" s="210" t="n"/>
      <c r="G101" s="209" t="n"/>
      <c r="H101" s="12" t="inlineStr">
        <is>
          <t>Who provides it</t>
        </is>
      </c>
      <c r="I101" s="210" t="n"/>
      <c r="J101" s="210" t="n"/>
      <c r="K101" s="209" t="n"/>
      <c r="L101" s="12" t="inlineStr">
        <is>
          <t>People</t>
        </is>
      </c>
      <c r="M101" s="210" t="n"/>
      <c r="N101" s="209" t="n"/>
    </row>
    <row r="102" ht="15" customHeight="1">
      <c r="A102" s="48" t="inlineStr">
        <is>
          <t>Confirm the reporting line</t>
        </is>
      </c>
      <c r="B102" s="210" t="n"/>
      <c r="C102" s="210" t="n"/>
      <c r="D102" s="210" t="n"/>
      <c r="E102" s="210" t="n"/>
      <c r="F102" s="210" t="n"/>
      <c r="G102" s="209" t="n"/>
      <c r="H102" s="16" t="inlineStr">
        <is>
          <t>Manager</t>
        </is>
      </c>
      <c r="I102" s="210" t="n"/>
      <c r="J102" s="210" t="n"/>
      <c r="K102" s="209" t="n"/>
      <c r="L102" s="15" t="n">
        <v>1</v>
      </c>
      <c r="M102" s="210" t="n"/>
      <c r="N102" s="209" t="n"/>
    </row>
    <row r="103" ht="15" customHeight="1">
      <c r="A103" s="48" t="inlineStr">
        <is>
          <t>Total experience · outside + at IRIS</t>
        </is>
      </c>
      <c r="B103" s="210" t="n"/>
      <c r="C103" s="210" t="n"/>
      <c r="D103" s="210" t="n"/>
      <c r="E103" s="210" t="n"/>
      <c r="F103" s="210" t="n"/>
      <c r="G103" s="209" t="n"/>
      <c r="H103" s="16" t="inlineStr">
        <is>
          <t>HR — HRIS</t>
        </is>
      </c>
      <c r="I103" s="210" t="n"/>
      <c r="J103" s="210" t="n"/>
      <c r="K103" s="209" t="n"/>
      <c r="L103" s="15" t="n">
        <v>1</v>
      </c>
      <c r="M103" s="210" t="n"/>
      <c r="N103" s="209" t="n"/>
    </row>
    <row r="104" ht="15" customHeight="1">
      <c r="A104" s="48" t="inlineStr">
        <is>
          <t>Confirm prior experience · provisional placement</t>
        </is>
      </c>
      <c r="B104" s="210" t="n"/>
      <c r="C104" s="210" t="n"/>
      <c r="D104" s="210" t="n"/>
      <c r="E104" s="210" t="n"/>
      <c r="F104" s="210" t="n"/>
      <c r="G104" s="209" t="n"/>
      <c r="H104" s="16" t="inlineStr">
        <is>
          <t>HR</t>
        </is>
      </c>
      <c r="I104" s="210" t="n"/>
      <c r="J104" s="210" t="n"/>
      <c r="K104" s="209" t="n"/>
      <c r="L104" s="15" t="n">
        <v>1</v>
      </c>
      <c r="M104" s="210" t="n"/>
      <c r="N104" s="209" t="n"/>
    </row>
    <row r="105" ht="15" customHeight="1"/>
    <row r="106" ht="15" customHeight="1">
      <c r="A106" s="11" t="inlineStr">
        <is>
          <t>2 of 47 people need at least one critical input · one that could change or confirm the placement; pay is set later. The full list by person is on sheet 9, section J.</t>
        </is>
      </c>
    </row>
    <row r="107" ht="20" customHeight="1">
      <c r="A107" s="6" t="inlineStr">
        <is>
          <t>8. What the colours mean</t>
        </is>
      </c>
    </row>
    <row r="108" ht="15" customHeight="1">
      <c r="A108" s="49" t="inlineStr">
        <is>
          <t>Section colours: each column group has its own header colour and a matching light tint</t>
        </is>
      </c>
      <c r="B108" s="210" t="n"/>
      <c r="C108" s="210" t="n"/>
      <c r="D108" s="210" t="n"/>
      <c r="E108" s="210" t="n"/>
      <c r="F108" s="210" t="n"/>
      <c r="G108" s="210" t="n"/>
      <c r="H108" s="210" t="n"/>
      <c r="I108" s="210" t="n"/>
      <c r="J108" s="210" t="n"/>
      <c r="K108" s="210" t="n"/>
      <c r="L108" s="210" t="n"/>
      <c r="M108" s="210" t="n"/>
      <c r="N108" s="209" t="n"/>
    </row>
    <row r="109" ht="15" customHeight="1">
      <c r="A109" s="51" t="inlineStr">
        <is>
          <t>Changed vs current · designation or level</t>
        </is>
      </c>
      <c r="B109" s="210" t="n"/>
      <c r="C109" s="210" t="n"/>
      <c r="D109" s="210" t="n"/>
      <c r="E109" s="210" t="n"/>
      <c r="F109" s="210" t="n"/>
      <c r="G109" s="210" t="n"/>
      <c r="H109" s="210" t="n"/>
      <c r="I109" s="210" t="n"/>
      <c r="J109" s="210" t="n"/>
      <c r="K109" s="210" t="n"/>
      <c r="L109" s="210" t="n"/>
      <c r="M109" s="210" t="n"/>
      <c r="N109" s="209" t="n"/>
    </row>
    <row r="110" ht="15" customHeight="1">
      <c r="A110" s="52" t="inlineStr">
        <is>
          <t>Level up</t>
        </is>
      </c>
      <c r="B110" s="210" t="n"/>
      <c r="C110" s="210" t="n"/>
      <c r="D110" s="210" t="n"/>
      <c r="E110" s="210" t="n"/>
      <c r="F110" s="210" t="n"/>
      <c r="G110" s="210" t="n"/>
      <c r="H110" s="210" t="n"/>
      <c r="I110" s="210" t="n"/>
      <c r="J110" s="210" t="n"/>
      <c r="K110" s="210" t="n"/>
      <c r="L110" s="210" t="n"/>
      <c r="M110" s="210" t="n"/>
      <c r="N110" s="209" t="n"/>
    </row>
    <row r="111" ht="15" customHeight="1">
      <c r="A111" s="54" t="inlineStr">
        <is>
          <t>Level down — pay &amp; title protected</t>
        </is>
      </c>
      <c r="B111" s="210" t="n"/>
      <c r="C111" s="210" t="n"/>
      <c r="D111" s="210" t="n"/>
      <c r="E111" s="210" t="n"/>
      <c r="F111" s="210" t="n"/>
      <c r="G111" s="210" t="n"/>
      <c r="H111" s="210" t="n"/>
      <c r="I111" s="210" t="n"/>
      <c r="J111" s="210" t="n"/>
      <c r="K111" s="210" t="n"/>
      <c r="L111" s="210" t="n"/>
      <c r="M111" s="210" t="n"/>
      <c r="N111" s="209" t="n"/>
    </row>
    <row r="112" ht="15" customHeight="1">
      <c r="A112" s="56" t="inlineStr">
        <is>
          <t>Newly mapped</t>
        </is>
      </c>
      <c r="B112" s="210" t="n"/>
      <c r="C112" s="210" t="n"/>
      <c r="D112" s="210" t="n"/>
      <c r="E112" s="210" t="n"/>
      <c r="F112" s="210" t="n"/>
      <c r="G112" s="210" t="n"/>
      <c r="H112" s="210" t="n"/>
      <c r="I112" s="210" t="n"/>
      <c r="J112" s="210" t="n"/>
      <c r="K112" s="210" t="n"/>
      <c r="L112" s="210" t="n"/>
      <c r="M112" s="210" t="n"/>
      <c r="N112" s="209" t="n"/>
    </row>
    <row r="113" ht="15" customHeight="1">
      <c r="A113" s="57" t="inlineStr">
        <is>
          <t>Player-Coach · B+ · C+</t>
        </is>
      </c>
      <c r="B113" s="210" t="n"/>
      <c r="C113" s="210" t="n"/>
      <c r="D113" s="210" t="n"/>
      <c r="E113" s="210" t="n"/>
      <c r="F113" s="210" t="n"/>
      <c r="G113" s="210" t="n"/>
      <c r="H113" s="210" t="n"/>
      <c r="I113" s="210" t="n"/>
      <c r="J113" s="210" t="n"/>
      <c r="K113" s="210" t="n"/>
      <c r="L113" s="210" t="n"/>
      <c r="M113" s="210" t="n"/>
      <c r="N113" s="209" t="n"/>
    </row>
    <row r="114" ht="15" customHeight="1">
      <c r="A114" s="58" t="inlineStr">
        <is>
          <t>RED = critical input needed · could change or confirm the level</t>
        </is>
      </c>
      <c r="B114" s="210" t="n"/>
      <c r="C114" s="210" t="n"/>
      <c r="D114" s="210" t="n"/>
      <c r="E114" s="210" t="n"/>
      <c r="F114" s="210" t="n"/>
      <c r="G114" s="210" t="n"/>
      <c r="H114" s="210" t="n"/>
      <c r="I114" s="210" t="n"/>
      <c r="J114" s="210" t="n"/>
      <c r="K114" s="210" t="n"/>
      <c r="L114" s="210" t="n"/>
      <c r="M114" s="210" t="n"/>
      <c r="N114" s="209" t="n"/>
    </row>
    <row r="115" ht="15" customHeight="1">
      <c r="A115" s="60" t="inlineStr">
        <is>
          <t>YELLOW = to complete in validation</t>
        </is>
      </c>
      <c r="B115" s="210" t="n"/>
      <c r="C115" s="210" t="n"/>
      <c r="D115" s="210" t="n"/>
      <c r="E115" s="210" t="n"/>
      <c r="F115" s="210" t="n"/>
      <c r="G115" s="210" t="n"/>
      <c r="H115" s="210" t="n"/>
      <c r="I115" s="210" t="n"/>
      <c r="J115" s="210" t="n"/>
      <c r="K115" s="210" t="n"/>
      <c r="L115" s="210" t="n"/>
      <c r="M115" s="210" t="n"/>
      <c r="N115" s="209" t="n"/>
    </row>
    <row r="116" ht="15" customHeight="1"/>
    <row r="117" ht="20" customHeight="1">
      <c r="A117" s="6" t="inlineStr">
        <is>
          <t>9. What is in this workbook</t>
        </is>
      </c>
    </row>
    <row r="118" ht="28" customHeight="1">
      <c r="A118" s="11" t="inlineStr">
        <is>
          <t xml:space="preserve">Every sheet in this workbook, with what it holds and a link to it, is listed on the Contents sheet · the first tab. Read sheet 2 for any one person; sheets 3–11 give the detail behind it; the insight sheets and, in the HR Super Master, the calibration tracker follow. </t>
        </is>
      </c>
    </row>
    <row r="119" ht="20" customHeight="1">
      <c r="A119" s="6" t="inlineStr">
        <is>
          <t>10. Data used</t>
        </is>
      </c>
    </row>
    <row r="120" ht="15" customHeight="1">
      <c r="A120" s="12" t="inlineStr">
        <is>
          <t>Source</t>
        </is>
      </c>
      <c r="B120" s="210" t="n"/>
      <c r="C120" s="210" t="n"/>
      <c r="D120" s="209" t="n"/>
      <c r="E120" s="12" t="inlineStr">
        <is>
          <t>People covered</t>
        </is>
      </c>
      <c r="F120" s="210" t="n"/>
      <c r="G120" s="209" t="n"/>
      <c r="H120" s="12" t="inlineStr">
        <is>
          <t>Used for</t>
        </is>
      </c>
      <c r="I120" s="210" t="n"/>
      <c r="J120" s="210" t="n"/>
      <c r="K120" s="210" t="n"/>
      <c r="L120" s="210" t="n"/>
      <c r="M120" s="210" t="n"/>
      <c r="N120" s="209" t="n"/>
    </row>
    <row r="121" ht="15" customHeight="1">
      <c r="A121" s="13" t="inlineStr">
        <is>
          <t>Employee Master · HRIS</t>
        </is>
      </c>
      <c r="B121" s="210" t="n"/>
      <c r="C121" s="210" t="n"/>
      <c r="D121" s="209" t="n"/>
      <c r="E121" s="16" t="inlineStr">
        <is>
          <t>47 of 47</t>
        </is>
      </c>
      <c r="F121" s="210" t="n"/>
      <c r="G121" s="209" t="n"/>
      <c r="H121" s="16" t="inlineStr">
        <is>
          <t>Identity, department, manager, experience, qualification, reports</t>
        </is>
      </c>
      <c r="I121" s="210" t="n"/>
      <c r="J121" s="210" t="n"/>
      <c r="K121" s="210" t="n"/>
      <c r="L121" s="210" t="n"/>
      <c r="M121" s="210" t="n"/>
      <c r="N121" s="209" t="n"/>
    </row>
    <row r="122" ht="15" customHeight="1">
      <c r="A122" s="13" t="inlineStr">
        <is>
          <t>How We Grow survey · 20 questions</t>
        </is>
      </c>
      <c r="B122" s="210" t="n"/>
      <c r="C122" s="210" t="n"/>
      <c r="D122" s="209" t="n"/>
      <c r="E122" s="16" t="inlineStr">
        <is>
          <t>44 of 47</t>
        </is>
      </c>
      <c r="F122" s="210" t="n"/>
      <c r="G122" s="209" t="n"/>
      <c r="H122" s="16" t="inlineStr">
        <is>
          <t>Evidence for the six factors; role profiles; learning needs</t>
        </is>
      </c>
      <c r="I122" s="210" t="n"/>
      <c r="J122" s="210" t="n"/>
      <c r="K122" s="210" t="n"/>
      <c r="L122" s="210" t="n"/>
      <c r="M122" s="210" t="n"/>
      <c r="N122" s="209" t="n"/>
    </row>
    <row r="123" ht="15" customHeight="1">
      <c r="A123" s="13" t="inlineStr">
        <is>
          <t>KRAs · self / manager-set / submitted</t>
        </is>
      </c>
      <c r="B123" s="210" t="n"/>
      <c r="C123" s="210" t="n"/>
      <c r="D123" s="209" t="n"/>
      <c r="E123" s="16" t="inlineStr">
        <is>
          <t>42 of 47</t>
        </is>
      </c>
      <c r="F123" s="210" t="n"/>
      <c r="G123" s="209" t="n"/>
      <c r="H123" s="16" t="inlineStr">
        <is>
          <t>Evidence for Complexity and Accountability; performance measures</t>
        </is>
      </c>
      <c r="I123" s="210" t="n"/>
      <c r="J123" s="210" t="n"/>
      <c r="K123" s="210" t="n"/>
      <c r="L123" s="210" t="n"/>
      <c r="M123" s="210" t="n"/>
      <c r="N123" s="209" t="n"/>
    </row>
    <row r="124" ht="15" customHeight="1">
      <c r="A124" s="13" t="inlineStr">
        <is>
          <t>Manager talent mapping</t>
        </is>
      </c>
      <c r="B124" s="210" t="n"/>
      <c r="C124" s="210" t="n"/>
      <c r="D124" s="209" t="n"/>
      <c r="E124" s="16" t="inlineStr">
        <is>
          <t>47 of 47</t>
        </is>
      </c>
      <c r="F124" s="210" t="n"/>
      <c r="G124" s="209" t="n"/>
      <c r="H124" s="16" t="inlineStr">
        <is>
          <t>Rating, potential, 9-box, player-coach flag, training needs</t>
        </is>
      </c>
      <c r="I124" s="210" t="n"/>
      <c r="J124" s="210" t="n"/>
      <c r="K124" s="210" t="n"/>
      <c r="L124" s="210" t="n"/>
      <c r="M124" s="210" t="n"/>
      <c r="N124" s="209" t="n"/>
    </row>
    <row r="125" ht="28" customHeight="1">
      <c r="A125" s="13" t="inlineStr">
        <is>
          <t>Market standards</t>
        </is>
      </c>
      <c r="B125" s="210" t="n"/>
      <c r="C125" s="210" t="n"/>
      <c r="D125" s="209" t="n"/>
      <c r="E125" s="16" t="inlineStr">
        <is>
          <t>All levels and families</t>
        </is>
      </c>
      <c r="F125" s="210" t="n"/>
      <c r="G125" s="209" t="n"/>
      <c r="H125" s="16" t="inlineStr">
        <is>
          <t>Radford / Mercer codes, SFIA, peer and competitor ladders, professional standards</t>
        </is>
      </c>
      <c r="I125" s="210" t="n"/>
      <c r="J125" s="210" t="n"/>
      <c r="K125" s="210" t="n"/>
      <c r="L125" s="210" t="n"/>
      <c r="M125" s="210" t="n"/>
      <c r="N125" s="209" t="n"/>
    </row>
    <row r="126" ht="28" customHeight="1">
      <c r="A126" s="13" t="inlineStr">
        <is>
          <t>Validated inputs · build/inputs/overrides.csv</t>
        </is>
      </c>
      <c r="B126" s="210" t="n"/>
      <c r="C126" s="210" t="n"/>
      <c r="D126" s="209" t="n"/>
      <c r="E126" s="16" t="inlineStr">
        <is>
          <t>0 people · 0 changes</t>
        </is>
      </c>
      <c r="F126" s="210" t="n"/>
      <c r="G126" s="209" t="n"/>
      <c r="H126" s="16" t="inlineStr">
        <is>
          <t>Corrections confirmed in validation, applied before the engine runs; each is printed on the person's row</t>
        </is>
      </c>
      <c r="I126" s="210" t="n"/>
      <c r="J126" s="210" t="n"/>
      <c r="K126" s="210" t="n"/>
      <c r="L126" s="210" t="n"/>
      <c r="M126" s="210" t="n"/>
      <c r="N126" s="209" t="n"/>
    </row>
    <row r="127" ht="28" customHeight="1">
      <c r="A127" s="13" t="inlineStr">
        <is>
          <t>Pay</t>
        </is>
      </c>
      <c r="B127" s="210" t="n"/>
      <c r="C127" s="210" t="n"/>
      <c r="D127" s="209" t="n"/>
      <c r="E127" s="16" t="inlineStr">
        <is>
          <t>—</t>
        </is>
      </c>
      <c r="F127" s="210" t="n"/>
      <c r="G127" s="209" t="n"/>
      <c r="H127" s="16" t="inlineStr">
        <is>
          <t>Not supplied — every pay column is left blank · grey until the pay survey is bought; not flagged as a missing input</t>
        </is>
      </c>
      <c r="I127" s="210" t="n"/>
      <c r="J127" s="210" t="n"/>
      <c r="K127" s="210" t="n"/>
      <c r="L127" s="210" t="n"/>
      <c r="M127" s="210" t="n"/>
      <c r="N127" s="209" t="n"/>
    </row>
    <row r="128" ht="15" customHeight="1"/>
    <row r="129" ht="20" customHeight="1">
      <c r="A129" s="6" t="inlineStr">
        <is>
          <t>11. How a role's level is worked out — in four steps</t>
        </is>
      </c>
    </row>
    <row r="130" ht="28" customHeight="1">
      <c r="A130" s="11" t="inlineStr">
        <is>
          <t>The score measures the size of the role, not how well the person performs, and it is not linked to pay. It uses the same scale as the ladder · A1 = 1, A2 = 2 … B1 = 4 … E2 = 12, so a score reads as a level.</t>
        </is>
      </c>
    </row>
    <row r="131" ht="15" customHeight="1">
      <c r="A131" s="12" t="inlineStr">
        <is>
          <t>Step</t>
        </is>
      </c>
      <c r="B131" s="12" t="inlineStr">
        <is>
          <t>What happens</t>
        </is>
      </c>
      <c r="C131" s="210" t="n"/>
      <c r="D131" s="210" t="n"/>
      <c r="E131" s="210" t="n"/>
      <c r="F131" s="210" t="n"/>
      <c r="G131" s="209" t="n"/>
      <c r="H131" s="12" t="inlineStr">
        <is>
          <t>In plain words</t>
        </is>
      </c>
      <c r="I131" s="210" t="n"/>
      <c r="J131" s="210" t="n"/>
      <c r="K131" s="210" t="n"/>
      <c r="L131" s="210" t="n"/>
      <c r="M131" s="210" t="n"/>
      <c r="N131" s="209" t="n"/>
    </row>
    <row r="132" ht="54" customHeight="1">
      <c r="A132" s="13" t="inlineStr">
        <is>
          <t>1 · Rate</t>
        </is>
      </c>
      <c r="B132" s="16"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132" s="210" t="n"/>
      <c r="D132" s="210" t="n"/>
      <c r="E132" s="210" t="n"/>
      <c r="F132" s="210" t="n"/>
      <c r="G132" s="209" t="n"/>
      <c r="H132" s="16" t="inlineStr">
        <is>
          <t>How hard the work is, how freely the person decides, what the role answers for, how much it leads others, the experience it needs and its impact on the business.</t>
        </is>
      </c>
      <c r="I132" s="210" t="n"/>
      <c r="J132" s="210" t="n"/>
      <c r="K132" s="210" t="n"/>
      <c r="L132" s="210" t="n"/>
      <c r="M132" s="210" t="n"/>
      <c r="N132" s="209" t="n"/>
    </row>
    <row r="133" ht="41" customHeight="1">
      <c r="A133" s="13" t="inlineStr">
        <is>
          <t>2 · Weigh</t>
        </is>
      </c>
      <c r="B133" s="16" t="inlineStr">
        <is>
          <t>Each factor has a weight; the six weights add to 100%. They depend on the band and track and the department's type of work, and leaders can edit them on the Weightage Matrix.</t>
        </is>
      </c>
      <c r="C133" s="210" t="n"/>
      <c r="D133" s="210" t="n"/>
      <c r="E133" s="210" t="n"/>
      <c r="F133" s="210" t="n"/>
      <c r="G133" s="209" t="n"/>
      <c r="H133" s="16" t="inlineStr">
        <is>
          <t>Junior roles count the work itself most · Leadership counts 0% in Band A. Senior roles count accountability, leadership and business impact most. Experience counts little.</t>
        </is>
      </c>
      <c r="I133" s="210" t="n"/>
      <c r="J133" s="210" t="n"/>
      <c r="K133" s="210" t="n"/>
      <c r="L133" s="210" t="n"/>
      <c r="M133" s="210" t="n"/>
      <c r="N133" s="209" t="n"/>
    </row>
    <row r="134" ht="41" customHeight="1">
      <c r="A134" s="13" t="inlineStr">
        <is>
          <t>3 · Score</t>
        </is>
      </c>
      <c r="B134" s="16" t="inlineStr">
        <is>
          <t>Score = the six ratings × their weights, added up. Rounded to the nearest whole number ·.5 rounds up, it gives the indicated level.</t>
        </is>
      </c>
      <c r="C134" s="210" t="n"/>
      <c r="D134" s="210" t="n"/>
      <c r="E134" s="210" t="n"/>
      <c r="F134" s="210" t="n"/>
      <c r="G134" s="209" t="n"/>
      <c r="H134" s="16" t="inlineStr">
        <is>
          <t>A weighted average rating — so 4.73 means 'between B1 and B2, nearer B2', which rounds to B2.</t>
        </is>
      </c>
      <c r="I134" s="210" t="n"/>
      <c r="J134" s="210" t="n"/>
      <c r="K134" s="210" t="n"/>
      <c r="L134" s="210" t="n"/>
      <c r="M134" s="210" t="n"/>
      <c r="N134" s="209" t="n"/>
    </row>
    <row r="135" ht="67" customHeight="1">
      <c r="A135" s="13" t="inlineStr">
        <is>
          <t>4 · Check</t>
        </is>
      </c>
      <c r="B135" s="16"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135" s="210" t="n"/>
      <c r="D135" s="210" t="n"/>
      <c r="E135" s="210" t="n"/>
      <c r="F135" s="210" t="n"/>
      <c r="G135" s="209" t="n"/>
      <c r="H135" s="16" t="inlineStr">
        <is>
          <t>The score proposes; the rules make sure the role really carries that level. Any change is named, with its numbers, on sheet 2 of this workbook.</t>
        </is>
      </c>
      <c r="I135" s="210" t="n"/>
      <c r="J135" s="210" t="n"/>
      <c r="K135" s="210" t="n"/>
      <c r="L135" s="210" t="n"/>
      <c r="M135" s="210" t="n"/>
      <c r="N135" s="209" t="n"/>
    </row>
    <row r="136" ht="15" customHeight="1"/>
    <row r="137" ht="15" customHeight="1">
      <c r="A137" s="17" t="inlineStr">
        <is>
          <t>Worked example · invented numbers — a Band B individual contributor doing technology work:</t>
        </is>
      </c>
    </row>
    <row r="138" ht="15" customHeight="1">
      <c r="A138" s="12" t="inlineStr">
        <is>
          <t>Factor</t>
        </is>
      </c>
      <c r="B138" s="12" t="inlineStr">
        <is>
          <t>Complexity</t>
        </is>
      </c>
      <c r="C138" s="209" t="n"/>
      <c r="D138" s="12" t="inlineStr">
        <is>
          <t>Autonomy</t>
        </is>
      </c>
      <c r="E138" s="209" t="n"/>
      <c r="F138" s="12" t="inlineStr">
        <is>
          <t>Accountability</t>
        </is>
      </c>
      <c r="G138" s="209" t="n"/>
      <c r="H138" s="12" t="inlineStr">
        <is>
          <t>Leadership</t>
        </is>
      </c>
      <c r="I138" s="209" t="n"/>
      <c r="J138" s="12" t="inlineStr">
        <is>
          <t>Experience</t>
        </is>
      </c>
      <c r="K138" s="209" t="n"/>
      <c r="L138" s="12" t="inlineStr">
        <is>
          <t>Bus. Impact</t>
        </is>
      </c>
      <c r="M138" s="209" t="n"/>
      <c r="N138" s="12" t="inlineStr">
        <is>
          <t>Score</t>
        </is>
      </c>
    </row>
    <row r="139" ht="15" customHeight="1">
      <c r="A139" s="13" t="inlineStr">
        <is>
          <t>Rating</t>
        </is>
      </c>
      <c r="B139" s="15" t="inlineStr">
        <is>
          <t>5</t>
        </is>
      </c>
      <c r="C139" s="209" t="n"/>
      <c r="D139" s="15" t="inlineStr">
        <is>
          <t>4</t>
        </is>
      </c>
      <c r="E139" s="209" t="n"/>
      <c r="F139" s="15" t="inlineStr">
        <is>
          <t>5</t>
        </is>
      </c>
      <c r="G139" s="209" t="n"/>
      <c r="H139" s="15" t="inlineStr">
        <is>
          <t>3</t>
        </is>
      </c>
      <c r="I139" s="209" t="n"/>
      <c r="J139" s="15" t="inlineStr">
        <is>
          <t>5</t>
        </is>
      </c>
      <c r="K139" s="209" t="n"/>
      <c r="L139" s="15" t="inlineStr">
        <is>
          <t>5</t>
        </is>
      </c>
      <c r="M139" s="209" t="n"/>
      <c r="N139" s="15" t="inlineStr"/>
    </row>
    <row r="140" ht="15" customHeight="1">
      <c r="A140" s="13" t="inlineStr">
        <is>
          <t>Weight</t>
        </is>
      </c>
      <c r="B140" s="15" t="inlineStr">
        <is>
          <t>56%</t>
        </is>
      </c>
      <c r="C140" s="209" t="n"/>
      <c r="D140" s="15" t="inlineStr">
        <is>
          <t>17%</t>
        </is>
      </c>
      <c r="E140" s="209" t="n"/>
      <c r="F140" s="15" t="inlineStr">
        <is>
          <t>5%</t>
        </is>
      </c>
      <c r="G140" s="209" t="n"/>
      <c r="H140" s="15" t="inlineStr">
        <is>
          <t>5%</t>
        </is>
      </c>
      <c r="I140" s="209" t="n"/>
      <c r="J140" s="15" t="inlineStr">
        <is>
          <t>10%</t>
        </is>
      </c>
      <c r="K140" s="209" t="n"/>
      <c r="L140" s="15" t="inlineStr">
        <is>
          <t>7%</t>
        </is>
      </c>
      <c r="M140" s="209" t="n"/>
      <c r="N140" s="15" t="inlineStr">
        <is>
          <t>100%</t>
        </is>
      </c>
    </row>
    <row r="141" ht="15" customHeight="1">
      <c r="A141" s="13" t="inlineStr">
        <is>
          <t>Rating × weight</t>
        </is>
      </c>
      <c r="B141" s="15" t="inlineStr">
        <is>
          <t>2.80</t>
        </is>
      </c>
      <c r="C141" s="209" t="n"/>
      <c r="D141" s="15" t="inlineStr">
        <is>
          <t>0.68</t>
        </is>
      </c>
      <c r="E141" s="209" t="n"/>
      <c r="F141" s="15" t="inlineStr">
        <is>
          <t>0.25</t>
        </is>
      </c>
      <c r="G141" s="209" t="n"/>
      <c r="H141" s="15" t="inlineStr">
        <is>
          <t>0.15</t>
        </is>
      </c>
      <c r="I141" s="209" t="n"/>
      <c r="J141" s="15" t="inlineStr">
        <is>
          <t>0.50</t>
        </is>
      </c>
      <c r="K141" s="209" t="n"/>
      <c r="L141" s="15" t="inlineStr">
        <is>
          <t>0.35</t>
        </is>
      </c>
      <c r="M141" s="209" t="n"/>
      <c r="N141" s="15" t="inlineStr">
        <is>
          <t>4.73 → B2</t>
        </is>
      </c>
    </row>
    <row r="142" ht="15" customHeight="1"/>
    <row r="143" ht="15" customHeight="1">
      <c r="A143" s="17" t="inlineStr">
        <is>
          <t>What the numbers mean — iDEAL</t>
        </is>
      </c>
    </row>
    <row r="144" ht="15" customHeight="1">
      <c r="A144" s="12" t="inlineStr">
        <is>
          <t>Term</t>
        </is>
      </c>
      <c r="B144" s="12" t="inlineStr">
        <is>
          <t>Meaning</t>
        </is>
      </c>
      <c r="C144" s="210" t="n"/>
      <c r="D144" s="210" t="n"/>
      <c r="E144" s="210" t="n"/>
      <c r="F144" s="210" t="n"/>
      <c r="G144" s="210" t="n"/>
      <c r="H144" s="210" t="n"/>
      <c r="I144" s="210" t="n"/>
      <c r="J144" s="210" t="n"/>
      <c r="K144" s="210" t="n"/>
      <c r="L144" s="209" t="n"/>
      <c r="M144" s="12" t="inlineStr">
        <is>
          <t>People</t>
        </is>
      </c>
      <c r="N144" s="209" t="n"/>
    </row>
    <row r="145" ht="15" customHeight="1">
      <c r="A145" s="13" t="inlineStr">
        <is>
          <t>Score</t>
        </is>
      </c>
      <c r="B145" s="16" t="inlineStr">
        <is>
          <t>The size of the role in level units. Not performance, not pay.</t>
        </is>
      </c>
      <c r="C145" s="210" t="n"/>
      <c r="D145" s="210" t="n"/>
      <c r="E145" s="210" t="n"/>
      <c r="F145" s="210" t="n"/>
      <c r="G145" s="210" t="n"/>
      <c r="H145" s="210" t="n"/>
      <c r="I145" s="210" t="n"/>
      <c r="J145" s="210" t="n"/>
      <c r="K145" s="210" t="n"/>
      <c r="L145" s="209" t="n"/>
      <c r="M145" s="15" t="n">
        <v>44</v>
      </c>
      <c r="N145" s="209" t="n"/>
    </row>
    <row r="146" ht="15" customHeight="1">
      <c r="A146" s="13" t="inlineStr">
        <is>
          <t>Indicated level</t>
        </is>
      </c>
      <c r="B146" s="16" t="inlineStr">
        <is>
          <t>The score rounded to the nearest level.</t>
        </is>
      </c>
      <c r="C146" s="210" t="n"/>
      <c r="D146" s="210" t="n"/>
      <c r="E146" s="210" t="n"/>
      <c r="F146" s="210" t="n"/>
      <c r="G146" s="210" t="n"/>
      <c r="H146" s="210" t="n"/>
      <c r="I146" s="210" t="n"/>
      <c r="J146" s="210" t="n"/>
      <c r="K146" s="210" t="n"/>
      <c r="L146" s="209" t="n"/>
      <c r="M146" s="15" t="n">
        <v>44</v>
      </c>
      <c r="N146" s="209" t="n"/>
    </row>
    <row r="147" ht="15" customHeight="1">
      <c r="A147" s="13" t="inlineStr">
        <is>
          <t>Final level</t>
        </is>
      </c>
      <c r="B147" s="16" t="inlineStr">
        <is>
          <t>The level after the rules. Where it differs from the indicated level, a rule moved it and the reason is recorded.</t>
        </is>
      </c>
      <c r="C147" s="210" t="n"/>
      <c r="D147" s="210" t="n"/>
      <c r="E147" s="210" t="n"/>
      <c r="F147" s="210" t="n"/>
      <c r="G147" s="210" t="n"/>
      <c r="H147" s="210" t="n"/>
      <c r="I147" s="210" t="n"/>
      <c r="J147" s="210" t="n"/>
      <c r="K147" s="210" t="n"/>
      <c r="L147" s="209" t="n"/>
      <c r="M147" s="15" t="inlineStr">
        <is>
          <t>8 differ</t>
        </is>
      </c>
      <c r="N147" s="209" t="n"/>
    </row>
    <row r="148" ht="15" customHeight="1">
      <c r="A148" s="13" t="inlineStr">
        <is>
          <t>Close call</t>
        </is>
      </c>
      <c r="B148" s="16" t="inlineStr">
        <is>
          <t>The score decided the level and sits within ±0.05 of a rounding point. Sent to the calibration panel.</t>
        </is>
      </c>
      <c r="C148" s="210" t="n"/>
      <c r="D148" s="210" t="n"/>
      <c r="E148" s="210" t="n"/>
      <c r="F148" s="210" t="n"/>
      <c r="G148" s="210" t="n"/>
      <c r="H148" s="210" t="n"/>
      <c r="I148" s="210" t="n"/>
      <c r="J148" s="210" t="n"/>
      <c r="K148" s="210" t="n"/>
      <c r="L148" s="209" t="n"/>
      <c r="M148" s="15" t="n">
        <v>0</v>
      </c>
      <c r="N148" s="209" t="n"/>
    </row>
    <row r="149" ht="28" customHeight="1">
      <c r="A149" s="13" t="inlineStr">
        <is>
          <t>Near a gate</t>
        </is>
      </c>
      <c r="B149" s="16" t="inlineStr">
        <is>
          <t>A rule set the level, and the number behind that rule is within a quarter-point of flipping it. Sent to the calibration panel.</t>
        </is>
      </c>
      <c r="C149" s="210" t="n"/>
      <c r="D149" s="210" t="n"/>
      <c r="E149" s="210" t="n"/>
      <c r="F149" s="210" t="n"/>
      <c r="G149" s="210" t="n"/>
      <c r="H149" s="210" t="n"/>
      <c r="I149" s="210" t="n"/>
      <c r="J149" s="210" t="n"/>
      <c r="K149" s="210" t="n"/>
      <c r="L149" s="209" t="n"/>
      <c r="M149" s="15" t="n">
        <v>2</v>
      </c>
      <c r="N149" s="209" t="n"/>
    </row>
    <row r="150" ht="15" customHeight="1">
      <c r="A150" s="13" t="inlineStr">
        <is>
          <t>Not scored</t>
        </is>
      </c>
      <c r="B150" s="16" t="inlineStr">
        <is>
          <t>Interns and first-year trainees, consultants and anyone with incomplete ratings are placed by rule.</t>
        </is>
      </c>
      <c r="C150" s="210" t="n"/>
      <c r="D150" s="210" t="n"/>
      <c r="E150" s="210" t="n"/>
      <c r="F150" s="210" t="n"/>
      <c r="G150" s="210" t="n"/>
      <c r="H150" s="210" t="n"/>
      <c r="I150" s="210" t="n"/>
      <c r="J150" s="210" t="n"/>
      <c r="K150" s="210" t="n"/>
      <c r="L150" s="209" t="n"/>
      <c r="M150" s="15" t="n">
        <v>3</v>
      </c>
      <c r="N150" s="209" t="n"/>
    </row>
    <row r="151"/>
    <row r="152" ht="20" customHeight="1">
      <c r="A152" s="6" t="inlineStr">
        <is>
          <t>Charts — the shape of this population</t>
        </is>
      </c>
    </row>
    <row r="153">
      <c r="A153" s="11" t="inlineStr">
        <is>
          <t>People at each level, and how levels moved from the current structure. Built from the tables beside them.</t>
        </is>
      </c>
    </row>
    <row r="154">
      <c r="A154" s="12" t="inlineStr">
        <is>
          <t>Level</t>
        </is>
      </c>
      <c r="B154" s="12" t="inlineStr">
        <is>
          <t>People</t>
        </is>
      </c>
    </row>
    <row r="155">
      <c r="A155" s="13" t="inlineStr">
        <is>
          <t>A1</t>
        </is>
      </c>
      <c r="B155" s="15" t="n">
        <v>3</v>
      </c>
    </row>
    <row r="156">
      <c r="A156" s="13" t="inlineStr">
        <is>
          <t>A2</t>
        </is>
      </c>
      <c r="B156" s="15" t="n">
        <v>4</v>
      </c>
    </row>
    <row r="157">
      <c r="A157" s="13" t="inlineStr">
        <is>
          <t>A3</t>
        </is>
      </c>
      <c r="B157" s="15" t="n">
        <v>25</v>
      </c>
    </row>
    <row r="158">
      <c r="A158" s="13" t="inlineStr">
        <is>
          <t>B1</t>
        </is>
      </c>
      <c r="B158" s="15" t="n">
        <v>9</v>
      </c>
    </row>
    <row r="159">
      <c r="A159" s="13" t="inlineStr">
        <is>
          <t>B2</t>
        </is>
      </c>
      <c r="B159" s="15" t="n">
        <v>3</v>
      </c>
    </row>
    <row r="160">
      <c r="A160" s="13" t="inlineStr">
        <is>
          <t>B3</t>
        </is>
      </c>
      <c r="B160" s="15" t="n">
        <v>1</v>
      </c>
    </row>
    <row r="161">
      <c r="A161" s="13" t="inlineStr">
        <is>
          <t>B+</t>
        </is>
      </c>
      <c r="B161" s="15" t="n">
        <v>1</v>
      </c>
    </row>
    <row r="162">
      <c r="A162" s="13" t="inlineStr">
        <is>
          <t>D1</t>
        </is>
      </c>
      <c r="B162" s="15" t="n">
        <v>1</v>
      </c>
    </row>
    <row r="163"/>
    <row r="164"/>
    <row r="165"/>
    <row r="166"/>
    <row r="167"/>
    <row r="168"/>
    <row r="169"/>
    <row r="170"/>
    <row r="171"/>
    <row r="172"/>
    <row r="173">
      <c r="A173" s="12" t="inlineStr">
        <is>
          <t>Current ↓ / New →</t>
        </is>
      </c>
      <c r="B173" s="12" t="inlineStr">
        <is>
          <t>A1</t>
        </is>
      </c>
      <c r="C173" s="12" t="inlineStr">
        <is>
          <t>A2</t>
        </is>
      </c>
      <c r="D173" s="12" t="inlineStr">
        <is>
          <t>A3</t>
        </is>
      </c>
      <c r="E173" s="12" t="inlineStr">
        <is>
          <t>B1</t>
        </is>
      </c>
      <c r="F173" s="12" t="inlineStr">
        <is>
          <t>B2</t>
        </is>
      </c>
      <c r="G173" s="12" t="inlineStr">
        <is>
          <t>B3</t>
        </is>
      </c>
      <c r="H173" s="12" t="inlineStr">
        <is>
          <t>B+</t>
        </is>
      </c>
      <c r="I173" s="12" t="inlineStr">
        <is>
          <t>D1</t>
        </is>
      </c>
      <c r="J173" s="12" t="inlineStr">
        <is>
          <t>Total</t>
        </is>
      </c>
    </row>
    <row r="174">
      <c r="A174" s="13" t="inlineStr">
        <is>
          <t>L1</t>
        </is>
      </c>
      <c r="B174" s="15" t="n">
        <v>3</v>
      </c>
      <c r="C174" s="15" t="n"/>
      <c r="D174" s="15" t="n"/>
      <c r="E174" s="15" t="n"/>
      <c r="F174" s="15" t="n"/>
      <c r="G174" s="15" t="n"/>
      <c r="H174" s="15" t="n"/>
      <c r="I174" s="15" t="n"/>
      <c r="J174" s="15" t="n">
        <v>3</v>
      </c>
    </row>
    <row r="175">
      <c r="A175" s="13" t="inlineStr">
        <is>
          <t>L2</t>
        </is>
      </c>
      <c r="B175" s="15" t="n"/>
      <c r="C175" s="15" t="n">
        <v>2</v>
      </c>
      <c r="D175" s="15" t="n">
        <v>2</v>
      </c>
      <c r="E175" s="15" t="n"/>
      <c r="F175" s="15" t="n"/>
      <c r="G175" s="15" t="n"/>
      <c r="H175" s="15" t="n"/>
      <c r="I175" s="15" t="n"/>
      <c r="J175" s="15" t="n">
        <v>4</v>
      </c>
    </row>
    <row r="176">
      <c r="A176" s="13" t="inlineStr">
        <is>
          <t>L3</t>
        </is>
      </c>
      <c r="B176" s="15" t="n"/>
      <c r="C176" s="15" t="n">
        <v>2</v>
      </c>
      <c r="D176" s="15" t="n">
        <v>18</v>
      </c>
      <c r="E176" s="15" t="n">
        <v>2</v>
      </c>
      <c r="F176" s="15" t="n"/>
      <c r="G176" s="15" t="n"/>
      <c r="H176" s="15" t="n">
        <v>1</v>
      </c>
      <c r="I176" s="15" t="n"/>
      <c r="J176" s="15" t="n">
        <v>23</v>
      </c>
    </row>
    <row r="177">
      <c r="A177" s="13" t="inlineStr">
        <is>
          <t>L4</t>
        </is>
      </c>
      <c r="B177" s="15" t="n"/>
      <c r="C177" s="15" t="n"/>
      <c r="D177" s="15" t="n">
        <v>3</v>
      </c>
      <c r="E177" s="15" t="n">
        <v>4</v>
      </c>
      <c r="F177" s="15" t="n"/>
      <c r="G177" s="15" t="n"/>
      <c r="H177" s="15" t="n"/>
      <c r="I177" s="15" t="n"/>
      <c r="J177" s="15" t="n">
        <v>7</v>
      </c>
    </row>
    <row r="178">
      <c r="A178" s="13" t="inlineStr">
        <is>
          <t>L5</t>
        </is>
      </c>
      <c r="B178" s="15" t="n"/>
      <c r="C178" s="15" t="n"/>
      <c r="D178" s="15" t="n"/>
      <c r="E178" s="15" t="n">
        <v>2</v>
      </c>
      <c r="F178" s="15" t="n">
        <v>3</v>
      </c>
      <c r="G178" s="15" t="n">
        <v>1</v>
      </c>
      <c r="H178" s="15" t="n"/>
      <c r="I178" s="15" t="n"/>
      <c r="J178" s="15" t="n">
        <v>6</v>
      </c>
    </row>
    <row r="179">
      <c r="A179" s="13" t="inlineStr">
        <is>
          <t>L7</t>
        </is>
      </c>
      <c r="B179" s="15" t="n"/>
      <c r="C179" s="15" t="n"/>
      <c r="D179" s="15" t="n"/>
      <c r="E179" s="15" t="n"/>
      <c r="F179" s="15" t="n"/>
      <c r="G179" s="15" t="n"/>
      <c r="H179" s="15" t="n"/>
      <c r="I179" s="15" t="n">
        <v>1</v>
      </c>
      <c r="J179" s="15" t="n">
        <v>1</v>
      </c>
    </row>
    <row r="180">
      <c r="A180" s="13" t="inlineStr">
        <is>
          <t>Not mapped</t>
        </is>
      </c>
      <c r="B180" s="15" t="n"/>
      <c r="C180" s="15" t="n"/>
      <c r="D180" s="15" t="n">
        <v>2</v>
      </c>
      <c r="E180" s="15" t="n">
        <v>1</v>
      </c>
      <c r="F180" s="15" t="n"/>
      <c r="G180" s="15" t="n"/>
      <c r="H180" s="15" t="n"/>
      <c r="I180" s="15" t="n"/>
      <c r="J180" s="15" t="n">
        <v>3</v>
      </c>
    </row>
    <row r="181">
      <c r="A181" s="208" t="inlineStr">
        <is>
          <t>Total</t>
        </is>
      </c>
      <c r="B181" s="211" t="n">
        <v>3</v>
      </c>
      <c r="C181" s="211" t="n">
        <v>4</v>
      </c>
      <c r="D181" s="211" t="n">
        <v>25</v>
      </c>
      <c r="E181" s="211" t="n">
        <v>9</v>
      </c>
      <c r="F181" s="211" t="n">
        <v>3</v>
      </c>
      <c r="G181" s="211" t="n">
        <v>1</v>
      </c>
      <c r="H181" s="211" t="n">
        <v>1</v>
      </c>
      <c r="I181" s="211" t="n">
        <v>1</v>
      </c>
      <c r="J181" s="211" t="n">
        <v>47</v>
      </c>
    </row>
  </sheetData>
  <mergeCells count="371">
    <mergeCell ref="A48:E48"/>
    <mergeCell ref="L42:N42"/>
    <mergeCell ref="F16:G16"/>
    <mergeCell ref="J141:K141"/>
    <mergeCell ref="B141:C141"/>
    <mergeCell ref="H101:K101"/>
    <mergeCell ref="A121:D121"/>
    <mergeCell ref="E8:F8"/>
    <mergeCell ref="A79:E79"/>
    <mergeCell ref="F33:J33"/>
    <mergeCell ref="A37:E37"/>
    <mergeCell ref="D70:E70"/>
    <mergeCell ref="A137:N137"/>
    <mergeCell ref="F70:G70"/>
    <mergeCell ref="A103:G103"/>
    <mergeCell ref="A124:D124"/>
    <mergeCell ref="F31:J31"/>
    <mergeCell ref="L32:N32"/>
    <mergeCell ref="F39:J39"/>
    <mergeCell ref="A43:E43"/>
    <mergeCell ref="L103:N103"/>
    <mergeCell ref="H62:I62"/>
    <mergeCell ref="J62:K62"/>
    <mergeCell ref="M150:N150"/>
    <mergeCell ref="L47:N47"/>
    <mergeCell ref="J97:N97"/>
    <mergeCell ref="J64:K64"/>
    <mergeCell ref="A126:D126"/>
    <mergeCell ref="C97:D97"/>
    <mergeCell ref="A119:N119"/>
    <mergeCell ref="B149:L149"/>
    <mergeCell ref="F21:J21"/>
    <mergeCell ref="L50:N50"/>
    <mergeCell ref="D66:E66"/>
    <mergeCell ref="F50:J50"/>
    <mergeCell ref="F17:G17"/>
    <mergeCell ref="F66:G66"/>
    <mergeCell ref="L52:N52"/>
    <mergeCell ref="H17:I17"/>
    <mergeCell ref="M7:N7"/>
    <mergeCell ref="H102:K102"/>
    <mergeCell ref="F61:G61"/>
    <mergeCell ref="A38:E38"/>
    <mergeCell ref="D15:E15"/>
    <mergeCell ref="B131:G131"/>
    <mergeCell ref="F49:J49"/>
    <mergeCell ref="H14:I14"/>
    <mergeCell ref="G9:H9"/>
    <mergeCell ref="A40:E40"/>
    <mergeCell ref="I9:J9"/>
    <mergeCell ref="L70:M70"/>
    <mergeCell ref="B144:L144"/>
    <mergeCell ref="A82:N82"/>
    <mergeCell ref="L55:N55"/>
    <mergeCell ref="D139:E139"/>
    <mergeCell ref="F55:J55"/>
    <mergeCell ref="F139:G139"/>
    <mergeCell ref="A92:D92"/>
    <mergeCell ref="L40:N40"/>
    <mergeCell ref="J98:N98"/>
    <mergeCell ref="J65:K65"/>
    <mergeCell ref="H125:N125"/>
    <mergeCell ref="E6:F6"/>
    <mergeCell ref="H127:N127"/>
    <mergeCell ref="F23:J23"/>
    <mergeCell ref="A87:D87"/>
    <mergeCell ref="A95:N95"/>
    <mergeCell ref="F58:J58"/>
    <mergeCell ref="F52:J52"/>
    <mergeCell ref="A89:D89"/>
    <mergeCell ref="F37:J37"/>
    <mergeCell ref="A28:E28"/>
    <mergeCell ref="D67:E67"/>
    <mergeCell ref="A72:N72"/>
    <mergeCell ref="L53:N53"/>
    <mergeCell ref="A70:C70"/>
    <mergeCell ref="A30:E30"/>
    <mergeCell ref="D69:E69"/>
    <mergeCell ref="F53:J53"/>
    <mergeCell ref="F69:G69"/>
    <mergeCell ref="J14:K14"/>
    <mergeCell ref="B150:L150"/>
    <mergeCell ref="J13:K13"/>
    <mergeCell ref="A54:E54"/>
    <mergeCell ref="H64:I64"/>
    <mergeCell ref="J15:K15"/>
    <mergeCell ref="A41:E41"/>
    <mergeCell ref="F42:J42"/>
    <mergeCell ref="B145:L145"/>
    <mergeCell ref="G6:H6"/>
    <mergeCell ref="A56:E56"/>
    <mergeCell ref="A27:E27"/>
    <mergeCell ref="L21:N21"/>
    <mergeCell ref="D16:E16"/>
    <mergeCell ref="H138:I138"/>
    <mergeCell ref="B147:L147"/>
    <mergeCell ref="H133:N133"/>
    <mergeCell ref="F140:G140"/>
    <mergeCell ref="H140:I140"/>
    <mergeCell ref="F67:G67"/>
    <mergeCell ref="L16:N16"/>
    <mergeCell ref="L139:M139"/>
    <mergeCell ref="A101:G101"/>
    <mergeCell ref="L43:N43"/>
    <mergeCell ref="A122:D122"/>
    <mergeCell ref="L66:M66"/>
    <mergeCell ref="J68:K68"/>
    <mergeCell ref="L68:M68"/>
    <mergeCell ref="A7:B7"/>
    <mergeCell ref="D141:E141"/>
    <mergeCell ref="H65:I65"/>
    <mergeCell ref="A85:D85"/>
    <mergeCell ref="A66:C66"/>
    <mergeCell ref="L24:N24"/>
    <mergeCell ref="L51:N51"/>
    <mergeCell ref="L26:N26"/>
    <mergeCell ref="A102:G102"/>
    <mergeCell ref="M144:N144"/>
    <mergeCell ref="F51:J51"/>
    <mergeCell ref="A75:E75"/>
    <mergeCell ref="E125:G125"/>
    <mergeCell ref="A12:N12"/>
    <mergeCell ref="I8:J8"/>
    <mergeCell ref="L69:M69"/>
    <mergeCell ref="A8:B8"/>
    <mergeCell ref="C8:D8"/>
    <mergeCell ref="A106:N106"/>
    <mergeCell ref="L37:N37"/>
    <mergeCell ref="A16:C16"/>
    <mergeCell ref="F29:J29"/>
    <mergeCell ref="A91:D91"/>
    <mergeCell ref="L14:N14"/>
    <mergeCell ref="D63:E63"/>
    <mergeCell ref="A130:N130"/>
    <mergeCell ref="A93:D93"/>
    <mergeCell ref="F24:J24"/>
    <mergeCell ref="A25:E25"/>
    <mergeCell ref="F32:J32"/>
    <mergeCell ref="F26:J26"/>
    <mergeCell ref="K8:L8"/>
    <mergeCell ref="A2:N2"/>
    <mergeCell ref="L27:N27"/>
    <mergeCell ref="M145:N145"/>
    <mergeCell ref="F27:J27"/>
    <mergeCell ref="B134:G134"/>
    <mergeCell ref="A20:E20"/>
    <mergeCell ref="E127:G127"/>
    <mergeCell ref="M147:N147"/>
    <mergeCell ref="A112:N112"/>
    <mergeCell ref="G97:I97"/>
    <mergeCell ref="F44:J44"/>
    <mergeCell ref="A114:N114"/>
    <mergeCell ref="A51:E51"/>
    <mergeCell ref="L45:N45"/>
    <mergeCell ref="A107:N107"/>
    <mergeCell ref="L20:N20"/>
    <mergeCell ref="L38:N38"/>
    <mergeCell ref="F20:J20"/>
    <mergeCell ref="L22:N22"/>
    <mergeCell ref="A17:C17"/>
    <mergeCell ref="C9:D9"/>
    <mergeCell ref="E9:F9"/>
    <mergeCell ref="H70:I70"/>
    <mergeCell ref="J70:K70"/>
    <mergeCell ref="A68:C68"/>
    <mergeCell ref="M6:N6"/>
    <mergeCell ref="A33:E33"/>
    <mergeCell ref="J63:K63"/>
    <mergeCell ref="L63:M63"/>
    <mergeCell ref="B139:C139"/>
    <mergeCell ref="D68:E68"/>
    <mergeCell ref="J138:K138"/>
    <mergeCell ref="A39:E39"/>
    <mergeCell ref="L33:N33"/>
    <mergeCell ref="C6:D6"/>
    <mergeCell ref="A98:B98"/>
    <mergeCell ref="C98:D98"/>
    <mergeCell ref="H120:N120"/>
    <mergeCell ref="M148:N148"/>
    <mergeCell ref="A153:N153"/>
    <mergeCell ref="D61:E61"/>
    <mergeCell ref="F45:J45"/>
    <mergeCell ref="H103:K103"/>
    <mergeCell ref="A21:E21"/>
    <mergeCell ref="L46:N46"/>
    <mergeCell ref="A57:E57"/>
    <mergeCell ref="A63:C63"/>
    <mergeCell ref="F47:J47"/>
    <mergeCell ref="A23:E23"/>
    <mergeCell ref="D62:E62"/>
    <mergeCell ref="F46:J46"/>
    <mergeCell ref="F13:G13"/>
    <mergeCell ref="A129:N129"/>
    <mergeCell ref="L48:N48"/>
    <mergeCell ref="H13:I13"/>
    <mergeCell ref="D64:E64"/>
    <mergeCell ref="F48:J48"/>
    <mergeCell ref="A52:E52"/>
    <mergeCell ref="H15:I15"/>
    <mergeCell ref="A69:C69"/>
    <mergeCell ref="A34:E34"/>
    <mergeCell ref="B138:C138"/>
    <mergeCell ref="D138:E138"/>
    <mergeCell ref="A143:N143"/>
    <mergeCell ref="A49:E49"/>
    <mergeCell ref="J140:K140"/>
    <mergeCell ref="B140:C140"/>
    <mergeCell ref="L140:M140"/>
    <mergeCell ref="A36:N36"/>
    <mergeCell ref="D140:E140"/>
    <mergeCell ref="A1:N1"/>
    <mergeCell ref="L41:N41"/>
    <mergeCell ref="A78:E78"/>
    <mergeCell ref="G7:H7"/>
    <mergeCell ref="I7:J7"/>
    <mergeCell ref="L34:N34"/>
    <mergeCell ref="F41:J41"/>
    <mergeCell ref="L141:M141"/>
    <mergeCell ref="A80:E80"/>
    <mergeCell ref="A55:E55"/>
    <mergeCell ref="A13:C13"/>
    <mergeCell ref="L49:N49"/>
    <mergeCell ref="F62:G62"/>
    <mergeCell ref="A88:D88"/>
    <mergeCell ref="H121:N121"/>
    <mergeCell ref="A67:C67"/>
    <mergeCell ref="A15:C15"/>
    <mergeCell ref="A90:D90"/>
    <mergeCell ref="A29:E29"/>
    <mergeCell ref="H123:N123"/>
    <mergeCell ref="A31:E31"/>
    <mergeCell ref="J61:K61"/>
    <mergeCell ref="A58:E58"/>
    <mergeCell ref="L61:M61"/>
    <mergeCell ref="F64:G64"/>
    <mergeCell ref="A24:E24"/>
    <mergeCell ref="A73:E73"/>
    <mergeCell ref="K9:L9"/>
    <mergeCell ref="A60:N60"/>
    <mergeCell ref="H104:K104"/>
    <mergeCell ref="D65:E65"/>
    <mergeCell ref="A83:D83"/>
    <mergeCell ref="A62:C62"/>
    <mergeCell ref="D17:E17"/>
    <mergeCell ref="H134:N134"/>
    <mergeCell ref="B148:L148"/>
    <mergeCell ref="A50:E50"/>
    <mergeCell ref="H16:I16"/>
    <mergeCell ref="J16:K16"/>
    <mergeCell ref="F38:J38"/>
    <mergeCell ref="A42:E42"/>
    <mergeCell ref="L138:M138"/>
    <mergeCell ref="F141:G141"/>
    <mergeCell ref="L17:N17"/>
    <mergeCell ref="L57:N57"/>
    <mergeCell ref="A61:C61"/>
    <mergeCell ref="D14:E14"/>
    <mergeCell ref="A152:N152"/>
    <mergeCell ref="F14:G14"/>
    <mergeCell ref="F57:J57"/>
    <mergeCell ref="H67:I67"/>
    <mergeCell ref="J67:K67"/>
    <mergeCell ref="H131:N131"/>
    <mergeCell ref="L67:M67"/>
    <mergeCell ref="F65:G65"/>
    <mergeCell ref="L39:N39"/>
    <mergeCell ref="G8:H8"/>
    <mergeCell ref="H124:N124"/>
    <mergeCell ref="J69:K69"/>
    <mergeCell ref="A6:B6"/>
    <mergeCell ref="H126:N126"/>
    <mergeCell ref="L62:M62"/>
    <mergeCell ref="A74:E74"/>
    <mergeCell ref="L64:M64"/>
    <mergeCell ref="A76:E76"/>
    <mergeCell ref="F28:J28"/>
    <mergeCell ref="A84:D84"/>
    <mergeCell ref="A97:B97"/>
    <mergeCell ref="A86:D86"/>
    <mergeCell ref="A65:C65"/>
    <mergeCell ref="J17:K17"/>
    <mergeCell ref="F68:G68"/>
    <mergeCell ref="F54:J54"/>
    <mergeCell ref="A45:E45"/>
    <mergeCell ref="L58:N58"/>
    <mergeCell ref="L25:N25"/>
    <mergeCell ref="F15:G15"/>
    <mergeCell ref="D13:E13"/>
    <mergeCell ref="A46:E46"/>
    <mergeCell ref="E124:G124"/>
    <mergeCell ref="E120:G120"/>
    <mergeCell ref="A26:E26"/>
    <mergeCell ref="E121:G121"/>
    <mergeCell ref="H132:N132"/>
    <mergeCell ref="H139:I139"/>
    <mergeCell ref="J139:K139"/>
    <mergeCell ref="A100:N100"/>
    <mergeCell ref="E126:G126"/>
    <mergeCell ref="L13:N13"/>
    <mergeCell ref="E123:G123"/>
    <mergeCell ref="L65:M65"/>
    <mergeCell ref="A10:N10"/>
    <mergeCell ref="A9:B9"/>
    <mergeCell ref="A115:N115"/>
    <mergeCell ref="A77:E77"/>
    <mergeCell ref="L15:N15"/>
    <mergeCell ref="I6:J6"/>
    <mergeCell ref="F63:G63"/>
    <mergeCell ref="H63:I63"/>
    <mergeCell ref="A125:D125"/>
    <mergeCell ref="H68:I68"/>
    <mergeCell ref="A127:D127"/>
    <mergeCell ref="A14:C14"/>
    <mergeCell ref="F138:G138"/>
    <mergeCell ref="H122:N122"/>
    <mergeCell ref="H69:I69"/>
    <mergeCell ref="A3:N3"/>
    <mergeCell ref="A113:N113"/>
    <mergeCell ref="A32:E32"/>
    <mergeCell ref="A5:N5"/>
    <mergeCell ref="F22:J22"/>
    <mergeCell ref="L101:N101"/>
    <mergeCell ref="G98:I98"/>
    <mergeCell ref="L28:N28"/>
    <mergeCell ref="A96:N96"/>
    <mergeCell ref="A104:G104"/>
    <mergeCell ref="K6:L6"/>
    <mergeCell ref="M146:N146"/>
    <mergeCell ref="L23:N23"/>
    <mergeCell ref="B132:G132"/>
    <mergeCell ref="F40:J40"/>
    <mergeCell ref="L104:N104"/>
    <mergeCell ref="A110:N110"/>
    <mergeCell ref="L54:N54"/>
    <mergeCell ref="H135:N135"/>
    <mergeCell ref="A108:N108"/>
    <mergeCell ref="L56:N56"/>
    <mergeCell ref="A118:N118"/>
    <mergeCell ref="A47:E47"/>
    <mergeCell ref="H66:I66"/>
    <mergeCell ref="A22:E22"/>
    <mergeCell ref="J66:K66"/>
    <mergeCell ref="E122:G122"/>
    <mergeCell ref="A64:C64"/>
    <mergeCell ref="K7:L7"/>
    <mergeCell ref="A120:D120"/>
    <mergeCell ref="C7:D7"/>
    <mergeCell ref="E7:F7"/>
    <mergeCell ref="H141:I141"/>
    <mergeCell ref="A44:E44"/>
    <mergeCell ref="F34:J34"/>
    <mergeCell ref="F25:J25"/>
    <mergeCell ref="L30:N30"/>
    <mergeCell ref="L102:N102"/>
    <mergeCell ref="L29:N29"/>
    <mergeCell ref="F30:J30"/>
    <mergeCell ref="L44:N44"/>
    <mergeCell ref="L31:N31"/>
    <mergeCell ref="H61:I61"/>
    <mergeCell ref="A123:D123"/>
    <mergeCell ref="M149:N149"/>
    <mergeCell ref="B133:G133"/>
    <mergeCell ref="B135:G135"/>
    <mergeCell ref="B146:L146"/>
    <mergeCell ref="F56:J56"/>
    <mergeCell ref="A53:E53"/>
    <mergeCell ref="F43:J43"/>
    <mergeCell ref="A109:N109"/>
    <mergeCell ref="A19:N19"/>
    <mergeCell ref="A117:N117"/>
    <mergeCell ref="A111:N111"/>
  </mergeCells>
  <conditionalFormatting sqref="B174:I180">
    <cfRule type="colorScale" priority="1">
      <colorScale>
        <cfvo type="num" val="0"/>
        <cfvo type="max"/>
        <color rgb="00FFFFFF"/>
        <color rgb="002E75B6"/>
      </colorScale>
    </cfRule>
  </conditionalFormatting>
  <hyperlinks>
    <hyperlink xmlns:r="http://schemas.openxmlformats.org/officeDocument/2006/relationships" ref="O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4.xml><?xml version="1.0" encoding="utf-8"?>
<worksheet xmlns="http://schemas.openxmlformats.org/spreadsheetml/2006/main">
  <sheetPr>
    <tabColor rgb="001F3864"/>
    <outlinePr summaryBelow="1" summaryRight="1"/>
    <pageSetUpPr fitToPage="1"/>
  </sheetPr>
  <dimension ref="A1:W53"/>
  <sheetViews>
    <sheetView showGridLines="0"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10" customWidth="1" min="3" max="3"/>
    <col width="18" customWidth="1" min="4" max="4"/>
    <col width="22" customWidth="1" min="5" max="5"/>
    <col width="24" customWidth="1" min="6" max="6"/>
    <col width="24" customWidth="1" min="7" max="7"/>
    <col width="26" customWidth="1" min="8" max="8"/>
    <col width="14" customWidth="1" min="9" max="9"/>
    <col width="9" customWidth="1" min="10" max="10"/>
    <col width="13" customWidth="1" min="11" max="11"/>
    <col width="12" customWidth="1" min="12" max="12"/>
    <col width="8" customWidth="1" min="13" max="13"/>
    <col width="9" customWidth="1" min="14" max="14"/>
    <col width="9" customWidth="1" min="15" max="15"/>
    <col width="10" customWidth="1" min="16" max="16"/>
    <col width="9" customWidth="1" min="17" max="17"/>
    <col width="9" customWidth="1" min="18" max="18"/>
    <col width="9" customWidth="1" min="19" max="19"/>
    <col width="44" customWidth="1" min="20" max="20"/>
    <col width="24" customWidth="1" min="21" max="21"/>
    <col width="10" customWidth="1" min="22" max="22"/>
    <col width="13" customWidth="1" min="23" max="23"/>
  </cols>
  <sheetData>
    <row r="1" ht="34" customHeight="1">
      <c r="A1" s="1" t="inlineStr">
        <is>
          <t>Placements — one line per person · the slim view</t>
        </is>
      </c>
      <c r="W1" s="241" t="inlineStr">
        <is>
          <t>◂ Contents</t>
        </is>
      </c>
    </row>
    <row r="2" ht="32" customHeight="1">
      <c r="A2" s="3" t="inlineStr">
        <is>
          <t>Sheet 1a · Who sits where, before → after, the score as built, the six ratings · bars, what set the level and any flag; after a leader edits the Weightage Matrix, the live score is on sheet 2. The full reasoning for one person is on sheet 1b · choose the Emp ID; every column for everyone is on sheet 2. Filter by business, department, family or level with the header arrows.</t>
        </is>
      </c>
    </row>
    <row r="3">
      <c r="A3" s="4" t="inlineStr">
        <is>
          <t>IRIS · Job Architecture &amp; Job Design · Final v1.12 · October 2026 · Internal — Confidential</t>
        </is>
      </c>
    </row>
    <row r="4"/>
    <row r="5"/>
    <row r="6" ht="30" customHeight="1">
      <c r="A6" s="92" t="inlineStr">
        <is>
          <t>Emp ID</t>
        </is>
      </c>
      <c r="B6" s="92" t="inlineStr">
        <is>
          <t>Employee name</t>
        </is>
      </c>
      <c r="C6" s="92" t="inlineStr">
        <is>
          <t>Business</t>
        </is>
      </c>
      <c r="D6" s="92" t="inlineStr">
        <is>
          <t>Department</t>
        </is>
      </c>
      <c r="E6" s="92" t="inlineStr">
        <is>
          <t>Job family</t>
        </is>
      </c>
      <c r="F6" s="92" t="inlineStr">
        <is>
          <t>Sub-family</t>
        </is>
      </c>
      <c r="G6" s="92" t="inlineStr">
        <is>
          <t>Current designation</t>
        </is>
      </c>
      <c r="H6" s="92" t="inlineStr">
        <is>
          <t>Final designation</t>
        </is>
      </c>
      <c r="I6" s="92" t="inlineStr">
        <is>
          <t>Current level</t>
        </is>
      </c>
      <c r="J6" s="92" t="inlineStr">
        <is>
          <t>FINAL LEVEL</t>
        </is>
      </c>
      <c r="K6" s="92" t="inlineStr">
        <is>
          <t>Track</t>
        </is>
      </c>
      <c r="L6" s="92" t="inlineStr">
        <is>
          <t>Change</t>
        </is>
      </c>
      <c r="M6" s="92" t="inlineStr">
        <is>
          <t>Score</t>
        </is>
      </c>
      <c r="N6" s="92" t="inlineStr">
        <is>
          <t>Complexity</t>
        </is>
      </c>
      <c r="O6" s="92" t="inlineStr">
        <is>
          <t>Autonomy</t>
        </is>
      </c>
      <c r="P6" s="92" t="inlineStr">
        <is>
          <t>Accountability</t>
        </is>
      </c>
      <c r="Q6" s="92" t="inlineStr">
        <is>
          <t>Leadership</t>
        </is>
      </c>
      <c r="R6" s="92" t="inlineStr">
        <is>
          <t>Exp &amp; Qual</t>
        </is>
      </c>
      <c r="S6" s="92" t="inlineStr">
        <is>
          <t>Bus. Impact</t>
        </is>
      </c>
      <c r="T6" s="92" t="inlineStr">
        <is>
          <t>What set the level</t>
        </is>
      </c>
      <c r="U6" s="92" t="inlineStr">
        <is>
          <t>Flags</t>
        </is>
      </c>
      <c r="V6" s="92" t="inlineStr">
        <is>
          <t>Confidence</t>
        </is>
      </c>
    </row>
    <row r="7">
      <c r="A7" s="15" t="inlineStr">
        <is>
          <t>IRIS2511</t>
        </is>
      </c>
      <c r="B7" s="212" t="inlineStr">
        <is>
          <t>Muskan Jain</t>
        </is>
      </c>
      <c r="C7" s="212" t="inlineStr">
        <is>
          <t>iDEAL</t>
        </is>
      </c>
      <c r="D7" s="212" t="inlineStr">
        <is>
          <t>Marketing</t>
        </is>
      </c>
      <c r="E7" s="212" t="inlineStr">
        <is>
          <t>Marketing &amp; Communications</t>
        </is>
      </c>
      <c r="F7" s="212" t="inlineStr">
        <is>
          <t>Content Marketing</t>
        </is>
      </c>
      <c r="G7" s="212" t="inlineStr">
        <is>
          <t>Marketing Associate</t>
        </is>
      </c>
      <c r="H7" s="212" t="inlineStr">
        <is>
          <t>Content Marketing Associate</t>
        </is>
      </c>
      <c r="I7" s="15" t="inlineStr">
        <is>
          <t>L3</t>
        </is>
      </c>
      <c r="J7" s="116" t="inlineStr">
        <is>
          <t>A2</t>
        </is>
      </c>
      <c r="K7" s="15" t="inlineStr">
        <is>
          <t>IC</t>
        </is>
      </c>
      <c r="L7" s="15" t="inlineStr">
        <is>
          <t>Same level</t>
        </is>
      </c>
      <c r="M7" s="15" t="n">
        <v>2.08</v>
      </c>
      <c r="N7" s="15" t="n">
        <v>2</v>
      </c>
      <c r="O7" s="15" t="n">
        <v>2</v>
      </c>
      <c r="P7" s="15" t="n">
        <v>2.5</v>
      </c>
      <c r="Q7" s="15" t="n">
        <v>1</v>
      </c>
      <c r="R7" s="15" t="n">
        <v>2</v>
      </c>
      <c r="S7" s="15" t="n">
        <v>2.5</v>
      </c>
      <c r="T7" s="212" t="inlineStr">
        <is>
          <t>The score decided the level</t>
        </is>
      </c>
      <c r="U7" s="212" t="inlineStr">
        <is>
          <t>—</t>
        </is>
      </c>
      <c r="V7" s="15" t="inlineStr">
        <is>
          <t>High</t>
        </is>
      </c>
    </row>
    <row r="8">
      <c r="A8" s="15" t="inlineStr">
        <is>
          <t>IRIS0971</t>
        </is>
      </c>
      <c r="B8" s="212" t="inlineStr">
        <is>
          <t>Dnyaneshwar Daund</t>
        </is>
      </c>
      <c r="C8" s="212" t="inlineStr">
        <is>
          <t>iDEAL</t>
        </is>
      </c>
      <c r="D8" s="212" t="inlineStr">
        <is>
          <t>Product Management</t>
        </is>
      </c>
      <c r="E8" s="212" t="inlineStr">
        <is>
          <t>Product Management</t>
        </is>
      </c>
      <c r="F8" s="212" t="inlineStr">
        <is>
          <t>Product Management</t>
        </is>
      </c>
      <c r="G8" s="212" t="inlineStr">
        <is>
          <t>Product Manager</t>
        </is>
      </c>
      <c r="H8" s="212" t="inlineStr">
        <is>
          <t>Product Manager</t>
        </is>
      </c>
      <c r="I8" s="15" t="inlineStr">
        <is>
          <t>L5</t>
        </is>
      </c>
      <c r="J8" s="140" t="inlineStr">
        <is>
          <t>B2</t>
        </is>
      </c>
      <c r="K8" s="15" t="inlineStr">
        <is>
          <t>People Manager</t>
        </is>
      </c>
      <c r="L8" s="15" t="inlineStr">
        <is>
          <t>Same level</t>
        </is>
      </c>
      <c r="M8" s="15" t="n">
        <v>4.97</v>
      </c>
      <c r="N8" s="15" t="n">
        <v>4.5</v>
      </c>
      <c r="O8" s="15" t="n">
        <v>4.5</v>
      </c>
      <c r="P8" s="15" t="n">
        <v>5</v>
      </c>
      <c r="Q8" s="15" t="n">
        <v>4</v>
      </c>
      <c r="R8" s="15" t="n">
        <v>9</v>
      </c>
      <c r="S8" s="15" t="n">
        <v>5</v>
      </c>
      <c r="T8" s="212" t="inlineStr">
        <is>
          <t>The score decided the level</t>
        </is>
      </c>
      <c r="U8" s="212" t="inlineStr">
        <is>
          <t>—</t>
        </is>
      </c>
      <c r="V8" s="15" t="inlineStr">
        <is>
          <t>High</t>
        </is>
      </c>
    </row>
    <row r="9">
      <c r="A9" s="15" t="inlineStr">
        <is>
          <t>IRIS1158</t>
        </is>
      </c>
      <c r="B9" s="212" t="inlineStr">
        <is>
          <t>Yuvraj Kharchane</t>
        </is>
      </c>
      <c r="C9" s="212" t="inlineStr">
        <is>
          <t>iDEAL</t>
        </is>
      </c>
      <c r="D9" s="212" t="inlineStr">
        <is>
          <t>Product Management</t>
        </is>
      </c>
      <c r="E9" s="212" t="inlineStr">
        <is>
          <t>Product Management</t>
        </is>
      </c>
      <c r="F9" s="212" t="inlineStr">
        <is>
          <t>Product Management</t>
        </is>
      </c>
      <c r="G9" s="212" t="inlineStr">
        <is>
          <t>Product Manager</t>
        </is>
      </c>
      <c r="H9" s="212" t="inlineStr">
        <is>
          <t>Product Manager</t>
        </is>
      </c>
      <c r="I9" s="15" t="inlineStr">
        <is>
          <t>L5</t>
        </is>
      </c>
      <c r="J9" s="140" t="inlineStr">
        <is>
          <t>B2</t>
        </is>
      </c>
      <c r="K9" s="15" t="inlineStr">
        <is>
          <t>People Manager</t>
        </is>
      </c>
      <c r="L9" s="15" t="inlineStr">
        <is>
          <t>Same level</t>
        </is>
      </c>
      <c r="M9" s="15" t="n">
        <v>5.32</v>
      </c>
      <c r="N9" s="15" t="n">
        <v>5</v>
      </c>
      <c r="O9" s="15" t="n">
        <v>5</v>
      </c>
      <c r="P9" s="15" t="n">
        <v>5</v>
      </c>
      <c r="Q9" s="15" t="n">
        <v>4.5</v>
      </c>
      <c r="R9" s="15" t="n">
        <v>8.5</v>
      </c>
      <c r="S9" s="15" t="n">
        <v>5.5</v>
      </c>
      <c r="T9" s="212" t="inlineStr">
        <is>
          <t>The score decided the level</t>
        </is>
      </c>
      <c r="U9" s="212" t="inlineStr">
        <is>
          <t>—</t>
        </is>
      </c>
      <c r="V9" s="15" t="inlineStr">
        <is>
          <t>Medium</t>
        </is>
      </c>
    </row>
    <row r="10">
      <c r="A10" s="15" t="inlineStr">
        <is>
          <t>IRIS2435</t>
        </is>
      </c>
      <c r="B10" s="212" t="inlineStr">
        <is>
          <t>Srijith Menon</t>
        </is>
      </c>
      <c r="C10" s="212" t="inlineStr">
        <is>
          <t>iDEAL</t>
        </is>
      </c>
      <c r="D10" s="212" t="inlineStr">
        <is>
          <t>Product Management</t>
        </is>
      </c>
      <c r="E10" s="212" t="inlineStr">
        <is>
          <t>Product Management</t>
        </is>
      </c>
      <c r="F10" s="212" t="inlineStr">
        <is>
          <t>Product Operations &amp; Research</t>
        </is>
      </c>
      <c r="G10" s="212" t="inlineStr">
        <is>
          <t>Product Coordinator</t>
        </is>
      </c>
      <c r="H10" s="212" t="inlineStr">
        <is>
          <t>Senior Product Analyst</t>
        </is>
      </c>
      <c r="I10" s="15" t="inlineStr">
        <is>
          <t>L3</t>
        </is>
      </c>
      <c r="J10" s="116" t="inlineStr">
        <is>
          <t>A3</t>
        </is>
      </c>
      <c r="K10" s="15" t="inlineStr">
        <is>
          <t>IC</t>
        </is>
      </c>
      <c r="L10" s="213" t="inlineStr">
        <is>
          <t>Up</t>
        </is>
      </c>
      <c r="M10" s="15" t="n">
        <v>2.67</v>
      </c>
      <c r="N10" s="15" t="n">
        <v>2.5</v>
      </c>
      <c r="O10" s="15" t="n">
        <v>2</v>
      </c>
      <c r="P10" s="15" t="n">
        <v>2.5</v>
      </c>
      <c r="Q10" s="15" t="n">
        <v>1</v>
      </c>
      <c r="R10" s="15" t="n">
        <v>5</v>
      </c>
      <c r="S10" s="15" t="n">
        <v>3</v>
      </c>
      <c r="T10" s="212" t="inlineStr">
        <is>
          <t>The score decided the level</t>
        </is>
      </c>
      <c r="U10" s="212" t="inlineStr">
        <is>
          <t>—</t>
        </is>
      </c>
      <c r="V10" s="15" t="inlineStr">
        <is>
          <t>High</t>
        </is>
      </c>
    </row>
    <row r="11">
      <c r="A11" s="15" t="inlineStr">
        <is>
          <t>IRIS0636</t>
        </is>
      </c>
      <c r="B11" s="212" t="inlineStr">
        <is>
          <t>Reena Gotal</t>
        </is>
      </c>
      <c r="C11" s="212" t="inlineStr">
        <is>
          <t>iDEAL</t>
        </is>
      </c>
      <c r="D11" s="212" t="inlineStr">
        <is>
          <t>Quality Assurance</t>
        </is>
      </c>
      <c r="E11" s="212" t="inlineStr">
        <is>
          <t>Quality Assurance</t>
        </is>
      </c>
      <c r="F11" s="212" t="inlineStr">
        <is>
          <t>Functional &amp; Domain Testing</t>
        </is>
      </c>
      <c r="G11" s="212" t="inlineStr">
        <is>
          <t>Senior QA - Engineer</t>
        </is>
      </c>
      <c r="H11" s="212" t="inlineStr">
        <is>
          <t>QA Manager</t>
        </is>
      </c>
      <c r="I11" s="15" t="inlineStr">
        <is>
          <t>L4</t>
        </is>
      </c>
      <c r="J11" s="140" t="inlineStr">
        <is>
          <t>B1</t>
        </is>
      </c>
      <c r="K11" s="15" t="inlineStr">
        <is>
          <t>People Manager</t>
        </is>
      </c>
      <c r="L11" s="213" t="inlineStr">
        <is>
          <t>Up</t>
        </is>
      </c>
      <c r="M11" s="15" t="n">
        <v>3.85</v>
      </c>
      <c r="N11" s="15" t="n">
        <v>3</v>
      </c>
      <c r="O11" s="15" t="n">
        <v>3</v>
      </c>
      <c r="P11" s="15" t="n">
        <v>4</v>
      </c>
      <c r="Q11" s="15" t="n">
        <v>4</v>
      </c>
      <c r="R11" s="15" t="n">
        <v>8.5</v>
      </c>
      <c r="S11" s="15" t="n">
        <v>4</v>
      </c>
      <c r="T11" s="212" t="inlineStr">
        <is>
          <t>The score decided the level</t>
        </is>
      </c>
      <c r="U11" s="212" t="inlineStr">
        <is>
          <t>—</t>
        </is>
      </c>
      <c r="V11" s="15" t="inlineStr">
        <is>
          <t>Medium</t>
        </is>
      </c>
    </row>
    <row r="12">
      <c r="A12" s="15" t="inlineStr">
        <is>
          <t>IRIS2271</t>
        </is>
      </c>
      <c r="B12" s="212" t="inlineStr">
        <is>
          <t>Atharv Ravindra Bokade</t>
        </is>
      </c>
      <c r="C12" s="212" t="inlineStr">
        <is>
          <t>iDEAL</t>
        </is>
      </c>
      <c r="D12" s="212" t="inlineStr">
        <is>
          <t>Quality Assurance</t>
        </is>
      </c>
      <c r="E12" s="212" t="inlineStr">
        <is>
          <t>Quality Assurance</t>
        </is>
      </c>
      <c r="F12" s="212" t="inlineStr">
        <is>
          <t>Test Automation</t>
        </is>
      </c>
      <c r="G12" s="212" t="inlineStr">
        <is>
          <t>QA Engineer</t>
        </is>
      </c>
      <c r="H12" s="212" t="inlineStr">
        <is>
          <t>Senior QA Automation Engineer</t>
        </is>
      </c>
      <c r="I12" s="15" t="inlineStr">
        <is>
          <t>L2</t>
        </is>
      </c>
      <c r="J12" s="116" t="inlineStr">
        <is>
          <t>A3</t>
        </is>
      </c>
      <c r="K12" s="15" t="inlineStr">
        <is>
          <t>IC</t>
        </is>
      </c>
      <c r="L12" s="213" t="inlineStr">
        <is>
          <t>Up</t>
        </is>
      </c>
      <c r="M12" s="15" t="n">
        <v>2.1</v>
      </c>
      <c r="N12" s="15" t="n">
        <v>2</v>
      </c>
      <c r="O12" s="15" t="n">
        <v>2</v>
      </c>
      <c r="P12" s="15" t="n">
        <v>2.5</v>
      </c>
      <c r="Q12" s="15" t="n">
        <v>1</v>
      </c>
      <c r="R12" s="15" t="n">
        <v>2.5</v>
      </c>
      <c r="S12" s="15" t="n">
        <v>2.5</v>
      </c>
      <c r="T12" s="212" t="inlineStr">
        <is>
          <r>
            <rPr>
              <rFont val="Calibri"/>
              <b val="1"/>
              <sz val="10"/>
            </rPr>
            <t>Rule:</t>
          </r>
          <r>
            <rPr>
              <rFont val="Calibri"/>
              <sz val="10"/>
            </rPr>
            <t xml:space="preserve"> R7 Band A experience</t>
          </r>
        </is>
      </c>
      <c r="U12" s="212" t="inlineStr">
        <is>
          <t>—</t>
        </is>
      </c>
      <c r="V12" s="15" t="inlineStr">
        <is>
          <t>Medium</t>
        </is>
      </c>
    </row>
    <row r="13">
      <c r="A13" s="15" t="inlineStr">
        <is>
          <t>IRIS2479</t>
        </is>
      </c>
      <c r="B13" s="212" t="inlineStr">
        <is>
          <t>Rohan Kailas Aher</t>
        </is>
      </c>
      <c r="C13" s="212" t="inlineStr">
        <is>
          <t>iDEAL</t>
        </is>
      </c>
      <c r="D13" s="212" t="inlineStr">
        <is>
          <t>Quality Assurance</t>
        </is>
      </c>
      <c r="E13" s="212" t="inlineStr">
        <is>
          <t>Quality Assurance</t>
        </is>
      </c>
      <c r="F13" s="212" t="inlineStr">
        <is>
          <t>Functional &amp; Domain Testing</t>
        </is>
      </c>
      <c r="G13" s="212" t="inlineStr">
        <is>
          <t>QA Engineer</t>
        </is>
      </c>
      <c r="H13" s="212" t="inlineStr">
        <is>
          <t>Senior QA Engineer</t>
        </is>
      </c>
      <c r="I13" s="15" t="inlineStr">
        <is>
          <t>L3</t>
        </is>
      </c>
      <c r="J13" s="116" t="inlineStr">
        <is>
          <t>A3</t>
        </is>
      </c>
      <c r="K13" s="15" t="inlineStr">
        <is>
          <t>IC</t>
        </is>
      </c>
      <c r="L13" s="213" t="inlineStr">
        <is>
          <t>Up</t>
        </is>
      </c>
      <c r="M13" s="15" t="n">
        <v>2.1</v>
      </c>
      <c r="N13" s="15" t="n">
        <v>2</v>
      </c>
      <c r="O13" s="15" t="n">
        <v>2</v>
      </c>
      <c r="P13" s="15" t="n">
        <v>2</v>
      </c>
      <c r="Q13" s="15" t="n">
        <v>1</v>
      </c>
      <c r="R13" s="15" t="n">
        <v>3</v>
      </c>
      <c r="S13" s="15" t="n">
        <v>2</v>
      </c>
      <c r="T13" s="212" t="inlineStr">
        <is>
          <r>
            <rPr>
              <rFont val="Calibri"/>
              <b val="1"/>
              <sz val="10"/>
            </rPr>
            <t>Rule:</t>
          </r>
          <r>
            <rPr>
              <rFont val="Calibri"/>
              <sz val="10"/>
            </rPr>
            <t xml:space="preserve"> R7 Band A experience</t>
          </r>
        </is>
      </c>
      <c r="U13" s="212" t="inlineStr">
        <is>
          <t>—</t>
        </is>
      </c>
      <c r="V13" s="15" t="inlineStr">
        <is>
          <t>Medium</t>
        </is>
      </c>
    </row>
    <row r="14">
      <c r="A14" s="15" t="inlineStr">
        <is>
          <t>IRIS2437</t>
        </is>
      </c>
      <c r="B14" s="212" t="inlineStr">
        <is>
          <t>Shubham Kamble</t>
        </is>
      </c>
      <c r="C14" s="212" t="inlineStr">
        <is>
          <t>iDEAL</t>
        </is>
      </c>
      <c r="D14" s="212" t="inlineStr">
        <is>
          <t>Quality Assurance</t>
        </is>
      </c>
      <c r="E14" s="212" t="inlineStr">
        <is>
          <t>Quality Assurance</t>
        </is>
      </c>
      <c r="F14" s="212" t="inlineStr">
        <is>
          <t>Test Automation</t>
        </is>
      </c>
      <c r="G14" s="212" t="inlineStr">
        <is>
          <t>QA Automation Engineer</t>
        </is>
      </c>
      <c r="H14" s="212" t="inlineStr">
        <is>
          <t>Senior QA Automation Engineer</t>
        </is>
      </c>
      <c r="I14" s="15" t="inlineStr">
        <is>
          <t>L3</t>
        </is>
      </c>
      <c r="J14" s="116" t="inlineStr">
        <is>
          <t>A3</t>
        </is>
      </c>
      <c r="K14" s="15" t="inlineStr">
        <is>
          <t>IC</t>
        </is>
      </c>
      <c r="L14" s="213" t="inlineStr">
        <is>
          <t>Up</t>
        </is>
      </c>
      <c r="M14" s="15" t="n">
        <v>3.05</v>
      </c>
      <c r="N14" s="15" t="n">
        <v>3</v>
      </c>
      <c r="O14" s="15" t="n">
        <v>3</v>
      </c>
      <c r="P14" s="15" t="n">
        <v>3</v>
      </c>
      <c r="Q14" s="15" t="n">
        <v>1.5</v>
      </c>
      <c r="R14" s="15" t="n">
        <v>3.5</v>
      </c>
      <c r="S14" s="15" t="n">
        <v>3</v>
      </c>
      <c r="T14" s="212" t="inlineStr">
        <is>
          <t>The score decided the level</t>
        </is>
      </c>
      <c r="U14" s="212" t="inlineStr">
        <is>
          <t>—</t>
        </is>
      </c>
      <c r="V14" s="15" t="inlineStr">
        <is>
          <t>High</t>
        </is>
      </c>
    </row>
    <row r="15">
      <c r="A15" s="15" t="inlineStr">
        <is>
          <t>IRIS2522</t>
        </is>
      </c>
      <c r="B15" s="212" t="inlineStr">
        <is>
          <t>Tulasiram Chand</t>
        </is>
      </c>
      <c r="C15" s="212" t="inlineStr">
        <is>
          <t>iDEAL</t>
        </is>
      </c>
      <c r="D15" s="212" t="inlineStr">
        <is>
          <t>Quality Assurance</t>
        </is>
      </c>
      <c r="E15" s="212" t="inlineStr">
        <is>
          <t>Quality Assurance</t>
        </is>
      </c>
      <c r="F15" s="212" t="inlineStr">
        <is>
          <t>Test Automation</t>
        </is>
      </c>
      <c r="G15" s="212" t="inlineStr">
        <is>
          <t>QA Automation Engineer</t>
        </is>
      </c>
      <c r="H15" s="212" t="inlineStr">
        <is>
          <t>Senior QA Automation Engineer</t>
        </is>
      </c>
      <c r="I15" s="15" t="inlineStr">
        <is>
          <t>L3</t>
        </is>
      </c>
      <c r="J15" s="116" t="inlineStr">
        <is>
          <t>A3</t>
        </is>
      </c>
      <c r="K15" s="15" t="inlineStr">
        <is>
          <t>IC</t>
        </is>
      </c>
      <c r="L15" s="213" t="inlineStr">
        <is>
          <t>Up</t>
        </is>
      </c>
      <c r="M15" s="15" t="n">
        <v>2.97</v>
      </c>
      <c r="N15" s="15" t="n">
        <v>3</v>
      </c>
      <c r="O15" s="15" t="n">
        <v>2.5</v>
      </c>
      <c r="P15" s="15" t="n">
        <v>2.5</v>
      </c>
      <c r="Q15" s="15" t="n">
        <v>1.5</v>
      </c>
      <c r="R15" s="15" t="n">
        <v>4</v>
      </c>
      <c r="S15" s="15" t="n">
        <v>2.5</v>
      </c>
      <c r="T15" s="212" t="inlineStr">
        <is>
          <t>The score decided the level</t>
        </is>
      </c>
      <c r="U15" s="212" t="inlineStr">
        <is>
          <t>—</t>
        </is>
      </c>
      <c r="V15" s="15" t="inlineStr">
        <is>
          <t>High</t>
        </is>
      </c>
    </row>
    <row r="16">
      <c r="A16" s="15" t="inlineStr">
        <is>
          <t>IRIS2505</t>
        </is>
      </c>
      <c r="B16" s="212" t="inlineStr">
        <is>
          <t>Rohit Patil</t>
        </is>
      </c>
      <c r="C16" s="212" t="inlineStr">
        <is>
          <t>iDEAL</t>
        </is>
      </c>
      <c r="D16" s="212" t="inlineStr">
        <is>
          <t>Sales</t>
        </is>
      </c>
      <c r="E16" s="212" t="inlineStr">
        <is>
          <t>Sales &amp; Business Development</t>
        </is>
      </c>
      <c r="F16" s="212" t="inlineStr">
        <is>
          <t>Enterprise Sales &amp; Account Management</t>
        </is>
      </c>
      <c r="G16" s="212" t="inlineStr">
        <is>
          <t>Manager Sales</t>
        </is>
      </c>
      <c r="H16" s="212" t="inlineStr">
        <is>
          <t>Senior Account Executive</t>
        </is>
      </c>
      <c r="I16" s="15" t="inlineStr">
        <is>
          <t>L5</t>
        </is>
      </c>
      <c r="J16" s="140" t="inlineStr">
        <is>
          <t>B2</t>
        </is>
      </c>
      <c r="K16" s="15" t="inlineStr">
        <is>
          <t>IC</t>
        </is>
      </c>
      <c r="L16" s="15" t="inlineStr">
        <is>
          <t>Same level</t>
        </is>
      </c>
      <c r="M16" s="15" t="n">
        <v>4.99</v>
      </c>
      <c r="N16" s="15" t="n">
        <v>4.5</v>
      </c>
      <c r="O16" s="15" t="n">
        <v>4.5</v>
      </c>
      <c r="P16" s="15" t="n">
        <v>5</v>
      </c>
      <c r="Q16" s="15" t="n">
        <v>3.5</v>
      </c>
      <c r="R16" s="15" t="n">
        <v>9</v>
      </c>
      <c r="S16" s="15" t="n">
        <v>5</v>
      </c>
      <c r="T16" s="212" t="inlineStr">
        <is>
          <t>The score decided the level</t>
        </is>
      </c>
      <c r="U16" s="212" t="inlineStr">
        <is>
          <t>—</t>
        </is>
      </c>
      <c r="V16" s="15" t="inlineStr">
        <is>
          <t>Medium</t>
        </is>
      </c>
    </row>
    <row r="17">
      <c r="A17" s="15" t="inlineStr">
        <is>
          <t>IRIS2540</t>
        </is>
      </c>
      <c r="B17" s="212" t="inlineStr">
        <is>
          <t>Deepali Barai</t>
        </is>
      </c>
      <c r="C17" s="212" t="inlineStr">
        <is>
          <t>iDEAL</t>
        </is>
      </c>
      <c r="D17" s="212" t="inlineStr">
        <is>
          <t>Sales</t>
        </is>
      </c>
      <c r="E17" s="212" t="inlineStr">
        <is>
          <t>Sales &amp; Business Development</t>
        </is>
      </c>
      <c r="F17" s="212" t="inlineStr">
        <is>
          <t>Enterprise Sales &amp; Account Management</t>
        </is>
      </c>
      <c r="G17" s="212" t="inlineStr">
        <is>
          <t>Business Development Manager</t>
        </is>
      </c>
      <c r="H17" s="212" t="inlineStr">
        <is>
          <t>Account Executive</t>
        </is>
      </c>
      <c r="I17" s="15" t="inlineStr">
        <is>
          <t>Not mapped</t>
        </is>
      </c>
      <c r="J17" s="140" t="inlineStr">
        <is>
          <t>B1</t>
        </is>
      </c>
      <c r="K17" s="15" t="inlineStr">
        <is>
          <t>IC</t>
        </is>
      </c>
      <c r="L17" s="214" t="inlineStr">
        <is>
          <t>Newly mapped</t>
        </is>
      </c>
      <c r="M17" s="15" t="n">
        <v>3.99</v>
      </c>
      <c r="N17" s="15" t="n">
        <v>4</v>
      </c>
      <c r="O17" s="15" t="n">
        <v>4</v>
      </c>
      <c r="P17" s="15" t="n">
        <v>4.5</v>
      </c>
      <c r="Q17" s="15" t="n">
        <v>3</v>
      </c>
      <c r="R17" s="15" t="n">
        <v>3.5</v>
      </c>
      <c r="S17" s="15" t="n">
        <v>4.5</v>
      </c>
      <c r="T17" s="212" t="inlineStr">
        <is>
          <t>The score decided the level</t>
        </is>
      </c>
      <c r="U17" s="212" t="inlineStr">
        <is>
          <t>—</t>
        </is>
      </c>
      <c r="V17" s="15" t="inlineStr">
        <is>
          <t>High</t>
        </is>
      </c>
    </row>
    <row r="18">
      <c r="A18" s="15" t="inlineStr">
        <is>
          <t>IRIS2481</t>
        </is>
      </c>
      <c r="B18" s="212" t="inlineStr">
        <is>
          <t>Shreya Sharma</t>
        </is>
      </c>
      <c r="C18" s="212" t="inlineStr">
        <is>
          <t>iDEAL</t>
        </is>
      </c>
      <c r="D18" s="212" t="inlineStr">
        <is>
          <t>Sales</t>
        </is>
      </c>
      <c r="E18" s="212" t="inlineStr">
        <is>
          <t>Sales &amp; Business Development</t>
        </is>
      </c>
      <c r="F18" s="212" t="inlineStr">
        <is>
          <t>Partnerships &amp; Alliances</t>
        </is>
      </c>
      <c r="G18" s="212" t="inlineStr">
        <is>
          <t>Senior Sales Executive</t>
        </is>
      </c>
      <c r="H18" s="212" t="inlineStr">
        <is>
          <t>Senior Alliances Executive</t>
        </is>
      </c>
      <c r="I18" s="15" t="inlineStr">
        <is>
          <t>L4</t>
        </is>
      </c>
      <c r="J18" s="116" t="inlineStr">
        <is>
          <t>A3</t>
        </is>
      </c>
      <c r="K18" s="15" t="inlineStr">
        <is>
          <t>IC</t>
        </is>
      </c>
      <c r="L18" s="15" t="inlineStr">
        <is>
          <t>Same level</t>
        </is>
      </c>
      <c r="M18" s="15" t="n">
        <v>3.08</v>
      </c>
      <c r="N18" s="15" t="n">
        <v>3</v>
      </c>
      <c r="O18" s="15" t="n">
        <v>2.5</v>
      </c>
      <c r="P18" s="15" t="n">
        <v>3.5</v>
      </c>
      <c r="Q18" s="15" t="n">
        <v>1.5</v>
      </c>
      <c r="R18" s="15" t="n">
        <v>3.5</v>
      </c>
      <c r="S18" s="15" t="n">
        <v>4</v>
      </c>
      <c r="T18" s="212" t="inlineStr">
        <is>
          <t>The score decided the level</t>
        </is>
      </c>
      <c r="U18" s="212" t="inlineStr">
        <is>
          <t>—</t>
        </is>
      </c>
      <c r="V18" s="15" t="inlineStr">
        <is>
          <t>High</t>
        </is>
      </c>
    </row>
    <row r="19">
      <c r="A19" s="15" t="inlineStr">
        <is>
          <t>INTN0302</t>
        </is>
      </c>
      <c r="B19" s="212" t="inlineStr">
        <is>
          <t>Nehal Bohra</t>
        </is>
      </c>
      <c r="C19" s="212" t="inlineStr">
        <is>
          <t>iDEAL</t>
        </is>
      </c>
      <c r="D19" s="212" t="inlineStr">
        <is>
          <t>Sales</t>
        </is>
      </c>
      <c r="E19" s="212" t="inlineStr">
        <is>
          <t>Customer Success &amp; Support</t>
        </is>
      </c>
      <c r="F19" s="212" t="inlineStr">
        <is>
          <t>Application &amp; Product Support</t>
        </is>
      </c>
      <c r="G19" s="212" t="inlineStr">
        <is>
          <t>Intern</t>
        </is>
      </c>
      <c r="H19" s="212" t="inlineStr">
        <is>
          <t>Intern – Application &amp; Product Support</t>
        </is>
      </c>
      <c r="I19" s="15" t="inlineStr">
        <is>
          <t>L1</t>
        </is>
      </c>
      <c r="J19" s="116" t="inlineStr">
        <is>
          <t>A1</t>
        </is>
      </c>
      <c r="K19" s="15" t="inlineStr">
        <is>
          <t>IC</t>
        </is>
      </c>
      <c r="L19" s="15" t="inlineStr">
        <is>
          <t>Same level</t>
        </is>
      </c>
      <c r="M19" s="15" t="n"/>
      <c r="N19" s="15" t="n"/>
      <c r="O19" s="15" t="n"/>
      <c r="P19" s="15" t="n"/>
      <c r="Q19" s="15" t="n"/>
      <c r="R19" s="15" t="n"/>
      <c r="S19" s="15" t="n"/>
      <c r="T19" s="212" t="inlineStr">
        <is>
          <t>Placed by rule</t>
        </is>
      </c>
      <c r="U19" s="212" t="inlineStr">
        <is>
          <t>—</t>
        </is>
      </c>
      <c r="V19" s="15" t="inlineStr">
        <is>
          <t>Medium</t>
        </is>
      </c>
    </row>
    <row r="20">
      <c r="A20" s="15" t="inlineStr">
        <is>
          <t>IRIS0810</t>
        </is>
      </c>
      <c r="B20" s="212" t="inlineStr">
        <is>
          <t>Jitendra Kumar</t>
        </is>
      </c>
      <c r="C20" s="212" t="inlineStr">
        <is>
          <t>iDEAL</t>
        </is>
      </c>
      <c r="D20" s="212" t="inlineStr">
        <is>
          <t>Technology</t>
        </is>
      </c>
      <c r="E20" s="212" t="inlineStr">
        <is>
          <t>Engineering &amp; Architecture</t>
        </is>
      </c>
      <c r="F20" s="212" t="inlineStr">
        <is>
          <t>Solution &amp; Technical Architecture</t>
        </is>
      </c>
      <c r="G20" s="212" t="inlineStr">
        <is>
          <t>Technical Architect</t>
        </is>
      </c>
      <c r="H20" s="212" t="inlineStr">
        <is>
          <t>Practice Lead – Solution &amp; Technical Architecture · Player-Coach</t>
        </is>
      </c>
      <c r="I20" s="15" t="inlineStr">
        <is>
          <t>L3</t>
        </is>
      </c>
      <c r="J20" s="180" t="inlineStr">
        <is>
          <t>B+</t>
        </is>
      </c>
      <c r="K20" s="15" t="inlineStr">
        <is>
          <t>Player-Coach</t>
        </is>
      </c>
      <c r="L20" s="213" t="inlineStr">
        <is>
          <t>Up</t>
        </is>
      </c>
      <c r="M20" s="15" t="n">
        <v>6.25</v>
      </c>
      <c r="N20" s="15" t="n">
        <v>6</v>
      </c>
      <c r="O20" s="15" t="n">
        <v>6</v>
      </c>
      <c r="P20" s="15" t="n">
        <v>6</v>
      </c>
      <c r="Q20" s="15" t="n">
        <v>5.5</v>
      </c>
      <c r="R20" s="15" t="n">
        <v>9</v>
      </c>
      <c r="S20" s="15" t="n">
        <v>6</v>
      </c>
      <c r="T20" s="212" t="inlineStr">
        <is>
          <r>
            <rPr>
              <rFont val="Calibri"/>
              <b val="1"/>
              <sz val="10"/>
            </rPr>
            <t>Rule:</t>
          </r>
          <r>
            <rPr>
              <rFont val="Calibri"/>
              <sz val="10"/>
            </rPr>
            <t xml:space="preserve"> R10 Player-Coach step</t>
          </r>
        </is>
      </c>
      <c r="U20" s="215" t="inlineStr">
        <is>
          <t>Near a gate</t>
        </is>
      </c>
      <c r="V20" s="15" t="inlineStr">
        <is>
          <t>Medium</t>
        </is>
      </c>
    </row>
    <row r="21">
      <c r="A21" s="15" t="inlineStr">
        <is>
          <t>IRIS2104</t>
        </is>
      </c>
      <c r="B21" s="212" t="inlineStr">
        <is>
          <t>Ravi Ranjan</t>
        </is>
      </c>
      <c r="C21" s="212" t="inlineStr">
        <is>
          <t>iDEAL</t>
        </is>
      </c>
      <c r="D21" s="212" t="inlineStr">
        <is>
          <t>Technology</t>
        </is>
      </c>
      <c r="E21" s="212" t="inlineStr">
        <is>
          <t>Engineering &amp; Development</t>
        </is>
      </c>
      <c r="F21" s="212" t="inlineStr">
        <is>
          <t>Backend Development</t>
        </is>
      </c>
      <c r="G21" s="212" t="inlineStr">
        <is>
          <t>Lead Software Engineer</t>
        </is>
      </c>
      <c r="H21" s="212" t="inlineStr">
        <is>
          <t>Lead Software Engineer</t>
        </is>
      </c>
      <c r="I21" s="15" t="inlineStr">
        <is>
          <t>L5</t>
        </is>
      </c>
      <c r="J21" s="140" t="inlineStr">
        <is>
          <t>B3</t>
        </is>
      </c>
      <c r="K21" s="15" t="inlineStr">
        <is>
          <t>IC</t>
        </is>
      </c>
      <c r="L21" s="15" t="inlineStr">
        <is>
          <t>Same level</t>
        </is>
      </c>
      <c r="M21" s="15" t="n">
        <v>5.69</v>
      </c>
      <c r="N21" s="15" t="n">
        <v>5</v>
      </c>
      <c r="O21" s="15" t="n">
        <v>5</v>
      </c>
      <c r="P21" s="15" t="n">
        <v>5</v>
      </c>
      <c r="Q21" s="15" t="n">
        <v>4</v>
      </c>
      <c r="R21" s="15" t="n">
        <v>12</v>
      </c>
      <c r="S21" s="15" t="n">
        <v>5.5</v>
      </c>
      <c r="T21" s="212" t="inlineStr">
        <is>
          <t>The score decided the level</t>
        </is>
      </c>
      <c r="U21" s="212" t="inlineStr">
        <is>
          <t>—</t>
        </is>
      </c>
      <c r="V21" s="15" t="inlineStr">
        <is>
          <t>High</t>
        </is>
      </c>
    </row>
    <row r="22">
      <c r="A22" s="15" t="inlineStr">
        <is>
          <t>IRIS1178</t>
        </is>
      </c>
      <c r="B22" s="212" t="inlineStr">
        <is>
          <t>Anand Shinde</t>
        </is>
      </c>
      <c r="C22" s="212" t="inlineStr">
        <is>
          <t>iDEAL</t>
        </is>
      </c>
      <c r="D22" s="212" t="inlineStr">
        <is>
          <t>Technology</t>
        </is>
      </c>
      <c r="E22" s="212" t="inlineStr">
        <is>
          <t>Business Analysis</t>
        </is>
      </c>
      <c r="F22" s="212" t="inlineStr">
        <is>
          <t>Business Analysis</t>
        </is>
      </c>
      <c r="G22" s="212" t="inlineStr">
        <is>
          <t>Senior Business Analyst</t>
        </is>
      </c>
      <c r="H22" s="212" t="inlineStr">
        <is>
          <t>Business Analysis Specialist</t>
        </is>
      </c>
      <c r="I22" s="15" t="inlineStr">
        <is>
          <t>L4</t>
        </is>
      </c>
      <c r="J22" s="140" t="inlineStr">
        <is>
          <t>B1</t>
        </is>
      </c>
      <c r="K22" s="15" t="inlineStr">
        <is>
          <t>IC</t>
        </is>
      </c>
      <c r="L22" s="213" t="inlineStr">
        <is>
          <t>Up</t>
        </is>
      </c>
      <c r="M22" s="15" t="n">
        <v>3.97</v>
      </c>
      <c r="N22" s="15" t="n">
        <v>3.5</v>
      </c>
      <c r="O22" s="15" t="n">
        <v>3.5</v>
      </c>
      <c r="P22" s="15" t="n">
        <v>3.5</v>
      </c>
      <c r="Q22" s="15" t="n">
        <v>2.5</v>
      </c>
      <c r="R22" s="15" t="n">
        <v>8</v>
      </c>
      <c r="S22" s="15" t="n">
        <v>4.5</v>
      </c>
      <c r="T22" s="212" t="inlineStr">
        <is>
          <t>The score decided the level</t>
        </is>
      </c>
      <c r="U22" s="212" t="inlineStr">
        <is>
          <t>—</t>
        </is>
      </c>
      <c r="V22" s="15" t="inlineStr">
        <is>
          <t>Medium</t>
        </is>
      </c>
    </row>
    <row r="23">
      <c r="A23" s="15" t="inlineStr">
        <is>
          <t>IRIS1343</t>
        </is>
      </c>
      <c r="B23" s="212" t="inlineStr">
        <is>
          <t>Anand Usakoyal</t>
        </is>
      </c>
      <c r="C23" s="212" t="inlineStr">
        <is>
          <t>iDEAL</t>
        </is>
      </c>
      <c r="D23" s="212" t="inlineStr">
        <is>
          <t>Technology</t>
        </is>
      </c>
      <c r="E23" s="212" t="inlineStr">
        <is>
          <t>Project &amp; Program Management</t>
        </is>
      </c>
      <c r="F23" s="212" t="inlineStr">
        <is>
          <t>Project &amp; Program Delivery</t>
        </is>
      </c>
      <c r="G23" s="212" t="inlineStr">
        <is>
          <t>Project Lead</t>
        </is>
      </c>
      <c r="H23" s="212" t="inlineStr">
        <is>
          <t>Associate Project Manager</t>
        </is>
      </c>
      <c r="I23" s="15" t="inlineStr">
        <is>
          <t>L5</t>
        </is>
      </c>
      <c r="J23" s="140" t="inlineStr">
        <is>
          <t>B1</t>
        </is>
      </c>
      <c r="K23" s="15" t="inlineStr">
        <is>
          <t>IC</t>
        </is>
      </c>
      <c r="L23" s="216" t="inlineStr">
        <is>
          <t>Down</t>
        </is>
      </c>
      <c r="M23" s="15" t="n">
        <v>3.94</v>
      </c>
      <c r="N23" s="15" t="n">
        <v>3.5</v>
      </c>
      <c r="O23" s="15" t="n">
        <v>3.5</v>
      </c>
      <c r="P23" s="15" t="n">
        <v>4</v>
      </c>
      <c r="Q23" s="15" t="n">
        <v>3</v>
      </c>
      <c r="R23" s="15" t="n">
        <v>7.5</v>
      </c>
      <c r="S23" s="15" t="n">
        <v>4</v>
      </c>
      <c r="T23" s="212" t="inlineStr">
        <is>
          <t>The score decided the level</t>
        </is>
      </c>
      <c r="U23" s="215" t="inlineStr">
        <is>
          <t>Down — protected</t>
        </is>
      </c>
      <c r="V23" s="15" t="inlineStr">
        <is>
          <t>High</t>
        </is>
      </c>
    </row>
    <row r="24">
      <c r="A24" s="15" t="inlineStr">
        <is>
          <t>IRIS1947</t>
        </is>
      </c>
      <c r="B24" s="212" t="inlineStr">
        <is>
          <t>Aroosa Ghole</t>
        </is>
      </c>
      <c r="C24" s="212" t="inlineStr">
        <is>
          <t>iDEAL</t>
        </is>
      </c>
      <c r="D24" s="212" t="inlineStr">
        <is>
          <t>Technology</t>
        </is>
      </c>
      <c r="E24" s="212" t="inlineStr">
        <is>
          <t>Business Analysis</t>
        </is>
      </c>
      <c r="F24" s="212" t="inlineStr">
        <is>
          <t>Business Analysis</t>
        </is>
      </c>
      <c r="G24" s="212" t="inlineStr">
        <is>
          <t>Senior Business Analyst</t>
        </is>
      </c>
      <c r="H24" s="212" t="inlineStr">
        <is>
          <t>Team Lead – Business Analysis</t>
        </is>
      </c>
      <c r="I24" s="15" t="inlineStr">
        <is>
          <t>L4</t>
        </is>
      </c>
      <c r="J24" s="140" t="inlineStr">
        <is>
          <t>B1</t>
        </is>
      </c>
      <c r="K24" s="15" t="inlineStr">
        <is>
          <t>People Manager</t>
        </is>
      </c>
      <c r="L24" s="213" t="inlineStr">
        <is>
          <t>Up</t>
        </is>
      </c>
      <c r="M24" s="15" t="n">
        <v>4.14</v>
      </c>
      <c r="N24" s="15" t="n">
        <v>4</v>
      </c>
      <c r="O24" s="15" t="n">
        <v>4</v>
      </c>
      <c r="P24" s="15" t="n">
        <v>4</v>
      </c>
      <c r="Q24" s="15" t="n">
        <v>4</v>
      </c>
      <c r="R24" s="15" t="n">
        <v>5</v>
      </c>
      <c r="S24" s="15" t="n">
        <v>4.5</v>
      </c>
      <c r="T24" s="212" t="inlineStr">
        <is>
          <t>The score decided the level</t>
        </is>
      </c>
      <c r="U24" s="212" t="inlineStr">
        <is>
          <t>—</t>
        </is>
      </c>
      <c r="V24" s="15" t="inlineStr">
        <is>
          <t>High</t>
        </is>
      </c>
    </row>
    <row r="25">
      <c r="A25" s="15" t="inlineStr">
        <is>
          <t>IRIS1809</t>
        </is>
      </c>
      <c r="B25" s="212" t="inlineStr">
        <is>
          <t>Jignasha Sawla</t>
        </is>
      </c>
      <c r="C25" s="212" t="inlineStr">
        <is>
          <t>iDEAL</t>
        </is>
      </c>
      <c r="D25" s="212" t="inlineStr">
        <is>
          <t>Technology</t>
        </is>
      </c>
      <c r="E25" s="212" t="inlineStr">
        <is>
          <t>Engineering &amp; Development</t>
        </is>
      </c>
      <c r="F25" s="212" t="inlineStr">
        <is>
          <t>Data Engineering &amp; Database Development</t>
        </is>
      </c>
      <c r="G25" s="212" t="inlineStr">
        <is>
          <t>Database Lead</t>
        </is>
      </c>
      <c r="H25" s="212" t="inlineStr">
        <is>
          <t>Database Specialist – POD Lead</t>
        </is>
      </c>
      <c r="I25" s="15" t="inlineStr">
        <is>
          <t>L5</t>
        </is>
      </c>
      <c r="J25" s="140" t="inlineStr">
        <is>
          <t>B1</t>
        </is>
      </c>
      <c r="K25" s="15" t="inlineStr">
        <is>
          <t>POD Lead</t>
        </is>
      </c>
      <c r="L25" s="216" t="inlineStr">
        <is>
          <t>Down</t>
        </is>
      </c>
      <c r="M25" s="15" t="n">
        <v>4.06</v>
      </c>
      <c r="N25" s="15" t="n">
        <v>3.5</v>
      </c>
      <c r="O25" s="15" t="n">
        <v>3.5</v>
      </c>
      <c r="P25" s="15" t="n">
        <v>3.5</v>
      </c>
      <c r="Q25" s="15" t="n">
        <v>3</v>
      </c>
      <c r="R25" s="15" t="n">
        <v>9</v>
      </c>
      <c r="S25" s="15" t="n">
        <v>4</v>
      </c>
      <c r="T25" s="212" t="inlineStr">
        <is>
          <t>The score decided the level</t>
        </is>
      </c>
      <c r="U25" s="215" t="inlineStr">
        <is>
          <t>Down — protected</t>
        </is>
      </c>
      <c r="V25" s="15" t="inlineStr">
        <is>
          <t>Medium</t>
        </is>
      </c>
    </row>
    <row r="26">
      <c r="A26" s="15" t="inlineStr">
        <is>
          <t>IRIS1796</t>
        </is>
      </c>
      <c r="B26" s="212" t="inlineStr">
        <is>
          <t>Kailash Sahu</t>
        </is>
      </c>
      <c r="C26" s="212" t="inlineStr">
        <is>
          <t>iDEAL</t>
        </is>
      </c>
      <c r="D26" s="212" t="inlineStr">
        <is>
          <t>Technology</t>
        </is>
      </c>
      <c r="E26" s="212" t="inlineStr">
        <is>
          <t>Business Analysis</t>
        </is>
      </c>
      <c r="F26" s="212" t="inlineStr">
        <is>
          <t>Business Analysis</t>
        </is>
      </c>
      <c r="G26" s="212" t="inlineStr">
        <is>
          <t>Business Analyst</t>
        </is>
      </c>
      <c r="H26" s="212" t="inlineStr">
        <is>
          <t>Business Analysis Specialist</t>
        </is>
      </c>
      <c r="I26" s="15" t="inlineStr">
        <is>
          <t>L3</t>
        </is>
      </c>
      <c r="J26" s="140" t="inlineStr">
        <is>
          <t>B1</t>
        </is>
      </c>
      <c r="K26" s="15" t="inlineStr">
        <is>
          <t>IC</t>
        </is>
      </c>
      <c r="L26" s="213" t="inlineStr">
        <is>
          <t>Up</t>
        </is>
      </c>
      <c r="M26" s="15" t="n">
        <v>3.69</v>
      </c>
      <c r="N26" s="15" t="n">
        <v>3</v>
      </c>
      <c r="O26" s="15" t="n">
        <v>3</v>
      </c>
      <c r="P26" s="15" t="n">
        <v>3.5</v>
      </c>
      <c r="Q26" s="15" t="n">
        <v>1.5</v>
      </c>
      <c r="R26" s="15" t="n">
        <v>10</v>
      </c>
      <c r="S26" s="15" t="n">
        <v>3.5</v>
      </c>
      <c r="T26" s="212" t="inlineStr">
        <is>
          <t>The score decided the level</t>
        </is>
      </c>
      <c r="U26" s="212" t="inlineStr">
        <is>
          <t>—</t>
        </is>
      </c>
      <c r="V26" s="15" t="inlineStr">
        <is>
          <t>High</t>
        </is>
      </c>
    </row>
    <row r="27">
      <c r="A27" s="15" t="inlineStr">
        <is>
          <t>IRIS2125</t>
        </is>
      </c>
      <c r="B27" s="212" t="inlineStr">
        <is>
          <t>Phuzel Siddiqui</t>
        </is>
      </c>
      <c r="C27" s="212" t="inlineStr">
        <is>
          <t>iDEAL</t>
        </is>
      </c>
      <c r="D27" s="212" t="inlineStr">
        <is>
          <t>Technology</t>
        </is>
      </c>
      <c r="E27" s="212" t="inlineStr">
        <is>
          <t>Business Analysis</t>
        </is>
      </c>
      <c r="F27" s="212" t="inlineStr">
        <is>
          <t>Business Analysis</t>
        </is>
      </c>
      <c r="G27" s="212" t="inlineStr">
        <is>
          <t>Business Analyst</t>
        </is>
      </c>
      <c r="H27" s="212" t="inlineStr">
        <is>
          <t>Business Analysis Specialist – POD Lead</t>
        </is>
      </c>
      <c r="I27" s="15" t="inlineStr">
        <is>
          <t>L3</t>
        </is>
      </c>
      <c r="J27" s="140" t="inlineStr">
        <is>
          <t>B1</t>
        </is>
      </c>
      <c r="K27" s="15" t="inlineStr">
        <is>
          <t>POD Lead</t>
        </is>
      </c>
      <c r="L27" s="213" t="inlineStr">
        <is>
          <t>Up</t>
        </is>
      </c>
      <c r="M27" s="15" t="n">
        <v>3.74</v>
      </c>
      <c r="N27" s="15" t="n">
        <v>3.5</v>
      </c>
      <c r="O27" s="15" t="n">
        <v>3</v>
      </c>
      <c r="P27" s="15" t="n">
        <v>4</v>
      </c>
      <c r="Q27" s="15" t="n">
        <v>3</v>
      </c>
      <c r="R27" s="15" t="n">
        <v>6</v>
      </c>
      <c r="S27" s="15" t="n">
        <v>4.5</v>
      </c>
      <c r="T27" s="212" t="inlineStr">
        <is>
          <t>The score decided the level</t>
        </is>
      </c>
      <c r="U27" s="212" t="inlineStr">
        <is>
          <t>—</t>
        </is>
      </c>
      <c r="V27" s="15" t="inlineStr">
        <is>
          <t>High</t>
        </is>
      </c>
    </row>
    <row r="28">
      <c r="A28" s="15" t="inlineStr">
        <is>
          <t>IRIS0417</t>
        </is>
      </c>
      <c r="B28" s="212" t="inlineStr">
        <is>
          <t>Vishal Pingle</t>
        </is>
      </c>
      <c r="C28" s="212" t="inlineStr">
        <is>
          <t>iDEAL</t>
        </is>
      </c>
      <c r="D28" s="212" t="inlineStr">
        <is>
          <t>Technology</t>
        </is>
      </c>
      <c r="E28" s="212" t="inlineStr">
        <is>
          <t>Business Analysis</t>
        </is>
      </c>
      <c r="F28" s="212" t="inlineStr">
        <is>
          <t>Business Analysis</t>
        </is>
      </c>
      <c r="G28" s="212" t="inlineStr">
        <is>
          <t>Senior Business Analyst</t>
        </is>
      </c>
      <c r="H28" s="212" t="inlineStr">
        <is>
          <t>Senior Business Analysis Specialist</t>
        </is>
      </c>
      <c r="I28" s="15" t="inlineStr">
        <is>
          <t>L4</t>
        </is>
      </c>
      <c r="J28" s="140" t="inlineStr">
        <is>
          <t>B1</t>
        </is>
      </c>
      <c r="K28" s="15" t="inlineStr">
        <is>
          <t>IC</t>
        </is>
      </c>
      <c r="L28" s="213" t="inlineStr">
        <is>
          <t>Up</t>
        </is>
      </c>
      <c r="M28" s="15" t="n">
        <v>4.3</v>
      </c>
      <c r="N28" s="15" t="n">
        <v>4</v>
      </c>
      <c r="O28" s="15" t="n">
        <v>3.5</v>
      </c>
      <c r="P28" s="15" t="n">
        <v>4</v>
      </c>
      <c r="Q28" s="15" t="n">
        <v>2</v>
      </c>
      <c r="R28" s="15" t="n">
        <v>8.5</v>
      </c>
      <c r="S28" s="15" t="n">
        <v>4.5</v>
      </c>
      <c r="T28" s="212" t="inlineStr">
        <is>
          <t>The score decided the level</t>
        </is>
      </c>
      <c r="U28" s="212" t="inlineStr">
        <is>
          <t>—</t>
        </is>
      </c>
      <c r="V28" s="15" t="inlineStr">
        <is>
          <t>Medium</t>
        </is>
      </c>
    </row>
    <row r="29">
      <c r="A29" s="15" t="inlineStr">
        <is>
          <t>IRIS2052</t>
        </is>
      </c>
      <c r="B29" s="212" t="inlineStr">
        <is>
          <t>Akshata Sabale</t>
        </is>
      </c>
      <c r="C29" s="212" t="inlineStr">
        <is>
          <t>iDEAL</t>
        </is>
      </c>
      <c r="D29" s="212" t="inlineStr">
        <is>
          <t>Technology</t>
        </is>
      </c>
      <c r="E29" s="212" t="inlineStr">
        <is>
          <t>Engineering &amp; Development</t>
        </is>
      </c>
      <c r="F29" s="212" t="inlineStr">
        <is>
          <t>Backend Development</t>
        </is>
      </c>
      <c r="G29" s="212" t="inlineStr">
        <is>
          <t>Software Engineer</t>
        </is>
      </c>
      <c r="H29" s="212" t="inlineStr">
        <is>
          <t>Senior Software Engineer</t>
        </is>
      </c>
      <c r="I29" s="15" t="inlineStr">
        <is>
          <t>L3</t>
        </is>
      </c>
      <c r="J29" s="116" t="inlineStr">
        <is>
          <t>A3</t>
        </is>
      </c>
      <c r="K29" s="15" t="inlineStr">
        <is>
          <t>IC</t>
        </is>
      </c>
      <c r="L29" s="213" t="inlineStr">
        <is>
          <t>Up</t>
        </is>
      </c>
      <c r="M29" s="15" t="n">
        <v>2.57</v>
      </c>
      <c r="N29" s="15" t="n">
        <v>2.5</v>
      </c>
      <c r="O29" s="15" t="n">
        <v>2</v>
      </c>
      <c r="P29" s="15" t="n">
        <v>2.5</v>
      </c>
      <c r="Q29" s="15" t="n">
        <v>1</v>
      </c>
      <c r="R29" s="15" t="n">
        <v>4</v>
      </c>
      <c r="S29" s="15" t="n">
        <v>2.5</v>
      </c>
      <c r="T29" s="212" t="inlineStr">
        <is>
          <t>The score decided the level</t>
        </is>
      </c>
      <c r="U29" s="212" t="inlineStr">
        <is>
          <t>—</t>
        </is>
      </c>
      <c r="V29" s="15" t="inlineStr">
        <is>
          <t>High</t>
        </is>
      </c>
    </row>
    <row r="30">
      <c r="A30" s="15" t="inlineStr">
        <is>
          <t>IRIS2236</t>
        </is>
      </c>
      <c r="B30" s="212" t="inlineStr">
        <is>
          <t>Anishaa Mahesh Kukreja</t>
        </is>
      </c>
      <c r="C30" s="212" t="inlineStr">
        <is>
          <t>iDEAL</t>
        </is>
      </c>
      <c r="D30" s="212" t="inlineStr">
        <is>
          <t>Technology</t>
        </is>
      </c>
      <c r="E30" s="212" t="inlineStr">
        <is>
          <t>Business Analysis</t>
        </is>
      </c>
      <c r="F30" s="212" t="inlineStr">
        <is>
          <t>Business Analysis</t>
        </is>
      </c>
      <c r="G30" s="212" t="inlineStr">
        <is>
          <t>Business Analyst</t>
        </is>
      </c>
      <c r="H30" s="212" t="inlineStr">
        <is>
          <t>Senior Business Analyst</t>
        </is>
      </c>
      <c r="I30" s="15" t="inlineStr">
        <is>
          <t>L3</t>
        </is>
      </c>
      <c r="J30" s="116" t="inlineStr">
        <is>
          <t>A3</t>
        </is>
      </c>
      <c r="K30" s="15" t="inlineStr">
        <is>
          <t>IC</t>
        </is>
      </c>
      <c r="L30" s="213" t="inlineStr">
        <is>
          <t>Up</t>
        </is>
      </c>
      <c r="M30" s="15" t="n">
        <v>3.23</v>
      </c>
      <c r="N30" s="15" t="n">
        <v>3</v>
      </c>
      <c r="O30" s="15" t="n">
        <v>3</v>
      </c>
      <c r="P30" s="15" t="n">
        <v>3.5</v>
      </c>
      <c r="Q30" s="15" t="n">
        <v>2</v>
      </c>
      <c r="R30" s="15" t="n">
        <v>4.5</v>
      </c>
      <c r="S30" s="15" t="n">
        <v>4</v>
      </c>
      <c r="T30" s="212" t="inlineStr">
        <is>
          <t>The score decided the level</t>
        </is>
      </c>
      <c r="U30" s="212" t="inlineStr">
        <is>
          <t>—</t>
        </is>
      </c>
      <c r="V30" s="15" t="inlineStr">
        <is>
          <t>Medium</t>
        </is>
      </c>
    </row>
    <row r="31">
      <c r="A31" s="15" t="inlineStr">
        <is>
          <t>IRIS1922</t>
        </is>
      </c>
      <c r="B31" s="212" t="inlineStr">
        <is>
          <t>H Marenna</t>
        </is>
      </c>
      <c r="C31" s="212" t="inlineStr">
        <is>
          <t>iDEAL</t>
        </is>
      </c>
      <c r="D31" s="212" t="inlineStr">
        <is>
          <t>Technology</t>
        </is>
      </c>
      <c r="E31" s="212" t="inlineStr">
        <is>
          <t>Engineering &amp; Development</t>
        </is>
      </c>
      <c r="F31" s="212" t="inlineStr">
        <is>
          <t>Data Engineering &amp; Database Development</t>
        </is>
      </c>
      <c r="G31" s="212" t="inlineStr">
        <is>
          <t>Senior Software Engineer</t>
        </is>
      </c>
      <c r="H31" s="212" t="inlineStr">
        <is>
          <t>Senior Database Engineer</t>
        </is>
      </c>
      <c r="I31" s="15" t="inlineStr">
        <is>
          <t>L4</t>
        </is>
      </c>
      <c r="J31" s="116" t="inlineStr">
        <is>
          <t>A3</t>
        </is>
      </c>
      <c r="K31" s="15" t="inlineStr">
        <is>
          <t>IC</t>
        </is>
      </c>
      <c r="L31" s="15" t="inlineStr">
        <is>
          <t>Same level</t>
        </is>
      </c>
      <c r="M31" s="15" t="n">
        <v>2.8</v>
      </c>
      <c r="N31" s="15" t="n">
        <v>2.5</v>
      </c>
      <c r="O31" s="15" t="n">
        <v>2.5</v>
      </c>
      <c r="P31" s="15" t="n">
        <v>2.5</v>
      </c>
      <c r="Q31" s="15" t="n">
        <v>1.5</v>
      </c>
      <c r="R31" s="15" t="n">
        <v>5.5</v>
      </c>
      <c r="S31" s="15" t="n">
        <v>2.5</v>
      </c>
      <c r="T31" s="212" t="inlineStr">
        <is>
          <t>The score decided the level</t>
        </is>
      </c>
      <c r="U31" s="212" t="inlineStr">
        <is>
          <t>—</t>
        </is>
      </c>
      <c r="V31" s="15" t="inlineStr">
        <is>
          <t>Medium</t>
        </is>
      </c>
    </row>
    <row r="32">
      <c r="A32" s="15" t="inlineStr">
        <is>
          <t>IRIS2530</t>
        </is>
      </c>
      <c r="B32" s="212" t="inlineStr">
        <is>
          <t>Jay Gudhka</t>
        </is>
      </c>
      <c r="C32" s="212" t="inlineStr">
        <is>
          <t>iDEAL</t>
        </is>
      </c>
      <c r="D32" s="212" t="inlineStr">
        <is>
          <t>Technology</t>
        </is>
      </c>
      <c r="E32" s="212" t="inlineStr">
        <is>
          <t>Engineering &amp; Development</t>
        </is>
      </c>
      <c r="F32" s="212" t="inlineStr">
        <is>
          <t>Full-Stack Development</t>
        </is>
      </c>
      <c r="G32" s="212" t="inlineStr">
        <is>
          <t>Senior Software Engineer</t>
        </is>
      </c>
      <c r="H32" s="212" t="inlineStr">
        <is>
          <t>Technical Specialist</t>
        </is>
      </c>
      <c r="I32" s="15" t="inlineStr">
        <is>
          <t>L4</t>
        </is>
      </c>
      <c r="J32" s="116" t="inlineStr">
        <is>
          <t>A3</t>
        </is>
      </c>
      <c r="K32" s="15" t="inlineStr">
        <is>
          <t>IC</t>
        </is>
      </c>
      <c r="L32" s="213" t="inlineStr">
        <is>
          <t>Up</t>
        </is>
      </c>
      <c r="M32" s="15" t="n">
        <v>3.52</v>
      </c>
      <c r="N32" s="15" t="n">
        <v>3.5</v>
      </c>
      <c r="O32" s="15" t="n">
        <v>3</v>
      </c>
      <c r="P32" s="15" t="n">
        <v>3</v>
      </c>
      <c r="Q32" s="15" t="n">
        <v>2.5</v>
      </c>
      <c r="R32" s="15" t="n">
        <v>5</v>
      </c>
      <c r="S32" s="15" t="n">
        <v>3</v>
      </c>
      <c r="T32" s="212" t="inlineStr">
        <is>
          <r>
            <rPr>
              <rFont val="Calibri"/>
              <b val="1"/>
              <sz val="10"/>
            </rPr>
            <t>Rule:</t>
          </r>
          <r>
            <rPr>
              <rFont val="Calibri"/>
              <sz val="10"/>
            </rPr>
            <t xml:space="preserve"> R6 top of band</t>
          </r>
        </is>
      </c>
      <c r="U32" s="215" t="inlineStr">
        <is>
          <t>Near a gate</t>
        </is>
      </c>
      <c r="V32" s="15" t="inlineStr">
        <is>
          <t>Medium</t>
        </is>
      </c>
    </row>
    <row r="33">
      <c r="A33" s="15" t="inlineStr">
        <is>
          <t>IRIS2536</t>
        </is>
      </c>
      <c r="B33" s="212" t="inlineStr">
        <is>
          <t>Mohin Patel</t>
        </is>
      </c>
      <c r="C33" s="212" t="inlineStr">
        <is>
          <t>iDEAL</t>
        </is>
      </c>
      <c r="D33" s="212" t="inlineStr">
        <is>
          <t>Technology</t>
        </is>
      </c>
      <c r="E33" s="212" t="inlineStr">
        <is>
          <t>Business Analysis</t>
        </is>
      </c>
      <c r="F33" s="212" t="inlineStr">
        <is>
          <t>Business Analysis</t>
        </is>
      </c>
      <c r="G33" s="212" t="inlineStr">
        <is>
          <t>Business Analyst</t>
        </is>
      </c>
      <c r="H33" s="212" t="inlineStr">
        <is>
          <t>Senior Business Analyst</t>
        </is>
      </c>
      <c r="I33" s="15" t="inlineStr">
        <is>
          <t>L3</t>
        </is>
      </c>
      <c r="J33" s="116" t="inlineStr">
        <is>
          <t>A3</t>
        </is>
      </c>
      <c r="K33" s="15" t="inlineStr">
        <is>
          <t>IC</t>
        </is>
      </c>
      <c r="L33" s="213" t="inlineStr">
        <is>
          <t>Up</t>
        </is>
      </c>
      <c r="M33" s="15" t="n">
        <v>2.55</v>
      </c>
      <c r="N33" s="15" t="n">
        <v>2.5</v>
      </c>
      <c r="O33" s="15" t="n">
        <v>2.5</v>
      </c>
      <c r="P33" s="15" t="n">
        <v>2.5</v>
      </c>
      <c r="Q33" s="15" t="n">
        <v>1.5</v>
      </c>
      <c r="R33" s="15" t="n">
        <v>3</v>
      </c>
      <c r="S33" s="15" t="n">
        <v>2.5</v>
      </c>
      <c r="T33" s="212" t="inlineStr">
        <is>
          <t>The score decided the level</t>
        </is>
      </c>
      <c r="U33" s="212" t="inlineStr">
        <is>
          <t>—</t>
        </is>
      </c>
      <c r="V33" s="15" t="inlineStr">
        <is>
          <t>Medium</t>
        </is>
      </c>
    </row>
    <row r="34">
      <c r="A34" s="15" t="inlineStr">
        <is>
          <t>IRIS2136</t>
        </is>
      </c>
      <c r="B34" s="212" t="inlineStr">
        <is>
          <t>Neetu Rani Paul</t>
        </is>
      </c>
      <c r="C34" s="212" t="inlineStr">
        <is>
          <t>iDEAL</t>
        </is>
      </c>
      <c r="D34" s="212" t="inlineStr">
        <is>
          <t>Technology</t>
        </is>
      </c>
      <c r="E34" s="212" t="inlineStr">
        <is>
          <t>Business Analysis</t>
        </is>
      </c>
      <c r="F34" s="212" t="inlineStr">
        <is>
          <t>Business Analysis</t>
        </is>
      </c>
      <c r="G34" s="212" t="inlineStr">
        <is>
          <t>Business Analyst</t>
        </is>
      </c>
      <c r="H34" s="212" t="inlineStr">
        <is>
          <t>Senior Business Analyst</t>
        </is>
      </c>
      <c r="I34" s="15" t="inlineStr">
        <is>
          <t>L3</t>
        </is>
      </c>
      <c r="J34" s="116" t="inlineStr">
        <is>
          <t>A3</t>
        </is>
      </c>
      <c r="K34" s="15" t="inlineStr">
        <is>
          <t>IC</t>
        </is>
      </c>
      <c r="L34" s="213" t="inlineStr">
        <is>
          <t>Up</t>
        </is>
      </c>
      <c r="M34" s="15" t="n">
        <v>3.13</v>
      </c>
      <c r="N34" s="15" t="n">
        <v>3</v>
      </c>
      <c r="O34" s="15" t="n">
        <v>3</v>
      </c>
      <c r="P34" s="15" t="n">
        <v>3</v>
      </c>
      <c r="Q34" s="15" t="n">
        <v>2</v>
      </c>
      <c r="R34" s="15" t="n">
        <v>4</v>
      </c>
      <c r="S34" s="15" t="n">
        <v>3.5</v>
      </c>
      <c r="T34" s="212" t="inlineStr">
        <is>
          <t>The score decided the level</t>
        </is>
      </c>
      <c r="U34" s="212" t="inlineStr">
        <is>
          <t>—</t>
        </is>
      </c>
      <c r="V34" s="15" t="inlineStr">
        <is>
          <t>High</t>
        </is>
      </c>
    </row>
    <row r="35">
      <c r="A35" s="15" t="inlineStr">
        <is>
          <t>IRIS2555</t>
        </is>
      </c>
      <c r="B35" s="212" t="inlineStr">
        <is>
          <t>Nidhi Kulkarni</t>
        </is>
      </c>
      <c r="C35" s="212" t="inlineStr">
        <is>
          <t>iDEAL</t>
        </is>
      </c>
      <c r="D35" s="212" t="inlineStr">
        <is>
          <t>Technology</t>
        </is>
      </c>
      <c r="E35" s="212" t="inlineStr">
        <is>
          <t>Customer Success &amp; Support</t>
        </is>
      </c>
      <c r="F35" s="212" t="inlineStr">
        <is>
          <t>Application &amp; Product Support</t>
        </is>
      </c>
      <c r="G35" s="212" t="inlineStr">
        <is>
          <t>Technical Support Analyst</t>
        </is>
      </c>
      <c r="H35" s="212" t="inlineStr">
        <is>
          <t>Senior Support Executive</t>
        </is>
      </c>
      <c r="I35" s="15" t="inlineStr">
        <is>
          <t>Not mapped</t>
        </is>
      </c>
      <c r="J35" s="116" t="inlineStr">
        <is>
          <t>A3</t>
        </is>
      </c>
      <c r="K35" s="15" t="inlineStr">
        <is>
          <t>IC</t>
        </is>
      </c>
      <c r="L35" s="214" t="inlineStr">
        <is>
          <t>Newly mapped</t>
        </is>
      </c>
      <c r="M35" s="15" t="n">
        <v>2.53</v>
      </c>
      <c r="N35" s="15" t="n">
        <v>2.5</v>
      </c>
      <c r="O35" s="15" t="n">
        <v>2.5</v>
      </c>
      <c r="P35" s="15" t="n">
        <v>2.5</v>
      </c>
      <c r="Q35" s="15" t="n">
        <v>1.5</v>
      </c>
      <c r="R35" s="15" t="n">
        <v>2.5</v>
      </c>
      <c r="S35" s="15" t="n">
        <v>3</v>
      </c>
      <c r="T35" s="212" t="inlineStr">
        <is>
          <r>
            <rPr>
              <rFont val="Calibri"/>
              <b val="1"/>
              <sz val="10"/>
            </rPr>
            <t>Rule:</t>
          </r>
          <r>
            <rPr>
              <rFont val="Calibri"/>
              <sz val="10"/>
            </rPr>
            <t xml:space="preserve"> R2</t>
          </r>
        </is>
      </c>
      <c r="U35" s="215" t="inlineStr">
        <is>
          <t>Input needed</t>
        </is>
      </c>
      <c r="V35" s="15" t="inlineStr">
        <is>
          <t>Low</t>
        </is>
      </c>
    </row>
    <row r="36">
      <c r="A36" s="15" t="inlineStr">
        <is>
          <t>IRIS2142</t>
        </is>
      </c>
      <c r="B36" s="212" t="inlineStr">
        <is>
          <t>Nilam Anandrao Kadam</t>
        </is>
      </c>
      <c r="C36" s="212" t="inlineStr">
        <is>
          <t>iDEAL</t>
        </is>
      </c>
      <c r="D36" s="212" t="inlineStr">
        <is>
          <t>Technology</t>
        </is>
      </c>
      <c r="E36" s="212" t="inlineStr">
        <is>
          <t>Business Analysis</t>
        </is>
      </c>
      <c r="F36" s="212" t="inlineStr">
        <is>
          <t>Business Analysis</t>
        </is>
      </c>
      <c r="G36" s="212" t="inlineStr">
        <is>
          <t>Business Analyst</t>
        </is>
      </c>
      <c r="H36" s="212" t="inlineStr">
        <is>
          <t>Senior Business Analyst</t>
        </is>
      </c>
      <c r="I36" s="15" t="inlineStr">
        <is>
          <t>L3</t>
        </is>
      </c>
      <c r="J36" s="116" t="inlineStr">
        <is>
          <t>A3</t>
        </is>
      </c>
      <c r="K36" s="15" t="inlineStr">
        <is>
          <t>IC</t>
        </is>
      </c>
      <c r="L36" s="213" t="inlineStr">
        <is>
          <t>Up</t>
        </is>
      </c>
      <c r="M36" s="15" t="n">
        <v>3.05</v>
      </c>
      <c r="N36" s="15" t="n">
        <v>3</v>
      </c>
      <c r="O36" s="15" t="n">
        <v>2.5</v>
      </c>
      <c r="P36" s="15" t="n">
        <v>3</v>
      </c>
      <c r="Q36" s="15" t="n">
        <v>1.5</v>
      </c>
      <c r="R36" s="15" t="n">
        <v>4</v>
      </c>
      <c r="S36" s="15" t="n">
        <v>3.5</v>
      </c>
      <c r="T36" s="212" t="inlineStr">
        <is>
          <t>The score decided the level</t>
        </is>
      </c>
      <c r="U36" s="212" t="inlineStr">
        <is>
          <t>—</t>
        </is>
      </c>
      <c r="V36" s="15" t="inlineStr">
        <is>
          <t>Medium</t>
        </is>
      </c>
    </row>
    <row r="37">
      <c r="A37" s="15" t="inlineStr">
        <is>
          <t>IRIS1858</t>
        </is>
      </c>
      <c r="B37" s="212" t="inlineStr">
        <is>
          <t>Prasad Bhoite</t>
        </is>
      </c>
      <c r="C37" s="212" t="inlineStr">
        <is>
          <t>iDEAL</t>
        </is>
      </c>
      <c r="D37" s="212" t="inlineStr">
        <is>
          <t>Technology</t>
        </is>
      </c>
      <c r="E37" s="212" t="inlineStr">
        <is>
          <t>Engineering &amp; Development</t>
        </is>
      </c>
      <c r="F37" s="212" t="inlineStr">
        <is>
          <t>Data Engineering &amp; Database Development</t>
        </is>
      </c>
      <c r="G37" s="212" t="inlineStr">
        <is>
          <t>Software Engineer</t>
        </is>
      </c>
      <c r="H37" s="212" t="inlineStr">
        <is>
          <t>Senior Database Engineer</t>
        </is>
      </c>
      <c r="I37" s="15" t="inlineStr">
        <is>
          <t>L3</t>
        </is>
      </c>
      <c r="J37" s="116" t="inlineStr">
        <is>
          <t>A3</t>
        </is>
      </c>
      <c r="K37" s="15" t="inlineStr">
        <is>
          <t>IC</t>
        </is>
      </c>
      <c r="L37" s="213" t="inlineStr">
        <is>
          <t>Up</t>
        </is>
      </c>
      <c r="M37" s="15" t="n">
        <v>2.65</v>
      </c>
      <c r="N37" s="15" t="n">
        <v>2.5</v>
      </c>
      <c r="O37" s="15" t="n">
        <v>2</v>
      </c>
      <c r="P37" s="15" t="n">
        <v>2.5</v>
      </c>
      <c r="Q37" s="15" t="n">
        <v>1</v>
      </c>
      <c r="R37" s="15" t="n">
        <v>4.5</v>
      </c>
      <c r="S37" s="15" t="n">
        <v>3</v>
      </c>
      <c r="T37" s="212" t="inlineStr">
        <is>
          <t>The score decided the level</t>
        </is>
      </c>
      <c r="U37" s="212" t="inlineStr">
        <is>
          <t>—</t>
        </is>
      </c>
      <c r="V37" s="15" t="inlineStr">
        <is>
          <t>High</t>
        </is>
      </c>
    </row>
    <row r="38">
      <c r="A38" s="15" t="inlineStr">
        <is>
          <t>IRIS2260</t>
        </is>
      </c>
      <c r="B38" s="212" t="inlineStr">
        <is>
          <t>Pratik Ekhande</t>
        </is>
      </c>
      <c r="C38" s="212" t="inlineStr">
        <is>
          <t>iDEAL</t>
        </is>
      </c>
      <c r="D38" s="212" t="inlineStr">
        <is>
          <t>Technology</t>
        </is>
      </c>
      <c r="E38" s="212" t="inlineStr">
        <is>
          <t>Engineering &amp; Development</t>
        </is>
      </c>
      <c r="F38" s="212" t="inlineStr">
        <is>
          <t>Backend Development</t>
        </is>
      </c>
      <c r="G38" s="212" t="inlineStr">
        <is>
          <t>Software Engineer</t>
        </is>
      </c>
      <c r="H38" s="212" t="inlineStr">
        <is>
          <t>Senior Software Engineer</t>
        </is>
      </c>
      <c r="I38" s="15" t="inlineStr">
        <is>
          <t>L3</t>
        </is>
      </c>
      <c r="J38" s="116" t="inlineStr">
        <is>
          <t>A3</t>
        </is>
      </c>
      <c r="K38" s="15" t="inlineStr">
        <is>
          <t>IC</t>
        </is>
      </c>
      <c r="L38" s="213" t="inlineStr">
        <is>
          <t>Up</t>
        </is>
      </c>
      <c r="M38" s="15" t="n">
        <v>2.13</v>
      </c>
      <c r="N38" s="15" t="n">
        <v>2</v>
      </c>
      <c r="O38" s="15" t="n">
        <v>2</v>
      </c>
      <c r="P38" s="15" t="n">
        <v>2.5</v>
      </c>
      <c r="Q38" s="15" t="n">
        <v>1</v>
      </c>
      <c r="R38" s="15" t="n">
        <v>2.5</v>
      </c>
      <c r="S38" s="15" t="n">
        <v>3</v>
      </c>
      <c r="T38" s="212" t="inlineStr">
        <is>
          <r>
            <rPr>
              <rFont val="Calibri"/>
              <b val="1"/>
              <sz val="10"/>
            </rPr>
            <t>Rule:</t>
          </r>
          <r>
            <rPr>
              <rFont val="Calibri"/>
              <sz val="10"/>
            </rPr>
            <t xml:space="preserve"> R7 Band A experience</t>
          </r>
        </is>
      </c>
      <c r="U38" s="212" t="inlineStr">
        <is>
          <t>—</t>
        </is>
      </c>
      <c r="V38" s="15" t="inlineStr">
        <is>
          <t>Medium</t>
        </is>
      </c>
    </row>
    <row r="39">
      <c r="A39" s="15" t="inlineStr">
        <is>
          <t>IRIS2066</t>
        </is>
      </c>
      <c r="B39" s="212" t="inlineStr">
        <is>
          <t>Shivani Mishra</t>
        </is>
      </c>
      <c r="C39" s="212" t="inlineStr">
        <is>
          <t>iDEAL</t>
        </is>
      </c>
      <c r="D39" s="212" t="inlineStr">
        <is>
          <t>Technology</t>
        </is>
      </c>
      <c r="E39" s="212" t="inlineStr">
        <is>
          <t>Business Analysis</t>
        </is>
      </c>
      <c r="F39" s="212" t="inlineStr">
        <is>
          <t>Business Analysis</t>
        </is>
      </c>
      <c r="G39" s="212" t="inlineStr">
        <is>
          <t>Business Analyst</t>
        </is>
      </c>
      <c r="H39" s="212" t="inlineStr">
        <is>
          <t>Senior Business Analyst</t>
        </is>
      </c>
      <c r="I39" s="15" t="inlineStr">
        <is>
          <t>L3</t>
        </is>
      </c>
      <c r="J39" s="116" t="inlineStr">
        <is>
          <t>A3</t>
        </is>
      </c>
      <c r="K39" s="15" t="inlineStr">
        <is>
          <t>IC</t>
        </is>
      </c>
      <c r="L39" s="213" t="inlineStr">
        <is>
          <t>Up</t>
        </is>
      </c>
      <c r="M39" s="15" t="n">
        <v>3.15</v>
      </c>
      <c r="N39" s="15" t="n">
        <v>3</v>
      </c>
      <c r="O39" s="15" t="n">
        <v>2.5</v>
      </c>
      <c r="P39" s="15" t="n">
        <v>3</v>
      </c>
      <c r="Q39" s="15" t="n">
        <v>1.5</v>
      </c>
      <c r="R39" s="15" t="n">
        <v>5</v>
      </c>
      <c r="S39" s="15" t="n">
        <v>3.5</v>
      </c>
      <c r="T39" s="212" t="inlineStr">
        <is>
          <t>The score decided the level</t>
        </is>
      </c>
      <c r="U39" s="212" t="inlineStr">
        <is>
          <t>—</t>
        </is>
      </c>
      <c r="V39" s="15" t="inlineStr">
        <is>
          <t>Medium</t>
        </is>
      </c>
    </row>
    <row r="40">
      <c r="A40" s="15" t="inlineStr">
        <is>
          <t>IRIS2552</t>
        </is>
      </c>
      <c r="B40" s="212" t="inlineStr">
        <is>
          <t>Shreekanth Samala</t>
        </is>
      </c>
      <c r="C40" s="212" t="inlineStr">
        <is>
          <t>iDEAL</t>
        </is>
      </c>
      <c r="D40" s="212" t="inlineStr">
        <is>
          <t>Technology</t>
        </is>
      </c>
      <c r="E40" s="212" t="inlineStr">
        <is>
          <t>Customer Success &amp; Support</t>
        </is>
      </c>
      <c r="F40" s="212" t="inlineStr">
        <is>
          <t>Application &amp; Product Support</t>
        </is>
      </c>
      <c r="G40" s="212" t="inlineStr">
        <is>
          <t>Technical Support Analyst</t>
        </is>
      </c>
      <c r="H40" s="212" t="inlineStr">
        <is>
          <t>Support Specialist</t>
        </is>
      </c>
      <c r="I40" s="15" t="inlineStr">
        <is>
          <t>Not mapped</t>
        </is>
      </c>
      <c r="J40" s="116" t="inlineStr">
        <is>
          <t>A3</t>
        </is>
      </c>
      <c r="K40" s="15" t="inlineStr">
        <is>
          <t>IC</t>
        </is>
      </c>
      <c r="L40" s="214" t="inlineStr">
        <is>
          <t>Newly mapped</t>
        </is>
      </c>
      <c r="M40" s="15" t="n">
        <v>3.45</v>
      </c>
      <c r="N40" s="15" t="n">
        <v>3</v>
      </c>
      <c r="O40" s="15" t="n">
        <v>3</v>
      </c>
      <c r="P40" s="15" t="n">
        <v>3</v>
      </c>
      <c r="Q40" s="15" t="n">
        <v>2</v>
      </c>
      <c r="R40" s="15" t="n">
        <v>7.5</v>
      </c>
      <c r="S40" s="15" t="n">
        <v>3</v>
      </c>
      <c r="T40" s="212" t="inlineStr">
        <is>
          <t>The score decided the level</t>
        </is>
      </c>
      <c r="U40" s="212" t="inlineStr">
        <is>
          <t>—</t>
        </is>
      </c>
      <c r="V40" s="15" t="inlineStr">
        <is>
          <t>Low</t>
        </is>
      </c>
    </row>
    <row r="41">
      <c r="A41" s="15" t="inlineStr">
        <is>
          <t>IRIS2067</t>
        </is>
      </c>
      <c r="B41" s="212" t="inlineStr">
        <is>
          <t>Silky Agarwal</t>
        </is>
      </c>
      <c r="C41" s="212" t="inlineStr">
        <is>
          <t>iDEAL</t>
        </is>
      </c>
      <c r="D41" s="212" t="inlineStr">
        <is>
          <t>Technology</t>
        </is>
      </c>
      <c r="E41" s="212" t="inlineStr">
        <is>
          <t>Business Analysis</t>
        </is>
      </c>
      <c r="F41" s="212" t="inlineStr">
        <is>
          <t>Business Analysis</t>
        </is>
      </c>
      <c r="G41" s="212" t="inlineStr">
        <is>
          <t>Business Analyst</t>
        </is>
      </c>
      <c r="H41" s="212" t="inlineStr">
        <is>
          <t>Senior Business Analyst</t>
        </is>
      </c>
      <c r="I41" s="15" t="inlineStr">
        <is>
          <t>L3</t>
        </is>
      </c>
      <c r="J41" s="116" t="inlineStr">
        <is>
          <t>A3</t>
        </is>
      </c>
      <c r="K41" s="15" t="inlineStr">
        <is>
          <t>IC</t>
        </is>
      </c>
      <c r="L41" s="213" t="inlineStr">
        <is>
          <t>Up</t>
        </is>
      </c>
      <c r="M41" s="15" t="n">
        <v>3.08</v>
      </c>
      <c r="N41" s="15" t="n">
        <v>3</v>
      </c>
      <c r="O41" s="15" t="n">
        <v>3</v>
      </c>
      <c r="P41" s="15" t="n">
        <v>3</v>
      </c>
      <c r="Q41" s="15" t="n">
        <v>2</v>
      </c>
      <c r="R41" s="15" t="n">
        <v>3.5</v>
      </c>
      <c r="S41" s="15" t="n">
        <v>3.5</v>
      </c>
      <c r="T41" s="212" t="inlineStr">
        <is>
          <t>The score decided the level</t>
        </is>
      </c>
      <c r="U41" s="212" t="inlineStr">
        <is>
          <t>—</t>
        </is>
      </c>
      <c r="V41" s="15" t="inlineStr">
        <is>
          <t>Low</t>
        </is>
      </c>
    </row>
    <row r="42">
      <c r="A42" s="15" t="inlineStr">
        <is>
          <t>IRIS2038</t>
        </is>
      </c>
      <c r="B42" s="212" t="inlineStr">
        <is>
          <t>Swapnil Shirke</t>
        </is>
      </c>
      <c r="C42" s="212" t="inlineStr">
        <is>
          <t>iDEAL</t>
        </is>
      </c>
      <c r="D42" s="212" t="inlineStr">
        <is>
          <t>Technology</t>
        </is>
      </c>
      <c r="E42" s="212" t="inlineStr">
        <is>
          <t>Engineering &amp; Development</t>
        </is>
      </c>
      <c r="F42" s="212" t="inlineStr">
        <is>
          <t>Backend Development</t>
        </is>
      </c>
      <c r="G42" s="212" t="inlineStr">
        <is>
          <t>Software Engineer</t>
        </is>
      </c>
      <c r="H42" s="212" t="inlineStr">
        <is>
          <t>Senior Software Engineer</t>
        </is>
      </c>
      <c r="I42" s="15" t="inlineStr">
        <is>
          <t>L3</t>
        </is>
      </c>
      <c r="J42" s="116" t="inlineStr">
        <is>
          <t>A3</t>
        </is>
      </c>
      <c r="K42" s="15" t="inlineStr">
        <is>
          <t>IC</t>
        </is>
      </c>
      <c r="L42" s="213" t="inlineStr">
        <is>
          <t>Up</t>
        </is>
      </c>
      <c r="M42" s="15" t="n">
        <v>2.91</v>
      </c>
      <c r="N42" s="15" t="n">
        <v>2.5</v>
      </c>
      <c r="O42" s="15" t="n">
        <v>3</v>
      </c>
      <c r="P42" s="15" t="n">
        <v>4.5</v>
      </c>
      <c r="Q42" s="15" t="n">
        <v>4</v>
      </c>
      <c r="R42" s="15" t="n">
        <v>3.5</v>
      </c>
      <c r="S42" s="15" t="n">
        <v>5</v>
      </c>
      <c r="T42" s="212" t="inlineStr">
        <is>
          <t>The score decided the level</t>
        </is>
      </c>
      <c r="U42" s="215" t="inlineStr">
        <is>
          <t>Input needed</t>
        </is>
      </c>
      <c r="V42" s="15" t="inlineStr">
        <is>
          <t>Low</t>
        </is>
      </c>
    </row>
    <row r="43">
      <c r="A43" s="15" t="inlineStr">
        <is>
          <t>IRIS2259</t>
        </is>
      </c>
      <c r="B43" s="212" t="inlineStr">
        <is>
          <t>Tushar Kadu Nimbolkar</t>
        </is>
      </c>
      <c r="C43" s="212" t="inlineStr">
        <is>
          <t>iDEAL</t>
        </is>
      </c>
      <c r="D43" s="212" t="inlineStr">
        <is>
          <t>Technology</t>
        </is>
      </c>
      <c r="E43" s="212" t="inlineStr">
        <is>
          <t>Engineering &amp; Development</t>
        </is>
      </c>
      <c r="F43" s="212" t="inlineStr">
        <is>
          <t>Data Engineering &amp; Database Development</t>
        </is>
      </c>
      <c r="G43" s="212" t="inlineStr">
        <is>
          <t>Software Engineer</t>
        </is>
      </c>
      <c r="H43" s="212" t="inlineStr">
        <is>
          <t>Senior Database Engineer</t>
        </is>
      </c>
      <c r="I43" s="15" t="inlineStr">
        <is>
          <t>L3</t>
        </is>
      </c>
      <c r="J43" s="116" t="inlineStr">
        <is>
          <t>A3</t>
        </is>
      </c>
      <c r="K43" s="15" t="inlineStr">
        <is>
          <t>IC</t>
        </is>
      </c>
      <c r="L43" s="213" t="inlineStr">
        <is>
          <t>Up</t>
        </is>
      </c>
      <c r="M43" s="15" t="n">
        <v>2.56</v>
      </c>
      <c r="N43" s="15" t="n">
        <v>2.5</v>
      </c>
      <c r="O43" s="15" t="n">
        <v>2.5</v>
      </c>
      <c r="P43" s="15" t="n">
        <v>2.5</v>
      </c>
      <c r="Q43" s="15" t="n">
        <v>1</v>
      </c>
      <c r="R43" s="15" t="n">
        <v>2.5</v>
      </c>
      <c r="S43" s="15" t="n">
        <v>3.5</v>
      </c>
      <c r="T43" s="212" t="inlineStr">
        <is>
          <t>The score decided the level</t>
        </is>
      </c>
      <c r="U43" s="212" t="inlineStr">
        <is>
          <t>—</t>
        </is>
      </c>
      <c r="V43" s="15" t="inlineStr">
        <is>
          <t>Medium</t>
        </is>
      </c>
    </row>
    <row r="44">
      <c r="A44" s="15" t="inlineStr">
        <is>
          <t>IRIS2258</t>
        </is>
      </c>
      <c r="B44" s="212" t="inlineStr">
        <is>
          <t>Vaibhav Govind Gahat</t>
        </is>
      </c>
      <c r="C44" s="212" t="inlineStr">
        <is>
          <t>iDEAL</t>
        </is>
      </c>
      <c r="D44" s="212" t="inlineStr">
        <is>
          <t>Technology</t>
        </is>
      </c>
      <c r="E44" s="212" t="inlineStr">
        <is>
          <t>Engineering &amp; Development</t>
        </is>
      </c>
      <c r="F44" s="212" t="inlineStr">
        <is>
          <t>Backend Development</t>
        </is>
      </c>
      <c r="G44" s="212" t="inlineStr">
        <is>
          <t>Software Engineer</t>
        </is>
      </c>
      <c r="H44" s="212" t="inlineStr">
        <is>
          <t>Senior Software Engineer</t>
        </is>
      </c>
      <c r="I44" s="15" t="inlineStr">
        <is>
          <t>L3</t>
        </is>
      </c>
      <c r="J44" s="116" t="inlineStr">
        <is>
          <t>A3</t>
        </is>
      </c>
      <c r="K44" s="15" t="inlineStr">
        <is>
          <t>IC</t>
        </is>
      </c>
      <c r="L44" s="213" t="inlineStr">
        <is>
          <t>Up</t>
        </is>
      </c>
      <c r="M44" s="15" t="n">
        <v>2.45</v>
      </c>
      <c r="N44" s="15" t="n">
        <v>2.5</v>
      </c>
      <c r="O44" s="15" t="n">
        <v>2</v>
      </c>
      <c r="P44" s="15" t="n">
        <v>2.5</v>
      </c>
      <c r="Q44" s="15" t="n">
        <v>1</v>
      </c>
      <c r="R44" s="15" t="n">
        <v>2.5</v>
      </c>
      <c r="S44" s="15" t="n">
        <v>3</v>
      </c>
      <c r="T44" s="212" t="inlineStr">
        <is>
          <r>
            <rPr>
              <rFont val="Calibri"/>
              <b val="1"/>
              <sz val="10"/>
            </rPr>
            <t>Rule:</t>
          </r>
          <r>
            <rPr>
              <rFont val="Calibri"/>
              <sz val="10"/>
            </rPr>
            <t xml:space="preserve"> R7 Band A experience</t>
          </r>
        </is>
      </c>
      <c r="U44" s="212" t="inlineStr">
        <is>
          <t>—</t>
        </is>
      </c>
      <c r="V44" s="15" t="inlineStr">
        <is>
          <t>Medium</t>
        </is>
      </c>
    </row>
    <row r="45">
      <c r="A45" s="15" t="inlineStr">
        <is>
          <t>IRIS2018</t>
        </is>
      </c>
      <c r="B45" s="212" t="inlineStr">
        <is>
          <t>Varsha Patil</t>
        </is>
      </c>
      <c r="C45" s="212" t="inlineStr">
        <is>
          <t>iDEAL</t>
        </is>
      </c>
      <c r="D45" s="212" t="inlineStr">
        <is>
          <t>Technology</t>
        </is>
      </c>
      <c r="E45" s="212" t="inlineStr">
        <is>
          <t>Engineering &amp; Development</t>
        </is>
      </c>
      <c r="F45" s="212" t="inlineStr">
        <is>
          <t>Backend Development</t>
        </is>
      </c>
      <c r="G45" s="212" t="inlineStr">
        <is>
          <t>Software Engineer</t>
        </is>
      </c>
      <c r="H45" s="212" t="inlineStr">
        <is>
          <t>Senior Software Engineer</t>
        </is>
      </c>
      <c r="I45" s="15" t="inlineStr">
        <is>
          <t>L3</t>
        </is>
      </c>
      <c r="J45" s="116" t="inlineStr">
        <is>
          <t>A3</t>
        </is>
      </c>
      <c r="K45" s="15" t="inlineStr">
        <is>
          <t>IC</t>
        </is>
      </c>
      <c r="L45" s="213" t="inlineStr">
        <is>
          <t>Up</t>
        </is>
      </c>
      <c r="M45" s="15" t="n">
        <v>2.25</v>
      </c>
      <c r="N45" s="15" t="n">
        <v>2</v>
      </c>
      <c r="O45" s="15" t="n">
        <v>2</v>
      </c>
      <c r="P45" s="15" t="n">
        <v>2.5</v>
      </c>
      <c r="Q45" s="15" t="n">
        <v>1</v>
      </c>
      <c r="R45" s="15" t="n">
        <v>4</v>
      </c>
      <c r="S45" s="15" t="n">
        <v>2.5</v>
      </c>
      <c r="T45" s="212" t="inlineStr">
        <is>
          <r>
            <rPr>
              <rFont val="Calibri"/>
              <b val="1"/>
              <sz val="10"/>
            </rPr>
            <t>Rule:</t>
          </r>
          <r>
            <rPr>
              <rFont val="Calibri"/>
              <sz val="10"/>
            </rPr>
            <t xml:space="preserve"> R7 Band A experience</t>
          </r>
        </is>
      </c>
      <c r="U45" s="212" t="inlineStr">
        <is>
          <t>—</t>
        </is>
      </c>
      <c r="V45" s="15" t="inlineStr">
        <is>
          <t>Medium</t>
        </is>
      </c>
    </row>
    <row r="46">
      <c r="A46" s="15" t="inlineStr">
        <is>
          <t>IRIS2466</t>
        </is>
      </c>
      <c r="B46" s="212" t="inlineStr">
        <is>
          <t>Vidyasagar Reddy</t>
        </is>
      </c>
      <c r="C46" s="212" t="inlineStr">
        <is>
          <t>iDEAL</t>
        </is>
      </c>
      <c r="D46" s="212" t="inlineStr">
        <is>
          <t>Technology</t>
        </is>
      </c>
      <c r="E46" s="212" t="inlineStr">
        <is>
          <t>Business Analysis</t>
        </is>
      </c>
      <c r="F46" s="212" t="inlineStr">
        <is>
          <t>Business Analysis</t>
        </is>
      </c>
      <c r="G46" s="212" t="inlineStr">
        <is>
          <t>Business Analyst</t>
        </is>
      </c>
      <c r="H46" s="212" t="inlineStr">
        <is>
          <t>Senior Business Analyst</t>
        </is>
      </c>
      <c r="I46" s="15" t="inlineStr">
        <is>
          <t>L3</t>
        </is>
      </c>
      <c r="J46" s="116" t="inlineStr">
        <is>
          <t>A3</t>
        </is>
      </c>
      <c r="K46" s="15" t="inlineStr">
        <is>
          <t>IC</t>
        </is>
      </c>
      <c r="L46" s="213" t="inlineStr">
        <is>
          <t>Up</t>
        </is>
      </c>
      <c r="M46" s="15" t="n">
        <v>2.87</v>
      </c>
      <c r="N46" s="15" t="n">
        <v>3</v>
      </c>
      <c r="O46" s="15" t="n">
        <v>2.5</v>
      </c>
      <c r="P46" s="15" t="n">
        <v>3</v>
      </c>
      <c r="Q46" s="15" t="n">
        <v>2</v>
      </c>
      <c r="R46" s="15" t="n">
        <v>2.5</v>
      </c>
      <c r="S46" s="15" t="n">
        <v>3</v>
      </c>
      <c r="T46" s="212" t="inlineStr">
        <is>
          <t>The score decided the level</t>
        </is>
      </c>
      <c r="U46" s="212" t="inlineStr">
        <is>
          <t>—</t>
        </is>
      </c>
      <c r="V46" s="15" t="inlineStr">
        <is>
          <t>High</t>
        </is>
      </c>
    </row>
    <row r="47">
      <c r="A47" s="15" t="inlineStr">
        <is>
          <t>IRIS2310</t>
        </is>
      </c>
      <c r="B47" s="212" t="inlineStr">
        <is>
          <t>Vivek Kumar</t>
        </is>
      </c>
      <c r="C47" s="212" t="inlineStr">
        <is>
          <t>iDEAL</t>
        </is>
      </c>
      <c r="D47" s="212" t="inlineStr">
        <is>
          <t>Technology</t>
        </is>
      </c>
      <c r="E47" s="212" t="inlineStr">
        <is>
          <t>Business Analysis</t>
        </is>
      </c>
      <c r="F47" s="212" t="inlineStr">
        <is>
          <t>Business Analysis</t>
        </is>
      </c>
      <c r="G47" s="212" t="inlineStr">
        <is>
          <t>Trainee Business Analyst</t>
        </is>
      </c>
      <c r="H47" s="212" t="inlineStr">
        <is>
          <t>Senior Business Analyst</t>
        </is>
      </c>
      <c r="I47" s="15" t="inlineStr">
        <is>
          <t>L2</t>
        </is>
      </c>
      <c r="J47" s="116" t="inlineStr">
        <is>
          <t>A3</t>
        </is>
      </c>
      <c r="K47" s="15" t="inlineStr">
        <is>
          <t>IC</t>
        </is>
      </c>
      <c r="L47" s="213" t="inlineStr">
        <is>
          <t>Up</t>
        </is>
      </c>
      <c r="M47" s="15" t="n">
        <v>2.1</v>
      </c>
      <c r="N47" s="15" t="n">
        <v>2</v>
      </c>
      <c r="O47" s="15" t="n">
        <v>2</v>
      </c>
      <c r="P47" s="15" t="n">
        <v>2</v>
      </c>
      <c r="Q47" s="15" t="n">
        <v>1.5</v>
      </c>
      <c r="R47" s="15" t="n">
        <v>3</v>
      </c>
      <c r="S47" s="15" t="n">
        <v>2</v>
      </c>
      <c r="T47" s="212" t="inlineStr">
        <is>
          <r>
            <rPr>
              <rFont val="Calibri"/>
              <b val="1"/>
              <sz val="10"/>
            </rPr>
            <t>Rule:</t>
          </r>
          <r>
            <rPr>
              <rFont val="Calibri"/>
              <sz val="10"/>
            </rPr>
            <t xml:space="preserve"> R7 Band A experience</t>
          </r>
        </is>
      </c>
      <c r="U47" s="212" t="inlineStr">
        <is>
          <t>—</t>
        </is>
      </c>
      <c r="V47" s="15" t="inlineStr">
        <is>
          <t>Medium</t>
        </is>
      </c>
    </row>
    <row r="48">
      <c r="A48" s="15" t="inlineStr">
        <is>
          <t>IRIS2426</t>
        </is>
      </c>
      <c r="B48" s="212" t="inlineStr">
        <is>
          <t>Abhay Pandey</t>
        </is>
      </c>
      <c r="C48" s="212" t="inlineStr">
        <is>
          <t>iDEAL</t>
        </is>
      </c>
      <c r="D48" s="212" t="inlineStr">
        <is>
          <t>Technology</t>
        </is>
      </c>
      <c r="E48" s="212" t="inlineStr">
        <is>
          <t>Engineering &amp; Development</t>
        </is>
      </c>
      <c r="F48" s="212" t="inlineStr">
        <is>
          <t>Backend Development</t>
        </is>
      </c>
      <c r="G48" s="212" t="inlineStr">
        <is>
          <t>Trainee Software Engineer</t>
        </is>
      </c>
      <c r="H48" s="212" t="inlineStr">
        <is>
          <t>Software Engineer</t>
        </is>
      </c>
      <c r="I48" s="15" t="inlineStr">
        <is>
          <t>L2</t>
        </is>
      </c>
      <c r="J48" s="116" t="inlineStr">
        <is>
          <t>A2</t>
        </is>
      </c>
      <c r="K48" s="15" t="inlineStr">
        <is>
          <t>IC</t>
        </is>
      </c>
      <c r="L48" s="213" t="inlineStr">
        <is>
          <t>Up</t>
        </is>
      </c>
      <c r="M48" s="15" t="n">
        <v>1.87</v>
      </c>
      <c r="N48" s="15" t="n">
        <v>2</v>
      </c>
      <c r="O48" s="15" t="n">
        <v>1.5</v>
      </c>
      <c r="P48" s="15" t="n">
        <v>1.5</v>
      </c>
      <c r="Q48" s="15" t="n">
        <v>1</v>
      </c>
      <c r="R48" s="15" t="n">
        <v>2</v>
      </c>
      <c r="S48" s="15" t="n">
        <v>1.5</v>
      </c>
      <c r="T48" s="212" t="inlineStr">
        <is>
          <t>The score decided the level</t>
        </is>
      </c>
      <c r="U48" s="212" t="inlineStr">
        <is>
          <t>—</t>
        </is>
      </c>
      <c r="V48" s="15" t="inlineStr">
        <is>
          <t>Low</t>
        </is>
      </c>
    </row>
    <row r="49">
      <c r="A49" s="15" t="inlineStr">
        <is>
          <t>IRIS2527</t>
        </is>
      </c>
      <c r="B49" s="212" t="inlineStr">
        <is>
          <t>Hemand Thayil</t>
        </is>
      </c>
      <c r="C49" s="212" t="inlineStr">
        <is>
          <t>iDEAL</t>
        </is>
      </c>
      <c r="D49" s="212" t="inlineStr">
        <is>
          <t>Technology</t>
        </is>
      </c>
      <c r="E49" s="212" t="inlineStr">
        <is>
          <t>Customer Success &amp; Support</t>
        </is>
      </c>
      <c r="F49" s="212" t="inlineStr">
        <is>
          <t>Application &amp; Product Support</t>
        </is>
      </c>
      <c r="G49" s="212" t="inlineStr">
        <is>
          <t>Customer Solution Analyst</t>
        </is>
      </c>
      <c r="H49" s="212" t="inlineStr">
        <is>
          <t>Support Executive</t>
        </is>
      </c>
      <c r="I49" s="15" t="inlineStr">
        <is>
          <t>L3</t>
        </is>
      </c>
      <c r="J49" s="116" t="inlineStr">
        <is>
          <t>A2</t>
        </is>
      </c>
      <c r="K49" s="15" t="inlineStr">
        <is>
          <t>IC</t>
        </is>
      </c>
      <c r="L49" s="15" t="inlineStr">
        <is>
          <t>Same level</t>
        </is>
      </c>
      <c r="M49" s="15" t="n">
        <v>2.1</v>
      </c>
      <c r="N49" s="15" t="n">
        <v>2</v>
      </c>
      <c r="O49" s="15" t="n">
        <v>2</v>
      </c>
      <c r="P49" s="15" t="n">
        <v>2</v>
      </c>
      <c r="Q49" s="15" t="n">
        <v>1</v>
      </c>
      <c r="R49" s="15" t="n">
        <v>3</v>
      </c>
      <c r="S49" s="15" t="n">
        <v>2</v>
      </c>
      <c r="T49" s="212" t="inlineStr">
        <is>
          <t>The score decided the level</t>
        </is>
      </c>
      <c r="U49" s="212" t="inlineStr">
        <is>
          <t>—</t>
        </is>
      </c>
      <c r="V49" s="15" t="inlineStr">
        <is>
          <t>Medium</t>
        </is>
      </c>
    </row>
    <row r="50">
      <c r="A50" s="15" t="inlineStr">
        <is>
          <t>IRIS2427</t>
        </is>
      </c>
      <c r="B50" s="212" t="inlineStr">
        <is>
          <t>Sumeet Laxman Kurdia</t>
        </is>
      </c>
      <c r="C50" s="212" t="inlineStr">
        <is>
          <t>iDEAL</t>
        </is>
      </c>
      <c r="D50" s="212" t="inlineStr">
        <is>
          <t>Technology</t>
        </is>
      </c>
      <c r="E50" s="212" t="inlineStr">
        <is>
          <t>Engineering &amp; Development</t>
        </is>
      </c>
      <c r="F50" s="212" t="inlineStr">
        <is>
          <t>Backend Development</t>
        </is>
      </c>
      <c r="G50" s="212" t="inlineStr">
        <is>
          <t>Trainee Software Engineer</t>
        </is>
      </c>
      <c r="H50" s="212" t="inlineStr">
        <is>
          <t>Software Engineer</t>
        </is>
      </c>
      <c r="I50" s="15" t="inlineStr">
        <is>
          <t>L2</t>
        </is>
      </c>
      <c r="J50" s="116" t="inlineStr">
        <is>
          <t>A2</t>
        </is>
      </c>
      <c r="K50" s="15" t="inlineStr">
        <is>
          <t>IC</t>
        </is>
      </c>
      <c r="L50" s="213" t="inlineStr">
        <is>
          <t>Up</t>
        </is>
      </c>
      <c r="M50" s="15" t="n">
        <v>1.6</v>
      </c>
      <c r="N50" s="15" t="n">
        <v>1.5</v>
      </c>
      <c r="O50" s="15" t="n">
        <v>1.5</v>
      </c>
      <c r="P50" s="15" t="n">
        <v>1.5</v>
      </c>
      <c r="Q50" s="15" t="n">
        <v>1</v>
      </c>
      <c r="R50" s="15" t="n">
        <v>2.5</v>
      </c>
      <c r="S50" s="15" t="n">
        <v>1.5</v>
      </c>
      <c r="T50" s="212" t="inlineStr">
        <is>
          <t>The score decided the level</t>
        </is>
      </c>
      <c r="U50" s="212" t="inlineStr">
        <is>
          <t>—</t>
        </is>
      </c>
      <c r="V50" s="15" t="inlineStr">
        <is>
          <t>High</t>
        </is>
      </c>
    </row>
    <row r="51">
      <c r="A51" s="15" t="inlineStr">
        <is>
          <t>IRIS2538</t>
        </is>
      </c>
      <c r="B51" s="212" t="inlineStr">
        <is>
          <t>Atharv Sameer Shevade</t>
        </is>
      </c>
      <c r="C51" s="212" t="inlineStr">
        <is>
          <t>iDEAL</t>
        </is>
      </c>
      <c r="D51" s="212" t="inlineStr">
        <is>
          <t>Technology</t>
        </is>
      </c>
      <c r="E51" s="212" t="inlineStr">
        <is>
          <t>Engineering &amp; Development</t>
        </is>
      </c>
      <c r="F51" s="212" t="inlineStr">
        <is>
          <t>Full-Stack Development</t>
        </is>
      </c>
      <c r="G51" s="212" t="inlineStr">
        <is>
          <t>Trainee Software Engineer</t>
        </is>
      </c>
      <c r="H51" s="212" t="inlineStr">
        <is>
          <t>Trainee Software Engineer</t>
        </is>
      </c>
      <c r="I51" s="15" t="inlineStr">
        <is>
          <t>L1</t>
        </is>
      </c>
      <c r="J51" s="116" t="inlineStr">
        <is>
          <t>A1</t>
        </is>
      </c>
      <c r="K51" s="15" t="inlineStr">
        <is>
          <t>IC</t>
        </is>
      </c>
      <c r="L51" s="15" t="inlineStr">
        <is>
          <t>Same level</t>
        </is>
      </c>
      <c r="M51" s="15" t="n"/>
      <c r="N51" s="15" t="n"/>
      <c r="O51" s="15" t="n"/>
      <c r="P51" s="15" t="n"/>
      <c r="Q51" s="15" t="n"/>
      <c r="R51" s="15" t="n"/>
      <c r="S51" s="15" t="n"/>
      <c r="T51" s="212" t="inlineStr">
        <is>
          <t>Placed by rule</t>
        </is>
      </c>
      <c r="U51" s="212" t="inlineStr">
        <is>
          <t>—</t>
        </is>
      </c>
      <c r="V51" s="15" t="inlineStr">
        <is>
          <t>Low</t>
        </is>
      </c>
    </row>
    <row r="52">
      <c r="A52" s="15" t="inlineStr">
        <is>
          <t>IRIS2539</t>
        </is>
      </c>
      <c r="B52" s="212" t="inlineStr">
        <is>
          <t>Vinayak Dadasaheb Suryawanshi</t>
        </is>
      </c>
      <c r="C52" s="212" t="inlineStr">
        <is>
          <t>iDEAL</t>
        </is>
      </c>
      <c r="D52" s="212" t="inlineStr">
        <is>
          <t>Technology</t>
        </is>
      </c>
      <c r="E52" s="212" t="inlineStr">
        <is>
          <t>Engineering &amp; Development</t>
        </is>
      </c>
      <c r="F52" s="212" t="inlineStr">
        <is>
          <t>Backend Development</t>
        </is>
      </c>
      <c r="G52" s="212" t="inlineStr">
        <is>
          <t>Trainee Software Engineer</t>
        </is>
      </c>
      <c r="H52" s="212" t="inlineStr">
        <is>
          <t>Trainee Software Engineer</t>
        </is>
      </c>
      <c r="I52" s="15" t="inlineStr">
        <is>
          <t>L1</t>
        </is>
      </c>
      <c r="J52" s="116" t="inlineStr">
        <is>
          <t>A1</t>
        </is>
      </c>
      <c r="K52" s="15" t="inlineStr">
        <is>
          <t>IC</t>
        </is>
      </c>
      <c r="L52" s="15" t="inlineStr">
        <is>
          <t>Same level</t>
        </is>
      </c>
      <c r="M52" s="15" t="n"/>
      <c r="N52" s="15" t="n"/>
      <c r="O52" s="15" t="n"/>
      <c r="P52" s="15" t="n"/>
      <c r="Q52" s="15" t="n"/>
      <c r="R52" s="15" t="n"/>
      <c r="S52" s="15" t="n"/>
      <c r="T52" s="212" t="inlineStr">
        <is>
          <t>Placed by rule</t>
        </is>
      </c>
      <c r="U52" s="212" t="inlineStr">
        <is>
          <t>—</t>
        </is>
      </c>
      <c r="V52" s="15" t="inlineStr">
        <is>
          <t>Medium</t>
        </is>
      </c>
    </row>
    <row r="53">
      <c r="A53" s="15" t="inlineStr">
        <is>
          <t>IRIS1224</t>
        </is>
      </c>
      <c r="B53" s="212" t="inlineStr">
        <is>
          <t>Hemant Karale</t>
        </is>
      </c>
      <c r="C53" s="212" t="inlineStr">
        <is>
          <t>iDEAL</t>
        </is>
      </c>
      <c r="D53" s="212" t="inlineStr">
        <is>
          <t>iDEAL Business Head</t>
        </is>
      </c>
      <c r="E53" s="212" t="inlineStr">
        <is>
          <t>Executive Leadership</t>
        </is>
      </c>
      <c r="F53" s="212" t="inlineStr">
        <is>
          <t>Business &amp; Functional Leadership</t>
        </is>
      </c>
      <c r="G53" s="212" t="inlineStr">
        <is>
          <t>Business Head IRIS iDEAL</t>
        </is>
      </c>
      <c r="H53" s="212" t="inlineStr">
        <is>
          <t>Business Head – iDEAL</t>
        </is>
      </c>
      <c r="I53" s="15" t="inlineStr">
        <is>
          <t>L7</t>
        </is>
      </c>
      <c r="J53" s="181" t="inlineStr">
        <is>
          <t>D1</t>
        </is>
      </c>
      <c r="K53" s="15" t="inlineStr">
        <is>
          <t>People Manager</t>
        </is>
      </c>
      <c r="L53" s="213" t="inlineStr">
        <is>
          <t>Up</t>
        </is>
      </c>
      <c r="M53" s="15" t="n">
        <v>8.640000000000001</v>
      </c>
      <c r="N53" s="15" t="n">
        <v>8.5</v>
      </c>
      <c r="O53" s="15" t="n">
        <v>8.5</v>
      </c>
      <c r="P53" s="15" t="n">
        <v>9</v>
      </c>
      <c r="Q53" s="15" t="n">
        <v>8.5</v>
      </c>
      <c r="R53" s="15" t="n">
        <v>9.5</v>
      </c>
      <c r="S53" s="15" t="n">
        <v>9</v>
      </c>
      <c r="T53" s="212" t="inlineStr">
        <is>
          <t>The score decided the level</t>
        </is>
      </c>
      <c r="U53" s="212" t="inlineStr">
        <is>
          <t>—</t>
        </is>
      </c>
      <c r="V53" s="15" t="inlineStr">
        <is>
          <t>Medium</t>
        </is>
      </c>
    </row>
  </sheetData>
  <mergeCells count="3">
    <mergeCell ref="A2:V2"/>
    <mergeCell ref="A1:V1"/>
    <mergeCell ref="A3:V3"/>
  </mergeCells>
  <conditionalFormatting sqref="N7:N53">
    <cfRule type="dataBar" priority="1">
      <dataBar showValue="1">
        <cfvo type="num" val="0"/>
        <cfvo type="num" val="12"/>
        <color rgb="005B9BD5"/>
      </dataBar>
    </cfRule>
  </conditionalFormatting>
  <conditionalFormatting sqref="O7:O53">
    <cfRule type="dataBar" priority="2">
      <dataBar showValue="1">
        <cfvo type="num" val="0"/>
        <cfvo type="num" val="12"/>
        <color rgb="005B9BD5"/>
      </dataBar>
    </cfRule>
  </conditionalFormatting>
  <conditionalFormatting sqref="P7:P53">
    <cfRule type="dataBar" priority="3">
      <dataBar showValue="1">
        <cfvo type="num" val="0"/>
        <cfvo type="num" val="12"/>
        <color rgb="005B9BD5"/>
      </dataBar>
    </cfRule>
  </conditionalFormatting>
  <conditionalFormatting sqref="Q7:Q53">
    <cfRule type="dataBar" priority="4">
      <dataBar showValue="1">
        <cfvo type="num" val="0"/>
        <cfvo type="num" val="12"/>
        <color rgb="005B9BD5"/>
      </dataBar>
    </cfRule>
  </conditionalFormatting>
  <conditionalFormatting sqref="R7:R53">
    <cfRule type="dataBar" priority="5">
      <dataBar showValue="1">
        <cfvo type="num" val="0"/>
        <cfvo type="num" val="12"/>
        <color rgb="005B9BD5"/>
      </dataBar>
    </cfRule>
  </conditionalFormatting>
  <conditionalFormatting sqref="S7:S53">
    <cfRule type="dataBar" priority="6">
      <dataBar showValue="1">
        <cfvo type="num" val="0"/>
        <cfvo type="num" val="12"/>
        <color rgb="005B9BD5"/>
      </dataBar>
    </cfRule>
  </conditionalFormatting>
  <conditionalFormatting sqref="M7:M53">
    <cfRule type="dataBar" priority="7">
      <dataBar showValue="1">
        <cfvo type="num" val="0"/>
        <cfvo type="num" val="12"/>
        <color rgb="00A9D08E"/>
      </dataBar>
    </cfRule>
  </conditionalFormatting>
  <hyperlinks>
    <hyperlink xmlns:r="http://schemas.openxmlformats.org/officeDocument/2006/relationships" ref="W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5.xml><?xml version="1.0" encoding="utf-8"?>
<worksheet xmlns="http://schemas.openxmlformats.org/spreadsheetml/2006/main">
  <sheetPr>
    <tabColor rgb="002E75B6"/>
    <outlinePr summaryBelow="1" summaryRight="1"/>
    <pageSetUpPr fitToPage="1"/>
  </sheetPr>
  <dimension ref="A1:J57"/>
  <sheetViews>
    <sheetView showGridLines="0" workbookViewId="0">
      <pane ySplit="7" topLeftCell="A8" activePane="bottomLeft" state="frozen"/>
      <selection pane="bottomLeft" activeCell="A1" sqref="A1"/>
    </sheetView>
  </sheetViews>
  <sheetFormatPr baseColWidth="8" defaultRowHeight="15"/>
  <cols>
    <col width="20" customWidth="1" min="1" max="1"/>
    <col width="16" customWidth="1" min="2" max="2"/>
    <col width="14" customWidth="1" min="3" max="3"/>
    <col width="10" customWidth="1" min="4" max="4"/>
    <col width="10" customWidth="1" min="5" max="5"/>
    <col width="10" customWidth="1" min="6" max="6"/>
    <col width="30" customWidth="1" min="7" max="7"/>
    <col width="30" customWidth="1" min="8" max="8"/>
    <col width="13" customWidth="1" min="9" max="9"/>
    <col hidden="1" width="13" customWidth="1" min="10" max="10"/>
  </cols>
  <sheetData>
    <row r="1" ht="34" customHeight="1">
      <c r="A1" s="1" t="inlineStr">
        <is>
          <t>Person card — one person's placement on one page</t>
        </is>
      </c>
      <c r="I1" s="241" t="inlineStr">
        <is>
          <t>◂ Contents</t>
        </is>
      </c>
    </row>
    <row r="2" ht="46" customHeight="1">
      <c r="A2" s="3" t="inlineStr">
        <is>
          <r>
            <rPr>
              <rFont val="Calibri"/>
              <b val="1"/>
              <i val="1"/>
              <color rgb="00404040"/>
              <sz val="10"/>
            </rPr>
            <t>Sheet 1b · Find a person:</t>
          </r>
          <r>
            <rPr>
              <rFont val="Calibri"/>
              <i val="1"/>
              <color rgb="00404040"/>
              <sz val="10"/>
            </rPr>
            <t xml:space="preserve"> paste or type an Emp ID, or pick Department → Name from the yellow drop-downs — type part of a word in the Search box beside a drop-down to shorten its list. Everything below fills in from sheet 2: the role before and after, the six ratings as bars with weights and points, the score and the level, the rules applied, the justification for each rating and the evidence.</t>
          </r>
        </is>
      </c>
    </row>
    <row r="3">
      <c r="A3" s="4" t="inlineStr">
        <is>
          <t>IRIS · Job Architecture &amp; Job Design · Final v1.12 · October 2026 · Internal — Confidential</t>
        </is>
      </c>
    </row>
    <row r="4"/>
    <row r="5" ht="22" customHeight="1">
      <c r="A5" s="217" t="inlineStr">
        <is>
          <t>Department</t>
        </is>
      </c>
      <c r="B5" s="218" t="inlineStr">
        <is>
          <t>Marketing</t>
        </is>
      </c>
      <c r="E5" s="219" t="inlineStr">
        <is>
          <t>Search ▸</t>
        </is>
      </c>
      <c r="F5" s="220" t="n"/>
      <c r="G5" s="221" t="inlineStr">
        <is>
          <t>Showing  ▸</t>
        </is>
      </c>
      <c r="H5" s="222" t="str">
        <f>IFERROR(INDEX('2. Talent Mapping'!$B$7:$B$53,$J$7),"")</f>
        <v>Muskan Jain</v>
      </c>
      <c r="J5" t="inlineStr">
        <is>
          <t>iDEAL</t>
        </is>
      </c>
    </row>
    <row r="6" ht="22" customHeight="1">
      <c r="A6" s="217" t="inlineStr">
        <is>
          <t>Name</t>
        </is>
      </c>
      <c r="B6" s="218" t="inlineStr">
        <is>
          <t>Muskan Jain</t>
        </is>
      </c>
      <c r="E6" s="219" t="inlineStr">
        <is>
          <t>Search ▸</t>
        </is>
      </c>
      <c r="F6" s="220" t="n"/>
      <c r="G6" s="11" t="n"/>
      <c r="H6" s="223" t="str">
        <f>IF($J$7="","No match — check the Emp ID" &amp; IF(COUNTA(PC_Products)=1," · this file holds one product only","") &amp; ", or clear it and pick a name",IF(LEFT($J$6,3)="No ",$J$6,"Emp ID "&amp;$J$6)&amp;IF($B$7&lt;&gt;""," · by Emp ID"," · by name"))</f>
        <v>Emp ID IRIS2511 · by name</v>
      </c>
      <c r="J6" t="str">
        <f>IF(TRIM($B$7)&lt;&gt;"",TRIM($B$7),IFERROR(INDEX(PC_NKIds,MATCH($J$5&amp;"|"&amp;$B$5&amp;"|"&amp;$B$6,PC_NK,0)),""))</f>
        <v>IRIS2511</v>
      </c>
    </row>
    <row r="7" ht="22" customHeight="1">
      <c r="A7" s="217" t="inlineStr">
        <is>
          <t>Emp ID — paste or type</t>
        </is>
      </c>
      <c r="B7" s="218" t="n"/>
      <c r="J7">
        <f>IFERROR(INDEX(PC_NKRow,MATCH($J$6,PC_NKIds,0)),"")</f>
        <v>1</v>
      </c>
    </row>
    <row r="8">
      <c r="A8" s="11" t="inlineStr">
        <is>
          <t>Paste or type an Emp ID — any person, any product, upper or lower case — or leave it blank and pick Department → Name. To shorten a drop-down, type part of a word in its Search box first. A typed Emp ID wins — clear it to pick by name.</t>
        </is>
      </c>
    </row>
    <row r="9"/>
    <row r="10" ht="20" customHeight="1">
      <c r="A10" s="224" t="inlineStr">
        <is>
          <t>WHO</t>
        </is>
      </c>
    </row>
    <row r="11">
      <c r="A11" s="225" t="inlineStr">
        <is>
          <t>Business</t>
        </is>
      </c>
      <c r="C11" s="207" t="inlineStr">
        <is>
          <t>iDEAL</t>
        </is>
      </c>
      <c r="E11" s="225" t="inlineStr">
        <is>
          <t>Department</t>
        </is>
      </c>
      <c r="G11" s="207" t="str">
        <f>IFERROR(INDEX('2. Talent Mapping'!$C$7:$C$53,$J$7),"")</f>
        <v>Marketing</v>
      </c>
    </row>
    <row r="12">
      <c r="A12" s="225" t="inlineStr">
        <is>
          <t>Reporting manager</t>
        </is>
      </c>
      <c r="C12" s="207" t="str">
        <f>IFERROR(INDEX('2. Talent Mapping'!$D$7:$D$53,$J$7),"")</f>
        <v>Sobhan Pramanik</v>
      </c>
      <c r="E12" s="225" t="inlineStr">
        <is>
          <t>Qualification</t>
        </is>
      </c>
      <c r="G12" s="207" t="str">
        <f>IFERROR(INDEX('2. Talent Mapping'!$G$7:$G$53,$J$7),"")</f>
        <v>PGDM</v>
      </c>
    </row>
    <row r="13">
      <c r="A13" s="225" t="inlineStr">
        <is>
          <t>Total experience · yrs</t>
        </is>
      </c>
      <c r="C13" s="207">
        <f>IFERROR(INDEX('2. Talent Mapping'!$E$7:$E$53,$J$7),"")</f>
        <v>0.4</v>
      </c>
      <c r="E13" s="225" t="inlineStr">
        <is>
          <t>Experience at IRIS · yrs</t>
        </is>
      </c>
      <c r="G13" s="207">
        <f>IFERROR(INDEX('2. Talent Mapping'!$F$7:$F$53,$J$7),"")</f>
        <v>0.4</v>
      </c>
    </row>
    <row r="14"/>
    <row r="15" ht="20" customHeight="1">
      <c r="A15" s="224" t="inlineStr">
        <is>
          <t>ROLE — BEFORE → AFTER</t>
        </is>
      </c>
    </row>
    <row r="16">
      <c r="A16" s="225" t="inlineStr">
        <is>
          <t>Current designation</t>
        </is>
      </c>
      <c r="C16" s="207" t="str">
        <f>IFERROR(INDEX('2. Talent Mapping'!$H$7:$H$53,$J$7),"")</f>
        <v>Marketing Associate</v>
      </c>
      <c r="E16" s="225" t="inlineStr">
        <is>
          <t>Final designation</t>
        </is>
      </c>
      <c r="G16" s="207" t="str">
        <f>IFERROR(INDEX('2. Talent Mapping'!$I$7:$I$53,$J$7),"")</f>
        <v>Content Marketing Associate</v>
      </c>
    </row>
    <row r="17">
      <c r="A17" s="225" t="inlineStr">
        <is>
          <t>Current level</t>
        </is>
      </c>
      <c r="C17" s="207" t="str">
        <f>IFERROR(INDEX('2. Talent Mapping'!$L$7:$L$53,$J$7),"")</f>
        <v>L3 – Professional / Associate</v>
      </c>
      <c r="E17" s="225" t="inlineStr">
        <is>
          <t>FINAL LEVEL</t>
        </is>
      </c>
      <c r="G17" s="207" t="str">
        <f>IFERROR(INDEX('2. Talent Mapping'!$M$7:$M$53,$J$7),"")</f>
        <v>A2</v>
      </c>
    </row>
    <row r="18">
      <c r="A18" s="225" t="inlineStr">
        <is>
          <t>Level title</t>
        </is>
      </c>
      <c r="C18" s="207" t="str">
        <f>IFERROR(INDEX('2. Talent Mapping'!$N$7:$N$53,$J$7),"")</f>
        <v>Associate</v>
      </c>
      <c r="E18" s="225" t="inlineStr">
        <is>
          <t>Band</t>
        </is>
      </c>
      <c r="G18" s="207" t="str">
        <f>IFERROR(INDEX('2. Talent Mapping'!$O$7:$O$53,$J$7),"")</f>
        <v>A</v>
      </c>
    </row>
    <row r="19">
      <c r="A19" s="225" t="inlineStr">
        <is>
          <t>Job family</t>
        </is>
      </c>
      <c r="C19" s="207" t="str">
        <f>IFERROR(INDEX('2. Talent Mapping'!$J$7:$J$53,$J$7),"")</f>
        <v>Marketing &amp; Communications</v>
      </c>
      <c r="E19" s="225" t="inlineStr">
        <is>
          <t>Sub-family</t>
        </is>
      </c>
      <c r="G19" s="207" t="str">
        <f>IFERROR(INDEX('2. Talent Mapping'!$K$7:$K$53,$J$7),"")</f>
        <v>Content Marketing</v>
      </c>
    </row>
    <row r="20">
      <c r="A20" s="225" t="inlineStr">
        <is>
          <t>Track</t>
        </is>
      </c>
      <c r="C20" s="207" t="str">
        <f>IFERROR(INDEX('2. Talent Mapping'!$P$7:$P$53,$J$7),"")</f>
        <v>IC</v>
      </c>
      <c r="E20" s="225" t="inlineStr">
        <is>
          <t>Change vs current</t>
        </is>
      </c>
      <c r="G20" s="207" t="str">
        <f>IFERROR(INDEX('2. Talent Mapping'!$Q$7:$Q$53,$J$7),"")</f>
        <v>• Same level</v>
      </c>
    </row>
    <row r="21"/>
    <row r="22" ht="210" customHeight="1">
      <c r="A22" s="225" t="inlineStr">
        <is>
          <t>WHAT THEY DO — role, responsibilities &amp; competencies required</t>
        </is>
      </c>
      <c r="B22" s="207" t="str">
        <f>IFERROR(IF(INDEX('2. Talent Mapping'!$R$7:$R$53,$J$7)="","—",INDEX('2. Talent Mapping'!$R$7:$R$53,$J$7)),"")</f>
        <v>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v>
      </c>
    </row>
    <row r="23" ht="120" customHeight="1">
      <c r="A23" s="225" t="inlineStr">
        <is>
          <t>BUSINESS IMPACT — from survey and data</t>
        </is>
      </c>
      <c r="B23" s="207" t="str">
        <f>IFERROR(IF(INDEX('2. Talent Mapping'!$S$7:$S$53,$J$7)="","—",INDEX('2. Talent Mapping'!$S$7:$S$53,$J$7)),"")</f>
        <v>What the role answers for: Own deliverables · accuracy, TAT.
Accountability &amp; Impact rating: 2.5 of 12 · A2-level impact.
If the work is missed · role-holders' themes: ranking.
Manager talent mapping — Latest rating: Not rated · manager · Potential: Medium · 9-Box Grid placement: Core Contributor.</v>
      </c>
    </row>
    <row r="24" ht="45" customHeight="1">
      <c r="A24" s="225" t="inlineStr">
        <is>
          <t>BUSINESS IMPACT — from manager / head</t>
        </is>
      </c>
      <c r="B24" s="207" t="str">
        <f>IFERROR(IF(INDEX('2. Talent Mapping'!$T$7:$T$53,$J$7)="","—",INDEX('2. Talent Mapping'!$T$7:$T$53,$J$7)),"")</f>
        <v>—</v>
      </c>
    </row>
    <row r="25" ht="20" customHeight="1">
      <c r="A25" s="224" t="inlineStr">
        <is>
          <t>RECRUITMENT — FIND A REPLACEMENT FOR THIS ROLE</t>
        </is>
      </c>
    </row>
    <row r="26" ht="120" customHeight="1">
      <c r="A26" s="225" t="inlineStr">
        <is>
          <t>What they do · simple</t>
        </is>
      </c>
      <c r="B26" s="207" t="str">
        <f>IFERROR(IF(INDEX('2. Talent Mapping'!$U$7:$U$53,$J$7)="","—",INDEX('2. Talent Mapping'!$U$7:$U$53,$J$7)),"")</f>
        <v>Content Marketing Associate in Marketing · iDEAL,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v>
      </c>
    </row>
    <row r="27" ht="120" customHeight="1">
      <c r="A27" s="225" t="inlineStr">
        <is>
          <t>Hire equivalent · external market</t>
        </is>
      </c>
      <c r="B27" s="207" t="str">
        <f>IFERROR(IF(INDEX('2. Talent Mapping'!$V$7:$V$53,$J$7)="","—",INDEX('2. Talent Mapping'!$V$7:$V$53,$J$7)),"")</f>
        <v>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v>
      </c>
    </row>
    <row r="28" ht="330" customHeight="1">
      <c r="A28" s="225" t="inlineStr">
        <is>
          <t>Competencies &amp; skill level to hire for</t>
        </is>
      </c>
      <c r="B28" s="207" t="str">
        <f>IFERROR(IF(INDEX('2. Talent Mapping'!$W$7:$W$53,$J$7)="","—",INDEX('2. Talent Mapping'!$W$7:$W$53,$J$7)),"")</f>
        <v>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v>
      </c>
    </row>
    <row r="29" ht="330" customHeight="1">
      <c r="A29" s="225" t="inlineStr">
        <is>
          <t>Interview questions for the perfect fit</t>
        </is>
      </c>
      <c r="B29" s="207" t="str">
        <f>IFERROR(IF(INDEX('2. Talent Mapping'!$X$7:$X$53,$J$7)="","—",INDEX('2. Talent Mapping'!$X$7:$X$53,$J$7)),"")</f>
        <v>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v>
      </c>
    </row>
    <row r="30" ht="20" customHeight="1">
      <c r="A30" s="224" t="inlineStr">
        <is>
          <t>HOW THE LEVEL IS WORKED OUT</t>
        </is>
      </c>
    </row>
    <row r="31">
      <c r="A31" s="226" t="inlineStr">
        <is>
          <t>Factor</t>
        </is>
      </c>
      <c r="B31" s="226" t="inlineStr">
        <is>
          <t>Rating</t>
        </is>
      </c>
      <c r="C31" s="226" t="inlineStr">
        <is>
          <t>Bar</t>
        </is>
      </c>
      <c r="E31" s="226" t="inlineStr">
        <is>
          <t>Weight</t>
        </is>
      </c>
      <c r="F31" s="226" t="inlineStr">
        <is>
          <t>Points</t>
        </is>
      </c>
    </row>
    <row r="32">
      <c r="A32" s="225" t="inlineStr">
        <is>
          <t>Complexity &amp; Expertise</t>
        </is>
      </c>
      <c r="B32" s="227">
        <f>IFERROR(INDEX('2. Talent Mapping'!$Z$7:$Z$53,$J$7),"")</f>
        <v>2</v>
      </c>
      <c r="C32" s="228" t="str">
        <f>IF(B32="","",REPT("█",ROUND(B32,0))&amp;REPT("░",12-ROUND(B32,0)))</f>
        <v>██░░░░░░░░░░</v>
      </c>
      <c r="E32" s="229">
        <f>IFERROR(INDEX('2. Talent Mapping'!$AA$7:$AA$53,$J$7),"")</f>
        <v>0.54</v>
      </c>
      <c r="F32" s="230">
        <f>IF(OR(B32="",E32=""),"",B32*E32)</f>
        <v>1.08</v>
      </c>
    </row>
    <row r="33">
      <c r="A33" s="225" t="inlineStr">
        <is>
          <t>Autonomy &amp; Decision</t>
        </is>
      </c>
      <c r="B33" s="227">
        <f>IFERROR(INDEX('2. Talent Mapping'!$AC$7:$AC$53,$J$7),"")</f>
        <v>2</v>
      </c>
      <c r="C33" s="228" t="str">
        <f>IF(B33="","",REPT("█",ROUND(B33,0))&amp;REPT("░",12-ROUND(B33,0)))</f>
        <v>██░░░░░░░░░░</v>
      </c>
      <c r="E33" s="229">
        <f>IFERROR(INDEX('2. Talent Mapping'!$AD$7:$AD$53,$J$7),"")</f>
        <v>0.21</v>
      </c>
      <c r="F33" s="230">
        <f>IF(OR(B33="",E33=""),"",B33*E33)</f>
        <v>0.42</v>
      </c>
    </row>
    <row r="34">
      <c r="A34" s="225" t="inlineStr">
        <is>
          <t>Accountability &amp; Impact</t>
        </is>
      </c>
      <c r="B34" s="227">
        <f>IFERROR(INDEX('2. Talent Mapping'!$AF$7:$AF$53,$J$7),"")</f>
        <v>2.5</v>
      </c>
      <c r="C34" s="228" t="str">
        <f>IF(B34="","",REPT("█",ROUND(B34,0))&amp;REPT("░",12-ROUND(B34,0)))</f>
        <v>███░░░░░░░░░</v>
      </c>
      <c r="E34" s="229">
        <f>IFERROR(INDEX('2. Talent Mapping'!$AG$7:$AG$53,$J$7),"")</f>
        <v>0.04</v>
      </c>
      <c r="F34" s="230">
        <f>IF(OR(B34="",E34=""),"",B34*E34)</f>
        <v>0.1</v>
      </c>
    </row>
    <row r="35">
      <c r="A35" s="225" t="inlineStr">
        <is>
          <t>Leadership &amp; Strategy</t>
        </is>
      </c>
      <c r="B35" s="227">
        <f>IFERROR(INDEX('2. Talent Mapping'!$AI$7:$AI$53,$J$7),"")</f>
        <v>1</v>
      </c>
      <c r="C35" s="228" t="str">
        <f>IF(B35="","",REPT("█",ROUND(B35,0))&amp;REPT("░",12-ROUND(B35,0)))</f>
        <v>█░░░░░░░░░░░</v>
      </c>
      <c r="E35" s="229">
        <f>IFERROR(INDEX('2. Talent Mapping'!$AJ$7:$AJ$53,$J$7),"")</f>
        <v>0</v>
      </c>
      <c r="F35" s="230">
        <f>IF(OR(B35="",E35=""),"",B35*E35)</f>
        <v>0</v>
      </c>
    </row>
    <row r="36">
      <c r="A36" s="225" t="inlineStr">
        <is>
          <t>Experience &amp; Qualification</t>
        </is>
      </c>
      <c r="B36" s="227">
        <f>IFERROR(INDEX('2. Talent Mapping'!$AL$7:$AL$53,$J$7),"")</f>
        <v>2</v>
      </c>
      <c r="C36" s="228" t="str">
        <f>IF(B36="","",REPT("█",ROUND(B36,0))&amp;REPT("░",12-ROUND(B36,0)))</f>
        <v>██░░░░░░░░░░</v>
      </c>
      <c r="E36" s="229">
        <f>IFERROR(INDEX('2. Talent Mapping'!$AM$7:$AM$53,$J$7),"")</f>
        <v>0.1</v>
      </c>
      <c r="F36" s="230">
        <f>IF(OR(B36="",E36=""),"",B36*E36)</f>
        <v>0.2</v>
      </c>
    </row>
    <row r="37">
      <c r="A37" s="225" t="inlineStr">
        <is>
          <t>Business Impact</t>
        </is>
      </c>
      <c r="B37" s="227">
        <f>IFERROR(INDEX('2. Talent Mapping'!$AO$7:$AO$53,$J$7),"")</f>
        <v>2.5</v>
      </c>
      <c r="C37" s="228" t="str">
        <f>IF(B37="","",REPT("█",ROUND(B37,0))&amp;REPT("░",12-ROUND(B37,0)))</f>
        <v>███░░░░░░░░░</v>
      </c>
      <c r="E37" s="229">
        <f>IFERROR(INDEX('2. Talent Mapping'!$AP$7:$AP$53,$J$7),"")</f>
        <v>0.11</v>
      </c>
      <c r="F37" s="230">
        <f>IF(OR(B37="",E37=""),"",B37*E37)</f>
        <v>0.275</v>
      </c>
    </row>
    <row r="38">
      <c r="A38" s="231" t="inlineStr">
        <is>
          <t>Weighted score</t>
        </is>
      </c>
      <c r="F38" s="232">
        <f>IF(COUNT(F32:F37)=6,SUM(F32:F37),"Placed by rule")</f>
        <v>2.075</v>
      </c>
    </row>
    <row r="39">
      <c r="A39" s="231" t="inlineStr">
        <is>
          <t>Level the score indicates</t>
        </is>
      </c>
      <c r="F39" s="233" t="str">
        <f>IFERROR(INDEX('2. Talent Mapping'!$AS$7:$AS$53,$J$7),"")</f>
        <v>A2</v>
      </c>
    </row>
    <row r="40">
      <c r="A40" s="231" t="inlineStr">
        <is>
          <t>FINAL LEVEL</t>
        </is>
      </c>
      <c r="F40" s="233" t="str">
        <f>IFERROR(INDEX('2. Talent Mapping'!$M$7:$M$53,$J$7),"")</f>
        <v>A2</v>
      </c>
    </row>
    <row r="41"/>
    <row r="42" ht="60" customHeight="1">
      <c r="A42" s="225" t="inlineStr">
        <is>
          <t>Why these weights</t>
        </is>
      </c>
      <c r="B42" s="207" t="str">
        <f>IFERROR(IF(INDEX('2. Talent Mapping'!$AT$7:$AT$53,$J$7)="","—",INDEX('2. Talent Mapping'!$AT$7:$AT$53,$J$7)),"")</f>
        <v>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v>
      </c>
    </row>
    <row r="43" ht="60" customHeight="1">
      <c r="A43" s="225" t="inlineStr">
        <is>
          <t>Calculation</t>
        </is>
      </c>
      <c r="B43" s="207" t="str">
        <f>IFERROR(IF(INDEX('2. Talent Mapping'!$AU$7:$AU$53,$J$7)="","—",INDEX('2. Talent Mapping'!$AU$7:$AU$53,$J$7)),"")</f>
        <v>At build: Complexity 1.08 + Autonomy 0.42 + Accountability 0.10 + Leadership 0.00 + Experience 0.20 + Business impact 0.28
= 2.08 points → nearest level 2 = A2
Final level: A2 · same as the score</v>
      </c>
    </row>
    <row r="44" ht="60" customHeight="1">
      <c r="A44" s="225" t="inlineStr">
        <is>
          <t>Rules applied — with the numbers</t>
        </is>
      </c>
      <c r="B44" s="207" t="str">
        <f>IFERROR(IF(INDEX('2. Talent Mapping'!$AV$7:$AV$53,$J$7)="","—",INDEX('2. Talent Mapping'!$AV$7:$AV$53,$J$7)),"")</f>
        <v>No rule applied: the score decides.</v>
      </c>
    </row>
    <row r="45" ht="20" customHeight="1">
      <c r="A45" s="224" t="inlineStr">
        <is>
          <t>JUSTIFICATION FOR EACH RATING</t>
        </is>
      </c>
    </row>
    <row r="46" ht="105" customHeight="1">
      <c r="A46" s="225" t="inlineStr">
        <is>
          <t>Complexity &amp; Expertise</t>
        </is>
      </c>
      <c r="B46" s="207" t="str">
        <f>IFERROR(IF(INDEX('2. Talent Mapping'!$AW$7:$AW$53,$J$7)="","—",INDEX('2. Talent Mapping'!$AW$7:$AW$53,$J$7)),"")</f>
        <v>Rated 2 of 12
Start: 2.0 · practitioner title
Evidence reads like A2: Writes blogs, ebooks, infographics, decks and brochures and optimises content for iDEAL's bank audience → matches the start
Market: A2 = Standard work of the discipline</v>
      </c>
    </row>
    <row r="47" ht="105" customHeight="1">
      <c r="A47" s="225" t="inlineStr">
        <is>
          <t>Autonomy &amp; Decision</t>
        </is>
      </c>
      <c r="B47" s="207" t="str">
        <f>IFERROR(IF(INDEX('2. Talent Mapping'!$AX$7:$AX$53,$J$7)="","—",INDEX('2. Talent Mapping'!$AX$7:$AX$53,$J$7)),"")</f>
        <v>Rated 2 of 12
Start: 2.0 · practitioner title
Evidence reads like A2: Decides own calendars, trackers and decks → matches the start
Market: A2 = Chooses own approach within standards</v>
      </c>
    </row>
    <row r="48" ht="105" customHeight="1">
      <c r="A48" s="225" t="inlineStr">
        <is>
          <t>Accountability &amp; Impact</t>
        </is>
      </c>
      <c r="B48" s="207" t="str">
        <f>IFERROR(IF(INDEX('2. Talent Mapping'!$AY$7:$AY$53,$J$7)="","—",INDEX('2. Talent Mapping'!$AY$7:$AY$53,$J$7)),"")</f>
        <v>Rated 2.5 of 12 · between A2 and A3
Start: 2.0 · practitioner title
Evidence reads like A3: Accountable for all bank / financial-institution content: website, social media, client decks → moved up 0.5
Market: A2 = Own deliverables · accuracy, TAT · A3 = A module / process, or work with client or regulatory consequences</v>
      </c>
    </row>
    <row r="49" ht="105" customHeight="1">
      <c r="A49" s="225" t="inlineStr">
        <is>
          <t>Leadership &amp; Strategy</t>
        </is>
      </c>
      <c r="B49" s="207" t="str">
        <f>IFERROR(IF(INDEX('2. Talent Mapping'!$AZ$7:$AZ$53,$J$7)="","—",INDEX('2. Talent Mapping'!$AZ$7:$AZ$53,$J$7)),"")</f>
        <v>Rated 1 of 12 — not counted: the weight is 0% at this level
Start: 1.0 · individual contributor, so influence only
Evidence reads like A1: No guidance or leadership of others described → matches the start
Team: 0 direct reports · IC
Market: A1 = Not scored in Band A</v>
      </c>
    </row>
    <row r="50" ht="105" customHeight="1">
      <c r="A50" s="225" t="inlineStr">
        <is>
          <t>Experience &amp; Qualification</t>
        </is>
      </c>
      <c r="B50" s="207" t="str">
        <f>IFERROR(IF(INDEX('2. Talent Mapping'!$BA$7:$BA$53,$J$7)="","—",INDEX('2. Talent Mapping'!$BA$7:$BA$53,$J$7)),"")</f>
        <v>Rated 2 of 12
Experience: 0.4 yrs total · 0.4 at IRIS; none recorded before IRIS = 1.4 on the experience scale
Qualification: PGDM · postgraduate, relevant to the work → +0.5
Market: A2 roles typically have 0–3 yrs · IRIS guide 0–2</v>
      </c>
    </row>
    <row r="51" ht="105" customHeight="1">
      <c r="A51" s="225" t="inlineStr">
        <is>
          <t>Business Impact</t>
        </is>
      </c>
      <c r="B51" s="207" t="str">
        <f>IFERROR(IF(INDEX('2. Talent Mapping'!$BB$7:$BB$53,$J$7)="","—",INDEX('2. Talent Mapping'!$BB$7:$BB$53,$J$7)),"")</f>
        <v>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v>
      </c>
    </row>
    <row r="52" ht="20" customHeight="1">
      <c r="A52" s="224" t="inlineStr">
        <is>
          <t>EVIDENCE, MARKET AND POINTS TO CONFIRM</t>
        </is>
      </c>
    </row>
    <row r="53" ht="45" customHeight="1">
      <c r="A53" s="225" t="inlineStr">
        <is>
          <t>Data used</t>
        </is>
      </c>
      <c r="B53" s="207" t="str">
        <f>IFERROR(IF(INDEX('2. Talent Mapping'!$BD$7:$BD$53,$J$7)="","—",INDEX('2. Talent Mapping'!$BD$7:$BD$53,$J$7)),"")</f>
        <v>✓ HRIS: 0.4 yrs, PGDM, 0 direct reports
✓ Survey: 20 of 20 questions answered
✓ KRAs: reported deliverables
✓ Manager mapping: rating, potential, 9-box
✓ Job description</v>
      </c>
    </row>
    <row r="54" ht="45" customHeight="1">
      <c r="A54" s="225" t="inlineStr">
        <is>
          <t>Market standard</t>
        </is>
      </c>
      <c r="B54" s="207" t="str">
        <f>IFERROR(IF(INDEX('2. Talent Mapping'!$BE$7:$BE$53,$J$7)="","—",INDEX('2. Talent Mapping'!$BE$7:$BE$53,$J$7)),"")</f>
        <v>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v>
      </c>
    </row>
    <row r="55" ht="45" customHeight="1">
      <c r="A55" s="225" t="inlineStr">
        <is>
          <t>Confidence</t>
        </is>
      </c>
      <c r="B55" s="207" t="str">
        <f>IFERROR(IF(INDEX('2. Talent Mapping'!$BF$7:$BF$53,$J$7)="","—",INDEX('2. Talent Mapping'!$BF$7:$BF$53,$J$7)),"")</f>
        <v>High</v>
      </c>
    </row>
    <row r="56" ht="45" customHeight="1">
      <c r="A56" s="225" t="inlineStr">
        <is>
          <t>Points to confirm</t>
        </is>
      </c>
      <c r="B56" s="207" t="str">
        <f>IFERROR(IF(INDEX('2. Talent Mapping'!$BG$7:$BG$53,$J$7)="","—",INDEX('2. Talent Mapping'!$BG$7:$BG$53,$J$7)),"")</f>
        <v>—</v>
      </c>
    </row>
    <row r="57" ht="45" customHeight="1">
      <c r="A57" s="225" t="inlineStr">
        <is>
          <t>Inputs still needed</t>
        </is>
      </c>
      <c r="B57" s="207" t="str">
        <f>IFERROR(IF(INDEX('2. Talent Mapping'!$BC$7:$BC$53,$J$7)="","—",INDEX('2. Talent Mapping'!$BC$7:$BC$53,$J$7)),"")</f>
        <v>—</v>
      </c>
    </row>
  </sheetData>
  <mergeCells count="73">
    <mergeCell ref="E12:F12"/>
    <mergeCell ref="C34:D34"/>
    <mergeCell ref="G12:H12"/>
    <mergeCell ref="A30:H30"/>
    <mergeCell ref="A15:H15"/>
    <mergeCell ref="C33:D33"/>
    <mergeCell ref="B49:H49"/>
    <mergeCell ref="A11:B11"/>
    <mergeCell ref="G11:H11"/>
    <mergeCell ref="B55:H55"/>
    <mergeCell ref="B24:H24"/>
    <mergeCell ref="A1:H1"/>
    <mergeCell ref="A45:H45"/>
    <mergeCell ref="E17:F17"/>
    <mergeCell ref="B51:H51"/>
    <mergeCell ref="G17:H17"/>
    <mergeCell ref="C35:D35"/>
    <mergeCell ref="C20:D20"/>
    <mergeCell ref="A16:B16"/>
    <mergeCell ref="E20:F20"/>
    <mergeCell ref="B26:H26"/>
    <mergeCell ref="C16:D16"/>
    <mergeCell ref="B50:H50"/>
    <mergeCell ref="A25:H25"/>
    <mergeCell ref="E19:F19"/>
    <mergeCell ref="G19:H19"/>
    <mergeCell ref="B47:H47"/>
    <mergeCell ref="B54:H54"/>
    <mergeCell ref="E13:F13"/>
    <mergeCell ref="G13:H13"/>
    <mergeCell ref="A18:B18"/>
    <mergeCell ref="G18:H18"/>
    <mergeCell ref="C31:D31"/>
    <mergeCell ref="B6:D6"/>
    <mergeCell ref="A12:B12"/>
    <mergeCell ref="B46:H46"/>
    <mergeCell ref="B22:H22"/>
    <mergeCell ref="C12:D12"/>
    <mergeCell ref="A3:H3"/>
    <mergeCell ref="B5:D5"/>
    <mergeCell ref="B27:H27"/>
    <mergeCell ref="B56:H56"/>
    <mergeCell ref="C11:D11"/>
    <mergeCell ref="A2:H2"/>
    <mergeCell ref="B43:H43"/>
    <mergeCell ref="E11:F11"/>
    <mergeCell ref="C36:D36"/>
    <mergeCell ref="B48:H48"/>
    <mergeCell ref="A17:B17"/>
    <mergeCell ref="B42:H42"/>
    <mergeCell ref="B7:D7"/>
    <mergeCell ref="C17:D17"/>
    <mergeCell ref="A8:H8"/>
    <mergeCell ref="B23:H23"/>
    <mergeCell ref="A20:B20"/>
    <mergeCell ref="G20:H20"/>
    <mergeCell ref="C32:D32"/>
    <mergeCell ref="E16:F16"/>
    <mergeCell ref="B57:H57"/>
    <mergeCell ref="G16:H16"/>
    <mergeCell ref="A19:B19"/>
    <mergeCell ref="B44:H44"/>
    <mergeCell ref="B53:H53"/>
    <mergeCell ref="C19:D19"/>
    <mergeCell ref="A10:H10"/>
    <mergeCell ref="C37:D37"/>
    <mergeCell ref="A52:H52"/>
    <mergeCell ref="A13:B13"/>
    <mergeCell ref="C13:D13"/>
    <mergeCell ref="B29:H29"/>
    <mergeCell ref="C18:D18"/>
    <mergeCell ref="E18:F18"/>
    <mergeCell ref="B28:H28"/>
  </mergeCells>
  <dataValidations count="2">
    <dataValidation sqref="B5" showDropDown="0" showInputMessage="0" showErrorMessage="0" allowBlank="1" type="list">
      <formula1>PC_DeptF</formula1>
    </dataValidation>
    <dataValidation sqref="B6" showDropDown="0" showInputMessage="0" showErrorMessage="0" allowBlank="1" type="list">
      <formula1>PC_NameF</formula1>
    </dataValidation>
  </dataValidation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6.xml><?xml version="1.0" encoding="utf-8"?>
<worksheet xmlns="http://schemas.openxmlformats.org/spreadsheetml/2006/main">
  <sheetPr>
    <tabColor rgb="002E75B6"/>
    <outlinePr summaryBelow="1" summaryRight="1"/>
    <pageSetUpPr fitToPage="1"/>
  </sheetPr>
  <dimension ref="A1:Z86"/>
  <sheetViews>
    <sheetView showGridLines="0" workbookViewId="0">
      <pane xSplit="4" ySplit="16" topLeftCell="E1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24" customWidth="1" min="3" max="3"/>
    <col width="22" customWidth="1" min="4" max="4"/>
    <col width="8" customWidth="1" min="5" max="5"/>
    <col width="22"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9" customWidth="1" min="19" max="19"/>
    <col width="34"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34" customHeight="1">
      <c r="A1" s="1" t="inlineStr">
        <is>
          <t>Weightage Matrix — how much each factor counts, by department and role group · editable</t>
        </is>
      </c>
      <c r="U1" s="241" t="inlineStr">
        <is>
          <t>◂ Contents</t>
        </is>
      </c>
    </row>
    <row r="2" ht="30" customHeight="1">
      <c r="A2" s="3" t="inlineStr">
        <is>
          <t>1d · Leaders: change the yellow weights. Sheet 2 recalculates points, score and 'Level the score indicates' at once. Below the matrix: what each factor means, what a weight means, and what each rating means.</t>
        </is>
      </c>
    </row>
    <row r="3">
      <c r="A3" s="4" t="inlineStr">
        <is>
          <t>IRIS · Job Architecture &amp; Job Design · Final v1.12 · October 2026 · Internal — Confidential</t>
        </is>
      </c>
    </row>
    <row r="4"/>
    <row r="5" ht="20" customHeight="1">
      <c r="A5" s="6" t="inlineStr">
        <is>
          <t>SETTINGS — Experience &amp; Qualification weight · kept low by design; change it here for everyone</t>
        </is>
      </c>
    </row>
    <row r="6">
      <c r="A6" s="46" t="inlineStr">
        <is>
          <t>Experience &amp; Qualification weight — Bands A–B</t>
        </is>
      </c>
      <c r="B6" s="234" t="n">
        <v>10</v>
      </c>
      <c r="C6" s="11" t="inlineStr">
        <is>
          <t>Band A, Band B and B+ · Corporate functions rows add 5 for professional qualifications</t>
        </is>
      </c>
    </row>
    <row r="7">
      <c r="A7" s="46" t="inlineStr">
        <is>
          <t>Experience &amp; Qualification weight — Bands C–E</t>
        </is>
      </c>
      <c r="B7" s="234" t="n">
        <v>5</v>
      </c>
      <c r="C7" s="11" t="inlineStr">
        <is>
          <t>Band C, C+ and Bands D–E · Corporate functions rows add 5 for professional qualifications</t>
        </is>
      </c>
    </row>
    <row r="8">
      <c r="A8" s="11" t="inlineStr">
        <is>
          <r>
            <rPr>
              <rFont val="Calibri"/>
              <b val="1"/>
              <i val="1"/>
              <color rgb="00595959"/>
              <sz val="10"/>
            </rPr>
            <t>Why it is low:</t>
          </r>
          <r>
            <rPr>
              <rFont val="Calibri"/>
              <i val="1"/>
              <color rgb="00595959"/>
              <sz val="10"/>
            </rPr>
            <t xml:space="preserve"> Sources: S05, S49 Hay know-how includes experience however acquired · S04, S52 Mercer IPE knowledge · S07 WTW GGS · S58 McKinsey · S59 Deloitte · S60 WEF · S61 EY India, 2026 — skills over tenure. The 10% / 5% level is an IRIS leadership decision.</t>
          </r>
        </is>
      </c>
    </row>
    <row r="9"/>
    <row r="10" ht="20" customHeight="1">
      <c r="A10" s="6" t="inlineStr">
        <is>
          <t>HOW TO USE IT — in four steps</t>
        </is>
      </c>
    </row>
    <row r="11">
      <c r="A11" s="207" t="inlineStr">
        <is>
          <t>1. Find your department and role group in the matrix below · filter the Department column.</t>
        </is>
      </c>
    </row>
    <row r="12">
      <c r="A12" s="207" t="inlineStr">
        <is>
          <t>2. Change the yellow weights in steps of 5%. Each row should add up to about 100% — the 'Used' columns show the weights actually applied.</t>
        </is>
      </c>
    </row>
    <row r="13">
      <c r="A13" s="207" t="inlineStr">
        <is>
          <t>3. Look at sheet 2: points, the score and 'Level the score indicates' have already changed for everyone in that department and role group.</t>
        </is>
      </c>
    </row>
    <row r="14">
      <c r="A14" s="207" t="inlineStr">
        <is>
          <t>4. Write why you changed a row in the last column and send the file back; HR imports it and the final levels follow on the next run.</t>
        </is>
      </c>
    </row>
    <row r="15" ht="20" customHeight="1">
      <c r="A15" s="6" t="inlineStr">
        <is>
          <t>THE MATRIX — one row per department × role group in this file</t>
        </is>
      </c>
    </row>
    <row r="16" ht="32" customHeight="1">
      <c r="A16" s="92" t="inlineStr">
        <is>
          <t>Weight row</t>
        </is>
      </c>
      <c r="B16" s="92" t="inlineStr">
        <is>
          <t>Business</t>
        </is>
      </c>
      <c r="C16" s="92" t="inlineStr">
        <is>
          <t>Department</t>
        </is>
      </c>
      <c r="D16" s="92" t="inlineStr">
        <is>
          <t>Role group</t>
        </is>
      </c>
      <c r="E16" s="92" t="inlineStr">
        <is>
          <t>People</t>
        </is>
      </c>
      <c r="F16" s="92" t="inlineStr">
        <is>
          <t>Main type of work</t>
        </is>
      </c>
      <c r="G16" s="12" t="inlineStr">
        <is>
          <t>How hard %</t>
        </is>
      </c>
      <c r="H16" s="12" t="inlineStr">
        <is>
          <t>Decides alone %</t>
        </is>
      </c>
      <c r="I16" s="12" t="inlineStr">
        <is>
          <t>Answers for %</t>
        </is>
      </c>
      <c r="J16" s="12" t="inlineStr">
        <is>
          <t>Leads %</t>
        </is>
      </c>
      <c r="K16" s="12" t="inlineStr">
        <is>
          <t>Experience %</t>
        </is>
      </c>
      <c r="L16" s="12" t="inlineStr">
        <is>
          <t>Business impact %</t>
        </is>
      </c>
      <c r="M16" s="12" t="inlineStr">
        <is>
          <t>Entered total</t>
        </is>
      </c>
      <c r="N16" s="92" t="inlineStr">
        <is>
          <t>Used · How hard</t>
        </is>
      </c>
      <c r="O16" s="92" t="inlineStr">
        <is>
          <t>Used · Decides alone</t>
        </is>
      </c>
      <c r="P16" s="92" t="inlineStr">
        <is>
          <t>Used · Answers for</t>
        </is>
      </c>
      <c r="Q16" s="92" t="inlineStr">
        <is>
          <t>Used · Leads</t>
        </is>
      </c>
      <c r="R16" s="92" t="inlineStr">
        <is>
          <t>Used · Experience</t>
        </is>
      </c>
      <c r="S16" s="92" t="inlineStr">
        <is>
          <t>Used · Business impact</t>
        </is>
      </c>
      <c r="T16" s="92" t="inlineStr">
        <is>
          <t>Why changed · leader</t>
        </is>
      </c>
      <c r="U16" s="235" t="inlineStr">
        <is>
          <t>Default · How hard</t>
        </is>
      </c>
      <c r="V16" s="235" t="inlineStr">
        <is>
          <t>Default · Decides alone</t>
        </is>
      </c>
      <c r="W16" s="235" t="inlineStr">
        <is>
          <t>Default · Answers for</t>
        </is>
      </c>
      <c r="X16" s="235" t="inlineStr">
        <is>
          <t>Default · Leads</t>
        </is>
      </c>
      <c r="Y16" s="235" t="inlineStr">
        <is>
          <t>Default · Experience</t>
        </is>
      </c>
      <c r="Z16" s="235" t="inlineStr">
        <is>
          <t>Default · Business impact</t>
        </is>
      </c>
    </row>
    <row r="17" ht="30" customHeight="1">
      <c r="A17" s="16" t="inlineStr">
        <is>
          <t>iDEAL · Marketing · Band A · Early career</t>
        </is>
      </c>
      <c r="B17" s="16" t="inlineStr">
        <is>
          <t>iDEAL</t>
        </is>
      </c>
      <c r="C17" s="16" t="inlineStr">
        <is>
          <t>Marketing</t>
        </is>
      </c>
      <c r="D17" s="13" t="inlineStr">
        <is>
          <t>Band A · Early career</t>
        </is>
      </c>
      <c r="E17" s="15" t="n">
        <v>1</v>
      </c>
      <c r="F17" s="16" t="inlineStr">
        <is>
          <t>Sales &amp; marketing</t>
        </is>
      </c>
      <c r="G17" s="128" t="n">
        <v>54</v>
      </c>
      <c r="H17" s="128" t="n">
        <v>21</v>
      </c>
      <c r="I17" s="128" t="n">
        <v>4</v>
      </c>
      <c r="J17" s="128" t="n">
        <v>0</v>
      </c>
      <c r="K17" s="128">
        <f>WM_EXP_AB</f>
        <v>10</v>
      </c>
      <c r="L17" s="128" t="n">
        <v>11</v>
      </c>
      <c r="M17" s="236">
        <f>SUM(G17:L17)</f>
        <v>100</v>
      </c>
      <c r="N17" s="237">
        <f>IF((G17+H17+I17+J17+L17)=0,0,G17*(100-MAX(0,MIN(100,K17)))/(G17+H17+I17+J17+L17))/100</f>
        <v>0.54</v>
      </c>
      <c r="O17" s="237">
        <f>IF((G17+H17+I17+J17+L17)=0,0,H17*(100-MAX(0,MIN(100,K17)))/(G17+H17+I17+J17+L17))/100</f>
        <v>0.21</v>
      </c>
      <c r="P17" s="237">
        <f>IF((G17+H17+I17+J17+L17)=0,0,I17*(100-MAX(0,MIN(100,K17)))/(G17+H17+I17+J17+L17))/100</f>
        <v>0.04</v>
      </c>
      <c r="Q17" s="237">
        <f>IF((G17+H17+I17+J17+L17)=0,0,J17*(100-MAX(0,MIN(100,K17)))/(G17+H17+I17+J17+L17))/100</f>
        <v>0</v>
      </c>
      <c r="R17" s="237">
        <f>MAX(0,MIN(100,K17))/100</f>
        <v>0.1</v>
      </c>
      <c r="S17" s="237">
        <f>IF((G17+H17+I17+J17+L17)=0,0,L17*(100-MAX(0,MIN(100,K17)))/(G17+H17+I17+J17+L17))/100</f>
        <v>0.11</v>
      </c>
      <c r="T17" s="121" t="n"/>
      <c r="U17" s="238" t="n">
        <v>54</v>
      </c>
      <c r="V17" s="238" t="n">
        <v>21</v>
      </c>
      <c r="W17" s="238" t="n">
        <v>4</v>
      </c>
      <c r="X17" s="238" t="n">
        <v>0</v>
      </c>
      <c r="Y17" s="238" t="n">
        <v>10</v>
      </c>
      <c r="Z17" s="238" t="n">
        <v>11</v>
      </c>
    </row>
    <row r="18" ht="30" customHeight="1">
      <c r="A18" s="16" t="inlineStr">
        <is>
          <t>iDEAL · Product Management · Band A · Early career</t>
        </is>
      </c>
      <c r="B18" s="16" t="inlineStr">
        <is>
          <t>iDEAL</t>
        </is>
      </c>
      <c r="C18" s="16" t="inlineStr">
        <is>
          <t>Product Management</t>
        </is>
      </c>
      <c r="D18" s="13" t="inlineStr">
        <is>
          <t>Band A · Early career</t>
        </is>
      </c>
      <c r="E18" s="15" t="n">
        <v>1</v>
      </c>
      <c r="F18" s="16" t="inlineStr">
        <is>
          <t>Product &amp; programme</t>
        </is>
      </c>
      <c r="G18" s="128" t="n">
        <v>54</v>
      </c>
      <c r="H18" s="128" t="n">
        <v>21</v>
      </c>
      <c r="I18" s="128" t="n">
        <v>9</v>
      </c>
      <c r="J18" s="128" t="n">
        <v>0</v>
      </c>
      <c r="K18" s="128">
        <f>WM_EXP_AB</f>
        <v>10</v>
      </c>
      <c r="L18" s="128" t="n">
        <v>6</v>
      </c>
      <c r="M18" s="236">
        <f>SUM(G18:L18)</f>
        <v>100</v>
      </c>
      <c r="N18" s="237">
        <f>IF((G18+H18+I18+J18+L18)=0,0,G18*(100-MAX(0,MIN(100,K18)))/(G18+H18+I18+J18+L18))/100</f>
        <v>0.54</v>
      </c>
      <c r="O18" s="237">
        <f>IF((G18+H18+I18+J18+L18)=0,0,H18*(100-MAX(0,MIN(100,K18)))/(G18+H18+I18+J18+L18))/100</f>
        <v>0.21</v>
      </c>
      <c r="P18" s="237">
        <f>IF((G18+H18+I18+J18+L18)=0,0,I18*(100-MAX(0,MIN(100,K18)))/(G18+H18+I18+J18+L18))/100</f>
        <v>0.09</v>
      </c>
      <c r="Q18" s="237">
        <f>IF((G18+H18+I18+J18+L18)=0,0,J18*(100-MAX(0,MIN(100,K18)))/(G18+H18+I18+J18+L18))/100</f>
        <v>0</v>
      </c>
      <c r="R18" s="237">
        <f>MAX(0,MIN(100,K18))/100</f>
        <v>0.1</v>
      </c>
      <c r="S18" s="237">
        <f>IF((G18+H18+I18+J18+L18)=0,0,L18*(100-MAX(0,MIN(100,K18)))/(G18+H18+I18+J18+L18))/100</f>
        <v>0.06</v>
      </c>
      <c r="T18" s="121" t="n"/>
      <c r="U18" s="238" t="n">
        <v>54</v>
      </c>
      <c r="V18" s="238" t="n">
        <v>21</v>
      </c>
      <c r="W18" s="238" t="n">
        <v>9</v>
      </c>
      <c r="X18" s="238" t="n">
        <v>0</v>
      </c>
      <c r="Y18" s="238" t="n">
        <v>10</v>
      </c>
      <c r="Z18" s="238" t="n">
        <v>6</v>
      </c>
    </row>
    <row r="19" ht="30" customHeight="1">
      <c r="A19" s="16" t="inlineStr">
        <is>
          <t>iDEAL · Product Management · Band B · People Manager</t>
        </is>
      </c>
      <c r="B19" s="16" t="inlineStr">
        <is>
          <t>iDEAL</t>
        </is>
      </c>
      <c r="C19" s="16" t="inlineStr">
        <is>
          <t>Product Management</t>
        </is>
      </c>
      <c r="D19" s="13" t="inlineStr">
        <is>
          <t>Band B · People Manager</t>
        </is>
      </c>
      <c r="E19" s="15" t="n">
        <v>2</v>
      </c>
      <c r="F19" s="16" t="inlineStr">
        <is>
          <t>Product &amp; programme</t>
        </is>
      </c>
      <c r="G19" s="128" t="n">
        <v>32</v>
      </c>
      <c r="H19" s="128" t="n">
        <v>23</v>
      </c>
      <c r="I19" s="128" t="n">
        <v>11</v>
      </c>
      <c r="J19" s="128" t="n">
        <v>15</v>
      </c>
      <c r="K19" s="128">
        <f>WM_EXP_AB</f>
        <v>10</v>
      </c>
      <c r="L19" s="128" t="n">
        <v>9</v>
      </c>
      <c r="M19" s="236">
        <f>SUM(G19:L19)</f>
        <v>100</v>
      </c>
      <c r="N19" s="237">
        <f>IF((G19+H19+I19+J19+L19)=0,0,G19*(100-MAX(0,MIN(100,K19)))/(G19+H19+I19+J19+L19))/100</f>
        <v>0.32</v>
      </c>
      <c r="O19" s="237">
        <f>IF((G19+H19+I19+J19+L19)=0,0,H19*(100-MAX(0,MIN(100,K19)))/(G19+H19+I19+J19+L19))/100</f>
        <v>0.23</v>
      </c>
      <c r="P19" s="237">
        <f>IF((G19+H19+I19+J19+L19)=0,0,I19*(100-MAX(0,MIN(100,K19)))/(G19+H19+I19+J19+L19))/100</f>
        <v>0.11</v>
      </c>
      <c r="Q19" s="237">
        <f>IF((G19+H19+I19+J19+L19)=0,0,J19*(100-MAX(0,MIN(100,K19)))/(G19+H19+I19+J19+L19))/100</f>
        <v>0.15</v>
      </c>
      <c r="R19" s="237">
        <f>MAX(0,MIN(100,K19))/100</f>
        <v>0.1</v>
      </c>
      <c r="S19" s="237">
        <f>IF((G19+H19+I19+J19+L19)=0,0,L19*(100-MAX(0,MIN(100,K19)))/(G19+H19+I19+J19+L19))/100</f>
        <v>0.09</v>
      </c>
      <c r="T19" s="121" t="n"/>
      <c r="U19" s="238" t="n">
        <v>32</v>
      </c>
      <c r="V19" s="238" t="n">
        <v>23</v>
      </c>
      <c r="W19" s="238" t="n">
        <v>11</v>
      </c>
      <c r="X19" s="238" t="n">
        <v>15</v>
      </c>
      <c r="Y19" s="238" t="n">
        <v>10</v>
      </c>
      <c r="Z19" s="238" t="n">
        <v>9</v>
      </c>
    </row>
    <row r="20" ht="30" customHeight="1">
      <c r="A20" s="16" t="inlineStr">
        <is>
          <t>iDEAL · Quality Assurance · Band A · Early career</t>
        </is>
      </c>
      <c r="B20" s="16" t="inlineStr">
        <is>
          <t>iDEAL</t>
        </is>
      </c>
      <c r="C20" s="16" t="inlineStr">
        <is>
          <t>Quality Assurance</t>
        </is>
      </c>
      <c r="D20" s="13" t="inlineStr">
        <is>
          <t>Band A · Early career</t>
        </is>
      </c>
      <c r="E20" s="15" t="n">
        <v>4</v>
      </c>
      <c r="F20" s="16" t="inlineStr">
        <is>
          <t>Technology &amp; engineering</t>
        </is>
      </c>
      <c r="G20" s="128" t="n">
        <v>64</v>
      </c>
      <c r="H20" s="128" t="n">
        <v>16</v>
      </c>
      <c r="I20" s="128" t="n">
        <v>4</v>
      </c>
      <c r="J20" s="128" t="n">
        <v>0</v>
      </c>
      <c r="K20" s="128">
        <f>WM_EXP_AB</f>
        <v>10</v>
      </c>
      <c r="L20" s="128" t="n">
        <v>6</v>
      </c>
      <c r="M20" s="236">
        <f>SUM(G20:L20)</f>
        <v>100</v>
      </c>
      <c r="N20" s="237">
        <f>IF((G20+H20+I20+J20+L20)=0,0,G20*(100-MAX(0,MIN(100,K20)))/(G20+H20+I20+J20+L20))/100</f>
        <v>0.64</v>
      </c>
      <c r="O20" s="237">
        <f>IF((G20+H20+I20+J20+L20)=0,0,H20*(100-MAX(0,MIN(100,K20)))/(G20+H20+I20+J20+L20))/100</f>
        <v>0.16</v>
      </c>
      <c r="P20" s="237">
        <f>IF((G20+H20+I20+J20+L20)=0,0,I20*(100-MAX(0,MIN(100,K20)))/(G20+H20+I20+J20+L20))/100</f>
        <v>0.04</v>
      </c>
      <c r="Q20" s="237">
        <f>IF((G20+H20+I20+J20+L20)=0,0,J20*(100-MAX(0,MIN(100,K20)))/(G20+H20+I20+J20+L20))/100</f>
        <v>0</v>
      </c>
      <c r="R20" s="237">
        <f>MAX(0,MIN(100,K20))/100</f>
        <v>0.1</v>
      </c>
      <c r="S20" s="237">
        <f>IF((G20+H20+I20+J20+L20)=0,0,L20*(100-MAX(0,MIN(100,K20)))/(G20+H20+I20+J20+L20))/100</f>
        <v>0.06</v>
      </c>
      <c r="T20" s="121" t="n"/>
      <c r="U20" s="238" t="n">
        <v>64</v>
      </c>
      <c r="V20" s="238" t="n">
        <v>16</v>
      </c>
      <c r="W20" s="238" t="n">
        <v>4</v>
      </c>
      <c r="X20" s="238" t="n">
        <v>0</v>
      </c>
      <c r="Y20" s="238" t="n">
        <v>10</v>
      </c>
      <c r="Z20" s="238" t="n">
        <v>6</v>
      </c>
    </row>
    <row r="21" ht="30" customHeight="1">
      <c r="A21" s="16" t="inlineStr">
        <is>
          <t>iDEAL · Quality Assurance · Band B · People Manager</t>
        </is>
      </c>
      <c r="B21" s="16" t="inlineStr">
        <is>
          <t>iDEAL</t>
        </is>
      </c>
      <c r="C21" s="16" t="inlineStr">
        <is>
          <t>Quality Assurance</t>
        </is>
      </c>
      <c r="D21" s="13" t="inlineStr">
        <is>
          <t>Band B · People Manager</t>
        </is>
      </c>
      <c r="E21" s="15" t="n">
        <v>1</v>
      </c>
      <c r="F21" s="16" t="inlineStr">
        <is>
          <t>Technology &amp; engineering</t>
        </is>
      </c>
      <c r="G21" s="128" t="n">
        <v>42</v>
      </c>
      <c r="H21" s="128" t="n">
        <v>18</v>
      </c>
      <c r="I21" s="128" t="n">
        <v>6</v>
      </c>
      <c r="J21" s="128" t="n">
        <v>15</v>
      </c>
      <c r="K21" s="128">
        <f>WM_EXP_AB</f>
        <v>10</v>
      </c>
      <c r="L21" s="128" t="n">
        <v>9</v>
      </c>
      <c r="M21" s="236">
        <f>SUM(G21:L21)</f>
        <v>100</v>
      </c>
      <c r="N21" s="237">
        <f>IF((G21+H21+I21+J21+L21)=0,0,G21*(100-MAX(0,MIN(100,K21)))/(G21+H21+I21+J21+L21))/100</f>
        <v>0.42</v>
      </c>
      <c r="O21" s="237">
        <f>IF((G21+H21+I21+J21+L21)=0,0,H21*(100-MAX(0,MIN(100,K21)))/(G21+H21+I21+J21+L21))/100</f>
        <v>0.18</v>
      </c>
      <c r="P21" s="237">
        <f>IF((G21+H21+I21+J21+L21)=0,0,I21*(100-MAX(0,MIN(100,K21)))/(G21+H21+I21+J21+L21))/100</f>
        <v>0.06</v>
      </c>
      <c r="Q21" s="237">
        <f>IF((G21+H21+I21+J21+L21)=0,0,J21*(100-MAX(0,MIN(100,K21)))/(G21+H21+I21+J21+L21))/100</f>
        <v>0.15</v>
      </c>
      <c r="R21" s="237">
        <f>MAX(0,MIN(100,K21))/100</f>
        <v>0.1</v>
      </c>
      <c r="S21" s="237">
        <f>IF((G21+H21+I21+J21+L21)=0,0,L21*(100-MAX(0,MIN(100,K21)))/(G21+H21+I21+J21+L21))/100</f>
        <v>0.09</v>
      </c>
      <c r="T21" s="121" t="n"/>
      <c r="U21" s="238" t="n">
        <v>42</v>
      </c>
      <c r="V21" s="238" t="n">
        <v>18</v>
      </c>
      <c r="W21" s="238" t="n">
        <v>6</v>
      </c>
      <c r="X21" s="238" t="n">
        <v>15</v>
      </c>
      <c r="Y21" s="238" t="n">
        <v>10</v>
      </c>
      <c r="Z21" s="238" t="n">
        <v>9</v>
      </c>
    </row>
    <row r="22" ht="30" customHeight="1">
      <c r="A22" s="16" t="inlineStr">
        <is>
          <t>iDEAL · Sales · Band A · Early career</t>
        </is>
      </c>
      <c r="B22" s="16" t="inlineStr">
        <is>
          <t>iDEAL</t>
        </is>
      </c>
      <c r="C22" s="16" t="inlineStr">
        <is>
          <t>Sales</t>
        </is>
      </c>
      <c r="D22" s="13" t="inlineStr">
        <is>
          <t>Band A · Early career</t>
        </is>
      </c>
      <c r="E22" s="15" t="n">
        <v>1</v>
      </c>
      <c r="F22" s="16" t="inlineStr">
        <is>
          <t>Sales &amp; marketing</t>
        </is>
      </c>
      <c r="G22" s="128" t="n">
        <v>54</v>
      </c>
      <c r="H22" s="128" t="n">
        <v>21</v>
      </c>
      <c r="I22" s="128" t="n">
        <v>4</v>
      </c>
      <c r="J22" s="128" t="n">
        <v>0</v>
      </c>
      <c r="K22" s="128">
        <f>WM_EXP_AB</f>
        <v>10</v>
      </c>
      <c r="L22" s="128" t="n">
        <v>11</v>
      </c>
      <c r="M22" s="236">
        <f>SUM(G22:L22)</f>
        <v>100</v>
      </c>
      <c r="N22" s="237">
        <f>IF((G22+H22+I22+J22+L22)=0,0,G22*(100-MAX(0,MIN(100,K22)))/(G22+H22+I22+J22+L22))/100</f>
        <v>0.54</v>
      </c>
      <c r="O22" s="237">
        <f>IF((G22+H22+I22+J22+L22)=0,0,H22*(100-MAX(0,MIN(100,K22)))/(G22+H22+I22+J22+L22))/100</f>
        <v>0.21</v>
      </c>
      <c r="P22" s="237">
        <f>IF((G22+H22+I22+J22+L22)=0,0,I22*(100-MAX(0,MIN(100,K22)))/(G22+H22+I22+J22+L22))/100</f>
        <v>0.04</v>
      </c>
      <c r="Q22" s="237">
        <f>IF((G22+H22+I22+J22+L22)=0,0,J22*(100-MAX(0,MIN(100,K22)))/(G22+H22+I22+J22+L22))/100</f>
        <v>0</v>
      </c>
      <c r="R22" s="237">
        <f>MAX(0,MIN(100,K22))/100</f>
        <v>0.1</v>
      </c>
      <c r="S22" s="237">
        <f>IF((G22+H22+I22+J22+L22)=0,0,L22*(100-MAX(0,MIN(100,K22)))/(G22+H22+I22+J22+L22))/100</f>
        <v>0.11</v>
      </c>
      <c r="T22" s="121" t="n"/>
      <c r="U22" s="238" t="n">
        <v>54</v>
      </c>
      <c r="V22" s="238" t="n">
        <v>21</v>
      </c>
      <c r="W22" s="238" t="n">
        <v>4</v>
      </c>
      <c r="X22" s="238" t="n">
        <v>0</v>
      </c>
      <c r="Y22" s="238" t="n">
        <v>10</v>
      </c>
      <c r="Z22" s="238" t="n">
        <v>11</v>
      </c>
    </row>
    <row r="23" ht="30" customHeight="1">
      <c r="A23" s="16" t="inlineStr">
        <is>
          <t>iDEAL · Sales · Band B · Expert / POD Lead</t>
        </is>
      </c>
      <c r="B23" s="16" t="inlineStr">
        <is>
          <t>iDEAL</t>
        </is>
      </c>
      <c r="C23" s="16" t="inlineStr">
        <is>
          <t>Sales</t>
        </is>
      </c>
      <c r="D23" s="13" t="inlineStr">
        <is>
          <t>Band B · Expert / POD Lead</t>
        </is>
      </c>
      <c r="E23" s="15" t="n">
        <v>2</v>
      </c>
      <c r="F23" s="16" t="inlineStr">
        <is>
          <t>Sales &amp; marketing</t>
        </is>
      </c>
      <c r="G23" s="128" t="n">
        <v>46</v>
      </c>
      <c r="H23" s="128" t="n">
        <v>22</v>
      </c>
      <c r="I23" s="128" t="n">
        <v>5</v>
      </c>
      <c r="J23" s="128" t="n">
        <v>5</v>
      </c>
      <c r="K23" s="128">
        <f>WM_EXP_AB</f>
        <v>10</v>
      </c>
      <c r="L23" s="128" t="n">
        <v>12</v>
      </c>
      <c r="M23" s="236">
        <f>SUM(G23:L23)</f>
        <v>100</v>
      </c>
      <c r="N23" s="237">
        <f>IF((G23+H23+I23+J23+L23)=0,0,G23*(100-MAX(0,MIN(100,K23)))/(G23+H23+I23+J23+L23))/100</f>
        <v>0.46</v>
      </c>
      <c r="O23" s="237">
        <f>IF((G23+H23+I23+J23+L23)=0,0,H23*(100-MAX(0,MIN(100,K23)))/(G23+H23+I23+J23+L23))/100</f>
        <v>0.22</v>
      </c>
      <c r="P23" s="237">
        <f>IF((G23+H23+I23+J23+L23)=0,0,I23*(100-MAX(0,MIN(100,K23)))/(G23+H23+I23+J23+L23))/100</f>
        <v>0.05</v>
      </c>
      <c r="Q23" s="237">
        <f>IF((G23+H23+I23+J23+L23)=0,0,J23*(100-MAX(0,MIN(100,K23)))/(G23+H23+I23+J23+L23))/100</f>
        <v>0.05</v>
      </c>
      <c r="R23" s="237">
        <f>MAX(0,MIN(100,K23))/100</f>
        <v>0.1</v>
      </c>
      <c r="S23" s="237">
        <f>IF((G23+H23+I23+J23+L23)=0,0,L23*(100-MAX(0,MIN(100,K23)))/(G23+H23+I23+J23+L23))/100</f>
        <v>0.12</v>
      </c>
      <c r="T23" s="121" t="n"/>
      <c r="U23" s="238" t="n">
        <v>46</v>
      </c>
      <c r="V23" s="238" t="n">
        <v>22</v>
      </c>
      <c r="W23" s="238" t="n">
        <v>5</v>
      </c>
      <c r="X23" s="238" t="n">
        <v>5</v>
      </c>
      <c r="Y23" s="238" t="n">
        <v>10</v>
      </c>
      <c r="Z23" s="238" t="n">
        <v>12</v>
      </c>
    </row>
    <row r="24" ht="30" customHeight="1">
      <c r="A24" s="16" t="inlineStr">
        <is>
          <t>iDEAL · Technology · Band A · Early career</t>
        </is>
      </c>
      <c r="B24" s="16" t="inlineStr">
        <is>
          <t>iDEAL</t>
        </is>
      </c>
      <c r="C24" s="16" t="inlineStr">
        <is>
          <t>Technology</t>
        </is>
      </c>
      <c r="D24" s="13" t="inlineStr">
        <is>
          <t>Band A · Early career</t>
        </is>
      </c>
      <c r="E24" s="15" t="n">
        <v>22</v>
      </c>
      <c r="F24" s="16" t="inlineStr">
        <is>
          <t>Technology &amp; engineering</t>
        </is>
      </c>
      <c r="G24" s="128" t="n">
        <v>64</v>
      </c>
      <c r="H24" s="128" t="n">
        <v>16</v>
      </c>
      <c r="I24" s="128" t="n">
        <v>4</v>
      </c>
      <c r="J24" s="128" t="n">
        <v>0</v>
      </c>
      <c r="K24" s="128">
        <f>WM_EXP_AB</f>
        <v>10</v>
      </c>
      <c r="L24" s="128" t="n">
        <v>6</v>
      </c>
      <c r="M24" s="236">
        <f>SUM(G24:L24)</f>
        <v>100</v>
      </c>
      <c r="N24" s="237">
        <f>IF((G24+H24+I24+J24+L24)=0,0,G24*(100-MAX(0,MIN(100,K24)))/(G24+H24+I24+J24+L24))/100</f>
        <v>0.64</v>
      </c>
      <c r="O24" s="237">
        <f>IF((G24+H24+I24+J24+L24)=0,0,H24*(100-MAX(0,MIN(100,K24)))/(G24+H24+I24+J24+L24))/100</f>
        <v>0.16</v>
      </c>
      <c r="P24" s="237">
        <f>IF((G24+H24+I24+J24+L24)=0,0,I24*(100-MAX(0,MIN(100,K24)))/(G24+H24+I24+J24+L24))/100</f>
        <v>0.04</v>
      </c>
      <c r="Q24" s="237">
        <f>IF((G24+H24+I24+J24+L24)=0,0,J24*(100-MAX(0,MIN(100,K24)))/(G24+H24+I24+J24+L24))/100</f>
        <v>0</v>
      </c>
      <c r="R24" s="237">
        <f>MAX(0,MIN(100,K24))/100</f>
        <v>0.1</v>
      </c>
      <c r="S24" s="237">
        <f>IF((G24+H24+I24+J24+L24)=0,0,L24*(100-MAX(0,MIN(100,K24)))/(G24+H24+I24+J24+L24))/100</f>
        <v>0.06</v>
      </c>
      <c r="T24" s="121" t="n"/>
      <c r="U24" s="238" t="n">
        <v>64</v>
      </c>
      <c r="V24" s="238" t="n">
        <v>16</v>
      </c>
      <c r="W24" s="238" t="n">
        <v>4</v>
      </c>
      <c r="X24" s="238" t="n">
        <v>0</v>
      </c>
      <c r="Y24" s="238" t="n">
        <v>10</v>
      </c>
      <c r="Z24" s="238" t="n">
        <v>6</v>
      </c>
    </row>
    <row r="25" ht="30" customHeight="1">
      <c r="A25" s="16" t="inlineStr">
        <is>
          <t>iDEAL · Technology · Band B · Expert / POD Lead</t>
        </is>
      </c>
      <c r="B25" s="16" t="inlineStr">
        <is>
          <t>iDEAL</t>
        </is>
      </c>
      <c r="C25" s="16" t="inlineStr">
        <is>
          <t>Technology</t>
        </is>
      </c>
      <c r="D25" s="13" t="inlineStr">
        <is>
          <t>Band B · Expert / POD Lead</t>
        </is>
      </c>
      <c r="E25" s="15" t="n">
        <v>7</v>
      </c>
      <c r="F25" s="16" t="inlineStr">
        <is>
          <t>Technology &amp; engineering</t>
        </is>
      </c>
      <c r="G25" s="128" t="n">
        <v>56</v>
      </c>
      <c r="H25" s="128" t="n">
        <v>17</v>
      </c>
      <c r="I25" s="128" t="n">
        <v>5</v>
      </c>
      <c r="J25" s="128" t="n">
        <v>5</v>
      </c>
      <c r="K25" s="128">
        <f>WM_EXP_AB</f>
        <v>10</v>
      </c>
      <c r="L25" s="128" t="n">
        <v>7</v>
      </c>
      <c r="M25" s="236">
        <f>SUM(G25:L25)</f>
        <v>100</v>
      </c>
      <c r="N25" s="237">
        <f>IF((G25+H25+I25+J25+L25)=0,0,G25*(100-MAX(0,MIN(100,K25)))/(G25+H25+I25+J25+L25))/100</f>
        <v>0.56</v>
      </c>
      <c r="O25" s="237">
        <f>IF((G25+H25+I25+J25+L25)=0,0,H25*(100-MAX(0,MIN(100,K25)))/(G25+H25+I25+J25+L25))/100</f>
        <v>0.17</v>
      </c>
      <c r="P25" s="237">
        <f>IF((G25+H25+I25+J25+L25)=0,0,I25*(100-MAX(0,MIN(100,K25)))/(G25+H25+I25+J25+L25))/100</f>
        <v>0.05</v>
      </c>
      <c r="Q25" s="237">
        <f>IF((G25+H25+I25+J25+L25)=0,0,J25*(100-MAX(0,MIN(100,K25)))/(G25+H25+I25+J25+L25))/100</f>
        <v>0.05</v>
      </c>
      <c r="R25" s="237">
        <f>MAX(0,MIN(100,K25))/100</f>
        <v>0.1</v>
      </c>
      <c r="S25" s="237">
        <f>IF((G25+H25+I25+J25+L25)=0,0,L25*(100-MAX(0,MIN(100,K25)))/(G25+H25+I25+J25+L25))/100</f>
        <v>0.07</v>
      </c>
      <c r="T25" s="121" t="n"/>
      <c r="U25" s="238" t="n">
        <v>56</v>
      </c>
      <c r="V25" s="238" t="n">
        <v>17</v>
      </c>
      <c r="W25" s="238" t="n">
        <v>5</v>
      </c>
      <c r="X25" s="238" t="n">
        <v>5</v>
      </c>
      <c r="Y25" s="238" t="n">
        <v>10</v>
      </c>
      <c r="Z25" s="238" t="n">
        <v>7</v>
      </c>
    </row>
    <row r="26" ht="30" customHeight="1">
      <c r="A26" s="16" t="inlineStr">
        <is>
          <t>iDEAL · Technology · Band B · People Manager</t>
        </is>
      </c>
      <c r="B26" s="16" t="inlineStr">
        <is>
          <t>iDEAL</t>
        </is>
      </c>
      <c r="C26" s="16" t="inlineStr">
        <is>
          <t>Technology</t>
        </is>
      </c>
      <c r="D26" s="13" t="inlineStr">
        <is>
          <t>Band B · People Manager</t>
        </is>
      </c>
      <c r="E26" s="15" t="n">
        <v>1</v>
      </c>
      <c r="F26" s="16" t="inlineStr">
        <is>
          <t>Technology &amp; engineering</t>
        </is>
      </c>
      <c r="G26" s="128" t="n">
        <v>42</v>
      </c>
      <c r="H26" s="128" t="n">
        <v>18</v>
      </c>
      <c r="I26" s="128" t="n">
        <v>6</v>
      </c>
      <c r="J26" s="128" t="n">
        <v>15</v>
      </c>
      <c r="K26" s="128">
        <f>WM_EXP_AB</f>
        <v>10</v>
      </c>
      <c r="L26" s="128" t="n">
        <v>9</v>
      </c>
      <c r="M26" s="236">
        <f>SUM(G26:L26)</f>
        <v>100</v>
      </c>
      <c r="N26" s="237">
        <f>IF((G26+H26+I26+J26+L26)=0,0,G26*(100-MAX(0,MIN(100,K26)))/(G26+H26+I26+J26+L26))/100</f>
        <v>0.42</v>
      </c>
      <c r="O26" s="237">
        <f>IF((G26+H26+I26+J26+L26)=0,0,H26*(100-MAX(0,MIN(100,K26)))/(G26+H26+I26+J26+L26))/100</f>
        <v>0.18</v>
      </c>
      <c r="P26" s="237">
        <f>IF((G26+H26+I26+J26+L26)=0,0,I26*(100-MAX(0,MIN(100,K26)))/(G26+H26+I26+J26+L26))/100</f>
        <v>0.06</v>
      </c>
      <c r="Q26" s="237">
        <f>IF((G26+H26+I26+J26+L26)=0,0,J26*(100-MAX(0,MIN(100,K26)))/(G26+H26+I26+J26+L26))/100</f>
        <v>0.15</v>
      </c>
      <c r="R26" s="237">
        <f>MAX(0,MIN(100,K26))/100</f>
        <v>0.1</v>
      </c>
      <c r="S26" s="237">
        <f>IF((G26+H26+I26+J26+L26)=0,0,L26*(100-MAX(0,MIN(100,K26)))/(G26+H26+I26+J26+L26))/100</f>
        <v>0.09</v>
      </c>
      <c r="T26" s="121" t="n"/>
      <c r="U26" s="238" t="n">
        <v>42</v>
      </c>
      <c r="V26" s="238" t="n">
        <v>18</v>
      </c>
      <c r="W26" s="238" t="n">
        <v>6</v>
      </c>
      <c r="X26" s="238" t="n">
        <v>15</v>
      </c>
      <c r="Y26" s="238" t="n">
        <v>10</v>
      </c>
      <c r="Z26" s="238" t="n">
        <v>9</v>
      </c>
    </row>
    <row r="27" ht="30" customHeight="1">
      <c r="A27" s="16" t="inlineStr">
        <is>
          <t>iDEAL · Technology · B+ · Player-Coach</t>
        </is>
      </c>
      <c r="B27" s="16" t="inlineStr">
        <is>
          <t>iDEAL</t>
        </is>
      </c>
      <c r="C27" s="16" t="inlineStr">
        <is>
          <t>Technology</t>
        </is>
      </c>
      <c r="D27" s="13" t="inlineStr">
        <is>
          <t>B+ · Player-Coach</t>
        </is>
      </c>
      <c r="E27" s="15" t="n">
        <v>1</v>
      </c>
      <c r="F27" s="16" t="inlineStr">
        <is>
          <t>Technology &amp; engineering</t>
        </is>
      </c>
      <c r="G27" s="128" t="n">
        <v>49</v>
      </c>
      <c r="H27" s="128" t="n">
        <v>18</v>
      </c>
      <c r="I27" s="128" t="n">
        <v>5</v>
      </c>
      <c r="J27" s="128" t="n">
        <v>10</v>
      </c>
      <c r="K27" s="128">
        <f>WM_EXP_AB</f>
        <v>10</v>
      </c>
      <c r="L27" s="128" t="n">
        <v>8</v>
      </c>
      <c r="M27" s="236">
        <f>SUM(G27:L27)</f>
        <v>100</v>
      </c>
      <c r="N27" s="237">
        <f>IF((G27+H27+I27+J27+L27)=0,0,G27*(100-MAX(0,MIN(100,K27)))/(G27+H27+I27+J27+L27))/100</f>
        <v>0.49</v>
      </c>
      <c r="O27" s="237">
        <f>IF((G27+H27+I27+J27+L27)=0,0,H27*(100-MAX(0,MIN(100,K27)))/(G27+H27+I27+J27+L27))/100</f>
        <v>0.18</v>
      </c>
      <c r="P27" s="237">
        <f>IF((G27+H27+I27+J27+L27)=0,0,I27*(100-MAX(0,MIN(100,K27)))/(G27+H27+I27+J27+L27))/100</f>
        <v>0.05</v>
      </c>
      <c r="Q27" s="237">
        <f>IF((G27+H27+I27+J27+L27)=0,0,J27*(100-MAX(0,MIN(100,K27)))/(G27+H27+I27+J27+L27))/100</f>
        <v>0.1</v>
      </c>
      <c r="R27" s="237">
        <f>MAX(0,MIN(100,K27))/100</f>
        <v>0.1</v>
      </c>
      <c r="S27" s="237">
        <f>IF((G27+H27+I27+J27+L27)=0,0,L27*(100-MAX(0,MIN(100,K27)))/(G27+H27+I27+J27+L27))/100</f>
        <v>0.08</v>
      </c>
      <c r="T27" s="121" t="n"/>
      <c r="U27" s="238" t="n">
        <v>49</v>
      </c>
      <c r="V27" s="238" t="n">
        <v>18</v>
      </c>
      <c r="W27" s="238" t="n">
        <v>5</v>
      </c>
      <c r="X27" s="238" t="n">
        <v>10</v>
      </c>
      <c r="Y27" s="238" t="n">
        <v>10</v>
      </c>
      <c r="Z27" s="238" t="n">
        <v>8</v>
      </c>
    </row>
    <row r="28" ht="30" customHeight="1">
      <c r="A28" s="16" t="inlineStr">
        <is>
          <t>iDEAL · iDEAL Business Head · Bands D–E · Leadership</t>
        </is>
      </c>
      <c r="B28" s="16" t="inlineStr">
        <is>
          <t>iDEAL</t>
        </is>
      </c>
      <c r="C28" s="16" t="inlineStr">
        <is>
          <t>iDEAL Business Head</t>
        </is>
      </c>
      <c r="D28" s="13" t="inlineStr">
        <is>
          <t>Bands D–E · Leadership</t>
        </is>
      </c>
      <c r="E28" s="15" t="n">
        <v>1</v>
      </c>
      <c r="F28" s="16" t="inlineStr">
        <is>
          <t>General management</t>
        </is>
      </c>
      <c r="G28" s="128" t="n">
        <v>37</v>
      </c>
      <c r="H28" s="128" t="n">
        <v>19</v>
      </c>
      <c r="I28" s="128" t="n">
        <v>11</v>
      </c>
      <c r="J28" s="128" t="n">
        <v>20</v>
      </c>
      <c r="K28" s="128">
        <f>WM_EXP_CE</f>
        <v>5</v>
      </c>
      <c r="L28" s="128" t="n">
        <v>8</v>
      </c>
      <c r="M28" s="236">
        <f>SUM(G28:L28)</f>
        <v>100</v>
      </c>
      <c r="N28" s="237">
        <f>IF((G28+H28+I28+J28+L28)=0,0,G28*(100-MAX(0,MIN(100,K28)))/(G28+H28+I28+J28+L28))/100</f>
        <v>0.37</v>
      </c>
      <c r="O28" s="237">
        <f>IF((G28+H28+I28+J28+L28)=0,0,H28*(100-MAX(0,MIN(100,K28)))/(G28+H28+I28+J28+L28))/100</f>
        <v>0.19</v>
      </c>
      <c r="P28" s="237">
        <f>IF((G28+H28+I28+J28+L28)=0,0,I28*(100-MAX(0,MIN(100,K28)))/(G28+H28+I28+J28+L28))/100</f>
        <v>0.11</v>
      </c>
      <c r="Q28" s="237">
        <f>IF((G28+H28+I28+J28+L28)=0,0,J28*(100-MAX(0,MIN(100,K28)))/(G28+H28+I28+J28+L28))/100</f>
        <v>0.2</v>
      </c>
      <c r="R28" s="237">
        <f>MAX(0,MIN(100,K28))/100</f>
        <v>0.05</v>
      </c>
      <c r="S28" s="237">
        <f>IF((G28+H28+I28+J28+L28)=0,0,L28*(100-MAX(0,MIN(100,K28)))/(G28+H28+I28+J28+L28))/100</f>
        <v>0.08</v>
      </c>
      <c r="T28" s="121" t="n"/>
      <c r="U28" s="238" t="n">
        <v>37</v>
      </c>
      <c r="V28" s="238" t="n">
        <v>19</v>
      </c>
      <c r="W28" s="238" t="n">
        <v>11</v>
      </c>
      <c r="X28" s="238" t="n">
        <v>20</v>
      </c>
      <c r="Y28" s="238" t="n">
        <v>5</v>
      </c>
      <c r="Z28" s="238" t="n">
        <v>8</v>
      </c>
    </row>
    <row r="29" ht="15" customHeight="1"/>
    <row r="30" ht="20" customHeight="1">
      <c r="A30" s="6" t="inlineStr">
        <is>
          <t>WHAT EACH FACTOR MEANS — and when to give it more weight</t>
        </is>
      </c>
    </row>
    <row r="31" ht="15" customHeight="1">
      <c r="A31" s="12" t="inlineStr">
        <is>
          <t>Factor</t>
        </is>
      </c>
      <c r="B31" s="209" t="n"/>
      <c r="C31" s="12" t="inlineStr">
        <is>
          <t>What it measures</t>
        </is>
      </c>
      <c r="D31" s="210" t="n"/>
      <c r="E31" s="210" t="n"/>
      <c r="F31" s="210" t="n"/>
      <c r="G31" s="210" t="n"/>
      <c r="H31" s="209" t="n"/>
      <c r="I31" s="12" t="inlineStr">
        <is>
          <t>Give it more weight when…</t>
        </is>
      </c>
      <c r="J31" s="210" t="n"/>
      <c r="K31" s="210" t="n"/>
      <c r="L31" s="210" t="n"/>
      <c r="M31" s="210" t="n"/>
      <c r="N31" s="210" t="n"/>
      <c r="O31" s="210" t="n"/>
      <c r="P31" s="210" t="n"/>
      <c r="Q31" s="210" t="n"/>
      <c r="R31" s="210" t="n"/>
      <c r="S31" s="210" t="n"/>
      <c r="T31" s="209" t="n"/>
    </row>
    <row r="32" ht="15" customHeight="1">
      <c r="A32" s="13" t="inlineStr">
        <is>
          <t>Complexity &amp; Expertise</t>
        </is>
      </c>
      <c r="B32" s="209" t="n"/>
      <c r="C32" s="16" t="inlineStr">
        <is>
          <t>How hard and how specialised the work is</t>
        </is>
      </c>
      <c r="D32" s="210" t="n"/>
      <c r="E32" s="210" t="n"/>
      <c r="F32" s="210" t="n"/>
      <c r="G32" s="210" t="n"/>
      <c r="H32" s="209" t="n"/>
      <c r="I32" s="16" t="inlineStr">
        <is>
          <r>
            <rPr>
              <rFont val="Calibri"/>
              <b val="1"/>
              <sz val="10"/>
            </rPr>
            <t>The job's value is deep expertise:</t>
          </r>
          <r>
            <rPr>
              <rFont val="Calibri"/>
              <sz val="10"/>
            </rPr>
            <t xml:space="preserve"> architecture, actuarial, taxonomy design</t>
          </r>
        </is>
      </c>
      <c r="J32" s="210" t="n"/>
      <c r="K32" s="210" t="n"/>
      <c r="L32" s="210" t="n"/>
      <c r="M32" s="210" t="n"/>
      <c r="N32" s="210" t="n"/>
      <c r="O32" s="210" t="n"/>
      <c r="P32" s="210" t="n"/>
      <c r="Q32" s="210" t="n"/>
      <c r="R32" s="210" t="n"/>
      <c r="S32" s="210" t="n"/>
      <c r="T32" s="209" t="n"/>
    </row>
    <row r="33" ht="15" customHeight="1">
      <c r="A33" s="13" t="inlineStr">
        <is>
          <t>Autonomy &amp; Decision</t>
        </is>
      </c>
      <c r="B33" s="209" t="n"/>
      <c r="C33" s="16" t="inlineStr">
        <is>
          <t>What the person decides without asking</t>
        </is>
      </c>
      <c r="D33" s="210" t="n"/>
      <c r="E33" s="210" t="n"/>
      <c r="F33" s="210" t="n"/>
      <c r="G33" s="210" t="n"/>
      <c r="H33" s="209" t="n"/>
      <c r="I33" s="16" t="inlineStr">
        <is>
          <r>
            <rPr>
              <rFont val="Calibri"/>
              <b val="1"/>
              <sz val="10"/>
            </rPr>
            <t>The job is trusted to act alone:</t>
          </r>
          <r>
            <rPr>
              <rFont val="Calibri"/>
              <sz val="10"/>
            </rPr>
            <t xml:space="preserve"> product calls, deals, client decisions</t>
          </r>
        </is>
      </c>
      <c r="J33" s="210" t="n"/>
      <c r="K33" s="210" t="n"/>
      <c r="L33" s="210" t="n"/>
      <c r="M33" s="210" t="n"/>
      <c r="N33" s="210" t="n"/>
      <c r="O33" s="210" t="n"/>
      <c r="P33" s="210" t="n"/>
      <c r="Q33" s="210" t="n"/>
      <c r="R33" s="210" t="n"/>
      <c r="S33" s="210" t="n"/>
      <c r="T33" s="209" t="n"/>
    </row>
    <row r="34" ht="15" customHeight="1">
      <c r="A34" s="13" t="inlineStr">
        <is>
          <t>Accountability &amp; Impact</t>
        </is>
      </c>
      <c r="B34" s="209" t="n"/>
      <c r="C34" s="16" t="inlineStr">
        <is>
          <t>What the job answers for — its scope</t>
        </is>
      </c>
      <c r="D34" s="210" t="n"/>
      <c r="E34" s="210" t="n"/>
      <c r="F34" s="210" t="n"/>
      <c r="G34" s="210" t="n"/>
      <c r="H34" s="209" t="n"/>
      <c r="I34" s="16" t="inlineStr">
        <is>
          <t>Results, risk or quality of an area rest on this job</t>
        </is>
      </c>
      <c r="J34" s="210" t="n"/>
      <c r="K34" s="210" t="n"/>
      <c r="L34" s="210" t="n"/>
      <c r="M34" s="210" t="n"/>
      <c r="N34" s="210" t="n"/>
      <c r="O34" s="210" t="n"/>
      <c r="P34" s="210" t="n"/>
      <c r="Q34" s="210" t="n"/>
      <c r="R34" s="210" t="n"/>
      <c r="S34" s="210" t="n"/>
      <c r="T34" s="209" t="n"/>
    </row>
    <row r="35" ht="15" customHeight="1">
      <c r="A35" s="13" t="inlineStr">
        <is>
          <t>Leadership &amp; Strategy</t>
        </is>
      </c>
      <c r="B35" s="209" t="n"/>
      <c r="C35" s="16" t="inlineStr">
        <is>
          <t>Leading people or setting direction</t>
        </is>
      </c>
      <c r="D35" s="210" t="n"/>
      <c r="E35" s="210" t="n"/>
      <c r="F35" s="210" t="n"/>
      <c r="G35" s="210" t="n"/>
      <c r="H35" s="209" t="n"/>
      <c r="I35" s="16" t="inlineStr">
        <is>
          <t>The job's results come through a team or through direction it sets</t>
        </is>
      </c>
      <c r="J35" s="210" t="n"/>
      <c r="K35" s="210" t="n"/>
      <c r="L35" s="210" t="n"/>
      <c r="M35" s="210" t="n"/>
      <c r="N35" s="210" t="n"/>
      <c r="O35" s="210" t="n"/>
      <c r="P35" s="210" t="n"/>
      <c r="Q35" s="210" t="n"/>
      <c r="R35" s="210" t="n"/>
      <c r="S35" s="210" t="n"/>
      <c r="T35" s="209" t="n"/>
    </row>
    <row r="36" ht="15" customHeight="1">
      <c r="A36" s="13" t="inlineStr">
        <is>
          <t>Experience &amp; Qualification</t>
        </is>
      </c>
      <c r="B36" s="209" t="n"/>
      <c r="C36" s="16" t="inlineStr">
        <is>
          <t>Years in the field and qualifications</t>
        </is>
      </c>
      <c r="D36" s="210" t="n"/>
      <c r="E36" s="210" t="n"/>
      <c r="F36" s="210" t="n"/>
      <c r="G36" s="210" t="n"/>
      <c r="H36" s="209" t="n"/>
      <c r="I36" s="16" t="inlineStr">
        <is>
          <t>A licence or long experience is itself the requirement — kept low by design</t>
        </is>
      </c>
      <c r="J36" s="210" t="n"/>
      <c r="K36" s="210" t="n"/>
      <c r="L36" s="210" t="n"/>
      <c r="M36" s="210" t="n"/>
      <c r="N36" s="210" t="n"/>
      <c r="O36" s="210" t="n"/>
      <c r="P36" s="210" t="n"/>
      <c r="Q36" s="210" t="n"/>
      <c r="R36" s="210" t="n"/>
      <c r="S36" s="210" t="n"/>
      <c r="T36" s="209" t="n"/>
    </row>
    <row r="37" ht="15" customHeight="1">
      <c r="A37" s="13" t="inlineStr">
        <is>
          <t>Business Impact</t>
        </is>
      </c>
      <c r="B37" s="209" t="n"/>
      <c r="C37" s="16" t="inlineStr">
        <is>
          <t>The difference the job makes to revenue, clients, compliance or cost</t>
        </is>
      </c>
      <c r="D37" s="210" t="n"/>
      <c r="E37" s="210" t="n"/>
      <c r="F37" s="210" t="n"/>
      <c r="G37" s="210" t="n"/>
      <c r="H37" s="209" t="n"/>
      <c r="I37" s="16" t="inlineStr">
        <is>
          <r>
            <rPr>
              <rFont val="Calibri"/>
              <b val="1"/>
              <sz val="10"/>
            </rPr>
            <t>Results are visible in business numbers:</t>
          </r>
          <r>
            <rPr>
              <rFont val="Calibri"/>
              <sz val="10"/>
            </rPr>
            <t xml:space="preserve"> sales, client retention, filings, savings</t>
          </r>
        </is>
      </c>
      <c r="J37" s="210" t="n"/>
      <c r="K37" s="210" t="n"/>
      <c r="L37" s="210" t="n"/>
      <c r="M37" s="210" t="n"/>
      <c r="N37" s="210" t="n"/>
      <c r="O37" s="210" t="n"/>
      <c r="P37" s="210" t="n"/>
      <c r="Q37" s="210" t="n"/>
      <c r="R37" s="210" t="n"/>
      <c r="S37" s="210" t="n"/>
      <c r="T37" s="209" t="n"/>
    </row>
    <row r="38" ht="15" customHeight="1"/>
    <row r="39" ht="15" customHeight="1">
      <c r="A39" s="11" t="inlineStr">
        <is>
          <r>
            <rPr>
              <rFont val="Calibri"/>
              <b val="1"/>
              <i val="1"/>
              <color rgb="00595959"/>
              <sz val="10"/>
            </rPr>
            <t>Leadership weights:</t>
          </r>
          <r>
            <rPr>
              <rFont val="Calibri"/>
              <i val="1"/>
              <color rgb="00595959"/>
              <sz val="10"/>
            </rPr>
            <t xml:space="preserve"> Sources: S05, S46, S47 Hay managerial know-how by level · S04 Mercer IPE communication · S09 McKinsey spans of control. The 0 / 5 / 10 / 15 / 20% steps by role group are an IRIS design rule.</t>
          </r>
        </is>
      </c>
    </row>
    <row r="40" ht="15" customHeight="1">
      <c r="A40" s="11" t="inlineStr">
        <is>
          <r>
            <rPr>
              <rFont val="Calibri"/>
              <b val="1"/>
              <i val="1"/>
              <color rgb="00595959"/>
              <sz val="10"/>
            </rPr>
            <t>Business Impact:</t>
          </r>
          <r>
            <rPr>
              <rFont val="Calibri"/>
              <i val="1"/>
              <color rgb="00595959"/>
              <sz val="10"/>
            </rPr>
            <t xml:space="preserve"> Sources: S05 Hay accountability, nature of impact · S04 Mercer IPE impact · S07 WTW GGS nature and area of impact · S53–S57 public plans' financial or consequences factor, 7–10% of points.</t>
          </r>
        </is>
      </c>
    </row>
    <row r="41" ht="15" customHeight="1">
      <c r="A41" s="11" t="inlineStr">
        <is>
          <r>
            <rPr>
              <rFont val="Calibri"/>
              <b val="1"/>
              <i val="1"/>
              <color rgb="00595959"/>
              <sz val="10"/>
            </rPr>
            <t>Type-of-work shift:</t>
          </r>
          <r>
            <rPr>
              <rFont val="Calibri"/>
              <i val="1"/>
              <color rgb="00595959"/>
              <sz val="10"/>
            </rPr>
            <t xml:space="preserve"> Basis: S06 Hay short profile — A-type delivery jobs weight accountability, P-type thinking jobs weight problem solving, L-type are balanced. The ±5 size is an IRIS design rule, kept small so the market defaults stay in control.</t>
          </r>
        </is>
      </c>
    </row>
    <row r="42" ht="20" customHeight="1">
      <c r="A42" s="6" t="inlineStr">
        <is>
          <t>WHAT A WEIGHT MEANS</t>
        </is>
      </c>
    </row>
    <row r="43" ht="15" customHeight="1">
      <c r="A43" s="12" t="inlineStr">
        <is>
          <t>Weight</t>
        </is>
      </c>
      <c r="B43" s="209" t="n"/>
      <c r="C43" s="12" t="inlineStr">
        <is>
          <t>What it means for the score</t>
        </is>
      </c>
      <c r="D43" s="210" t="n"/>
      <c r="E43" s="210" t="n"/>
      <c r="F43" s="210" t="n"/>
      <c r="G43" s="210" t="n"/>
      <c r="H43" s="210" t="n"/>
      <c r="I43" s="210" t="n"/>
      <c r="J43" s="210" t="n"/>
      <c r="K43" s="210" t="n"/>
      <c r="L43" s="210" t="n"/>
      <c r="M43" s="210" t="n"/>
      <c r="N43" s="210" t="n"/>
      <c r="O43" s="210" t="n"/>
      <c r="P43" s="210" t="n"/>
      <c r="Q43" s="210" t="n"/>
      <c r="R43" s="210" t="n"/>
      <c r="S43" s="210" t="n"/>
      <c r="T43" s="209" t="n"/>
    </row>
    <row r="44" ht="15" customHeight="1">
      <c r="A44" s="13" t="inlineStr">
        <is>
          <t>0%</t>
        </is>
      </c>
      <c r="B44" s="209" t="n"/>
      <c r="C44" s="16" t="inlineStr">
        <is>
          <t>Ignored for this role group — the rating does not count at all</t>
        </is>
      </c>
      <c r="D44" s="210" t="n"/>
      <c r="E44" s="210" t="n"/>
      <c r="F44" s="210" t="n"/>
      <c r="G44" s="210" t="n"/>
      <c r="H44" s="210" t="n"/>
      <c r="I44" s="210" t="n"/>
      <c r="J44" s="210" t="n"/>
      <c r="K44" s="210" t="n"/>
      <c r="L44" s="210" t="n"/>
      <c r="M44" s="210" t="n"/>
      <c r="N44" s="210" t="n"/>
      <c r="O44" s="210" t="n"/>
      <c r="P44" s="210" t="n"/>
      <c r="Q44" s="210" t="n"/>
      <c r="R44" s="210" t="n"/>
      <c r="S44" s="210" t="n"/>
      <c r="T44" s="209" t="n"/>
    </row>
    <row r="45" ht="15" customHeight="1">
      <c r="A45" s="13" t="inlineStr">
        <is>
          <t>5%</t>
        </is>
      </c>
      <c r="B45" s="209" t="n"/>
      <c r="C45" s="16" t="inlineStr">
        <is>
          <t>Minor — a tie-breaker; a 1-point change in the rating moves the score by 0.05</t>
        </is>
      </c>
      <c r="D45" s="210" t="n"/>
      <c r="E45" s="210" t="n"/>
      <c r="F45" s="210" t="n"/>
      <c r="G45" s="210" t="n"/>
      <c r="H45" s="210" t="n"/>
      <c r="I45" s="210" t="n"/>
      <c r="J45" s="210" t="n"/>
      <c r="K45" s="210" t="n"/>
      <c r="L45" s="210" t="n"/>
      <c r="M45" s="210" t="n"/>
      <c r="N45" s="210" t="n"/>
      <c r="O45" s="210" t="n"/>
      <c r="P45" s="210" t="n"/>
      <c r="Q45" s="210" t="n"/>
      <c r="R45" s="210" t="n"/>
      <c r="S45" s="210" t="n"/>
      <c r="T45" s="209" t="n"/>
    </row>
    <row r="46" ht="15" customHeight="1">
      <c r="A46" s="13" t="inlineStr">
        <is>
          <t>10%</t>
        </is>
      </c>
      <c r="B46" s="209" t="n"/>
      <c r="C46" s="16" t="inlineStr">
        <is>
          <t>Counts a little — a 1-point change moves the score by 0.10</t>
        </is>
      </c>
      <c r="D46" s="210" t="n"/>
      <c r="E46" s="210" t="n"/>
      <c r="F46" s="210" t="n"/>
      <c r="G46" s="210" t="n"/>
      <c r="H46" s="210" t="n"/>
      <c r="I46" s="210" t="n"/>
      <c r="J46" s="210" t="n"/>
      <c r="K46" s="210" t="n"/>
      <c r="L46" s="210" t="n"/>
      <c r="M46" s="210" t="n"/>
      <c r="N46" s="210" t="n"/>
      <c r="O46" s="210" t="n"/>
      <c r="P46" s="210" t="n"/>
      <c r="Q46" s="210" t="n"/>
      <c r="R46" s="210" t="n"/>
      <c r="S46" s="210" t="n"/>
      <c r="T46" s="209" t="n"/>
    </row>
    <row r="47" ht="15" customHeight="1">
      <c r="A47" s="13" t="inlineStr">
        <is>
          <t>15–20%</t>
        </is>
      </c>
      <c r="B47" s="209" t="n"/>
      <c r="C47" s="16" t="inlineStr">
        <is>
          <t>Important — one of the main things this role is judged on</t>
        </is>
      </c>
      <c r="D47" s="210" t="n"/>
      <c r="E47" s="210" t="n"/>
      <c r="F47" s="210" t="n"/>
      <c r="G47" s="210" t="n"/>
      <c r="H47" s="210" t="n"/>
      <c r="I47" s="210" t="n"/>
      <c r="J47" s="210" t="n"/>
      <c r="K47" s="210" t="n"/>
      <c r="L47" s="210" t="n"/>
      <c r="M47" s="210" t="n"/>
      <c r="N47" s="210" t="n"/>
      <c r="O47" s="210" t="n"/>
      <c r="P47" s="210" t="n"/>
      <c r="Q47" s="210" t="n"/>
      <c r="R47" s="210" t="n"/>
      <c r="S47" s="210" t="n"/>
      <c r="T47" s="209" t="n"/>
    </row>
    <row r="48" ht="15" customHeight="1">
      <c r="A48" s="13" t="inlineStr">
        <is>
          <t>25–30%</t>
        </is>
      </c>
      <c r="B48" s="209" t="n"/>
      <c r="C48" s="16" t="inlineStr">
        <is>
          <t>Leading factor — this is what the role is mostly about</t>
        </is>
      </c>
      <c r="D48" s="210" t="n"/>
      <c r="E48" s="210" t="n"/>
      <c r="F48" s="210" t="n"/>
      <c r="G48" s="210" t="n"/>
      <c r="H48" s="210" t="n"/>
      <c r="I48" s="210" t="n"/>
      <c r="J48" s="210" t="n"/>
      <c r="K48" s="210" t="n"/>
      <c r="L48" s="210" t="n"/>
      <c r="M48" s="210" t="n"/>
      <c r="N48" s="210" t="n"/>
      <c r="O48" s="210" t="n"/>
      <c r="P48" s="210" t="n"/>
      <c r="Q48" s="210" t="n"/>
      <c r="R48" s="210" t="n"/>
      <c r="S48" s="210" t="n"/>
      <c r="T48" s="209" t="n"/>
    </row>
    <row r="49" ht="15" customHeight="1">
      <c r="A49" s="13" t="inlineStr">
        <is>
          <t>35%+</t>
        </is>
      </c>
      <c r="B49" s="209" t="n"/>
      <c r="C49" s="16" t="inlineStr">
        <is>
          <t>Dominant — use rarely; one factor then decides most of the score</t>
        </is>
      </c>
      <c r="D49" s="210" t="n"/>
      <c r="E49" s="210" t="n"/>
      <c r="F49" s="210" t="n"/>
      <c r="G49" s="210" t="n"/>
      <c r="H49" s="210" t="n"/>
      <c r="I49" s="210" t="n"/>
      <c r="J49" s="210" t="n"/>
      <c r="K49" s="210" t="n"/>
      <c r="L49" s="210" t="n"/>
      <c r="M49" s="210" t="n"/>
      <c r="N49" s="210" t="n"/>
      <c r="O49" s="210" t="n"/>
      <c r="P49" s="210" t="n"/>
      <c r="Q49" s="210" t="n"/>
      <c r="R49" s="210" t="n"/>
      <c r="S49" s="210" t="n"/>
      <c r="T49" s="209" t="n"/>
    </row>
    <row r="50" ht="15" customHeight="1"/>
    <row r="51" ht="28" customHeight="1">
      <c r="A51" s="207" t="inlineStr">
        <is>
          <r>
            <rPr>
              <rFont val="Calibri"/>
              <b val="1"/>
              <sz val="10"/>
            </rPr>
            <t>How a weight works:</t>
          </r>
          <r>
            <rPr>
              <rFont val="Calibri"/>
              <sz val="10"/>
            </rPr>
            <t xml:space="preserve">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r>
        </is>
      </c>
    </row>
    <row r="52" ht="20" customHeight="1">
      <c r="A52" s="6" t="inlineStr">
        <is>
          <t>RULES OF THUMB</t>
        </is>
      </c>
    </row>
    <row r="53" ht="15" customHeight="1">
      <c r="A53" s="207" t="inlineStr">
        <is>
          <t>• Start from the default row and change it in steps of 5%; small changes are safer than big ones.</t>
        </is>
      </c>
    </row>
    <row r="54" ht="15" customHeight="1">
      <c r="A54" s="207" t="inlineStr">
        <is>
          <t>• Keep each row's six weights adding up to about 100%. If they don't, the sheet scales the five non-Experience weights so they do — the 'Used' columns show the real weights.</t>
        </is>
      </c>
    </row>
    <row r="55" ht="15" customHeight="1">
      <c r="A55" s="207" t="inlineStr">
        <is>
          <t>• Experience &amp; Qualification is set once for everyone in the Settings block above · Bands A–B and Bands C–E. Change it there, not row by row; a number typed in a row's Experience cell overrides the setting for that row.</t>
        </is>
      </c>
    </row>
    <row r="56" ht="15" customHeight="1">
      <c r="A56" s="207" t="inlineStr">
        <is>
          <t>• Leaders of the same role group in different departments should differ only for a real reason · for example, sales roles count Business Impact more. Note the reason in the last column.</t>
        </is>
      </c>
    </row>
    <row r="57" ht="15" customHeight="1">
      <c r="A57" s="207" t="inlineStr">
        <is>
          <t>• Your edits change points, the score and 'Level the score indicates' on sheet 2 at once. The final level — with the fair-play checks — is confirmed when HR imports your edits and re-runs the model.</t>
        </is>
      </c>
    </row>
    <row r="58" ht="20" customHeight="1">
      <c r="A58" s="6" t="inlineStr">
        <is>
          <t>WHERE THE DEFAULT WEIGHTS COME FROM</t>
        </is>
      </c>
    </row>
    <row r="59" ht="28" customHeight="1">
      <c r="A59" s="11"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60" ht="15" customHeight="1">
      <c r="A60" s="12" t="inlineStr">
        <is>
          <t>Factor</t>
        </is>
      </c>
      <c r="B60" s="210" t="n"/>
      <c r="C60" s="210" t="n"/>
      <c r="D60" s="210" t="n"/>
      <c r="E60" s="210" t="n"/>
      <c r="F60" s="209" t="n"/>
      <c r="G60" s="12" t="inlineStr">
        <is>
          <t>This file — average of its scored roles</t>
        </is>
      </c>
      <c r="H60" s="210" t="n"/>
      <c r="I60" s="210" t="n"/>
      <c r="J60" s="209" t="n"/>
      <c r="K60" s="12" t="inlineStr">
        <is>
          <t>Published plans — average</t>
        </is>
      </c>
      <c r="L60" s="210" t="n"/>
      <c r="M60" s="210" t="n"/>
      <c r="N60" s="209" t="n"/>
      <c r="O60" s="12" t="inlineStr">
        <is>
          <t>Published plans — range</t>
        </is>
      </c>
      <c r="P60" s="210" t="n"/>
      <c r="Q60" s="210" t="n"/>
      <c r="R60" s="210" t="n"/>
      <c r="S60" s="210" t="n"/>
      <c r="T60" s="209" t="n"/>
    </row>
    <row r="61" ht="15" customHeight="1">
      <c r="A61" s="13" t="inlineStr">
        <is>
          <t>Complexity &amp; Expertise</t>
        </is>
      </c>
      <c r="B61" s="210" t="n"/>
      <c r="C61" s="210" t="n"/>
      <c r="D61" s="210" t="n"/>
      <c r="E61" s="210" t="n"/>
      <c r="F61" s="209" t="n"/>
      <c r="G61" s="16" t="inlineStr">
        <is>
          <t>57.8%</t>
        </is>
      </c>
      <c r="H61" s="210" t="n"/>
      <c r="I61" s="210" t="n"/>
      <c r="J61" s="209" t="n"/>
      <c r="K61" s="16" t="inlineStr">
        <is>
          <t>42.8%</t>
        </is>
      </c>
      <c r="L61" s="210" t="n"/>
      <c r="M61" s="210" t="n"/>
      <c r="N61" s="209" t="n"/>
      <c r="O61" s="16" t="inlineStr">
        <is>
          <t>38–52%</t>
        </is>
      </c>
      <c r="P61" s="210" t="n"/>
      <c r="Q61" s="210" t="n"/>
      <c r="R61" s="210" t="n"/>
      <c r="S61" s="210" t="n"/>
      <c r="T61" s="209" t="n"/>
    </row>
    <row r="62" ht="15" customHeight="1">
      <c r="A62" s="13" t="inlineStr">
        <is>
          <t>Autonomy &amp; Decision</t>
        </is>
      </c>
      <c r="B62" s="210" t="n"/>
      <c r="C62" s="210" t="n"/>
      <c r="D62" s="210" t="n"/>
      <c r="E62" s="210" t="n"/>
      <c r="F62" s="209" t="n"/>
      <c r="G62" s="16" t="inlineStr">
        <is>
          <t>17.3%</t>
        </is>
      </c>
      <c r="H62" s="210" t="n"/>
      <c r="I62" s="210" t="n"/>
      <c r="J62" s="209" t="n"/>
      <c r="K62" s="16" t="inlineStr">
        <is>
          <t>14.9%</t>
        </is>
      </c>
      <c r="L62" s="210" t="n"/>
      <c r="M62" s="210" t="n"/>
      <c r="N62" s="209" t="n"/>
      <c r="O62" s="16" t="inlineStr">
        <is>
          <t>7–30%</t>
        </is>
      </c>
      <c r="P62" s="210" t="n"/>
      <c r="Q62" s="210" t="n"/>
      <c r="R62" s="210" t="n"/>
      <c r="S62" s="210" t="n"/>
      <c r="T62" s="209" t="n"/>
    </row>
    <row r="63" ht="15" customHeight="1">
      <c r="A63" s="13" t="inlineStr">
        <is>
          <t>Accountability &amp; Impact</t>
        </is>
      </c>
      <c r="B63" s="210" t="n"/>
      <c r="C63" s="210" t="n"/>
      <c r="D63" s="210" t="n"/>
      <c r="E63" s="210" t="n"/>
      <c r="F63" s="209" t="n"/>
      <c r="G63" s="16" t="inlineStr">
        <is>
          <t>4.9%</t>
        </is>
      </c>
      <c r="H63" s="210" t="n"/>
      <c r="I63" s="210" t="n"/>
      <c r="J63" s="209" t="n"/>
      <c r="K63" s="16" t="inlineStr">
        <is>
          <t>15.1%</t>
        </is>
      </c>
      <c r="L63" s="210" t="n"/>
      <c r="M63" s="210" t="n"/>
      <c r="N63" s="209" t="n"/>
      <c r="O63" s="16" t="inlineStr">
        <is>
          <t>6–20%</t>
        </is>
      </c>
      <c r="P63" s="210" t="n"/>
      <c r="Q63" s="210" t="n"/>
      <c r="R63" s="210" t="n"/>
      <c r="S63" s="210" t="n"/>
      <c r="T63" s="209" t="n"/>
    </row>
    <row r="64" ht="15" customHeight="1">
      <c r="A64" s="13" t="inlineStr">
        <is>
          <t>Leadership &amp; Strategy</t>
        </is>
      </c>
      <c r="B64" s="210" t="n"/>
      <c r="C64" s="210" t="n"/>
      <c r="D64" s="210" t="n"/>
      <c r="E64" s="210" t="n"/>
      <c r="F64" s="209" t="n"/>
      <c r="G64" s="16" t="inlineStr">
        <is>
          <t>3.1%</t>
        </is>
      </c>
      <c r="H64" s="210" t="n"/>
      <c r="I64" s="210" t="n"/>
      <c r="J64" s="209" t="n"/>
      <c r="K64" s="16" t="inlineStr">
        <is>
          <t>20.6%</t>
        </is>
      </c>
      <c r="L64" s="210" t="n"/>
      <c r="M64" s="210" t="n"/>
      <c r="N64" s="209" t="n"/>
      <c r="O64" s="16" t="inlineStr">
        <is>
          <t>8–30%</t>
        </is>
      </c>
      <c r="P64" s="210" t="n"/>
      <c r="Q64" s="210" t="n"/>
      <c r="R64" s="210" t="n"/>
      <c r="S64" s="210" t="n"/>
      <c r="T64" s="209" t="n"/>
    </row>
    <row r="65" ht="15" customHeight="1">
      <c r="A65" s="13" t="inlineStr">
        <is>
          <t>Business Impact</t>
        </is>
      </c>
      <c r="B65" s="210" t="n"/>
      <c r="C65" s="210" t="n"/>
      <c r="D65" s="210" t="n"/>
      <c r="E65" s="210" t="n"/>
      <c r="F65" s="209" t="n"/>
      <c r="G65" s="16" t="inlineStr">
        <is>
          <t>7.0%</t>
        </is>
      </c>
      <c r="H65" s="210" t="n"/>
      <c r="I65" s="210" t="n"/>
      <c r="J65" s="209" t="n"/>
      <c r="K65" s="16" t="inlineStr">
        <is>
          <t>6.7%</t>
        </is>
      </c>
      <c r="L65" s="210" t="n"/>
      <c r="M65" s="210" t="n"/>
      <c r="N65" s="209" t="n"/>
      <c r="O65" s="16" t="inlineStr">
        <is>
          <t>0–10%</t>
        </is>
      </c>
      <c r="P65" s="210" t="n"/>
      <c r="Q65" s="210" t="n"/>
      <c r="R65" s="210" t="n"/>
      <c r="S65" s="210" t="n"/>
      <c r="T65" s="209" t="n"/>
    </row>
    <row r="66" ht="15" customHeight="1">
      <c r="A66" s="13" t="inlineStr">
        <is>
          <t>Experience &amp; Qualification</t>
        </is>
      </c>
      <c r="B66" s="210" t="n"/>
      <c r="C66" s="210" t="n"/>
      <c r="D66" s="210" t="n"/>
      <c r="E66" s="210" t="n"/>
      <c r="F66" s="209" t="n"/>
      <c r="G66" s="16" t="inlineStr">
        <is>
          <t>9.9%</t>
        </is>
      </c>
      <c r="H66" s="210" t="n"/>
      <c r="I66" s="210" t="n"/>
      <c r="J66" s="209" t="n"/>
      <c r="K66" s="16" t="inlineStr">
        <is>
          <t>not scored separately</t>
        </is>
      </c>
      <c r="L66" s="210" t="n"/>
      <c r="M66" s="210" t="n"/>
      <c r="N66" s="209" t="n"/>
      <c r="O66" s="16" t="inlineStr">
        <is>
          <t>Hay, Mercer IPE and WTW fold experience into knowledge</t>
        </is>
      </c>
      <c r="P66" s="210" t="n"/>
      <c r="Q66" s="210" t="n"/>
      <c r="R66" s="210" t="n"/>
      <c r="S66" s="210" t="n"/>
      <c r="T66" s="209" t="n"/>
    </row>
    <row r="67" ht="15" customHeight="1"/>
    <row r="68" ht="20" customHeight="1">
      <c r="A68" s="6" t="inlineStr">
        <is>
          <t>WHAT A RATING MEANS — the same 1-to-12 scale for every factor, every department, every band</t>
        </is>
      </c>
    </row>
    <row r="69" ht="15" customHeight="1">
      <c r="A69" s="11" t="inlineStr">
        <is>
          <t>A rating is the floor of the ladder that this side of the job looks like: 4 = B1-level, 8 = C2-level. Managers can change a person's Business Impact rating on sheet 2 · yellow; the other ratings are set from the evidence and changed through validation.</t>
        </is>
      </c>
    </row>
    <row r="70" ht="15" customHeight="1">
      <c r="A70" s="12" t="inlineStr">
        <is>
          <t>Rating · level</t>
        </is>
      </c>
      <c r="B70" s="209" t="n"/>
      <c r="C70" s="12" t="inlineStr">
        <is>
          <t>Complexity</t>
        </is>
      </c>
      <c r="D70" s="210" t="n"/>
      <c r="E70" s="209" t="n"/>
      <c r="F70" s="12" t="inlineStr">
        <is>
          <t>Autonomy</t>
        </is>
      </c>
      <c r="G70" s="210" t="n"/>
      <c r="H70" s="209" t="n"/>
      <c r="I70" s="12" t="inlineStr">
        <is>
          <t>Accountability</t>
        </is>
      </c>
      <c r="J70" s="210" t="n"/>
      <c r="K70" s="209" t="n"/>
      <c r="L70" s="12" t="inlineStr">
        <is>
          <t>Leadership</t>
        </is>
      </c>
      <c r="M70" s="210" t="n"/>
      <c r="N70" s="209" t="n"/>
      <c r="O70" s="12" t="inlineStr">
        <is>
          <t>Experience</t>
        </is>
      </c>
      <c r="P70" s="210" t="n"/>
      <c r="Q70" s="209" t="n"/>
      <c r="R70" s="12" t="inlineStr">
        <is>
          <t>Business impact</t>
        </is>
      </c>
      <c r="S70" s="210" t="n"/>
      <c r="T70" s="209" t="n"/>
    </row>
    <row r="71" ht="28" customHeight="1">
      <c r="A71" s="13" t="inlineStr">
        <is>
          <t>12 · E2</t>
        </is>
      </c>
      <c r="B71" s="209" t="n"/>
      <c r="C71" s="16" t="inlineStr">
        <is>
          <t>Enterprise-wide uncertainty, transformation and external forces</t>
        </is>
      </c>
      <c r="D71" s="210" t="n"/>
      <c r="E71" s="209" t="n"/>
      <c r="F71" s="16" t="inlineStr">
        <is>
          <t>Accountable to the board</t>
        </is>
      </c>
      <c r="G71" s="210" t="n"/>
      <c r="H71" s="209" t="n"/>
      <c r="I71" s="16" t="inlineStr">
        <is>
          <t>Enterprise results, risk, culture and long-term viability</t>
        </is>
      </c>
      <c r="J71" s="210" t="n"/>
      <c r="K71" s="209" t="n"/>
      <c r="L71" s="16" t="inlineStr">
        <is>
          <t>Sets enterprise strategy; leads the executive team</t>
        </is>
      </c>
      <c r="M71" s="210" t="n"/>
      <c r="N71" s="209" t="n"/>
      <c r="O71" s="16" t="inlineStr">
        <is>
          <t>About 28 yrs</t>
        </is>
      </c>
      <c r="P71" s="210" t="n"/>
      <c r="Q71" s="209" t="n"/>
      <c r="R71" s="16" t="inlineStr">
        <is>
          <t>Answers for the whole company's results and long-term value</t>
        </is>
      </c>
      <c r="S71" s="210" t="n"/>
      <c r="T71" s="209" t="n"/>
    </row>
    <row r="72" ht="28" customHeight="1">
      <c r="A72" s="13" t="inlineStr">
        <is>
          <t>11 · E1</t>
        </is>
      </c>
      <c r="B72" s="209" t="n"/>
      <c r="C72" s="16" t="inlineStr">
        <is>
          <t>Enterprise-level functional strategy</t>
        </is>
      </c>
      <c r="D72" s="210" t="n"/>
      <c r="E72" s="209" t="n"/>
      <c r="F72" s="16" t="inlineStr">
        <is>
          <t>Sets enterprise priorities for the function</t>
        </is>
      </c>
      <c r="G72" s="210" t="n"/>
      <c r="H72" s="209" t="n"/>
      <c r="I72" s="16" t="inlineStr">
        <is>
          <t>Enterprise-wide functional results</t>
        </is>
      </c>
      <c r="J72" s="210" t="n"/>
      <c r="K72" s="209" t="n"/>
      <c r="L72" s="16" t="inlineStr">
        <is>
          <t>Shapes enterprise strategy</t>
        </is>
      </c>
      <c r="M72" s="210" t="n"/>
      <c r="N72" s="209" t="n"/>
      <c r="O72" s="16" t="inlineStr">
        <is>
          <t>About 24 yrs</t>
        </is>
      </c>
      <c r="P72" s="210" t="n"/>
      <c r="Q72" s="209" t="n"/>
      <c r="R72" s="16" t="inlineStr">
        <is>
          <t>Shapes company-wide results through a function</t>
        </is>
      </c>
      <c r="S72" s="210" t="n"/>
      <c r="T72" s="209" t="n"/>
    </row>
    <row r="73" ht="28" customHeight="1">
      <c r="A73" s="13" t="inlineStr">
        <is>
          <t>10 · D2</t>
        </is>
      </c>
      <c r="B73" s="209" t="n"/>
      <c r="C73" s="16" t="inlineStr">
        <is>
          <t>Portfolio-level strategic, financial and regulatory trade-offs</t>
        </is>
      </c>
      <c r="D73" s="210" t="n"/>
      <c r="E73" s="209" t="n"/>
      <c r="F73" s="16" t="inlineStr">
        <is>
          <t>Sets direction across business lines</t>
        </is>
      </c>
      <c r="G73" s="210" t="n"/>
      <c r="H73" s="209" t="n"/>
      <c r="I73" s="16" t="inlineStr">
        <is>
          <t>Multi-business results</t>
        </is>
      </c>
      <c r="J73" s="210" t="n"/>
      <c r="K73" s="209" t="n"/>
      <c r="L73" s="16" t="inlineStr">
        <is>
          <t>Builds the leadership team across businesses</t>
        </is>
      </c>
      <c r="M73" s="210" t="n"/>
      <c r="N73" s="209" t="n"/>
      <c r="O73" s="16" t="inlineStr">
        <is>
          <t>About 21 yrs</t>
        </is>
      </c>
      <c r="P73" s="210" t="n"/>
      <c r="Q73" s="209" t="n"/>
      <c r="R73" s="16" t="inlineStr">
        <is>
          <t>Owns the results of several business lines</t>
        </is>
      </c>
      <c r="S73" s="210" t="n"/>
      <c r="T73" s="209" t="n"/>
    </row>
    <row r="74" ht="28" customHeight="1">
      <c r="A74" s="13" t="inlineStr">
        <is>
          <t>9 · D1</t>
        </is>
      </c>
      <c r="B74" s="209" t="n"/>
      <c r="C74" s="16" t="inlineStr">
        <is>
          <t>Competing strategic, financial and regulatory priorities</t>
        </is>
      </c>
      <c r="D74" s="210" t="n"/>
      <c r="E74" s="209" t="n"/>
      <c r="F74" s="16" t="inlineStr">
        <is>
          <t>Sets business-line direction, pricing and investment</t>
        </is>
      </c>
      <c r="G74" s="210" t="n"/>
      <c r="H74" s="209" t="n"/>
      <c r="I74" s="16" t="inlineStr">
        <is>
          <t>Business-line P&amp;L and market position</t>
        </is>
      </c>
      <c r="J74" s="210" t="n"/>
      <c r="K74" s="209" t="n"/>
      <c r="L74" s="16" t="inlineStr">
        <is>
          <t>Defines business strategy; builds the leadership bench</t>
        </is>
      </c>
      <c r="M74" s="210" t="n"/>
      <c r="N74" s="209" t="n"/>
      <c r="O74" s="16" t="inlineStr">
        <is>
          <t>About 17.5 yrs</t>
        </is>
      </c>
      <c r="P74" s="210" t="n"/>
      <c r="Q74" s="209" t="n"/>
      <c r="R74" s="16" t="inlineStr">
        <is>
          <t>Owns a business line's P&amp;L and growth, or a company-wide function</t>
        </is>
      </c>
      <c r="S74" s="210" t="n"/>
      <c r="T74" s="209" t="n"/>
    </row>
    <row r="75" ht="41" customHeight="1">
      <c r="A75" s="13" t="inlineStr">
        <is>
          <t>8.5 · C+</t>
        </is>
      </c>
      <c r="B75" s="209" t="n"/>
      <c r="C75" s="16" t="inlineStr">
        <is>
          <t>Function-wide and cross-product problems; personally handles the most critical client or technical work</t>
        </is>
      </c>
      <c r="D75" s="210" t="n"/>
      <c r="E75" s="209" t="n"/>
      <c r="F75" s="16" t="inlineStr">
        <is>
          <t>Sets direction for the function; business-line trade-offs go to the Business Head</t>
        </is>
      </c>
      <c r="G75" s="210" t="n"/>
      <c r="H75" s="209" t="n"/>
      <c r="I75" s="16" t="inlineStr">
        <is>
          <t>Function results, budget and key-client outcomes; carries own book or principal delivery</t>
        </is>
      </c>
      <c r="J75" s="210" t="n"/>
      <c r="K75" s="209" t="n"/>
      <c r="L75" s="16" t="inlineStr">
        <is>
          <t>Leads managers and leads and 10+ people in the function while staying hands-on</t>
        </is>
      </c>
      <c r="M75" s="210" t="n"/>
      <c r="N75" s="209" t="n"/>
      <c r="O75" s="16" t="inlineStr">
        <is>
          <t>About 16 yrs</t>
        </is>
      </c>
      <c r="P75" s="210" t="n"/>
      <c r="Q75" s="209" t="n"/>
      <c r="R75" s="16" t="inlineStr">
        <is>
          <t>Drives a function's results and personally wins or delivers key work</t>
        </is>
      </c>
      <c r="S75" s="210" t="n"/>
      <c r="T75" s="209" t="n"/>
    </row>
    <row r="76" ht="28" customHeight="1">
      <c r="A76" s="13" t="inlineStr">
        <is>
          <t>8 · C2</t>
        </is>
      </c>
      <c r="B76" s="209" t="n"/>
      <c r="C76" s="16" t="inlineStr">
        <is>
          <t>Function-wide or company-wide problems; creates methods and standards</t>
        </is>
      </c>
      <c r="D76" s="210" t="n"/>
      <c r="E76" s="209" t="n"/>
      <c r="F76" s="16" t="inlineStr">
        <is>
          <t>Sets direction for a function</t>
        </is>
      </c>
      <c r="G76" s="210" t="n"/>
      <c r="H76" s="209" t="n"/>
      <c r="I76" s="16" t="inlineStr">
        <is>
          <t>Function results, budget and risk</t>
        </is>
      </c>
      <c r="J76" s="210" t="n"/>
      <c r="K76" s="209" t="n"/>
      <c r="L76" s="16" t="inlineStr">
        <is>
          <t>Leads a function; shapes functional strategy</t>
        </is>
      </c>
      <c r="M76" s="210" t="n"/>
      <c r="N76" s="209" t="n"/>
      <c r="O76" s="16" t="inlineStr">
        <is>
          <t>About 14.5 yrs</t>
        </is>
      </c>
      <c r="P76" s="210" t="n"/>
      <c r="Q76" s="209" t="n"/>
      <c r="R76" s="16" t="inlineStr">
        <is>
          <t>Drives a function's or department's results and costs</t>
        </is>
      </c>
      <c r="S76" s="210" t="n"/>
      <c r="T76" s="209" t="n"/>
    </row>
    <row r="77" ht="28" customHeight="1">
      <c r="A77" s="13" t="inlineStr">
        <is>
          <t>7 · C1</t>
        </is>
      </c>
      <c r="B77" s="209" t="n"/>
      <c r="C77" s="16" t="inlineStr">
        <is>
          <t>Ambiguous, cross-product problems</t>
        </is>
      </c>
      <c r="D77" s="210" t="n"/>
      <c r="E77" s="209" t="n"/>
      <c r="F77" s="16" t="inlineStr">
        <is>
          <t>Sets direction for a sub-function or domain</t>
        </is>
      </c>
      <c r="G77" s="210" t="n"/>
      <c r="H77" s="209" t="n"/>
      <c r="I77" s="16" t="inlineStr">
        <is>
          <t>Sub-function results or domain quality across products</t>
        </is>
      </c>
      <c r="J77" s="210" t="n"/>
      <c r="K77" s="209" t="n"/>
      <c r="L77" s="16" t="inlineStr">
        <is>
          <t>Leads managers or a community of practice</t>
        </is>
      </c>
      <c r="M77" s="210" t="n"/>
      <c r="N77" s="209" t="n"/>
      <c r="O77" s="16" t="inlineStr">
        <is>
          <t>About 12 yrs</t>
        </is>
      </c>
      <c r="P77" s="210" t="n"/>
      <c r="Q77" s="209" t="n"/>
      <c r="R77" s="16" t="inlineStr">
        <is>
          <t>Changes results across a sub-function or across products</t>
        </is>
      </c>
      <c r="S77" s="210" t="n"/>
      <c r="T77" s="209" t="n"/>
    </row>
    <row r="78" ht="54" customHeight="1">
      <c r="A78" s="13" t="inlineStr">
        <is>
          <t>6.5 · B+</t>
        </is>
      </c>
      <c r="B78" s="209" t="n"/>
      <c r="C78" s="16" t="inlineStr">
        <is>
          <t>Principal-level problems in own domain; sets technical or quality standards and still builds</t>
        </is>
      </c>
      <c r="D78" s="210" t="n"/>
      <c r="E78" s="209" t="n"/>
      <c r="F78" s="16" t="inlineStr">
        <is>
          <t>Decides approach and priorities for the practice; escalates only cross-function trade-offs</t>
        </is>
      </c>
      <c r="G78" s="210" t="n"/>
      <c r="H78" s="209" t="n"/>
      <c r="I78" s="16" t="inlineStr">
        <is>
          <t>Practice outcomes plus own deliverables; quality and delivery of the team</t>
        </is>
      </c>
      <c r="J78" s="210" t="n"/>
      <c r="K78" s="209" t="n"/>
      <c r="L78" s="16" t="inlineStr">
        <is>
          <t>Leads 3–6 people · or a pod while remaining a hands-on expert; coaches, allocates, reviews</t>
        </is>
      </c>
      <c r="M78" s="210" t="n"/>
      <c r="N78" s="209" t="n"/>
      <c r="O78" s="16" t="inlineStr">
        <is>
          <t>About 11–12 yrs</t>
        </is>
      </c>
      <c r="P78" s="210" t="n"/>
      <c r="Q78" s="209" t="n"/>
      <c r="R78" s="16" t="inlineStr">
        <is>
          <t>Drives a practice's results while delivering the hardest work</t>
        </is>
      </c>
      <c r="S78" s="210" t="n"/>
      <c r="T78" s="209" t="n"/>
    </row>
    <row r="79" ht="41" customHeight="1">
      <c r="A79" s="13" t="inlineStr">
        <is>
          <t>6 · B3</t>
        </is>
      </c>
      <c r="B79" s="209" t="n"/>
      <c r="C79" s="16" t="inlineStr">
        <is>
          <t>Sets standards for a practice; cross-team problems</t>
        </is>
      </c>
      <c r="D79" s="210" t="n"/>
      <c r="E79" s="209" t="n"/>
      <c r="F79" s="16" t="inlineStr">
        <is>
          <t>Commercial / strategic calls for the unit</t>
        </is>
      </c>
      <c r="G79" s="210" t="n"/>
      <c r="H79" s="209" t="n"/>
      <c r="I79" s="16" t="inlineStr">
        <is>
          <t>Several teams or a practice</t>
        </is>
      </c>
      <c r="J79" s="210" t="n"/>
      <c r="K79" s="209" t="n"/>
      <c r="L79" s="16" t="inlineStr">
        <is>
          <r>
            <rPr>
              <rFont val="Calibri"/>
              <b val="1"/>
              <sz val="10"/>
            </rPr>
            <t>IC:</t>
          </r>
          <r>
            <rPr>
              <rFont val="Calibri"/>
              <sz val="10"/>
            </rPr>
            <t xml:space="preserve"> leads a practice · People: team leads / managers report in</t>
          </r>
        </is>
      </c>
      <c r="M79" s="210" t="n"/>
      <c r="N79" s="209" t="n"/>
      <c r="O79" s="16" t="inlineStr">
        <is>
          <t>About 10 yrs</t>
        </is>
      </c>
      <c r="P79" s="210" t="n"/>
      <c r="Q79" s="209" t="n"/>
      <c r="R79" s="16" t="inlineStr">
        <is>
          <t>Shapes the results of a practice or several teams</t>
        </is>
      </c>
      <c r="S79" s="210" t="n"/>
      <c r="T79" s="209" t="n"/>
    </row>
    <row r="80" ht="41" customHeight="1">
      <c r="A80" s="13" t="inlineStr">
        <is>
          <t>5 · B2</t>
        </is>
      </c>
      <c r="B80" s="209" t="n"/>
      <c r="C80" s="16" t="inlineStr">
        <is>
          <t>Hardest problems in the domain</t>
        </is>
      </c>
      <c r="D80" s="210" t="n"/>
      <c r="E80" s="209" t="n"/>
      <c r="F80" s="16" t="inlineStr">
        <is>
          <t>Allocates people and sets team priorities</t>
        </is>
      </c>
      <c r="G80" s="210" t="n"/>
      <c r="H80" s="209" t="n"/>
      <c r="I80" s="16" t="inlineStr">
        <is>
          <t>One team or a client portfolio</t>
        </is>
      </c>
      <c r="J80" s="210" t="n"/>
      <c r="K80" s="209" t="n"/>
      <c r="L80" s="16" t="inlineStr">
        <is>
          <r>
            <rPr>
              <rFont val="Calibri"/>
              <b val="1"/>
              <sz val="10"/>
            </rPr>
            <t>IC:</t>
          </r>
          <r>
            <rPr>
              <rFont val="Calibri"/>
              <sz val="10"/>
            </rPr>
            <t xml:space="preserve"> guides others in the domain · People: manages a team of 6+</t>
          </r>
        </is>
      </c>
      <c r="M80" s="210" t="n"/>
      <c r="N80" s="209" t="n"/>
      <c r="O80" s="16" t="inlineStr">
        <is>
          <t>About 7.5 yrs</t>
        </is>
      </c>
      <c r="P80" s="210" t="n"/>
      <c r="Q80" s="209" t="n"/>
      <c r="R80" s="16" t="inlineStr">
        <is>
          <t>Visible effect on a team's or client portfolio's revenue, quality or compliance</t>
        </is>
      </c>
      <c r="S80" s="210" t="n"/>
      <c r="T80" s="209" t="n"/>
    </row>
    <row r="81" ht="41" customHeight="1">
      <c r="A81" s="13" t="inlineStr">
        <is>
          <t>4 · B1</t>
        </is>
      </c>
      <c r="B81" s="209" t="n"/>
      <c r="C81" s="16" t="inlineStr">
        <is>
          <t>Domain specialist work</t>
        </is>
      </c>
      <c r="D81" s="210" t="n"/>
      <c r="E81" s="209" t="n"/>
      <c r="F81" s="16" t="inlineStr">
        <is>
          <t>Technical / QC / client calls for the domain</t>
        </is>
      </c>
      <c r="G81" s="210" t="n"/>
      <c r="H81" s="209" t="n"/>
      <c r="I81" s="16" t="inlineStr">
        <is>
          <t>A domain or a small team</t>
        </is>
      </c>
      <c r="J81" s="210" t="n"/>
      <c r="K81" s="209" t="n"/>
      <c r="L81" s="16" t="inlineStr">
        <is>
          <r>
            <rPr>
              <rFont val="Calibri"/>
              <b val="1"/>
              <sz val="10"/>
            </rPr>
            <t>IC:</t>
          </r>
          <r>
            <rPr>
              <rFont val="Calibri"/>
              <sz val="10"/>
            </rPr>
            <t xml:space="preserve"> mentors and reviews · People: hands-on team lead of 3–5</t>
          </r>
        </is>
      </c>
      <c r="M81" s="210" t="n"/>
      <c r="N81" s="209" t="n"/>
      <c r="O81" s="16" t="inlineStr">
        <is>
          <t>About 5.5 yrs</t>
        </is>
      </c>
      <c r="P81" s="210" t="n"/>
      <c r="Q81" s="209" t="n"/>
      <c r="R81" s="16" t="inlineStr">
        <is>
          <t>Moves a module's, product area's or client account's results</t>
        </is>
      </c>
      <c r="S81" s="210" t="n"/>
      <c r="T81" s="209" t="n"/>
    </row>
    <row r="82" ht="41" customHeight="1">
      <c r="A82" s="13" t="inlineStr">
        <is>
          <t>3 · A3</t>
        </is>
      </c>
      <c r="B82" s="209" t="n"/>
      <c r="C82" s="16" t="inlineStr">
        <is>
          <t>Varied and non-standard work; handles exceptions</t>
        </is>
      </c>
      <c r="D82" s="210" t="n"/>
      <c r="E82" s="209" t="n"/>
      <c r="F82" s="16" t="inlineStr">
        <is>
          <t>Technical / QC / client calls on own work</t>
        </is>
      </c>
      <c r="G82" s="210" t="n"/>
      <c r="H82" s="209" t="n"/>
      <c r="I82" s="16" t="inlineStr">
        <is>
          <t>A module / process, or work with client or regulatory consequences</t>
        </is>
      </c>
      <c r="J82" s="210" t="n"/>
      <c r="K82" s="209" t="n"/>
      <c r="L82" s="16" t="inlineStr">
        <is>
          <t>Not scored in Band A</t>
        </is>
      </c>
      <c r="M82" s="210" t="n"/>
      <c r="N82" s="209" t="n"/>
      <c r="O82" s="16" t="inlineStr">
        <is>
          <t>About 3 yrs</t>
        </is>
      </c>
      <c r="P82" s="210" t="n"/>
      <c r="Q82" s="209" t="n"/>
      <c r="R82" s="16" t="inlineStr">
        <is>
          <t>A process or client deliverable depends on this work</t>
        </is>
      </c>
      <c r="S82" s="210" t="n"/>
      <c r="T82" s="209" t="n"/>
    </row>
    <row r="83" ht="28" customHeight="1">
      <c r="A83" s="13" t="inlineStr">
        <is>
          <t>2 · A2</t>
        </is>
      </c>
      <c r="B83" s="209" t="n"/>
      <c r="C83" s="16" t="inlineStr">
        <is>
          <t>Standard work of the discipline</t>
        </is>
      </c>
      <c r="D83" s="210" t="n"/>
      <c r="E83" s="209" t="n"/>
      <c r="F83" s="16" t="inlineStr">
        <is>
          <t>Chooses own approach within standards</t>
        </is>
      </c>
      <c r="G83" s="210" t="n"/>
      <c r="H83" s="209" t="n"/>
      <c r="I83" s="16" t="inlineStr">
        <is>
          <t>Own deliverables · accuracy, TAT</t>
        </is>
      </c>
      <c r="J83" s="210" t="n"/>
      <c r="K83" s="209" t="n"/>
      <c r="L83" s="16" t="inlineStr">
        <is>
          <t>Not scored in Band A</t>
        </is>
      </c>
      <c r="M83" s="210" t="n"/>
      <c r="N83" s="209" t="n"/>
      <c r="O83" s="16" t="inlineStr">
        <is>
          <t>About 1 yr</t>
        </is>
      </c>
      <c r="P83" s="210" t="n"/>
      <c r="Q83" s="209" t="n"/>
      <c r="R83" s="16" t="inlineStr">
        <is>
          <t>Own deliverables feed a team's output and turnaround</t>
        </is>
      </c>
      <c r="S83" s="210" t="n"/>
      <c r="T83" s="209" t="n"/>
    </row>
    <row r="84" ht="28" customHeight="1">
      <c r="A84" s="13" t="inlineStr">
        <is>
          <t>1 · A1</t>
        </is>
      </c>
      <c r="B84" s="209" t="n"/>
      <c r="C84" s="16" t="inlineStr">
        <is>
          <t>Learning; follows worked examples</t>
        </is>
      </c>
      <c r="D84" s="210" t="n"/>
      <c r="E84" s="209" t="n"/>
      <c r="F84" s="16" t="inlineStr">
        <is>
          <t>Needs approval / close guidance</t>
        </is>
      </c>
      <c r="G84" s="210" t="n"/>
      <c r="H84" s="209" t="n"/>
      <c r="I84" s="16" t="inlineStr">
        <is>
          <t>Learning tasks</t>
        </is>
      </c>
      <c r="J84" s="210" t="n"/>
      <c r="K84" s="209" t="n"/>
      <c r="L84" s="16" t="inlineStr">
        <is>
          <t>Not scored in Band A</t>
        </is>
      </c>
      <c r="M84" s="210" t="n"/>
      <c r="N84" s="209" t="n"/>
      <c r="O84" s="16" t="inlineStr">
        <is>
          <t>No experience yet</t>
        </is>
      </c>
      <c r="P84" s="210" t="n"/>
      <c r="Q84" s="209" t="n"/>
      <c r="R84" s="16" t="inlineStr">
        <is>
          <t>Learning; little direct effect on business results yet</t>
        </is>
      </c>
      <c r="S84" s="210" t="n"/>
      <c r="T84" s="209" t="n"/>
    </row>
    <row r="85" ht="15" customHeight="1"/>
    <row r="86" ht="15" customHeight="1">
      <c r="A86" s="11" t="inlineStr">
        <is>
          <r>
            <rPr>
              <rFont val="Calibri"/>
              <b val="1"/>
              <i val="1"/>
              <color rgb="00595959"/>
              <sz val="10"/>
            </rPr>
            <t>The ladder scale:</t>
          </r>
          <r>
            <rPr>
              <rFont val="Calibri"/>
              <i val="1"/>
              <color rgb="00595959"/>
              <sz val="10"/>
            </rPr>
            <t xml:space="preserve"> Sources: S01, S02 Aon Radford and Pave level codes · S08 SFIA levels of responsibility. Full links: source register, HR Super Master sheet 11 and Framework Master M16.</t>
          </r>
        </is>
      </c>
    </row>
  </sheetData>
  <mergeCells count="198">
    <mergeCell ref="K61:N61"/>
    <mergeCell ref="I72:K72"/>
    <mergeCell ref="A58:T58"/>
    <mergeCell ref="I32:T32"/>
    <mergeCell ref="A40:T40"/>
    <mergeCell ref="A66:F66"/>
    <mergeCell ref="A73:B73"/>
    <mergeCell ref="F76:H76"/>
    <mergeCell ref="C80:E80"/>
    <mergeCell ref="L74:N74"/>
    <mergeCell ref="R83:T83"/>
    <mergeCell ref="A15:T15"/>
    <mergeCell ref="L83:N83"/>
    <mergeCell ref="A51:T51"/>
    <mergeCell ref="A70:B70"/>
    <mergeCell ref="K65:N65"/>
    <mergeCell ref="C43:T43"/>
    <mergeCell ref="L76:N76"/>
    <mergeCell ref="K62:N62"/>
    <mergeCell ref="C71:E71"/>
    <mergeCell ref="I33:T33"/>
    <mergeCell ref="R75:T75"/>
    <mergeCell ref="O70:Q70"/>
    <mergeCell ref="I79:K79"/>
    <mergeCell ref="I73:K73"/>
    <mergeCell ref="O64:T64"/>
    <mergeCell ref="A74:B74"/>
    <mergeCell ref="I82:K82"/>
    <mergeCell ref="R77:T77"/>
    <mergeCell ref="R72:T72"/>
    <mergeCell ref="I35:T35"/>
    <mergeCell ref="C32:H32"/>
    <mergeCell ref="O76:Q76"/>
    <mergeCell ref="A76:B76"/>
    <mergeCell ref="A33:B33"/>
    <mergeCell ref="A2:T2"/>
    <mergeCell ref="I74:K74"/>
    <mergeCell ref="I34:T34"/>
    <mergeCell ref="A42:T42"/>
    <mergeCell ref="C77:E77"/>
    <mergeCell ref="A64:F64"/>
    <mergeCell ref="F78:H78"/>
    <mergeCell ref="A35:B35"/>
    <mergeCell ref="G66:J66"/>
    <mergeCell ref="O77:Q77"/>
    <mergeCell ref="A60:F60"/>
    <mergeCell ref="C74:E74"/>
    <mergeCell ref="R79:T79"/>
    <mergeCell ref="I36:T36"/>
    <mergeCell ref="O83:Q83"/>
    <mergeCell ref="A48:B48"/>
    <mergeCell ref="L71:N71"/>
    <mergeCell ref="O63:T63"/>
    <mergeCell ref="C75:E75"/>
    <mergeCell ref="A30:T30"/>
    <mergeCell ref="C84:E84"/>
    <mergeCell ref="A45:B45"/>
    <mergeCell ref="R74:T74"/>
    <mergeCell ref="A59:T59"/>
    <mergeCell ref="I37:T37"/>
    <mergeCell ref="O84:Q84"/>
    <mergeCell ref="O75:Q75"/>
    <mergeCell ref="L73:N73"/>
    <mergeCell ref="A79:B79"/>
    <mergeCell ref="R76:T76"/>
    <mergeCell ref="O80:Q80"/>
    <mergeCell ref="C36:H36"/>
    <mergeCell ref="A46:B46"/>
    <mergeCell ref="C70:E70"/>
    <mergeCell ref="A37:B37"/>
    <mergeCell ref="O79:Q79"/>
    <mergeCell ref="A8:I8"/>
    <mergeCell ref="A54:T54"/>
    <mergeCell ref="A62:F62"/>
    <mergeCell ref="F77:H77"/>
    <mergeCell ref="I78:K78"/>
    <mergeCell ref="A41:T41"/>
    <mergeCell ref="C81:E81"/>
    <mergeCell ref="G61:J61"/>
    <mergeCell ref="O72:Q72"/>
    <mergeCell ref="O81:Q81"/>
    <mergeCell ref="A56:T56"/>
    <mergeCell ref="K64:N64"/>
    <mergeCell ref="A71:B71"/>
    <mergeCell ref="C37:H37"/>
    <mergeCell ref="L77:N77"/>
    <mergeCell ref="O78:Q78"/>
    <mergeCell ref="I81:K81"/>
    <mergeCell ref="K63:N63"/>
    <mergeCell ref="G62:J62"/>
    <mergeCell ref="C6:H6"/>
    <mergeCell ref="C79:E79"/>
    <mergeCell ref="A53:T53"/>
    <mergeCell ref="C73:E73"/>
    <mergeCell ref="A61:F61"/>
    <mergeCell ref="R84:T84"/>
    <mergeCell ref="R78:T78"/>
    <mergeCell ref="C45:T45"/>
    <mergeCell ref="A10:T10"/>
    <mergeCell ref="L78:N78"/>
    <mergeCell ref="A68:T68"/>
    <mergeCell ref="I76:K76"/>
    <mergeCell ref="A34:B34"/>
    <mergeCell ref="G65:J65"/>
    <mergeCell ref="A77:B77"/>
    <mergeCell ref="A83:B83"/>
    <mergeCell ref="R80:T80"/>
    <mergeCell ref="C47:T47"/>
    <mergeCell ref="A49:B49"/>
    <mergeCell ref="A39:T39"/>
    <mergeCell ref="I75:K75"/>
    <mergeCell ref="F79:H79"/>
    <mergeCell ref="A36:B36"/>
    <mergeCell ref="C44:T44"/>
    <mergeCell ref="R70:T70"/>
    <mergeCell ref="A11:T11"/>
    <mergeCell ref="A1:T1"/>
    <mergeCell ref="F81:H81"/>
    <mergeCell ref="G60:J60"/>
    <mergeCell ref="A78:B78"/>
    <mergeCell ref="L79:N79"/>
    <mergeCell ref="O62:T62"/>
    <mergeCell ref="F71:H71"/>
    <mergeCell ref="A75:B75"/>
    <mergeCell ref="A80:B80"/>
    <mergeCell ref="L81:N81"/>
    <mergeCell ref="O60:T60"/>
    <mergeCell ref="C72:E72"/>
    <mergeCell ref="A63:F63"/>
    <mergeCell ref="F82:H82"/>
    <mergeCell ref="A12:T12"/>
    <mergeCell ref="I84:K84"/>
    <mergeCell ref="A32:B32"/>
    <mergeCell ref="O66:T66"/>
    <mergeCell ref="A57:T57"/>
    <mergeCell ref="C78:E78"/>
    <mergeCell ref="I31:T31"/>
    <mergeCell ref="C34:H34"/>
    <mergeCell ref="A14:T14"/>
    <mergeCell ref="C49:T49"/>
    <mergeCell ref="L82:N82"/>
    <mergeCell ref="I80:K80"/>
    <mergeCell ref="A43:B43"/>
    <mergeCell ref="I70:K70"/>
    <mergeCell ref="L75:N75"/>
    <mergeCell ref="F84:H84"/>
    <mergeCell ref="A52:T52"/>
    <mergeCell ref="A65:F65"/>
    <mergeCell ref="F80:H80"/>
    <mergeCell ref="G64:J64"/>
    <mergeCell ref="A82:B82"/>
    <mergeCell ref="O65:T65"/>
    <mergeCell ref="C31:H31"/>
    <mergeCell ref="I71:K71"/>
    <mergeCell ref="F75:H75"/>
    <mergeCell ref="F70:H70"/>
    <mergeCell ref="G63:J63"/>
    <mergeCell ref="O74:Q74"/>
    <mergeCell ref="K66:N66"/>
    <mergeCell ref="F72:H72"/>
    <mergeCell ref="C76:E76"/>
    <mergeCell ref="O71:Q71"/>
    <mergeCell ref="C46:T46"/>
    <mergeCell ref="L84:N84"/>
    <mergeCell ref="A69:T69"/>
    <mergeCell ref="I83:K83"/>
    <mergeCell ref="A84:B84"/>
    <mergeCell ref="O61:T61"/>
    <mergeCell ref="C82:E82"/>
    <mergeCell ref="R81:T81"/>
    <mergeCell ref="C7:H7"/>
    <mergeCell ref="L72:N72"/>
    <mergeCell ref="O73:Q73"/>
    <mergeCell ref="C48:T48"/>
    <mergeCell ref="O82:Q82"/>
    <mergeCell ref="L80:N80"/>
    <mergeCell ref="R71:T71"/>
    <mergeCell ref="A3:T3"/>
    <mergeCell ref="A47:B47"/>
    <mergeCell ref="A55:T55"/>
    <mergeCell ref="L70:N70"/>
    <mergeCell ref="A86:T86"/>
    <mergeCell ref="K60:N60"/>
    <mergeCell ref="F73:H73"/>
    <mergeCell ref="C83:E83"/>
    <mergeCell ref="R73:T73"/>
    <mergeCell ref="A5:T5"/>
    <mergeCell ref="C33:H33"/>
    <mergeCell ref="I77:K77"/>
    <mergeCell ref="R82:T82"/>
    <mergeCell ref="A72:B72"/>
    <mergeCell ref="A81:B81"/>
    <mergeCell ref="C35:H35"/>
    <mergeCell ref="A44:B44"/>
    <mergeCell ref="F74:H74"/>
    <mergeCell ref="F83:H83"/>
    <mergeCell ref="A31:B31"/>
    <mergeCell ref="A13:T13"/>
  </mergeCells>
  <conditionalFormatting sqref="G17:G28">
    <cfRule type="colorScale" priority="1">
      <colorScale>
        <cfvo type="num" val="0"/>
        <cfvo type="num" val="40"/>
        <color rgb="00FFFFFF"/>
        <color rgb="00A9D08E"/>
      </colorScale>
    </cfRule>
  </conditionalFormatting>
  <conditionalFormatting sqref="H17:H28">
    <cfRule type="colorScale" priority="2">
      <colorScale>
        <cfvo type="num" val="0"/>
        <cfvo type="num" val="40"/>
        <color rgb="00FFFFFF"/>
        <color rgb="00A9D08E"/>
      </colorScale>
    </cfRule>
  </conditionalFormatting>
  <conditionalFormatting sqref="I17:I28">
    <cfRule type="colorScale" priority="3">
      <colorScale>
        <cfvo type="num" val="0"/>
        <cfvo type="num" val="40"/>
        <color rgb="00FFFFFF"/>
        <color rgb="00A9D08E"/>
      </colorScale>
    </cfRule>
  </conditionalFormatting>
  <conditionalFormatting sqref="J17:J28">
    <cfRule type="colorScale" priority="4">
      <colorScale>
        <cfvo type="num" val="0"/>
        <cfvo type="num" val="40"/>
        <color rgb="00FFFFFF"/>
        <color rgb="00A9D08E"/>
      </colorScale>
    </cfRule>
  </conditionalFormatting>
  <conditionalFormatting sqref="K17:K28">
    <cfRule type="colorScale" priority="5">
      <colorScale>
        <cfvo type="num" val="0"/>
        <cfvo type="num" val="40"/>
        <color rgb="00FFFFFF"/>
        <color rgb="00A9D08E"/>
      </colorScale>
    </cfRule>
  </conditionalFormatting>
  <conditionalFormatting sqref="L17:L28">
    <cfRule type="colorScale" priority="6">
      <colorScale>
        <cfvo type="num" val="0"/>
        <cfvo type="num" val="40"/>
        <color rgb="00FFFFFF"/>
        <color rgb="00A9D08E"/>
      </colorScale>
    </cfRule>
  </conditionalFormatting>
  <dataValidations count="2">
    <dataValidation sqref="G17:L28" showDropDown="0" showInputMessage="0" showErrorMessage="1" allowBlank="1" errorTitle="Weight" error="Enter a weight from 0 to 100 (%)." type="decimal" operator="between">
      <formula1>0</formula1>
      <formula2>100</formula2>
    </dataValidation>
    <dataValidation sqref="B6:B7" showDropDown="0" showInputMessage="0" showErrorMessage="1" allowBlank="0" errorTitle="Experience weight" error="Enter a weight from 0 to 50 (%)." type="decimal" operator="between">
      <formula1>0</formula1>
      <formula2>50</formula2>
    </dataValidation>
  </dataValidation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7.xml><?xml version="1.0" encoding="utf-8"?>
<worksheet xmlns="http://schemas.openxmlformats.org/spreadsheetml/2006/main">
  <sheetPr>
    <tabColor rgb="002E75B6"/>
    <outlinePr summaryBelow="1" summaryRight="1"/>
    <pageSetUpPr fitToPage="1"/>
  </sheetPr>
  <dimension ref="A1:I155"/>
  <sheetViews>
    <sheetView showGridLines="0" workbookViewId="0">
      <pane ySplit="4" topLeftCell="A5"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2" customWidth="1" min="7" max="7"/>
    <col width="60" customWidth="1" min="8" max="8"/>
    <col width="13" customWidth="1" min="9" max="9"/>
  </cols>
  <sheetData>
    <row r="1" ht="34" customHeight="1">
      <c r="A1" s="1" t="inlineStr">
        <is>
          <t>Weight benchmark — where the default weights come from</t>
        </is>
      </c>
      <c r="I1" s="241" t="inlineStr">
        <is>
          <t>◂ Contents</t>
        </is>
      </c>
    </row>
    <row r="2" ht="32" customHeight="1">
      <c r="A2" s="3" t="inlineStr">
        <is>
          <t>1e · The published point-factor plans, how weights shift with seniority, the evidence on experience and on business impact, and IRIS's defaults set against them. Every figure has its source.</t>
        </is>
      </c>
    </row>
    <row r="3">
      <c r="A3" s="4" t="inlineStr">
        <is>
          <t>IRIS · Job Architecture &amp; Job Design · Final v1.12 · October 2026 · Internal — Confidential</t>
        </is>
      </c>
    </row>
    <row r="4"/>
    <row r="5" ht="20" customHeight="1">
      <c r="A5" s="6" t="inlineStr">
        <is>
          <t>0. How the default weights were derived — in one table</t>
        </is>
      </c>
    </row>
    <row r="6" ht="41" customHeight="1">
      <c r="A6" s="11" t="inlineStr">
        <is>
          <r>
            <rPr>
              <rFont val="Calibri"/>
              <b val="1"/>
              <i val="1"/>
              <color rgb="00595959"/>
              <sz val="10"/>
            </rPr>
            <t>Three published sources, given equal weight:</t>
          </r>
          <r>
            <rPr>
              <rFont val="Calibri"/>
              <i val="1"/>
              <color rgb="00595959"/>
              <sz val="10"/>
            </rPr>
            <t xml:space="preserve"> Korn Ferry Hay — the most widely used private-sector method, with verified point evaluations by level; Mercer IPE — its published point table; and the five public point-factor plans. Each is mapped to the six IRIS factors by the same rules, then the three are averaged and rounded to whole numbers. The three sources agree within a few points for every role group.</t>
          </r>
        </is>
      </c>
    </row>
    <row r="7" ht="28" customHeight="1">
      <c r="A7" s="12" t="inlineStr">
        <is>
          <t>Role group · source</t>
        </is>
      </c>
      <c r="B7" s="12" t="inlineStr">
        <is>
          <t>Complexity</t>
        </is>
      </c>
      <c r="C7" s="12" t="inlineStr">
        <is>
          <t>Autonomy</t>
        </is>
      </c>
      <c r="D7" s="12" t="inlineStr">
        <is>
          <t>Accountability</t>
        </is>
      </c>
      <c r="E7" s="12" t="inlineStr">
        <is>
          <t>Leadership</t>
        </is>
      </c>
      <c r="F7" s="12" t="inlineStr">
        <is>
          <t>Experience</t>
        </is>
      </c>
      <c r="G7" s="12" t="inlineStr">
        <is>
          <t>Business impact</t>
        </is>
      </c>
      <c r="H7" s="12" t="inlineStr">
        <is>
          <t>Note</t>
        </is>
      </c>
    </row>
    <row r="8" ht="15" customHeight="1">
      <c r="A8" s="13" t="inlineStr">
        <is>
          <t>Band A · Korn Ferry Hay</t>
        </is>
      </c>
      <c r="B8" s="15" t="inlineStr">
        <is>
          <t>71%</t>
        </is>
      </c>
      <c r="C8" s="15" t="inlineStr">
        <is>
          <t>11%</t>
        </is>
      </c>
      <c r="D8" s="15" t="inlineStr">
        <is>
          <t>4%</t>
        </is>
      </c>
      <c r="E8" s="15" t="inlineStr">
        <is>
          <t>0%</t>
        </is>
      </c>
      <c r="F8" s="15" t="inlineStr">
        <is>
          <t>10%</t>
        </is>
      </c>
      <c r="G8" s="15" t="inlineStr">
        <is>
          <t>4%</t>
        </is>
      </c>
      <c r="H8" s="16" t="inlineStr"/>
    </row>
    <row r="9" ht="15" customHeight="1">
      <c r="A9" s="13" t="inlineStr">
        <is>
          <t>Band A · Mercer IPE</t>
        </is>
      </c>
      <c r="B9" s="15" t="inlineStr">
        <is>
          <t>51%</t>
        </is>
      </c>
      <c r="C9" s="15" t="inlineStr">
        <is>
          <t>22%</t>
        </is>
      </c>
      <c r="D9" s="15" t="inlineStr">
        <is>
          <t>8%</t>
        </is>
      </c>
      <c r="E9" s="15" t="inlineStr">
        <is>
          <t>0%</t>
        </is>
      </c>
      <c r="F9" s="15" t="inlineStr">
        <is>
          <t>10%</t>
        </is>
      </c>
      <c r="G9" s="15" t="inlineStr">
        <is>
          <t>8%</t>
        </is>
      </c>
      <c r="H9" s="16" t="inlineStr"/>
    </row>
    <row r="10" ht="15" customHeight="1">
      <c r="A10" s="13" t="inlineStr">
        <is>
          <t>Band A · Public plans</t>
        </is>
      </c>
      <c r="B10" s="15" t="inlineStr">
        <is>
          <t>53%</t>
        </is>
      </c>
      <c r="C10" s="15" t="inlineStr">
        <is>
          <t>15%</t>
        </is>
      </c>
      <c r="D10" s="15" t="inlineStr">
        <is>
          <t>15%</t>
        </is>
      </c>
      <c r="E10" s="15" t="inlineStr">
        <is>
          <t>0%</t>
        </is>
      </c>
      <c r="F10" s="15" t="inlineStr">
        <is>
          <t>10%</t>
        </is>
      </c>
      <c r="G10" s="15" t="inlineStr">
        <is>
          <t>7%</t>
        </is>
      </c>
      <c r="H10" s="16" t="inlineStr"/>
    </row>
    <row r="11" ht="15" customHeight="1">
      <c r="A11" s="27" t="inlineStr">
        <is>
          <t>Band A · IRIS default</t>
        </is>
      </c>
      <c r="B11" s="20" t="inlineStr">
        <is>
          <t>59%</t>
        </is>
      </c>
      <c r="C11" s="20" t="inlineStr">
        <is>
          <t>16%</t>
        </is>
      </c>
      <c r="D11" s="20" t="inlineStr">
        <is>
          <t>9%</t>
        </is>
      </c>
      <c r="E11" s="20" t="inlineStr">
        <is>
          <t>0%</t>
        </is>
      </c>
      <c r="F11" s="20" t="inlineStr">
        <is>
          <t>10%</t>
        </is>
      </c>
      <c r="G11" s="20" t="inlineStr">
        <is>
          <t>6%</t>
        </is>
      </c>
      <c r="H11" s="18" t="inlineStr">
        <is>
          <t>Average of the three, whole numbers</t>
        </is>
      </c>
    </row>
    <row r="12" ht="28" customHeight="1">
      <c r="A12" s="13" t="inlineStr">
        <is>
          <t>Band B · IC / POD Lead · Korn Ferry Hay</t>
        </is>
      </c>
      <c r="B12" s="15" t="inlineStr">
        <is>
          <t>54%</t>
        </is>
      </c>
      <c r="C12" s="15" t="inlineStr">
        <is>
          <t>19%</t>
        </is>
      </c>
      <c r="D12" s="15" t="inlineStr">
        <is>
          <t>6%</t>
        </is>
      </c>
      <c r="E12" s="15" t="inlineStr">
        <is>
          <t>5%</t>
        </is>
      </c>
      <c r="F12" s="15" t="inlineStr">
        <is>
          <t>10%</t>
        </is>
      </c>
      <c r="G12" s="15" t="inlineStr">
        <is>
          <t>6%</t>
        </is>
      </c>
      <c r="H12" s="16" t="inlineStr"/>
    </row>
    <row r="13" ht="28" customHeight="1">
      <c r="A13" s="13" t="inlineStr">
        <is>
          <t>Band B · IC / POD Lead · Mercer IPE</t>
        </is>
      </c>
      <c r="B13" s="15" t="inlineStr">
        <is>
          <t>52%</t>
        </is>
      </c>
      <c r="C13" s="15" t="inlineStr">
        <is>
          <t>18%</t>
        </is>
      </c>
      <c r="D13" s="15" t="inlineStr">
        <is>
          <t>8%</t>
        </is>
      </c>
      <c r="E13" s="15" t="inlineStr">
        <is>
          <t>5%</t>
        </is>
      </c>
      <c r="F13" s="15" t="inlineStr">
        <is>
          <t>10%</t>
        </is>
      </c>
      <c r="G13" s="15" t="inlineStr">
        <is>
          <t>8%</t>
        </is>
      </c>
      <c r="H13" s="16" t="inlineStr"/>
    </row>
    <row r="14" ht="28" customHeight="1">
      <c r="A14" s="13" t="inlineStr">
        <is>
          <t>Band B · IC / POD Lead · Public plans</t>
        </is>
      </c>
      <c r="B14" s="15" t="inlineStr">
        <is>
          <t>48%</t>
        </is>
      </c>
      <c r="C14" s="15" t="inlineStr">
        <is>
          <t>15%</t>
        </is>
      </c>
      <c r="D14" s="15" t="inlineStr">
        <is>
          <t>15%</t>
        </is>
      </c>
      <c r="E14" s="15" t="inlineStr">
        <is>
          <t>5%</t>
        </is>
      </c>
      <c r="F14" s="15" t="inlineStr">
        <is>
          <t>10%</t>
        </is>
      </c>
      <c r="G14" s="15" t="inlineStr">
        <is>
          <t>7%</t>
        </is>
      </c>
      <c r="H14" s="16" t="inlineStr"/>
    </row>
    <row r="15" ht="28" customHeight="1">
      <c r="A15" s="27" t="inlineStr">
        <is>
          <t>Band B · IC / POD Lead · IRIS default</t>
        </is>
      </c>
      <c r="B15" s="20" t="inlineStr">
        <is>
          <t>51%</t>
        </is>
      </c>
      <c r="C15" s="20" t="inlineStr">
        <is>
          <t>17%</t>
        </is>
      </c>
      <c r="D15" s="20" t="inlineStr">
        <is>
          <t>10%</t>
        </is>
      </c>
      <c r="E15" s="20" t="inlineStr">
        <is>
          <t>5%</t>
        </is>
      </c>
      <c r="F15" s="20" t="inlineStr">
        <is>
          <t>10%</t>
        </is>
      </c>
      <c r="G15" s="20" t="inlineStr">
        <is>
          <t>7%</t>
        </is>
      </c>
      <c r="H15" s="18" t="inlineStr">
        <is>
          <t>Average of the three, whole numbers</t>
        </is>
      </c>
    </row>
    <row r="16" ht="28" customHeight="1">
      <c r="A16" s="13" t="inlineStr">
        <is>
          <t>Band B · People Manager · Korn Ferry Hay</t>
        </is>
      </c>
      <c r="B16" s="15" t="inlineStr">
        <is>
          <t>35%</t>
        </is>
      </c>
      <c r="C16" s="15" t="inlineStr">
        <is>
          <t>21%</t>
        </is>
      </c>
      <c r="D16" s="15" t="inlineStr">
        <is>
          <t>10%</t>
        </is>
      </c>
      <c r="E16" s="15" t="inlineStr">
        <is>
          <t>15%</t>
        </is>
      </c>
      <c r="F16" s="15" t="inlineStr">
        <is>
          <t>10%</t>
        </is>
      </c>
      <c r="G16" s="15" t="inlineStr">
        <is>
          <t>10%</t>
        </is>
      </c>
      <c r="H16" s="16" t="inlineStr"/>
    </row>
    <row r="17" ht="28" customHeight="1">
      <c r="A17" s="13" t="inlineStr">
        <is>
          <t>Band B · People Manager · Mercer IPE</t>
        </is>
      </c>
      <c r="B17" s="15" t="inlineStr">
        <is>
          <t>38%</t>
        </is>
      </c>
      <c r="C17" s="15" t="inlineStr">
        <is>
          <t>19%</t>
        </is>
      </c>
      <c r="D17" s="15" t="inlineStr">
        <is>
          <t>9%</t>
        </is>
      </c>
      <c r="E17" s="15" t="inlineStr">
        <is>
          <t>15%</t>
        </is>
      </c>
      <c r="F17" s="15" t="inlineStr">
        <is>
          <t>10%</t>
        </is>
      </c>
      <c r="G17" s="15" t="inlineStr">
        <is>
          <t>9%</t>
        </is>
      </c>
      <c r="H17" s="16" t="inlineStr"/>
    </row>
    <row r="18" ht="28" customHeight="1">
      <c r="A18" s="13" t="inlineStr">
        <is>
          <t>Band B · People Manager · Public plans</t>
        </is>
      </c>
      <c r="B18" s="15" t="inlineStr">
        <is>
          <t>38%</t>
        </is>
      </c>
      <c r="C18" s="15" t="inlineStr">
        <is>
          <t>15%</t>
        </is>
      </c>
      <c r="D18" s="15" t="inlineStr">
        <is>
          <t>15%</t>
        </is>
      </c>
      <c r="E18" s="15" t="inlineStr">
        <is>
          <t>15%</t>
        </is>
      </c>
      <c r="F18" s="15" t="inlineStr">
        <is>
          <t>10%</t>
        </is>
      </c>
      <c r="G18" s="15" t="inlineStr">
        <is>
          <t>7%</t>
        </is>
      </c>
      <c r="H18" s="16" t="inlineStr"/>
    </row>
    <row r="19" ht="28" customHeight="1">
      <c r="A19" s="27" t="inlineStr">
        <is>
          <t>Band B · People Manager · IRIS default</t>
        </is>
      </c>
      <c r="B19" s="20" t="inlineStr">
        <is>
          <t>37%</t>
        </is>
      </c>
      <c r="C19" s="20" t="inlineStr">
        <is>
          <t>18%</t>
        </is>
      </c>
      <c r="D19" s="20" t="inlineStr">
        <is>
          <t>11%</t>
        </is>
      </c>
      <c r="E19" s="20" t="inlineStr">
        <is>
          <t>15%</t>
        </is>
      </c>
      <c r="F19" s="20" t="inlineStr">
        <is>
          <t>10%</t>
        </is>
      </c>
      <c r="G19" s="20" t="inlineStr">
        <is>
          <t>9%</t>
        </is>
      </c>
      <c r="H19" s="18" t="inlineStr">
        <is>
          <t>Average of the three, whole numbers</t>
        </is>
      </c>
    </row>
    <row r="20" ht="28" customHeight="1">
      <c r="A20" s="13" t="inlineStr">
        <is>
          <t>Player-Coach · B+ · Korn Ferry Hay</t>
        </is>
      </c>
      <c r="B20" s="15" t="inlineStr">
        <is>
          <t>44%</t>
        </is>
      </c>
      <c r="C20" s="15" t="inlineStr">
        <is>
          <t>20%</t>
        </is>
      </c>
      <c r="D20" s="15" t="inlineStr">
        <is>
          <t>8%</t>
        </is>
      </c>
      <c r="E20" s="15" t="inlineStr">
        <is>
          <t>10%</t>
        </is>
      </c>
      <c r="F20" s="15" t="inlineStr">
        <is>
          <t>10%</t>
        </is>
      </c>
      <c r="G20" s="15" t="inlineStr">
        <is>
          <t>8%</t>
        </is>
      </c>
      <c r="H20" s="16" t="inlineStr"/>
    </row>
    <row r="21" ht="15" customHeight="1">
      <c r="A21" s="13" t="inlineStr">
        <is>
          <t>Player-Coach · B+ · Mercer IPE</t>
        </is>
      </c>
      <c r="B21" s="15" t="inlineStr">
        <is>
          <t>45%</t>
        </is>
      </c>
      <c r="C21" s="15" t="inlineStr">
        <is>
          <t>18%</t>
        </is>
      </c>
      <c r="D21" s="15" t="inlineStr">
        <is>
          <t>8%</t>
        </is>
      </c>
      <c r="E21" s="15" t="inlineStr">
        <is>
          <t>10%</t>
        </is>
      </c>
      <c r="F21" s="15" t="inlineStr">
        <is>
          <t>10%</t>
        </is>
      </c>
      <c r="G21" s="15" t="inlineStr">
        <is>
          <t>8%</t>
        </is>
      </c>
      <c r="H21" s="16" t="inlineStr"/>
    </row>
    <row r="22" ht="15" customHeight="1">
      <c r="A22" s="13" t="inlineStr">
        <is>
          <t>Player-Coach · B+ · Public plans</t>
        </is>
      </c>
      <c r="B22" s="15" t="inlineStr">
        <is>
          <t>43%</t>
        </is>
      </c>
      <c r="C22" s="15" t="inlineStr">
        <is>
          <t>15%</t>
        </is>
      </c>
      <c r="D22" s="15" t="inlineStr">
        <is>
          <t>15%</t>
        </is>
      </c>
      <c r="E22" s="15" t="inlineStr">
        <is>
          <t>10%</t>
        </is>
      </c>
      <c r="F22" s="15" t="inlineStr">
        <is>
          <t>10%</t>
        </is>
      </c>
      <c r="G22" s="15" t="inlineStr">
        <is>
          <t>7%</t>
        </is>
      </c>
      <c r="H22" s="16" t="inlineStr"/>
    </row>
    <row r="23" ht="15" customHeight="1">
      <c r="A23" s="27" t="inlineStr">
        <is>
          <t>Player-Coach · B+ · IRIS default</t>
        </is>
      </c>
      <c r="B23" s="20" t="inlineStr">
        <is>
          <t>44%</t>
        </is>
      </c>
      <c r="C23" s="20" t="inlineStr">
        <is>
          <t>18%</t>
        </is>
      </c>
      <c r="D23" s="20" t="inlineStr">
        <is>
          <t>10%</t>
        </is>
      </c>
      <c r="E23" s="20" t="inlineStr">
        <is>
          <t>10%</t>
        </is>
      </c>
      <c r="F23" s="20" t="inlineStr">
        <is>
          <t>10%</t>
        </is>
      </c>
      <c r="G23" s="20" t="inlineStr">
        <is>
          <t>8%</t>
        </is>
      </c>
      <c r="H23" s="18" t="inlineStr">
        <is>
          <t>Average of the three, whole numbers</t>
        </is>
      </c>
    </row>
    <row r="24" ht="28" customHeight="1">
      <c r="A24" s="13" t="inlineStr">
        <is>
          <t>Band C · Principal specialist · Korn Ferry Hay</t>
        </is>
      </c>
      <c r="B24" s="15" t="inlineStr">
        <is>
          <t>55%</t>
        </is>
      </c>
      <c r="C24" s="15" t="inlineStr">
        <is>
          <t>20%</t>
        </is>
      </c>
      <c r="D24" s="15" t="inlineStr">
        <is>
          <t>8%</t>
        </is>
      </c>
      <c r="E24" s="15" t="inlineStr">
        <is>
          <t>5%</t>
        </is>
      </c>
      <c r="F24" s="15" t="inlineStr">
        <is>
          <t>5%</t>
        </is>
      </c>
      <c r="G24" s="15" t="inlineStr">
        <is>
          <t>8%</t>
        </is>
      </c>
      <c r="H24" s="16" t="inlineStr"/>
    </row>
    <row r="25" ht="28" customHeight="1">
      <c r="A25" s="13" t="inlineStr">
        <is>
          <t>Band C · Principal specialist · Mercer IPE</t>
        </is>
      </c>
      <c r="B25" s="15" t="inlineStr">
        <is>
          <t>55%</t>
        </is>
      </c>
      <c r="C25" s="15" t="inlineStr">
        <is>
          <t>18%</t>
        </is>
      </c>
      <c r="D25" s="15" t="inlineStr">
        <is>
          <t>8%</t>
        </is>
      </c>
      <c r="E25" s="15" t="inlineStr">
        <is>
          <t>5%</t>
        </is>
      </c>
      <c r="F25" s="15" t="inlineStr">
        <is>
          <t>5%</t>
        </is>
      </c>
      <c r="G25" s="15" t="inlineStr">
        <is>
          <t>8%</t>
        </is>
      </c>
      <c r="H25" s="16" t="inlineStr"/>
    </row>
    <row r="26" ht="28" customHeight="1">
      <c r="A26" s="13" t="inlineStr">
        <is>
          <t>Band C · Principal specialist · Public plans</t>
        </is>
      </c>
      <c r="B26" s="15" t="inlineStr">
        <is>
          <t>53%</t>
        </is>
      </c>
      <c r="C26" s="15" t="inlineStr">
        <is>
          <t>15%</t>
        </is>
      </c>
      <c r="D26" s="15" t="inlineStr">
        <is>
          <t>15%</t>
        </is>
      </c>
      <c r="E26" s="15" t="inlineStr">
        <is>
          <t>5%</t>
        </is>
      </c>
      <c r="F26" s="15" t="inlineStr">
        <is>
          <t>5%</t>
        </is>
      </c>
      <c r="G26" s="15" t="inlineStr">
        <is>
          <t>7%</t>
        </is>
      </c>
      <c r="H26" s="16" t="inlineStr"/>
    </row>
    <row r="27" ht="28" customHeight="1">
      <c r="A27" s="27" t="inlineStr">
        <is>
          <t>Band C · Principal specialist · IRIS default</t>
        </is>
      </c>
      <c r="B27" s="20" t="inlineStr">
        <is>
          <t>54%</t>
        </is>
      </c>
      <c r="C27" s="20" t="inlineStr">
        <is>
          <t>18%</t>
        </is>
      </c>
      <c r="D27" s="20" t="inlineStr">
        <is>
          <t>10%</t>
        </is>
      </c>
      <c r="E27" s="20" t="inlineStr">
        <is>
          <t>5%</t>
        </is>
      </c>
      <c r="F27" s="20" t="inlineStr">
        <is>
          <t>5%</t>
        </is>
      </c>
      <c r="G27" s="20" t="inlineStr">
        <is>
          <t>8%</t>
        </is>
      </c>
      <c r="H27" s="18" t="inlineStr">
        <is>
          <t>Average of the three, whole numbers</t>
        </is>
      </c>
    </row>
    <row r="28" ht="28" customHeight="1">
      <c r="A28" s="13" t="inlineStr">
        <is>
          <t>Band C · Head / manager · Korn Ferry Hay</t>
        </is>
      </c>
      <c r="B28" s="15" t="inlineStr">
        <is>
          <t>44%</t>
        </is>
      </c>
      <c r="C28" s="15" t="inlineStr">
        <is>
          <t>20%</t>
        </is>
      </c>
      <c r="D28" s="15" t="inlineStr">
        <is>
          <t>8%</t>
        </is>
      </c>
      <c r="E28" s="15" t="inlineStr">
        <is>
          <t>15%</t>
        </is>
      </c>
      <c r="F28" s="15" t="inlineStr">
        <is>
          <t>5%</t>
        </is>
      </c>
      <c r="G28" s="15" t="inlineStr">
        <is>
          <t>8%</t>
        </is>
      </c>
      <c r="H28" s="16" t="inlineStr"/>
    </row>
    <row r="29" ht="28" customHeight="1">
      <c r="A29" s="13" t="inlineStr">
        <is>
          <t>Band C · Head / manager · Mercer IPE</t>
        </is>
      </c>
      <c r="B29" s="15" t="inlineStr">
        <is>
          <t>43%</t>
        </is>
      </c>
      <c r="C29" s="15" t="inlineStr">
        <is>
          <t>19%</t>
        </is>
      </c>
      <c r="D29" s="15" t="inlineStr">
        <is>
          <t>9%</t>
        </is>
      </c>
      <c r="E29" s="15" t="inlineStr">
        <is>
          <t>15%</t>
        </is>
      </c>
      <c r="F29" s="15" t="inlineStr">
        <is>
          <t>5%</t>
        </is>
      </c>
      <c r="G29" s="15" t="inlineStr">
        <is>
          <t>9%</t>
        </is>
      </c>
      <c r="H29" s="16" t="inlineStr"/>
    </row>
    <row r="30" ht="28" customHeight="1">
      <c r="A30" s="13" t="inlineStr">
        <is>
          <t>Band C · Head / manager · Public plans</t>
        </is>
      </c>
      <c r="B30" s="15" t="inlineStr">
        <is>
          <t>43%</t>
        </is>
      </c>
      <c r="C30" s="15" t="inlineStr">
        <is>
          <t>15%</t>
        </is>
      </c>
      <c r="D30" s="15" t="inlineStr">
        <is>
          <t>15%</t>
        </is>
      </c>
      <c r="E30" s="15" t="inlineStr">
        <is>
          <t>15%</t>
        </is>
      </c>
      <c r="F30" s="15" t="inlineStr">
        <is>
          <t>5%</t>
        </is>
      </c>
      <c r="G30" s="15" t="inlineStr">
        <is>
          <t>7%</t>
        </is>
      </c>
      <c r="H30" s="16" t="inlineStr"/>
    </row>
    <row r="31" ht="28" customHeight="1">
      <c r="A31" s="27" t="inlineStr">
        <is>
          <t>Band C · Head / manager · IRIS default</t>
        </is>
      </c>
      <c r="B31" s="20" t="inlineStr">
        <is>
          <t>43%</t>
        </is>
      </c>
      <c r="C31" s="20" t="inlineStr">
        <is>
          <t>18%</t>
        </is>
      </c>
      <c r="D31" s="20" t="inlineStr">
        <is>
          <t>11%</t>
        </is>
      </c>
      <c r="E31" s="20" t="inlineStr">
        <is>
          <t>15%</t>
        </is>
      </c>
      <c r="F31" s="20" t="inlineStr">
        <is>
          <t>5%</t>
        </is>
      </c>
      <c r="G31" s="20" t="inlineStr">
        <is>
          <t>8%</t>
        </is>
      </c>
      <c r="H31" s="18" t="inlineStr">
        <is>
          <t>Average of the three, whole numbers</t>
        </is>
      </c>
    </row>
    <row r="32" ht="28" customHeight="1">
      <c r="A32" s="13" t="inlineStr">
        <is>
          <t>Player-Coach · C+ · Korn Ferry Hay</t>
        </is>
      </c>
      <c r="B32" s="15" t="inlineStr">
        <is>
          <t>38%</t>
        </is>
      </c>
      <c r="C32" s="15" t="inlineStr">
        <is>
          <t>21%</t>
        </is>
      </c>
      <c r="D32" s="15" t="inlineStr">
        <is>
          <t>8%</t>
        </is>
      </c>
      <c r="E32" s="15" t="inlineStr">
        <is>
          <t>20%</t>
        </is>
      </c>
      <c r="F32" s="15" t="inlineStr">
        <is>
          <t>5%</t>
        </is>
      </c>
      <c r="G32" s="15" t="inlineStr">
        <is>
          <t>8%</t>
        </is>
      </c>
      <c r="H32" s="16" t="inlineStr"/>
    </row>
    <row r="33" ht="15" customHeight="1">
      <c r="A33" s="13" t="inlineStr">
        <is>
          <t>Player-Coach · C+ · Mercer IPE</t>
        </is>
      </c>
      <c r="B33" s="15" t="inlineStr">
        <is>
          <t>37%</t>
        </is>
      </c>
      <c r="C33" s="15" t="inlineStr">
        <is>
          <t>19%</t>
        </is>
      </c>
      <c r="D33" s="15" t="inlineStr">
        <is>
          <t>9%</t>
        </is>
      </c>
      <c r="E33" s="15" t="inlineStr">
        <is>
          <t>20%</t>
        </is>
      </c>
      <c r="F33" s="15" t="inlineStr">
        <is>
          <t>5%</t>
        </is>
      </c>
      <c r="G33" s="15" t="inlineStr">
        <is>
          <t>9%</t>
        </is>
      </c>
      <c r="H33" s="16" t="inlineStr"/>
    </row>
    <row r="34" ht="15" customHeight="1">
      <c r="A34" s="13" t="inlineStr">
        <is>
          <t>Player-Coach · C+ · Public plans</t>
        </is>
      </c>
      <c r="B34" s="15" t="inlineStr">
        <is>
          <t>38%</t>
        </is>
      </c>
      <c r="C34" s="15" t="inlineStr">
        <is>
          <t>15%</t>
        </is>
      </c>
      <c r="D34" s="15" t="inlineStr">
        <is>
          <t>15%</t>
        </is>
      </c>
      <c r="E34" s="15" t="inlineStr">
        <is>
          <t>20%</t>
        </is>
      </c>
      <c r="F34" s="15" t="inlineStr">
        <is>
          <t>5%</t>
        </is>
      </c>
      <c r="G34" s="15" t="inlineStr">
        <is>
          <t>7%</t>
        </is>
      </c>
      <c r="H34" s="16" t="inlineStr"/>
    </row>
    <row r="35" ht="15" customHeight="1">
      <c r="A35" s="27" t="inlineStr">
        <is>
          <t>Player-Coach · C+ · IRIS default</t>
        </is>
      </c>
      <c r="B35" s="20" t="inlineStr">
        <is>
          <t>38%</t>
        </is>
      </c>
      <c r="C35" s="20" t="inlineStr">
        <is>
          <t>18%</t>
        </is>
      </c>
      <c r="D35" s="20" t="inlineStr">
        <is>
          <t>11%</t>
        </is>
      </c>
      <c r="E35" s="20" t="inlineStr">
        <is>
          <t>20%</t>
        </is>
      </c>
      <c r="F35" s="20" t="inlineStr">
        <is>
          <t>5%</t>
        </is>
      </c>
      <c r="G35" s="20" t="inlineStr">
        <is>
          <t>8%</t>
        </is>
      </c>
      <c r="H35" s="18" t="inlineStr">
        <is>
          <t>Average of the three, whole numbers</t>
        </is>
      </c>
    </row>
    <row r="36" ht="15" customHeight="1">
      <c r="A36" s="13" t="inlineStr">
        <is>
          <t>Bands D–E · Korn Ferry Hay</t>
        </is>
      </c>
      <c r="B36" s="15" t="inlineStr">
        <is>
          <t>36%</t>
        </is>
      </c>
      <c r="C36" s="15" t="inlineStr">
        <is>
          <t>22%</t>
        </is>
      </c>
      <c r="D36" s="15" t="inlineStr">
        <is>
          <t>9%</t>
        </is>
      </c>
      <c r="E36" s="15" t="inlineStr">
        <is>
          <t>20%</t>
        </is>
      </c>
      <c r="F36" s="15" t="inlineStr">
        <is>
          <t>5%</t>
        </is>
      </c>
      <c r="G36" s="15" t="inlineStr">
        <is>
          <t>9%</t>
        </is>
      </c>
      <c r="H36" s="16" t="inlineStr"/>
    </row>
    <row r="37" ht="15" customHeight="1">
      <c r="A37" s="13" t="inlineStr">
        <is>
          <t>Bands D–E · Mercer IPE</t>
        </is>
      </c>
      <c r="B37" s="15" t="inlineStr">
        <is>
          <t>35%</t>
        </is>
      </c>
      <c r="C37" s="15" t="inlineStr">
        <is>
          <t>20%</t>
        </is>
      </c>
      <c r="D37" s="15" t="inlineStr">
        <is>
          <t>10%</t>
        </is>
      </c>
      <c r="E37" s="15" t="inlineStr">
        <is>
          <t>20%</t>
        </is>
      </c>
      <c r="F37" s="15" t="inlineStr">
        <is>
          <t>5%</t>
        </is>
      </c>
      <c r="G37" s="15" t="inlineStr">
        <is>
          <t>10%</t>
        </is>
      </c>
      <c r="H37" s="16" t="inlineStr"/>
    </row>
    <row r="38" ht="15" customHeight="1">
      <c r="A38" s="13" t="inlineStr">
        <is>
          <t>Bands D–E · Public plans</t>
        </is>
      </c>
      <c r="B38" s="15" t="inlineStr">
        <is>
          <t>38%</t>
        </is>
      </c>
      <c r="C38" s="15" t="inlineStr">
        <is>
          <t>15%</t>
        </is>
      </c>
      <c r="D38" s="15" t="inlineStr">
        <is>
          <t>15%</t>
        </is>
      </c>
      <c r="E38" s="15" t="inlineStr">
        <is>
          <t>20%</t>
        </is>
      </c>
      <c r="F38" s="15" t="inlineStr">
        <is>
          <t>5%</t>
        </is>
      </c>
      <c r="G38" s="15" t="inlineStr">
        <is>
          <t>7%</t>
        </is>
      </c>
      <c r="H38" s="16" t="inlineStr"/>
    </row>
    <row r="39" ht="15" customHeight="1">
      <c r="A39" s="27" t="inlineStr">
        <is>
          <t>Bands D–E · IRIS default</t>
        </is>
      </c>
      <c r="B39" s="20" t="inlineStr">
        <is>
          <t>37%</t>
        </is>
      </c>
      <c r="C39" s="20" t="inlineStr">
        <is>
          <t>19%</t>
        </is>
      </c>
      <c r="D39" s="20" t="inlineStr">
        <is>
          <t>11%</t>
        </is>
      </c>
      <c r="E39" s="20" t="inlineStr">
        <is>
          <t>20%</t>
        </is>
      </c>
      <c r="F39" s="20" t="inlineStr">
        <is>
          <t>5%</t>
        </is>
      </c>
      <c r="G39" s="20" t="inlineStr">
        <is>
          <t>8%</t>
        </is>
      </c>
      <c r="H39" s="18" t="inlineStr">
        <is>
          <t>Average of the three, whole numbers</t>
        </is>
      </c>
    </row>
    <row r="40" ht="15" customHeight="1"/>
    <row r="41" ht="28" customHeight="1">
      <c r="A41" s="11" t="inlineStr">
        <is>
          <r>
            <rPr>
              <rFont val="Calibri"/>
              <b val="1"/>
              <i val="1"/>
              <color rgb="00595959"/>
              <sz val="10"/>
            </rPr>
            <t>Sources:</t>
          </r>
          <r>
            <rPr>
              <rFont val="Calibri"/>
              <i val="1"/>
              <color rgb="00595959"/>
              <sz val="10"/>
            </rPr>
            <t xml:space="preserve"> S46–S51 Korn Ferry Hay evaluations · S04, S52 Mercer IPE · S53–S57 NHS, UK NJC/PSC, GLPC, SJC and US OPM point-factor plans. Full links: source register, HR Super Master sheet 11 and Framework Master M16.</t>
          </r>
        </is>
      </c>
    </row>
    <row r="42" ht="20" customHeight="1">
      <c r="A42" s="6" t="inlineStr">
        <is>
          <t>0b. Mapping rules — the same for every source</t>
        </is>
      </c>
    </row>
    <row r="43" ht="15" customHeight="1">
      <c r="A43" s="12" t="inlineStr">
        <is>
          <t>IRIS factor</t>
        </is>
      </c>
      <c r="B43" s="209" t="n"/>
      <c r="C43" s="12" t="inlineStr">
        <is>
          <t>Taken from</t>
        </is>
      </c>
      <c r="D43" s="210" t="n"/>
      <c r="E43" s="210" t="n"/>
      <c r="F43" s="210" t="n"/>
      <c r="G43" s="210" t="n"/>
      <c r="H43" s="209" t="n"/>
    </row>
    <row r="44" ht="28" customHeight="1">
      <c r="A44" s="13" t="inlineStr">
        <is>
          <t>Experience &amp; Qualification</t>
        </is>
      </c>
      <c r="B44" s="209" t="n"/>
      <c r="C44" s="16" t="inlineStr">
        <is>
          <t>Held at the leadership's policy weight — 10% in Bands A–B, 5% in Bands C–E — and taken out of each method's knowledge factor first</t>
        </is>
      </c>
      <c r="D44" s="210" t="n"/>
      <c r="E44" s="210" t="n"/>
      <c r="F44" s="210" t="n"/>
      <c r="G44" s="210" t="n"/>
      <c r="H44" s="209" t="n"/>
    </row>
    <row r="45" ht="41" customHeight="1">
      <c r="A45" s="13" t="inlineStr">
        <is>
          <t>Leadership &amp; Strategy</t>
        </is>
      </c>
      <c r="B45" s="209" t="n"/>
      <c r="C45" s="16" t="inlineStr">
        <is>
          <r>
            <rPr>
              <rFont val="Calibri"/>
              <b val="1"/>
              <sz val="10"/>
            </rPr>
            <t>People leadership expected at the level:</t>
          </r>
          <r>
            <rPr>
              <rFont val="Calibri"/>
              <sz val="10"/>
            </rPr>
            <t xml:space="preserve"> 0% Band A, 5% experts, 10% B+, 15% managers and heads, 20% C+ and Bands D–E — taken from Hay know-how · managerial and human-relations know-how, Mercer IPE communication, or the plans' leadership and relationships factors</t>
          </r>
        </is>
      </c>
      <c r="D45" s="210" t="n"/>
      <c r="E45" s="210" t="n"/>
      <c r="F45" s="210" t="n"/>
      <c r="G45" s="210" t="n"/>
      <c r="H45" s="209" t="n"/>
    </row>
    <row r="46" ht="15" customHeight="1">
      <c r="A46" s="13" t="inlineStr">
        <is>
          <t>Complexity &amp; Expertise</t>
        </is>
      </c>
      <c r="B46" s="209" t="n"/>
      <c r="C46" s="16" t="inlineStr">
        <is>
          <t>The rest of the knowledge factor, plus 60% of problem solving / innovation · the thinking challenge</t>
        </is>
      </c>
      <c r="D46" s="210" t="n"/>
      <c r="E46" s="210" t="n"/>
      <c r="F46" s="210" t="n"/>
      <c r="G46" s="210" t="n"/>
      <c r="H46" s="209" t="n"/>
    </row>
    <row r="47" ht="28" customHeight="1">
      <c r="A47" s="13" t="inlineStr">
        <is>
          <t>Autonomy &amp; Decision</t>
        </is>
      </c>
      <c r="B47" s="209" t="n"/>
      <c r="C47" s="16" t="inlineStr">
        <is>
          <t>40% of problem solving / innovation · the thinking environment plus 40% of accountability / impact · freedom to act, Hay's heaviest element; the plans' own autonomy factor</t>
        </is>
      </c>
      <c r="D47" s="210" t="n"/>
      <c r="E47" s="210" t="n"/>
      <c r="F47" s="210" t="n"/>
      <c r="G47" s="210" t="n"/>
      <c r="H47" s="209" t="n"/>
    </row>
    <row r="48" ht="15" customHeight="1">
      <c r="A48" s="13" t="inlineStr">
        <is>
          <t>Accountability &amp; Impact</t>
        </is>
      </c>
      <c r="B48" s="209" t="n"/>
      <c r="C48" s="16" t="inlineStr">
        <is>
          <t>30% of accountability / impact — the area or magnitude of the job's scope; the plans' responsibility factors</t>
        </is>
      </c>
      <c r="D48" s="210" t="n"/>
      <c r="E48" s="210" t="n"/>
      <c r="F48" s="210" t="n"/>
      <c r="G48" s="210" t="n"/>
      <c r="H48" s="209" t="n"/>
    </row>
    <row r="49" ht="15" customHeight="1">
      <c r="A49" s="13" t="inlineStr">
        <is>
          <t>Business Impact</t>
        </is>
      </c>
      <c r="B49" s="209" t="n"/>
      <c r="C49" s="16" t="inlineStr">
        <is>
          <t>30% of accountability / impact — the nature of the job's impact on results; the plans' financial / consequences factor</t>
        </is>
      </c>
      <c r="D49" s="210" t="n"/>
      <c r="E49" s="210" t="n"/>
      <c r="F49" s="210" t="n"/>
      <c r="G49" s="210" t="n"/>
      <c r="H49" s="209" t="n"/>
    </row>
    <row r="50" ht="15" customHeight="1"/>
    <row r="51" ht="54" customHeight="1">
      <c r="A51" s="11" t="inlineStr">
        <is>
          <r>
            <rPr>
              <rFont val="Calibri"/>
              <b val="1"/>
              <i val="1"/>
              <color rgb="00595959"/>
              <sz val="10"/>
            </rPr>
            <t>Sources:</t>
          </r>
          <r>
            <rPr>
              <rFont val="Calibri"/>
              <i val="1"/>
              <color rgb="00595959"/>
              <sz val="10"/>
            </rPr>
            <t xml:space="preserve"> S05, S46–S52 for the Hay and IPE factor definitions; the split percentages are IRIS mapping rules applied to every source alike. Experience: Sources: S05, S49 Hay know-how includes experience however acquired · S04, S52 Mercer IPE knowledge · S07 WTW GGS · S58 McKinsey · S59 Deloitte · S60 WEF · S61 EY India, 2026 — skills over tenure. The 10% / 5% level is an IRIS leadership decision. Leadership: Sources: S05, S46, S47 Hay managerial know-how by level · S04 Mercer IPE communication · S09 McKinsey spans of control. The 0 / 5 / 10 / 15 / 20% steps by role group are an IRIS design rule.</t>
          </r>
        </is>
      </c>
    </row>
    <row r="52" ht="20" customHeight="1">
      <c r="A52" s="6" t="inlineStr">
        <is>
          <t>0c. Korn Ferry Hay — verified evaluations by level</t>
        </is>
      </c>
    </row>
    <row r="53" ht="28" customHeight="1">
      <c r="A53" s="11" t="inlineStr">
        <is>
          <t>Know-How / Problem Solving / Accountability points and shares. Canada's executive plan scores public-service jobs on the Hay guide charts, which makes these the best public evidence of Hay shares by level.</t>
        </is>
      </c>
    </row>
    <row r="54" ht="28" customHeight="1">
      <c r="A54" s="12" t="inlineStr">
        <is>
          <t>Job and level</t>
        </is>
      </c>
      <c r="B54" s="12" t="inlineStr">
        <is>
          <t>Know-How</t>
        </is>
      </c>
      <c r="C54" s="12" t="inlineStr">
        <is>
          <t>Problem Solving</t>
        </is>
      </c>
      <c r="D54" s="12" t="inlineStr">
        <is>
          <t>Accountability</t>
        </is>
      </c>
      <c r="E54" s="12" t="inlineStr">
        <is>
          <t>Shares KH / PS / AC</t>
        </is>
      </c>
      <c r="F54" s="239" t="inlineStr"/>
      <c r="G54" s="239" t="inlineStr"/>
      <c r="H54" s="12" t="inlineStr">
        <is>
          <t>Source</t>
        </is>
      </c>
    </row>
    <row r="55" ht="28" customHeight="1">
      <c r="A55" s="13" t="inlineStr">
        <is>
          <t>Junior · clerical typical profile</t>
        </is>
      </c>
      <c r="B55" s="15" t="inlineStr">
        <is>
          <t>—</t>
        </is>
      </c>
      <c r="C55" s="15" t="inlineStr">
        <is>
          <t>—</t>
        </is>
      </c>
      <c r="D55" s="15" t="inlineStr">
        <is>
          <t>—</t>
        </is>
      </c>
      <c r="E55" s="15" t="inlineStr">
        <is>
          <t>72.7 / 13.6 / 13.6</t>
        </is>
      </c>
      <c r="F55" s="16" t="inlineStr"/>
      <c r="G55" s="16" t="inlineStr"/>
      <c r="H55" s="16" t="inlineStr">
        <is>
          <t>Hay summary deck, typical profile 64/12/12 + 12% working conditions</t>
        </is>
      </c>
    </row>
    <row r="56" ht="28" customHeight="1">
      <c r="A56" s="13" t="inlineStr">
        <is>
          <t>Supervisor typical profile</t>
        </is>
      </c>
      <c r="B56" s="15" t="inlineStr">
        <is>
          <t>—</t>
        </is>
      </c>
      <c r="C56" s="15" t="inlineStr">
        <is>
          <t>—</t>
        </is>
      </c>
      <c r="D56" s="15" t="inlineStr">
        <is>
          <t>—</t>
        </is>
      </c>
      <c r="E56" s="15" t="inlineStr">
        <is>
          <t>47.4 / 20.6 / 32.0</t>
        </is>
      </c>
      <c r="F56" s="16" t="inlineStr"/>
      <c r="G56" s="16" t="inlineStr"/>
      <c r="H56" s="16" t="inlineStr">
        <is>
          <t>Hay summary deck, typical profile 46/20/31 + 3% working conditions</t>
        </is>
      </c>
    </row>
    <row r="57" ht="28" customHeight="1">
      <c r="A57" s="13" t="inlineStr">
        <is>
          <t>Professional · research scientist</t>
        </is>
      </c>
      <c r="B57" s="15" t="n">
        <v>460</v>
      </c>
      <c r="C57" s="15" t="n">
        <v>230</v>
      </c>
      <c r="D57" s="15" t="n">
        <v>132</v>
      </c>
      <c r="E57" s="15" t="inlineStr">
        <is>
          <t>56.0 / 28.0 / 16.1</t>
        </is>
      </c>
      <c r="F57" s="16" t="inlineStr"/>
      <c r="G57" s="16" t="inlineStr"/>
      <c r="H57" s="16" t="inlineStr">
        <is>
          <t>Hay summary deck</t>
        </is>
      </c>
    </row>
    <row r="58" ht="28" customHeight="1">
      <c r="A58" s="13" t="inlineStr">
        <is>
          <t>Manager · Regional Manager Finance &amp; Admin</t>
        </is>
      </c>
      <c r="B58" s="15" t="n">
        <v>460</v>
      </c>
      <c r="C58" s="15" t="n">
        <v>200</v>
      </c>
      <c r="D58" s="15" t="n">
        <v>230</v>
      </c>
      <c r="E58" s="15" t="inlineStr">
        <is>
          <t>51.7 / 22.5 / 25.8</t>
        </is>
      </c>
      <c r="F58" s="16" t="inlineStr"/>
      <c r="G58" s="16" t="inlineStr"/>
      <c r="H58" s="16" t="inlineStr">
        <is>
          <t>Canada TBS EX plan, 4-O-3</t>
        </is>
      </c>
    </row>
    <row r="59" ht="28" customHeight="1">
      <c r="A59" s="13" t="inlineStr">
        <is>
          <t>Director EX-1 · Director Financial Policies</t>
        </is>
      </c>
      <c r="B59" s="15" t="n">
        <v>460</v>
      </c>
      <c r="C59" s="15" t="n">
        <v>230</v>
      </c>
      <c r="D59" s="15" t="n">
        <v>264</v>
      </c>
      <c r="E59" s="15" t="inlineStr">
        <is>
          <t>48.2 / 24.1 / 27.7</t>
        </is>
      </c>
      <c r="F59" s="16" t="inlineStr"/>
      <c r="G59" s="16" t="inlineStr"/>
      <c r="H59" s="16" t="inlineStr">
        <is>
          <t>Canada TBS EX plan</t>
        </is>
      </c>
    </row>
    <row r="60" ht="28" customHeight="1">
      <c r="A60" s="13" t="inlineStr">
        <is>
          <t>Director EX-1 · Director Financial Management</t>
        </is>
      </c>
      <c r="B60" s="15" t="n">
        <v>528</v>
      </c>
      <c r="C60" s="15" t="n">
        <v>264</v>
      </c>
      <c r="D60" s="15" t="n">
        <v>264</v>
      </c>
      <c r="E60" s="15" t="inlineStr">
        <is>
          <t>50.0 / 25.0 / 25.0</t>
        </is>
      </c>
      <c r="F60" s="16" t="inlineStr"/>
      <c r="G60" s="16" t="inlineStr"/>
      <c r="H60" s="16" t="inlineStr">
        <is>
          <t>Canada TBS EX plan, 5-M-1</t>
        </is>
      </c>
    </row>
    <row r="61" ht="28" customHeight="1">
      <c r="A61" s="13" t="inlineStr">
        <is>
          <t>Director EX-1 · Regional Director</t>
        </is>
      </c>
      <c r="B61" s="15" t="n">
        <v>528</v>
      </c>
      <c r="C61" s="15" t="n">
        <v>264</v>
      </c>
      <c r="D61" s="15" t="n">
        <v>304</v>
      </c>
      <c r="E61" s="15" t="inlineStr">
        <is>
          <t>48.2 / 24.1 / 27.7</t>
        </is>
      </c>
      <c r="F61" s="16" t="inlineStr"/>
      <c r="G61" s="16" t="inlineStr"/>
      <c r="H61" s="16" t="inlineStr">
        <is>
          <t>Canada TBS EX plan, 5-A-1</t>
        </is>
      </c>
    </row>
    <row r="62" ht="28" customHeight="1">
      <c r="A62" s="13" t="inlineStr">
        <is>
          <t>Senior executive EX-2 · ADC Operations</t>
        </is>
      </c>
      <c r="B62" s="15" t="n">
        <v>608</v>
      </c>
      <c r="C62" s="15" t="n">
        <v>304</v>
      </c>
      <c r="D62" s="15" t="n">
        <v>350</v>
      </c>
      <c r="E62" s="15" t="inlineStr">
        <is>
          <t>48.2 / 24.1 / 27.7</t>
        </is>
      </c>
      <c r="F62" s="16" t="inlineStr"/>
      <c r="G62" s="16" t="inlineStr"/>
      <c r="H62" s="16" t="inlineStr">
        <is>
          <t>Canada TBS EX plan, 6-A-2</t>
        </is>
      </c>
    </row>
    <row r="63" ht="28" customHeight="1">
      <c r="A63" s="13" t="inlineStr">
        <is>
          <t>Senior executive EX-2 · DG Resource Management</t>
        </is>
      </c>
      <c r="B63" s="15" t="n">
        <v>608</v>
      </c>
      <c r="C63" s="15" t="n">
        <v>350</v>
      </c>
      <c r="D63" s="15" t="n">
        <v>350</v>
      </c>
      <c r="E63" s="15" t="inlineStr">
        <is>
          <t>46.5 / 26.8 / 26.8</t>
        </is>
      </c>
      <c r="F63" s="16" t="inlineStr"/>
      <c r="G63" s="16" t="inlineStr"/>
      <c r="H63" s="16" t="inlineStr">
        <is>
          <t>Canada TBS EX plan, 6-O-2</t>
        </is>
      </c>
    </row>
    <row r="64" ht="28" customHeight="1">
      <c r="A64" s="13" t="inlineStr">
        <is>
          <t>Executive EX-3 · DG Regional Operations</t>
        </is>
      </c>
      <c r="B64" s="15" t="n">
        <v>700</v>
      </c>
      <c r="C64" s="15" t="n">
        <v>400</v>
      </c>
      <c r="D64" s="15" t="n">
        <v>528</v>
      </c>
      <c r="E64" s="15" t="inlineStr">
        <is>
          <t>43.0 / 24.6 / 32.4</t>
        </is>
      </c>
      <c r="F64" s="16" t="inlineStr"/>
      <c r="G64" s="16" t="inlineStr"/>
      <c r="H64" s="16" t="inlineStr">
        <is>
          <t>Canada TBS EX plan, 7-A-2</t>
        </is>
      </c>
    </row>
    <row r="65" ht="15" customHeight="1"/>
    <row r="66" ht="15" customHeight="1">
      <c r="A66" s="11" t="inlineStr">
        <is>
          <r>
            <rPr>
              <rFont val="Calibri"/>
              <b val="1"/>
              <i val="1"/>
              <color rgb="00595959"/>
              <sz val="10"/>
            </rPr>
            <t>Sources:</t>
          </r>
          <r>
            <rPr>
              <rFont val="Calibri"/>
              <i val="1"/>
              <color rgb="00595959"/>
              <sz val="10"/>
            </rPr>
            <t xml:space="preserve"> S46, S47 Canada TBS Executive Group plans 2005 and 2022 · S48 Hay summary deck · S50 Western University Hay overview.</t>
          </r>
        </is>
      </c>
    </row>
    <row r="67" ht="20" customHeight="1">
      <c r="A67" s="6" t="inlineStr">
        <is>
          <t>0d. Mercer IPE — the published point table</t>
        </is>
      </c>
    </row>
    <row r="68" ht="28" customHeight="1">
      <c r="A68" s="11" t="inlineStr">
        <is>
          <t>Maximum points per factor are verified from the IPE v3.1 manual; the level rows apply that table to typical ratings for a company of IRIS's size, so they are illustrative. Impact's share grows with seniority and with company size.</t>
        </is>
      </c>
    </row>
    <row r="69" ht="28" customHeight="1">
      <c r="A69" s="12" t="inlineStr">
        <is>
          <t>Row</t>
        </is>
      </c>
      <c r="B69" s="12" t="inlineStr">
        <is>
          <t>Impact</t>
        </is>
      </c>
      <c r="C69" s="12" t="inlineStr">
        <is>
          <t>Communication</t>
        </is>
      </c>
      <c r="D69" s="12" t="inlineStr">
        <is>
          <t>Innovation</t>
        </is>
      </c>
      <c r="E69" s="12" t="inlineStr">
        <is>
          <t>Knowledge</t>
        </is>
      </c>
      <c r="F69" s="239" t="inlineStr"/>
      <c r="G69" s="239" t="inlineStr"/>
      <c r="H69" s="12" t="inlineStr">
        <is>
          <t>Shares</t>
        </is>
      </c>
    </row>
    <row r="70" ht="28" customHeight="1">
      <c r="A70" s="13" t="inlineStr">
        <is>
          <t>Maximum points per factor · Mercer IPE v3.1</t>
        </is>
      </c>
      <c r="B70" s="15" t="inlineStr">
        <is>
          <t>705</t>
        </is>
      </c>
      <c r="C70" s="15" t="inlineStr">
        <is>
          <t>115</t>
        </is>
      </c>
      <c r="D70" s="15" t="inlineStr">
        <is>
          <t>130</t>
        </is>
      </c>
      <c r="E70" s="15" t="inlineStr">
        <is>
          <t>260</t>
        </is>
      </c>
      <c r="F70" s="16" t="inlineStr"/>
      <c r="G70" s="16" t="inlineStr"/>
      <c r="H70" s="16" t="inlineStr">
        <is>
          <t>Impact 58.3% · Communication 9.5% · Innovation 10.7% · Knowledge 21.5% at the maximum</t>
        </is>
      </c>
    </row>
    <row r="71" ht="28" customHeight="1">
      <c r="A71" s="13" t="inlineStr">
        <is>
          <t>Junior · illustrative rating, organisation size 5</t>
        </is>
      </c>
      <c r="B71" s="15" t="inlineStr">
        <is>
          <t>25</t>
        </is>
      </c>
      <c r="C71" s="15" t="inlineStr">
        <is>
          <t>10</t>
        </is>
      </c>
      <c r="D71" s="15" t="inlineStr">
        <is>
          <t>25</t>
        </is>
      </c>
      <c r="E71" s="15" t="inlineStr">
        <is>
          <t>30</t>
        </is>
      </c>
      <c r="F71" s="16" t="inlineStr"/>
      <c r="G71" s="16" t="inlineStr"/>
      <c r="H71" s="16" t="inlineStr">
        <is>
          <t>27.8 / 11.1 / 27.8 / 33.3%</t>
        </is>
      </c>
    </row>
    <row r="72" ht="15" customHeight="1">
      <c r="A72" s="13" t="inlineStr">
        <is>
          <t>Professional · illustrative</t>
        </is>
      </c>
      <c r="B72" s="15" t="inlineStr">
        <is>
          <t>60</t>
        </is>
      </c>
      <c r="C72" s="15" t="inlineStr">
        <is>
          <t>40</t>
        </is>
      </c>
      <c r="D72" s="15" t="inlineStr">
        <is>
          <t>45</t>
        </is>
      </c>
      <c r="E72" s="15" t="inlineStr">
        <is>
          <t>90</t>
        </is>
      </c>
      <c r="F72" s="16" t="inlineStr"/>
      <c r="G72" s="16" t="inlineStr"/>
      <c r="H72" s="16" t="inlineStr">
        <is>
          <t>25.5 / 17.0 / 19.1 / 38.3%</t>
        </is>
      </c>
    </row>
    <row r="73" ht="15" customHeight="1">
      <c r="A73" s="13" t="inlineStr">
        <is>
          <t>Manager · illustrative</t>
        </is>
      </c>
      <c r="B73" s="15" t="inlineStr">
        <is>
          <t>131</t>
        </is>
      </c>
      <c r="C73" s="15" t="inlineStr">
        <is>
          <t>60</t>
        </is>
      </c>
      <c r="D73" s="15" t="inlineStr">
        <is>
          <t>75</t>
        </is>
      </c>
      <c r="E73" s="15" t="inlineStr">
        <is>
          <t>173</t>
        </is>
      </c>
      <c r="F73" s="16" t="inlineStr"/>
      <c r="G73" s="16" t="inlineStr"/>
      <c r="H73" s="16" t="inlineStr">
        <is>
          <t>29.8 / 13.7 / 17.1 / 39.4%</t>
        </is>
      </c>
    </row>
    <row r="74" ht="15" customHeight="1">
      <c r="A74" s="13" t="inlineStr">
        <is>
          <t>Executive · illustrative</t>
        </is>
      </c>
      <c r="B74" s="15" t="inlineStr">
        <is>
          <t>207</t>
        </is>
      </c>
      <c r="C74" s="15" t="inlineStr">
        <is>
          <t>100</t>
        </is>
      </c>
      <c r="D74" s="15" t="inlineStr">
        <is>
          <t>105</t>
        </is>
      </c>
      <c r="E74" s="15" t="inlineStr">
        <is>
          <t>218</t>
        </is>
      </c>
      <c r="F74" s="16" t="inlineStr"/>
      <c r="G74" s="16" t="inlineStr"/>
      <c r="H74" s="16" t="inlineStr">
        <is>
          <t>32.9 / 15.9 / 16.7 / 34.6%</t>
        </is>
      </c>
    </row>
    <row r="75" ht="15" customHeight="1"/>
    <row r="76" ht="15" customHeight="1">
      <c r="A76" s="11" t="inlineStr">
        <is>
          <r>
            <rPr>
              <rFont val="Calibri"/>
              <b val="1"/>
              <i val="1"/>
              <color rgb="00595959"/>
              <sz val="10"/>
            </rPr>
            <t>Sources:</t>
          </r>
          <r>
            <rPr>
              <rFont val="Calibri"/>
              <i val="1"/>
              <color rgb="00595959"/>
              <sz val="10"/>
            </rPr>
            <t xml:space="preserve"> S52 Mercer IPE manual and factor sheet, third-party copies · S04 Mercer IPE.</t>
          </r>
        </is>
      </c>
    </row>
    <row r="77" ht="20" customHeight="1">
      <c r="A77" s="6" t="inlineStr">
        <is>
          <t>1. Published point-factor plans — share of points by factor</t>
        </is>
      </c>
    </row>
    <row r="78" ht="28" customHeight="1">
      <c r="A78" s="11" t="inlineStr">
        <is>
          <t>Effort and working-conditions factors removed and the rest scaled to 100%. Major vendors — Korn Ferry Hay, Mercer IPE, WTW, Aon Radford — do not publish their factor weights, so public schemes with published points are the hard benchmark.</t>
        </is>
      </c>
    </row>
    <row r="79" ht="41" customHeight="1">
      <c r="A79" s="12" t="inlineStr">
        <is>
          <t>Plan</t>
        </is>
      </c>
      <c r="B79" s="12" t="inlineStr">
        <is>
          <t>Complexity &amp; Expertise</t>
        </is>
      </c>
      <c r="C79" s="12" t="inlineStr">
        <is>
          <t>Autonomy &amp; Decision</t>
        </is>
      </c>
      <c r="D79" s="12" t="inlineStr">
        <is>
          <t>Accountability &amp; Impact</t>
        </is>
      </c>
      <c r="E79" s="12" t="inlineStr">
        <is>
          <t>Leadership &amp; Strategy</t>
        </is>
      </c>
      <c r="F79" s="12" t="inlineStr">
        <is>
          <t>Business Impact</t>
        </is>
      </c>
      <c r="G79" s="12" t="inlineStr">
        <is>
          <t>Effort and conditions removed</t>
        </is>
      </c>
      <c r="H79" s="12" t="inlineStr">
        <is>
          <t>Source</t>
        </is>
      </c>
    </row>
    <row r="80" ht="41" customHeight="1">
      <c r="A80" s="13" t="inlineStr">
        <is>
          <t>NHS Agenda for Change Job Evaluation Scheme · 16 factors, 1,000 points</t>
        </is>
      </c>
      <c r="B80" s="15" t="inlineStr">
        <is>
          <t>40.0%</t>
        </is>
      </c>
      <c r="C80" s="15" t="inlineStr">
        <is>
          <t>6.7%</t>
        </is>
      </c>
      <c r="D80" s="15" t="inlineStr">
        <is>
          <t>20.0%</t>
        </is>
      </c>
      <c r="E80" s="15" t="inlineStr">
        <is>
          <t>26.7%</t>
        </is>
      </c>
      <c r="F80" s="15" t="inlineStr">
        <is>
          <t>6.7%</t>
        </is>
      </c>
      <c r="G80" s="15" t="inlineStr">
        <is>
          <t>10.0%</t>
        </is>
      </c>
      <c r="H80" s="16" t="inlineStr">
        <is>
          <t>NHS Job Evaluation Handbook, ch. 6 para 1.5 — nhsemployers.org/sites/default/files/pdf/22/165.pdf</t>
        </is>
      </c>
    </row>
    <row r="81" ht="54" customHeight="1">
      <c r="A81" s="13" t="inlineStr">
        <is>
          <t>UK local government 13-factor scheme · Police Staff Council version of the NJC scheme, 1,000 points</t>
        </is>
      </c>
      <c r="B81" s="15" t="inlineStr">
        <is>
          <t>38.3%</t>
        </is>
      </c>
      <c r="C81" s="15" t="inlineStr">
        <is>
          <t>13.0%</t>
        </is>
      </c>
      <c r="D81" s="15" t="inlineStr">
        <is>
          <t>19.5%</t>
        </is>
      </c>
      <c r="E81" s="15" t="inlineStr">
        <is>
          <t>19.5%</t>
        </is>
      </c>
      <c r="F81" s="15" t="inlineStr">
        <is>
          <t>9.8%</t>
        </is>
      </c>
      <c r="G81" s="15" t="inlineStr">
        <is>
          <t>20.0%</t>
        </is>
      </c>
      <c r="H81" s="16" t="inlineStr">
        <is>
          <t>PSC Handbook pp. 47–48 — lb2.local.gov.uk/sites/default/files/documents/police-staff-council-13-f-342.pdf · NJC's own table sits behind the LGA log-in · Exact for PSC; NJC assumed equal</t>
        </is>
      </c>
    </row>
    <row r="82" ht="41" customHeight="1">
      <c r="A82" s="13" t="inlineStr">
        <is>
          <t>Greater London Provincial Council scheme · 11 factors, 948 points</t>
        </is>
      </c>
      <c r="B82" s="15" t="inlineStr">
        <is>
          <t>45.0%</t>
        </is>
      </c>
      <c r="C82" s="15" t="inlineStr">
        <is>
          <t>12.1%</t>
        </is>
      </c>
      <c r="D82" s="15" t="inlineStr">
        <is>
          <t>6.0%</t>
        </is>
      </c>
      <c r="E82" s="15" t="inlineStr">
        <is>
          <t>29.7%</t>
        </is>
      </c>
      <c r="F82" s="15" t="inlineStr">
        <is>
          <t>7.2%</t>
        </is>
      </c>
      <c r="G82" s="15" t="inlineStr">
        <is>
          <t>12.7%</t>
        </is>
      </c>
      <c r="H82" s="16" t="inlineStr">
        <is>
          <t>GLPC points weighting — sirddinbych.gov.uk/en/documents/jobs-and-employees/my-employment/reorganisation-and-change/glpc-points-weighting.pdf</t>
        </is>
      </c>
    </row>
    <row r="83" ht="28" customHeight="1">
      <c r="A83" s="13" t="inlineStr">
        <is>
          <t>Scottish Joint Council scheme · 13 factors, 1,000 points</t>
        </is>
      </c>
      <c r="B83" s="15" t="inlineStr">
        <is>
          <t>38.3%</t>
        </is>
      </c>
      <c r="C83" s="15" t="inlineStr">
        <is>
          <t>13.0%</t>
        </is>
      </c>
      <c r="D83" s="15" t="inlineStr">
        <is>
          <t>19.5%</t>
        </is>
      </c>
      <c r="E83" s="15" t="inlineStr">
        <is>
          <t>19.5%</t>
        </is>
      </c>
      <c r="F83" s="15" t="inlineStr">
        <is>
          <t>9.8%</t>
        </is>
      </c>
      <c r="G83" s="15" t="inlineStr">
        <is>
          <t>20.0%</t>
        </is>
      </c>
      <c r="H83" s="16" t="inlineStr">
        <is>
          <t>Highland Council SJC scoring matrix — highland.gov.uk/download/downloads/id/3889/scoring_matrix.pdf</t>
        </is>
      </c>
    </row>
    <row r="84" ht="28" customHeight="1">
      <c r="A84" s="13" t="inlineStr">
        <is>
          <t>US OPM Factor Evaluation System · 9 factors, 4,480 points</t>
        </is>
      </c>
      <c r="B84" s="15" t="inlineStr">
        <is>
          <t>52.5%</t>
        </is>
      </c>
      <c r="C84" s="15" t="inlineStr">
        <is>
          <t>29.7%</t>
        </is>
      </c>
      <c r="D84" s="15" t="inlineStr">
        <is>
          <t>10.3%</t>
        </is>
      </c>
      <c r="E84" s="15" t="inlineStr">
        <is>
          <t>7.5%</t>
        </is>
      </c>
      <c r="F84" s="15" t="inlineStr">
        <is>
          <t>0.0%</t>
        </is>
      </c>
      <c r="G84" s="15" t="inlineStr">
        <is>
          <t>2.2%</t>
        </is>
      </c>
      <c r="H84" s="16" t="inlineStr">
        <is>
          <t>OPM Introduction to the Position Classification Standards, Appendix 3 — opm.gov/…/positionclassificationintro.pdf</t>
        </is>
      </c>
    </row>
    <row r="85" ht="15" customHeight="1">
      <c r="A85" s="13" t="inlineStr">
        <is>
          <t>Average of the five plans</t>
        </is>
      </c>
      <c r="B85" s="15" t="inlineStr">
        <is>
          <t>42.8%</t>
        </is>
      </c>
      <c r="C85" s="15" t="inlineStr">
        <is>
          <t>14.9%</t>
        </is>
      </c>
      <c r="D85" s="15" t="inlineStr">
        <is>
          <t>15.1%</t>
        </is>
      </c>
      <c r="E85" s="15" t="inlineStr">
        <is>
          <t>20.6%</t>
        </is>
      </c>
      <c r="F85" s="15" t="inlineStr">
        <is>
          <t>6.7%</t>
        </is>
      </c>
      <c r="G85" s="15" t="inlineStr"/>
      <c r="H85" s="16" t="inlineStr">
        <is>
          <r>
            <rPr>
              <rFont val="Calibri"/>
              <b val="1"/>
              <sz val="10"/>
            </rPr>
            <t>Experience as a separate factor:</t>
          </r>
          <r>
            <rPr>
              <rFont val="Calibri"/>
              <sz val="10"/>
            </rPr>
            <t xml:space="preserve"> none of the five</t>
          </r>
        </is>
      </c>
    </row>
    <row r="86" ht="15" customHeight="1">
      <c r="A86" s="13" t="inlineStr">
        <is>
          <t>Range</t>
        </is>
      </c>
      <c r="B86" s="15" t="inlineStr">
        <is>
          <t>38–52%</t>
        </is>
      </c>
      <c r="C86" s="15" t="inlineStr">
        <is>
          <t>7–30%</t>
        </is>
      </c>
      <c r="D86" s="15" t="inlineStr">
        <is>
          <t>6–20%</t>
        </is>
      </c>
      <c r="E86" s="15" t="inlineStr">
        <is>
          <t>8–30%</t>
        </is>
      </c>
      <c r="F86" s="15" t="inlineStr">
        <is>
          <t>0–10%</t>
        </is>
      </c>
      <c r="G86" s="15" t="inlineStr"/>
      <c r="H86" s="16" t="inlineStr"/>
    </row>
    <row r="87" ht="15" customHeight="1"/>
    <row r="88" ht="15" customHeight="1">
      <c r="A88" s="12" t="inlineStr">
        <is>
          <t>Plan</t>
        </is>
      </c>
      <c r="B88" s="12" t="inlineStr">
        <is>
          <t>How its factors were mapped to the IRIS factors</t>
        </is>
      </c>
      <c r="C88" s="210" t="n"/>
      <c r="D88" s="210" t="n"/>
      <c r="E88" s="210" t="n"/>
      <c r="F88" s="210" t="n"/>
      <c r="G88" s="210" t="n"/>
      <c r="H88" s="209" t="n"/>
    </row>
    <row r="89" ht="41" customHeight="1">
      <c r="A89" s="13" t="inlineStr">
        <is>
          <t>NHS Agenda for Change Job Evaluation Scheme · 16 factors, 1,000 points</t>
        </is>
      </c>
      <c r="B89" s="16" t="inlineStr">
        <is>
          <t>Knowledge, training &amp; experience 240 + analytical and physical skills 120 → Complexity; freedom to act 60; patient care, information, R&amp;D 180; communication, planning, HR, policy 240; financial &amp; physical resources 60</t>
        </is>
      </c>
      <c r="C89" s="210" t="n"/>
      <c r="D89" s="210" t="n"/>
      <c r="E89" s="210" t="n"/>
      <c r="F89" s="210" t="n"/>
      <c r="G89" s="210" t="n"/>
      <c r="H89" s="209" t="n"/>
    </row>
    <row r="90" ht="41" customHeight="1">
      <c r="A90" s="13" t="inlineStr">
        <is>
          <t>UK local government 13-factor scheme · Police Staff Council version of the NJC scheme, 1,000 points</t>
        </is>
      </c>
      <c r="B90" s="16" t="inlineStr">
        <is>
          <t>Knowledge 163 + mental and physical skills 143; initiative &amp; independence 104; responsibility for people and physical resources 156; interpersonal and supervision 156; financial resources 78</t>
        </is>
      </c>
      <c r="C90" s="210" t="n"/>
      <c r="D90" s="210" t="n"/>
      <c r="E90" s="210" t="n"/>
      <c r="F90" s="210" t="n"/>
      <c r="G90" s="210" t="n"/>
      <c r="H90" s="209" t="n"/>
    </row>
    <row r="91" ht="28" customHeight="1">
      <c r="A91" s="13" t="inlineStr">
        <is>
          <t>Greater London Provincial Council scheme · 11 factors, 948 points</t>
        </is>
      </c>
      <c r="B91" s="16" t="inlineStr">
        <is>
          <t>Knowledge &amp; skill 272 + creativity 100; discretion 100; resources 50; contacts and supervision 246; consequences 60</t>
        </is>
      </c>
      <c r="C91" s="210" t="n"/>
      <c r="D91" s="210" t="n"/>
      <c r="E91" s="210" t="n"/>
      <c r="F91" s="210" t="n"/>
      <c r="G91" s="210" t="n"/>
      <c r="H91" s="209" t="n"/>
    </row>
    <row r="92" ht="28" customHeight="1">
      <c r="A92" s="13" t="inlineStr">
        <is>
          <t>Scottish Joint Council scheme · 13 factors, 1,000 points</t>
        </is>
      </c>
      <c r="B92" s="16" t="inlineStr">
        <is>
          <t>Knowledge 163 + mental skills and physical co-ordination 143; initiative 104; services to others and resources 156; communication and employees 156; financial 78</t>
        </is>
      </c>
      <c r="C92" s="210" t="n"/>
      <c r="D92" s="210" t="n"/>
      <c r="E92" s="210" t="n"/>
      <c r="F92" s="210" t="n"/>
      <c r="G92" s="210" t="n"/>
      <c r="H92" s="209" t="n"/>
    </row>
    <row r="93" ht="28" customHeight="1">
      <c r="A93" s="13" t="inlineStr">
        <is>
          <t>US OPM Factor Evaluation System · 9 factors, 4,480 points</t>
        </is>
      </c>
      <c r="B93" s="16" t="inlineStr">
        <is>
          <t>Knowledge required 1,850 + complexity 450; supervisory controls and guidelines 1,300; scope &amp; effect 450; personal contacts and purpose 330</t>
        </is>
      </c>
      <c r="C93" s="210" t="n"/>
      <c r="D93" s="210" t="n"/>
      <c r="E93" s="210" t="n"/>
      <c r="F93" s="210" t="n"/>
      <c r="G93" s="210" t="n"/>
      <c r="H93" s="209" t="n"/>
    </row>
    <row r="94" ht="15" customHeight="1"/>
    <row r="95" ht="15" customHeight="1">
      <c r="A95" s="11" t="inlineStr">
        <is>
          <r>
            <rPr>
              <rFont val="Calibri"/>
              <b val="1"/>
              <i val="1"/>
              <color rgb="00595959"/>
              <sz val="10"/>
            </rPr>
            <t>Sources:</t>
          </r>
          <r>
            <rPr>
              <rFont val="Calibri"/>
              <i val="1"/>
              <color rgb="00595959"/>
              <sz val="10"/>
            </rPr>
            <t xml:space="preserve"> S53 NHS · S54 Police Staff Council / NJC · S55 GLPC · S56 SJC · S57 US OPM.</t>
          </r>
        </is>
      </c>
    </row>
    <row r="96" ht="20" customHeight="1">
      <c r="A96" s="6" t="inlineStr">
        <is>
          <t>2. How weights shift with seniority — the Korn Ferry Hay profile</t>
        </is>
      </c>
    </row>
    <row r="97" ht="28" customHeight="1">
      <c r="A97" s="11" t="inlineStr">
        <is>
          <t>Share of Hay points by job type. Secondary source, used to set the slope by level only; the direction matches the official Canada TBS guidance: operations and line roles score relatively high in Accountability, thinking roles in Problem Solving.</t>
        </is>
      </c>
    </row>
    <row r="98" ht="28" customHeight="1">
      <c r="A98" s="12" t="inlineStr">
        <is>
          <t>Job type</t>
        </is>
      </c>
      <c r="B98" s="12" t="inlineStr">
        <is>
          <t>Know-How</t>
        </is>
      </c>
      <c r="C98" s="12" t="inlineStr">
        <is>
          <t>Problem Solving</t>
        </is>
      </c>
      <c r="D98" s="12" t="inlineStr">
        <is>
          <t>Accountability</t>
        </is>
      </c>
      <c r="E98" s="239" t="inlineStr"/>
      <c r="F98" s="239" t="inlineStr"/>
      <c r="G98" s="239" t="inlineStr"/>
      <c r="H98" s="12" t="inlineStr">
        <is>
          <t>Read as</t>
        </is>
      </c>
    </row>
    <row r="99" ht="15" customHeight="1">
      <c r="A99" s="13" t="inlineStr">
        <is>
          <t>Clerical</t>
        </is>
      </c>
      <c r="B99" s="15" t="inlineStr">
        <is>
          <t>73%</t>
        </is>
      </c>
      <c r="C99" s="15" t="inlineStr">
        <is>
          <t>14%</t>
        </is>
      </c>
      <c r="D99" s="15" t="inlineStr">
        <is>
          <t>14%</t>
        </is>
      </c>
      <c r="E99" s="16" t="inlineStr"/>
      <c r="F99" s="16" t="inlineStr"/>
      <c r="G99" s="16" t="inlineStr"/>
      <c r="H99" s="16" t="inlineStr">
        <is>
          <r>
            <rPr>
              <rFont val="Calibri"/>
              <b val="1"/>
              <sz val="10"/>
            </rPr>
            <t>Junior:</t>
          </r>
          <r>
            <rPr>
              <rFont val="Calibri"/>
              <sz val="10"/>
            </rPr>
            <t xml:space="preserve"> the work itself is almost everything</t>
          </r>
        </is>
      </c>
    </row>
    <row r="100" ht="15" customHeight="1">
      <c r="A100" s="13" t="inlineStr">
        <is>
          <t>Trade / technical</t>
        </is>
      </c>
      <c r="B100" s="15" t="inlineStr">
        <is>
          <t>66%</t>
        </is>
      </c>
      <c r="C100" s="15" t="inlineStr">
        <is>
          <t>15%</t>
        </is>
      </c>
      <c r="D100" s="15" t="inlineStr">
        <is>
          <t>19%</t>
        </is>
      </c>
      <c r="E100" s="16" t="inlineStr"/>
      <c r="F100" s="16" t="inlineStr"/>
      <c r="G100" s="16" t="inlineStr"/>
      <c r="H100" s="16" t="inlineStr">
        <is>
          <r>
            <rPr>
              <rFont val="Calibri"/>
              <b val="1"/>
              <sz val="10"/>
            </rPr>
            <t>Junior:</t>
          </r>
          <r>
            <rPr>
              <rFont val="Calibri"/>
              <sz val="10"/>
            </rPr>
            <t xml:space="preserve"> mostly know-how</t>
          </r>
        </is>
      </c>
    </row>
    <row r="101" ht="15" customHeight="1">
      <c r="A101" s="13" t="inlineStr">
        <is>
          <t>Specialist · research scientist</t>
        </is>
      </c>
      <c r="B101" s="15" t="inlineStr">
        <is>
          <t>56%</t>
        </is>
      </c>
      <c r="C101" s="15" t="inlineStr">
        <is>
          <t>28%</t>
        </is>
      </c>
      <c r="D101" s="15" t="inlineStr">
        <is>
          <t>16%</t>
        </is>
      </c>
      <c r="E101" s="16" t="inlineStr"/>
      <c r="F101" s="16" t="inlineStr"/>
      <c r="G101" s="16" t="inlineStr"/>
      <c r="H101" s="16" t="inlineStr">
        <is>
          <r>
            <rPr>
              <rFont val="Calibri"/>
              <b val="1"/>
              <sz val="10"/>
            </rPr>
            <t>Expert:</t>
          </r>
          <r>
            <rPr>
              <rFont val="Calibri"/>
              <sz val="10"/>
            </rPr>
            <t xml:space="preserve"> know-how and problem solving</t>
          </r>
        </is>
      </c>
    </row>
    <row r="102" ht="15" customHeight="1">
      <c r="A102" s="13" t="inlineStr">
        <is>
          <t>'Level' profile · staff functions</t>
        </is>
      </c>
      <c r="B102" s="15" t="inlineStr">
        <is>
          <t>50%</t>
        </is>
      </c>
      <c r="C102" s="15" t="inlineStr">
        <is>
          <t>25%</t>
        </is>
      </c>
      <c r="D102" s="15" t="inlineStr">
        <is>
          <t>25%</t>
        </is>
      </c>
      <c r="E102" s="16" t="inlineStr"/>
      <c r="F102" s="16" t="inlineStr"/>
      <c r="G102" s="16" t="inlineStr"/>
      <c r="H102" s="16" t="inlineStr">
        <is>
          <r>
            <rPr>
              <rFont val="Calibri"/>
              <b val="1"/>
              <sz val="10"/>
            </rPr>
            <t>Professional:</t>
          </r>
          <r>
            <rPr>
              <rFont val="Calibri"/>
              <sz val="10"/>
            </rPr>
            <t xml:space="preserve"> balanced</t>
          </r>
        </is>
      </c>
    </row>
    <row r="103" ht="15" customHeight="1">
      <c r="A103" s="13" t="inlineStr">
        <is>
          <t>Supervisory / line manager</t>
        </is>
      </c>
      <c r="B103" s="15" t="inlineStr">
        <is>
          <t>47%</t>
        </is>
      </c>
      <c r="C103" s="15" t="inlineStr">
        <is>
          <t>21%</t>
        </is>
      </c>
      <c r="D103" s="15" t="inlineStr">
        <is>
          <t>32%</t>
        </is>
      </c>
      <c r="E103" s="16" t="inlineStr"/>
      <c r="F103" s="16" t="inlineStr"/>
      <c r="G103" s="16" t="inlineStr"/>
      <c r="H103" s="16" t="inlineStr">
        <is>
          <r>
            <rPr>
              <rFont val="Calibri"/>
              <b val="1"/>
              <sz val="10"/>
            </rPr>
            <t>Manager:</t>
          </r>
          <r>
            <rPr>
              <rFont val="Calibri"/>
              <sz val="10"/>
            </rPr>
            <t xml:space="preserve"> accountability rises to a third</t>
          </r>
        </is>
      </c>
    </row>
    <row r="104" ht="15" customHeight="1"/>
    <row r="105" ht="41" customHeight="1">
      <c r="A105" s="11" t="inlineStr">
        <is>
          <r>
            <rPr>
              <rFont val="Calibri"/>
              <b val="1"/>
              <i val="1"/>
              <color rgb="00595959"/>
              <sz val="10"/>
            </rPr>
            <t>Sources:</t>
          </r>
          <r>
            <rPr>
              <rFont val="Calibri"/>
              <i val="1"/>
              <color rgb="00595959"/>
              <sz val="10"/>
            </rPr>
            <t xml:space="preserve"> S46, S47 Canada TBS Hay evaluations · S48, S50 Hay typical profiles. S06 Hay short profile · 'Level' profile. Type-of-work shift: Basis: S06 Hay short profile — A-type delivery jobs weight accountability, P-type thinking jobs weight problem solving, L-type are balanced. The ±5 size is an IRIS design rule, kept small so the market defaults stay in control.</t>
          </r>
        </is>
      </c>
    </row>
    <row r="106" ht="20" customHeight="1">
      <c r="A106" s="6" t="inlineStr">
        <is>
          <t>3. Experience &amp; Qualification — why it can be kept low</t>
        </is>
      </c>
    </row>
    <row r="107" ht="15" customHeight="1">
      <c r="A107" s="12" t="inlineStr">
        <is>
          <t>Method or study</t>
        </is>
      </c>
      <c r="B107" s="209" t="n"/>
      <c r="C107" s="12" t="inlineStr">
        <is>
          <t>What it says</t>
        </is>
      </c>
      <c r="D107" s="210" t="n"/>
      <c r="E107" s="210" t="n"/>
      <c r="F107" s="209" t="n"/>
      <c r="G107" s="12" t="inlineStr">
        <is>
          <t>Source</t>
        </is>
      </c>
      <c r="H107" s="209" t="n"/>
    </row>
    <row r="108" ht="41" customHeight="1">
      <c r="A108" s="13" t="inlineStr">
        <is>
          <t>Korn Ferry Hay</t>
        </is>
      </c>
      <c r="B108" s="209" t="n"/>
      <c r="C108" s="16" t="inlineStr">
        <is>
          <r>
            <rPr>
              <rFont val="Calibri"/>
              <b val="1"/>
              <sz val="10"/>
            </rPr>
            <t>Experience sits inside Know-How:</t>
          </r>
          <r>
            <rPr>
              <rFont val="Calibri"/>
              <sz val="10"/>
            </rPr>
            <t xml:space="preserve"> 'the sum total of every kind of knowledge and skill, however acquired' — no separate experience factor</t>
          </r>
        </is>
      </c>
      <c r="D108" s="210" t="n"/>
      <c r="E108" s="210" t="n"/>
      <c r="F108" s="209" t="n"/>
      <c r="G108" s="16" t="inlineStr">
        <is>
          <t>S05, S46, S49 · Canada TBS Executive Group plan; Lincolnshire CC Hay guide</t>
        </is>
      </c>
      <c r="H108" s="209" t="n"/>
    </row>
    <row r="109" ht="54" customHeight="1">
      <c r="A109" s="13" t="inlineStr">
        <is>
          <t>Mercer IPE</t>
        </is>
      </c>
      <c r="B109" s="209" t="n"/>
      <c r="C109" s="16" t="inlineStr">
        <is>
          <r>
            <rPr>
              <rFont val="Calibri"/>
              <b val="1"/>
              <sz val="10"/>
            </rPr>
            <t>Five factors:</t>
          </r>
          <r>
            <rPr>
              <rFont val="Calibri"/>
              <sz val="10"/>
            </rPr>
            <t xml:space="preserve"> Impact, Communication, Innovation, Knowledge, Risk. Knowledge 'may be acquired through formal education and/or work experience' — no separate experience factor</t>
          </r>
        </is>
      </c>
      <c r="D109" s="210" t="n"/>
      <c r="E109" s="210" t="n"/>
      <c r="F109" s="209" t="n"/>
      <c r="G109" s="16" t="inlineStr">
        <is>
          <t>S04, S52 · mercer.com/en-in · IPE factor sheet · third-party copy</t>
        </is>
      </c>
      <c r="H109" s="209" t="n"/>
    </row>
    <row r="110" ht="54" customHeight="1">
      <c r="A110" s="13" t="inlineStr">
        <is>
          <t>WTW Global Grading System</t>
        </is>
      </c>
      <c r="B110" s="209" t="n"/>
      <c r="C110" s="16" t="inlineStr">
        <is>
          <r>
            <rPr>
              <rFont val="Calibri"/>
              <b val="1"/>
              <sz val="10"/>
            </rPr>
            <t>Seven factors:</t>
          </r>
          <r>
            <rPr>
              <rFont val="Calibri"/>
              <sz val="10"/>
            </rPr>
            <t xml:space="preserve"> functional knowledge, business expertise, leadership, problem solving, nature of impact, area of impact, interpersonal skills — experience appears only in grade descriptors</t>
          </r>
        </is>
      </c>
      <c r="D110" s="210" t="n"/>
      <c r="E110" s="210" t="n"/>
      <c r="F110" s="209" t="n"/>
      <c r="G110" s="16" t="inlineStr">
        <is>
          <t>S07 · WTW report to the School Teachers' Review Body, p. 19 · assets.publishing.service.gov.uk</t>
        </is>
      </c>
      <c r="H110" s="209" t="n"/>
    </row>
    <row r="111" ht="28" customHeight="1">
      <c r="A111" s="13" t="inlineStr">
        <is>
          <t>Public point-factor plans above</t>
        </is>
      </c>
      <c r="B111" s="209" t="n"/>
      <c r="C111" s="16" t="inlineStr">
        <is>
          <t>Knowledge factors rate what the job requires, not the person's years; none scores tenure</t>
        </is>
      </c>
      <c r="D111" s="210" t="n"/>
      <c r="E111" s="210" t="n"/>
      <c r="F111" s="209" t="n"/>
      <c r="G111" s="16" t="inlineStr">
        <is>
          <t>S53–S57 · NHS, PSC/NJC, GLPC, SJC, OPM</t>
        </is>
      </c>
      <c r="H111" s="209" t="n"/>
    </row>
    <row r="112" ht="28" customHeight="1">
      <c r="A112" s="13" t="inlineStr">
        <is>
          <t>McKinsey, 2022</t>
        </is>
      </c>
      <c r="B112" s="209" t="n"/>
      <c r="C112" s="16" t="inlineStr">
        <is>
          <t>Hiring for skills is 'more than two times more predictive than hiring for work experience'</t>
        </is>
      </c>
      <c r="D112" s="210" t="n"/>
      <c r="E112" s="210" t="n"/>
      <c r="F112" s="209" t="n"/>
      <c r="G112" s="16" t="inlineStr">
        <is>
          <t>S58 · mckinsey.com — Taking a skills-based approach</t>
        </is>
      </c>
      <c r="H112" s="209" t="n"/>
    </row>
    <row r="113" ht="28" customHeight="1">
      <c r="A113" s="13" t="inlineStr">
        <is>
          <t>Deloitte Human Capital Trends, 2023</t>
        </is>
      </c>
      <c r="B113" s="209" t="n"/>
      <c r="C113" s="16" t="inlineStr">
        <is>
          <t>Promote and deploy on skills 'versus tenure, job history, or network'</t>
        </is>
      </c>
      <c r="D113" s="210" t="n"/>
      <c r="E113" s="210" t="n"/>
      <c r="F113" s="209" t="n"/>
      <c r="G113" s="16" t="inlineStr">
        <is>
          <t>S59 · deloitte.com/us/en/insights</t>
        </is>
      </c>
      <c r="H113" s="209" t="n"/>
    </row>
    <row r="114" ht="28" customHeight="1">
      <c r="A114" s="13" t="inlineStr">
        <is>
          <t>World Economic Forum, 2024</t>
        </is>
      </c>
      <c r="B114" s="209" t="n"/>
      <c r="C114" s="16" t="inlineStr">
        <is>
          <t>Rethink 'educational achievement and previous experience as proxies'</t>
        </is>
      </c>
      <c r="D114" s="210" t="n"/>
      <c r="E114" s="210" t="n"/>
      <c r="F114" s="209" t="n"/>
      <c r="G114" s="16" t="inlineStr">
        <is>
          <t>S60 · weforum.org — skills-first</t>
        </is>
      </c>
      <c r="H114" s="209" t="n"/>
    </row>
    <row r="115" ht="41" customHeight="1">
      <c r="A115" s="13" t="inlineStr">
        <is>
          <t>EY Future of Pay, India 2026</t>
        </is>
      </c>
      <c r="B115" s="209" t="n"/>
      <c r="C115" s="16" t="inlineStr">
        <is>
          <t>India pay moving 'away from tenure-based increases towards skills-led and performance-driven frameworks'</t>
        </is>
      </c>
      <c r="D115" s="210" t="n"/>
      <c r="E115" s="210" t="n"/>
      <c r="F115" s="209" t="n"/>
      <c r="G115" s="16" t="inlineStr">
        <is>
          <t>S61 · peoplematters.in, Feb 2026</t>
        </is>
      </c>
      <c r="H115" s="209" t="n"/>
    </row>
    <row r="116" ht="15" customHeight="1"/>
    <row r="117" ht="20" customHeight="1">
      <c r="A117" s="6" t="inlineStr">
        <is>
          <t>4. Business Impact — how the methods measure it</t>
        </is>
      </c>
    </row>
    <row r="118" ht="15" customHeight="1">
      <c r="A118" s="12" t="inlineStr">
        <is>
          <t>Method</t>
        </is>
      </c>
      <c r="B118" s="209" t="n"/>
      <c r="C118" s="12" t="inlineStr">
        <is>
          <t>How impact is measured</t>
        </is>
      </c>
      <c r="D118" s="210" t="n"/>
      <c r="E118" s="210" t="n"/>
      <c r="F118" s="210" t="n"/>
      <c r="G118" s="209" t="n"/>
      <c r="H118" s="12" t="inlineStr">
        <is>
          <t>Source</t>
        </is>
      </c>
    </row>
    <row r="119" ht="41" customHeight="1">
      <c r="A119" s="13" t="inlineStr">
        <is>
          <t>Korn Ferry Hay</t>
        </is>
      </c>
      <c r="B119" s="209" t="n"/>
      <c r="C119" s="16" t="inlineStr">
        <is>
          <t>Accountability = freedom to act + area / magnitude + nature of impact · remote → contributory → shared → prime; its share rises with seniority</t>
        </is>
      </c>
      <c r="D119" s="210" t="n"/>
      <c r="E119" s="210" t="n"/>
      <c r="F119" s="210" t="n"/>
      <c r="G119" s="209" t="n"/>
      <c r="H119" s="16" t="inlineStr">
        <is>
          <t>S05, S46</t>
        </is>
      </c>
    </row>
    <row r="120" ht="41" customHeight="1">
      <c r="A120" s="13" t="inlineStr">
        <is>
          <t>Mercer IPE</t>
        </is>
      </c>
      <c r="B120" s="209" t="n"/>
      <c r="C120" s="16" t="inlineStr">
        <is>
          <t>Impact = depth and breadth of influence on the organisation, scaled by organisation size; contribution rated limited → some → direct → significant → major</t>
        </is>
      </c>
      <c r="D120" s="210" t="n"/>
      <c r="E120" s="210" t="n"/>
      <c r="F120" s="210" t="n"/>
      <c r="G120" s="209" t="n"/>
      <c r="H120" s="16" t="inlineStr">
        <is>
          <t>S04, S52</t>
        </is>
      </c>
    </row>
    <row r="121" ht="28" customHeight="1">
      <c r="A121" s="13" t="inlineStr">
        <is>
          <t>WTW GGS</t>
        </is>
      </c>
      <c r="B121" s="209" t="n"/>
      <c r="C121" s="16" t="inlineStr">
        <is>
          <r>
            <rPr>
              <rFont val="Calibri"/>
              <b val="1"/>
              <sz val="10"/>
            </rPr>
            <t>Two impact factors:</t>
          </r>
          <r>
            <rPr>
              <rFont val="Calibri"/>
              <sz val="10"/>
            </rPr>
            <t xml:space="preserve"> nature of impact · how the job affects the business and area of impact · which part of the organisation</t>
          </r>
        </is>
      </c>
      <c r="D121" s="210" t="n"/>
      <c r="E121" s="210" t="n"/>
      <c r="F121" s="210" t="n"/>
      <c r="G121" s="209" t="n"/>
      <c r="H121" s="16" t="inlineStr">
        <is>
          <t>S07</t>
        </is>
      </c>
    </row>
    <row r="122" ht="28" customHeight="1">
      <c r="A122" s="13" t="inlineStr">
        <is>
          <t>Public point-factor plans</t>
        </is>
      </c>
      <c r="B122" s="209" t="n"/>
      <c r="C122" s="16" t="inlineStr">
        <is>
          <t>A separate financial / consequences factor carries 7–10% of points · mean 6.7%, OPM none</t>
        </is>
      </c>
      <c r="D122" s="210" t="n"/>
      <c r="E122" s="210" t="n"/>
      <c r="F122" s="210" t="n"/>
      <c r="G122" s="209" t="n"/>
      <c r="H122" s="16" t="inlineStr">
        <is>
          <t>S53–S57</t>
        </is>
      </c>
    </row>
    <row r="123" ht="15" customHeight="1"/>
    <row r="124" ht="20" customHeight="1">
      <c r="A124" s="6" t="inlineStr">
        <is>
          <t>5. IRIS defaults against the benchmark</t>
        </is>
      </c>
    </row>
    <row r="125" ht="67" customHeight="1">
      <c r="A125" s="11" t="inlineStr">
        <is>
          <r>
            <rPr>
              <rFont val="Calibri"/>
              <b val="1"/>
              <i val="1"/>
              <color rgb="00595959"/>
              <sz val="10"/>
            </rPr>
            <t>How IRIS sets its defaults:</t>
          </r>
          <r>
            <rPr>
              <rFont val="Calibri"/>
              <i val="1"/>
              <color rgb="00595959"/>
              <sz val="10"/>
            </rPr>
            <t xml:space="preserve"> each role group is the average of Hay, Mercer IPE and the public plans. Checks: the share of each factor across all IRIS roles is set against the plans' range; the slope by level follows the Hay progression — know-how falls and accountability rises as roles become more senior; Experience &amp; Qualification is a leadership decision held at 10% in Bands A–B and 5% in Bands C–E, which the methods support because none of them scores experience on its own; Business Impact is the nature-of-impact part of Hay's accountability and Mercer's impact, 6–9%, in line with the plans' financial factor; the type of work then moves a weight by ±5 in each department.</t>
          </r>
        </is>
      </c>
    </row>
    <row r="126" ht="41" customHeight="1">
      <c r="A126" s="12" t="inlineStr">
        <is>
          <t>Factor</t>
        </is>
      </c>
      <c r="B126" s="12" t="inlineStr">
        <is>
          <t>IRIS, average of 44 scored roles</t>
        </is>
      </c>
      <c r="C126" s="12" t="inlineStr">
        <is>
          <t>Plans' average</t>
        </is>
      </c>
      <c r="D126" s="12" t="inlineStr">
        <is>
          <t>Plans' range</t>
        </is>
      </c>
      <c r="E126" s="12" t="inlineStr">
        <is>
          <t>Result</t>
        </is>
      </c>
      <c r="F126" s="239" t="inlineStr"/>
      <c r="G126" s="239" t="inlineStr"/>
      <c r="H126" s="12" t="inlineStr">
        <is>
          <t>Why</t>
        </is>
      </c>
    </row>
    <row r="127" ht="28" customHeight="1">
      <c r="A127" s="13" t="inlineStr">
        <is>
          <t>Complexity &amp; Expertise</t>
        </is>
      </c>
      <c r="B127" s="15" t="inlineStr">
        <is>
          <t>57.8%</t>
        </is>
      </c>
      <c r="C127" s="15" t="inlineStr">
        <is>
          <t>42.8%</t>
        </is>
      </c>
      <c r="D127" s="15" t="inlineStr">
        <is>
          <t>38–52%</t>
        </is>
      </c>
      <c r="E127" s="15" t="inlineStr">
        <is>
          <t>Above</t>
        </is>
      </c>
      <c r="F127" s="16" t="inlineStr"/>
      <c r="G127" s="16" t="inlineStr"/>
      <c r="H127" s="16" t="inlineStr">
        <is>
          <t>The job's knowledge and problem solving — the largest share, as in every plan</t>
        </is>
      </c>
    </row>
    <row r="128" ht="15" customHeight="1">
      <c r="A128" s="13" t="inlineStr">
        <is>
          <t>Autonomy &amp; Decision</t>
        </is>
      </c>
      <c r="B128" s="15" t="inlineStr">
        <is>
          <t>17.3%</t>
        </is>
      </c>
      <c r="C128" s="15" t="inlineStr">
        <is>
          <t>14.9%</t>
        </is>
      </c>
      <c r="D128" s="15" t="inlineStr">
        <is>
          <t>7–30%</t>
        </is>
      </c>
      <c r="E128" s="15" t="inlineStr">
        <is>
          <t>Inside</t>
        </is>
      </c>
      <c r="F128" s="16" t="inlineStr"/>
      <c r="G128" s="16" t="inlineStr"/>
      <c r="H128" s="16" t="inlineStr">
        <is>
          <t>Close to the plans' average</t>
        </is>
      </c>
    </row>
    <row r="129" ht="15" customHeight="1">
      <c r="A129" s="13" t="inlineStr">
        <is>
          <t>Accountability &amp; Impact</t>
        </is>
      </c>
      <c r="B129" s="15" t="inlineStr">
        <is>
          <t>4.9%</t>
        </is>
      </c>
      <c r="C129" s="15" t="inlineStr">
        <is>
          <t>15.1%</t>
        </is>
      </c>
      <c r="D129" s="15" t="inlineStr">
        <is>
          <t>6–20%</t>
        </is>
      </c>
      <c r="E129" s="15" t="inlineStr">
        <is>
          <t>Below</t>
        </is>
      </c>
      <c r="F129" s="16" t="inlineStr"/>
      <c r="G129" s="16" t="inlineStr"/>
      <c r="H129" s="16" t="inlineStr">
        <is>
          <t>Close to the plans' average; rises with level</t>
        </is>
      </c>
    </row>
    <row r="130" ht="41" customHeight="1">
      <c r="A130" s="13" t="inlineStr">
        <is>
          <t>Leadership &amp; Strategy</t>
        </is>
      </c>
      <c r="B130" s="15" t="inlineStr">
        <is>
          <t>3.1%</t>
        </is>
      </c>
      <c r="C130" s="15" t="inlineStr">
        <is>
          <t>20.6%</t>
        </is>
      </c>
      <c r="D130" s="15" t="inlineStr">
        <is>
          <t>8–30%</t>
        </is>
      </c>
      <c r="E130" s="15" t="inlineStr">
        <is>
          <t>Below</t>
        </is>
      </c>
      <c r="F130" s="16" t="inlineStr"/>
      <c r="G130" s="16" t="inlineStr"/>
      <c r="H130" s="16" t="inlineStr">
        <is>
          <t>IRIS counts people leadership only, so individual contributors score 0–10%; managers and leaders 20–25%, inside the range</t>
        </is>
      </c>
    </row>
    <row r="131" ht="28" customHeight="1">
      <c r="A131" s="13" t="inlineStr">
        <is>
          <t>Business Impact</t>
        </is>
      </c>
      <c r="B131" s="15" t="inlineStr">
        <is>
          <t>7.0%</t>
        </is>
      </c>
      <c r="C131" s="15" t="inlineStr">
        <is>
          <t>6.7%</t>
        </is>
      </c>
      <c r="D131" s="15" t="inlineStr">
        <is>
          <t>0–10%</t>
        </is>
      </c>
      <c r="E131" s="15" t="inlineStr">
        <is>
          <t>Inside</t>
        </is>
      </c>
      <c r="F131" s="16" t="inlineStr"/>
      <c r="G131" s="16" t="inlineStr"/>
      <c r="H131" s="16" t="inlineStr">
        <is>
          <t>The nature-of-impact part of accountability, as in Hay and Mercer IPE; in line with the plans' financial factor</t>
        </is>
      </c>
    </row>
    <row r="132" ht="41" customHeight="1">
      <c r="A132" s="13" t="inlineStr">
        <is>
          <t>Experience &amp; Qualification</t>
        </is>
      </c>
      <c r="B132" s="15" t="inlineStr">
        <is>
          <t>9.9%</t>
        </is>
      </c>
      <c r="C132" s="15" t="inlineStr">
        <is>
          <t>—</t>
        </is>
      </c>
      <c r="D132" s="15" t="inlineStr">
        <is>
          <t>not a separate factor</t>
        </is>
      </c>
      <c r="E132" s="15" t="inlineStr">
        <is>
          <t>Policy</t>
        </is>
      </c>
      <c r="F132" s="16" t="inlineStr"/>
      <c r="G132" s="16" t="inlineStr"/>
      <c r="H132" s="16" t="inlineStr">
        <is>
          <r>
            <rPr>
              <rFont val="Calibri"/>
              <b val="1"/>
              <sz val="10"/>
            </rPr>
            <t>Leadership decision:</t>
          </r>
          <r>
            <rPr>
              <rFont val="Calibri"/>
              <sz val="10"/>
            </rPr>
            <t xml:space="preserve"> 10% in Bands A–B, 5% in Bands C–E — the lowest that still separates a fresher from an experienced hire</t>
          </r>
        </is>
      </c>
    </row>
    <row r="133" ht="15" customHeight="1"/>
    <row r="134" ht="15" customHeight="1">
      <c r="A134" s="11" t="inlineStr">
        <is>
          <t>The default weights by role group are on sheet 1c and the Weightage Matrix; each department's row there can be changed by its leaders.</t>
        </is>
      </c>
    </row>
    <row r="135" ht="28" customHeight="1">
      <c r="A135" s="12" t="inlineStr">
        <is>
          <t>Role group</t>
        </is>
      </c>
      <c r="B135" s="12" t="inlineStr">
        <is>
          <t>Complexity</t>
        </is>
      </c>
      <c r="C135" s="12" t="inlineStr">
        <is>
          <t>Autonomy</t>
        </is>
      </c>
      <c r="D135" s="12" t="inlineStr">
        <is>
          <t>Accountability</t>
        </is>
      </c>
      <c r="E135" s="12" t="inlineStr">
        <is>
          <t>Leadership</t>
        </is>
      </c>
      <c r="F135" s="12" t="inlineStr">
        <is>
          <t>Experience</t>
        </is>
      </c>
      <c r="G135" s="12" t="inlineStr">
        <is>
          <t>Business impact</t>
        </is>
      </c>
      <c r="H135" s="12" t="inlineStr">
        <is>
          <t>Why</t>
        </is>
      </c>
    </row>
    <row r="136" ht="80" customHeight="1">
      <c r="A136" s="13" t="inlineStr">
        <is>
          <t>Band A</t>
        </is>
      </c>
      <c r="B136" s="15" t="inlineStr">
        <is>
          <t>59%</t>
        </is>
      </c>
      <c r="C136" s="15" t="inlineStr">
        <is>
          <t>16%</t>
        </is>
      </c>
      <c r="D136" s="15" t="inlineStr">
        <is>
          <t>9%</t>
        </is>
      </c>
      <c r="E136" s="15" t="inlineStr">
        <is>
          <t>0%</t>
        </is>
      </c>
      <c r="F136" s="15" t="inlineStr">
        <is>
          <t>10%</t>
        </is>
      </c>
      <c r="G136" s="15" t="inlineStr">
        <is>
          <t>6%</t>
        </is>
      </c>
      <c r="H136" s="16" t="inlineStr">
        <is>
          <r>
            <rPr>
              <rFont val="Calibri"/>
              <b val="1"/>
              <sz val="10"/>
            </rPr>
            <t>Junior work is judged on the work itself:</t>
          </r>
          <r>
            <rPr>
              <rFont val="Calibri"/>
              <sz val="10"/>
            </rPr>
            <t xml:space="preserve"> Hay puts know-how at 73% for clerical jobs and Mercer IPE knowledge plus innovation at 61%; leadership is not expected. Sources: S46–S51 Korn Ferry Hay evaluations · S04, S52 Mercer IPE · S53–S57 NHS, UK NJC/PSC, GLPC, SJC and US OPM point-factor plans.</t>
          </r>
        </is>
      </c>
    </row>
    <row r="137" ht="67" customHeight="1">
      <c r="A137" s="13" t="inlineStr">
        <is>
          <t>Band B · IC / POD Lead</t>
        </is>
      </c>
      <c r="B137" s="15" t="inlineStr">
        <is>
          <t>51%</t>
        </is>
      </c>
      <c r="C137" s="15" t="inlineStr">
        <is>
          <t>17%</t>
        </is>
      </c>
      <c r="D137" s="15" t="inlineStr">
        <is>
          <t>10%</t>
        </is>
      </c>
      <c r="E137" s="15" t="inlineStr">
        <is>
          <t>5%</t>
        </is>
      </c>
      <c r="F137" s="15" t="inlineStr">
        <is>
          <t>10%</t>
        </is>
      </c>
      <c r="G137" s="15" t="inlineStr">
        <is>
          <t>7%</t>
        </is>
      </c>
      <c r="H137" s="16" t="inlineStr">
        <is>
          <r>
            <rPr>
              <rFont val="Calibri"/>
              <b val="1"/>
              <sz val="10"/>
            </rPr>
            <t>Professional and expert work:</t>
          </r>
          <r>
            <rPr>
              <rFont val="Calibri"/>
              <sz val="10"/>
            </rPr>
            <t xml:space="preserve"> the knowledge and problem solving the job needs lead, as in Hay's professional profile and Mercer IPE. Sources: S46–S51 Korn Ferry Hay evaluations · S04, S52 Mercer IPE · S53–S57 NHS, UK NJC/PSC, GLPC, SJC and US OPM point-factor plans.</t>
          </r>
        </is>
      </c>
    </row>
    <row r="138" ht="67" customHeight="1">
      <c r="A138" s="13" t="inlineStr">
        <is>
          <t>Band B · People Manager</t>
        </is>
      </c>
      <c r="B138" s="15" t="inlineStr">
        <is>
          <t>37%</t>
        </is>
      </c>
      <c r="C138" s="15" t="inlineStr">
        <is>
          <t>18%</t>
        </is>
      </c>
      <c r="D138" s="15" t="inlineStr">
        <is>
          <t>11%</t>
        </is>
      </c>
      <c r="E138" s="15" t="inlineStr">
        <is>
          <t>15%</t>
        </is>
      </c>
      <c r="F138" s="15" t="inlineStr">
        <is>
          <t>10%</t>
        </is>
      </c>
      <c r="G138" s="15" t="inlineStr">
        <is>
          <t>9%</t>
        </is>
      </c>
      <c r="H138" s="16" t="inlineStr">
        <is>
          <r>
            <rPr>
              <rFont val="Calibri"/>
              <b val="1"/>
              <sz val="10"/>
            </rPr>
            <t>Results come through a team:</t>
          </r>
          <r>
            <rPr>
              <rFont val="Calibri"/>
              <sz val="10"/>
            </rPr>
            <t xml:space="preserve"> leadership 15%, autonomy and accountability rise, as in Hay's supervisory profile, accountability 32%. Sources: S46–S51 Korn Ferry Hay evaluations · S04, S52 Mercer IPE · S53–S57 NHS, UK NJC/PSC, GLPC, SJC and US OPM point-factor plans.</t>
          </r>
        </is>
      </c>
    </row>
    <row r="139" ht="54" customHeight="1">
      <c r="A139" s="13" t="inlineStr">
        <is>
          <t>Band C · Principal specialist</t>
        </is>
      </c>
      <c r="B139" s="15" t="inlineStr">
        <is>
          <t>54%</t>
        </is>
      </c>
      <c r="C139" s="15" t="inlineStr">
        <is>
          <t>18%</t>
        </is>
      </c>
      <c r="D139" s="15" t="inlineStr">
        <is>
          <t>10%</t>
        </is>
      </c>
      <c r="E139" s="15" t="inlineStr">
        <is>
          <t>5%</t>
        </is>
      </c>
      <c r="F139" s="15" t="inlineStr">
        <is>
          <t>5%</t>
        </is>
      </c>
      <c r="G139" s="15" t="inlineStr">
        <is>
          <t>8%</t>
        </is>
      </c>
      <c r="H139" s="16" t="inlineStr">
        <is>
          <r>
            <rPr>
              <rFont val="Calibri"/>
              <b val="1"/>
              <sz val="10"/>
            </rPr>
            <t>Principal authority:</t>
          </r>
          <r>
            <rPr>
              <rFont val="Calibri"/>
              <sz val="10"/>
            </rPr>
            <t xml:space="preserve"> expertise still leads, as in Hay's 'level' profile 50 / 25 / 25; experience 5%. Sources: S46–S51 Korn Ferry Hay evaluations · S04, S52 Mercer IPE · S53–S57 NHS, UK NJC/PSC, GLPC, SJC and US OPM point-factor plans.</t>
          </r>
        </is>
      </c>
    </row>
    <row r="140" ht="67" customHeight="1">
      <c r="A140" s="13" t="inlineStr">
        <is>
          <t>Band C · Head / manager</t>
        </is>
      </c>
      <c r="B140" s="15" t="inlineStr">
        <is>
          <t>43%</t>
        </is>
      </c>
      <c r="C140" s="15" t="inlineStr">
        <is>
          <t>18%</t>
        </is>
      </c>
      <c r="D140" s="15" t="inlineStr">
        <is>
          <t>11%</t>
        </is>
      </c>
      <c r="E140" s="15" t="inlineStr">
        <is>
          <t>15%</t>
        </is>
      </c>
      <c r="F140" s="15" t="inlineStr">
        <is>
          <t>5%</t>
        </is>
      </c>
      <c r="G140" s="15" t="inlineStr">
        <is>
          <t>8%</t>
        </is>
      </c>
      <c r="H140" s="16"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141" ht="67" customHeight="1">
      <c r="A141" s="13" t="inlineStr">
        <is>
          <t>Bands D–E</t>
        </is>
      </c>
      <c r="B141" s="15" t="inlineStr">
        <is>
          <t>37%</t>
        </is>
      </c>
      <c r="C141" s="15" t="inlineStr">
        <is>
          <t>19%</t>
        </is>
      </c>
      <c r="D141" s="15" t="inlineStr">
        <is>
          <t>11%</t>
        </is>
      </c>
      <c r="E141" s="15" t="inlineStr">
        <is>
          <t>20%</t>
        </is>
      </c>
      <c r="F141" s="15" t="inlineStr">
        <is>
          <t>5%</t>
        </is>
      </c>
      <c r="G141" s="15" t="inlineStr">
        <is>
          <t>8%</t>
        </is>
      </c>
      <c r="H141" s="16" t="inlineStr">
        <is>
          <t>Business and enterprise leaders, as in Hay's EX-2 and EX-3 evaluations: leadership 20%, autonomy, accountability and impact 38%. Sources: S46–S51 Korn Ferry Hay evaluations · S04, S52 Mercer IPE · S53–S57 NHS, UK NJC/PSC, GLPC, SJC and US OPM point-factor plans.</t>
        </is>
      </c>
    </row>
    <row r="142" ht="54" customHeight="1">
      <c r="A142" s="13" t="inlineStr">
        <is>
          <t>Player-Coach · B+</t>
        </is>
      </c>
      <c r="B142" s="15" t="inlineStr">
        <is>
          <t>44%</t>
        </is>
      </c>
      <c r="C142" s="15" t="inlineStr">
        <is>
          <t>18%</t>
        </is>
      </c>
      <c r="D142" s="15" t="inlineStr">
        <is>
          <t>10%</t>
        </is>
      </c>
      <c r="E142" s="15" t="inlineStr">
        <is>
          <t>10%</t>
        </is>
      </c>
      <c r="F142" s="15" t="inlineStr">
        <is>
          <t>10%</t>
        </is>
      </c>
      <c r="G142" s="15" t="inlineStr">
        <is>
          <t>8%</t>
        </is>
      </c>
      <c r="H142" s="16" t="inlineStr">
        <is>
          <r>
            <rPr>
              <rFont val="Calibri"/>
              <b val="1"/>
              <sz val="10"/>
            </rPr>
            <t>Half expert, half leader:</t>
          </r>
          <r>
            <rPr>
              <rFont val="Calibri"/>
              <sz val="10"/>
            </rPr>
            <t xml:space="preserve"> between the Band B expert and manager rows. Sources: S46–S51 Korn Ferry Hay evaluations · S04, S52 Mercer IPE · S53–S57 NHS, UK NJC/PSC, GLPC, SJC and US OPM point-factor plans.</t>
          </r>
        </is>
      </c>
    </row>
    <row r="143" ht="54" customHeight="1">
      <c r="A143" s="13" t="inlineStr">
        <is>
          <t>Player-Coach · C+</t>
        </is>
      </c>
      <c r="B143" s="15" t="inlineStr">
        <is>
          <t>38%</t>
        </is>
      </c>
      <c r="C143" s="15" t="inlineStr">
        <is>
          <t>18%</t>
        </is>
      </c>
      <c r="D143" s="15" t="inlineStr">
        <is>
          <t>11%</t>
        </is>
      </c>
      <c r="E143" s="15" t="inlineStr">
        <is>
          <t>20%</t>
        </is>
      </c>
      <c r="F143" s="15" t="inlineStr">
        <is>
          <t>5%</t>
        </is>
      </c>
      <c r="G143" s="15" t="inlineStr">
        <is>
          <t>8%</t>
        </is>
      </c>
      <c r="H143" s="16" t="inlineStr">
        <is>
          <r>
            <rPr>
              <rFont val="Calibri"/>
              <b val="1"/>
              <sz val="10"/>
            </rPr>
            <t>Leads a function and still delivers personally:</t>
          </r>
          <r>
            <rPr>
              <rFont val="Calibri"/>
              <sz val="10"/>
            </rPr>
            <t xml:space="preserve"> between the Band C head and Bands D–E rows. Sources: S46–S51 Korn Ferry Hay evaluations · S04, S52 Mercer IPE · S53–S57 NHS, UK NJC/PSC, GLPC, SJC and US OPM point-factor plans.</t>
          </r>
        </is>
      </c>
    </row>
    <row r="144" ht="15" customHeight="1"/>
    <row r="145" ht="20" customHeight="1">
      <c r="A145" s="6" t="inlineStr">
        <is>
          <t>6. Titles — no Director, no Fellow</t>
        </is>
      </c>
    </row>
    <row r="146" ht="15" customHeight="1">
      <c r="A146" s="12" t="inlineStr">
        <is>
          <t>Decision</t>
        </is>
      </c>
      <c r="B146" s="209" t="n"/>
      <c r="C146" s="12" t="inlineStr">
        <is>
          <t>Why</t>
        </is>
      </c>
      <c r="D146" s="210" t="n"/>
      <c r="E146" s="210" t="n"/>
      <c r="F146" s="209" t="n"/>
      <c r="G146" s="12" t="inlineStr">
        <is>
          <t>Source</t>
        </is>
      </c>
      <c r="H146" s="209" t="n"/>
    </row>
    <row r="147" ht="119" customHeight="1">
      <c r="A147" s="13" t="inlineStr">
        <is>
          <t>No 'Director' title</t>
        </is>
      </c>
      <c r="B147" s="209" t="n"/>
      <c r="C147" s="16" t="inlineStr">
        <is>
          <t>IRIS is a listed company. Under the Companies Act 2013, section 2, clause 34, 'director' means a director appointed to the Board; Indian listed IT companies use Associate Vice President and Vice President for senior employees to avoid confusion with the Board and with KMP disclosures. D1 is therefore 'Associate Vice President / Business Head'; market titles show 'Head of Function / AGM' and 'Senior Head / General Manager' where surveys say Director.</t>
        </is>
      </c>
      <c r="D147" s="210" t="n"/>
      <c r="E147" s="210" t="n"/>
      <c r="F147" s="209" t="n"/>
      <c r="G147" s="16" t="inlineStr">
        <is>
          <t>S63 iPleaders, Companies Act 2013 section 2, clause 34 · S64 Kaanoon practitioner Q&amp;A.</t>
        </is>
      </c>
      <c r="H147" s="209" t="n"/>
    </row>
    <row r="148" ht="145" customHeight="1">
      <c r="A148" s="13" t="inlineStr">
        <is>
          <t>No 'Fellow' title — two options for the heads</t>
        </is>
      </c>
      <c r="B148" s="209" t="n"/>
      <c r="C148" s="16" t="inlineStr">
        <is>
          <t>The top individual-contributor step at D1 has two market options. Option A, Chief Specialist, with discipline forms such as Chief Architect and Chief Consultant, is a recognised senior title in India and marks the step above Principal, where Indian IT ladders such as Infosys stop before AVP. Option B, Distinguished Principal, with forms such as Distinguished Architect and Distinguished Engineer, is the global big-tech standard. Until the heads decide, both are shown. The step is rare and set by leadership decision.</t>
        </is>
      </c>
      <c r="D148" s="210" t="n"/>
      <c r="E148" s="210" t="n"/>
      <c r="F148" s="209" t="n"/>
      <c r="G148" s="16" t="inlineStr">
        <is>
          <r>
            <rPr>
              <rFont val="Calibri"/>
              <b val="1"/>
              <sz val="10"/>
            </rPr>
            <t>Option A:</t>
          </r>
          <r>
            <rPr>
              <rFont val="Calibri"/>
              <sz val="10"/>
            </rPr>
            <t xml:space="preserve"> S72 PayScale India tracks 'Chief Architect, IT' as a late-career role · S33 Infosys tops its architect track at Principal Technology Architect before AVP. Option B: S65 Wipro Distinguished Member of Technical Staff · S66 Salesforce Distinguished Engineer · S67 LeadDev · S32 Google, Microsoft, Amazon levels.</t>
          </r>
        </is>
      </c>
      <c r="H148" s="209" t="n"/>
    </row>
    <row r="149" ht="15" customHeight="1"/>
    <row r="150" ht="20" customHeight="1">
      <c r="A150" s="6" t="inlineStr">
        <is>
          <t>7. Limits of the benchmark</t>
        </is>
      </c>
    </row>
    <row r="151" ht="15" customHeight="1">
      <c r="A151" s="207" t="inlineStr">
        <is>
          <t>• Vendor methods — Hay, Mercer IPE, WTW, Radford — keep their weights proprietary; their structure is public, their points are not.</t>
        </is>
      </c>
    </row>
    <row r="152" ht="15" customHeight="1">
      <c r="A152" s="207" t="inlineStr">
        <is>
          <t>• The plans are public-sector schemes with one weight set for every job; IRIS varies weights by level, following Hay's published direction.</t>
        </is>
      </c>
    </row>
    <row r="153" ht="41" customHeight="1">
      <c r="A153" s="207" t="inlineStr">
        <is>
          <t>• Mapping each plan's factors to the six IRIS factors is a judgement, shown above for every plan. The UK local-government figures are the Police Staff Council version; the NJC's own table is not public. The Hay typical profiles come from a secondary source; the Canada evaluations are primary. The Mercer IPE manual is a third-party copy and its level rows are illustrative ratings.</t>
        </is>
      </c>
    </row>
    <row r="154" ht="15" customHeight="1">
      <c r="A154" s="207" t="inlineStr">
        <is>
          <r>
            <rPr>
              <rFont val="Calibri"/>
              <sz val="10"/>
            </rPr>
            <t xml:space="preserve">• </t>
          </r>
          <r>
            <rPr>
              <rFont val="Calibri"/>
              <b val="1"/>
              <sz val="10"/>
            </rPr>
            <t>The calibration panel tests the weights on its anchor roles:</t>
          </r>
          <r>
            <rPr>
              <rFont val="Calibri"/>
              <sz val="10"/>
            </rPr>
            <t xml:space="preserve"> if two raters and the model agree within one level for 80% of anchors, the weights are confirmed.</t>
          </r>
        </is>
      </c>
    </row>
    <row r="155" ht="15" customHeight="1">
      <c r="A155" s="11" t="inlineStr">
        <is>
          <r>
            <rPr>
              <rFont val="Calibri"/>
              <b val="1"/>
              <i val="1"/>
              <color rgb="00595959"/>
              <sz val="10"/>
            </rPr>
            <t>Full links:</t>
          </r>
          <r>
            <rPr>
              <rFont val="Calibri"/>
              <i val="1"/>
              <color rgb="00595959"/>
              <sz val="10"/>
            </rPr>
            <t xml:space="preserve"> source register, HR Super Master sheet 11 and Framework Master M16.</t>
          </r>
        </is>
      </c>
    </row>
  </sheetData>
  <mergeCells count="98">
    <mergeCell ref="A77:H77"/>
    <mergeCell ref="A107:B107"/>
    <mergeCell ref="A6:H6"/>
    <mergeCell ref="C46:H46"/>
    <mergeCell ref="G147:H147"/>
    <mergeCell ref="A66:H66"/>
    <mergeCell ref="C48:H48"/>
    <mergeCell ref="B90:H90"/>
    <mergeCell ref="C107:F107"/>
    <mergeCell ref="A3:H3"/>
    <mergeCell ref="G148:H148"/>
    <mergeCell ref="A95:H95"/>
    <mergeCell ref="G108:H108"/>
    <mergeCell ref="G114:H114"/>
    <mergeCell ref="A5:H5"/>
    <mergeCell ref="A150:H150"/>
    <mergeCell ref="G110:H110"/>
    <mergeCell ref="A97:H97"/>
    <mergeCell ref="A109:B109"/>
    <mergeCell ref="A106:H106"/>
    <mergeCell ref="G113:H113"/>
    <mergeCell ref="A134:H134"/>
    <mergeCell ref="A96:H96"/>
    <mergeCell ref="A152:H152"/>
    <mergeCell ref="A111:B111"/>
    <mergeCell ref="A48:B48"/>
    <mergeCell ref="A67:H67"/>
    <mergeCell ref="A51:H51"/>
    <mergeCell ref="A45:B45"/>
    <mergeCell ref="C43:H43"/>
    <mergeCell ref="B89:H89"/>
    <mergeCell ref="C111:F111"/>
    <mergeCell ref="A124:H124"/>
    <mergeCell ref="G112:H112"/>
    <mergeCell ref="A46:B46"/>
    <mergeCell ref="C118:G118"/>
    <mergeCell ref="A2:H2"/>
    <mergeCell ref="C147:F147"/>
    <mergeCell ref="A42:H42"/>
    <mergeCell ref="A151:H151"/>
    <mergeCell ref="C146:F146"/>
    <mergeCell ref="B88:H88"/>
    <mergeCell ref="A125:H125"/>
    <mergeCell ref="A115:B115"/>
    <mergeCell ref="C148:F148"/>
    <mergeCell ref="C110:F110"/>
    <mergeCell ref="G115:H115"/>
    <mergeCell ref="A49:B49"/>
    <mergeCell ref="B92:H92"/>
    <mergeCell ref="A119:B119"/>
    <mergeCell ref="A153:H153"/>
    <mergeCell ref="C121:G121"/>
    <mergeCell ref="A41:H41"/>
    <mergeCell ref="C108:F108"/>
    <mergeCell ref="A120:B120"/>
    <mergeCell ref="A145:H145"/>
    <mergeCell ref="A154:H154"/>
    <mergeCell ref="A113:B113"/>
    <mergeCell ref="C113:F113"/>
    <mergeCell ref="A76:H76"/>
    <mergeCell ref="C112:F112"/>
    <mergeCell ref="C109:F109"/>
    <mergeCell ref="C122:G122"/>
    <mergeCell ref="A53:H53"/>
    <mergeCell ref="A147:B147"/>
    <mergeCell ref="C114:F114"/>
    <mergeCell ref="A43:B43"/>
    <mergeCell ref="C45:H45"/>
    <mergeCell ref="A68:H68"/>
    <mergeCell ref="A117:H117"/>
    <mergeCell ref="C47:H47"/>
    <mergeCell ref="A148:B148"/>
    <mergeCell ref="C44:H44"/>
    <mergeCell ref="G107:H107"/>
    <mergeCell ref="A1:H1"/>
    <mergeCell ref="A110:B110"/>
    <mergeCell ref="A146:B146"/>
    <mergeCell ref="A78:H78"/>
    <mergeCell ref="A108:B108"/>
    <mergeCell ref="B91:H91"/>
    <mergeCell ref="G146:H146"/>
    <mergeCell ref="A118:B118"/>
    <mergeCell ref="B93:H93"/>
    <mergeCell ref="A105:H105"/>
    <mergeCell ref="A47:B47"/>
    <mergeCell ref="C120:G120"/>
    <mergeCell ref="C49:H49"/>
    <mergeCell ref="C119:G119"/>
    <mergeCell ref="A122:B122"/>
    <mergeCell ref="G109:H109"/>
    <mergeCell ref="A112:B112"/>
    <mergeCell ref="A121:B121"/>
    <mergeCell ref="A52:H52"/>
    <mergeCell ref="C115:F115"/>
    <mergeCell ref="A44:B44"/>
    <mergeCell ref="A155:H155"/>
    <mergeCell ref="G111:H111"/>
    <mergeCell ref="A114:B114"/>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BV53"/>
  <sheetViews>
    <sheetView showGridLines="0"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16" customWidth="1" min="4" max="4"/>
    <col width="7" customWidth="1" min="5" max="5"/>
    <col width="7" customWidth="1" min="6" max="6"/>
    <col width="12" customWidth="1" min="7" max="7"/>
    <col width="20" customWidth="1" min="8" max="8"/>
    <col width="26" customWidth="1" min="9" max="9"/>
    <col width="18" customWidth="1" min="10" max="10"/>
    <col width="24" customWidth="1" min="11" max="11"/>
    <col width="12" customWidth="1" min="12" max="12"/>
    <col width="8" customWidth="1" min="13" max="13"/>
    <col width="16" customWidth="1" min="14" max="14"/>
    <col width="6" customWidth="1" min="15" max="15"/>
    <col width="11" customWidth="1" min="16" max="16"/>
    <col width="10" customWidth="1" min="17" max="17"/>
    <col width="64" customWidth="1" min="18" max="18"/>
    <col width="46" customWidth="1" min="19" max="19"/>
    <col width="30" customWidth="1" min="20" max="20"/>
    <col width="44" customWidth="1" min="21" max="21"/>
    <col width="44" customWidth="1" min="22" max="22"/>
    <col width="60" customWidth="1" min="23" max="23"/>
    <col width="64" customWidth="1" min="24" max="24"/>
    <col width="30" customWidth="1" min="25" max="25"/>
    <col width="10" customWidth="1" min="26" max="26"/>
    <col width="12"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9" customWidth="1" min="44" max="44"/>
    <col width="8" customWidth="1" min="45" max="45"/>
    <col width="44" customWidth="1" min="46" max="46"/>
    <col width="42" customWidth="1" min="47" max="47"/>
    <col width="52" customWidth="1" min="48" max="48"/>
    <col width="58" customWidth="1" min="49" max="49"/>
    <col width="58" customWidth="1" min="50" max="50"/>
    <col width="58" customWidth="1" min="51" max="51"/>
    <col width="58" customWidth="1" min="52" max="52"/>
    <col width="58" customWidth="1" min="53" max="53"/>
    <col width="58" customWidth="1" min="54" max="54"/>
    <col width="34" customWidth="1" min="55" max="55"/>
    <col width="36" customWidth="1" min="56" max="56"/>
    <col width="46" customWidth="1" min="57" max="57"/>
    <col width="9" customWidth="1" min="58" max="58"/>
    <col width="30" customWidth="1" min="59" max="59"/>
    <col width="22" customWidth="1" min="60" max="60"/>
    <col width="11" customWidth="1" min="61" max="61"/>
    <col width="10" customWidth="1" min="62" max="62"/>
    <col width="10" customWidth="1" min="63" max="63"/>
    <col width="10" customWidth="1" min="64" max="64"/>
    <col width="8" customWidth="1" min="65" max="65"/>
    <col width="11" customWidth="1" min="66" max="66"/>
    <col width="26" customWidth="1" min="67" max="67"/>
    <col width="10" customWidth="1" min="68" max="68"/>
    <col width="9" customWidth="1" min="69" max="69"/>
    <col width="20" customWidth="1" min="70" max="70"/>
    <col width="9" customWidth="1" min="71" max="71"/>
    <col width="13" customWidth="1" min="72" max="72"/>
    <col width="11" customWidth="1" min="73" max="73"/>
    <col hidden="1" width="6" customWidth="1" min="74" max="74"/>
  </cols>
  <sheetData>
    <row r="1" ht="34" customHeight="1">
      <c r="A1" s="1" t="inlineStr">
        <is>
          <t>Talent Mapping — role, weightage, score → level, and the justification for every rating</t>
        </is>
      </c>
      <c r="AA1" s="241" t="inlineStr">
        <is>
          <t>◂ Contents</t>
        </is>
      </c>
    </row>
    <row r="2" ht="30" customHeight="1">
      <c r="A2" s="3" t="inlineStr">
        <is>
          <r>
            <rPr>
              <rFont val="Calibri"/>
              <b val="1"/>
              <i val="1"/>
              <color rgb="00404040"/>
              <sz val="10"/>
            </rPr>
            <t>Sheet 2 · Read left to right:</t>
          </r>
          <r>
            <rPr>
              <rFont val="Calibri"/>
              <i val="1"/>
              <color rgb="00404040"/>
              <sz val="10"/>
            </rPr>
            <t xml:space="preserve"> the person → their role before and after → what the role does · responsibilities and competencies required → six ratings × weights = points → the score and the level it points to → any rule that changed the level → why each rating was given · starting point, evidence, market standard → the data used. Ratings use the ladder scale: A1 = 1 … E2 = 12. Weights come live from the Weightage Matrix; points, score and indicated level recalculate when a leader edits it. Managers can overwrite the Business Impact rating, in yellow. Pay columns are left blank for HR.</t>
          </r>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H4" s="65" t="inlineStr">
        <is>
          <t>Level up</t>
        </is>
      </c>
      <c r="I4" s="66" t="inlineStr">
        <is>
          <t>Level down — pay &amp; title protected</t>
        </is>
      </c>
      <c r="J4" s="67" t="inlineStr">
        <is>
          <t>Newly mapped</t>
        </is>
      </c>
      <c r="K4" s="68" t="inlineStr">
        <is>
          <t>Player-Coach · B+ · C+</t>
        </is>
      </c>
      <c r="L4" s="69" t="inlineStr">
        <is>
          <t>RED = critical input needed · could change or confirm the level</t>
        </is>
      </c>
      <c r="P4" s="71" t="inlineStr">
        <is>
          <t>YELLOW = to complete in validation</t>
        </is>
      </c>
    </row>
    <row r="5" ht="32" customHeight="1">
      <c r="A5" s="73" t="inlineStr">
        <is>
          <t>PERSON</t>
        </is>
      </c>
      <c r="H5" s="74" t="inlineStr">
        <is>
          <t>ROLE — BEFORE → AFTER</t>
        </is>
      </c>
      <c r="R5" s="76" t="inlineStr">
        <is>
          <t>ROLE PROFILE — what they do · role-holders' survey themes + catalogue</t>
        </is>
      </c>
      <c r="S5" s="77" t="inlineStr">
        <is>
          <t>BUSINESS IMPACT — what the person's role means for the business</t>
        </is>
      </c>
      <c r="U5" s="79" t="inlineStr">
        <is>
          <t>RECRUITMENT — REPLACEMENT PROFILE · to hire a like-for-like replacement</t>
        </is>
      </c>
      <c r="Y5" s="81" t="inlineStr">
        <is>
          <t>WEIGHTAGE — rating × weight = points · weights live from the Weightage Matrix</t>
        </is>
      </c>
      <c r="AT5" s="83" t="inlineStr">
        <is>
          <t>HOW THE SCORE BECOMES THE LEVEL</t>
        </is>
      </c>
      <c r="AW5" s="85" t="inlineStr">
        <is>
          <t>JUSTIFICATION FOR EACH RATING — start point, evidence, market standard</t>
        </is>
      </c>
      <c r="BC5" s="87" t="inlineStr">
        <is>
          <t>DATA SOURCES, INPUTS NEEDED &amp; MARKET STANDARD</t>
        </is>
      </c>
      <c r="BI5" s="89" t="inlineStr">
        <is>
          <t>PAY — set later from the pay survey · left blank</t>
        </is>
      </c>
      <c r="BN5" s="73" t="inlineStr">
        <is>
          <t>VALIDATION — manager &amp; HR</t>
        </is>
      </c>
    </row>
    <row r="6" ht="58" customHeight="1">
      <c r="A6" s="91" t="inlineStr">
        <is>
          <t>Emp ID</t>
        </is>
      </c>
      <c r="B6" s="92" t="inlineStr">
        <is>
          <t>Employee name</t>
        </is>
      </c>
      <c r="C6" s="92" t="inlineStr">
        <is>
          <t>Department</t>
        </is>
      </c>
      <c r="D6" s="92" t="inlineStr">
        <is>
          <t>Reporting manager</t>
        </is>
      </c>
      <c r="E6" s="92" t="inlineStr">
        <is>
          <t>Total exp. · yrs</t>
        </is>
      </c>
      <c r="F6" s="92" t="inlineStr">
        <is>
          <t>Exp. at IRIS · yrs</t>
        </is>
      </c>
      <c r="G6" s="92" t="inlineStr">
        <is>
          <t>Qualification</t>
        </is>
      </c>
      <c r="H6" s="93" t="inlineStr">
        <is>
          <t>Current designation</t>
        </is>
      </c>
      <c r="I6" s="12" t="inlineStr">
        <is>
          <t>Final designation</t>
        </is>
      </c>
      <c r="J6" s="12" t="inlineStr">
        <is>
          <t>Job family</t>
        </is>
      </c>
      <c r="K6" s="12" t="inlineStr">
        <is>
          <t>Sub-family · what they do</t>
        </is>
      </c>
      <c r="L6" s="12" t="inlineStr">
        <is>
          <t>Current level</t>
        </is>
      </c>
      <c r="M6" s="12" t="inlineStr">
        <is>
          <t>FINAL LEVEL</t>
        </is>
      </c>
      <c r="N6" s="12" t="inlineStr">
        <is>
          <t>Level title</t>
        </is>
      </c>
      <c r="O6" s="12" t="inlineStr">
        <is>
          <t>Band</t>
        </is>
      </c>
      <c r="P6" s="12" t="inlineStr">
        <is>
          <t>Track</t>
        </is>
      </c>
      <c r="Q6" s="12" t="inlineStr">
        <is>
          <t>Change vs current</t>
        </is>
      </c>
      <c r="R6" s="94" t="inlineStr">
        <is>
          <t>Role profile — what they do, responsibilities &amp; competencies required</t>
        </is>
      </c>
      <c r="S6" s="95" t="inlineStr">
        <is>
          <t>Business impact — from survey and data</t>
        </is>
      </c>
      <c r="T6" s="96" t="inlineStr">
        <is>
          <t>Business impact — from manager / head · to complete</t>
        </is>
      </c>
      <c r="U6" s="97" t="inlineStr">
        <is>
          <t>Replacement — what they do · simple</t>
        </is>
      </c>
      <c r="V6" s="98" t="inlineStr">
        <is>
          <t>Hire equivalent · external market</t>
        </is>
      </c>
      <c r="W6" s="98" t="inlineStr">
        <is>
          <t>Competencies &amp; skill level to hire for</t>
        </is>
      </c>
      <c r="X6" s="98" t="inlineStr">
        <is>
          <t>Interview questions for the perfect fit</t>
        </is>
      </c>
      <c r="Y6" s="99" t="inlineStr">
        <is>
          <t>Weight row — Weightage Matrix</t>
        </is>
      </c>
      <c r="Z6" s="100" t="inlineStr">
        <is>
          <t>Complexity rating</t>
        </is>
      </c>
      <c r="AA6" s="100" t="inlineStr">
        <is>
          <t>Complexity weight</t>
        </is>
      </c>
      <c r="AB6" s="100" t="inlineStr">
        <is>
          <t>Complexity points</t>
        </is>
      </c>
      <c r="AC6" s="100" t="inlineStr">
        <is>
          <t>Autonomy rating</t>
        </is>
      </c>
      <c r="AD6" s="100" t="inlineStr">
        <is>
          <t>Autonomy weight</t>
        </is>
      </c>
      <c r="AE6" s="100" t="inlineStr">
        <is>
          <t>Autonomy points</t>
        </is>
      </c>
      <c r="AF6" s="100" t="inlineStr">
        <is>
          <t>Accountab. rating</t>
        </is>
      </c>
      <c r="AG6" s="100" t="inlineStr">
        <is>
          <t>Accountab. weight</t>
        </is>
      </c>
      <c r="AH6" s="100" t="inlineStr">
        <is>
          <t>Accountab. points</t>
        </is>
      </c>
      <c r="AI6" s="100" t="inlineStr">
        <is>
          <t>Leadership rating</t>
        </is>
      </c>
      <c r="AJ6" s="100" t="inlineStr">
        <is>
          <t>Leadership weight</t>
        </is>
      </c>
      <c r="AK6" s="100" t="inlineStr">
        <is>
          <t>Leadership points</t>
        </is>
      </c>
      <c r="AL6" s="100" t="inlineStr">
        <is>
          <t>Exp + Qual rating</t>
        </is>
      </c>
      <c r="AM6" s="100" t="inlineStr">
        <is>
          <t>Exp + Qual weight</t>
        </is>
      </c>
      <c r="AN6" s="100" t="inlineStr">
        <is>
          <t>Exp + Qual points</t>
        </is>
      </c>
      <c r="AO6" s="100" t="inlineStr">
        <is>
          <t>Bus. Impact rating</t>
        </is>
      </c>
      <c r="AP6" s="100" t="inlineStr">
        <is>
          <t>Bus. Impact weight</t>
        </is>
      </c>
      <c r="AQ6" s="100" t="inlineStr">
        <is>
          <t>Bus. Impact points</t>
        </is>
      </c>
      <c r="AR6" s="100" t="inlineStr">
        <is>
          <t>WEIGHTED SCORE = Σ points</t>
        </is>
      </c>
      <c r="AS6" s="100" t="inlineStr">
        <is>
          <t>Level the score indicates</t>
        </is>
      </c>
      <c r="AT6" s="101" t="inlineStr">
        <is>
          <t>Why these weights</t>
        </is>
      </c>
      <c r="AU6" s="102" t="inlineStr">
        <is>
          <t>Calculation</t>
        </is>
      </c>
      <c r="AV6" s="102" t="inlineStr">
        <is>
          <t>Gates, limits &amp; Player-Coach transition steps applied — with the numbers</t>
        </is>
      </c>
      <c r="AW6" s="103" t="inlineStr">
        <is>
          <t>Complexity &amp; Expertise — justification</t>
        </is>
      </c>
      <c r="AX6" s="104" t="inlineStr">
        <is>
          <t>Autonomy &amp; Decision — justification</t>
        </is>
      </c>
      <c r="AY6" s="104" t="inlineStr">
        <is>
          <t>Accountability &amp; Impact — justification</t>
        </is>
      </c>
      <c r="AZ6" s="104" t="inlineStr">
        <is>
          <t>Leadership &amp; Strategy — justification</t>
        </is>
      </c>
      <c r="BA6" s="104" t="inlineStr">
        <is>
          <t>Experience &amp; Qualification — justification</t>
        </is>
      </c>
      <c r="BB6" s="104" t="inlineStr">
        <is>
          <t>Business Impact — justification</t>
        </is>
      </c>
      <c r="BC6" s="105" t="inlineStr">
        <is>
          <t>ADDITIONAL INPUTS NEEDED — what, and who provides it</t>
        </is>
      </c>
      <c r="BD6" s="106" t="inlineStr">
        <is>
          <t>Data used for this person</t>
        </is>
      </c>
      <c r="BE6" s="106" t="inlineStr">
        <is>
          <t>Market standard for this role and level</t>
        </is>
      </c>
      <c r="BF6" s="106" t="inlineStr">
        <is>
          <t>Confidence</t>
        </is>
      </c>
      <c r="BG6" s="106" t="inlineStr">
        <is>
          <t>Points to confirm</t>
        </is>
      </c>
      <c r="BH6" s="106" t="inlineStr">
        <is>
          <t>Player-Coach / calibration flag</t>
        </is>
      </c>
      <c r="BI6" s="107" t="inlineStr">
        <is>
          <t>Current fixed pay · annual CTC</t>
        </is>
      </c>
      <c r="BJ6" s="108" t="inlineStr">
        <is>
          <t>Proposed range — minimum</t>
        </is>
      </c>
      <c r="BK6" s="108" t="inlineStr">
        <is>
          <t>Proposed range — midpoint</t>
        </is>
      </c>
      <c r="BL6" s="108" t="inlineStr">
        <is>
          <t>Proposed range — maximum</t>
        </is>
      </c>
      <c r="BM6" s="108" t="inlineStr">
        <is>
          <t>Compa-ratio</t>
        </is>
      </c>
      <c r="BN6" s="91" t="inlineStr">
        <is>
          <t>Manager validation</t>
        </is>
      </c>
      <c r="BO6" s="92" t="inlineStr">
        <is>
          <t>Manager comment / proposed change</t>
        </is>
      </c>
      <c r="BP6" s="92" t="inlineStr">
        <is>
          <t>HR decision</t>
        </is>
      </c>
      <c r="BQ6" s="92" t="inlineStr">
        <is>
          <t>Approved level</t>
        </is>
      </c>
      <c r="BR6" s="92" t="inlineStr">
        <is>
          <t>Approved designation</t>
        </is>
      </c>
      <c r="BS6" s="92" t="inlineStr">
        <is>
          <t>Pay / title protection · Y/N</t>
        </is>
      </c>
      <c r="BT6" s="92" t="inlineStr">
        <is>
          <t>Reviewer</t>
        </is>
      </c>
      <c r="BU6" s="92" t="inlineStr">
        <is>
          <t>Decision date</t>
        </is>
      </c>
      <c r="BV6" s="92" t="inlineStr">
        <is>
          <t>Bus. Impact — model start</t>
        </is>
      </c>
    </row>
    <row r="7" ht="340" customHeight="1">
      <c r="A7" s="109" t="inlineStr">
        <is>
          <t>IRIS2511</t>
        </is>
      </c>
      <c r="B7" s="110" t="inlineStr">
        <is>
          <t>Muskan Jain</t>
        </is>
      </c>
      <c r="C7" s="111" t="inlineStr">
        <is>
          <t>Marketing</t>
        </is>
      </c>
      <c r="D7" s="111" t="inlineStr">
        <is>
          <t>Sobhan Pramanik</t>
        </is>
      </c>
      <c r="E7" s="112" t="n">
        <v>0.4</v>
      </c>
      <c r="F7" s="112" t="n">
        <v>0.4</v>
      </c>
      <c r="G7" s="111" t="inlineStr">
        <is>
          <t>PGDM</t>
        </is>
      </c>
      <c r="H7" s="113" t="inlineStr">
        <is>
          <t>Marketing Associate</t>
        </is>
      </c>
      <c r="I7" s="114" t="inlineStr">
        <is>
          <t>Content Marketing Associate</t>
        </is>
      </c>
      <c r="J7" s="115" t="inlineStr">
        <is>
          <t>Marketing &amp; Communications</t>
        </is>
      </c>
      <c r="K7" s="115" t="inlineStr">
        <is>
          <t>Content Marketing</t>
        </is>
      </c>
      <c r="L7" s="115" t="inlineStr">
        <is>
          <t>L3 – Professional / Associate</t>
        </is>
      </c>
      <c r="M7" s="116" t="inlineStr">
        <is>
          <t>A2</t>
        </is>
      </c>
      <c r="N7" s="117" t="inlineStr">
        <is>
          <t>Associate</t>
        </is>
      </c>
      <c r="O7" s="26" t="inlineStr">
        <is>
          <t>A</t>
        </is>
      </c>
      <c r="P7" s="115" t="inlineStr">
        <is>
          <t>IC</t>
        </is>
      </c>
      <c r="Q7" s="118" t="inlineStr">
        <is>
          <t>• Same level</t>
        </is>
      </c>
      <c r="R7" s="119" t="inlineStr">
        <is>
          <r>
            <rPr>
              <rFont val="Calibri"/>
              <b val="1"/>
              <sz val="10"/>
            </rPr>
            <t>WHAT THE ROLE DOES:</t>
          </r>
          <r>
            <rPr>
              <rFont val="Calibri"/>
              <sz val="10"/>
            </rPr>
            <t xml:space="preserve"> Writes blogs, web copy, collateral and social content. At A2: standard work delivered independently.
</t>
          </r>
          <r>
            <rPr>
              <rFont val="Calibri"/>
              <b val="1"/>
              <sz val="10"/>
            </rPr>
            <t>Common themes in role-holders' answers:</t>
          </r>
          <r>
            <rPr>
              <rFont val="Calibri"/>
              <sz val="10"/>
            </rPr>
            <t xml:space="preserve"> content · marketing · leads · generate · management · creation
</t>
          </r>
          <r>
            <rPr>
              <rFont val="Calibri"/>
              <b val="1"/>
              <sz val="10"/>
            </rPr>
            <t>KEY RESPONSIBILITIES:</t>
          </r>
          <r>
            <rPr>
              <rFont val="Calibri"/>
              <sz val="10"/>
            </rPr>
            <t xml:space="preserve"> Writes blogs, web copy, collateral and social content; Standard work of the discipline; Own deliverables · accuracy, TAT
</t>
          </r>
          <r>
            <rPr>
              <rFont val="Calibri"/>
              <b val="1"/>
              <sz val="10"/>
            </rPr>
            <t>Common themes in role-holders' answers:</t>
          </r>
          <r>
            <rPr>
              <rFont val="Calibri"/>
              <sz val="10"/>
            </rPr>
            <t xml:space="preserve"> content · blogs · week · campaign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marketing · content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content · accountable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Marketing · Research skills
</t>
          </r>
          <r>
            <rPr>
              <rFont val="Calibri"/>
              <b val="1"/>
              <sz val="10"/>
            </rPr>
            <t>TOOLS &amp; SYSTEMS:</t>
          </r>
          <r>
            <rPr>
              <rFont val="Calibri"/>
              <sz val="10"/>
            </rPr>
            <t xml:space="preserve"> Canva · Hubspot · Semrush · Buffer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5 holders, 5 answered the survey; sub-family 8 answered; catalogue RC-111</t>
          </r>
        </is>
      </c>
      <c r="S7"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ranking.
Manager talent mapping — Latest rating: Not rated · manager · Potential: Medium · 9-Box Grid placement: Core Contributor.</t>
          </r>
        </is>
      </c>
      <c r="T7" s="121" t="n"/>
      <c r="U7" s="122" t="inlineStr">
        <is>
          <r>
            <rPr>
              <rFont val="Calibri"/>
              <sz val="10"/>
            </rPr>
            <t xml:space="preserve">Content Marketing Associate in Marketing · iDEAL, A2 — IC.
</t>
          </r>
          <r>
            <rPr>
              <rFont val="Calibri"/>
              <b val="1"/>
              <sz val="10"/>
            </rPr>
            <t>The work:</t>
          </r>
          <r>
            <rPr>
              <rFont val="Calibri"/>
              <sz val="10"/>
            </rPr>
            <t xml:space="preserve"> Writes blogs, web copy, collateral and social content.
At this level the role owns standard work delivered independently.
</t>
          </r>
          <r>
            <rPr>
              <rFont val="Calibri"/>
              <b val="1"/>
              <sz val="10"/>
            </rPr>
            <t>Key responsibilities:</t>
          </r>
          <r>
            <rPr>
              <rFont val="Calibri"/>
              <sz val="10"/>
            </rPr>
            <t xml:space="preserve"> Writes blogs, web copy, collateral and social content; Standard work of the discipline; Own deliverables · accuracy, TAT.
</t>
          </r>
          <r>
            <rPr>
              <rFont val="Calibri"/>
              <b val="1"/>
              <sz val="10"/>
            </rPr>
            <t>Holders describe it with:</t>
          </r>
          <r>
            <rPr>
              <rFont val="Calibri"/>
              <sz val="10"/>
            </rPr>
            <t xml:space="preserve"> content · blogs · week · campaign.</t>
          </r>
        </is>
      </c>
      <c r="V7" s="123" t="inlineStr">
        <is>
          <r>
            <rPr>
              <rFont val="Calibri"/>
              <b val="1"/>
              <sz val="10"/>
            </rPr>
            <t>Hire as:</t>
          </r>
          <r>
            <rPr>
              <rFont val="Calibri"/>
              <sz val="10"/>
            </rPr>
            <t xml:space="preserve"> Marketing Associate / Marketing Executive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 MBA · marketing
</t>
          </r>
          <r>
            <rPr>
              <rFont val="Calibri"/>
              <b val="1"/>
              <sz val="10"/>
            </rPr>
            <t>Equivalent titles at peers:</t>
          </r>
          <r>
            <rPr>
              <rFont val="Calibri"/>
              <sz val="10"/>
            </rPr>
            <t xml:space="preserve"> IRIS Vs Market Benchmark — CIM proficiency scale – 2 Active learner · IRIS Vs Competitor Benchmark — SaaS marketing ladder – Marketing Associate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7" s="123" t="inlineStr">
        <is>
          <r>
            <rPr>
              <rFont val="Calibri"/>
              <sz val="10"/>
            </rPr>
            <t xml:space="preserve">FUNCTIONAL — skill level 2 of 5 · Working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Research skills
</t>
          </r>
          <r>
            <rPr>
              <rFont val="Calibri"/>
              <b val="1"/>
              <sz val="10"/>
            </rPr>
            <t>TOOLS:</t>
          </r>
          <r>
            <rPr>
              <rFont val="Calibri"/>
              <sz val="10"/>
            </rPr>
            <t xml:space="preserve"> Canva · Hubspot · Semrush · Buffer
★ = must-have for the family. Scale: 1 Awareness · 2 Working · 3 Practitioner · 4 Advanced · 5 Expert.</t>
          </r>
        </is>
      </c>
      <c r="X7" s="123" t="inlineStr">
        <is>
          <r>
            <rPr>
              <rFont val="Calibri"/>
              <sz val="10"/>
            </rPr>
            <t xml:space="preserve">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7" s="124" t="inlineStr">
        <is>
          <t>iDEAL · Marketing · Band A · Early career</t>
        </is>
      </c>
      <c r="Z7" s="125" t="n">
        <v>2</v>
      </c>
      <c r="AA7" s="126">
        <f>IFERROR(INDEX(WM_C,MATCH($Y7,WM_KEY,0)),"")</f>
        <v>0.54</v>
      </c>
      <c r="AB7" s="127">
        <f>IF(Z7="","",Z7*AA7)</f>
        <v>1.08</v>
      </c>
      <c r="AC7" s="125" t="n">
        <v>2</v>
      </c>
      <c r="AD7" s="126">
        <f>IFERROR(INDEX(WM_AU,MATCH($Y7,WM_KEY,0)),"")</f>
        <v>0.21</v>
      </c>
      <c r="AE7" s="127">
        <f>IF(AC7="","",AC7*AD7)</f>
        <v>0.42</v>
      </c>
      <c r="AF7" s="125" t="n">
        <v>2.5</v>
      </c>
      <c r="AG7" s="126">
        <f>IFERROR(INDEX(WM_AC,MATCH($Y7,WM_KEY,0)),"")</f>
        <v>0.04</v>
      </c>
      <c r="AH7" s="127">
        <f>IF(AF7="","",AF7*AG7)</f>
        <v>0.1</v>
      </c>
      <c r="AI7" s="125" t="n">
        <v>1</v>
      </c>
      <c r="AJ7" s="126">
        <f>IFERROR(INDEX(WM_L,MATCH($Y7,WM_KEY,0)),"")</f>
        <v>0</v>
      </c>
      <c r="AK7" s="127">
        <f>IF(AI7="","",AI7*AJ7)</f>
        <v>0</v>
      </c>
      <c r="AL7" s="125" t="n">
        <v>2</v>
      </c>
      <c r="AM7" s="126">
        <f>IFERROR(INDEX(WM_E,MATCH($Y7,WM_KEY,0)),"")</f>
        <v>0.1</v>
      </c>
      <c r="AN7" s="127">
        <f>IF(AL7="","",AL7*AM7)</f>
        <v>0.2</v>
      </c>
      <c r="AO7" s="128" t="n">
        <v>2.5</v>
      </c>
      <c r="AP7" s="126">
        <f>IFERROR(INDEX(WM_BI,MATCH($Y7,WM_KEY,0)),"")</f>
        <v>0.11</v>
      </c>
      <c r="AQ7" s="127">
        <f>IF(AO7="","",AO7*AP7)</f>
        <v>0.275</v>
      </c>
      <c r="AR7" s="127">
        <f>IF(COUNT(AB7,AE7,AH7,AK7,AN7,AQ7)&lt;6,"",SUM(AB7,AE7,AH7,AK7,AN7,AQ7))</f>
        <v>2.075</v>
      </c>
      <c r="AS7" s="129" t="str">
        <f>IF(AR7="","",INDEX({"A1","A2","A3","B1","B2","B3","C1","C2","D1","D2","E1","E2"},MAX(1,MIN(12,ROUND(AR7,0)))))</f>
        <v>A2</v>
      </c>
      <c r="AT7"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7" s="131" t="inlineStr">
        <is>
          <r>
            <rPr>
              <rFont val="Calibri"/>
              <b val="1"/>
              <sz val="10"/>
            </rPr>
            <t>At build:</t>
          </r>
          <r>
            <rPr>
              <rFont val="Calibri"/>
              <sz val="10"/>
            </rPr>
            <t xml:space="preserve"> Complexity 1.08 + Autonomy 0.42 + Accountability 0.10 + Leadership 0.00 + Experience 0.20 + Business impact 0.28
= 2.08 points → nearest level 2 = A2
</t>
          </r>
          <r>
            <rPr>
              <rFont val="Calibri"/>
              <b val="1"/>
              <sz val="10"/>
            </rPr>
            <t>Final level:</t>
          </r>
          <r>
            <rPr>
              <rFont val="Calibri"/>
              <sz val="10"/>
            </rPr>
            <t xml:space="preserve"> A2 · same as the score</t>
          </r>
        </is>
      </c>
      <c r="AV7" s="131" t="inlineStr">
        <is>
          <r>
            <rPr>
              <rFont val="Calibri"/>
              <b val="1"/>
              <sz val="10"/>
            </rPr>
            <t>No rule applied:</t>
          </r>
          <r>
            <rPr>
              <rFont val="Calibri"/>
              <sz val="10"/>
            </rPr>
            <t xml:space="preserve"> the score decides.</t>
          </r>
        </is>
      </c>
      <c r="AW7"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Writes blogs, ebooks, infographics, decks and brochures and optimises content for iDEAL's bank audience → matches the start
</t>
          </r>
          <r>
            <rPr>
              <rFont val="Calibri"/>
              <b val="1"/>
              <sz val="10"/>
            </rPr>
            <t>Market:</t>
          </r>
          <r>
            <rPr>
              <rFont val="Calibri"/>
              <sz val="10"/>
            </rPr>
            <t xml:space="preserve"> A2 = Standard work of the discipline</t>
          </r>
        </is>
      </c>
      <c r="AX7" s="133"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own calendars, trackers and decks → matches the start
</t>
          </r>
          <r>
            <rPr>
              <rFont val="Calibri"/>
              <b val="1"/>
              <sz val="10"/>
            </rPr>
            <t>Market:</t>
          </r>
          <r>
            <rPr>
              <rFont val="Calibri"/>
              <sz val="10"/>
            </rPr>
            <t xml:space="preserve"> A2 = Chooses own approach within standards</t>
          </r>
        </is>
      </c>
      <c r="AY7" s="133"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Accountable for all bank / financial-institution content: website, social media, client decks → moved up 0.5
</t>
          </r>
          <r>
            <rPr>
              <rFont val="Calibri"/>
              <b val="1"/>
              <sz val="10"/>
            </rPr>
            <t>Market:</t>
          </r>
          <r>
            <rPr>
              <rFont val="Calibri"/>
              <sz val="10"/>
            </rPr>
            <t xml:space="preserve"> A2 = Own deliverables · accuracy, TAT · A3 = A module / process, or work with client or regulatory consequences</t>
          </r>
        </is>
      </c>
      <c r="AZ7" s="133"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7" s="133" t="inlineStr">
        <is>
          <r>
            <rPr>
              <rFont val="Calibri"/>
              <sz val="10"/>
            </rPr>
            <t xml:space="preserve">Rated 2 of 12
</t>
          </r>
          <r>
            <rPr>
              <rFont val="Calibri"/>
              <b val="1"/>
              <sz val="10"/>
            </rPr>
            <t>Experience:</t>
          </r>
          <r>
            <rPr>
              <rFont val="Calibri"/>
              <sz val="10"/>
            </rPr>
            <t xml:space="preserve"> 0.4 yrs total · 0.4 at IRIS; none recorded before IRIS = 1.4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A2 roles typically have 0–3 yrs · IRIS guide 0–2</t>
          </r>
        </is>
      </c>
      <c r="BB7" s="133"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7" s="134" t="inlineStr"/>
      <c r="BD7" s="135" t="inlineStr">
        <is>
          <t>✓ HRIS: 0.4 yrs, PGDM, 0 direct reports
✓ Survey: 20 of 20 questions answered
✓ KRAs: reported deliverables
✓ Manager mapping: rating, potential, 9-box
✓ Job description</t>
        </is>
      </c>
      <c r="BE7" s="135"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BF7" s="135" t="inlineStr">
        <is>
          <t>High</t>
        </is>
      </c>
      <c r="BG7" s="135" t="inlineStr"/>
      <c r="BH7" s="135" t="inlineStr"/>
      <c r="BI7" s="136" t="n"/>
      <c r="BJ7" s="137" t="n"/>
      <c r="BK7" s="137" t="n"/>
      <c r="BL7" s="137" t="n"/>
      <c r="BM7" s="137" t="n"/>
      <c r="BN7" s="138" t="n"/>
      <c r="BO7" s="121" t="n"/>
      <c r="BP7" s="121" t="n"/>
      <c r="BQ7" s="121" t="n"/>
      <c r="BR7" s="121" t="n"/>
      <c r="BS7" s="121" t="n"/>
      <c r="BT7" s="121" t="n"/>
      <c r="BU7" s="121" t="n"/>
      <c r="BV7" s="121" t="n">
        <v>2.5</v>
      </c>
    </row>
    <row r="8" ht="340" customHeight="1">
      <c r="A8" s="109" t="inlineStr">
        <is>
          <t>IRIS0971</t>
        </is>
      </c>
      <c r="B8" s="110" t="inlineStr">
        <is>
          <t>Dnyaneshwar Daund</t>
        </is>
      </c>
      <c r="C8" s="111" t="inlineStr">
        <is>
          <t>Product Management</t>
        </is>
      </c>
      <c r="D8" s="111" t="inlineStr">
        <is>
          <t>Hemant Karale</t>
        </is>
      </c>
      <c r="E8" s="112" t="n">
        <v>16.2</v>
      </c>
      <c r="F8" s="112" t="n">
        <v>15</v>
      </c>
      <c r="G8" s="111" t="inlineStr">
        <is>
          <t>MMS</t>
        </is>
      </c>
      <c r="H8" s="139" t="inlineStr">
        <is>
          <t>Product Manager</t>
        </is>
      </c>
      <c r="I8" s="115" t="inlineStr">
        <is>
          <t>Product Manager</t>
        </is>
      </c>
      <c r="J8" s="115" t="inlineStr">
        <is>
          <t>Product Management</t>
        </is>
      </c>
      <c r="K8" s="115" t="inlineStr">
        <is>
          <t>Product Management</t>
        </is>
      </c>
      <c r="L8" s="115" t="inlineStr">
        <is>
          <t>L5 – Manager</t>
        </is>
      </c>
      <c r="M8" s="140" t="inlineStr">
        <is>
          <t>B2</t>
        </is>
      </c>
      <c r="N8" s="18" t="inlineStr">
        <is>
          <t>Manager</t>
        </is>
      </c>
      <c r="O8" s="20" t="inlineStr">
        <is>
          <t>B</t>
        </is>
      </c>
      <c r="P8" s="115" t="inlineStr">
        <is>
          <t>People Manager</t>
        </is>
      </c>
      <c r="Q8" s="118" t="inlineStr">
        <is>
          <t>• Same level</t>
        </is>
      </c>
      <c r="R8" s="119" t="inlineStr">
        <is>
          <r>
            <rPr>
              <rFont val="Calibri"/>
              <b val="1"/>
              <sz val="10"/>
            </rPr>
            <t>WHAT THE ROLE DOES:</t>
          </r>
          <r>
            <rPr>
              <rFont val="Calibri"/>
              <sz val="10"/>
            </rPr>
            <t xml:space="preserve"> Owns product vision, roadmap, requirements · PRDs, prioritisation and adoption. At B2: deep domain expertise, or one team.
</t>
          </r>
          <r>
            <rPr>
              <rFont val="Calibri"/>
              <b val="1"/>
              <sz val="10"/>
            </rPr>
            <t>Common themes in role-holders' answers:</t>
          </r>
          <r>
            <rPr>
              <rFont val="Calibri"/>
              <sz val="10"/>
            </rPr>
            <t xml:space="preserve"> product · market · delivery · business · revenue
</t>
          </r>
          <r>
            <rPr>
              <rFont val="Calibri"/>
              <b val="1"/>
              <sz val="10"/>
            </rPr>
            <t>KEY RESPONSIBILITIES:</t>
          </r>
          <r>
            <rPr>
              <rFont val="Calibri"/>
              <sz val="10"/>
            </rPr>
            <t xml:space="preserve"> Owns product vision, roadmap, requirements · PRDs, prioritisation and adoption; Hardest problems in the domain; One team or a client portfolio
</t>
          </r>
          <r>
            <rPr>
              <rFont val="Calibri"/>
              <b val="1"/>
              <sz val="10"/>
            </rPr>
            <t>Common themes in role-holders' answers:</t>
          </r>
          <r>
            <rPr>
              <rFont val="Calibri"/>
              <sz val="10"/>
            </rPr>
            <t xml:space="preserve"> product · implementation · client · management · delivery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product · revenue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product · quality · delivery · revenue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research
</t>
          </r>
          <r>
            <rPr>
              <rFont val="Calibri"/>
              <b val="1"/>
              <sz val="10"/>
            </rPr>
            <t>SKILLS &amp; KNOWLEDGE · role-holders:</t>
          </r>
          <r>
            <rPr>
              <rFont val="Calibri"/>
              <sz val="10"/>
            </rPr>
            <t xml:space="preserve"> Product management
</t>
          </r>
          <r>
            <rPr>
              <rFont val="Calibri"/>
              <b val="1"/>
              <sz val="10"/>
            </rPr>
            <t>MANAGER-SET KRAs:</t>
          </r>
          <r>
            <rPr>
              <rFont val="Calibri"/>
              <sz val="10"/>
            </rPr>
            <t xml:space="preserve"> Common themes in manager-set KRAs: development participation · cash · market requirements · tech learning · support organizational · profitability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 role-holders' themes · 3+ answered — 4 holders, 4 answered the survey; sub-family 13 answered; catalogue RC-127</t>
          </r>
        </is>
      </c>
      <c r="S8"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5 direct reports.
</t>
          </r>
          <r>
            <rPr>
              <rFont val="Calibri"/>
              <b val="1"/>
              <sz val="10"/>
            </rPr>
            <t>If the work is missed · role-holders' themes:</t>
          </r>
          <r>
            <rPr>
              <rFont val="Calibri"/>
              <sz val="10"/>
            </rPr>
            <t xml:space="preserve"> delays · client · revenue.
</t>
          </r>
          <r>
            <rPr>
              <rFont val="Calibri"/>
              <b val="1"/>
              <sz val="10"/>
            </rPr>
            <t>Measured on · manager-set KRA themes:</t>
          </r>
          <r>
            <rPr>
              <rFont val="Calibri"/>
              <sz val="10"/>
            </rPr>
            <t xml:space="preserve"> development participation · cash · market requirements · tech learning · support organizational · profitability.
Manager talent mapping — Latest rating: 5 · 9-Box Grid placement: Not placed · manager.</t>
          </r>
        </is>
      </c>
      <c r="T8" s="121" t="n"/>
      <c r="U8" s="122" t="inlineStr">
        <is>
          <r>
            <rPr>
              <rFont val="Calibri"/>
              <sz val="10"/>
            </rPr>
            <t xml:space="preserve">Product Manager in Product Management · iDEAL, B2 — People Manager.
</t>
          </r>
          <r>
            <rPr>
              <rFont val="Calibri"/>
              <b val="1"/>
              <sz val="10"/>
            </rPr>
            <t>The work:</t>
          </r>
          <r>
            <rPr>
              <rFont val="Calibri"/>
              <sz val="10"/>
            </rPr>
            <t xml:space="preserve"> Owns product vision, roadmap, requirements · PRDs, prioritisation and adoption.
At this level the role owns deep domain expertise, or one team.
</t>
          </r>
          <r>
            <rPr>
              <rFont val="Calibri"/>
              <b val="1"/>
              <sz val="10"/>
            </rPr>
            <t>Key responsibilities:</t>
          </r>
          <r>
            <rPr>
              <rFont val="Calibri"/>
              <sz val="10"/>
            </rPr>
            <t xml:space="preserve"> Owns product vision, roadmap, requirements · PRDs, prioritisation and adoption; Hardest problems in the domain; One team or a client portfolio.
</t>
          </r>
          <r>
            <rPr>
              <rFont val="Calibri"/>
              <b val="1"/>
              <sz val="10"/>
            </rPr>
            <t>Holders describe it with:</t>
          </r>
          <r>
            <rPr>
              <rFont val="Calibri"/>
              <sz val="10"/>
            </rPr>
            <t xml:space="preserve"> product · implementation · client · management · delivery.
Leads 5 direct reports.</t>
          </r>
        </is>
      </c>
      <c r="V8" s="123"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MBA / PGDM preferred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SaaS product ladder – Senior PM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8" s="123" t="inlineStr">
        <is>
          <r>
            <rPr>
              <rFont val="Calibri"/>
              <sz val="10"/>
            </rPr>
            <t xml:space="preserve">FUNCTIONAL — skill level 4 of 5 · Advanced
 ★ Product, Platform &amp; Domain Knowledge: Recognised product / domain expert; trains others
 ★ Business Analysis &amp; Requirements Engineering: Leads complex requirement programmes; sets BA standards
 • </t>
          </r>
          <r>
            <rPr>
              <rFont val="Calibri"/>
              <b val="1"/>
              <sz val="10"/>
            </rPr>
            <t>Data Analytics, BI &amp; Visualisation:</t>
          </r>
          <r>
            <rPr>
              <rFont val="Calibri"/>
              <sz val="10"/>
            </rPr>
            <t xml:space="preserve"> Defines metrics and analytics approach for a business
 • </t>
          </r>
          <r>
            <rPr>
              <rFont val="Calibri"/>
              <b val="1"/>
              <sz val="10"/>
            </rPr>
            <t>Strategic Thinking &amp; Business Acumen:</t>
          </r>
          <r>
            <rPr>
              <rFont val="Calibri"/>
              <sz val="10"/>
            </rPr>
            <t xml:space="preserve"> Shapes strategy, pricing or investment choices
 • </t>
          </r>
          <r>
            <rPr>
              <rFont val="Calibri"/>
              <b val="1"/>
              <sz val="10"/>
            </rPr>
            <t>Stakeholder &amp; Client Management:</t>
          </r>
          <r>
            <rPr>
              <rFont val="Calibri"/>
              <sz val="10"/>
            </rPr>
            <t xml:space="preserve"> Owns key relationships; resolves escalations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Product management
★ = must-have for the family. Scale: 1 Awareness · 2 Working · 3 Practitioner · 4 Advanced · 5 Expert.</t>
          </r>
        </is>
      </c>
      <c r="X8" s="123"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8" s="124" t="inlineStr">
        <is>
          <t>iDEAL · Product Management · Band B · People Manager</t>
        </is>
      </c>
      <c r="Z8" s="125" t="n">
        <v>4.5</v>
      </c>
      <c r="AA8" s="126">
        <f>IFERROR(INDEX(WM_C,MATCH($Y8,WM_KEY,0)),"")</f>
        <v>0.32</v>
      </c>
      <c r="AB8" s="127">
        <f>IF(Z8="","",Z8*AA8)</f>
        <v>1.44</v>
      </c>
      <c r="AC8" s="125" t="n">
        <v>4.5</v>
      </c>
      <c r="AD8" s="126">
        <f>IFERROR(INDEX(WM_AU,MATCH($Y8,WM_KEY,0)),"")</f>
        <v>0.23</v>
      </c>
      <c r="AE8" s="127">
        <f>IF(AC8="","",AC8*AD8)</f>
        <v>1.035</v>
      </c>
      <c r="AF8" s="125" t="n">
        <v>5</v>
      </c>
      <c r="AG8" s="126">
        <f>IFERROR(INDEX(WM_AC,MATCH($Y8,WM_KEY,0)),"")</f>
        <v>0.11</v>
      </c>
      <c r="AH8" s="127">
        <f>IF(AF8="","",AF8*AG8)</f>
        <v>0.55</v>
      </c>
      <c r="AI8" s="125" t="n">
        <v>4</v>
      </c>
      <c r="AJ8" s="126">
        <f>IFERROR(INDEX(WM_L,MATCH($Y8,WM_KEY,0)),"")</f>
        <v>0.15</v>
      </c>
      <c r="AK8" s="127">
        <f>IF(AI8="","",AI8*AJ8)</f>
        <v>0.6</v>
      </c>
      <c r="AL8" s="125" t="n">
        <v>9</v>
      </c>
      <c r="AM8" s="126">
        <f>IFERROR(INDEX(WM_E,MATCH($Y8,WM_KEY,0)),"")</f>
        <v>0.1</v>
      </c>
      <c r="AN8" s="127">
        <f>IF(AL8="","",AL8*AM8)</f>
        <v>0.9</v>
      </c>
      <c r="AO8" s="128" t="n">
        <v>5</v>
      </c>
      <c r="AP8" s="126">
        <f>IFERROR(INDEX(WM_BI,MATCH($Y8,WM_KEY,0)),"")</f>
        <v>0.09</v>
      </c>
      <c r="AQ8" s="127">
        <f>IF(AO8="","",AO8*AP8)</f>
        <v>0.45</v>
      </c>
      <c r="AR8" s="127">
        <f>IF(COUNT(AB8,AE8,AH8,AK8,AN8,AQ8)&lt;6,"",SUM(AB8,AE8,AH8,AK8,AN8,AQ8))</f>
        <v>4.975</v>
      </c>
      <c r="AS8" s="129" t="str">
        <f>IF(AR8="","",INDEX({"A1","A2","A3","B1","B2","B3","C1","C2","D1","D2","E1","E2"},MAX(1,MIN(12,ROUND(AR8,0)))))</f>
        <v>B2</v>
      </c>
      <c r="AT8" s="130" t="inlineStr">
        <is>
          <r>
            <rPr>
              <rFont val="Calibri"/>
              <b val="1"/>
              <sz val="10"/>
            </rPr>
            <t>Weights:</t>
          </r>
          <r>
            <rPr>
              <rFont val="Calibri"/>
              <sz val="10"/>
            </rPr>
            <t xml:space="preserve"> Complexity 32% · Autonomy 23% · Leadership 15% · Accountability 11%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t>
          </r>
        </is>
      </c>
      <c r="AU8" s="131" t="inlineStr">
        <is>
          <r>
            <rPr>
              <rFont val="Calibri"/>
              <b val="1"/>
              <sz val="10"/>
            </rPr>
            <t>At build:</t>
          </r>
          <r>
            <rPr>
              <rFont val="Calibri"/>
              <sz val="10"/>
            </rPr>
            <t xml:space="preserve"> Complexity 1.44 + Autonomy 1.04 + Accountability 0.55 + Leadership 0.60 + Experience 0.90 + Business impact 0.45
= 4.97 points → nearest level 5 = B2
</t>
          </r>
          <r>
            <rPr>
              <rFont val="Calibri"/>
              <b val="1"/>
              <sz val="10"/>
            </rPr>
            <t>Final level:</t>
          </r>
          <r>
            <rPr>
              <rFont val="Calibri"/>
              <sz val="10"/>
            </rPr>
            <t xml:space="preserve"> B2 · same as the score</t>
          </r>
        </is>
      </c>
      <c r="AV8" s="131" t="inlineStr">
        <is>
          <r>
            <rPr>
              <rFont val="Calibri"/>
              <b val="1"/>
              <sz val="10"/>
            </rPr>
            <t>No rule applied:</t>
          </r>
          <r>
            <rPr>
              <rFont val="Calibri"/>
              <sz val="10"/>
            </rPr>
            <t xml:space="preserve"> the score decides.</t>
          </r>
        </is>
      </c>
      <c r="AW8"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Researches regulatory mandates, translates them into product requirements, delivers and implements across several regions → moved down 0.5
</t>
          </r>
          <r>
            <rPr>
              <rFont val="Calibri"/>
              <b val="1"/>
              <sz val="10"/>
            </rPr>
            <t>KRA:</t>
          </r>
          <r>
            <rPr>
              <rFont val="Calibri"/>
              <sz val="10"/>
            </rPr>
            <t xml:space="preserve"> “1. Manage CIMS Report development and delivery with less than 4 defects/ Escalations in a year 2. Manage EBR Report development and…”
</t>
          </r>
          <r>
            <rPr>
              <rFont val="Calibri"/>
              <b val="1"/>
              <sz val="10"/>
            </rPr>
            <t>Market:</t>
          </r>
          <r>
            <rPr>
              <rFont val="Calibri"/>
              <sz val="10"/>
            </rPr>
            <t xml:space="preserve"> B1 = Domain specialist work · B2 = Hardest problems in the domain</t>
          </r>
        </is>
      </c>
      <c r="AX8" s="133"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Decides on new mandate research and iDEAL opportunities; work prioritisation and client problem-solving → moved down 0.5
</t>
          </r>
          <r>
            <rPr>
              <rFont val="Calibri"/>
              <b val="1"/>
              <sz val="10"/>
            </rPr>
            <t>Market:</t>
          </r>
          <r>
            <rPr>
              <rFont val="Calibri"/>
              <sz val="10"/>
            </rPr>
            <t xml:space="preserve"> B1 = Technical / QC / client calls for the domain · B2 = Allocates people and sets team priorities</t>
          </r>
        </is>
      </c>
      <c r="AY8" s="133" t="inlineStr">
        <is>
          <r>
            <rPr>
              <rFont val="Calibri"/>
              <sz val="10"/>
            </rPr>
            <t xml:space="preserve">Rated 5 of 12
</t>
          </r>
          <r>
            <rPr>
              <rFont val="Calibri"/>
              <b val="1"/>
              <sz val="10"/>
            </rPr>
            <t>Start:</t>
          </r>
          <r>
            <rPr>
              <rFont val="Calibri"/>
              <sz val="10"/>
            </rPr>
            <t xml:space="preserve"> 4.5 · manager / senior specialist title; 5 direct reports, 6 people below
</t>
          </r>
          <r>
            <rPr>
              <rFont val="Calibri"/>
              <b val="1"/>
              <sz val="10"/>
            </rPr>
            <t>Evidence reads like B2:</t>
          </r>
          <r>
            <rPr>
              <rFont val="Calibri"/>
              <sz val="10"/>
            </rPr>
            <t xml:space="preserve"> Accountable for on-time delivery and implementation, report accuracy and the team's support quality → moved up 0.5
</t>
          </r>
          <r>
            <rPr>
              <rFont val="Calibri"/>
              <b val="1"/>
              <sz val="10"/>
            </rPr>
            <t>KRA:</t>
          </r>
          <r>
            <rPr>
              <rFont val="Calibri"/>
              <sz val="10"/>
            </rPr>
            <t xml:space="preserve"> “1. Manage CIMS Report development and delivery with less than 4 defects/ Escalations in a year 2. Manage EBR Report development and…”
</t>
          </r>
          <r>
            <rPr>
              <rFont val="Calibri"/>
              <b val="1"/>
              <sz val="10"/>
            </rPr>
            <t>Market:</t>
          </r>
          <r>
            <rPr>
              <rFont val="Calibri"/>
              <sz val="10"/>
            </rPr>
            <t xml:space="preserve"> B2 = One team or a client portfolio</t>
          </r>
        </is>
      </c>
      <c r="AZ8" s="133"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Team management and grooming listed; five direct reports → matches the start
</t>
          </r>
          <r>
            <rPr>
              <rFont val="Calibri"/>
              <b val="1"/>
              <sz val="10"/>
            </rPr>
            <t>Team:</t>
          </r>
          <r>
            <rPr>
              <rFont val="Calibri"/>
              <sz val="10"/>
            </rPr>
            <t xml:space="preserve"> 5 direct reports · People Manager
</t>
          </r>
          <r>
            <rPr>
              <rFont val="Calibri"/>
              <b val="1"/>
              <sz val="10"/>
            </rPr>
            <t>Market:</t>
          </r>
          <r>
            <rPr>
              <rFont val="Calibri"/>
              <sz val="10"/>
            </rPr>
            <t xml:space="preserve"> B1 = IC: mentors and reviews · People: hands-on team lead of 3–5</t>
          </r>
        </is>
      </c>
      <c r="BA8" s="133" t="inlineStr">
        <is>
          <r>
            <rPr>
              <rFont val="Calibri"/>
              <sz val="10"/>
            </rPr>
            <t xml:space="preserve">Rated 9 of 12
</t>
          </r>
          <r>
            <rPr>
              <rFont val="Calibri"/>
              <b val="1"/>
              <sz val="10"/>
            </rPr>
            <t>Experience:</t>
          </r>
          <r>
            <rPr>
              <rFont val="Calibri"/>
              <sz val="10"/>
            </rPr>
            <t xml:space="preserve"> 16.2 yrs total · 1.2 before IRIS + 15.0 at IRIS = 8.6 on the experience scale
</t>
          </r>
          <r>
            <rPr>
              <rFont val="Calibri"/>
              <b val="1"/>
              <sz val="10"/>
            </rPr>
            <t>Qualification:</t>
          </r>
          <r>
            <rPr>
              <rFont val="Calibri"/>
              <sz val="10"/>
            </rPr>
            <t xml:space="preserve"> MMS · postgraduate, relevant to the work → +0.5
</t>
          </r>
          <r>
            <rPr>
              <rFont val="Calibri"/>
              <b val="1"/>
              <sz val="10"/>
            </rPr>
            <t>Market:</t>
          </r>
          <r>
            <rPr>
              <rFont val="Calibri"/>
              <sz val="10"/>
            </rPr>
            <t xml:space="preserve"> B2 roles typically have 6–10 yrs · IRIS guide 6–9</t>
          </r>
        </is>
      </c>
      <c r="BB8" s="133" t="inlineStr">
        <is>
          <r>
            <rPr>
              <rFont val="Calibri"/>
              <sz val="10"/>
            </rPr>
            <t xml:space="preserve">Rated 5 of 12 — a starting estimate.
</t>
          </r>
          <r>
            <rPr>
              <rFont val="Calibri"/>
              <b val="1"/>
              <sz val="10"/>
            </rPr>
            <t>Start:</t>
          </r>
          <r>
            <rPr>
              <rFont val="Calibri"/>
              <sz val="10"/>
            </rPr>
            <t xml:space="preserve"> 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8" s="134" t="inlineStr"/>
      <c r="BD8" s="135" t="inlineStr">
        <is>
          <t>✓ HRIS: 16.2 yrs, MMS, 5 direct reports
✓ Survey: 20 of 20 questions answered
✓ KRAs: self, manager-set, quarterly
✓ Manager mapping: rating, 9-box — filled from talent-mapping files: rating · tentative Q1
✗ Job description: not on file</t>
        </is>
      </c>
      <c r="BE8" s="135"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SaaS product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Pragmatic Institute Framework; AIPMM</t>
          </r>
        </is>
      </c>
      <c r="BF8" s="135" t="inlineStr">
        <is>
          <t>High</t>
        </is>
      </c>
      <c r="BG8" s="135" t="inlineStr"/>
      <c r="BH8" s="135" t="inlineStr"/>
      <c r="BI8" s="136" t="n"/>
      <c r="BJ8" s="137" t="n"/>
      <c r="BK8" s="137" t="n"/>
      <c r="BL8" s="137" t="n"/>
      <c r="BM8" s="137" t="n"/>
      <c r="BN8" s="138" t="n"/>
      <c r="BO8" s="121" t="n"/>
      <c r="BP8" s="121" t="n"/>
      <c r="BQ8" s="121" t="n"/>
      <c r="BR8" s="121" t="n"/>
      <c r="BS8" s="121" t="n"/>
      <c r="BT8" s="121" t="n"/>
      <c r="BU8" s="121" t="n"/>
      <c r="BV8" s="121" t="n">
        <v>5</v>
      </c>
    </row>
    <row r="9" ht="340" customHeight="1">
      <c r="A9" s="109" t="inlineStr">
        <is>
          <t>IRIS1158</t>
        </is>
      </c>
      <c r="B9" s="110" t="inlineStr">
        <is>
          <t>Yuvraj Kharchane</t>
        </is>
      </c>
      <c r="C9" s="111" t="inlineStr">
        <is>
          <t>Product Management</t>
        </is>
      </c>
      <c r="D9" s="111" t="inlineStr">
        <is>
          <t>Hemant Karale</t>
        </is>
      </c>
      <c r="E9" s="112" t="n">
        <v>14.3</v>
      </c>
      <c r="F9" s="112" t="n">
        <v>14.3</v>
      </c>
      <c r="G9" s="111" t="inlineStr">
        <is>
          <t>MBA</t>
        </is>
      </c>
      <c r="H9" s="139" t="inlineStr">
        <is>
          <t>Product Manager</t>
        </is>
      </c>
      <c r="I9" s="115" t="inlineStr">
        <is>
          <t>Product Manager</t>
        </is>
      </c>
      <c r="J9" s="115" t="inlineStr">
        <is>
          <t>Product Management</t>
        </is>
      </c>
      <c r="K9" s="115" t="inlineStr">
        <is>
          <t>Product Management</t>
        </is>
      </c>
      <c r="L9" s="115" t="inlineStr">
        <is>
          <t>L5 – Manager</t>
        </is>
      </c>
      <c r="M9" s="140" t="inlineStr">
        <is>
          <t>B2</t>
        </is>
      </c>
      <c r="N9" s="18" t="inlineStr">
        <is>
          <t>Manager</t>
        </is>
      </c>
      <c r="O9" s="20" t="inlineStr">
        <is>
          <t>B</t>
        </is>
      </c>
      <c r="P9" s="115" t="inlineStr">
        <is>
          <t>People Manager</t>
        </is>
      </c>
      <c r="Q9" s="118" t="inlineStr">
        <is>
          <t>• Same level</t>
        </is>
      </c>
      <c r="R9" s="119" t="inlineStr">
        <is>
          <r>
            <rPr>
              <rFont val="Calibri"/>
              <b val="1"/>
              <sz val="10"/>
            </rPr>
            <t>WHAT THE ROLE DOES:</t>
          </r>
          <r>
            <rPr>
              <rFont val="Calibri"/>
              <sz val="10"/>
            </rPr>
            <t xml:space="preserve"> Owns product vision, roadmap, requirements · PRDs, prioritisation and adoption. At B2: deep domain expertise, or one team.
</t>
          </r>
          <r>
            <rPr>
              <rFont val="Calibri"/>
              <b val="1"/>
              <sz val="10"/>
            </rPr>
            <t>Common themes in role-holders' answers:</t>
          </r>
          <r>
            <rPr>
              <rFont val="Calibri"/>
              <sz val="10"/>
            </rPr>
            <t xml:space="preserve"> product · market · delivery · business · revenue
</t>
          </r>
          <r>
            <rPr>
              <rFont val="Calibri"/>
              <b val="1"/>
              <sz val="10"/>
            </rPr>
            <t>KEY RESPONSIBILITIES:</t>
          </r>
          <r>
            <rPr>
              <rFont val="Calibri"/>
              <sz val="10"/>
            </rPr>
            <t xml:space="preserve"> Owns product vision, roadmap, requirements · PRDs, prioritisation and adoption; Hardest problems in the domain; One team or a client portfolio
</t>
          </r>
          <r>
            <rPr>
              <rFont val="Calibri"/>
              <b val="1"/>
              <sz val="10"/>
            </rPr>
            <t>Common themes in role-holders' answers:</t>
          </r>
          <r>
            <rPr>
              <rFont val="Calibri"/>
              <sz val="10"/>
            </rPr>
            <t xml:space="preserve"> product · implementation · client · management · delivery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product · revenue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product · quality · delivery · revenue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research
</t>
          </r>
          <r>
            <rPr>
              <rFont val="Calibri"/>
              <b val="1"/>
              <sz val="10"/>
            </rPr>
            <t>SKILLS &amp; KNOWLEDGE · role-holders:</t>
          </r>
          <r>
            <rPr>
              <rFont val="Calibri"/>
              <sz val="10"/>
            </rPr>
            <t xml:space="preserve"> Product management
</t>
          </r>
          <r>
            <rPr>
              <rFont val="Calibri"/>
              <b val="1"/>
              <sz val="10"/>
            </rPr>
            <t>MANAGER-SET KRAs:</t>
          </r>
          <r>
            <rPr>
              <rFont val="Calibri"/>
              <sz val="10"/>
            </rPr>
            <t xml:space="preserve"> Common themes in manager-set KRAs: development participation · cash · market requirements · tech learning · support organizational · profitability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 role-holders' themes · 3+ answered — 4 holders, 4 answered the survey; sub-family 13 answered; catalogue RC-127</t>
          </r>
        </is>
      </c>
      <c r="S9"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6 direct reports.
From the survey and manager mapping — critical role: yes; successor named: no.
</t>
          </r>
          <r>
            <rPr>
              <rFont val="Calibri"/>
              <b val="1"/>
              <sz val="10"/>
            </rPr>
            <t>If the work is missed · role-holders' themes:</t>
          </r>
          <r>
            <rPr>
              <rFont val="Calibri"/>
              <sz val="10"/>
            </rPr>
            <t xml:space="preserve"> delays · client · revenue.
</t>
          </r>
          <r>
            <rPr>
              <rFont val="Calibri"/>
              <b val="1"/>
              <sz val="10"/>
            </rPr>
            <t>Measured on · manager-set KRA themes:</t>
          </r>
          <r>
            <rPr>
              <rFont val="Calibri"/>
              <sz val="10"/>
            </rPr>
            <t xml:space="preserve"> development participation · cash · market requirements · tech learning · support organizational · profitability.
Manager talent mapping — Latest rating: 5 · Potential: High · 9-Box Grid placement: Core Contributor.</t>
          </r>
        </is>
      </c>
      <c r="T9" s="121" t="n"/>
      <c r="U9" s="122" t="inlineStr">
        <is>
          <r>
            <rPr>
              <rFont val="Calibri"/>
              <sz val="10"/>
            </rPr>
            <t xml:space="preserve">Product Manager in Product Management · iDEAL, B2 — People Manager.
</t>
          </r>
          <r>
            <rPr>
              <rFont val="Calibri"/>
              <b val="1"/>
              <sz val="10"/>
            </rPr>
            <t>The work:</t>
          </r>
          <r>
            <rPr>
              <rFont val="Calibri"/>
              <sz val="10"/>
            </rPr>
            <t xml:space="preserve"> Owns product vision, roadmap, requirements · PRDs, prioritisation and adoption.
At this level the role owns deep domain expertise, or one team.
</t>
          </r>
          <r>
            <rPr>
              <rFont val="Calibri"/>
              <b val="1"/>
              <sz val="10"/>
            </rPr>
            <t>Key responsibilities:</t>
          </r>
          <r>
            <rPr>
              <rFont val="Calibri"/>
              <sz val="10"/>
            </rPr>
            <t xml:space="preserve"> Owns product vision, roadmap, requirements · PRDs, prioritisation and adoption; Hardest problems in the domain; One team or a client portfolio.
</t>
          </r>
          <r>
            <rPr>
              <rFont val="Calibri"/>
              <b val="1"/>
              <sz val="10"/>
            </rPr>
            <t>Holders describe it with:</t>
          </r>
          <r>
            <rPr>
              <rFont val="Calibri"/>
              <sz val="10"/>
            </rPr>
            <t xml:space="preserve"> product · implementation · client · management · delivery.
Leads 6 direct reports.</t>
          </r>
        </is>
      </c>
      <c r="V9" s="123"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MBA / PGDM preferred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SaaS product ladder – Senior PM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9" s="123" t="inlineStr">
        <is>
          <r>
            <rPr>
              <rFont val="Calibri"/>
              <sz val="10"/>
            </rPr>
            <t xml:space="preserve">FUNCTIONAL — skill level 4 of 5 · Advanced
 ★ Product, Platform &amp; Domain Knowledge: Recognised product / domain expert; trains others
 ★ Business Analysis &amp; Requirements Engineering: Leads complex requirement programmes; sets BA standards
 • </t>
          </r>
          <r>
            <rPr>
              <rFont val="Calibri"/>
              <b val="1"/>
              <sz val="10"/>
            </rPr>
            <t>Data Analytics, BI &amp; Visualisation:</t>
          </r>
          <r>
            <rPr>
              <rFont val="Calibri"/>
              <sz val="10"/>
            </rPr>
            <t xml:space="preserve"> Defines metrics and analytics approach for a business
 • </t>
          </r>
          <r>
            <rPr>
              <rFont val="Calibri"/>
              <b val="1"/>
              <sz val="10"/>
            </rPr>
            <t>Strategic Thinking &amp; Business Acumen:</t>
          </r>
          <r>
            <rPr>
              <rFont val="Calibri"/>
              <sz val="10"/>
            </rPr>
            <t xml:space="preserve"> Shapes strategy, pricing or investment choices
 • </t>
          </r>
          <r>
            <rPr>
              <rFont val="Calibri"/>
              <b val="1"/>
              <sz val="10"/>
            </rPr>
            <t>Stakeholder &amp; Client Management:</t>
          </r>
          <r>
            <rPr>
              <rFont val="Calibri"/>
              <sz val="10"/>
            </rPr>
            <t xml:space="preserve"> Owns key relationships; resolves escalations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Product management
★ = must-have for the family. Scale: 1 Awareness · 2 Working · 3 Practitioner · 4 Advanced · 5 Expert.</t>
          </r>
        </is>
      </c>
      <c r="X9" s="123"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9" s="124" t="inlineStr">
        <is>
          <t>iDEAL · Product Management · Band B · People Manager</t>
        </is>
      </c>
      <c r="Z9" s="125" t="n">
        <v>5</v>
      </c>
      <c r="AA9" s="126">
        <f>IFERROR(INDEX(WM_C,MATCH($Y9,WM_KEY,0)),"")</f>
        <v>0.32</v>
      </c>
      <c r="AB9" s="127">
        <f>IF(Z9="","",Z9*AA9)</f>
        <v>1.6</v>
      </c>
      <c r="AC9" s="125" t="n">
        <v>5</v>
      </c>
      <c r="AD9" s="126">
        <f>IFERROR(INDEX(WM_AU,MATCH($Y9,WM_KEY,0)),"")</f>
        <v>0.23</v>
      </c>
      <c r="AE9" s="127">
        <f>IF(AC9="","",AC9*AD9)</f>
        <v>1.15</v>
      </c>
      <c r="AF9" s="125" t="n">
        <v>5</v>
      </c>
      <c r="AG9" s="126">
        <f>IFERROR(INDEX(WM_AC,MATCH($Y9,WM_KEY,0)),"")</f>
        <v>0.11</v>
      </c>
      <c r="AH9" s="127">
        <f>IF(AF9="","",AF9*AG9)</f>
        <v>0.55</v>
      </c>
      <c r="AI9" s="125" t="n">
        <v>4.5</v>
      </c>
      <c r="AJ9" s="126">
        <f>IFERROR(INDEX(WM_L,MATCH($Y9,WM_KEY,0)),"")</f>
        <v>0.15</v>
      </c>
      <c r="AK9" s="127">
        <f>IF(AI9="","",AI9*AJ9)</f>
        <v>0.675</v>
      </c>
      <c r="AL9" s="125" t="n">
        <v>8.5</v>
      </c>
      <c r="AM9" s="126">
        <f>IFERROR(INDEX(WM_E,MATCH($Y9,WM_KEY,0)),"")</f>
        <v>0.1</v>
      </c>
      <c r="AN9" s="127">
        <f>IF(AL9="","",AL9*AM9)</f>
        <v>0.85</v>
      </c>
      <c r="AO9" s="128" t="n">
        <v>5.5</v>
      </c>
      <c r="AP9" s="126">
        <f>IFERROR(INDEX(WM_BI,MATCH($Y9,WM_KEY,0)),"")</f>
        <v>0.09</v>
      </c>
      <c r="AQ9" s="127">
        <f>IF(AO9="","",AO9*AP9)</f>
        <v>0.495</v>
      </c>
      <c r="AR9" s="127">
        <f>IF(COUNT(AB9,AE9,AH9,AK9,AN9,AQ9)&lt;6,"",SUM(AB9,AE9,AH9,AK9,AN9,AQ9))</f>
        <v>5.32</v>
      </c>
      <c r="AS9" s="129" t="str">
        <f>IF(AR9="","",INDEX({"A1","A2","A3","B1","B2","B3","C1","C2","D1","D2","E1","E2"},MAX(1,MIN(12,ROUND(AR9,0)))))</f>
        <v>B2</v>
      </c>
      <c r="AT9" s="130" t="inlineStr">
        <is>
          <r>
            <rPr>
              <rFont val="Calibri"/>
              <b val="1"/>
              <sz val="10"/>
            </rPr>
            <t>Weights:</t>
          </r>
          <r>
            <rPr>
              <rFont val="Calibri"/>
              <sz val="10"/>
            </rPr>
            <t xml:space="preserve"> Complexity 32% · Autonomy 23% · Leadership 15% · Accountability 11%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t>
          </r>
        </is>
      </c>
      <c r="AU9" s="131" t="inlineStr">
        <is>
          <r>
            <rPr>
              <rFont val="Calibri"/>
              <b val="1"/>
              <sz val="10"/>
            </rPr>
            <t>At build:</t>
          </r>
          <r>
            <rPr>
              <rFont val="Calibri"/>
              <sz val="10"/>
            </rPr>
            <t xml:space="preserve"> Complexity 1.60 + Autonomy 1.15 + Accountability 0.55 + Leadership 0.67 + Experience 0.85 + Business impact 0.49
= 5.32 points → nearest level 5 = B2
</t>
          </r>
          <r>
            <rPr>
              <rFont val="Calibri"/>
              <b val="1"/>
              <sz val="10"/>
            </rPr>
            <t>Final level:</t>
          </r>
          <r>
            <rPr>
              <rFont val="Calibri"/>
              <sz val="10"/>
            </rPr>
            <t xml:space="preserve"> B2 · same as the score</t>
          </r>
        </is>
      </c>
      <c r="AV9" s="131" t="inlineStr">
        <is>
          <r>
            <rPr>
              <rFont val="Calibri"/>
              <b val="1"/>
              <sz val="10"/>
            </rPr>
            <t>No rule applied:</t>
          </r>
          <r>
            <rPr>
              <rFont val="Calibri"/>
              <sz val="10"/>
            </rPr>
            <t xml:space="preserve"> the score decides.</t>
          </r>
        </is>
      </c>
      <c r="AW9" s="132"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Combines product delivery, client relationships, renewals, billing, proposals and EU business development in regulatory reporting → matches the start
</t>
          </r>
          <r>
            <rPr>
              <rFont val="Calibri"/>
              <b val="1"/>
              <sz val="10"/>
            </rPr>
            <t>KRA:</t>
          </r>
          <r>
            <rPr>
              <rFont val="Calibri"/>
              <sz val="10"/>
            </rPr>
            <t xml:space="preserve"> “1. Manage EBR Report development and delivery with less than 4 defects/ Escalations in a year 2. Revenue Goal: Close &gt;= 10 EBR clients,…”
</t>
          </r>
          <r>
            <rPr>
              <rFont val="Calibri"/>
              <b val="1"/>
              <sz val="10"/>
            </rPr>
            <t>Market:</t>
          </r>
          <r>
            <rPr>
              <rFont val="Calibri"/>
              <sz val="10"/>
            </rPr>
            <t xml:space="preserve"> B2 = Hardest problems in the domain</t>
          </r>
        </is>
      </c>
      <c r="AX9" s="133"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Decides delivery matters, day-to-day operations and commercial negotiations with clients → matches the start
</t>
          </r>
          <r>
            <rPr>
              <rFont val="Calibri"/>
              <b val="1"/>
              <sz val="10"/>
            </rPr>
            <t>Market:</t>
          </r>
          <r>
            <rPr>
              <rFont val="Calibri"/>
              <sz val="10"/>
            </rPr>
            <t xml:space="preserve"> B2 = Allocates people and sets team priorities</t>
          </r>
        </is>
      </c>
      <c r="AY9" s="133" t="inlineStr">
        <is>
          <r>
            <rPr>
              <rFont val="Calibri"/>
              <sz val="10"/>
            </rPr>
            <t xml:space="preserve">Rated 5 of 12
</t>
          </r>
          <r>
            <rPr>
              <rFont val="Calibri"/>
              <b val="1"/>
              <sz val="10"/>
            </rPr>
            <t>Start:</t>
          </r>
          <r>
            <rPr>
              <rFont val="Calibri"/>
              <sz val="10"/>
            </rPr>
            <t xml:space="preserve"> 5.0 · manager / senior specialist title; 6 direct reports
</t>
          </r>
          <r>
            <rPr>
              <rFont val="Calibri"/>
              <b val="1"/>
              <sz val="10"/>
            </rPr>
            <t>Evidence reads like B2:</t>
          </r>
          <r>
            <rPr>
              <rFont val="Calibri"/>
              <sz val="10"/>
            </rPr>
            <t xml:space="preserve"> own survey / KRA answers · summarised by the rater; not quoted → matches the start
</t>
          </r>
          <r>
            <rPr>
              <rFont val="Calibri"/>
              <b val="1"/>
              <sz val="10"/>
            </rPr>
            <t>KRA:</t>
          </r>
          <r>
            <rPr>
              <rFont val="Calibri"/>
              <sz val="10"/>
            </rPr>
            <t xml:space="preserve"> “1. Manage EBR Report development and delivery with less than 4 defects/ Escalations in a year 2. Revenue Goal: Close &gt;= 10 EBR clients,…”
</t>
          </r>
          <r>
            <rPr>
              <rFont val="Calibri"/>
              <b val="1"/>
              <sz val="10"/>
            </rPr>
            <t>Market:</t>
          </r>
          <r>
            <rPr>
              <rFont val="Calibri"/>
              <sz val="10"/>
            </rPr>
            <t xml:space="preserve"> B2 = One team or a client portfolio</t>
          </r>
        </is>
      </c>
      <c r="AZ9" s="133" t="inlineStr">
        <is>
          <r>
            <rPr>
              <rFont val="Calibri"/>
              <sz val="10"/>
            </rPr>
            <t xml:space="preserve">Rated 4.5 of 12 · between B1 and B2
</t>
          </r>
          <r>
            <rPr>
              <rFont val="Calibri"/>
              <b val="1"/>
              <sz val="10"/>
            </rPr>
            <t>Start:</t>
          </r>
          <r>
            <rPr>
              <rFont val="Calibri"/>
              <sz val="10"/>
            </rPr>
            <t xml:space="preserve"> 5.0
</t>
          </r>
          <r>
            <rPr>
              <rFont val="Calibri"/>
              <b val="1"/>
              <sz val="10"/>
            </rPr>
            <t>Evidence reads like B1:</t>
          </r>
          <r>
            <rPr>
              <rFont val="Calibri"/>
              <sz val="10"/>
            </rPr>
            <t xml:space="preserve"> Six direct reports in HR data; text does not describe managing them → moved down 0.5
</t>
          </r>
          <r>
            <rPr>
              <rFont val="Calibri"/>
              <b val="1"/>
              <sz val="10"/>
            </rPr>
            <t>Team:</t>
          </r>
          <r>
            <rPr>
              <rFont val="Calibri"/>
              <sz val="10"/>
            </rPr>
            <t xml:space="preserve"> 6 direct reports · People Manager
</t>
          </r>
          <r>
            <rPr>
              <rFont val="Calibri"/>
              <b val="1"/>
              <sz val="10"/>
            </rPr>
            <t>Market:</t>
          </r>
          <r>
            <rPr>
              <rFont val="Calibri"/>
              <sz val="10"/>
            </rPr>
            <t xml:space="preserve"> B1 = IC: mentors and reviews · People: hands-on team lead of 3–5 · B2 = IC: guides others in the domain · People: manages a team of 6+</t>
          </r>
        </is>
      </c>
      <c r="BA9" s="133" t="inlineStr">
        <is>
          <r>
            <rPr>
              <rFont val="Calibri"/>
              <sz val="10"/>
            </rPr>
            <t xml:space="preserve">Rated 8.5 of 12 · between C2 and D1
</t>
          </r>
          <r>
            <rPr>
              <rFont val="Calibri"/>
              <b val="1"/>
              <sz val="10"/>
            </rPr>
            <t>Experience:</t>
          </r>
          <r>
            <rPr>
              <rFont val="Calibri"/>
              <sz val="10"/>
            </rPr>
            <t xml:space="preserve"> 14.3 yrs total · 14.3 at IRIS; none recorded before IRIS = 7.9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B2 roles typically have 6–10 yrs · IRIS guide 6–9</t>
          </r>
        </is>
      </c>
      <c r="BB9" s="133"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9" s="134" t="inlineStr"/>
      <c r="BD9" s="135" t="inlineStr">
        <is>
          <t>✓ HRIS: 14.3 yrs, MBA, 6 direct reports
✓ Survey: 20 of 20 questions answered
✓ KRAs: self, manager-set, quarterly
✓ Manager mapping: rating, potential, 9-box
✗ Job description: not on file</t>
        </is>
      </c>
      <c r="BE9" s="135"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SaaS product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Pragmatic Institute Framework; AIPMM</t>
          </r>
        </is>
      </c>
      <c r="BF9" s="135" t="inlineStr">
        <is>
          <t>Medium</t>
        </is>
      </c>
      <c r="BG9" s="135" t="inlineStr"/>
      <c r="BH9" s="135" t="inlineStr"/>
      <c r="BI9" s="136" t="n"/>
      <c r="BJ9" s="137" t="n"/>
      <c r="BK9" s="137" t="n"/>
      <c r="BL9" s="137" t="n"/>
      <c r="BM9" s="137" t="n"/>
      <c r="BN9" s="138" t="n"/>
      <c r="BO9" s="121" t="n"/>
      <c r="BP9" s="121" t="n"/>
      <c r="BQ9" s="121" t="n"/>
      <c r="BR9" s="121" t="n"/>
      <c r="BS9" s="121" t="n"/>
      <c r="BT9" s="121" t="n"/>
      <c r="BU9" s="121" t="n"/>
      <c r="BV9" s="121" t="n">
        <v>5.5</v>
      </c>
    </row>
    <row r="10" ht="340" customHeight="1">
      <c r="A10" s="109" t="inlineStr">
        <is>
          <t>IRIS2435</t>
        </is>
      </c>
      <c r="B10" s="110" t="inlineStr">
        <is>
          <t>Srijith Menon</t>
        </is>
      </c>
      <c r="C10" s="111" t="inlineStr">
        <is>
          <t>Product Management</t>
        </is>
      </c>
      <c r="D10" s="111" t="inlineStr">
        <is>
          <t>Yuvraj Kharchane</t>
        </is>
      </c>
      <c r="E10" s="112" t="n">
        <v>8</v>
      </c>
      <c r="F10" s="112" t="n">
        <v>1</v>
      </c>
      <c r="G10" s="111" t="inlineStr">
        <is>
          <t>Bachelors in Hotel Management</t>
        </is>
      </c>
      <c r="H10" s="113" t="inlineStr">
        <is>
          <t>Product Coordinator</t>
        </is>
      </c>
      <c r="I10" s="114" t="inlineStr">
        <is>
          <t>Senior Product Analyst</t>
        </is>
      </c>
      <c r="J10" s="115" t="inlineStr">
        <is>
          <t>Product Management</t>
        </is>
      </c>
      <c r="K10" s="115" t="inlineStr">
        <is>
          <t>Product Operations &amp; Research</t>
        </is>
      </c>
      <c r="L10" s="114" t="inlineStr">
        <is>
          <t>L3 – Professional / Associate</t>
        </is>
      </c>
      <c r="M10" s="141" t="inlineStr">
        <is>
          <t>A3</t>
        </is>
      </c>
      <c r="N10" s="117" t="inlineStr">
        <is>
          <t>Senior Associate</t>
        </is>
      </c>
      <c r="O10" s="26" t="inlineStr">
        <is>
          <t>A</t>
        </is>
      </c>
      <c r="P10" s="115" t="inlineStr">
        <is>
          <t>IC</t>
        </is>
      </c>
      <c r="Q10" s="142" t="inlineStr">
        <is>
          <t>▲ Up</t>
        </is>
      </c>
      <c r="R10" s="119" t="inlineStr">
        <is>
          <r>
            <rPr>
              <rFont val="Calibri"/>
              <b val="1"/>
              <sz val="10"/>
            </rPr>
            <t>WHAT THE ROLE DOES:</t>
          </r>
          <r>
            <rPr>
              <rFont val="Calibri"/>
              <sz val="10"/>
            </rPr>
            <t xml:space="preserve"> Coordinates product activities and produces market / competitor research. At A3: varied work; reviews juniors; go-to for a process.
</t>
          </r>
          <r>
            <rPr>
              <rFont val="Calibri"/>
              <b val="1"/>
              <sz val="10"/>
            </rPr>
            <t>KEY RESPONSIBILITIES:</t>
          </r>
          <r>
            <rPr>
              <rFont val="Calibri"/>
              <sz val="10"/>
            </rPr>
            <t xml:space="preserve"> Coordinates product activities and produces market / competitor research;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only · fewer than 3 answered — 1 holder, 1 answered the survey; sub-family 2 answered; catalogue RC-130</t>
          </r>
        </is>
      </c>
      <c r="S1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Manager talent mapping — Latest rating: 3 · Potential: Medium · 9-Box Grid placement: Emerging Talent.</t>
          </r>
        </is>
      </c>
      <c r="T10" s="121" t="n"/>
      <c r="U10" s="122" t="inlineStr">
        <is>
          <r>
            <rPr>
              <rFont val="Calibri"/>
              <sz val="10"/>
            </rPr>
            <t xml:space="preserve">Senior Product Analyst in Product Management · iDEAL, A3 — IC.
</t>
          </r>
          <r>
            <rPr>
              <rFont val="Calibri"/>
              <b val="1"/>
              <sz val="10"/>
            </rPr>
            <t>The work:</t>
          </r>
          <r>
            <rPr>
              <rFont val="Calibri"/>
              <sz val="10"/>
            </rPr>
            <t xml:space="preserve"> Coordinates product activities and produces market / competitor research.
At this level the role owns varied work; reviews juniors; go-to for a process.
</t>
          </r>
          <r>
            <rPr>
              <rFont val="Calibri"/>
              <b val="1"/>
              <sz val="10"/>
            </rPr>
            <t>Key responsibilities:</t>
          </r>
          <r>
            <rPr>
              <rFont val="Calibri"/>
              <sz val="10"/>
            </rPr>
            <t xml:space="preserve"> Coordinates product activities and produces market / competitor research; Varied and non-standard work; handles exceptions; A module / process, or work with client or regulatory consequences.</t>
          </r>
        </is>
      </c>
      <c r="V10" s="123" t="inlineStr">
        <is>
          <r>
            <rPr>
              <rFont val="Calibri"/>
              <b val="1"/>
              <sz val="10"/>
            </rPr>
            <t>Hire as:</t>
          </r>
          <r>
            <rPr>
              <rFont val="Calibri"/>
              <sz val="10"/>
            </rPr>
            <t xml:space="preserve"> Associate Product Manager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MBA / PGDM preferred
</t>
          </r>
          <r>
            <rPr>
              <rFont val="Calibri"/>
              <b val="1"/>
              <sz val="10"/>
            </rPr>
            <t>Equivalent titles at peers:</t>
          </r>
          <r>
            <rPr>
              <rFont val="Calibri"/>
              <sz val="10"/>
            </rPr>
            <t xml:space="preserve"> IRIS Vs Competitor Benchmark — SaaS product ladder – Associate PM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10" s="123" t="inlineStr">
        <is>
          <r>
            <rPr>
              <rFont val="Calibri"/>
              <sz val="10"/>
            </rPr>
            <t xml:space="preserve">FUNCTIONAL — skill level 3 of 5 · Practitioner
 ★ Product, Platform &amp; Domain Knowledge: Handles most product and domain scenarios
 ★ Business Analysis &amp; Requirements Engineering: Writes BRD / FSD / user stories and validates them
 • </t>
          </r>
          <r>
            <rPr>
              <rFont val="Calibri"/>
              <b val="1"/>
              <sz val="10"/>
            </rPr>
            <t>Data Analytics, BI &amp; Visualisation:</t>
          </r>
          <r>
            <rPr>
              <rFont val="Calibri"/>
              <sz val="10"/>
            </rPr>
            <t xml:space="preserve"> Builds MIS, dashboards and analysis
 • </t>
          </r>
          <r>
            <rPr>
              <rFont val="Calibri"/>
              <b val="1"/>
              <sz val="10"/>
            </rPr>
            <t>Strategic Thinking &amp; Business Acumen:</t>
          </r>
          <r>
            <rPr>
              <rFont val="Calibri"/>
              <sz val="10"/>
            </rPr>
            <t xml:space="preserve"> Connects work to business goals and budgets
 • </t>
          </r>
          <r>
            <rPr>
              <rFont val="Calibri"/>
              <b val="1"/>
              <sz val="10"/>
            </rPr>
            <t>Stakeholder &amp; Client Management:</t>
          </r>
          <r>
            <rPr>
              <rFont val="Calibri"/>
              <sz val="10"/>
            </rPr>
            <t xml:space="preserve"> Manages client communication and expectations for own work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 = must-have for the family. Scale: 1 Awareness · 2 Working · 3 Practitioner · 4 Advanced · 5 Expert.</t>
          </r>
        </is>
      </c>
      <c r="X10"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 s="124" t="inlineStr">
        <is>
          <t>iDEAL · Product Management · Band A · Early career</t>
        </is>
      </c>
      <c r="Z10" s="125" t="n">
        <v>2.5</v>
      </c>
      <c r="AA10" s="126">
        <f>IFERROR(INDEX(WM_C,MATCH($Y10,WM_KEY,0)),"")</f>
        <v>0.54</v>
      </c>
      <c r="AB10" s="127">
        <f>IF(Z10="","",Z10*AA10)</f>
        <v>1.35</v>
      </c>
      <c r="AC10" s="125" t="n">
        <v>2</v>
      </c>
      <c r="AD10" s="126">
        <f>IFERROR(INDEX(WM_AU,MATCH($Y10,WM_KEY,0)),"")</f>
        <v>0.21</v>
      </c>
      <c r="AE10" s="127">
        <f>IF(AC10="","",AC10*AD10)</f>
        <v>0.42</v>
      </c>
      <c r="AF10" s="125" t="n">
        <v>2.5</v>
      </c>
      <c r="AG10" s="126">
        <f>IFERROR(INDEX(WM_AC,MATCH($Y10,WM_KEY,0)),"")</f>
        <v>0.09</v>
      </c>
      <c r="AH10" s="127">
        <f>IF(AF10="","",AF10*AG10)</f>
        <v>0.225</v>
      </c>
      <c r="AI10" s="125" t="n">
        <v>1</v>
      </c>
      <c r="AJ10" s="126">
        <f>IFERROR(INDEX(WM_L,MATCH($Y10,WM_KEY,0)),"")</f>
        <v>0</v>
      </c>
      <c r="AK10" s="127">
        <f>IF(AI10="","",AI10*AJ10)</f>
        <v>0</v>
      </c>
      <c r="AL10" s="125" t="n">
        <v>5</v>
      </c>
      <c r="AM10" s="126">
        <f>IFERROR(INDEX(WM_E,MATCH($Y10,WM_KEY,0)),"")</f>
        <v>0.1</v>
      </c>
      <c r="AN10" s="127">
        <f>IF(AL10="","",AL10*AM10)</f>
        <v>0.5</v>
      </c>
      <c r="AO10" s="128" t="n">
        <v>3</v>
      </c>
      <c r="AP10" s="126">
        <f>IFERROR(INDEX(WM_BI,MATCH($Y10,WM_KEY,0)),"")</f>
        <v>0.06</v>
      </c>
      <c r="AQ10" s="127">
        <f>IF(AO10="","",AO10*AP10)</f>
        <v>0.18</v>
      </c>
      <c r="AR10" s="127">
        <f>IF(COUNT(AB10,AE10,AH10,AK10,AN10,AQ10)&lt;6,"",SUM(AB10,AE10,AH10,AK10,AN10,AQ10))</f>
        <v>2.675</v>
      </c>
      <c r="AS10" s="129" t="str">
        <f>IF(AR10="","",INDEX({"A1","A2","A3","B1","B2","B3","C1","C2","D1","D2","E1","E2"},MAX(1,MIN(12,ROUND(AR10,0)))))</f>
        <v>A3</v>
      </c>
      <c r="AT10" s="130" t="inlineStr">
        <is>
          <r>
            <rPr>
              <rFont val="Calibri"/>
              <b val="1"/>
              <sz val="10"/>
            </rPr>
            <t>Weights:</t>
          </r>
          <r>
            <rPr>
              <rFont val="Calibri"/>
              <sz val="10"/>
            </rPr>
            <t xml:space="preserve"> Complexity 54% · Autonomy 21%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t>
          </r>
        </is>
      </c>
      <c r="AU10" s="131" t="inlineStr">
        <is>
          <r>
            <rPr>
              <rFont val="Calibri"/>
              <b val="1"/>
              <sz val="10"/>
            </rPr>
            <t>At build:</t>
          </r>
          <r>
            <rPr>
              <rFont val="Calibri"/>
              <sz val="10"/>
            </rPr>
            <t xml:space="preserve"> Complexity 1.35 + Autonomy 0.42 + Accountability 0.22 + Leadership 0.00 + Experience 0.50 + Business impact 0.18
= 2.67 points → nearest level 3 = A3
</t>
          </r>
          <r>
            <rPr>
              <rFont val="Calibri"/>
              <b val="1"/>
              <sz val="10"/>
            </rPr>
            <t>Final level:</t>
          </r>
          <r>
            <rPr>
              <rFont val="Calibri"/>
              <sz val="10"/>
            </rPr>
            <t xml:space="preserve"> A3 · same as the score</t>
          </r>
        </is>
      </c>
      <c r="AV10" s="131" t="inlineStr">
        <is>
          <r>
            <rPr>
              <rFont val="Calibri"/>
              <b val="1"/>
              <sz val="10"/>
            </rPr>
            <t>No rule applied:</t>
          </r>
          <r>
            <rPr>
              <rFont val="Calibri"/>
              <sz val="10"/>
            </rPr>
            <t xml:space="preserve"> the score decides.</t>
          </r>
        </is>
      </c>
      <c r="AW10"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Coordinates ETL implementation projects across stakeholders: schedules, documentation, tracking, follow-up, escalation → moved up 0.5
</t>
          </r>
          <r>
            <rPr>
              <rFont val="Calibri"/>
              <b val="1"/>
              <sz val="10"/>
            </rPr>
            <t>KRA:</t>
          </r>
          <r>
            <rPr>
              <rFont val="Calibri"/>
              <sz val="10"/>
            </rPr>
            <t xml:space="preserve"> “1. Effectively manage the assigned portfolio of iDEAL ETL clients, ensuring successful onboarding, implementation, adoption, and customer…”
</t>
          </r>
          <r>
            <rPr>
              <rFont val="Calibri"/>
              <b val="1"/>
              <sz val="10"/>
            </rPr>
            <t>Market:</t>
          </r>
          <r>
            <rPr>
              <rFont val="Calibri"/>
              <sz val="10"/>
            </rPr>
            <t xml:space="preserve"> A2 = Standard work of the discipline · A3 = Varied and non-standard work; handles exceptions</t>
          </r>
        </is>
      </c>
      <c r="AX10" s="133"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scheduling; judges what to escalate and when → matches the start
</t>
          </r>
          <r>
            <rPr>
              <rFont val="Calibri"/>
              <b val="1"/>
              <sz val="10"/>
            </rPr>
            <t>Market:</t>
          </r>
          <r>
            <rPr>
              <rFont val="Calibri"/>
              <sz val="10"/>
            </rPr>
            <t xml:space="preserve"> A2 = Chooses own approach within standards</t>
          </r>
        </is>
      </c>
      <c r="AY10" s="133"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Accountable for ETL solution delivery for two named clients · ESAF, BFL: timelines and accuracy → moved up 0.5
</t>
          </r>
          <r>
            <rPr>
              <rFont val="Calibri"/>
              <b val="1"/>
              <sz val="10"/>
            </rPr>
            <t>KRA:</t>
          </r>
          <r>
            <rPr>
              <rFont val="Calibri"/>
              <sz val="10"/>
            </rPr>
            <t xml:space="preserve"> “1. Effectively manage the assigned portfolio of iDEAL ETL clients, ensuring successful onboarding, implementation, adoption, and customer…”
</t>
          </r>
          <r>
            <rPr>
              <rFont val="Calibri"/>
              <b val="1"/>
              <sz val="10"/>
            </rPr>
            <t>Market:</t>
          </r>
          <r>
            <rPr>
              <rFont val="Calibri"/>
              <sz val="10"/>
            </rPr>
            <t xml:space="preserve"> A2 = Own deliverables · accuracy, TAT · A3 = A module / process, or work with client or regulatory consequences</t>
          </r>
        </is>
      </c>
      <c r="AZ10" s="133"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Coordinates people and tasks;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0" s="133" t="inlineStr">
        <is>
          <r>
            <rPr>
              <rFont val="Calibri"/>
              <sz val="10"/>
            </rPr>
            <t xml:space="preserve">Rated 5 of 12
</t>
          </r>
          <r>
            <rPr>
              <rFont val="Calibri"/>
              <b val="1"/>
              <sz val="10"/>
            </rPr>
            <t>Experience:</t>
          </r>
          <r>
            <rPr>
              <rFont val="Calibri"/>
              <sz val="10"/>
            </rPr>
            <t xml:space="preserve"> 8.0 yrs total · 7.0 before IRIS + 1.0 at IRIS = 5.2 on the experience scale
</t>
          </r>
          <r>
            <rPr>
              <rFont val="Calibri"/>
              <b val="1"/>
              <sz val="10"/>
            </rPr>
            <t>Qualification:</t>
          </r>
          <r>
            <rPr>
              <rFont val="Calibri"/>
              <sz val="10"/>
            </rPr>
            <t xml:space="preserve"> Bachelors in Hotel Management · graduate, relevant to the work → no change
</t>
          </r>
          <r>
            <rPr>
              <rFont val="Calibri"/>
              <b val="1"/>
              <sz val="10"/>
            </rPr>
            <t>Market:</t>
          </r>
          <r>
            <rPr>
              <rFont val="Calibri"/>
              <sz val="10"/>
            </rPr>
            <t xml:space="preserve"> A3 roles typically have 2–5 yrs · IRIS guide 2–4</t>
          </r>
        </is>
      </c>
      <c r="BB10" s="133"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0" s="134" t="inlineStr"/>
      <c r="BD10" s="135" t="inlineStr">
        <is>
          <t>✓ HRIS: 8.0 yrs, Bachelors in Hotel Management, 0 direct reports
✓ Survey: 20 of 20 questions answered
✓ KRAs: self, manager-set, quarterly
✓ Manager mapping: rating, potential, 9-box
✗ Job description: not on file</t>
        </is>
      </c>
      <c r="BE10" s="135" t="inlineStr">
        <is>
          <r>
            <rPr>
              <rFont val="Calibri"/>
              <b val="1"/>
              <sz val="10"/>
            </rPr>
            <t>Market level:</t>
          </r>
          <r>
            <rPr>
              <rFont val="Calibri"/>
              <sz val="10"/>
            </rPr>
            <t xml:space="preserve"> P2 · SFIA 3 Apply
</t>
          </r>
          <r>
            <rPr>
              <rFont val="Calibri"/>
              <b val="1"/>
              <sz val="10"/>
            </rPr>
            <t>Typical title:</t>
          </r>
          <r>
            <rPr>
              <rFont val="Calibri"/>
              <sz val="10"/>
            </rPr>
            <t xml:space="preserve"> Associate Product Manager
</t>
          </r>
          <r>
            <rPr>
              <rFont val="Calibri"/>
              <b val="1"/>
              <sz val="10"/>
            </rPr>
            <t>At peers:</t>
          </r>
          <r>
            <rPr>
              <rFont val="Calibri"/>
              <sz val="10"/>
            </rPr>
            <t xml:space="preserve"> IRIS Vs Competitor Benchmark — SaaS product ladder: Associate PM
</t>
          </r>
          <r>
            <rPr>
              <rFont val="Calibri"/>
              <b val="1"/>
              <sz val="10"/>
            </rPr>
            <t>Typical experience:</t>
          </r>
          <r>
            <rPr>
              <rFont val="Calibri"/>
              <sz val="10"/>
            </rPr>
            <t xml:space="preserve"> 2–5 yrs · IRIS guide 2–4
</t>
          </r>
          <r>
            <rPr>
              <rFont val="Calibri"/>
              <b val="1"/>
              <sz val="10"/>
            </rPr>
            <t>Standard:</t>
          </r>
          <r>
            <rPr>
              <rFont val="Calibri"/>
              <sz val="10"/>
            </rPr>
            <t xml:space="preserve"> Pragmatic Institute Framework; AIPMM</t>
          </r>
        </is>
      </c>
      <c r="BF10" s="135" t="inlineStr">
        <is>
          <t>High</t>
        </is>
      </c>
      <c r="BG10" s="135" t="inlineStr">
        <is>
          <t>• 8.0 yrs of experience in a role that reads as Band A work — a career-path question for the manager: can the role be widened · Specialist, B1 or is it correctly sized?</t>
        </is>
      </c>
      <c r="BH10" s="135" t="inlineStr"/>
      <c r="BI10" s="136" t="n"/>
      <c r="BJ10" s="137" t="n"/>
      <c r="BK10" s="137" t="n"/>
      <c r="BL10" s="137" t="n"/>
      <c r="BM10" s="137" t="n"/>
      <c r="BN10" s="138" t="n"/>
      <c r="BO10" s="121" t="n"/>
      <c r="BP10" s="121" t="n"/>
      <c r="BQ10" s="121" t="n"/>
      <c r="BR10" s="121" t="n"/>
      <c r="BS10" s="121" t="n"/>
      <c r="BT10" s="121" t="n"/>
      <c r="BU10" s="121" t="n"/>
      <c r="BV10" s="121" t="n">
        <v>3</v>
      </c>
    </row>
    <row r="11" ht="340" customHeight="1">
      <c r="A11" s="109" t="inlineStr">
        <is>
          <t>IRIS0636</t>
        </is>
      </c>
      <c r="B11" s="110" t="inlineStr">
        <is>
          <t>Reena Gotal</t>
        </is>
      </c>
      <c r="C11" s="111" t="inlineStr">
        <is>
          <t>Quality Assurance</t>
        </is>
      </c>
      <c r="D11" s="111" t="inlineStr">
        <is>
          <t>Hemant Karale</t>
        </is>
      </c>
      <c r="E11" s="112" t="n">
        <v>15.3</v>
      </c>
      <c r="F11" s="112" t="n">
        <v>15.3</v>
      </c>
      <c r="G11" s="111" t="inlineStr">
        <is>
          <t>B.Com</t>
        </is>
      </c>
      <c r="H11" s="113" t="inlineStr">
        <is>
          <t>Senior QA - Engineer</t>
        </is>
      </c>
      <c r="I11" s="114" t="inlineStr">
        <is>
          <t>QA Manager</t>
        </is>
      </c>
      <c r="J11" s="115" t="inlineStr">
        <is>
          <t>Quality Assurance</t>
        </is>
      </c>
      <c r="K11" s="115" t="inlineStr">
        <is>
          <t>Functional &amp; Domain Testing</t>
        </is>
      </c>
      <c r="L11" s="114" t="inlineStr">
        <is>
          <t>L4 – Senior</t>
        </is>
      </c>
      <c r="M11" s="141" t="inlineStr">
        <is>
          <t>B1</t>
        </is>
      </c>
      <c r="N11" s="18" t="inlineStr">
        <is>
          <t>Team Lead</t>
        </is>
      </c>
      <c r="O11" s="20" t="inlineStr">
        <is>
          <t>B</t>
        </is>
      </c>
      <c r="P11" s="115" t="inlineStr">
        <is>
          <t>People Manager</t>
        </is>
      </c>
      <c r="Q11" s="142" t="inlineStr">
        <is>
          <t>▲ Up</t>
        </is>
      </c>
      <c r="R11" s="119" t="inlineStr">
        <is>
          <r>
            <rPr>
              <rFont val="Calibri"/>
              <b val="1"/>
              <sz val="10"/>
            </rPr>
            <t>WHAT THE ROLE DOES:</t>
          </r>
          <r>
            <rPr>
              <rFont val="Calibri"/>
              <sz val="10"/>
            </rPr>
            <t xml:space="preserve"> Designs and executes functional, regression and domain/AI-feature test cases; logs defects; supports sign-off. At B1: a domain / module, or a small team.
</t>
          </r>
          <r>
            <rPr>
              <rFont val="Calibri"/>
              <b val="1"/>
              <sz val="10"/>
            </rPr>
            <t>Common themes in sub-family holders, all levels' answers:</t>
          </r>
          <r>
            <rPr>
              <rFont val="Calibri"/>
              <sz val="10"/>
            </rPr>
            <t xml:space="preserve"> software · quality · product · requirements · user · before
</t>
          </r>
          <r>
            <rPr>
              <rFont val="Calibri"/>
              <b val="1"/>
              <sz val="10"/>
            </rPr>
            <t>KEY RESPONSIBILITIES:</t>
          </r>
          <r>
            <rPr>
              <rFont val="Calibri"/>
              <sz val="10"/>
            </rPr>
            <t xml:space="preserve"> Designs and executes functional, regression and domain/AI-feature test cases; logs defects; supports sign-off; Domain specialist work; A domain or a small team
</t>
          </r>
          <r>
            <rPr>
              <rFont val="Calibri"/>
              <b val="1"/>
              <sz val="10"/>
            </rPr>
            <t>Common themes in sub-family holders, all levels' answers:</t>
          </r>
          <r>
            <rPr>
              <rFont val="Calibri"/>
              <sz val="10"/>
            </rPr>
            <t xml:space="preserve"> test · defect · reporting · regression · case · execution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test · quality · reports · bug · cases · defect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quality · test · accountable · am · release · reporting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test · prioritize · independently · scenarios · identify · issues
</t>
          </r>
          <r>
            <rPr>
              <rFont val="Calibri"/>
              <b val="1"/>
              <sz val="10"/>
            </rPr>
            <t>SKILLS &amp; KNOWLEDGE · role-holders:</t>
          </r>
          <r>
            <rPr>
              <rFont val="Calibri"/>
              <sz val="10"/>
            </rPr>
            <t xml:space="preserve"> Software testing · Test case design · regression testing · Functional testing · Manual Testing · Test Case execution · Analytical thinking · Attention to detail
</t>
          </r>
          <r>
            <rPr>
              <rFont val="Calibri"/>
              <b val="1"/>
              <sz val="10"/>
            </rPr>
            <t>TOOLS &amp; SYSTEMS:</t>
          </r>
          <r>
            <rPr>
              <rFont val="Calibri"/>
              <sz val="10"/>
            </rPr>
            <t xml:space="preserve"> Quickscrum · Postman · Bug tracking tool · Mail access · Visual Studio · Notepad plus plus · Test management tool · Jira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3 · Future-ready 3 · Functional 3 · Leadership 2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sub-family themes · 3+ answered — 1 holder, 1 answered the survey; sub-family 26 answered; catalogue RC-143</t>
          </r>
        </is>
      </c>
      <c r="S11"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4 direct reports.
</t>
          </r>
          <r>
            <rPr>
              <rFont val="Calibri"/>
              <b val="1"/>
              <sz val="10"/>
            </rPr>
            <t>If the work is missed · role-holders' themes:</t>
          </r>
          <r>
            <rPr>
              <rFont val="Calibri"/>
              <sz val="10"/>
            </rPr>
            <t xml:space="preserve"> rework · production · issues · client.
Manager talent mapping — Latest rating: 3 · Potential: Medium · 9-Box Grid placement: Core Contributor.</t>
          </r>
        </is>
      </c>
      <c r="T11" s="121" t="n"/>
      <c r="U11" s="122" t="inlineStr">
        <is>
          <r>
            <rPr>
              <rFont val="Calibri"/>
              <sz val="10"/>
            </rPr>
            <t xml:space="preserve">QA Manager in Quality Assurance · iDEAL, B1 — People Manager.
</t>
          </r>
          <r>
            <rPr>
              <rFont val="Calibri"/>
              <b val="1"/>
              <sz val="10"/>
            </rPr>
            <t>The work:</t>
          </r>
          <r>
            <rPr>
              <rFont val="Calibri"/>
              <sz val="10"/>
            </rPr>
            <t xml:space="preserve"> Designs and executes functional, regression and domain/AI-feature test cases; logs defects; supports sign-off.
At this level the role owns a domain / module, or a small team.
</t>
          </r>
          <r>
            <rPr>
              <rFont val="Calibri"/>
              <b val="1"/>
              <sz val="10"/>
            </rPr>
            <t>Key responsibilities:</t>
          </r>
          <r>
            <rPr>
              <rFont val="Calibri"/>
              <sz val="10"/>
            </rPr>
            <t xml:space="preserve"> Designs and executes functional, regression and domain/AI-feature test cases; logs defects; supports sign-off; Domain specialist work; A domain or a small team.
</t>
          </r>
          <r>
            <rPr>
              <rFont val="Calibri"/>
              <b val="1"/>
              <sz val="10"/>
            </rPr>
            <t>Holders describe it with:</t>
          </r>
          <r>
            <rPr>
              <rFont val="Calibri"/>
              <sz val="10"/>
            </rPr>
            <t xml:space="preserve"> test · defect · reporting · regression · case · execution.
Leads 4 direct reports.</t>
          </r>
        </is>
      </c>
      <c r="V11" s="123" t="inlineStr">
        <is>
          <r>
            <rPr>
              <rFont val="Calibri"/>
              <b val="1"/>
              <sz val="10"/>
            </rPr>
            <t>Hire as:</t>
          </r>
          <r>
            <rPr>
              <rFont val="Calibri"/>
              <sz val="10"/>
            </rPr>
            <t xml:space="preserve"> Manager — IRIS B1 Team Lead · People Manager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B.Sc
</t>
          </r>
          <r>
            <rPr>
              <rFont val="Calibri"/>
              <b val="1"/>
              <sz val="10"/>
            </rPr>
            <t>Team size at this level:</t>
          </r>
          <r>
            <rPr>
              <rFont val="Calibri"/>
              <sz val="10"/>
            </rPr>
            <t xml:space="preserve"> IC: none · Team Lead: 3–5
</t>
          </r>
          <r>
            <rPr>
              <rFont val="Calibri"/>
              <b val="1"/>
              <sz val="10"/>
            </rPr>
            <t>Equivalent titles at peers:</t>
          </r>
          <r>
            <rPr>
              <rFont val="Calibri"/>
              <sz val="10"/>
            </rPr>
            <t xml:space="preserve"> Workiva – SE / Senior SE · Broadridge India – Senior SE · Nasdaq / AxiomSL – Senior SE · IRIS Vs Market Benchmark — ISTQB certification pathway – Advanced · Test Analyst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1" s="123"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Software testing · Test case design · regression testing · Functional testing · Manual Testing · Test Case execution · Analytical thinking · Attention to detail
</t>
          </r>
          <r>
            <rPr>
              <rFont val="Calibri"/>
              <b val="1"/>
              <sz val="10"/>
            </rPr>
            <t>TOOLS:</t>
          </r>
          <r>
            <rPr>
              <rFont val="Calibri"/>
              <sz val="10"/>
            </rPr>
            <t xml:space="preserve"> Quickscrum · Postman · Bug tracking tool · Mail access · Visual Studio · Notepad plus plus · Test management tool · Jira
★ = must-have for the family. Scale: 1 Awareness · 2 Working · 3 Practitioner · 4 Advanced · 5 Expert.</t>
          </r>
        </is>
      </c>
      <c r="X11" s="123"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1" s="124" t="inlineStr">
        <is>
          <t>iDEAL · Quality Assurance · Band B · People Manager</t>
        </is>
      </c>
      <c r="Z11" s="125" t="n">
        <v>3</v>
      </c>
      <c r="AA11" s="126">
        <f>IFERROR(INDEX(WM_C,MATCH($Y11,WM_KEY,0)),"")</f>
        <v>0.42</v>
      </c>
      <c r="AB11" s="127">
        <f>IF(Z11="","",Z11*AA11)</f>
        <v>1.26</v>
      </c>
      <c r="AC11" s="125" t="n">
        <v>3</v>
      </c>
      <c r="AD11" s="126">
        <f>IFERROR(INDEX(WM_AU,MATCH($Y11,WM_KEY,0)),"")</f>
        <v>0.18</v>
      </c>
      <c r="AE11" s="127">
        <f>IF(AC11="","",AC11*AD11)</f>
        <v>0.54</v>
      </c>
      <c r="AF11" s="125" t="n">
        <v>4</v>
      </c>
      <c r="AG11" s="126">
        <f>IFERROR(INDEX(WM_AC,MATCH($Y11,WM_KEY,0)),"")</f>
        <v>0.06</v>
      </c>
      <c r="AH11" s="127">
        <f>IF(AF11="","",AF11*AG11)</f>
        <v>0.24</v>
      </c>
      <c r="AI11" s="125" t="n">
        <v>4</v>
      </c>
      <c r="AJ11" s="126">
        <f>IFERROR(INDEX(WM_L,MATCH($Y11,WM_KEY,0)),"")</f>
        <v>0.15</v>
      </c>
      <c r="AK11" s="127">
        <f>IF(AI11="","",AI11*AJ11)</f>
        <v>0.6</v>
      </c>
      <c r="AL11" s="125" t="n">
        <v>8.5</v>
      </c>
      <c r="AM11" s="126">
        <f>IFERROR(INDEX(WM_E,MATCH($Y11,WM_KEY,0)),"")</f>
        <v>0.1</v>
      </c>
      <c r="AN11" s="127">
        <f>IF(AL11="","",AL11*AM11)</f>
        <v>0.85</v>
      </c>
      <c r="AO11" s="128" t="n">
        <v>4</v>
      </c>
      <c r="AP11" s="126">
        <f>IFERROR(INDEX(WM_BI,MATCH($Y11,WM_KEY,0)),"")</f>
        <v>0.09</v>
      </c>
      <c r="AQ11" s="127">
        <f>IF(AO11="","",AO11*AP11)</f>
        <v>0.36</v>
      </c>
      <c r="AR11" s="127">
        <f>IF(COUNT(AB11,AE11,AH11,AK11,AN11,AQ11)&lt;6,"",SUM(AB11,AE11,AH11,AK11,AN11,AQ11))</f>
        <v>3.85</v>
      </c>
      <c r="AS11" s="129" t="str">
        <f>IF(AR11="","",INDEX({"A1","A2","A3","B1","B2","B3","C1","C2","D1","D2","E1","E2"},MAX(1,MIN(12,ROUND(AR11,0)))))</f>
        <v>B1</v>
      </c>
      <c r="AT11" s="130"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1" s="131" t="inlineStr">
        <is>
          <r>
            <rPr>
              <rFont val="Calibri"/>
              <b val="1"/>
              <sz val="10"/>
            </rPr>
            <t>At build:</t>
          </r>
          <r>
            <rPr>
              <rFont val="Calibri"/>
              <sz val="10"/>
            </rPr>
            <t xml:space="preserve"> Complexity 1.26 + Autonomy 0.54 + Accountability 0.24 + Leadership 0.60 + Experience 0.85 + Business impact 0.36
= 3.85 points → nearest level 4 = B1
</t>
          </r>
          <r>
            <rPr>
              <rFont val="Calibri"/>
              <b val="1"/>
              <sz val="10"/>
            </rPr>
            <t>Final level:</t>
          </r>
          <r>
            <rPr>
              <rFont val="Calibri"/>
              <sz val="10"/>
            </rPr>
            <t xml:space="preserve"> B1 · same as the score</t>
          </r>
        </is>
      </c>
      <c r="AV11" s="131" t="inlineStr">
        <is>
          <r>
            <rPr>
              <rFont val="Calibri"/>
              <b val="1"/>
              <sz val="10"/>
            </rPr>
            <t>No rule applied:</t>
          </r>
          <r>
            <rPr>
              <rFont val="Calibri"/>
              <sz val="10"/>
            </rPr>
            <t xml:space="preserve"> the score decides.</t>
          </r>
        </is>
      </c>
      <c r="AW11"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Test planning and execution, defect management, API testing with SQL/Postman; no harder problems detailed → matches the start
</t>
          </r>
          <r>
            <rPr>
              <rFont val="Calibri"/>
              <b val="1"/>
              <sz val="10"/>
            </rPr>
            <t>KRA:</t>
          </r>
          <r>
            <rPr>
              <rFont val="Calibri"/>
              <sz val="10"/>
            </rPr>
            <t xml:space="preserve"> “1. Defect Escape Rate should be &lt;= 5% i.e. Each tested functionality should have less &lt;= 1 bug 2. Defect Detection Efficiency should be…”
</t>
          </r>
          <r>
            <rPr>
              <rFont val="Calibri"/>
              <b val="1"/>
              <sz val="10"/>
            </rPr>
            <t>Market:</t>
          </r>
          <r>
            <rPr>
              <rFont val="Calibri"/>
              <sz val="10"/>
            </rPr>
            <t xml:space="preserve"> A3 = Varied and non-standard work; handles exceptions</t>
          </r>
        </is>
      </c>
      <c r="AX11"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Names only 'independent testing'; mentions managing priorities in passing → matches the start
</t>
          </r>
          <r>
            <rPr>
              <rFont val="Calibri"/>
              <b val="1"/>
              <sz val="10"/>
            </rPr>
            <t>Market:</t>
          </r>
          <r>
            <rPr>
              <rFont val="Calibri"/>
              <sz val="10"/>
            </rPr>
            <t xml:space="preserve"> A3 = Technical / QC / client calls on own work</t>
          </r>
        </is>
      </c>
      <c r="AY11" s="133" t="inlineStr">
        <is>
          <r>
            <rPr>
              <rFont val="Calibri"/>
              <sz val="10"/>
            </rPr>
            <t xml:space="preserve">Rated 4 of 12
</t>
          </r>
          <r>
            <rPr>
              <rFont val="Calibri"/>
              <b val="1"/>
              <sz val="10"/>
            </rPr>
            <t>Start:</t>
          </r>
          <r>
            <rPr>
              <rFont val="Calibri"/>
              <sz val="10"/>
            </rPr>
            <t xml:space="preserve"> 4.0 · senior practitioner title; 4 direct reports
</t>
          </r>
          <r>
            <rPr>
              <rFont val="Calibri"/>
              <b val="1"/>
              <sz val="10"/>
            </rPr>
            <t>Evidence reads like B1:</t>
          </r>
          <r>
            <rPr>
              <rFont val="Calibri"/>
              <sz val="10"/>
            </rPr>
            <t xml:space="preserve"> Own test coverage and defect reporting plus the team's quality and timelines → matches the start
</t>
          </r>
          <r>
            <rPr>
              <rFont val="Calibri"/>
              <b val="1"/>
              <sz val="10"/>
            </rPr>
            <t>KRA:</t>
          </r>
          <r>
            <rPr>
              <rFont val="Calibri"/>
              <sz val="10"/>
            </rPr>
            <t xml:space="preserve"> “1. Defect Escape Rate should be &lt;= 5% i.e. Each tested functionality should have less &lt;= 1 bug 2. Defect Detection Efficiency should be…”
</t>
          </r>
          <r>
            <rPr>
              <rFont val="Calibri"/>
              <b val="1"/>
              <sz val="10"/>
            </rPr>
            <t>Market:</t>
          </r>
          <r>
            <rPr>
              <rFont val="Calibri"/>
              <sz val="10"/>
            </rPr>
            <t xml:space="preserve"> B1 = A domain or a small team</t>
          </r>
        </is>
      </c>
      <c r="AZ11" s="133"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Coordinates, supports and guides team members; four direct reports → matches the start
</t>
          </r>
          <r>
            <rPr>
              <rFont val="Calibri"/>
              <b val="1"/>
              <sz val="10"/>
            </rPr>
            <t>Team:</t>
          </r>
          <r>
            <rPr>
              <rFont val="Calibri"/>
              <sz val="10"/>
            </rPr>
            <t xml:space="preserve"> 4 direct reports · People Manager
</t>
          </r>
          <r>
            <rPr>
              <rFont val="Calibri"/>
              <b val="1"/>
              <sz val="10"/>
            </rPr>
            <t>Market:</t>
          </r>
          <r>
            <rPr>
              <rFont val="Calibri"/>
              <sz val="10"/>
            </rPr>
            <t xml:space="preserve"> B1 = IC: mentors and reviews · People: hands-on team lead of 3–5</t>
          </r>
        </is>
      </c>
      <c r="BA11" s="133" t="inlineStr">
        <is>
          <r>
            <rPr>
              <rFont val="Calibri"/>
              <sz val="10"/>
            </rPr>
            <t xml:space="preserve">Rated 8.5 of 12 · between C2 and D1
</t>
          </r>
          <r>
            <rPr>
              <rFont val="Calibri"/>
              <b val="1"/>
              <sz val="10"/>
            </rPr>
            <t>Experience:</t>
          </r>
          <r>
            <rPr>
              <rFont val="Calibri"/>
              <sz val="10"/>
            </rPr>
            <t xml:space="preserve"> 15.3 yrs total · 15.3 at IRIS; none recorded before IRIS = 8.3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B1 roles typically have 4–8 yrs · IRIS guide 4–7</t>
          </r>
        </is>
      </c>
      <c r="BB11" s="133"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1" s="134" t="inlineStr"/>
      <c r="BD11" s="135" t="inlineStr">
        <is>
          <t>✓ HRIS: 15.3 yrs, B.Com, 4 direct reports
✓ Survey: 20 of 20 questions answered
✓ KRAs: manager-set, quarterly
✓ Manager mapping: rating, potential, 9-box
✗ Job description: not on file</t>
        </is>
      </c>
      <c r="BE11" s="135" t="inlineStr">
        <is>
          <r>
            <rPr>
              <rFont val="Calibri"/>
              <b val="1"/>
              <sz val="10"/>
            </rPr>
            <t>Market level:</t>
          </r>
          <r>
            <rPr>
              <rFont val="Calibri"/>
              <sz val="10"/>
            </rPr>
            <t xml:space="preserve"> P3 / M2 · SFIA 4 Enable
</t>
          </r>
          <r>
            <rPr>
              <rFont val="Calibri"/>
              <b val="1"/>
              <sz val="10"/>
            </rPr>
            <t>Typical title:</t>
          </r>
          <r>
            <rPr>
              <rFont val="Calibri"/>
              <sz val="10"/>
            </rPr>
            <t xml:space="preserve"> Manager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ISTQB Foundation → Advanced → Expert; SFIA testing</t>
          </r>
        </is>
      </c>
      <c r="BF11" s="135" t="inlineStr">
        <is>
          <t>Medium</t>
        </is>
      </c>
      <c r="BG11" s="135" t="inlineStr"/>
      <c r="BH11" s="135" t="inlineStr"/>
      <c r="BI11" s="136" t="n"/>
      <c r="BJ11" s="137" t="n"/>
      <c r="BK11" s="137" t="n"/>
      <c r="BL11" s="137" t="n"/>
      <c r="BM11" s="137" t="n"/>
      <c r="BN11" s="138" t="n"/>
      <c r="BO11" s="121" t="n"/>
      <c r="BP11" s="121" t="n"/>
      <c r="BQ11" s="121" t="n"/>
      <c r="BR11" s="121" t="n"/>
      <c r="BS11" s="121" t="n"/>
      <c r="BT11" s="121" t="n"/>
      <c r="BU11" s="121" t="n"/>
      <c r="BV11" s="121" t="n">
        <v>4</v>
      </c>
    </row>
    <row r="12" ht="340" customHeight="1">
      <c r="A12" s="109" t="inlineStr">
        <is>
          <t>IRIS2271</t>
        </is>
      </c>
      <c r="B12" s="110" t="inlineStr">
        <is>
          <t>Atharv Ravindra Bokade</t>
        </is>
      </c>
      <c r="C12" s="111" t="inlineStr">
        <is>
          <t>Quality Assurance</t>
        </is>
      </c>
      <c r="D12" s="111" t="inlineStr">
        <is>
          <t>Reena Gotal</t>
        </is>
      </c>
      <c r="E12" s="112" t="n">
        <v>2.3</v>
      </c>
      <c r="F12" s="112" t="n">
        <v>2.3</v>
      </c>
      <c r="G12" s="111" t="inlineStr">
        <is>
          <t>B.E</t>
        </is>
      </c>
      <c r="H12" s="113" t="inlineStr">
        <is>
          <t>QA Engineer</t>
        </is>
      </c>
      <c r="I12" s="114" t="inlineStr">
        <is>
          <t>Senior QA Automation Engineer</t>
        </is>
      </c>
      <c r="J12" s="115" t="inlineStr">
        <is>
          <t>Quality Assurance</t>
        </is>
      </c>
      <c r="K12" s="115" t="inlineStr">
        <is>
          <t>Test Automation</t>
        </is>
      </c>
      <c r="L12" s="114" t="inlineStr">
        <is>
          <t>L2 – Trainee</t>
        </is>
      </c>
      <c r="M12" s="141" t="inlineStr">
        <is>
          <t>A3</t>
        </is>
      </c>
      <c r="N12" s="117" t="inlineStr">
        <is>
          <t>Senior Associate</t>
        </is>
      </c>
      <c r="O12" s="26" t="inlineStr">
        <is>
          <t>A</t>
        </is>
      </c>
      <c r="P12" s="115" t="inlineStr">
        <is>
          <t>IC</t>
        </is>
      </c>
      <c r="Q12" s="142" t="inlineStr">
        <is>
          <t>▲ Up</t>
        </is>
      </c>
      <c r="R12" s="119" t="inlineStr">
        <is>
          <r>
            <rPr>
              <rFont val="Calibri"/>
              <b val="1"/>
              <sz val="10"/>
            </rPr>
            <t>WHAT THE ROLE DOES:</t>
          </r>
          <r>
            <rPr>
              <rFont val="Calibri"/>
              <sz val="10"/>
            </rPr>
            <t xml:space="preserve"> 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
</t>
          </r>
          <r>
            <rPr>
              <rFont val="Calibri"/>
              <b val="1"/>
              <sz val="10"/>
            </rPr>
            <t>KEY RESPONSIBILITIES:</t>
          </r>
          <r>
            <rPr>
              <rFont val="Calibri"/>
              <sz val="10"/>
            </rPr>
            <t xml:space="preserve"> 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reports · software · scripts · quality · test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test · automation · quality · accountable · defect · identification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t>
          </r>
          <r>
            <rPr>
              <rFont val="Calibri"/>
              <b val="1"/>
              <sz val="10"/>
            </rPr>
            <t>SKILLS &amp; KNOWLEDGE · role-holders:</t>
          </r>
          <r>
            <rPr>
              <rFont val="Calibri"/>
              <sz val="10"/>
            </rPr>
            <t xml:space="preserve"> Software Testing · Manual testing · Playwright
</t>
          </r>
          <r>
            <rPr>
              <rFont val="Calibri"/>
              <b val="1"/>
              <sz val="10"/>
            </rPr>
            <t>TOOLS &amp; SYSTEMS:</t>
          </r>
          <r>
            <rPr>
              <rFont val="Calibri"/>
              <sz val="10"/>
            </rPr>
            <t xml:space="preserve"> Postman
</t>
          </r>
          <r>
            <rPr>
              <rFont val="Calibri"/>
              <b val="1"/>
              <sz val="10"/>
            </rPr>
            <t>MANAGER-SET KRAs:</t>
          </r>
          <r>
            <rPr>
              <rFont val="Calibri"/>
              <sz val="10"/>
            </rPr>
            <t xml:space="preserve"> Common themes in manager-set KRAs: test coverage · business · automation · knowledge · activities · comprehensive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6 holders, 6 answered the survey; sub-family 8 answered; catalogue RC-146</t>
          </r>
        </is>
      </c>
      <c r="S1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testing · product · defects.
</t>
          </r>
          <r>
            <rPr>
              <rFont val="Calibri"/>
              <b val="1"/>
              <sz val="10"/>
            </rPr>
            <t>Measured on · manager-set KRA themes:</t>
          </r>
          <r>
            <rPr>
              <rFont val="Calibri"/>
              <sz val="10"/>
            </rPr>
            <t xml:space="preserve"> test coverage · business · automation · knowledge · activities · comprehensive.
Manager talent mapping — Latest rating: 3 · Potential: Medium · 9-Box Grid placement: Core Contributor.</t>
          </r>
        </is>
      </c>
      <c r="T12" s="121" t="n"/>
      <c r="U12" s="122" t="inlineStr">
        <is>
          <r>
            <rPr>
              <rFont val="Calibri"/>
              <sz val="10"/>
            </rPr>
            <t xml:space="preserve">Senior QA Automation Engineer in Quality Assurance · iDEAL, A3 — IC.
</t>
          </r>
          <r>
            <rPr>
              <rFont val="Calibri"/>
              <b val="1"/>
              <sz val="10"/>
            </rPr>
            <t>The work:</t>
          </r>
          <r>
            <rPr>
              <rFont val="Calibri"/>
              <sz val="10"/>
            </rPr>
            <t xml:space="preserve"> Builds and runs automated UI/API test suites integrated with CI.
At this level the role owns varied work; reviews juniors; go-to for a process.
</t>
          </r>
          <r>
            <rPr>
              <rFont val="Calibri"/>
              <b val="1"/>
              <sz val="10"/>
            </rPr>
            <t>Key responsibilities:</t>
          </r>
          <r>
            <rPr>
              <rFont val="Calibri"/>
              <sz val="10"/>
            </rPr>
            <t xml:space="preserve"> Builds and runs automated UI/API test suites integrated with CI; Varied and non-standard work; handles exceptions; A module / process, or work with client or regulatory consequences.
</t>
          </r>
          <r>
            <rPr>
              <rFont val="Calibri"/>
              <b val="1"/>
              <sz val="10"/>
            </rPr>
            <t>Holders describe it with:</t>
          </r>
          <r>
            <rPr>
              <rFont val="Calibri"/>
              <sz val="10"/>
            </rPr>
            <t xml:space="preserve"> testing · scripts · defects · testcase · automation · report.</t>
          </r>
        </is>
      </c>
      <c r="V12" s="123"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2" s="123"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Manual testing · Playwright
</t>
          </r>
          <r>
            <rPr>
              <rFont val="Calibri"/>
              <b val="1"/>
              <sz val="10"/>
            </rPr>
            <t>TOOLS:</t>
          </r>
          <r>
            <rPr>
              <rFont val="Calibri"/>
              <sz val="10"/>
            </rPr>
            <t xml:space="preserve"> Postman
★ = must-have for the family. Scale: 1 Awareness · 2 Working · 3 Practitioner · 4 Advanced · 5 Expert.</t>
          </r>
        </is>
      </c>
      <c r="X12" s="123"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 s="124" t="inlineStr">
        <is>
          <t>iDEAL · Quality Assurance · Band A · Early career</t>
        </is>
      </c>
      <c r="Z12" s="125" t="n">
        <v>2</v>
      </c>
      <c r="AA12" s="126">
        <f>IFERROR(INDEX(WM_C,MATCH($Y12,WM_KEY,0)),"")</f>
        <v>0.64</v>
      </c>
      <c r="AB12" s="127">
        <f>IF(Z12="","",Z12*AA12)</f>
        <v>1.28</v>
      </c>
      <c r="AC12" s="125" t="n">
        <v>2</v>
      </c>
      <c r="AD12" s="126">
        <f>IFERROR(INDEX(WM_AU,MATCH($Y12,WM_KEY,0)),"")</f>
        <v>0.16</v>
      </c>
      <c r="AE12" s="127">
        <f>IF(AC12="","",AC12*AD12)</f>
        <v>0.32</v>
      </c>
      <c r="AF12" s="125" t="n">
        <v>2.5</v>
      </c>
      <c r="AG12" s="126">
        <f>IFERROR(INDEX(WM_AC,MATCH($Y12,WM_KEY,0)),"")</f>
        <v>0.04</v>
      </c>
      <c r="AH12" s="127">
        <f>IF(AF12="","",AF12*AG12)</f>
        <v>0.1</v>
      </c>
      <c r="AI12" s="125" t="n">
        <v>1</v>
      </c>
      <c r="AJ12" s="126">
        <f>IFERROR(INDEX(WM_L,MATCH($Y12,WM_KEY,0)),"")</f>
        <v>0</v>
      </c>
      <c r="AK12" s="127">
        <f>IF(AI12="","",AI12*AJ12)</f>
        <v>0</v>
      </c>
      <c r="AL12" s="125" t="n">
        <v>2.5</v>
      </c>
      <c r="AM12" s="126">
        <f>IFERROR(INDEX(WM_E,MATCH($Y12,WM_KEY,0)),"")</f>
        <v>0.1</v>
      </c>
      <c r="AN12" s="127">
        <f>IF(AL12="","",AL12*AM12)</f>
        <v>0.25</v>
      </c>
      <c r="AO12" s="128" t="n">
        <v>2.5</v>
      </c>
      <c r="AP12" s="126">
        <f>IFERROR(INDEX(WM_BI,MATCH($Y12,WM_KEY,0)),"")</f>
        <v>0.06</v>
      </c>
      <c r="AQ12" s="127">
        <f>IF(AO12="","",AO12*AP12)</f>
        <v>0.15</v>
      </c>
      <c r="AR12" s="127">
        <f>IF(COUNT(AB12,AE12,AH12,AK12,AN12,AQ12)&lt;6,"",SUM(AB12,AE12,AH12,AK12,AN12,AQ12))</f>
        <v>2.1</v>
      </c>
      <c r="AS12" s="129" t="str">
        <f>IF(AR12="","",INDEX({"A1","A2","A3","B1","B2","B3","C1","C2","D1","D2","E1","E2"},MAX(1,MIN(12,ROUND(AR12,0)))))</f>
        <v>A2</v>
      </c>
      <c r="AT12"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2" s="131" t="inlineStr">
        <is>
          <r>
            <rPr>
              <rFont val="Calibri"/>
              <b val="1"/>
              <sz val="10"/>
            </rPr>
            <t>At build:</t>
          </r>
          <r>
            <rPr>
              <rFont val="Calibri"/>
              <sz val="10"/>
            </rPr>
            <t xml:space="preserve"> Complexity 1.28 + Autonomy 0.32 + Accountability 0.10 + Leadership 0.00 + Experience 0.25 + Business impact 0.15
= 2.10 points → nearest level 2 = A2
</t>
          </r>
          <r>
            <rPr>
              <rFont val="Calibri"/>
              <b val="1"/>
              <sz val="10"/>
            </rPr>
            <t>Final level:</t>
          </r>
          <r>
            <rPr>
              <rFont val="Calibri"/>
              <sz val="10"/>
            </rPr>
            <t xml:space="preserve"> A3 · a rule applied: see the next column</t>
          </r>
        </is>
      </c>
      <c r="AV12" s="131" t="inlineStr">
        <is>
          <r>
            <rPr>
              <rFont val="Calibri"/>
              <sz val="10"/>
            </rPr>
            <t xml:space="preserve">•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AW1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Writes test cases, manual testing and bug reports for regulatory applications; some Playwright and VAPT → matches the start
</t>
          </r>
          <r>
            <rPr>
              <rFont val="Calibri"/>
              <b val="1"/>
              <sz val="10"/>
            </rPr>
            <t>KRA:</t>
          </r>
          <r>
            <rPr>
              <rFont val="Calibri"/>
              <sz val="10"/>
            </rPr>
            <t xml:space="preserve"> “1. Prepare comprehensive and maintainable test cases based on business requirements and user stories. 2.Ensure the delivery of high-quality…”
</t>
          </r>
          <r>
            <rPr>
              <rFont val="Calibri"/>
              <b val="1"/>
              <sz val="10"/>
            </rPr>
            <t>Market:</t>
          </r>
          <r>
            <rPr>
              <rFont val="Calibri"/>
              <sz val="10"/>
            </rPr>
            <t xml:space="preserve"> A2 = Standard work of the discipline</t>
          </r>
        </is>
      </c>
      <c r="AX12" s="133"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Cannot name independent decisions; only judges depth of testing → matches the start
</t>
          </r>
          <r>
            <rPr>
              <rFont val="Calibri"/>
              <b val="1"/>
              <sz val="10"/>
            </rPr>
            <t>Market:</t>
          </r>
          <r>
            <rPr>
              <rFont val="Calibri"/>
              <sz val="10"/>
            </rPr>
            <t xml:space="preserve"> A2 = Chooses own approach within standards</t>
          </r>
        </is>
      </c>
      <c r="AY12" s="133"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Accountable if bugs persist after own sign-off; delivery to client affected → moved up 0.5
</t>
          </r>
          <r>
            <rPr>
              <rFont val="Calibri"/>
              <b val="1"/>
              <sz val="10"/>
            </rPr>
            <t>KRA:</t>
          </r>
          <r>
            <rPr>
              <rFont val="Calibri"/>
              <sz val="10"/>
            </rPr>
            <t xml:space="preserve"> “1. Prepare comprehensive and maintainable test cases based on business requirements and user stories. 2.Ensure the delivery of high-quality…”
</t>
          </r>
          <r>
            <rPr>
              <rFont val="Calibri"/>
              <b val="1"/>
              <sz val="10"/>
            </rPr>
            <t>Market:</t>
          </r>
          <r>
            <rPr>
              <rFont val="Calibri"/>
              <sz val="10"/>
            </rPr>
            <t xml:space="preserve"> A2 = Own deliverables · accuracy, TAT · A3 = A module / process, or work with client or regulatory consequences</t>
          </r>
        </is>
      </c>
      <c r="AZ12" s="133"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2" s="133" t="inlineStr">
        <is>
          <r>
            <rPr>
              <rFont val="Calibri"/>
              <sz val="10"/>
            </rPr>
            <t xml:space="preserve">Rated 2.5 of 12 · between A2 and A3
</t>
          </r>
          <r>
            <rPr>
              <rFont val="Calibri"/>
              <b val="1"/>
              <sz val="10"/>
            </rPr>
            <t>Experience:</t>
          </r>
          <r>
            <rPr>
              <rFont val="Calibri"/>
              <sz val="10"/>
            </rPr>
            <t xml:space="preserve"> 2.3 yrs total · 2.3 at IRIS; none recorded before IRIS = 2.6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2" s="133"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2" s="134" t="inlineStr"/>
      <c r="BD12" s="135" t="inlineStr">
        <is>
          <t>✓ HRIS: 2.3 yrs, B.E, 0 direct reports
✓ Survey: 20 of 20 questions answered
✓ KRAs: self, manager-set, quarterly
✓ Manager mapping: rating, potential, 9-box
✗ Job description: not on file</t>
        </is>
      </c>
      <c r="BE12" s="135"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12" s="135" t="inlineStr">
        <is>
          <t>Medium</t>
        </is>
      </c>
      <c r="BG12" s="135" t="inlineStr"/>
      <c r="BH12" s="135" t="inlineStr"/>
      <c r="BI12" s="136" t="n"/>
      <c r="BJ12" s="137" t="n"/>
      <c r="BK12" s="137" t="n"/>
      <c r="BL12" s="137" t="n"/>
      <c r="BM12" s="137" t="n"/>
      <c r="BN12" s="138" t="n"/>
      <c r="BO12" s="121" t="n"/>
      <c r="BP12" s="121" t="n"/>
      <c r="BQ12" s="121" t="n"/>
      <c r="BR12" s="121" t="n"/>
      <c r="BS12" s="121" t="n"/>
      <c r="BT12" s="121" t="n"/>
      <c r="BU12" s="121" t="n"/>
      <c r="BV12" s="121" t="n">
        <v>2.5</v>
      </c>
    </row>
    <row r="13" ht="340" customHeight="1">
      <c r="A13" s="109" t="inlineStr">
        <is>
          <t>IRIS2479</t>
        </is>
      </c>
      <c r="B13" s="110" t="inlineStr">
        <is>
          <t>Rohan Kailas Aher</t>
        </is>
      </c>
      <c r="C13" s="111" t="inlineStr">
        <is>
          <t>Quality Assurance</t>
        </is>
      </c>
      <c r="D13" s="111" t="inlineStr">
        <is>
          <t>Reena Gotal</t>
        </is>
      </c>
      <c r="E13" s="112" t="n">
        <v>3.6</v>
      </c>
      <c r="F13" s="112" t="n">
        <v>0.6</v>
      </c>
      <c r="G13" s="111" t="inlineStr">
        <is>
          <t>Civil engineering</t>
        </is>
      </c>
      <c r="H13" s="113" t="inlineStr">
        <is>
          <t>QA Engineer</t>
        </is>
      </c>
      <c r="I13" s="114" t="inlineStr">
        <is>
          <t>Senior QA Engineer</t>
        </is>
      </c>
      <c r="J13" s="115" t="inlineStr">
        <is>
          <t>Quality Assurance</t>
        </is>
      </c>
      <c r="K13" s="115" t="inlineStr">
        <is>
          <t>Functional &amp; Domain Testing</t>
        </is>
      </c>
      <c r="L13" s="114" t="inlineStr">
        <is>
          <t>L3 – Professional / Associate</t>
        </is>
      </c>
      <c r="M13" s="141" t="inlineStr">
        <is>
          <t>A3</t>
        </is>
      </c>
      <c r="N13" s="117" t="inlineStr">
        <is>
          <t>Senior Associate</t>
        </is>
      </c>
      <c r="O13" s="26" t="inlineStr">
        <is>
          <t>A</t>
        </is>
      </c>
      <c r="P13" s="115" t="inlineStr">
        <is>
          <t>IC</t>
        </is>
      </c>
      <c r="Q13" s="142" t="inlineStr">
        <is>
          <t>▲ Up</t>
        </is>
      </c>
      <c r="R13" s="119"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13"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Potential: Medium · 9-Box Grid placement: Core Contributor.</t>
          </r>
        </is>
      </c>
      <c r="T13" s="121" t="n"/>
      <c r="U13" s="122" t="inlineStr">
        <is>
          <r>
            <rPr>
              <rFont val="Calibri"/>
              <sz val="10"/>
            </rPr>
            <t xml:space="preserve">Senior QA Engineer in Quality Assurance · iDEAL,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13" s="123"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3" s="123"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13" s="123"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 s="124" t="inlineStr">
        <is>
          <t>iDEAL · Quality Assurance · Band A · Early career</t>
        </is>
      </c>
      <c r="Z13" s="125" t="n">
        <v>2</v>
      </c>
      <c r="AA13" s="126">
        <f>IFERROR(INDEX(WM_C,MATCH($Y13,WM_KEY,0)),"")</f>
        <v>0.64</v>
      </c>
      <c r="AB13" s="127">
        <f>IF(Z13="","",Z13*AA13)</f>
        <v>1.28</v>
      </c>
      <c r="AC13" s="125" t="n">
        <v>2</v>
      </c>
      <c r="AD13" s="126">
        <f>IFERROR(INDEX(WM_AU,MATCH($Y13,WM_KEY,0)),"")</f>
        <v>0.16</v>
      </c>
      <c r="AE13" s="127">
        <f>IF(AC13="","",AC13*AD13)</f>
        <v>0.32</v>
      </c>
      <c r="AF13" s="125" t="n">
        <v>2</v>
      </c>
      <c r="AG13" s="126">
        <f>IFERROR(INDEX(WM_AC,MATCH($Y13,WM_KEY,0)),"")</f>
        <v>0.04</v>
      </c>
      <c r="AH13" s="127">
        <f>IF(AF13="","",AF13*AG13)</f>
        <v>0.08</v>
      </c>
      <c r="AI13" s="125" t="n">
        <v>1</v>
      </c>
      <c r="AJ13" s="126">
        <f>IFERROR(INDEX(WM_L,MATCH($Y13,WM_KEY,0)),"")</f>
        <v>0</v>
      </c>
      <c r="AK13" s="127">
        <f>IF(AI13="","",AI13*AJ13)</f>
        <v>0</v>
      </c>
      <c r="AL13" s="125" t="n">
        <v>3</v>
      </c>
      <c r="AM13" s="126">
        <f>IFERROR(INDEX(WM_E,MATCH($Y13,WM_KEY,0)),"")</f>
        <v>0.1</v>
      </c>
      <c r="AN13" s="127">
        <f>IF(AL13="","",AL13*AM13)</f>
        <v>0.3</v>
      </c>
      <c r="AO13" s="128" t="n">
        <v>2</v>
      </c>
      <c r="AP13" s="126">
        <f>IFERROR(INDEX(WM_BI,MATCH($Y13,WM_KEY,0)),"")</f>
        <v>0.06</v>
      </c>
      <c r="AQ13" s="127">
        <f>IF(AO13="","",AO13*AP13)</f>
        <v>0.12</v>
      </c>
      <c r="AR13" s="127">
        <f>IF(COUNT(AB13,AE13,AH13,AK13,AN13,AQ13)&lt;6,"",SUM(AB13,AE13,AH13,AK13,AN13,AQ13))</f>
        <v>2.1</v>
      </c>
      <c r="AS13" s="129" t="str">
        <f>IF(AR13="","",INDEX({"A1","A2","A3","B1","B2","B3","C1","C2","D1","D2","E1","E2"},MAX(1,MIN(12,ROUND(AR13,0)))))</f>
        <v>A2</v>
      </c>
      <c r="AT13"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3" s="131" t="inlineStr">
        <is>
          <r>
            <rPr>
              <rFont val="Calibri"/>
              <b val="1"/>
              <sz val="10"/>
            </rPr>
            <t>At build:</t>
          </r>
          <r>
            <rPr>
              <rFont val="Calibri"/>
              <sz val="10"/>
            </rPr>
            <t xml:space="preserve"> Complexity 1.28 + Autonomy 0.32 + Accountability 0.08 + Leadership 0.00 + Experience 0.30 + Business impact 0.12
= 2.10 points → nearest level 2 = A2
</t>
          </r>
          <r>
            <rPr>
              <rFont val="Calibri"/>
              <b val="1"/>
              <sz val="10"/>
            </rPr>
            <t>Final level:</t>
          </r>
          <r>
            <rPr>
              <rFont val="Calibri"/>
              <sz val="10"/>
            </rPr>
            <t xml:space="preserve"> A3 · a rule applied: see the next column</t>
          </r>
        </is>
      </c>
      <c r="AV13" s="131" t="inlineStr">
        <is>
          <r>
            <rPr>
              <rFont val="Calibri"/>
              <sz val="10"/>
            </rPr>
            <t xml:space="preserve">• </t>
          </r>
          <r>
            <rPr>
              <rFont val="Calibri"/>
              <b val="1"/>
              <sz val="10"/>
            </rPr>
            <t>Raised to A3:</t>
          </r>
          <r>
            <rPr>
              <rFont val="Calibri"/>
              <sz val="10"/>
            </rPr>
            <t xml:space="preserve"> 3.6 years' experience is 2 years or more.
</t>
          </r>
          <r>
            <rPr>
              <rFont val="Calibri"/>
              <b val="1"/>
              <sz val="10"/>
            </rPr>
            <t>Final level:</t>
          </r>
          <r>
            <rPr>
              <rFont val="Calibri"/>
              <sz val="10"/>
            </rPr>
            <t xml:space="preserve"> A3.</t>
          </r>
        </is>
      </c>
      <c r="AW1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Testing, bug reporting, retesting, API testing and documentation; no harder cases shown → matches the start
</t>
          </r>
          <r>
            <rPr>
              <rFont val="Calibri"/>
              <b val="1"/>
              <sz val="10"/>
            </rPr>
            <t>KRA:</t>
          </r>
          <r>
            <rPr>
              <rFont val="Calibri"/>
              <sz val="10"/>
            </rPr>
            <t xml:space="preserve"> “1. Prepare comprehensive and maintainable test cases based on business requirements and user stories. 2.Ensure the delivery of high-quality…”
</t>
          </r>
          <r>
            <rPr>
              <rFont val="Calibri"/>
              <b val="1"/>
              <sz val="10"/>
            </rPr>
            <t>Market:</t>
          </r>
          <r>
            <rPr>
              <rFont val="Calibri"/>
              <sz val="10"/>
            </rPr>
            <t xml:space="preserve"> A2 = Standard work of the discipline</t>
          </r>
        </is>
      </c>
      <c r="AX13" s="133"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States 'routine decisions' only → matches the start
</t>
          </r>
          <r>
            <rPr>
              <rFont val="Calibri"/>
              <b val="1"/>
              <sz val="10"/>
            </rPr>
            <t>Market:</t>
          </r>
          <r>
            <rPr>
              <rFont val="Calibri"/>
              <sz val="10"/>
            </rPr>
            <t xml:space="preserve"> A2 = Chooses own approach within standards</t>
          </r>
        </is>
      </c>
      <c r="AY13" s="133"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assigned testing work, its quality and timeliness → matches the start
</t>
          </r>
          <r>
            <rPr>
              <rFont val="Calibri"/>
              <b val="1"/>
              <sz val="10"/>
            </rPr>
            <t>KRA:</t>
          </r>
          <r>
            <rPr>
              <rFont val="Calibri"/>
              <sz val="10"/>
            </rPr>
            <t xml:space="preserve"> “1. Prepare comprehensive and maintainable test cases based on business requirements and user stories. 2.Ensure the delivery of high-quality…”
</t>
          </r>
          <r>
            <rPr>
              <rFont val="Calibri"/>
              <b val="1"/>
              <sz val="10"/>
            </rPr>
            <t>Market:</t>
          </r>
          <r>
            <rPr>
              <rFont val="Calibri"/>
              <sz val="10"/>
            </rPr>
            <t xml:space="preserve"> A2 = Own deliverables · accuracy, TAT</t>
          </r>
        </is>
      </c>
      <c r="AZ13" s="133"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 s="133" t="inlineStr">
        <is>
          <r>
            <rPr>
              <rFont val="Calibri"/>
              <sz val="10"/>
            </rPr>
            <t xml:space="preserve">Rated 3 of 12
</t>
          </r>
          <r>
            <rPr>
              <rFont val="Calibri"/>
              <b val="1"/>
              <sz val="10"/>
            </rPr>
            <t>Experience:</t>
          </r>
          <r>
            <rPr>
              <rFont val="Calibri"/>
              <sz val="10"/>
            </rPr>
            <t xml:space="preserve"> 3.6 yrs total · 3.0 before IRIS + 0.6 at IRIS = 3.2 on the experience scale
</t>
          </r>
          <r>
            <rPr>
              <rFont val="Calibri"/>
              <b val="1"/>
              <sz val="10"/>
            </rPr>
            <t>Qualification:</t>
          </r>
          <r>
            <rPr>
              <rFont val="Calibri"/>
              <sz val="10"/>
            </rPr>
            <t xml:space="preserve"> Civil engineering · graduate, relevant to the work → no change
</t>
          </r>
          <r>
            <rPr>
              <rFont val="Calibri"/>
              <b val="1"/>
              <sz val="10"/>
            </rPr>
            <t>Market:</t>
          </r>
          <r>
            <rPr>
              <rFont val="Calibri"/>
              <sz val="10"/>
            </rPr>
            <t xml:space="preserve"> A3 roles typically have 2–5 yrs · IRIS guide 2–4</t>
          </r>
        </is>
      </c>
      <c r="BB13" s="133"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3" s="134" t="inlineStr"/>
      <c r="BD13" s="135" t="inlineStr">
        <is>
          <t>✓ HRIS: 3.6 yrs, Civil engineering, 0 direct reports
✓ Survey: 20 of 20 questions answered
✓ KRAs: self, manager-set, quarterly
✓ Manager mapping: rating, potential, 9-box
✗ Job description: not on file</t>
        </is>
      </c>
      <c r="BE13" s="135"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13" s="135" t="inlineStr">
        <is>
          <t>Medium</t>
        </is>
      </c>
      <c r="BG13" s="135" t="inlineStr"/>
      <c r="BH13" s="135" t="inlineStr"/>
      <c r="BI13" s="136" t="n"/>
      <c r="BJ13" s="137" t="n"/>
      <c r="BK13" s="137" t="n"/>
      <c r="BL13" s="137" t="n"/>
      <c r="BM13" s="137" t="n"/>
      <c r="BN13" s="138" t="n"/>
      <c r="BO13" s="121" t="n"/>
      <c r="BP13" s="121" t="n"/>
      <c r="BQ13" s="121" t="n"/>
      <c r="BR13" s="121" t="n"/>
      <c r="BS13" s="121" t="n"/>
      <c r="BT13" s="121" t="n"/>
      <c r="BU13" s="121" t="n"/>
      <c r="BV13" s="121" t="n">
        <v>2</v>
      </c>
    </row>
    <row r="14" ht="340" customHeight="1">
      <c r="A14" s="109" t="inlineStr">
        <is>
          <t>IRIS2437</t>
        </is>
      </c>
      <c r="B14" s="110" t="inlineStr">
        <is>
          <t>Shubham Kamble</t>
        </is>
      </c>
      <c r="C14" s="111" t="inlineStr">
        <is>
          <t>Quality Assurance</t>
        </is>
      </c>
      <c r="D14" s="111" t="inlineStr">
        <is>
          <t>Reena Gotal</t>
        </is>
      </c>
      <c r="E14" s="112" t="n">
        <v>4.3</v>
      </c>
      <c r="F14" s="112" t="n">
        <v>0.9</v>
      </c>
      <c r="G14" s="111" t="inlineStr">
        <is>
          <t>B.Tech</t>
        </is>
      </c>
      <c r="H14" s="113" t="inlineStr">
        <is>
          <t>QA Automation Engineer</t>
        </is>
      </c>
      <c r="I14" s="114" t="inlineStr">
        <is>
          <t>Senior QA Automation Engineer</t>
        </is>
      </c>
      <c r="J14" s="115" t="inlineStr">
        <is>
          <t>Quality Assurance</t>
        </is>
      </c>
      <c r="K14" s="115" t="inlineStr">
        <is>
          <t>Test Automation</t>
        </is>
      </c>
      <c r="L14" s="114" t="inlineStr">
        <is>
          <t>L3 – Professional / Associate</t>
        </is>
      </c>
      <c r="M14" s="141" t="inlineStr">
        <is>
          <t>A3</t>
        </is>
      </c>
      <c r="N14" s="117" t="inlineStr">
        <is>
          <t>Senior Associate</t>
        </is>
      </c>
      <c r="O14" s="26" t="inlineStr">
        <is>
          <t>A</t>
        </is>
      </c>
      <c r="P14" s="115" t="inlineStr">
        <is>
          <t>IC</t>
        </is>
      </c>
      <c r="Q14" s="142" t="inlineStr">
        <is>
          <t>▲ Up</t>
        </is>
      </c>
      <c r="R14" s="119" t="inlineStr">
        <is>
          <r>
            <rPr>
              <rFont val="Calibri"/>
              <b val="1"/>
              <sz val="10"/>
            </rPr>
            <t>WHAT THE ROLE DOES:</t>
          </r>
          <r>
            <rPr>
              <rFont val="Calibri"/>
              <sz val="10"/>
            </rPr>
            <t xml:space="preserve"> 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
</t>
          </r>
          <r>
            <rPr>
              <rFont val="Calibri"/>
              <b val="1"/>
              <sz val="10"/>
            </rPr>
            <t>KEY RESPONSIBILITIES:</t>
          </r>
          <r>
            <rPr>
              <rFont val="Calibri"/>
              <sz val="10"/>
            </rPr>
            <t xml:space="preserve"> 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reports · software · scripts · quality · test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test · automation · quality · accountable · defect · identification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t>
          </r>
          <r>
            <rPr>
              <rFont val="Calibri"/>
              <b val="1"/>
              <sz val="10"/>
            </rPr>
            <t>SKILLS &amp; KNOWLEDGE · role-holders:</t>
          </r>
          <r>
            <rPr>
              <rFont val="Calibri"/>
              <sz val="10"/>
            </rPr>
            <t xml:space="preserve"> Software Testing · Manual testing · Playwright
</t>
          </r>
          <r>
            <rPr>
              <rFont val="Calibri"/>
              <b val="1"/>
              <sz val="10"/>
            </rPr>
            <t>TOOLS &amp; SYSTEMS:</t>
          </r>
          <r>
            <rPr>
              <rFont val="Calibri"/>
              <sz val="10"/>
            </rPr>
            <t xml:space="preserve"> Postman
</t>
          </r>
          <r>
            <rPr>
              <rFont val="Calibri"/>
              <b val="1"/>
              <sz val="10"/>
            </rPr>
            <t>MANAGER-SET KRAs:</t>
          </r>
          <r>
            <rPr>
              <rFont val="Calibri"/>
              <sz val="10"/>
            </rPr>
            <t xml:space="preserve"> Common themes in manager-set KRAs: test coverage · business · automation · knowledge · activities · comprehensive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6 holders, 6 answered the survey; sub-family 8 answered; catalogue RC-146</t>
          </r>
        </is>
      </c>
      <c r="S14"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work only this person does: no; successor named: no.
</t>
          </r>
          <r>
            <rPr>
              <rFont val="Calibri"/>
              <b val="1"/>
              <sz val="10"/>
            </rPr>
            <t>If the work is missed · role-holders' themes:</t>
          </r>
          <r>
            <rPr>
              <rFont val="Calibri"/>
              <sz val="10"/>
            </rPr>
            <t xml:space="preserve"> testing · product · defects.
</t>
          </r>
          <r>
            <rPr>
              <rFont val="Calibri"/>
              <b val="1"/>
              <sz val="10"/>
            </rPr>
            <t>Measured on · manager-set KRA themes:</t>
          </r>
          <r>
            <rPr>
              <rFont val="Calibri"/>
              <sz val="10"/>
            </rPr>
            <t xml:space="preserve"> test coverage · business · automation · knowledge · activities · comprehensive.
Manager talent mapping — Latest rating: 3 · Potential: Medium · 9-Box Grid placement: Emerging Talent.</t>
          </r>
        </is>
      </c>
      <c r="T14" s="121" t="n"/>
      <c r="U14" s="122" t="inlineStr">
        <is>
          <r>
            <rPr>
              <rFont val="Calibri"/>
              <sz val="10"/>
            </rPr>
            <t xml:space="preserve">Senior QA Automation Engineer in Quality Assurance · iDEAL, A3 — IC.
</t>
          </r>
          <r>
            <rPr>
              <rFont val="Calibri"/>
              <b val="1"/>
              <sz val="10"/>
            </rPr>
            <t>The work:</t>
          </r>
          <r>
            <rPr>
              <rFont val="Calibri"/>
              <sz val="10"/>
            </rPr>
            <t xml:space="preserve"> Builds and runs automated UI/API test suites integrated with CI.
At this level the role owns varied work; reviews juniors; go-to for a process.
</t>
          </r>
          <r>
            <rPr>
              <rFont val="Calibri"/>
              <b val="1"/>
              <sz val="10"/>
            </rPr>
            <t>Key responsibilities:</t>
          </r>
          <r>
            <rPr>
              <rFont val="Calibri"/>
              <sz val="10"/>
            </rPr>
            <t xml:space="preserve"> Builds and runs automated UI/API test suites integrated with CI; Varied and non-standard work; handles exceptions; A module / process, or work with client or regulatory consequences.
</t>
          </r>
          <r>
            <rPr>
              <rFont val="Calibri"/>
              <b val="1"/>
              <sz val="10"/>
            </rPr>
            <t>Holders describe it with:</t>
          </r>
          <r>
            <rPr>
              <rFont val="Calibri"/>
              <sz val="10"/>
            </rPr>
            <t xml:space="preserve"> testing · scripts · defects · testcase · automation · report.</t>
          </r>
        </is>
      </c>
      <c r="V14" s="123"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4" s="123"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Manual testing · Playwright
</t>
          </r>
          <r>
            <rPr>
              <rFont val="Calibri"/>
              <b val="1"/>
              <sz val="10"/>
            </rPr>
            <t>TOOLS:</t>
          </r>
          <r>
            <rPr>
              <rFont val="Calibri"/>
              <sz val="10"/>
            </rPr>
            <t xml:space="preserve"> Postman
★ = must-have for the family. Scale: 1 Awareness · 2 Working · 3 Practitioner · 4 Advanced · 5 Expert.</t>
          </r>
        </is>
      </c>
      <c r="X14" s="123"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 s="124" t="inlineStr">
        <is>
          <t>iDEAL · Quality Assurance · Band A · Early career</t>
        </is>
      </c>
      <c r="Z14" s="125" t="n">
        <v>3</v>
      </c>
      <c r="AA14" s="126">
        <f>IFERROR(INDEX(WM_C,MATCH($Y14,WM_KEY,0)),"")</f>
        <v>0.64</v>
      </c>
      <c r="AB14" s="127">
        <f>IF(Z14="","",Z14*AA14)</f>
        <v>1.92</v>
      </c>
      <c r="AC14" s="125" t="n">
        <v>3</v>
      </c>
      <c r="AD14" s="126">
        <f>IFERROR(INDEX(WM_AU,MATCH($Y14,WM_KEY,0)),"")</f>
        <v>0.16</v>
      </c>
      <c r="AE14" s="127">
        <f>IF(AC14="","",AC14*AD14)</f>
        <v>0.48</v>
      </c>
      <c r="AF14" s="125" t="n">
        <v>3</v>
      </c>
      <c r="AG14" s="126">
        <f>IFERROR(INDEX(WM_AC,MATCH($Y14,WM_KEY,0)),"")</f>
        <v>0.04</v>
      </c>
      <c r="AH14" s="127">
        <f>IF(AF14="","",AF14*AG14)</f>
        <v>0.12</v>
      </c>
      <c r="AI14" s="125" t="n">
        <v>1.5</v>
      </c>
      <c r="AJ14" s="126">
        <f>IFERROR(INDEX(WM_L,MATCH($Y14,WM_KEY,0)),"")</f>
        <v>0</v>
      </c>
      <c r="AK14" s="127">
        <f>IF(AI14="","",AI14*AJ14)</f>
        <v>0</v>
      </c>
      <c r="AL14" s="125" t="n">
        <v>3.5</v>
      </c>
      <c r="AM14" s="126">
        <f>IFERROR(INDEX(WM_E,MATCH($Y14,WM_KEY,0)),"")</f>
        <v>0.1</v>
      </c>
      <c r="AN14" s="127">
        <f>IF(AL14="","",AL14*AM14)</f>
        <v>0.35</v>
      </c>
      <c r="AO14" s="128" t="n">
        <v>3</v>
      </c>
      <c r="AP14" s="126">
        <f>IFERROR(INDEX(WM_BI,MATCH($Y14,WM_KEY,0)),"")</f>
        <v>0.06</v>
      </c>
      <c r="AQ14" s="127">
        <f>IF(AO14="","",AO14*AP14)</f>
        <v>0.18</v>
      </c>
      <c r="AR14" s="127">
        <f>IF(COUNT(AB14,AE14,AH14,AK14,AN14,AQ14)&lt;6,"",SUM(AB14,AE14,AH14,AK14,AN14,AQ14))</f>
        <v>3.05</v>
      </c>
      <c r="AS14" s="129" t="str">
        <f>IF(AR14="","",INDEX({"A1","A2","A3","B1","B2","B3","C1","C2","D1","D2","E1","E2"},MAX(1,MIN(12,ROUND(AR14,0)))))</f>
        <v>A3</v>
      </c>
      <c r="AT14"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4" s="131" t="inlineStr">
        <is>
          <r>
            <rPr>
              <rFont val="Calibri"/>
              <b val="1"/>
              <sz val="10"/>
            </rPr>
            <t>At build:</t>
          </r>
          <r>
            <rPr>
              <rFont val="Calibri"/>
              <sz val="10"/>
            </rPr>
            <t xml:space="preserve"> Complexity 1.92 + Autonomy 0.48 + Accountability 0.12 + Leadership 0.00 + Experience 0.35 + Business impact 0.18
= 3.05 points → nearest level 3 = A3
</t>
          </r>
          <r>
            <rPr>
              <rFont val="Calibri"/>
              <b val="1"/>
              <sz val="10"/>
            </rPr>
            <t>Final level:</t>
          </r>
          <r>
            <rPr>
              <rFont val="Calibri"/>
              <sz val="10"/>
            </rPr>
            <t xml:space="preserve"> A3 · same as the score</t>
          </r>
        </is>
      </c>
      <c r="AV14" s="131" t="inlineStr">
        <is>
          <r>
            <rPr>
              <rFont val="Calibri"/>
              <b val="1"/>
              <sz val="10"/>
            </rPr>
            <t>No rule applied:</t>
          </r>
          <r>
            <rPr>
              <rFont val="Calibri"/>
              <sz val="10"/>
            </rPr>
            <t xml:space="preserve"> the score decides.</t>
          </r>
        </is>
      </c>
      <c r="AW14"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Playwright UI/API automation, Jenkins integration, root-cause analysis of flaky tests and production defects → matches the start
</t>
          </r>
          <r>
            <rPr>
              <rFont val="Calibri"/>
              <b val="1"/>
              <sz val="10"/>
            </rPr>
            <t>KRA:</t>
          </r>
          <r>
            <rPr>
              <rFont val="Calibri"/>
              <sz val="10"/>
            </rPr>
            <t xml:space="preserve"> “1. Prepare comprehensive and maintainable test cases based on business requirements and user stories. 2.Ensure the delivery of high-quality…”
</t>
          </r>
          <r>
            <rPr>
              <rFont val="Calibri"/>
              <b val="1"/>
              <sz val="10"/>
            </rPr>
            <t>Market:</t>
          </r>
          <r>
            <rPr>
              <rFont val="Calibri"/>
              <sz val="10"/>
            </rPr>
            <t xml:space="preserve"> A3 = Varied and non-standard work; handles exceptions</t>
          </r>
        </is>
      </c>
      <c r="AX14"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what tasks or features to automate, when to test manually, and raises bugs → matches the start
</t>
          </r>
          <r>
            <rPr>
              <rFont val="Calibri"/>
              <b val="1"/>
              <sz val="10"/>
            </rPr>
            <t>Market:</t>
          </r>
          <r>
            <rPr>
              <rFont val="Calibri"/>
              <sz val="10"/>
            </rPr>
            <t xml:space="preserve"> A3 = Technical / QC / client calls on own work</t>
          </r>
        </is>
      </c>
      <c r="AY14"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Answers for iDeal automated suites in Jenkins, defects to closure, and production-defect RCA → matches the start
</t>
          </r>
          <r>
            <rPr>
              <rFont val="Calibri"/>
              <b val="1"/>
              <sz val="10"/>
            </rPr>
            <t>KRA:</t>
          </r>
          <r>
            <rPr>
              <rFont val="Calibri"/>
              <sz val="10"/>
            </rPr>
            <t xml:space="preserve"> “1. Prepare comprehensive and maintainable test cases based on business requirements and user stories. 2.Ensure the delivery of high-quality…”
</t>
          </r>
          <r>
            <rPr>
              <rFont val="Calibri"/>
              <b val="1"/>
              <sz val="10"/>
            </rPr>
            <t>Market:</t>
          </r>
          <r>
            <rPr>
              <rFont val="Calibri"/>
              <sz val="10"/>
            </rPr>
            <t xml:space="preserve"> A3 = A module / process, or work with client or regulatory consequences</t>
          </r>
        </is>
      </c>
      <c r="AZ14" s="133"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4" s="133" t="inlineStr">
        <is>
          <r>
            <rPr>
              <rFont val="Calibri"/>
              <sz val="10"/>
            </rPr>
            <t xml:space="preserve">Rated 3.5 of 12 · between A3 and B1
</t>
          </r>
          <r>
            <rPr>
              <rFont val="Calibri"/>
              <b val="1"/>
              <sz val="10"/>
            </rPr>
            <t>Experience:</t>
          </r>
          <r>
            <rPr>
              <rFont val="Calibri"/>
              <sz val="10"/>
            </rPr>
            <t xml:space="preserve"> 4.3 yrs total · 3.4 before IRIS + 0.9 at IRIS = 3.5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4" s="133"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4" s="134" t="inlineStr"/>
      <c r="BD14" s="135" t="inlineStr">
        <is>
          <t>✓ HRIS: 4.3 yrs, B.Tech, 0 direct reports
✓ Survey: 20 of 20 questions answered
✓ KRAs: self, manager-set, quarterly
✓ Manager mapping: rating, potential, 9-box
✗ Job description: not on file</t>
        </is>
      </c>
      <c r="BE14" s="135"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14" s="135" t="inlineStr">
        <is>
          <t>High</t>
        </is>
      </c>
      <c r="BG14" s="135" t="inlineStr"/>
      <c r="BH14" s="135" t="inlineStr"/>
      <c r="BI14" s="136" t="n"/>
      <c r="BJ14" s="137" t="n"/>
      <c r="BK14" s="137" t="n"/>
      <c r="BL14" s="137" t="n"/>
      <c r="BM14" s="137" t="n"/>
      <c r="BN14" s="138" t="n"/>
      <c r="BO14" s="121" t="n"/>
      <c r="BP14" s="121" t="n"/>
      <c r="BQ14" s="121" t="n"/>
      <c r="BR14" s="121" t="n"/>
      <c r="BS14" s="121" t="n"/>
      <c r="BT14" s="121" t="n"/>
      <c r="BU14" s="121" t="n"/>
      <c r="BV14" s="121" t="n">
        <v>3</v>
      </c>
    </row>
    <row r="15" ht="340" customHeight="1">
      <c r="A15" s="109" t="inlineStr">
        <is>
          <t>IRIS2522</t>
        </is>
      </c>
      <c r="B15" s="110" t="inlineStr">
        <is>
          <t>Tulasiram Chand</t>
        </is>
      </c>
      <c r="C15" s="111" t="inlineStr">
        <is>
          <t>Quality Assurance</t>
        </is>
      </c>
      <c r="D15" s="111" t="inlineStr">
        <is>
          <t>Reena Gotal</t>
        </is>
      </c>
      <c r="E15" s="112" t="n">
        <v>4.4</v>
      </c>
      <c r="F15" s="112" t="n">
        <v>0.4</v>
      </c>
      <c r="G15" s="111" t="inlineStr">
        <is>
          <t>MCA</t>
        </is>
      </c>
      <c r="H15" s="113" t="inlineStr">
        <is>
          <t>QA Automation Engineer</t>
        </is>
      </c>
      <c r="I15" s="114" t="inlineStr">
        <is>
          <t>Senior QA Automation Engineer</t>
        </is>
      </c>
      <c r="J15" s="115" t="inlineStr">
        <is>
          <t>Quality Assurance</t>
        </is>
      </c>
      <c r="K15" s="115" t="inlineStr">
        <is>
          <t>Test Automation</t>
        </is>
      </c>
      <c r="L15" s="114" t="inlineStr">
        <is>
          <t>L3 – Professional / Associate</t>
        </is>
      </c>
      <c r="M15" s="141" t="inlineStr">
        <is>
          <t>A3</t>
        </is>
      </c>
      <c r="N15" s="117" t="inlineStr">
        <is>
          <t>Senior Associate</t>
        </is>
      </c>
      <c r="O15" s="26" t="inlineStr">
        <is>
          <t>A</t>
        </is>
      </c>
      <c r="P15" s="115" t="inlineStr">
        <is>
          <t>IC</t>
        </is>
      </c>
      <c r="Q15" s="142" t="inlineStr">
        <is>
          <t>▲ Up</t>
        </is>
      </c>
      <c r="R15" s="119" t="inlineStr">
        <is>
          <r>
            <rPr>
              <rFont val="Calibri"/>
              <b val="1"/>
              <sz val="10"/>
            </rPr>
            <t>WHAT THE ROLE DOES:</t>
          </r>
          <r>
            <rPr>
              <rFont val="Calibri"/>
              <sz val="10"/>
            </rPr>
            <t xml:space="preserve"> 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
</t>
          </r>
          <r>
            <rPr>
              <rFont val="Calibri"/>
              <b val="1"/>
              <sz val="10"/>
            </rPr>
            <t>KEY RESPONSIBILITIES:</t>
          </r>
          <r>
            <rPr>
              <rFont val="Calibri"/>
              <sz val="10"/>
            </rPr>
            <t xml:space="preserve"> 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reports · software · scripts · quality · test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test · automation · quality · accountable · defect · identification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t>
          </r>
          <r>
            <rPr>
              <rFont val="Calibri"/>
              <b val="1"/>
              <sz val="10"/>
            </rPr>
            <t>SKILLS &amp; KNOWLEDGE · role-holders:</t>
          </r>
          <r>
            <rPr>
              <rFont val="Calibri"/>
              <sz val="10"/>
            </rPr>
            <t xml:space="preserve"> Software Testing · Manual testing · Playwright
</t>
          </r>
          <r>
            <rPr>
              <rFont val="Calibri"/>
              <b val="1"/>
              <sz val="10"/>
            </rPr>
            <t>TOOLS &amp; SYSTEMS:</t>
          </r>
          <r>
            <rPr>
              <rFont val="Calibri"/>
              <sz val="10"/>
            </rPr>
            <t xml:space="preserve"> Postman
</t>
          </r>
          <r>
            <rPr>
              <rFont val="Calibri"/>
              <b val="1"/>
              <sz val="10"/>
            </rPr>
            <t>MANAGER-SET KRAs:</t>
          </r>
          <r>
            <rPr>
              <rFont val="Calibri"/>
              <sz val="10"/>
            </rPr>
            <t xml:space="preserve"> Common themes in manager-set KRAs: test coverage · business · automation · knowledge · activities · comprehensive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6 holders, 6 answered the survey; sub-family 8 answered; catalogue RC-146</t>
          </r>
        </is>
      </c>
      <c r="S15"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testing · product · defects.
</t>
          </r>
          <r>
            <rPr>
              <rFont val="Calibri"/>
              <b val="1"/>
              <sz val="10"/>
            </rPr>
            <t>Measured on · manager-set KRA themes:</t>
          </r>
          <r>
            <rPr>
              <rFont val="Calibri"/>
              <sz val="10"/>
            </rPr>
            <t xml:space="preserve"> test coverage · business · automation · knowledge · activities · comprehensive.
Manager talent mapping — Latest rating: 3 · Potential: Medium · 9-Box Grid placement: Reliable Specialist.</t>
          </r>
        </is>
      </c>
      <c r="T15" s="121" t="n"/>
      <c r="U15" s="122" t="inlineStr">
        <is>
          <r>
            <rPr>
              <rFont val="Calibri"/>
              <sz val="10"/>
            </rPr>
            <t xml:space="preserve">Senior QA Automation Engineer in Quality Assurance · iDEAL, A3 — IC.
</t>
          </r>
          <r>
            <rPr>
              <rFont val="Calibri"/>
              <b val="1"/>
              <sz val="10"/>
            </rPr>
            <t>The work:</t>
          </r>
          <r>
            <rPr>
              <rFont val="Calibri"/>
              <sz val="10"/>
            </rPr>
            <t xml:space="preserve"> Builds and runs automated UI/API test suites integrated with CI.
At this level the role owns varied work; reviews juniors; go-to for a process.
</t>
          </r>
          <r>
            <rPr>
              <rFont val="Calibri"/>
              <b val="1"/>
              <sz val="10"/>
            </rPr>
            <t>Key responsibilities:</t>
          </r>
          <r>
            <rPr>
              <rFont val="Calibri"/>
              <sz val="10"/>
            </rPr>
            <t xml:space="preserve"> Builds and runs automated UI/API test suites integrated with CI; Varied and non-standard work; handles exceptions; A module / process, or work with client or regulatory consequences.
</t>
          </r>
          <r>
            <rPr>
              <rFont val="Calibri"/>
              <b val="1"/>
              <sz val="10"/>
            </rPr>
            <t>Holders describe it with:</t>
          </r>
          <r>
            <rPr>
              <rFont val="Calibri"/>
              <sz val="10"/>
            </rPr>
            <t xml:space="preserve"> testing · scripts · defects · testcase · automation · report.</t>
          </r>
        </is>
      </c>
      <c r="V15" s="123"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5" s="123"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Manual testing · Playwright
</t>
          </r>
          <r>
            <rPr>
              <rFont val="Calibri"/>
              <b val="1"/>
              <sz val="10"/>
            </rPr>
            <t>TOOLS:</t>
          </r>
          <r>
            <rPr>
              <rFont val="Calibri"/>
              <sz val="10"/>
            </rPr>
            <t xml:space="preserve"> Postman
★ = must-have for the family. Scale: 1 Awareness · 2 Working · 3 Practitioner · 4 Advanced · 5 Expert.</t>
          </r>
        </is>
      </c>
      <c r="X15" s="123"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 s="124" t="inlineStr">
        <is>
          <t>iDEAL · Quality Assurance · Band A · Early career</t>
        </is>
      </c>
      <c r="Z15" s="125" t="n">
        <v>3</v>
      </c>
      <c r="AA15" s="126">
        <f>IFERROR(INDEX(WM_C,MATCH($Y15,WM_KEY,0)),"")</f>
        <v>0.64</v>
      </c>
      <c r="AB15" s="127">
        <f>IF(Z15="","",Z15*AA15)</f>
        <v>1.92</v>
      </c>
      <c r="AC15" s="125" t="n">
        <v>2.5</v>
      </c>
      <c r="AD15" s="126">
        <f>IFERROR(INDEX(WM_AU,MATCH($Y15,WM_KEY,0)),"")</f>
        <v>0.16</v>
      </c>
      <c r="AE15" s="127">
        <f>IF(AC15="","",AC15*AD15)</f>
        <v>0.4</v>
      </c>
      <c r="AF15" s="125" t="n">
        <v>2.5</v>
      </c>
      <c r="AG15" s="126">
        <f>IFERROR(INDEX(WM_AC,MATCH($Y15,WM_KEY,0)),"")</f>
        <v>0.04</v>
      </c>
      <c r="AH15" s="127">
        <f>IF(AF15="","",AF15*AG15)</f>
        <v>0.1</v>
      </c>
      <c r="AI15" s="125" t="n">
        <v>1.5</v>
      </c>
      <c r="AJ15" s="126">
        <f>IFERROR(INDEX(WM_L,MATCH($Y15,WM_KEY,0)),"")</f>
        <v>0</v>
      </c>
      <c r="AK15" s="127">
        <f>IF(AI15="","",AI15*AJ15)</f>
        <v>0</v>
      </c>
      <c r="AL15" s="125" t="n">
        <v>4</v>
      </c>
      <c r="AM15" s="126">
        <f>IFERROR(INDEX(WM_E,MATCH($Y15,WM_KEY,0)),"")</f>
        <v>0.1</v>
      </c>
      <c r="AN15" s="127">
        <f>IF(AL15="","",AL15*AM15)</f>
        <v>0.4</v>
      </c>
      <c r="AO15" s="128" t="n">
        <v>2.5</v>
      </c>
      <c r="AP15" s="126">
        <f>IFERROR(INDEX(WM_BI,MATCH($Y15,WM_KEY,0)),"")</f>
        <v>0.06</v>
      </c>
      <c r="AQ15" s="127">
        <f>IF(AO15="","",AO15*AP15)</f>
        <v>0.15</v>
      </c>
      <c r="AR15" s="127">
        <f>IF(COUNT(AB15,AE15,AH15,AK15,AN15,AQ15)&lt;6,"",SUM(AB15,AE15,AH15,AK15,AN15,AQ15))</f>
        <v>2.97</v>
      </c>
      <c r="AS15" s="129" t="str">
        <f>IF(AR15="","",INDEX({"A1","A2","A3","B1","B2","B3","C1","C2","D1","D2","E1","E2"},MAX(1,MIN(12,ROUND(AR15,0)))))</f>
        <v>A3</v>
      </c>
      <c r="AT15"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5" s="131" t="inlineStr">
        <is>
          <r>
            <rPr>
              <rFont val="Calibri"/>
              <b val="1"/>
              <sz val="10"/>
            </rPr>
            <t>At build:</t>
          </r>
          <r>
            <rPr>
              <rFont val="Calibri"/>
              <sz val="10"/>
            </rPr>
            <t xml:space="preserve"> Complexity 1.92 + Autonomy 0.40 + Accountability 0.10 + Leadership 0.00 + Experience 0.40 + Business impact 0.15
= 2.97 points → nearest level 3 = A3
</t>
          </r>
          <r>
            <rPr>
              <rFont val="Calibri"/>
              <b val="1"/>
              <sz val="10"/>
            </rPr>
            <t>Final level:</t>
          </r>
          <r>
            <rPr>
              <rFont val="Calibri"/>
              <sz val="10"/>
            </rPr>
            <t xml:space="preserve"> A3 · same as the score</t>
          </r>
        </is>
      </c>
      <c r="AV15" s="131" t="inlineStr">
        <is>
          <r>
            <rPr>
              <rFont val="Calibri"/>
              <b val="1"/>
              <sz val="10"/>
            </rPr>
            <t>No rule applied:</t>
          </r>
          <r>
            <rPr>
              <rFont val="Calibri"/>
              <sz val="10"/>
            </rPr>
            <t xml:space="preserve"> the score decides.</t>
          </r>
        </is>
      </c>
      <c r="AW15"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Playwright/Cucumber scripts, API and database testing, Windows/Linux runs, CI/CD pipeline integration → matches the start
</t>
          </r>
          <r>
            <rPr>
              <rFont val="Calibri"/>
              <b val="1"/>
              <sz val="10"/>
            </rPr>
            <t>KRA:</t>
          </r>
          <r>
            <rPr>
              <rFont val="Calibri"/>
              <sz val="10"/>
            </rPr>
            <t xml:space="preserve"> “1. Prepare comprehensive and maintainable test cases based on business requirements and user stories. 2.Ensure the delivery of high-quality…”
</t>
          </r>
          <r>
            <rPr>
              <rFont val="Calibri"/>
              <b val="1"/>
              <sz val="10"/>
            </rPr>
            <t>Market:</t>
          </r>
          <r>
            <rPr>
              <rFont val="Calibri"/>
              <sz val="10"/>
            </rPr>
            <t xml:space="preserve"> A3 = Varied and non-standard work; handles exceptions</t>
          </r>
        </is>
      </c>
      <c r="AX15" s="133"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Decisions listed are generic · 'identify issues, find solutions'; KRA says existing framework is used → moved down 0.5
</t>
          </r>
          <r>
            <rPr>
              <rFont val="Calibri"/>
              <b val="1"/>
              <sz val="10"/>
            </rPr>
            <t>Market:</t>
          </r>
          <r>
            <rPr>
              <rFont val="Calibri"/>
              <sz val="10"/>
            </rPr>
            <t xml:space="preserve"> A2 = Chooses own approach within standards · A3 = Technical / QC / client calls on own work</t>
          </r>
        </is>
      </c>
      <c r="AY15" s="133"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Own automation scripts, reliability of test results and coverage reporting → moved down 0.5
</t>
          </r>
          <r>
            <rPr>
              <rFont val="Calibri"/>
              <b val="1"/>
              <sz val="10"/>
            </rPr>
            <t>KRA:</t>
          </r>
          <r>
            <rPr>
              <rFont val="Calibri"/>
              <sz val="10"/>
            </rPr>
            <t xml:space="preserve"> “1. Prepare comprehensive and maintainable test cases based on business requirements and user stories. 2.Ensure the delivery of high-quality…”
</t>
          </r>
          <r>
            <rPr>
              <rFont val="Calibri"/>
              <b val="1"/>
              <sz val="10"/>
            </rPr>
            <t>Market:</t>
          </r>
          <r>
            <rPr>
              <rFont val="Calibri"/>
              <sz val="10"/>
            </rPr>
            <t xml:space="preserve"> A2 = Own deliverables · accuracy, TAT · A3 = A module / process, or work with client or regulatory consequences</t>
          </r>
        </is>
      </c>
      <c r="AZ15" s="133"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5" s="133" t="inlineStr">
        <is>
          <r>
            <rPr>
              <rFont val="Calibri"/>
              <sz val="10"/>
            </rPr>
            <t xml:space="preserve">Rated 4 of 12
</t>
          </r>
          <r>
            <rPr>
              <rFont val="Calibri"/>
              <b val="1"/>
              <sz val="10"/>
            </rPr>
            <t>Experience:</t>
          </r>
          <r>
            <rPr>
              <rFont val="Calibri"/>
              <sz val="10"/>
            </rPr>
            <t xml:space="preserve"> 4.4 yrs total · 4.0 before IRIS + 0.4 at IRIS = 3.6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A3 roles typically have 2–5 yrs · IRIS guide 2–4</t>
          </r>
        </is>
      </c>
      <c r="BB15" s="133"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5" s="134" t="inlineStr"/>
      <c r="BD15" s="135" t="inlineStr">
        <is>
          <t>✓ HRIS: 4.4 yrs, MCA, 0 direct reports
✓ Survey: 20 of 20 questions answered
✓ KRAs: self, manager-set, quarterly
✓ Manager mapping: rating, potential, 9-box
✗ Job description: not on file</t>
        </is>
      </c>
      <c r="BE15" s="135"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15" s="135" t="inlineStr">
        <is>
          <t>High</t>
        </is>
      </c>
      <c r="BG15" s="135" t="inlineStr"/>
      <c r="BH15" s="135" t="inlineStr"/>
      <c r="BI15" s="136" t="n"/>
      <c r="BJ15" s="137" t="n"/>
      <c r="BK15" s="137" t="n"/>
      <c r="BL15" s="137" t="n"/>
      <c r="BM15" s="137" t="n"/>
      <c r="BN15" s="138" t="n"/>
      <c r="BO15" s="121" t="n"/>
      <c r="BP15" s="121" t="n"/>
      <c r="BQ15" s="121" t="n"/>
      <c r="BR15" s="121" t="n"/>
      <c r="BS15" s="121" t="n"/>
      <c r="BT15" s="121" t="n"/>
      <c r="BU15" s="121" t="n"/>
      <c r="BV15" s="121" t="n">
        <v>2.5</v>
      </c>
    </row>
    <row r="16" ht="340" customHeight="1">
      <c r="A16" s="109" t="inlineStr">
        <is>
          <t>IRIS2505</t>
        </is>
      </c>
      <c r="B16" s="110" t="inlineStr">
        <is>
          <t>Rohit Patil</t>
        </is>
      </c>
      <c r="C16" s="111" t="inlineStr">
        <is>
          <t>Sales</t>
        </is>
      </c>
      <c r="D16" s="111" t="inlineStr">
        <is>
          <t>Hemant Karale</t>
        </is>
      </c>
      <c r="E16" s="112" t="n">
        <v>16.5</v>
      </c>
      <c r="F16" s="112" t="n">
        <v>0.5</v>
      </c>
      <c r="G16" s="111" t="inlineStr">
        <is>
          <t>MBA</t>
        </is>
      </c>
      <c r="H16" s="113" t="inlineStr">
        <is>
          <t>Manager Sales</t>
        </is>
      </c>
      <c r="I16" s="114" t="inlineStr">
        <is>
          <t>Senior Account Executive</t>
        </is>
      </c>
      <c r="J16" s="115" t="inlineStr">
        <is>
          <t>Sales &amp; Business Development</t>
        </is>
      </c>
      <c r="K16" s="115" t="inlineStr">
        <is>
          <t>Enterprise Sales &amp; Account Management</t>
        </is>
      </c>
      <c r="L16" s="115" t="inlineStr">
        <is>
          <t>L5 – Manager</t>
        </is>
      </c>
      <c r="M16" s="140" t="inlineStr">
        <is>
          <t>B2</t>
        </is>
      </c>
      <c r="N16" s="18" t="inlineStr">
        <is>
          <t>Senior Specialist</t>
        </is>
      </c>
      <c r="O16" s="20" t="inlineStr">
        <is>
          <t>B</t>
        </is>
      </c>
      <c r="P16" s="115" t="inlineStr">
        <is>
          <t>IC</t>
        </is>
      </c>
      <c r="Q16" s="118" t="inlineStr">
        <is>
          <t>• Same level</t>
        </is>
      </c>
      <c r="R16" s="119" t="inlineStr">
        <is>
          <r>
            <rPr>
              <rFont val="Calibri"/>
              <b val="1"/>
              <sz val="10"/>
            </rPr>
            <t>WHAT THE ROLE DOES:</t>
          </r>
          <r>
            <rPr>
              <rFont val="Calibri"/>
              <sz val="10"/>
            </rPr>
            <t xml:space="preserve"> Runs discovery, demos, proposals and negotiations; closes and grows accounts. At B2: deep domain expertise, or one team.
</t>
          </r>
          <r>
            <rPr>
              <rFont val="Calibri"/>
              <b val="1"/>
              <sz val="10"/>
            </rPr>
            <t>Common themes in sub-family holders, all levels' answers:</t>
          </r>
          <r>
            <rPr>
              <rFont val="Calibri"/>
              <sz val="10"/>
            </rPr>
            <t xml:space="preserve"> sales · company · revenue
</t>
          </r>
          <r>
            <rPr>
              <rFont val="Calibri"/>
              <b val="1"/>
              <sz val="10"/>
            </rPr>
            <t>KEY RESPONSIBILITIES:</t>
          </r>
          <r>
            <rPr>
              <rFont val="Calibri"/>
              <sz val="10"/>
            </rPr>
            <t xml:space="preserve"> Runs discovery, demos, proposals and negotiations; closes and grows accounts; Hardest problems in the domain; One team or a client portfolio
</t>
          </r>
          <r>
            <rPr>
              <rFont val="Calibri"/>
              <b val="1"/>
              <sz val="10"/>
            </rPr>
            <t>Common themes in sub-family holders, all levels' answers:</t>
          </r>
          <r>
            <rPr>
              <rFont val="Calibri"/>
              <sz val="10"/>
            </rPr>
            <t xml:space="preserve"> ups · follow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client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revenue · client · target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meeting
</t>
          </r>
          <r>
            <rPr>
              <rFont val="Calibri"/>
              <b val="1"/>
              <sz val="10"/>
            </rPr>
            <t>SKILLS &amp; KNOWLEDGE · role-holders:</t>
          </r>
          <r>
            <rPr>
              <rFont val="Calibri"/>
              <sz val="10"/>
            </rPr>
            <t xml:space="preserve"> Sales
</t>
          </r>
          <r>
            <rPr>
              <rFont val="Calibri"/>
              <b val="1"/>
              <sz val="10"/>
            </rPr>
            <t>TOOLS &amp; SYSTEMS:</t>
          </r>
          <r>
            <rPr>
              <rFont val="Calibri"/>
              <sz val="10"/>
            </rPr>
            <t xml:space="preserve"> Excel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1 holder, 1 answered the survey; sub-family 4 answered; catalogue RC-152</t>
          </r>
        </is>
      </c>
      <c r="S16"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Manager talent mapping — Latest rating: 2 · 9-Box Grid placement: Not placed · manager.</t>
          </r>
        </is>
      </c>
      <c r="T16" s="121" t="n"/>
      <c r="U16" s="122" t="inlineStr">
        <is>
          <r>
            <rPr>
              <rFont val="Calibri"/>
              <sz val="10"/>
            </rPr>
            <t xml:space="preserve">Senior Account Executive in Sales · iDEAL, B2 — IC.
</t>
          </r>
          <r>
            <rPr>
              <rFont val="Calibri"/>
              <b val="1"/>
              <sz val="10"/>
            </rPr>
            <t>The work:</t>
          </r>
          <r>
            <rPr>
              <rFont val="Calibri"/>
              <sz val="10"/>
            </rPr>
            <t xml:space="preserve"> Runs discovery, demos, proposals and negotiations; closes and grows accounts.
At this level the role owns deep domain expertise, or one team.
</t>
          </r>
          <r>
            <rPr>
              <rFont val="Calibri"/>
              <b val="1"/>
              <sz val="10"/>
            </rPr>
            <t>Key responsibilities:</t>
          </r>
          <r>
            <rPr>
              <rFont val="Calibri"/>
              <sz val="10"/>
            </rPr>
            <t xml:space="preserve"> Runs discovery, demos, proposals and negotiations; closes and grows accounts; Hardest problems in the domain; One team or a client portfolio.
</t>
          </r>
          <r>
            <rPr>
              <rFont val="Calibri"/>
              <b val="1"/>
              <sz val="10"/>
            </rPr>
            <t>Holders describe it with:</t>
          </r>
          <r>
            <rPr>
              <rFont val="Calibri"/>
              <sz val="10"/>
            </rPr>
            <t xml:space="preserve"> ups · follow.</t>
          </r>
        </is>
      </c>
      <c r="V16" s="123" t="inlineStr">
        <is>
          <r>
            <rPr>
              <rFont val="Calibri"/>
              <b val="1"/>
              <sz val="10"/>
            </rPr>
            <t>Hire as:</t>
          </r>
          <r>
            <rPr>
              <rFont val="Calibri"/>
              <sz val="10"/>
            </rPr>
            <t xml:space="preserve"> Senior Account Executive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MBA preferred from B2
</t>
          </r>
          <r>
            <rPr>
              <rFont val="Calibri"/>
              <b val="1"/>
              <sz val="10"/>
            </rPr>
            <t>Equivalent titles at peers:</t>
          </r>
          <r>
            <rPr>
              <rFont val="Calibri"/>
              <sz val="10"/>
            </rPr>
            <t xml:space="preserve"> IRIS Vs Competitor Benchmark — SaaS sales ladder — IC – Mid-Market AE · IRIS Vs Competitor Benchmark — SaaS sales ladder — management – Sales Manager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16" s="123" t="inlineStr">
        <is>
          <r>
            <rPr>
              <rFont val="Calibri"/>
              <sz val="10"/>
            </rPr>
            <t xml:space="preserve">FUNCTIONAL — skill level 4 of 5 · Advanced
 ★ Sales, Negotiation &amp; Account Growth: Owns key accounts; negotiates complex deals; grows revenue
 ★ Marketing Tech &amp; Digital Marketing: Owns digital strategy, funnel and marketing analytics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Sales
</t>
          </r>
          <r>
            <rPr>
              <rFont val="Calibri"/>
              <b val="1"/>
              <sz val="10"/>
            </rPr>
            <t>TOOLS:</t>
          </r>
          <r>
            <rPr>
              <rFont val="Calibri"/>
              <sz val="10"/>
            </rPr>
            <t xml:space="preserve"> Excel
★ = must-have for the family. Scale: 1 Awareness · 2 Working · 3 Practitioner · 4 Advanced · 5 Expert.</t>
          </r>
        </is>
      </c>
      <c r="X16" s="123" t="inlineStr">
        <is>
          <r>
            <rPr>
              <rFont val="Calibri"/>
              <sz val="10"/>
            </rPr>
            <t xml:space="preserve">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6" s="124" t="inlineStr">
        <is>
          <t>iDEAL · Sales · Band B · Expert / POD Lead</t>
        </is>
      </c>
      <c r="Z16" s="125" t="n">
        <v>4.5</v>
      </c>
      <c r="AA16" s="126">
        <f>IFERROR(INDEX(WM_C,MATCH($Y16,WM_KEY,0)),"")</f>
        <v>0.46</v>
      </c>
      <c r="AB16" s="127">
        <f>IF(Z16="","",Z16*AA16)</f>
        <v>2.07</v>
      </c>
      <c r="AC16" s="125" t="n">
        <v>4.5</v>
      </c>
      <c r="AD16" s="126">
        <f>IFERROR(INDEX(WM_AU,MATCH($Y16,WM_KEY,0)),"")</f>
        <v>0.22</v>
      </c>
      <c r="AE16" s="127">
        <f>IF(AC16="","",AC16*AD16)</f>
        <v>0.99</v>
      </c>
      <c r="AF16" s="125" t="n">
        <v>5</v>
      </c>
      <c r="AG16" s="126">
        <f>IFERROR(INDEX(WM_AC,MATCH($Y16,WM_KEY,0)),"")</f>
        <v>0.05</v>
      </c>
      <c r="AH16" s="127">
        <f>IF(AF16="","",AF16*AG16)</f>
        <v>0.25</v>
      </c>
      <c r="AI16" s="125" t="n">
        <v>3.5</v>
      </c>
      <c r="AJ16" s="126">
        <f>IFERROR(INDEX(WM_L,MATCH($Y16,WM_KEY,0)),"")</f>
        <v>0.05</v>
      </c>
      <c r="AK16" s="127">
        <f>IF(AI16="","",AI16*AJ16)</f>
        <v>0.175</v>
      </c>
      <c r="AL16" s="125" t="n">
        <v>9</v>
      </c>
      <c r="AM16" s="126">
        <f>IFERROR(INDEX(WM_E,MATCH($Y16,WM_KEY,0)),"")</f>
        <v>0.1</v>
      </c>
      <c r="AN16" s="127">
        <f>IF(AL16="","",AL16*AM16)</f>
        <v>0.9</v>
      </c>
      <c r="AO16" s="128" t="n">
        <v>5</v>
      </c>
      <c r="AP16" s="126">
        <f>IFERROR(INDEX(WM_BI,MATCH($Y16,WM_KEY,0)),"")</f>
        <v>0.12</v>
      </c>
      <c r="AQ16" s="127">
        <f>IF(AO16="","",AO16*AP16)</f>
        <v>0.6</v>
      </c>
      <c r="AR16" s="127">
        <f>IF(COUNT(AB16,AE16,AH16,AK16,AN16,AQ16)&lt;6,"",SUM(AB16,AE16,AH16,AK16,AN16,AQ16))</f>
        <v>4.985</v>
      </c>
      <c r="AS16" s="129" t="str">
        <f>IF(AR16="","",INDEX({"A1","A2","A3","B1","B2","B3","C1","C2","D1","D2","E1","E2"},MAX(1,MIN(12,ROUND(AR16,0)))))</f>
        <v>B2</v>
      </c>
      <c r="AT16" s="130"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16" s="131" t="inlineStr">
        <is>
          <r>
            <rPr>
              <rFont val="Calibri"/>
              <b val="1"/>
              <sz val="10"/>
            </rPr>
            <t>At build:</t>
          </r>
          <r>
            <rPr>
              <rFont val="Calibri"/>
              <sz val="10"/>
            </rPr>
            <t xml:space="preserve"> Complexity 2.07 + Autonomy 0.99 + Accountability 0.25 + Leadership 0.18 + Experience 0.90 + Business impact 0.60
= 4.99 points → nearest level 5 = B2
</t>
          </r>
          <r>
            <rPr>
              <rFont val="Calibri"/>
              <b val="1"/>
              <sz val="10"/>
            </rPr>
            <t>Final level:</t>
          </r>
          <r>
            <rPr>
              <rFont val="Calibri"/>
              <sz val="10"/>
            </rPr>
            <t xml:space="preserve"> B2 · same as the score</t>
          </r>
        </is>
      </c>
      <c r="AV16" s="131" t="inlineStr">
        <is>
          <r>
            <rPr>
              <rFont val="Calibri"/>
              <b val="1"/>
              <sz val="10"/>
            </rPr>
            <t>No rule applied:</t>
          </r>
          <r>
            <rPr>
              <rFont val="Calibri"/>
              <sz val="10"/>
            </rPr>
            <t xml:space="preserve"> the score decides.</t>
          </r>
        </is>
      </c>
      <c r="AW16"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Sells compliance-automation solutions to banks and NBFCs; lead identification and client research → moved down 0.5
</t>
          </r>
          <r>
            <rPr>
              <rFont val="Calibri"/>
              <b val="1"/>
              <sz val="10"/>
            </rPr>
            <t>KRA:</t>
          </r>
          <r>
            <rPr>
              <rFont val="Calibri"/>
              <sz val="10"/>
            </rPr>
            <t xml:space="preserve"> “1. Revenue Goal: Achieve ARR Revenue Target - 2 Cr &amp; One-Time Revenue Target - 4 Cr in the year 2. Strong Pipe Building: Generate Qualified…”
</t>
          </r>
          <r>
            <rPr>
              <rFont val="Calibri"/>
              <b val="1"/>
              <sz val="10"/>
            </rPr>
            <t>Market:</t>
          </r>
          <r>
            <rPr>
              <rFont val="Calibri"/>
              <sz val="10"/>
            </rPr>
            <t xml:space="preserve"> B1 = Domain specialist work · B2 = Hardest problems in the domain</t>
          </r>
        </is>
      </c>
      <c r="AX16" s="133"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Only 'meeting new clients' named as an independent decision → moved down 0.5
</t>
          </r>
          <r>
            <rPr>
              <rFont val="Calibri"/>
              <b val="1"/>
              <sz val="10"/>
            </rPr>
            <t>Market:</t>
          </r>
          <r>
            <rPr>
              <rFont val="Calibri"/>
              <sz val="10"/>
            </rPr>
            <t xml:space="preserve"> B1 = Technical / QC / client calls for the domain · B2 = Allocates people and sets team priorities</t>
          </r>
        </is>
      </c>
      <c r="AY16" s="133"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own survey / KRA answers · summarised by the rater; not quoted → matches the start
</t>
          </r>
          <r>
            <rPr>
              <rFont val="Calibri"/>
              <b val="1"/>
              <sz val="10"/>
            </rPr>
            <t>KRA:</t>
          </r>
          <r>
            <rPr>
              <rFont val="Calibri"/>
              <sz val="10"/>
            </rPr>
            <t xml:space="preserve"> “1. Revenue Goal: Achieve ARR Revenue Target - 2 Cr &amp; One-Time Revenue Target - 4 Cr in the year 2. Strong Pipe Building: Generate Qualified…”
</t>
          </r>
          <r>
            <rPr>
              <rFont val="Calibri"/>
              <b val="1"/>
              <sz val="10"/>
            </rPr>
            <t>Market:</t>
          </r>
          <r>
            <rPr>
              <rFont val="Calibri"/>
              <sz val="10"/>
            </rPr>
            <t xml:space="preserve"> B2 = One team or a client portfolio</t>
          </r>
        </is>
      </c>
      <c r="AZ16" s="133" t="inlineStr">
        <is>
          <r>
            <rPr>
              <rFont val="Calibri"/>
              <sz val="10"/>
            </rPr>
            <t xml:space="preserve">Rated 3.5 of 12 · between A3 and B1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No guidance or leadership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A3 = Not scored in Band A · B1 = IC: mentors and reviews · People: hands-on team lead of 3–5</t>
          </r>
        </is>
      </c>
      <c r="BA16" s="133" t="inlineStr">
        <is>
          <r>
            <rPr>
              <rFont val="Calibri"/>
              <sz val="10"/>
            </rPr>
            <t xml:space="preserve">Rated 9 of 12
</t>
          </r>
          <r>
            <rPr>
              <rFont val="Calibri"/>
              <b val="1"/>
              <sz val="10"/>
            </rPr>
            <t>Experience:</t>
          </r>
          <r>
            <rPr>
              <rFont val="Calibri"/>
              <sz val="10"/>
            </rPr>
            <t xml:space="preserve"> 16.5 yrs total · 16.0 before IRIS + 0.5 at IRIS = 8.7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B2 roles typically have 6–10 yrs · IRIS guide 6–9</t>
          </r>
        </is>
      </c>
      <c r="BB16" s="133" t="inlineStr">
        <is>
          <r>
            <rPr>
              <rFont val="Calibri"/>
              <sz val="10"/>
            </rPr>
            <t xml:space="preserve">Rated 5 of 12 — a starting estimate.
</t>
          </r>
          <r>
            <rPr>
              <rFont val="Calibri"/>
              <b val="1"/>
              <sz val="10"/>
            </rPr>
            <t>Start:</t>
          </r>
          <r>
            <rPr>
              <rFont val="Calibri"/>
              <sz val="10"/>
            </rPr>
            <t xml:space="preserve"> 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16" s="134" t="inlineStr"/>
      <c r="BD16" s="135" t="inlineStr">
        <is>
          <t>✓ HRIS: 16.5 yrs, MBA, 0 direct reports
✓ Survey: 20 of 20 questions answered
✓ KRAs: manager-set, quarterly
✓ Manager mapping: rating, 9-box — filled from talent-mapping files: rating · tentative Q1
✗ Job description: not on file</t>
        </is>
      </c>
      <c r="BE16" s="135" t="inlineStr">
        <is>
          <r>
            <rPr>
              <rFont val="Calibri"/>
              <b val="1"/>
              <sz val="10"/>
            </rPr>
            <t>Market level:</t>
          </r>
          <r>
            <rPr>
              <rFont val="Calibri"/>
              <sz val="10"/>
            </rPr>
            <t xml:space="preserve"> P4 / M3 · SFIA 4–5
</t>
          </r>
          <r>
            <rPr>
              <rFont val="Calibri"/>
              <b val="1"/>
              <sz val="10"/>
            </rPr>
            <t>Typical title:</t>
          </r>
          <r>
            <rPr>
              <rFont val="Calibri"/>
              <sz val="10"/>
            </rPr>
            <t xml:space="preserve"> Senior Account Executive
</t>
          </r>
          <r>
            <rPr>
              <rFont val="Calibri"/>
              <b val="1"/>
              <sz val="10"/>
            </rPr>
            <t>At peers:</t>
          </r>
          <r>
            <rPr>
              <rFont val="Calibri"/>
              <sz val="10"/>
            </rPr>
            <t xml:space="preserve"> IRIS Vs Competitor Benchmark — SaaS sales ladder — IC: Mid-Market AE · IRIS Vs Competitor Benchmark — SaaS sales ladder — management: Sales Manager
</t>
          </r>
          <r>
            <rPr>
              <rFont val="Calibri"/>
              <b val="1"/>
              <sz val="10"/>
            </rPr>
            <t>Typical experience:</t>
          </r>
          <r>
            <rPr>
              <rFont val="Calibri"/>
              <sz val="10"/>
            </rPr>
            <t xml:space="preserve"> 6–10 yrs · IRIS guide 6–9
</t>
          </r>
          <r>
            <rPr>
              <rFont val="Calibri"/>
              <b val="1"/>
              <sz val="10"/>
            </rPr>
            <t>Standard:</t>
          </r>
          <r>
            <rPr>
              <rFont val="Calibri"/>
              <sz val="10"/>
            </rPr>
            <t xml:space="preserve"> SaaS sales ladder; MEDDICC-style qualification</t>
          </r>
        </is>
      </c>
      <c r="BF16" s="135" t="inlineStr">
        <is>
          <t>Medium</t>
        </is>
      </c>
      <c r="BG16" s="135" t="inlineStr"/>
      <c r="BH16" s="135" t="inlineStr"/>
      <c r="BI16" s="136" t="n"/>
      <c r="BJ16" s="137" t="n"/>
      <c r="BK16" s="137" t="n"/>
      <c r="BL16" s="137" t="n"/>
      <c r="BM16" s="137" t="n"/>
      <c r="BN16" s="138" t="n"/>
      <c r="BO16" s="121" t="n"/>
      <c r="BP16" s="121" t="n"/>
      <c r="BQ16" s="121" t="n"/>
      <c r="BR16" s="121" t="n"/>
      <c r="BS16" s="121" t="n"/>
      <c r="BT16" s="121" t="n"/>
      <c r="BU16" s="121" t="n"/>
      <c r="BV16" s="121" t="n">
        <v>5</v>
      </c>
    </row>
    <row r="17" ht="340" customHeight="1">
      <c r="A17" s="109" t="inlineStr">
        <is>
          <t>IRIS2540</t>
        </is>
      </c>
      <c r="B17" s="110" t="inlineStr">
        <is>
          <t>Deepali Barai</t>
        </is>
      </c>
      <c r="C17" s="111" t="inlineStr">
        <is>
          <t>Sales</t>
        </is>
      </c>
      <c r="D17" s="111" t="inlineStr">
        <is>
          <t>Shreya Jolly</t>
        </is>
      </c>
      <c r="E17" s="112" t="n">
        <v>4.6</v>
      </c>
      <c r="F17" s="112" t="n">
        <v>0.3</v>
      </c>
      <c r="G17" s="111" t="inlineStr">
        <is>
          <t>B.E</t>
        </is>
      </c>
      <c r="H17" s="113" t="inlineStr">
        <is>
          <t>Business Development Manager</t>
        </is>
      </c>
      <c r="I17" s="114" t="inlineStr">
        <is>
          <t>Account Executive</t>
        </is>
      </c>
      <c r="J17" s="115" t="inlineStr">
        <is>
          <t>Sales &amp; Business Development</t>
        </is>
      </c>
      <c r="K17" s="115" t="inlineStr">
        <is>
          <t>Enterprise Sales &amp; Account Management</t>
        </is>
      </c>
      <c r="L17" s="114" t="inlineStr">
        <is>
          <t>Not in current mapping files</t>
        </is>
      </c>
      <c r="M17" s="141" t="inlineStr">
        <is>
          <t>B1</t>
        </is>
      </c>
      <c r="N17" s="18" t="inlineStr">
        <is>
          <t>Specialist</t>
        </is>
      </c>
      <c r="O17" s="20" t="inlineStr">
        <is>
          <t>B</t>
        </is>
      </c>
      <c r="P17" s="115" t="inlineStr">
        <is>
          <t>IC</t>
        </is>
      </c>
      <c r="Q17" s="143" t="inlineStr">
        <is>
          <t>● Newly mapped</t>
        </is>
      </c>
      <c r="R17" s="119" t="inlineStr">
        <is>
          <r>
            <rPr>
              <rFont val="Calibri"/>
              <b val="1"/>
              <sz val="10"/>
            </rPr>
            <t>WHAT THE ROLE DOES:</t>
          </r>
          <r>
            <rPr>
              <rFont val="Calibri"/>
              <sz val="10"/>
            </rPr>
            <t xml:space="preserve"> Runs discovery, demos, proposals and negotiations; closes and grows accounts. At B1: a domain / module, or a small team.
</t>
          </r>
          <r>
            <rPr>
              <rFont val="Calibri"/>
              <b val="1"/>
              <sz val="10"/>
            </rPr>
            <t>Common themes in sub-family holders, all levels' answers:</t>
          </r>
          <r>
            <rPr>
              <rFont val="Calibri"/>
              <sz val="10"/>
            </rPr>
            <t xml:space="preserve"> sales · company · revenue
</t>
          </r>
          <r>
            <rPr>
              <rFont val="Calibri"/>
              <b val="1"/>
              <sz val="10"/>
            </rPr>
            <t>KEY RESPONSIBILITIES:</t>
          </r>
          <r>
            <rPr>
              <rFont val="Calibri"/>
              <sz val="10"/>
            </rPr>
            <t xml:space="preserve"> Runs discovery, demos, proposals and negotiations; closes and grows accounts; Domain specialist work; A domain or a small team
</t>
          </r>
          <r>
            <rPr>
              <rFont val="Calibri"/>
              <b val="1"/>
              <sz val="10"/>
            </rPr>
            <t>Common themes in sub-family holders, all levels' answers:</t>
          </r>
          <r>
            <rPr>
              <rFont val="Calibri"/>
              <sz val="10"/>
            </rPr>
            <t xml:space="preserve"> ups · follow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client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revenue · client · target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meeting
</t>
          </r>
          <r>
            <rPr>
              <rFont val="Calibri"/>
              <b val="1"/>
              <sz val="10"/>
            </rPr>
            <t>SKILLS &amp; KNOWLEDGE · role-holders:</t>
          </r>
          <r>
            <rPr>
              <rFont val="Calibri"/>
              <sz val="10"/>
            </rPr>
            <t xml:space="preserve"> Sales
</t>
          </r>
          <r>
            <rPr>
              <rFont val="Calibri"/>
              <b val="1"/>
              <sz val="10"/>
            </rPr>
            <t>TOOLS &amp; SYSTEMS:</t>
          </r>
          <r>
            <rPr>
              <rFont val="Calibri"/>
              <sz val="10"/>
            </rPr>
            <t xml:space="preserve"> Excel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2 holders, 2 answered the survey; sub-family 4 answered; catalogue RC-151</t>
          </r>
        </is>
      </c>
      <c r="S17"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Manager talent mapping — Latest rating: Not rated · manager · 9-Box Grid placement: Not placed · manager.</t>
          </r>
        </is>
      </c>
      <c r="T17" s="121" t="n"/>
      <c r="U17" s="122" t="inlineStr">
        <is>
          <r>
            <rPr>
              <rFont val="Calibri"/>
              <sz val="10"/>
            </rPr>
            <t xml:space="preserve">Account Executive in Sales · iDEAL, B1 — IC.
</t>
          </r>
          <r>
            <rPr>
              <rFont val="Calibri"/>
              <b val="1"/>
              <sz val="10"/>
            </rPr>
            <t>The work:</t>
          </r>
          <r>
            <rPr>
              <rFont val="Calibri"/>
              <sz val="10"/>
            </rPr>
            <t xml:space="preserve"> Runs discovery, demos, proposals and negotiations; closes and grows accounts.
At this level the role owns a domain / module, or a small team.
</t>
          </r>
          <r>
            <rPr>
              <rFont val="Calibri"/>
              <b val="1"/>
              <sz val="10"/>
            </rPr>
            <t>Key responsibilities:</t>
          </r>
          <r>
            <rPr>
              <rFont val="Calibri"/>
              <sz val="10"/>
            </rPr>
            <t xml:space="preserve"> Runs discovery, demos, proposals and negotiations; closes and grows accounts; Domain specialist work; A domain or a small team.
</t>
          </r>
          <r>
            <rPr>
              <rFont val="Calibri"/>
              <b val="1"/>
              <sz val="10"/>
            </rPr>
            <t>Holders describe it with:</t>
          </r>
          <r>
            <rPr>
              <rFont val="Calibri"/>
              <sz val="10"/>
            </rPr>
            <t xml:space="preserve"> ups · follow.</t>
          </r>
        </is>
      </c>
      <c r="V17" s="123" t="inlineStr">
        <is>
          <r>
            <rPr>
              <rFont val="Calibri"/>
              <b val="1"/>
              <sz val="10"/>
            </rPr>
            <t>Hire as:</t>
          </r>
          <r>
            <rPr>
              <rFont val="Calibri"/>
              <sz val="10"/>
            </rPr>
            <t xml:space="preserve"> Account Executive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MBA preferred from B2
</t>
          </r>
          <r>
            <rPr>
              <rFont val="Calibri"/>
              <b val="1"/>
              <sz val="10"/>
            </rPr>
            <t>Equivalent titles at peers:</t>
          </r>
          <r>
            <rPr>
              <rFont val="Calibri"/>
              <sz val="10"/>
            </rPr>
            <t xml:space="preserve"> IRIS Vs Competitor Benchmark — SaaS sales ladder — IC – Account Executive · SMB · IRIS Vs Competitor Benchmark — SaaS sales ladder — management – SDR Team Lead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17" s="123"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Sales
</t>
          </r>
          <r>
            <rPr>
              <rFont val="Calibri"/>
              <b val="1"/>
              <sz val="10"/>
            </rPr>
            <t>TOOLS:</t>
          </r>
          <r>
            <rPr>
              <rFont val="Calibri"/>
              <sz val="10"/>
            </rPr>
            <t xml:space="preserve"> Excel
★ = must-have for the family. Scale: 1 Awareness · 2 Working · 3 Practitioner · 4 Advanced · 5 Expert.</t>
          </r>
        </is>
      </c>
      <c r="X17" s="123"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7" s="124" t="inlineStr">
        <is>
          <t>iDEAL · Sales · Band B · Expert / POD Lead</t>
        </is>
      </c>
      <c r="Z17" s="125" t="n">
        <v>4</v>
      </c>
      <c r="AA17" s="126">
        <f>IFERROR(INDEX(WM_C,MATCH($Y17,WM_KEY,0)),"")</f>
        <v>0.46</v>
      </c>
      <c r="AB17" s="127">
        <f>IF(Z17="","",Z17*AA17)</f>
        <v>1.84</v>
      </c>
      <c r="AC17" s="125" t="n">
        <v>4</v>
      </c>
      <c r="AD17" s="126">
        <f>IFERROR(INDEX(WM_AU,MATCH($Y17,WM_KEY,0)),"")</f>
        <v>0.22</v>
      </c>
      <c r="AE17" s="127">
        <f>IF(AC17="","",AC17*AD17)</f>
        <v>0.88</v>
      </c>
      <c r="AF17" s="125" t="n">
        <v>4.5</v>
      </c>
      <c r="AG17" s="126">
        <f>IFERROR(INDEX(WM_AC,MATCH($Y17,WM_KEY,0)),"")</f>
        <v>0.05</v>
      </c>
      <c r="AH17" s="127">
        <f>IF(AF17="","",AF17*AG17)</f>
        <v>0.225</v>
      </c>
      <c r="AI17" s="125" t="n">
        <v>3</v>
      </c>
      <c r="AJ17" s="126">
        <f>IFERROR(INDEX(WM_L,MATCH($Y17,WM_KEY,0)),"")</f>
        <v>0.05</v>
      </c>
      <c r="AK17" s="127">
        <f>IF(AI17="","",AI17*AJ17)</f>
        <v>0.15</v>
      </c>
      <c r="AL17" s="125" t="n">
        <v>3.5</v>
      </c>
      <c r="AM17" s="126">
        <f>IFERROR(INDEX(WM_E,MATCH($Y17,WM_KEY,0)),"")</f>
        <v>0.1</v>
      </c>
      <c r="AN17" s="127">
        <f>IF(AL17="","",AL17*AM17)</f>
        <v>0.35</v>
      </c>
      <c r="AO17" s="128" t="n">
        <v>4.5</v>
      </c>
      <c r="AP17" s="126">
        <f>IFERROR(INDEX(WM_BI,MATCH($Y17,WM_KEY,0)),"")</f>
        <v>0.12</v>
      </c>
      <c r="AQ17" s="127">
        <f>IF(AO17="","",AO17*AP17)</f>
        <v>0.54</v>
      </c>
      <c r="AR17" s="127">
        <f>IF(COUNT(AB17,AE17,AH17,AK17,AN17,AQ17)&lt;6,"",SUM(AB17,AE17,AH17,AK17,AN17,AQ17))</f>
        <v>3.985</v>
      </c>
      <c r="AS17" s="129" t="str">
        <f>IF(AR17="","",INDEX({"A1","A2","A3","B1","B2","B3","C1","C2","D1","D2","E1","E2"},MAX(1,MIN(12,ROUND(AR17,0)))))</f>
        <v>B1</v>
      </c>
      <c r="AT17" s="130"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17" s="131" t="inlineStr">
        <is>
          <r>
            <rPr>
              <rFont val="Calibri"/>
              <b val="1"/>
              <sz val="10"/>
            </rPr>
            <t>At build:</t>
          </r>
          <r>
            <rPr>
              <rFont val="Calibri"/>
              <sz val="10"/>
            </rPr>
            <t xml:space="preserve"> Complexity 1.84 + Autonomy 0.88 + Accountability 0.23 + Leadership 0.15 + Experience 0.35 + Business impact 0.54
= 3.99 points → nearest level 4 = B1
</t>
          </r>
          <r>
            <rPr>
              <rFont val="Calibri"/>
              <b val="1"/>
              <sz val="10"/>
            </rPr>
            <t>Final level:</t>
          </r>
          <r>
            <rPr>
              <rFont val="Calibri"/>
              <sz val="10"/>
            </rPr>
            <t xml:space="preserve"> B1 · same as the score</t>
          </r>
        </is>
      </c>
      <c r="AV17" s="131" t="inlineStr">
        <is>
          <r>
            <rPr>
              <rFont val="Calibri"/>
              <b val="1"/>
              <sz val="10"/>
            </rPr>
            <t>No rule applied:</t>
          </r>
          <r>
            <rPr>
              <rFont val="Calibri"/>
              <sz val="10"/>
            </rPr>
            <t xml:space="preserve"> the score decides.</t>
          </r>
        </is>
      </c>
      <c r="AW17" s="132"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Prospecting, cold calls, emails, LinkedIn outreach and client demos for the Africa region → moved down 1
</t>
          </r>
          <r>
            <rPr>
              <rFont val="Calibri"/>
              <b val="1"/>
              <sz val="10"/>
            </rPr>
            <t>Market:</t>
          </r>
          <r>
            <rPr>
              <rFont val="Calibri"/>
              <sz val="10"/>
            </rPr>
            <t xml:space="preserve"> B1 = Domain specialist work</t>
          </r>
        </is>
      </c>
      <c r="AX17" s="133"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Decides only own prospecting and cold calls → moved down 1
</t>
          </r>
          <r>
            <rPr>
              <rFont val="Calibri"/>
              <b val="1"/>
              <sz val="10"/>
            </rPr>
            <t>Market:</t>
          </r>
          <r>
            <rPr>
              <rFont val="Calibri"/>
              <sz val="10"/>
            </rPr>
            <t xml:space="preserve"> B1 = Technical / QC / client calls for the domain</t>
          </r>
        </is>
      </c>
      <c r="AY17" s="133"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Names a revenue target and demo set-up; outputs are meetings, calls and demos for Africa → moved down 0.5
</t>
          </r>
          <r>
            <rPr>
              <rFont val="Calibri"/>
              <b val="1"/>
              <sz val="10"/>
            </rPr>
            <t>Market:</t>
          </r>
          <r>
            <rPr>
              <rFont val="Calibri"/>
              <sz val="10"/>
            </rPr>
            <t xml:space="preserve"> B1 = A domain or a small team · B2 = One team or a client portfolio</t>
          </r>
        </is>
      </c>
      <c r="AZ17" s="133" t="inlineStr">
        <is>
          <r>
            <rPr>
              <rFont val="Calibri"/>
              <sz val="10"/>
            </rPr>
            <t xml:space="preserve">Rated 3 of 12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No guidance or leadership of others described → moved down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17" s="133" t="inlineStr">
        <is>
          <r>
            <rPr>
              <rFont val="Calibri"/>
              <sz val="10"/>
            </rPr>
            <t xml:space="preserve">Rated 3.5 of 12 · between A3 and B1
</t>
          </r>
          <r>
            <rPr>
              <rFont val="Calibri"/>
              <b val="1"/>
              <sz val="10"/>
            </rPr>
            <t>Experience:</t>
          </r>
          <r>
            <rPr>
              <rFont val="Calibri"/>
              <sz val="10"/>
            </rPr>
            <t xml:space="preserve"> 4.6 yrs total · 4.3 before IRIS + 0.3 at IRIS = 3.6 on the experience scale
</t>
          </r>
          <r>
            <rPr>
              <rFont val="Calibri"/>
              <b val="1"/>
              <sz val="10"/>
            </rPr>
            <t>Qualification:</t>
          </r>
          <r>
            <rPr>
              <rFont val="Calibri"/>
              <sz val="10"/>
            </rPr>
            <t xml:space="preserve"> B.E · graduate → no change
</t>
          </r>
          <r>
            <rPr>
              <rFont val="Calibri"/>
              <b val="1"/>
              <sz val="10"/>
            </rPr>
            <t>Market:</t>
          </r>
          <r>
            <rPr>
              <rFont val="Calibri"/>
              <sz val="10"/>
            </rPr>
            <t xml:space="preserve"> B1 roles typically have 4–8 yrs · IRIS guide 4–7</t>
          </r>
        </is>
      </c>
      <c r="BB17" s="133"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17" s="134" t="inlineStr"/>
      <c r="BD17" s="135" t="inlineStr">
        <is>
          <t>✓ HRIS: 4.6 yrs, B.E, 0 direct reports
✓ Survey: 18 of 20 questions answered
✗ KRAs: none on file
✓ Manager mapping: rating, 9-box
✗ Job description: not on file</t>
        </is>
      </c>
      <c r="BE17" s="135" t="inlineStr">
        <is>
          <r>
            <rPr>
              <rFont val="Calibri"/>
              <b val="1"/>
              <sz val="10"/>
            </rPr>
            <t>Market level:</t>
          </r>
          <r>
            <rPr>
              <rFont val="Calibri"/>
              <sz val="10"/>
            </rPr>
            <t xml:space="preserve"> P3 / M2 · SFIA 4 Enable
</t>
          </r>
          <r>
            <rPr>
              <rFont val="Calibri"/>
              <b val="1"/>
              <sz val="10"/>
            </rPr>
            <t>Typical title:</t>
          </r>
          <r>
            <rPr>
              <rFont val="Calibri"/>
              <sz val="10"/>
            </rPr>
            <t xml:space="preserve"> Account Executive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BF17" s="135" t="inlineStr">
        <is>
          <t>High</t>
        </is>
      </c>
      <c r="BG17" s="135" t="inlineStr"/>
      <c r="BH17" s="135" t="inlineStr"/>
      <c r="BI17" s="136" t="n"/>
      <c r="BJ17" s="137" t="n"/>
      <c r="BK17" s="137" t="n"/>
      <c r="BL17" s="137" t="n"/>
      <c r="BM17" s="137" t="n"/>
      <c r="BN17" s="138" t="n"/>
      <c r="BO17" s="121" t="n"/>
      <c r="BP17" s="121" t="n"/>
      <c r="BQ17" s="121" t="n"/>
      <c r="BR17" s="121" t="n"/>
      <c r="BS17" s="121" t="n"/>
      <c r="BT17" s="121" t="n"/>
      <c r="BU17" s="121" t="n"/>
      <c r="BV17" s="121" t="n">
        <v>4.5</v>
      </c>
    </row>
    <row r="18" ht="340" customHeight="1">
      <c r="A18" s="109" t="inlineStr">
        <is>
          <t>IRIS2481</t>
        </is>
      </c>
      <c r="B18" s="110" t="inlineStr">
        <is>
          <t>Shreya Sharma</t>
        </is>
      </c>
      <c r="C18" s="111" t="inlineStr">
        <is>
          <t>Sales</t>
        </is>
      </c>
      <c r="D18" s="111" t="inlineStr">
        <is>
          <t>Shreya Jolly</t>
        </is>
      </c>
      <c r="E18" s="112" t="n">
        <v>4.4</v>
      </c>
      <c r="F18" s="112" t="n">
        <v>0.6</v>
      </c>
      <c r="G18" s="111" t="inlineStr">
        <is>
          <t>B.Com</t>
        </is>
      </c>
      <c r="H18" s="113" t="inlineStr">
        <is>
          <t>Senior Sales Executive</t>
        </is>
      </c>
      <c r="I18" s="114" t="inlineStr">
        <is>
          <t>Senior Alliances Executive</t>
        </is>
      </c>
      <c r="J18" s="115" t="inlineStr">
        <is>
          <t>Sales &amp; Business Development</t>
        </is>
      </c>
      <c r="K18" s="115" t="inlineStr">
        <is>
          <t>Partnerships &amp; Alliances</t>
        </is>
      </c>
      <c r="L18" s="115" t="inlineStr">
        <is>
          <t>L4 – Senior</t>
        </is>
      </c>
      <c r="M18" s="116" t="inlineStr">
        <is>
          <t>A3</t>
        </is>
      </c>
      <c r="N18" s="117" t="inlineStr">
        <is>
          <t>Senior Associate</t>
        </is>
      </c>
      <c r="O18" s="26" t="inlineStr">
        <is>
          <t>A</t>
        </is>
      </c>
      <c r="P18" s="115" t="inlineStr">
        <is>
          <t>IC</t>
        </is>
      </c>
      <c r="Q18" s="118" t="inlineStr">
        <is>
          <t>• Same level</t>
        </is>
      </c>
      <c r="R18" s="119" t="inlineStr">
        <is>
          <r>
            <rPr>
              <rFont val="Calibri"/>
              <b val="1"/>
              <sz val="10"/>
            </rPr>
            <t>WHAT THE ROLE DOES:</t>
          </r>
          <r>
            <rPr>
              <rFont val="Calibri"/>
              <sz val="10"/>
            </rPr>
            <t xml:space="preserve"> Builds and manages partner / alliance revenue. At A3: varied work; reviews juniors; go-to for a process.
</t>
          </r>
          <r>
            <rPr>
              <rFont val="Calibri"/>
              <b val="1"/>
              <sz val="10"/>
            </rPr>
            <t>KEY RESPONSIBILITIES:</t>
          </r>
          <r>
            <rPr>
              <rFont val="Calibri"/>
              <sz val="10"/>
            </rPr>
            <t xml:space="preserve"> Builds and manages partner / alliance revenue;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Sales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only · fewer than 3 answered — 1 holder, 1 answered the survey; sub-family 2 answered; catalogue RC-159</t>
          </r>
        </is>
      </c>
      <c r="S18"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From the survey and manager mapping — critical role: yes; successor named: no.
Manager talent mapping — Latest rating: 3 · Potential: High · 9-Box Grid placement: Emerging Talent.</t>
          </r>
        </is>
      </c>
      <c r="T18" s="121" t="n"/>
      <c r="U18" s="122" t="inlineStr">
        <is>
          <r>
            <rPr>
              <rFont val="Calibri"/>
              <sz val="10"/>
            </rPr>
            <t xml:space="preserve">Senior Alliances Executive in Sales · iDEAL, A3 — IC.
</t>
          </r>
          <r>
            <rPr>
              <rFont val="Calibri"/>
              <b val="1"/>
              <sz val="10"/>
            </rPr>
            <t>The work:</t>
          </r>
          <r>
            <rPr>
              <rFont val="Calibri"/>
              <sz val="10"/>
            </rPr>
            <t xml:space="preserve"> Builds and manages partner / alliance revenue.
At this level the role owns varied work; reviews juniors; go-to for a process.
</t>
          </r>
          <r>
            <rPr>
              <rFont val="Calibri"/>
              <b val="1"/>
              <sz val="10"/>
            </rPr>
            <t>Key responsibilities:</t>
          </r>
          <r>
            <rPr>
              <rFont val="Calibri"/>
              <sz val="10"/>
            </rPr>
            <t xml:space="preserve"> Builds and manages partner / alliance revenue; Varied and non-standard work; handles exceptions; A module / process, or work with client or regulatory consequences.</t>
          </r>
        </is>
      </c>
      <c r="V18" s="123" t="inlineStr">
        <is>
          <r>
            <rPr>
              <rFont val="Calibri"/>
              <b val="1"/>
              <sz val="10"/>
            </rPr>
            <t>Hire as:</t>
          </r>
          <r>
            <rPr>
              <rFont val="Calibri"/>
              <sz val="10"/>
            </rPr>
            <t xml:space="preserve"> SDR / Inside Sales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MBA preferred from B2
</t>
          </r>
          <r>
            <rPr>
              <rFont val="Calibri"/>
              <b val="1"/>
              <sz val="10"/>
            </rPr>
            <t>Equivalent titles at peers:</t>
          </r>
          <r>
            <rPr>
              <rFont val="Calibri"/>
              <sz val="10"/>
            </rPr>
            <t xml:space="preserve"> IRIS Vs Competitor Benchmark — SaaS sales ladder — IC – Senior SDR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18" s="123"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Sales
★ = must-have for the family. Scale: 1 Awareness · 2 Working · 3 Practitioner · 4 Advanced · 5 Expert.</t>
          </r>
        </is>
      </c>
      <c r="X18" s="123"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8" s="124" t="inlineStr">
        <is>
          <t>iDEAL · Sales · Band A · Early career</t>
        </is>
      </c>
      <c r="Z18" s="125" t="n">
        <v>3</v>
      </c>
      <c r="AA18" s="126">
        <f>IFERROR(INDEX(WM_C,MATCH($Y18,WM_KEY,0)),"")</f>
        <v>0.54</v>
      </c>
      <c r="AB18" s="127">
        <f>IF(Z18="","",Z18*AA18)</f>
        <v>1.62</v>
      </c>
      <c r="AC18" s="125" t="n">
        <v>2.5</v>
      </c>
      <c r="AD18" s="126">
        <f>IFERROR(INDEX(WM_AU,MATCH($Y18,WM_KEY,0)),"")</f>
        <v>0.21</v>
      </c>
      <c r="AE18" s="127">
        <f>IF(AC18="","",AC18*AD18)</f>
        <v>0.525</v>
      </c>
      <c r="AF18" s="125" t="n">
        <v>3.5</v>
      </c>
      <c r="AG18" s="126">
        <f>IFERROR(INDEX(WM_AC,MATCH($Y18,WM_KEY,0)),"")</f>
        <v>0.04</v>
      </c>
      <c r="AH18" s="127">
        <f>IF(AF18="","",AF18*AG18)</f>
        <v>0.14</v>
      </c>
      <c r="AI18" s="125" t="n">
        <v>1.5</v>
      </c>
      <c r="AJ18" s="126">
        <f>IFERROR(INDEX(WM_L,MATCH($Y18,WM_KEY,0)),"")</f>
        <v>0</v>
      </c>
      <c r="AK18" s="127">
        <f>IF(AI18="","",AI18*AJ18)</f>
        <v>0</v>
      </c>
      <c r="AL18" s="125" t="n">
        <v>3.5</v>
      </c>
      <c r="AM18" s="126">
        <f>IFERROR(INDEX(WM_E,MATCH($Y18,WM_KEY,0)),"")</f>
        <v>0.1</v>
      </c>
      <c r="AN18" s="127">
        <f>IF(AL18="","",AL18*AM18)</f>
        <v>0.35</v>
      </c>
      <c r="AO18" s="128" t="n">
        <v>4</v>
      </c>
      <c r="AP18" s="126">
        <f>IFERROR(INDEX(WM_BI,MATCH($Y18,WM_KEY,0)),"")</f>
        <v>0.11</v>
      </c>
      <c r="AQ18" s="127">
        <f>IF(AO18="","",AO18*AP18)</f>
        <v>0.44</v>
      </c>
      <c r="AR18" s="127">
        <f>IF(COUNT(AB18,AE18,AH18,AK18,AN18,AQ18)&lt;6,"",SUM(AB18,AE18,AH18,AK18,AN18,AQ18))</f>
        <v>3.075</v>
      </c>
      <c r="AS18" s="129" t="str">
        <f>IF(AR18="","",INDEX({"A1","A2","A3","B1","B2","B3","C1","C2","D1","D2","E1","E2"},MAX(1,MIN(12,ROUND(AR18,0)))))</f>
        <v>A3</v>
      </c>
      <c r="AT18"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18" s="131" t="inlineStr">
        <is>
          <r>
            <rPr>
              <rFont val="Calibri"/>
              <b val="1"/>
              <sz val="10"/>
            </rPr>
            <t>At build:</t>
          </r>
          <r>
            <rPr>
              <rFont val="Calibri"/>
              <sz val="10"/>
            </rPr>
            <t xml:space="preserve"> Complexity 1.62 + Autonomy 0.53 + Accountability 0.14 + Leadership 0.00 + Experience 0.35 + Business impact 0.44
= 3.08 points → nearest level 3 = A3
</t>
          </r>
          <r>
            <rPr>
              <rFont val="Calibri"/>
              <b val="1"/>
              <sz val="10"/>
            </rPr>
            <t>Final level:</t>
          </r>
          <r>
            <rPr>
              <rFont val="Calibri"/>
              <sz val="10"/>
            </rPr>
            <t xml:space="preserve"> A3 · same as the score</t>
          </r>
        </is>
      </c>
      <c r="AV18" s="131" t="inlineStr">
        <is>
          <r>
            <rPr>
              <rFont val="Calibri"/>
              <b val="1"/>
              <sz val="10"/>
            </rPr>
            <t>No rule applied:</t>
          </r>
          <r>
            <rPr>
              <rFont val="Calibri"/>
              <sz val="10"/>
            </rPr>
            <t xml:space="preserve"> the score decides.</t>
          </r>
        </is>
      </c>
      <c r="AW18"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Full cycle for one market: prospecting, cold outreach, giving demos, proposals, partnerships, sales reports → matches the start
</t>
          </r>
          <r>
            <rPr>
              <rFont val="Calibri"/>
              <b val="1"/>
              <sz val="10"/>
            </rPr>
            <t>KRA:</t>
          </r>
          <r>
            <rPr>
              <rFont val="Calibri"/>
              <sz val="10"/>
            </rPr>
            <t xml:space="preserve"> “1. Achieve assigned annual sales / revenue quota · target: 80 Lakhs 2. Build and maintain qualified pipeline of &gt;=3x quota coverage 3.…”
</t>
          </r>
          <r>
            <rPr>
              <rFont val="Calibri"/>
              <b val="1"/>
              <sz val="10"/>
            </rPr>
            <t>Market:</t>
          </r>
          <r>
            <rPr>
              <rFont val="Calibri"/>
              <sz val="10"/>
            </rPr>
            <t xml:space="preserve"> A3 = Varied and non-standard work; handles exceptions</t>
          </r>
        </is>
      </c>
      <c r="AX18" s="133"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emails, collateral sharing and fresh prospecting → moved down 0.5
</t>
          </r>
          <r>
            <rPr>
              <rFont val="Calibri"/>
              <b val="1"/>
              <sz val="10"/>
            </rPr>
            <t>Market:</t>
          </r>
          <r>
            <rPr>
              <rFont val="Calibri"/>
              <sz val="10"/>
            </rPr>
            <t xml:space="preserve"> A2 = Chooses own approach within standards · A3 = Technical / QC / client calls on own work</t>
          </r>
        </is>
      </c>
      <c r="AY18" s="133"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Handles an entire market; accountable for database, CRM, revenue tracking; KRA quota 80 lakhs → moved up 0.5
</t>
          </r>
          <r>
            <rPr>
              <rFont val="Calibri"/>
              <b val="1"/>
              <sz val="10"/>
            </rPr>
            <t>KRA:</t>
          </r>
          <r>
            <rPr>
              <rFont val="Calibri"/>
              <sz val="10"/>
            </rPr>
            <t xml:space="preserve"> “1. Achieve assigned annual sales / revenue quota · target: 80 Lakhs 2. Build and maintain qualified pipeline of &gt;=3x quota coverage 3.…”
</t>
          </r>
          <r>
            <rPr>
              <rFont val="Calibri"/>
              <b val="1"/>
              <sz val="10"/>
            </rPr>
            <t>Market:</t>
          </r>
          <r>
            <rPr>
              <rFont val="Calibri"/>
              <sz val="10"/>
            </rPr>
            <t xml:space="preserve"> A3 = A module / process, or work with client or regulatory consequences · B1 = A domain or a small team</t>
          </r>
        </is>
      </c>
      <c r="AZ18" s="133"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guidance or leadership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8" s="133" t="inlineStr">
        <is>
          <r>
            <rPr>
              <rFont val="Calibri"/>
              <sz val="10"/>
            </rPr>
            <t xml:space="preserve">Rated 3.5 of 12 · between A3 and B1
</t>
          </r>
          <r>
            <rPr>
              <rFont val="Calibri"/>
              <b val="1"/>
              <sz val="10"/>
            </rPr>
            <t>Experience:</t>
          </r>
          <r>
            <rPr>
              <rFont val="Calibri"/>
              <sz val="10"/>
            </rPr>
            <t xml:space="preserve"> 4.4 yrs total · 3.8 before IRIS + 0.6 at IRIS = 3.6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18" s="133"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8" s="134" t="inlineStr"/>
      <c r="BD18" s="135" t="inlineStr">
        <is>
          <t>✓ HRIS: 4.4 yrs, B.Com, 0 direct reports
✓ Survey: 20 of 20 questions answered
✓ KRAs: self, manager-set, quarterly
✓ Manager mapping: rating, potential, 9-box
✗ Job description: not on file</t>
        </is>
      </c>
      <c r="BE18" s="135"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BF18" s="135" t="inlineStr">
        <is>
          <t>High</t>
        </is>
      </c>
      <c r="BG18" s="135" t="inlineStr"/>
      <c r="BH18" s="135" t="inlineStr"/>
      <c r="BI18" s="136" t="n"/>
      <c r="BJ18" s="137" t="n"/>
      <c r="BK18" s="137" t="n"/>
      <c r="BL18" s="137" t="n"/>
      <c r="BM18" s="137" t="n"/>
      <c r="BN18" s="138" t="n"/>
      <c r="BO18" s="121" t="n"/>
      <c r="BP18" s="121" t="n"/>
      <c r="BQ18" s="121" t="n"/>
      <c r="BR18" s="121" t="n"/>
      <c r="BS18" s="121" t="n"/>
      <c r="BT18" s="121" t="n"/>
      <c r="BU18" s="121" t="n"/>
      <c r="BV18" s="121" t="n">
        <v>4</v>
      </c>
    </row>
    <row r="19" ht="340" customHeight="1">
      <c r="A19" s="109" t="inlineStr">
        <is>
          <t>INTN0302</t>
        </is>
      </c>
      <c r="B19" s="110" t="inlineStr">
        <is>
          <t>Nehal Bohra</t>
        </is>
      </c>
      <c r="C19" s="111" t="inlineStr">
        <is>
          <t>Sales</t>
        </is>
      </c>
      <c r="D19" s="111" t="inlineStr">
        <is>
          <t>Amit Jaidka</t>
        </is>
      </c>
      <c r="E19" s="112" t="n">
        <v>0.4</v>
      </c>
      <c r="F19" s="112" t="n">
        <v>0.4</v>
      </c>
      <c r="G19" s="111" t="inlineStr">
        <is>
          <t>BBA</t>
        </is>
      </c>
      <c r="H19" s="113" t="inlineStr">
        <is>
          <t>Intern</t>
        </is>
      </c>
      <c r="I19" s="114" t="inlineStr">
        <is>
          <t>Intern – Application &amp; Product Support</t>
        </is>
      </c>
      <c r="J19" s="115" t="inlineStr">
        <is>
          <t>Customer Success &amp; Support</t>
        </is>
      </c>
      <c r="K19" s="115" t="inlineStr">
        <is>
          <t>Application &amp; Product Support</t>
        </is>
      </c>
      <c r="L19" s="115" t="inlineStr">
        <is>
          <t>L1 – Intern</t>
        </is>
      </c>
      <c r="M19" s="116" t="inlineStr">
        <is>
          <t>A1</t>
        </is>
      </c>
      <c r="N19" s="117" t="inlineStr">
        <is>
          <t>Intern / Trainee</t>
        </is>
      </c>
      <c r="O19" s="26" t="inlineStr">
        <is>
          <t>A</t>
        </is>
      </c>
      <c r="P19" s="115" t="inlineStr">
        <is>
          <t>IC</t>
        </is>
      </c>
      <c r="Q19" s="118" t="inlineStr">
        <is>
          <t>• Same level</t>
        </is>
      </c>
      <c r="R19" s="119" t="inlineStr">
        <is>
          <r>
            <rPr>
              <rFont val="Calibri"/>
              <b val="1"/>
              <sz val="10"/>
            </rPr>
            <t>WHAT THE ROLE DOES:</t>
          </r>
          <r>
            <rPr>
              <rFont val="Calibri"/>
              <sz val="10"/>
            </rPr>
            <t xml:space="preserve"> Resolves client product and filing issues, troubleshoots, handles UAT/change requests and escalates to engineering. At A1: learning the role; all work reviewed.
</t>
          </r>
          <r>
            <rPr>
              <rFont val="Calibri"/>
              <b val="1"/>
              <sz val="10"/>
            </rPr>
            <t>Common themes in sub-family holders, all levels' answers:</t>
          </r>
          <r>
            <rPr>
              <rFont val="Calibri"/>
              <sz val="10"/>
            </rPr>
            <t xml:space="preserve"> support · clients · queries · provide · issues · resolving
</t>
          </r>
          <r>
            <rPr>
              <rFont val="Calibri"/>
              <b val="1"/>
              <sz val="10"/>
            </rPr>
            <t>KEY RESPONSIBILITIES:</t>
          </r>
          <r>
            <rPr>
              <rFont val="Calibri"/>
              <sz val="10"/>
            </rPr>
            <t xml:space="preserve"> Resolves client product and filing issues, troubleshoots, handles UAT/change requests and escalates to engineering; Learning; follows worked examples; Learning tasks
</t>
          </r>
          <r>
            <rPr>
              <rFont val="Calibri"/>
              <b val="1"/>
              <sz val="10"/>
            </rPr>
            <t>Common themes in sub-family holders, all levels' answers:</t>
          </r>
          <r>
            <rPr>
              <rFont val="Calibri"/>
              <sz val="10"/>
            </rPr>
            <t xml:space="preserve"> support · issue · testing · communication · customer · ticket
</t>
          </r>
          <r>
            <rPr>
              <rFont val="Calibri"/>
              <b val="1"/>
              <sz val="10"/>
            </rPr>
            <t>DELIVERS:</t>
          </r>
          <r>
            <rPr>
              <rFont val="Calibri"/>
              <sz val="10"/>
            </rPr>
            <t xml:space="preserve"> Learning tasks
</t>
          </r>
          <r>
            <rPr>
              <rFont val="Calibri"/>
              <b val="1"/>
              <sz val="10"/>
            </rPr>
            <t>Common themes in sub-family holders, all levels' answers:</t>
          </r>
          <r>
            <rPr>
              <rFont val="Calibri"/>
              <sz val="10"/>
            </rPr>
            <t xml:space="preserve"> support · customer · product · provide · testing · deliver
</t>
          </r>
          <r>
            <rPr>
              <rFont val="Calibri"/>
              <b val="1"/>
              <sz val="10"/>
            </rPr>
            <t>ACCOUNTABLE FOR:</t>
          </r>
          <r>
            <rPr>
              <rFont val="Calibri"/>
              <sz val="10"/>
            </rPr>
            <t xml:space="preserve"> Learning tasks
</t>
          </r>
          <r>
            <rPr>
              <rFont val="Calibri"/>
              <b val="1"/>
              <sz val="10"/>
            </rPr>
            <t>Common themes in sub-family holders, all levels' answers:</t>
          </r>
          <r>
            <rPr>
              <rFont val="Calibri"/>
              <sz val="10"/>
            </rPr>
            <t xml:space="preserve"> client · resolution · am · accountable · timely · if
</t>
          </r>
          <r>
            <rPr>
              <rFont val="Calibri"/>
              <b val="1"/>
              <sz val="10"/>
            </rPr>
            <t>DECIDES ALONE:</t>
          </r>
          <r>
            <rPr>
              <rFont val="Calibri"/>
              <sz val="10"/>
            </rPr>
            <t xml:space="preserve"> Needs approval / close guidance
</t>
          </r>
          <r>
            <rPr>
              <rFont val="Calibri"/>
              <b val="1"/>
              <sz val="10"/>
            </rPr>
            <t>Common themes in sub-family holders, all levels'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Communication · Domain Knowledge · Business Analysis · Platform knowledge · Sales
</t>
          </r>
          <r>
            <rPr>
              <rFont val="Calibri"/>
              <b val="1"/>
              <sz val="10"/>
            </rPr>
            <t>TOOLS &amp; SYSTEMS:</t>
          </r>
          <r>
            <rPr>
              <rFont val="Calibri"/>
              <sz val="10"/>
            </rPr>
            <t xml:space="preserve"> MS Office · Faveo · Arelle · Excel · Claude · Copilot · Microsoft Excel · RBI cims portal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2 holders, 2 answered the survey; sub-family 25 answered; catalogue RC-029</t>
          </r>
        </is>
      </c>
      <c r="S19" s="120"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customer · rework · client · delays · incorrect.
Manager talent mapping — Latest rating: Not rated · manager · 9-Box Grid placement: Not placed · manager.</t>
          </r>
        </is>
      </c>
      <c r="T19" s="121" t="n"/>
      <c r="U19" s="122" t="inlineStr">
        <is>
          <r>
            <rPr>
              <rFont val="Calibri"/>
              <sz val="10"/>
            </rPr>
            <t xml:space="preserve">Intern – Application &amp; Product Support in Sales · iDEAL, A1 — IC.
</t>
          </r>
          <r>
            <rPr>
              <rFont val="Calibri"/>
              <b val="1"/>
              <sz val="10"/>
            </rPr>
            <t>The work:</t>
          </r>
          <r>
            <rPr>
              <rFont val="Calibri"/>
              <sz val="10"/>
            </rPr>
            <t xml:space="preserve"> Resolves client product and filing issues, troubleshoots, handles UAT/change requests and escalates to engineering.
At this level the role owns learning the role; all work reviewed.
</t>
          </r>
          <r>
            <rPr>
              <rFont val="Calibri"/>
              <b val="1"/>
              <sz val="10"/>
            </rPr>
            <t>Key responsibilities:</t>
          </r>
          <r>
            <rPr>
              <rFont val="Calibri"/>
              <sz val="10"/>
            </rPr>
            <t xml:space="preserve"> Resolves client product and filing issues, troubleshoots, handles UAT/change requests and escalates to engineering; Learning; follows worked examples; Learning tasks.
</t>
          </r>
          <r>
            <rPr>
              <rFont val="Calibri"/>
              <b val="1"/>
              <sz val="10"/>
            </rPr>
            <t>Holders describe it with:</t>
          </r>
          <r>
            <rPr>
              <rFont val="Calibri"/>
              <sz val="10"/>
            </rPr>
            <t xml:space="preserve"> support · issue · testing · communication · customer · ticket.</t>
          </r>
        </is>
      </c>
      <c r="V19" s="123" t="inlineStr">
        <is>
          <r>
            <rPr>
              <rFont val="Calibri"/>
              <b val="1"/>
              <sz val="10"/>
            </rPr>
            <t>Hire as:</t>
          </r>
          <r>
            <rPr>
              <rFont val="Calibri"/>
              <sz val="10"/>
            </rPr>
            <t xml:space="preserve"> Support Associate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Graduate
</t>
          </r>
          <r>
            <rPr>
              <rFont val="Calibri"/>
              <b val="1"/>
              <sz val="10"/>
            </rPr>
            <t>Equivalent titles at peers:</t>
          </r>
          <r>
            <rPr>
              <rFont val="Calibri"/>
              <sz val="10"/>
            </rPr>
            <t xml:space="preserve"> Workiva – Customer Success intern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9" s="123" t="inlineStr">
        <is>
          <r>
            <rPr>
              <rFont val="Calibri"/>
              <sz val="10"/>
            </rPr>
            <t xml:space="preserve">FUNCTIONAL — skill level 1 of 5 · Awareness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Tech Support · Domain Support · Communication · Domain Knowledge · Business Analysis · Platform knowledge · Sales
</t>
          </r>
          <r>
            <rPr>
              <rFont val="Calibri"/>
              <b val="1"/>
              <sz val="10"/>
            </rPr>
            <t>TOOLS:</t>
          </r>
          <r>
            <rPr>
              <rFont val="Calibri"/>
              <sz val="10"/>
            </rPr>
            <t xml:space="preserve"> MS Office · Faveo · Arelle · Excel · Claude · Copilot · Microsoft Excel · RBI cims portal
★ = must-have for the family. Scale: 1 Awareness · 2 Working · 3 Practitioner · 4 Advanced · 5 Expert.</t>
          </r>
        </is>
      </c>
      <c r="X19" s="123" t="inlineStr">
        <is>
          <r>
            <rPr>
              <rFont val="Calibri"/>
              <sz val="10"/>
            </rPr>
            <t xml:space="preserve">Draft — generated from the framework; hiring-manager review pending · HR Super Master, sheet T5.
1. [Product, Platform &amp; Domain Knowledge · level 1] Tell me about recent work that shows this: "Handles most product and domain scenarios". What exactly did you do, how, and what was the result? Assess with: Scenario interview.
2. [Stakeholder &amp; Client Management · level 1] Tell me about recent work that shows this: "Manages client communication and expectations for own work". What exactly did you do, how, and what was the result? Assess with: Role play / behavioural interview.
3. [Communication &amp; Presentation · level 1] Give an example that shows you can do this: "Writes and presents clearly to clients and teams". Assess with: Presentation / writing test.
4. [Database, SQL &amp; Data Engineering · level 1] Give an example that shows you can do this: "Writes and tunes queries, procedures and ETL". Assess with: SQL test / case.
5. [Regulatory &amp; BFSI Domain · level 1] Give an example that shows you can do this: "Knows the relevant regulators, returns and rules". Assess with: Domain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19" s="124" t="inlineStr">
        <is>
          <t>—</t>
        </is>
      </c>
      <c r="Z19" s="125" t="n"/>
      <c r="AA19" s="126" t="n"/>
      <c r="AB19" s="127" t="n"/>
      <c r="AC19" s="125" t="n"/>
      <c r="AD19" s="126" t="n"/>
      <c r="AE19" s="127" t="n"/>
      <c r="AF19" s="125" t="n"/>
      <c r="AG19" s="126" t="n"/>
      <c r="AH19" s="127" t="n"/>
      <c r="AI19" s="125" t="n"/>
      <c r="AJ19" s="126" t="n"/>
      <c r="AK19" s="127" t="n"/>
      <c r="AL19" s="125" t="n"/>
      <c r="AM19" s="126" t="n"/>
      <c r="AN19" s="127" t="n"/>
      <c r="AO19" s="128" t="n"/>
      <c r="AP19" s="126" t="n"/>
      <c r="AQ19" s="127" t="n"/>
      <c r="AR19" s="127" t="inlineStr"/>
      <c r="AS19" s="129" t="inlineStr"/>
      <c r="AT19" s="130" t="inlineStr">
        <is>
          <r>
            <rPr>
              <rFont val="Calibri"/>
              <b val="1"/>
              <sz val="10"/>
            </rPr>
            <t>Not scored:</t>
          </r>
          <r>
            <rPr>
              <rFont val="Calibri"/>
              <sz val="10"/>
            </rPr>
            <t xml:space="preserve"> interns and first-year trainees start at A1.</t>
          </r>
        </is>
      </c>
      <c r="AU19" s="131" t="inlineStr">
        <is>
          <r>
            <rPr>
              <rFont val="Calibri"/>
              <b val="1"/>
              <sz val="10"/>
            </rPr>
            <t>Not scored:</t>
          </r>
          <r>
            <rPr>
              <rFont val="Calibri"/>
              <sz val="10"/>
            </rPr>
            <t xml:space="preserve"> interns and first-year trainees start at A1.</t>
          </r>
        </is>
      </c>
      <c r="AV19" s="131" t="inlineStr">
        <is>
          <t>Interns and first-year trainees start at A1.</t>
        </is>
      </c>
      <c r="AW19" s="132" t="inlineStr">
        <is>
          <r>
            <rPr>
              <rFont val="Calibri"/>
              <b val="1"/>
              <sz val="10"/>
            </rPr>
            <t>Not scored:</t>
          </r>
          <r>
            <rPr>
              <rFont val="Calibri"/>
              <sz val="10"/>
            </rPr>
            <t xml:space="preserve"> interns and first-year trainees start at A1.</t>
          </r>
        </is>
      </c>
      <c r="AX19" s="133" t="inlineStr">
        <is>
          <r>
            <rPr>
              <rFont val="Calibri"/>
              <b val="1"/>
              <sz val="10"/>
            </rPr>
            <t>Not scored:</t>
          </r>
          <r>
            <rPr>
              <rFont val="Calibri"/>
              <sz val="10"/>
            </rPr>
            <t xml:space="preserve"> interns and first-year trainees start at A1.</t>
          </r>
        </is>
      </c>
      <c r="AY19" s="133" t="inlineStr">
        <is>
          <r>
            <rPr>
              <rFont val="Calibri"/>
              <b val="1"/>
              <sz val="10"/>
            </rPr>
            <t>Not scored:</t>
          </r>
          <r>
            <rPr>
              <rFont val="Calibri"/>
              <sz val="10"/>
            </rPr>
            <t xml:space="preserve"> interns and first-year trainees start at A1.</t>
          </r>
        </is>
      </c>
      <c r="AZ19" s="133" t="inlineStr">
        <is>
          <r>
            <rPr>
              <rFont val="Calibri"/>
              <b val="1"/>
              <sz val="10"/>
            </rPr>
            <t>Not scored:</t>
          </r>
          <r>
            <rPr>
              <rFont val="Calibri"/>
              <sz val="10"/>
            </rPr>
            <t xml:space="preserve"> interns and first-year trainees start at A1.</t>
          </r>
        </is>
      </c>
      <c r="BA19" s="133" t="inlineStr">
        <is>
          <r>
            <rPr>
              <rFont val="Calibri"/>
              <b val="1"/>
              <sz val="10"/>
            </rPr>
            <t>Not scored:</t>
          </r>
          <r>
            <rPr>
              <rFont val="Calibri"/>
              <sz val="10"/>
            </rPr>
            <t xml:space="preserve"> interns and first-year trainees start at A1.</t>
          </r>
        </is>
      </c>
      <c r="BB19" s="133" t="inlineStr">
        <is>
          <r>
            <rPr>
              <rFont val="Calibri"/>
              <b val="1"/>
              <sz val="10"/>
            </rPr>
            <t>Not scored:</t>
          </r>
          <r>
            <rPr>
              <rFont val="Calibri"/>
              <sz val="10"/>
            </rPr>
            <t xml:space="preserve"> interns and first-year trainees start at A1.</t>
          </r>
        </is>
      </c>
      <c r="BC19" s="134" t="inlineStr"/>
      <c r="BD19" s="135" t="inlineStr">
        <is>
          <t>✓ HRIS: 0.4 yrs, BBA, 0 direct reports
✓ Survey: 19 of 20 questions answered
✗ KRAs: none on file
✓ Manager mapping: rating, 9-box
✗ Job description: not on file</t>
        </is>
      </c>
      <c r="BE19" s="135"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Support Associate
</t>
          </r>
          <r>
            <rPr>
              <rFont val="Calibri"/>
              <b val="1"/>
              <sz val="10"/>
            </rPr>
            <t>At peers:</t>
          </r>
          <r>
            <rPr>
              <rFont val="Calibri"/>
              <sz val="10"/>
            </rPr>
            <t xml:space="preserve"> Workiva – Customer Success intern
</t>
          </r>
          <r>
            <rPr>
              <rFont val="Calibri"/>
              <b val="1"/>
              <sz val="10"/>
            </rPr>
            <t>Standard:</t>
          </r>
          <r>
            <rPr>
              <rFont val="Calibri"/>
              <sz val="10"/>
            </rPr>
            <t xml:space="preserve"> TSIA frameworks and benchmarks; ITIL 4 service desk</t>
          </r>
        </is>
      </c>
      <c r="BF19" s="135" t="inlineStr">
        <is>
          <t>Medium</t>
        </is>
      </c>
      <c r="BG19" s="135" t="inlineStr"/>
      <c r="BH19" s="135" t="inlineStr"/>
      <c r="BI19" s="136" t="n"/>
      <c r="BJ19" s="137" t="n"/>
      <c r="BK19" s="137" t="n"/>
      <c r="BL19" s="137" t="n"/>
      <c r="BM19" s="137" t="n"/>
      <c r="BN19" s="138" t="n"/>
      <c r="BO19" s="121" t="n"/>
      <c r="BP19" s="121" t="n"/>
      <c r="BQ19" s="121" t="n"/>
      <c r="BR19" s="121" t="n"/>
      <c r="BS19" s="121" t="n"/>
      <c r="BT19" s="121" t="n"/>
      <c r="BU19" s="121" t="n"/>
      <c r="BV19" s="121" t="n"/>
    </row>
    <row r="20" ht="340" customHeight="1">
      <c r="A20" s="109" t="inlineStr">
        <is>
          <t>IRIS0810</t>
        </is>
      </c>
      <c r="B20" s="110" t="inlineStr">
        <is>
          <t>Jitendra Kumar</t>
        </is>
      </c>
      <c r="C20" s="111" t="inlineStr">
        <is>
          <t>Technology</t>
        </is>
      </c>
      <c r="D20" s="111" t="inlineStr">
        <is>
          <t>Hemant Karale</t>
        </is>
      </c>
      <c r="E20" s="112" t="n">
        <v>16.6</v>
      </c>
      <c r="F20" s="112" t="n">
        <v>15.2</v>
      </c>
      <c r="G20" s="111" t="inlineStr">
        <is>
          <t>MCA</t>
        </is>
      </c>
      <c r="H20" s="113" t="inlineStr">
        <is>
          <t>Technical Architect</t>
        </is>
      </c>
      <c r="I20" s="114" t="inlineStr">
        <is>
          <t>Practice Lead – Solution &amp; Technical Architecture · Player-Coach</t>
        </is>
      </c>
      <c r="J20" s="115" t="inlineStr">
        <is>
          <t>Engineering &amp; Architecture</t>
        </is>
      </c>
      <c r="K20" s="115" t="inlineStr">
        <is>
          <t>Solution &amp; Technical Architecture</t>
        </is>
      </c>
      <c r="L20" s="114" t="inlineStr">
        <is>
          <t>L3 – Professional / Associate</t>
        </is>
      </c>
      <c r="M20" s="144" t="inlineStr">
        <is>
          <t>B+</t>
        </is>
      </c>
      <c r="N20" s="145" t="inlineStr">
        <is>
          <t>Practice Lead · Player-Coach</t>
        </is>
      </c>
      <c r="O20" s="30" t="inlineStr">
        <is>
          <t>B+</t>
        </is>
      </c>
      <c r="P20" s="115" t="inlineStr">
        <is>
          <t>Player-Coach</t>
        </is>
      </c>
      <c r="Q20" s="142" t="inlineStr">
        <is>
          <t>▲ Up</t>
        </is>
      </c>
      <c r="R20" s="119" t="inlineStr">
        <is>
          <r>
            <rPr>
              <rFont val="Calibri"/>
              <b val="1"/>
              <sz val="10"/>
            </rPr>
            <t>WHAT THE ROLE DOES:</t>
          </r>
          <r>
            <rPr>
              <rFont val="Calibri"/>
              <sz val="10"/>
            </rPr>
            <t xml:space="preserve"> Designs system / solution architecture, integrations and technical standards; guides build teams. At B+: a practice or product area: does the hardest hands-on work itself and leads 3–6 people · player-coach.
</t>
          </r>
          <r>
            <rPr>
              <rFont val="Calibri"/>
              <b val="1"/>
              <sz val="10"/>
            </rPr>
            <t>Common themes in role-holders' answers:</t>
          </r>
          <r>
            <rPr>
              <rFont val="Calibri"/>
              <sz val="10"/>
            </rPr>
            <t xml:space="preserve"> technical · client · design · understanding · solution · application
</t>
          </r>
          <r>
            <rPr>
              <rFont val="Calibri"/>
              <b val="1"/>
              <sz val="10"/>
            </rPr>
            <t>KEY RESPONSIBILITIES:</t>
          </r>
          <r>
            <rPr>
              <rFont val="Calibri"/>
              <sz val="10"/>
            </rPr>
            <t xml:space="preserve"> 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Common themes in role-holders' answers:</t>
          </r>
          <r>
            <rPr>
              <rFont val="Calibri"/>
              <sz val="10"/>
            </rPr>
            <t xml:space="preserve"> client · documentation · technical · solution · requirement · meeting
</t>
          </r>
          <r>
            <rPr>
              <rFont val="Calibri"/>
              <b val="1"/>
              <sz val="10"/>
            </rPr>
            <t>DELIVERS:</t>
          </r>
          <r>
            <rPr>
              <rFont val="Calibri"/>
              <sz val="10"/>
            </rPr>
            <t xml:space="preserve"> Practice outcomes plus own deliverables; quality and delivery of the team
</t>
          </r>
          <r>
            <rPr>
              <rFont val="Calibri"/>
              <b val="1"/>
              <sz val="10"/>
            </rPr>
            <t>Common themes in role-holders' answers:</t>
          </r>
          <r>
            <rPr>
              <rFont val="Calibri"/>
              <sz val="10"/>
            </rPr>
            <t xml:space="preserve"> solution · architecture · design
</t>
          </r>
          <r>
            <rPr>
              <rFont val="Calibri"/>
              <b val="1"/>
              <sz val="10"/>
            </rPr>
            <t>ACCOUNTABLE FOR:</t>
          </r>
          <r>
            <rPr>
              <rFont val="Calibri"/>
              <sz val="10"/>
            </rPr>
            <t xml:space="preserve"> Practice outcomes plus own deliverables; quality and delivery of the team
</t>
          </r>
          <r>
            <rPr>
              <rFont val="Calibri"/>
              <b val="1"/>
              <sz val="10"/>
            </rPr>
            <t>Common themes in role-holders' answers:</t>
          </r>
          <r>
            <rPr>
              <rFont val="Calibri"/>
              <sz val="10"/>
            </rPr>
            <t xml:space="preserve"> client · if · solution · architecture · design · technical
</t>
          </r>
          <r>
            <rPr>
              <rFont val="Calibri"/>
              <b val="1"/>
              <sz val="10"/>
            </rPr>
            <t>DECIDES ALONE:</t>
          </r>
          <r>
            <rPr>
              <rFont val="Calibri"/>
              <sz val="10"/>
            </rPr>
            <t xml:space="preserve"> Decides approach and priorities for the practice; escalates only cross-function trade-offs
</t>
          </r>
          <r>
            <rPr>
              <rFont val="Calibri"/>
              <b val="1"/>
              <sz val="10"/>
            </rPr>
            <t>Common themes in role-holders' answers:</t>
          </r>
          <r>
            <rPr>
              <rFont val="Calibri"/>
              <sz val="10"/>
            </rPr>
            <t xml:space="preserve"> approach
</t>
          </r>
          <r>
            <rPr>
              <rFont val="Calibri"/>
              <b val="1"/>
              <sz val="10"/>
            </rPr>
            <t>SKILLS &amp; KNOWLEDGE · role-holders:</t>
          </r>
          <r>
            <rPr>
              <rFont val="Calibri"/>
              <sz val="10"/>
            </rPr>
            <t xml:space="preserve"> Java · Spring Boot · NET MVC
</t>
          </r>
          <r>
            <rPr>
              <rFont val="Calibri"/>
              <b val="1"/>
              <sz val="10"/>
            </rPr>
            <t>MANAGER-SET KRAs:</t>
          </r>
          <r>
            <rPr>
              <rFont val="Calibri"/>
              <sz val="10"/>
            </rPr>
            <t xml:space="preserve"> Common themes in manager-set KRAs: support · technical · project · completion · develop · year
COMPETENCIES REQUIRED — must-have ★: System Design &amp; Architecture · Programming &amp; Tech-Stack Depth
</t>
          </r>
          <r>
            <rPr>
              <rFont val="Calibri"/>
              <b val="1"/>
              <sz val="10"/>
            </rPr>
            <t>OTHER FUNCTIONAL COMPETENCIES:</t>
          </r>
          <r>
            <rPr>
              <rFont val="Calibri"/>
              <sz val="10"/>
            </rPr>
            <t xml:space="preserve"> Cloud, DevOps &amp; CI/CD · Cybersecurity &amp; Infrastructure · Stakeholder &amp; Client Management · Strategic Thinking &amp; Business Acumen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AWS / Azure architect · optional; Cloud / language certifications · optional
</t>
          </r>
          <r>
            <rPr>
              <rFont val="Calibri"/>
              <b val="1"/>
              <sz val="10"/>
            </rPr>
            <t>SOURCE:</t>
          </r>
          <r>
            <rPr>
              <rFont val="Calibri"/>
              <sz val="10"/>
            </rPr>
            <t xml:space="preserve"> Framework + role-holders' themes · 3+ answered — 5 holders, 5 answered the survey; sub-family 9 answered; catalogue RC-056</t>
          </r>
        </is>
      </c>
      <c r="S20" s="120" t="inlineStr">
        <is>
          <r>
            <rPr>
              <rFont val="Calibri"/>
              <b val="1"/>
              <sz val="10"/>
            </rPr>
            <t>What the role answers for:</t>
          </r>
          <r>
            <rPr>
              <rFont val="Calibri"/>
              <sz val="10"/>
            </rPr>
            <t xml:space="preserve"> Practice outcomes plus own deliverables; quality and delivery of the team.
</t>
          </r>
          <r>
            <rPr>
              <rFont val="Calibri"/>
              <b val="1"/>
              <sz val="10"/>
            </rPr>
            <t>Accountability &amp; Impact rating:</t>
          </r>
          <r>
            <rPr>
              <rFont val="Calibri"/>
              <sz val="10"/>
            </rPr>
            <t xml:space="preserve"> 6 of 12 · B3-level impact.
Leads 9 direct reports.
</t>
          </r>
          <r>
            <rPr>
              <rFont val="Calibri"/>
              <b val="1"/>
              <sz val="10"/>
            </rPr>
            <t>If the work is missed · role-holders' themes:</t>
          </r>
          <r>
            <rPr>
              <rFont val="Calibri"/>
              <sz val="10"/>
            </rPr>
            <t xml:space="preserve"> client · time.
</t>
          </r>
          <r>
            <rPr>
              <rFont val="Calibri"/>
              <b val="1"/>
              <sz val="10"/>
            </rPr>
            <t>Measured on · manager-set KRA themes:</t>
          </r>
          <r>
            <rPr>
              <rFont val="Calibri"/>
              <sz val="10"/>
            </rPr>
            <t xml:space="preserve"> support · technical · project · completion · develop · year.
Manager talent mapping — Latest rating: 4 · 9-Box Grid placement: Not placed · manager.</t>
          </r>
        </is>
      </c>
      <c r="T20" s="121" t="n"/>
      <c r="U20" s="122" t="inlineStr">
        <is>
          <r>
            <rPr>
              <rFont val="Calibri"/>
              <sz val="10"/>
            </rPr>
            <t xml:space="preserve">Practice Lead – Solution &amp; Technical Architecture · Player-Coach in Technology · iDEAL, B+ — Player-Coach.
</t>
          </r>
          <r>
            <rPr>
              <rFont val="Calibri"/>
              <b val="1"/>
              <sz val="10"/>
            </rPr>
            <t>The work:</t>
          </r>
          <r>
            <rPr>
              <rFont val="Calibri"/>
              <sz val="10"/>
            </rPr>
            <t xml:space="preserve"> Designs system / solution architecture, integrations and technical standards; guides build teams.
</t>
          </r>
          <r>
            <rPr>
              <rFont val="Calibri"/>
              <b val="1"/>
              <sz val="10"/>
            </rPr>
            <t>At this level the role owns a practice or product area:</t>
          </r>
          <r>
            <rPr>
              <rFont val="Calibri"/>
              <sz val="10"/>
            </rPr>
            <t xml:space="preserve"> does the hardest hands-on work itself and leads 3–6 people · player-coach.
</t>
          </r>
          <r>
            <rPr>
              <rFont val="Calibri"/>
              <b val="1"/>
              <sz val="10"/>
            </rPr>
            <t>Key responsibilities:</t>
          </r>
          <r>
            <rPr>
              <rFont val="Calibri"/>
              <sz val="10"/>
            </rPr>
            <t xml:space="preserve"> 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Holders describe it with:</t>
          </r>
          <r>
            <rPr>
              <rFont val="Calibri"/>
              <sz val="10"/>
            </rPr>
            <t xml:space="preserve"> client · documentation · technical · solution · requirement · meeting.
Leads 9 direct reports.</t>
          </r>
        </is>
      </c>
      <c r="V20" s="123" t="inlineStr">
        <is>
          <r>
            <rPr>
              <rFont val="Calibri"/>
              <b val="1"/>
              <sz val="10"/>
            </rPr>
            <t>Hire as:</t>
          </r>
          <r>
            <rPr>
              <rFont val="Calibri"/>
              <sz val="10"/>
            </rPr>
            <t xml:space="preserve"> Tech Lead Manager / Practice Lead · player-coach — IRIS B+ Practice Lead · Player-Coach · Player-Coach
</t>
          </r>
          <r>
            <rPr>
              <rFont val="Calibri"/>
              <b val="1"/>
              <sz val="10"/>
            </rPr>
            <t>Market level:</t>
          </r>
          <r>
            <rPr>
              <rFont val="Calibri"/>
              <sz val="10"/>
            </rPr>
            <t xml:space="preserve"> P5–P6 / M4–M5 · SFIA 5 Ensure, advise
</t>
          </r>
          <r>
            <rPr>
              <rFont val="Calibri"/>
              <b val="1"/>
              <sz val="10"/>
            </rPr>
            <t>Experience:</t>
          </r>
          <r>
            <rPr>
              <rFont val="Calibri"/>
              <sz val="10"/>
            </rPr>
            <t xml:space="preserve"> 9–14 yrs · Education: BE / B.Tech / MCA / M.Tech
</t>
          </r>
          <r>
            <rPr>
              <rFont val="Calibri"/>
              <b val="1"/>
              <sz val="10"/>
            </rPr>
            <t>Team size at this level:</t>
          </r>
          <r>
            <rPr>
              <rFont val="Calibri"/>
              <sz val="10"/>
            </rPr>
            <t xml:space="preserve"> 3–6 direct reports with ≥ 40% of time on own delivery · McKinsey player/coach 3–5; Google Tech Lead Manager
</t>
          </r>
          <r>
            <rPr>
              <rFont val="Calibri"/>
              <b val="1"/>
              <sz val="10"/>
            </rPr>
            <t>Equivalent titles at peers:</t>
          </r>
          <r>
            <rPr>
              <rFont val="Calibri"/>
              <sz val="10"/>
            </rPr>
            <t xml:space="preserve"> Google – Tech Lead Manager · TLM · McKinsey player/coach · 3–5 reports · SaaS: player-coach team lead carrying own work
</t>
          </r>
          <r>
            <rPr>
              <rFont val="Calibri"/>
              <b val="1"/>
              <sz val="10"/>
            </rPr>
            <t>Credentials:</t>
          </r>
          <r>
            <rPr>
              <rFont val="Calibri"/>
              <sz val="10"/>
            </rPr>
            <t xml:space="preserve"> AWS / Azure architect · optional; Cloud / language certifications · optional
</t>
          </r>
          <r>
            <rPr>
              <rFont val="Calibri"/>
              <b val="1"/>
              <sz val="10"/>
            </rPr>
            <t>Must already know:</t>
          </r>
          <r>
            <rPr>
              <rFont val="Calibri"/>
              <sz val="10"/>
            </rPr>
            <t xml:space="preserve"> Architecture governance, security by design</t>
          </r>
        </is>
      </c>
      <c r="W20" s="123" t="inlineStr">
        <is>
          <r>
            <rPr>
              <rFont val="Calibri"/>
              <sz val="10"/>
            </rPr>
            <t xml:space="preserve">FUNCTIONAL — skill level 4 of 5 · Advanced
 ★ System Design &amp; Architecture: Designs scalable, secure solutions across products; reviews designs
 ★ Programming &amp; Tech-Stack Depth: Sets coding standards; solves performance and design issues across modules
 •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Java · Spring Boot · NET MVC
★ = must-have for the family. Scale: 1 Awareness · 2 Working · 3 Practitioner · 4 Advanced · 5 Expert.</t>
          </r>
        </is>
      </c>
      <c r="X20" s="123" t="inlineStr">
        <is>
          <r>
            <rPr>
              <rFont val="Calibri"/>
              <sz val="10"/>
            </rPr>
            <t xml:space="preserve">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20" s="124" t="inlineStr">
        <is>
          <t>iDEAL · Technology · B+ · Player-Coach</t>
        </is>
      </c>
      <c r="Z20" s="125" t="n">
        <v>6</v>
      </c>
      <c r="AA20" s="126">
        <f>IFERROR(INDEX(WM_C,MATCH($Y20,WM_KEY,0)),"")</f>
        <v>0.49</v>
      </c>
      <c r="AB20" s="127">
        <f>IF(Z20="","",Z20*AA20)</f>
        <v>2.94</v>
      </c>
      <c r="AC20" s="125" t="n">
        <v>6</v>
      </c>
      <c r="AD20" s="126">
        <f>IFERROR(INDEX(WM_AU,MATCH($Y20,WM_KEY,0)),"")</f>
        <v>0.18</v>
      </c>
      <c r="AE20" s="127">
        <f>IF(AC20="","",AC20*AD20)</f>
        <v>1.08</v>
      </c>
      <c r="AF20" s="125" t="n">
        <v>6</v>
      </c>
      <c r="AG20" s="126">
        <f>IFERROR(INDEX(WM_AC,MATCH($Y20,WM_KEY,0)),"")</f>
        <v>0.05</v>
      </c>
      <c r="AH20" s="127">
        <f>IF(AF20="","",AF20*AG20)</f>
        <v>0.3</v>
      </c>
      <c r="AI20" s="125" t="n">
        <v>5.5</v>
      </c>
      <c r="AJ20" s="126">
        <f>IFERROR(INDEX(WM_L,MATCH($Y20,WM_KEY,0)),"")</f>
        <v>0.1</v>
      </c>
      <c r="AK20" s="127">
        <f>IF(AI20="","",AI20*AJ20)</f>
        <v>0.55</v>
      </c>
      <c r="AL20" s="125" t="n">
        <v>9</v>
      </c>
      <c r="AM20" s="126">
        <f>IFERROR(INDEX(WM_E,MATCH($Y20,WM_KEY,0)),"")</f>
        <v>0.1</v>
      </c>
      <c r="AN20" s="127">
        <f>IF(AL20="","",AL20*AM20)</f>
        <v>0.9</v>
      </c>
      <c r="AO20" s="128" t="n">
        <v>6</v>
      </c>
      <c r="AP20" s="126">
        <f>IFERROR(INDEX(WM_BI,MATCH($Y20,WM_KEY,0)),"")</f>
        <v>0.08</v>
      </c>
      <c r="AQ20" s="127">
        <f>IF(AO20="","",AO20*AP20)</f>
        <v>0.48</v>
      </c>
      <c r="AR20" s="127">
        <f>IF(COUNT(AB20,AE20,AH20,AK20,AN20,AQ20)&lt;6,"",SUM(AB20,AE20,AH20,AK20,AN20,AQ20))</f>
        <v>6.25</v>
      </c>
      <c r="AS20" s="129" t="str">
        <f>IF(AR20="","",INDEX({"A1","A2","A3","B1","B2","B3","C1","C2","D1","D2","E1","E2"},MAX(1,MIN(12,ROUND(AR20,0)))))</f>
        <v>B3</v>
      </c>
      <c r="AT20" s="130" t="inlineStr">
        <is>
          <r>
            <rPr>
              <rFont val="Calibri"/>
              <b val="1"/>
              <sz val="10"/>
            </rPr>
            <t>Weights:</t>
          </r>
          <r>
            <rPr>
              <rFont val="Calibri"/>
              <sz val="10"/>
            </rPr>
            <t xml:space="preserve"> Complexity 49% · Autonomy 18% · Leadership 10% · Experience 10% · Business impact 8% · Accountability 5%
</t>
          </r>
          <r>
            <rPr>
              <rFont val="Calibri"/>
              <b val="1"/>
              <sz val="10"/>
            </rPr>
            <t>Why:</t>
          </r>
          <r>
            <rPr>
              <rFont val="Calibri"/>
              <sz val="10"/>
            </rPr>
            <t xml:space="preserve"> a player-coach is judged half on own expert work and half on leading people.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0" s="131" t="inlineStr">
        <is>
          <r>
            <rPr>
              <rFont val="Calibri"/>
              <b val="1"/>
              <sz val="10"/>
            </rPr>
            <t>At build:</t>
          </r>
          <r>
            <rPr>
              <rFont val="Calibri"/>
              <sz val="10"/>
            </rPr>
            <t xml:space="preserve"> Complexity 2.94 + Autonomy 1.08 + Accountability 0.30 + Leadership 0.55 + Experience 0.90 + Business impact 0.48
= 6.25 points → nearest level 6 = B3
</t>
          </r>
          <r>
            <rPr>
              <rFont val="Calibri"/>
              <b val="1"/>
              <sz val="10"/>
            </rPr>
            <t>Final level:</t>
          </r>
          <r>
            <rPr>
              <rFont val="Calibri"/>
              <sz val="10"/>
            </rPr>
            <t xml:space="preserve"> B+ · a rule applied: see the next column</t>
          </r>
        </is>
      </c>
      <c r="AV20" s="131" t="inlineStr">
        <is>
          <r>
            <rPr>
              <rFont val="Calibri"/>
              <sz val="10"/>
            </rPr>
            <t xml:space="preserve">• </t>
          </r>
          <r>
            <rPr>
              <rFont val="Calibri"/>
              <b val="1"/>
              <sz val="10"/>
            </rPr>
            <t>Placed with tolerance:</t>
          </r>
          <r>
            <rPr>
              <rFont val="Calibri"/>
              <sz val="10"/>
            </rPr>
            <t xml:space="preserve"> span 9 vs norm 3–6 · outside the ±2 tolerance. A small shortfall or a wider span is accepted and confirmed in calibration.
• </t>
          </r>
          <r>
            <rPr>
              <rFont val="Calibri"/>
              <b val="1"/>
              <sz val="10"/>
            </rPr>
            <t>Moved up to the B+ Player-Coach transition step:</t>
          </r>
          <r>
            <rPr>
              <rFont val="Calibri"/>
              <sz val="10"/>
            </rPr>
            <t xml:space="preserve"> leads people and still does hands-on work; Player-Coach score 6.25 · needs 6.25 and complexity–accountability average 6.00 · needs 5.5.
</t>
          </r>
          <r>
            <rPr>
              <rFont val="Calibri"/>
              <b val="1"/>
              <sz val="10"/>
            </rPr>
            <t>Final level:</t>
          </r>
          <r>
            <rPr>
              <rFont val="Calibri"/>
              <sz val="10"/>
            </rPr>
            <t xml:space="preserve"> B+.</t>
          </r>
        </is>
      </c>
      <c r="AW20" s="132" t="inlineStr">
        <is>
          <r>
            <rPr>
              <rFont val="Calibri"/>
              <sz val="10"/>
            </rPr>
            <t xml:space="preserve">Rated 6 of 12
</t>
          </r>
          <r>
            <rPr>
              <rFont val="Calibri"/>
              <b val="1"/>
              <sz val="10"/>
            </rPr>
            <t>Start:</t>
          </r>
          <r>
            <rPr>
              <rFont val="Calibri"/>
              <sz val="10"/>
            </rPr>
            <t xml:space="preserve"> 7.0 · principal / architect title
</t>
          </r>
          <r>
            <rPr>
              <rFont val="Calibri"/>
              <b val="1"/>
              <sz val="10"/>
            </rPr>
            <t>Evidence reads like B2:</t>
          </r>
          <r>
            <rPr>
              <rFont val="Calibri"/>
              <sz val="10"/>
            </rPr>
            <t xml:space="preserve"> Runs all technical aspects of a bank XBRL reporting product: requirements,.NET development, delivery, client support → moved down 1
</t>
          </r>
          <r>
            <rPr>
              <rFont val="Calibri"/>
              <b val="1"/>
              <sz val="10"/>
            </rPr>
            <t>KRA:</t>
          </r>
          <r>
            <rPr>
              <rFont val="Calibri"/>
              <sz val="10"/>
            </rPr>
            <t xml:space="preserve"> “1. Identify and develop AI-driven functionalities. At least 2 · fully developed New AI Features to be released with the year. Encourage the…”
</t>
          </r>
          <r>
            <rPr>
              <rFont val="Calibri"/>
              <b val="1"/>
              <sz val="10"/>
            </rPr>
            <t>Market:</t>
          </r>
          <r>
            <rPr>
              <rFont val="Calibri"/>
              <sz val="10"/>
            </rPr>
            <t xml:space="preserve"> B3 = Sets standards for a practice; cross-team problems</t>
          </r>
        </is>
      </c>
      <c r="AX20" s="133" t="inlineStr">
        <is>
          <r>
            <rPr>
              <rFont val="Calibri"/>
              <sz val="10"/>
            </rPr>
            <t xml:space="preserve">Rated 6 of 12
</t>
          </r>
          <r>
            <rPr>
              <rFont val="Calibri"/>
              <b val="1"/>
              <sz val="10"/>
            </rPr>
            <t>Start:</t>
          </r>
          <r>
            <rPr>
              <rFont val="Calibri"/>
              <sz val="10"/>
            </rPr>
            <t xml:space="preserve"> 7.0 · principal / architect title
</t>
          </r>
          <r>
            <rPr>
              <rFont val="Calibri"/>
              <b val="1"/>
              <sz val="10"/>
            </rPr>
            <t>Evidence reads like B2:</t>
          </r>
          <r>
            <rPr>
              <rFont val="Calibri"/>
              <sz val="10"/>
            </rPr>
            <t xml:space="preserve"> Decides application enhancements; coordinates a nine-person team; leads client discussions → moved down 1
</t>
          </r>
          <r>
            <rPr>
              <rFont val="Calibri"/>
              <b val="1"/>
              <sz val="10"/>
            </rPr>
            <t>Market:</t>
          </r>
          <r>
            <rPr>
              <rFont val="Calibri"/>
              <sz val="10"/>
            </rPr>
            <t xml:space="preserve"> B3 = Commercial / strategic calls for the unit</t>
          </r>
        </is>
      </c>
      <c r="AY20" s="133" t="inlineStr">
        <is>
          <r>
            <rPr>
              <rFont val="Calibri"/>
              <sz val="10"/>
            </rPr>
            <t xml:space="preserve">Rated 6 of 12
</t>
          </r>
          <r>
            <rPr>
              <rFont val="Calibri"/>
              <b val="1"/>
              <sz val="10"/>
            </rPr>
            <t>Start:</t>
          </r>
          <r>
            <rPr>
              <rFont val="Calibri"/>
              <sz val="10"/>
            </rPr>
            <t xml:space="preserve"> 6.5 · principal / architect title; 9 direct reports, 14 people below, 1 of them leads a team
</t>
          </r>
          <r>
            <rPr>
              <rFont val="Calibri"/>
              <b val="1"/>
              <sz val="10"/>
            </rPr>
            <t>Evidence reads like B2:</t>
          </r>
          <r>
            <rPr>
              <rFont val="Calibri"/>
              <sz val="10"/>
            </rPr>
            <t xml:space="preserve"> Accountable for any application failure at client side and project deliverables; team of nine → moved down 0.5
</t>
          </r>
          <r>
            <rPr>
              <rFont val="Calibri"/>
              <b val="1"/>
              <sz val="10"/>
            </rPr>
            <t>KRA:</t>
          </r>
          <r>
            <rPr>
              <rFont val="Calibri"/>
              <sz val="10"/>
            </rPr>
            <t xml:space="preserve"> “1. Identify and develop AI-driven functionalities. At least 2 · fully developed New AI Features to be released with the year. Encourage the…”
</t>
          </r>
          <r>
            <rPr>
              <rFont val="Calibri"/>
              <b val="1"/>
              <sz val="10"/>
            </rPr>
            <t>Market:</t>
          </r>
          <r>
            <rPr>
              <rFont val="Calibri"/>
              <sz val="10"/>
            </rPr>
            <t xml:space="preserve"> B3 = Several teams or a practice</t>
          </r>
        </is>
      </c>
      <c r="AZ20" s="133" t="inlineStr">
        <is>
          <r>
            <rPr>
              <rFont val="Calibri"/>
              <sz val="10"/>
            </rPr>
            <t xml:space="preserve">Rated 5.5 of 12 · between B2 and B3
</t>
          </r>
          <r>
            <rPr>
              <rFont val="Calibri"/>
              <b val="1"/>
              <sz val="10"/>
            </rPr>
            <t>Start:</t>
          </r>
          <r>
            <rPr>
              <rFont val="Calibri"/>
              <sz val="10"/>
            </rPr>
            <t xml:space="preserve"> 6.0
</t>
          </r>
          <r>
            <rPr>
              <rFont val="Calibri"/>
              <b val="1"/>
              <sz val="10"/>
            </rPr>
            <t>Evidence reads like B2:</t>
          </r>
          <r>
            <rPr>
              <rFont val="Calibri"/>
              <sz val="10"/>
            </rPr>
            <t xml:space="preserve"> Coordinates nine direct reports; KRA: develop and mentor technical leaders → moved down 0.5
</t>
          </r>
          <r>
            <rPr>
              <rFont val="Calibri"/>
              <b val="1"/>
              <sz val="10"/>
            </rPr>
            <t>Team:</t>
          </r>
          <r>
            <rPr>
              <rFont val="Calibri"/>
              <sz val="10"/>
            </rPr>
            <t xml:space="preserve"> 9 direct reports · Player-Coach
</t>
          </r>
          <r>
            <rPr>
              <rFont val="Calibri"/>
              <b val="1"/>
              <sz val="10"/>
            </rPr>
            <t>Market:</t>
          </r>
          <r>
            <rPr>
              <rFont val="Calibri"/>
              <sz val="10"/>
            </rPr>
            <t xml:space="preserve"> B2 = IC: guides others in the domain · People: manages a team of 6+ · B3 = IC: leads a practice · People: team leads / managers report in</t>
          </r>
        </is>
      </c>
      <c r="BA20" s="133" t="inlineStr">
        <is>
          <r>
            <rPr>
              <rFont val="Calibri"/>
              <sz val="10"/>
            </rPr>
            <t xml:space="preserve">Rated 9 of 12
</t>
          </r>
          <r>
            <rPr>
              <rFont val="Calibri"/>
              <b val="1"/>
              <sz val="10"/>
            </rPr>
            <t>Experience:</t>
          </r>
          <r>
            <rPr>
              <rFont val="Calibri"/>
              <sz val="10"/>
            </rPr>
            <t xml:space="preserve"> 16.6 yrs total · 1.4 before IRIS + 15.2 at IRIS = 8.7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B+ roles typically have 9–14 yrs · IRIS guide 9–14</t>
          </r>
        </is>
      </c>
      <c r="BB20" s="133" t="inlineStr">
        <is>
          <r>
            <rPr>
              <rFont val="Calibri"/>
              <sz val="10"/>
            </rPr>
            <t xml:space="preserve">Rated 6 of 12 — a starting estimate.
</t>
          </r>
          <r>
            <rPr>
              <rFont val="Calibri"/>
              <b val="1"/>
              <sz val="10"/>
            </rPr>
            <t>Start:</t>
          </r>
          <r>
            <rPr>
              <rFont val="Calibri"/>
              <sz val="10"/>
            </rPr>
            <t xml:space="preserve"> 6,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20" s="134" t="inlineStr"/>
      <c r="BD20" s="135" t="inlineStr">
        <is>
          <t>✓ HRIS: 16.6 yrs, MCA, 9 direct reports
✓ Survey: 20 of 20 questions answered
✓ KRAs: self, manager-set, quarterly
✓ Manager mapping: rating, 9-box — filled from talent-mapping files: rating · tentative Q1
✗ Job description: not on file</t>
        </is>
      </c>
      <c r="BE20" s="135" t="inlineStr">
        <is>
          <r>
            <rPr>
              <rFont val="Calibri"/>
              <b val="1"/>
              <sz val="10"/>
            </rPr>
            <t>Market level:</t>
          </r>
          <r>
            <rPr>
              <rFont val="Calibri"/>
              <sz val="10"/>
            </rPr>
            <t xml:space="preserve"> P5–P6 / M4–M5 · SFIA 5 Ensure, advise
</t>
          </r>
          <r>
            <rPr>
              <rFont val="Calibri"/>
              <b val="1"/>
              <sz val="10"/>
            </rPr>
            <t>Typical title:</t>
          </r>
          <r>
            <rPr>
              <rFont val="Calibri"/>
              <sz val="10"/>
            </rPr>
            <t xml:space="preserve"> Tech Lead Manager / Practice Lead · player-coach
</t>
          </r>
          <r>
            <rPr>
              <rFont val="Calibri"/>
              <b val="1"/>
              <sz val="10"/>
            </rPr>
            <t>At peers:</t>
          </r>
          <r>
            <rPr>
              <rFont val="Calibri"/>
              <sz val="10"/>
            </rPr>
            <t xml:space="preserve"> Google – Tech Lead Manager · TLM · McKinsey player/coach · 3–5 reports · SaaS: player-coach team lead carrying own work
</t>
          </r>
          <r>
            <rPr>
              <rFont val="Calibri"/>
              <b val="1"/>
              <sz val="10"/>
            </rPr>
            <t>Typical experience:</t>
          </r>
          <r>
            <rPr>
              <rFont val="Calibri"/>
              <sz val="10"/>
            </rPr>
            <t xml:space="preserve"> 9–14 yrs · IRIS guide 9–14
</t>
          </r>
          <r>
            <rPr>
              <rFont val="Calibri"/>
              <b val="1"/>
              <sz val="10"/>
            </rPr>
            <t>Standard:</t>
          </r>
          <r>
            <rPr>
              <rFont val="Calibri"/>
              <sz val="10"/>
            </rPr>
            <t xml:space="preserve"> SFIA 9; TOGAF</t>
          </r>
        </is>
      </c>
      <c r="BF20" s="135" t="inlineStr">
        <is>
          <t>Medium</t>
        </is>
      </c>
      <c r="BG20" s="135" t="inlineStr">
        <is>
          <r>
            <rPr>
              <rFont val="Calibri"/>
              <sz val="10"/>
            </rPr>
            <t xml:space="preserve">• Architect line-managing 9 people — kept on the specialist track; confirm specialist vs people-manager role
• Final level B+ is 4.5 levels above the current level on record · L3 ≈ A2 — the record looks out of date; HR to confirm
• </t>
          </r>
          <r>
            <rPr>
              <rFont val="Calibri"/>
              <b val="1"/>
              <sz val="10"/>
            </rPr>
            <t>Near a gate:</t>
          </r>
          <r>
            <rPr>
              <rFont val="Calibri"/>
              <sz val="10"/>
            </rPr>
            <t xml:space="preserve"> Player-Coach transition step placed within tolerance: span 9 vs norm 3–6 · outside the ±2 tolerance — calibrate before confirming</t>
          </r>
        </is>
      </c>
      <c r="BH20" s="146" t="inlineStr">
        <is>
          <t>Player-Coach — within tolerance</t>
        </is>
      </c>
      <c r="BI20" s="136" t="n"/>
      <c r="BJ20" s="137" t="n"/>
      <c r="BK20" s="137" t="n"/>
      <c r="BL20" s="137" t="n"/>
      <c r="BM20" s="137" t="n"/>
      <c r="BN20" s="138" t="n"/>
      <c r="BO20" s="121" t="n"/>
      <c r="BP20" s="121" t="n"/>
      <c r="BQ20" s="121" t="n"/>
      <c r="BR20" s="121" t="n"/>
      <c r="BS20" s="121" t="n"/>
      <c r="BT20" s="121" t="n"/>
      <c r="BU20" s="121" t="n"/>
      <c r="BV20" s="121" t="n">
        <v>6</v>
      </c>
    </row>
    <row r="21" ht="340" customHeight="1">
      <c r="A21" s="109" t="inlineStr">
        <is>
          <t>IRIS2104</t>
        </is>
      </c>
      <c r="B21" s="110" t="inlineStr">
        <is>
          <t>Ravi Ranjan</t>
        </is>
      </c>
      <c r="C21" s="111" t="inlineStr">
        <is>
          <t>Technology</t>
        </is>
      </c>
      <c r="D21" s="111" t="inlineStr">
        <is>
          <t>Hemant Karale</t>
        </is>
      </c>
      <c r="E21" s="112" t="n">
        <v>25.6</v>
      </c>
      <c r="F21" s="112" t="n">
        <v>3.6</v>
      </c>
      <c r="G21" s="111" t="inlineStr">
        <is>
          <t>MCA</t>
        </is>
      </c>
      <c r="H21" s="139" t="inlineStr">
        <is>
          <t>Lead Software Engineer</t>
        </is>
      </c>
      <c r="I21" s="115" t="inlineStr">
        <is>
          <t>Lead Software Engineer</t>
        </is>
      </c>
      <c r="J21" s="115" t="inlineStr">
        <is>
          <t>Engineering &amp; Development</t>
        </is>
      </c>
      <c r="K21" s="115" t="inlineStr">
        <is>
          <t>Backend Development</t>
        </is>
      </c>
      <c r="L21" s="115" t="inlineStr">
        <is>
          <t>L5 – Lead · IC</t>
        </is>
      </c>
      <c r="M21" s="140" t="inlineStr">
        <is>
          <t>B3</t>
        </is>
      </c>
      <c r="N21" s="18" t="inlineStr">
        <is>
          <t>Lead Specialist</t>
        </is>
      </c>
      <c r="O21" s="20" t="inlineStr">
        <is>
          <t>B</t>
        </is>
      </c>
      <c r="P21" s="115" t="inlineStr">
        <is>
          <t>IC</t>
        </is>
      </c>
      <c r="Q21" s="118" t="inlineStr">
        <is>
          <t>• Same level</t>
        </is>
      </c>
      <c r="R21" s="119" t="inlineStr">
        <is>
          <r>
            <rPr>
              <rFont val="Calibri"/>
              <b val="1"/>
              <sz val="10"/>
            </rPr>
            <t>WHAT THE ROLE DOES:</t>
          </r>
          <r>
            <rPr>
              <rFont val="Calibri"/>
              <sz val="10"/>
            </rPr>
            <t xml:space="preserve"> Builds back-end services, APIs, processing/validation logic and DB code; fixes defects and delivers change requests. At B3: a practice, or several teams through team leads.
</t>
          </r>
          <r>
            <rPr>
              <rFont val="Calibri"/>
              <b val="1"/>
              <sz val="10"/>
            </rPr>
            <t>KEY RESPONSIBILITIES:</t>
          </r>
          <r>
            <rPr>
              <rFont val="Calibri"/>
              <sz val="10"/>
            </rPr>
            <t xml:space="preserve"> Builds back-end services, APIs, processing/validation logic and DB code; fixes defects and delivers change requests; Sets standards for a practice; cross-team problems; Several teams or a practice
</t>
          </r>
          <r>
            <rPr>
              <rFont val="Calibri"/>
              <b val="1"/>
              <sz val="10"/>
            </rPr>
            <t>DELIVERS:</t>
          </r>
          <r>
            <rPr>
              <rFont val="Calibri"/>
              <sz val="10"/>
            </rPr>
            <t xml:space="preserve"> Several teams or a practice
</t>
          </r>
          <r>
            <rPr>
              <rFont val="Calibri"/>
              <b val="1"/>
              <sz val="10"/>
            </rPr>
            <t>Common themes in role-holders' answers:</t>
          </r>
          <r>
            <rPr>
              <rFont val="Calibri"/>
              <sz val="10"/>
            </rPr>
            <t xml:space="preserve"> product
</t>
          </r>
          <r>
            <rPr>
              <rFont val="Calibri"/>
              <b val="1"/>
              <sz val="10"/>
            </rPr>
            <t>ACCOUNTABLE FOR:</t>
          </r>
          <r>
            <rPr>
              <rFont val="Calibri"/>
              <sz val="10"/>
            </rPr>
            <t xml:space="preserve"> Several teams or a practice
</t>
          </r>
          <r>
            <rPr>
              <rFont val="Calibri"/>
              <b val="1"/>
              <sz val="10"/>
            </rPr>
            <t>DECIDES ALONE:</t>
          </r>
          <r>
            <rPr>
              <rFont val="Calibri"/>
              <sz val="10"/>
            </rPr>
            <t xml:space="preserve"> Commercial / strategic calls for the unit
</t>
          </r>
          <r>
            <rPr>
              <rFont val="Calibri"/>
              <b val="1"/>
              <sz val="10"/>
            </rPr>
            <t>SKILLS &amp; KNOWLEDGE · role-holders:</t>
          </r>
          <r>
            <rPr>
              <rFont val="Calibri"/>
              <sz val="10"/>
            </rPr>
            <t xml:space="preserve"> Java · NET MVC
</t>
          </r>
          <r>
            <rPr>
              <rFont val="Calibri"/>
              <b val="1"/>
              <sz val="10"/>
            </rPr>
            <t>MANAGER-SET KRAs:</t>
          </r>
          <r>
            <rPr>
              <rFont val="Calibri"/>
              <sz val="10"/>
            </rPr>
            <t xml:space="preserve"> Common themes in manager-set KRAs: technical · defect · quality · agreed · deliver · reviews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4 · Future-ready 3 · Functional 4 · Leadership 3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only · fewer than 3 answered — 3 holders, 3 answered the survey; sub-family 79 answered; catalogue RC-071</t>
          </r>
        </is>
      </c>
      <c r="S21" s="120"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 of 12 · B2-level impact.
From the survey and manager mapping — critical role: yes; successor named: no.
</t>
          </r>
          <r>
            <rPr>
              <rFont val="Calibri"/>
              <b val="1"/>
              <sz val="10"/>
            </rPr>
            <t>Measured on · manager-set KRA themes:</t>
          </r>
          <r>
            <rPr>
              <rFont val="Calibri"/>
              <sz val="10"/>
            </rPr>
            <t xml:space="preserve"> technical · defect · quality · agreed · deliver · reviews.
Manager talent mapping — Latest rating: 4 · 9-Box Grid placement: Not placed · manager.</t>
          </r>
        </is>
      </c>
      <c r="T21" s="121" t="n"/>
      <c r="U21" s="122" t="inlineStr">
        <is>
          <r>
            <rPr>
              <rFont val="Calibri"/>
              <sz val="10"/>
            </rPr>
            <t xml:space="preserve">Lead Software Engineer in Technology · iDEAL, B3 — IC.
</t>
          </r>
          <r>
            <rPr>
              <rFont val="Calibri"/>
              <b val="1"/>
              <sz val="10"/>
            </rPr>
            <t>The work:</t>
          </r>
          <r>
            <rPr>
              <rFont val="Calibri"/>
              <sz val="10"/>
            </rPr>
            <t xml:space="preserve"> Builds back-end services, APIs, processing/validation logic and DB code; fixes defects and delivers change requests.
At this level the role owns a practice, or several teams through team leads.
</t>
          </r>
          <r>
            <rPr>
              <rFont val="Calibri"/>
              <b val="1"/>
              <sz val="10"/>
            </rPr>
            <t>Key responsibilities:</t>
          </r>
          <r>
            <rPr>
              <rFont val="Calibri"/>
              <sz val="10"/>
            </rPr>
            <t xml:space="preserve"> Builds back-end services, APIs, processing/validation logic and DB code; fixes defects and delivers change requests; Sets standards for a practice; cross-team problems; Several teams or a practice.</t>
          </r>
        </is>
      </c>
      <c r="V21" s="123" t="inlineStr">
        <is>
          <r>
            <rPr>
              <rFont val="Calibri"/>
              <b val="1"/>
              <sz val="10"/>
            </rPr>
            <t>Hire as:</t>
          </r>
          <r>
            <rPr>
              <rFont val="Calibri"/>
              <sz val="10"/>
            </rPr>
            <t xml:space="preserve"> Principal Engineer — IRIS B3 Lead Specialist · IC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BE / B.Tech / MCA / M.Tech / B.Sc · CS
</t>
          </r>
          <r>
            <rPr>
              <rFont val="Calibri"/>
              <b val="1"/>
              <sz val="10"/>
            </rPr>
            <t>Equivalent titles at peers:</t>
          </r>
          <r>
            <rPr>
              <rFont val="Calibri"/>
              <sz val="10"/>
            </rPr>
            <t xml:space="preserve"> Workiva – Staff SE · Broadridge India – Senior Lead SE · Nasdaq / AxiomSL – Lead SE · Salesforce – LMTS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1" s="123"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Java · NET MVC
★ = must-have for the family. Scale: 1 Awareness · 2 Working · 3 Practitioner · 4 Advanced · 5 Expert.</t>
          </r>
        </is>
      </c>
      <c r="X21" s="123"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21" s="124" t="inlineStr">
        <is>
          <t>iDEAL · Technology · Band B · Expert / POD Lead</t>
        </is>
      </c>
      <c r="Z21" s="125" t="n">
        <v>5</v>
      </c>
      <c r="AA21" s="126">
        <f>IFERROR(INDEX(WM_C,MATCH($Y21,WM_KEY,0)),"")</f>
        <v>0.56</v>
      </c>
      <c r="AB21" s="127">
        <f>IF(Z21="","",Z21*AA21)</f>
        <v>2.8</v>
      </c>
      <c r="AC21" s="125" t="n">
        <v>5</v>
      </c>
      <c r="AD21" s="126">
        <f>IFERROR(INDEX(WM_AU,MATCH($Y21,WM_KEY,0)),"")</f>
        <v>0.17</v>
      </c>
      <c r="AE21" s="127">
        <f>IF(AC21="","",AC21*AD21)</f>
        <v>0.85</v>
      </c>
      <c r="AF21" s="125" t="n">
        <v>5</v>
      </c>
      <c r="AG21" s="126">
        <f>IFERROR(INDEX(WM_AC,MATCH($Y21,WM_KEY,0)),"")</f>
        <v>0.05</v>
      </c>
      <c r="AH21" s="127">
        <f>IF(AF21="","",AF21*AG21)</f>
        <v>0.25</v>
      </c>
      <c r="AI21" s="125" t="n">
        <v>4</v>
      </c>
      <c r="AJ21" s="126">
        <f>IFERROR(INDEX(WM_L,MATCH($Y21,WM_KEY,0)),"")</f>
        <v>0.05</v>
      </c>
      <c r="AK21" s="127">
        <f>IF(AI21="","",AI21*AJ21)</f>
        <v>0.2</v>
      </c>
      <c r="AL21" s="125" t="n">
        <v>12</v>
      </c>
      <c r="AM21" s="126">
        <f>IFERROR(INDEX(WM_E,MATCH($Y21,WM_KEY,0)),"")</f>
        <v>0.1</v>
      </c>
      <c r="AN21" s="127">
        <f>IF(AL21="","",AL21*AM21)</f>
        <v>1.2</v>
      </c>
      <c r="AO21" s="128" t="n">
        <v>5.5</v>
      </c>
      <c r="AP21" s="126">
        <f>IFERROR(INDEX(WM_BI,MATCH($Y21,WM_KEY,0)),"")</f>
        <v>0.07</v>
      </c>
      <c r="AQ21" s="127">
        <f>IF(AO21="","",AO21*AP21)</f>
        <v>0.385</v>
      </c>
      <c r="AR21" s="127">
        <f>IF(COUNT(AB21,AE21,AH21,AK21,AN21,AQ21)&lt;6,"",SUM(AB21,AE21,AH21,AK21,AN21,AQ21))</f>
        <v>5.685</v>
      </c>
      <c r="AS21" s="129" t="str">
        <f>IF(AR21="","",INDEX({"A1","A2","A3","B1","B2","B3","C1","C2","D1","D2","E1","E2"},MAX(1,MIN(12,ROUND(AR21,0)))))</f>
        <v>B3</v>
      </c>
      <c r="AT21"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1" s="131" t="inlineStr">
        <is>
          <r>
            <rPr>
              <rFont val="Calibri"/>
              <b val="1"/>
              <sz val="10"/>
            </rPr>
            <t>At build:</t>
          </r>
          <r>
            <rPr>
              <rFont val="Calibri"/>
              <sz val="10"/>
            </rPr>
            <t xml:space="preserve"> Complexity 2.80 + Autonomy 0.85 + Accountability 0.25 + Leadership 0.20 + Experience 1.20 + Business impact 0.39
= 5.69 points → nearest level 6 = B3
</t>
          </r>
          <r>
            <rPr>
              <rFont val="Calibri"/>
              <b val="1"/>
              <sz val="10"/>
            </rPr>
            <t>Final level:</t>
          </r>
          <r>
            <rPr>
              <rFont val="Calibri"/>
              <sz val="10"/>
            </rPr>
            <t xml:space="preserve"> B3 · same as the score</t>
          </r>
        </is>
      </c>
      <c r="AV21" s="131" t="inlineStr">
        <is>
          <r>
            <rPr>
              <rFont val="Calibri"/>
              <b val="1"/>
              <sz val="10"/>
            </rPr>
            <t>No rule applied:</t>
          </r>
          <r>
            <rPr>
              <rFont val="Calibri"/>
              <sz val="10"/>
            </rPr>
            <t xml:space="preserve"> the score decides.</t>
          </r>
        </is>
      </c>
      <c r="AW21" s="132"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SAML implementation,.NET Framework to.NET Core upgrade, load-balancer work, security testing with Burp Suite → moved down 1
</t>
          </r>
          <r>
            <rPr>
              <rFont val="Calibri"/>
              <b val="1"/>
              <sz val="10"/>
            </rPr>
            <t>KRA:</t>
          </r>
          <r>
            <rPr>
              <rFont val="Calibri"/>
              <sz val="10"/>
            </rPr>
            <t xml:space="preserve"> “1. Identify and develop AI-driven functionalities. At least 2 · fully developed New AI Features to be released with the year. Encourage the…”
</t>
          </r>
          <r>
            <rPr>
              <rFont val="Calibri"/>
              <b val="1"/>
              <sz val="10"/>
            </rPr>
            <t>Market:</t>
          </r>
          <r>
            <rPr>
              <rFont val="Calibri"/>
              <sz val="10"/>
            </rPr>
            <t xml:space="preserve"> B2 = Hardest problems in the domain</t>
          </r>
        </is>
      </c>
      <c r="AX21" s="133"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Decides SAML feature enhancement and the framework upgrade for the product → moved down 1
</t>
          </r>
          <r>
            <rPr>
              <rFont val="Calibri"/>
              <b val="1"/>
              <sz val="10"/>
            </rPr>
            <t>Market:</t>
          </r>
          <r>
            <rPr>
              <rFont val="Calibri"/>
              <sz val="10"/>
            </rPr>
            <t xml:space="preserve"> B2 = Allocates people and sets team priorities</t>
          </r>
        </is>
      </c>
      <c r="AY21" s="133"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A3:</t>
          </r>
          <r>
            <rPr>
              <rFont val="Calibri"/>
              <sz val="10"/>
            </rPr>
            <t xml:space="preserve"> Accountable for SAML implementation and the.NET Core upgrade → moved down 1
</t>
          </r>
          <r>
            <rPr>
              <rFont val="Calibri"/>
              <b val="1"/>
              <sz val="10"/>
            </rPr>
            <t>KRA:</t>
          </r>
          <r>
            <rPr>
              <rFont val="Calibri"/>
              <sz val="10"/>
            </rPr>
            <t xml:space="preserve"> “1. Identify and develop AI-driven functionalities. At least 2 · fully developed New AI Features to be released with the year. Encourage the…”
</t>
          </r>
          <r>
            <rPr>
              <rFont val="Calibri"/>
              <b val="1"/>
              <sz val="10"/>
            </rPr>
            <t>Market:</t>
          </r>
          <r>
            <rPr>
              <rFont val="Calibri"/>
              <sz val="10"/>
            </rPr>
            <t xml:space="preserve"> B2 = One team or a client portfolio</t>
          </r>
        </is>
      </c>
      <c r="AZ21" s="133" t="inlineStr">
        <is>
          <r>
            <rPr>
              <rFont val="Calibri"/>
              <sz val="10"/>
            </rPr>
            <t xml:space="preserve">Rated 4 of 12
</t>
          </r>
          <r>
            <rPr>
              <rFont val="Calibri"/>
              <b val="1"/>
              <sz val="10"/>
            </rPr>
            <t>Start:</t>
          </r>
          <r>
            <rPr>
              <rFont val="Calibri"/>
              <sz val="10"/>
            </rPr>
            <t xml:space="preserve"> 5.0 · individual contributor, so influence only
</t>
          </r>
          <r>
            <rPr>
              <rFont val="Calibri"/>
              <b val="1"/>
              <sz val="10"/>
            </rPr>
            <t>Evidence reads like A3:</t>
          </r>
          <r>
            <rPr>
              <rFont val="Calibri"/>
              <sz val="10"/>
            </rPr>
            <t xml:space="preserve"> Dev team brings issues to him for discussion as a regular part of the role → moved down 1
</t>
          </r>
          <r>
            <rPr>
              <rFont val="Calibri"/>
              <b val="1"/>
              <sz val="10"/>
            </rPr>
            <t>Team:</t>
          </r>
          <r>
            <rPr>
              <rFont val="Calibri"/>
              <sz val="10"/>
            </rPr>
            <t xml:space="preserve"> 0 direct reports · IC
</t>
          </r>
          <r>
            <rPr>
              <rFont val="Calibri"/>
              <b val="1"/>
              <sz val="10"/>
            </rPr>
            <t>Market:</t>
          </r>
          <r>
            <rPr>
              <rFont val="Calibri"/>
              <sz val="10"/>
            </rPr>
            <t xml:space="preserve"> B1 = IC: mentors and reviews · People: hands-on team lead of 3–5</t>
          </r>
        </is>
      </c>
      <c r="BA21" s="133" t="inlineStr">
        <is>
          <r>
            <rPr>
              <rFont val="Calibri"/>
              <sz val="10"/>
            </rPr>
            <t xml:space="preserve">Rated 12 of 12
</t>
          </r>
          <r>
            <rPr>
              <rFont val="Calibri"/>
              <b val="1"/>
              <sz val="10"/>
            </rPr>
            <t>Experience:</t>
          </r>
          <r>
            <rPr>
              <rFont val="Calibri"/>
              <sz val="10"/>
            </rPr>
            <t xml:space="preserve"> 25.6 yrs total · 22.0 before IRIS + 3.6 at IRIS = 11.4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B3 roles typically have 8–13 yrs · IRIS guide 8–12</t>
          </r>
        </is>
      </c>
      <c r="BB21" s="133"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21" s="134" t="inlineStr"/>
      <c r="BD21" s="135" t="inlineStr">
        <is>
          <t>✓ HRIS: 25.6 yrs, MCA, 0 direct reports
✓ Survey: 20 of 20 questions answered
✓ KRAs: self, manager-set, quarterly
✓ Manager mapping: rating, 9-box — filled from talent-mapping files: rating · tentative Q1
✗ Job description: not on file</t>
        </is>
      </c>
      <c r="BE21" s="135"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Engineer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OWASP secure coding</t>
          </r>
        </is>
      </c>
      <c r="BF21" s="135" t="inlineStr">
        <is>
          <t>High</t>
        </is>
      </c>
      <c r="BG21" s="135" t="inlineStr"/>
      <c r="BH21" s="135" t="inlineStr"/>
      <c r="BI21" s="136" t="n"/>
      <c r="BJ21" s="137" t="n"/>
      <c r="BK21" s="137" t="n"/>
      <c r="BL21" s="137" t="n"/>
      <c r="BM21" s="137" t="n"/>
      <c r="BN21" s="138" t="n"/>
      <c r="BO21" s="121" t="n"/>
      <c r="BP21" s="121" t="n"/>
      <c r="BQ21" s="121" t="n"/>
      <c r="BR21" s="121" t="n"/>
      <c r="BS21" s="121" t="n"/>
      <c r="BT21" s="121" t="n"/>
      <c r="BU21" s="121" t="n"/>
      <c r="BV21" s="121" t="n">
        <v>5.5</v>
      </c>
    </row>
    <row r="22" ht="340" customHeight="1">
      <c r="A22" s="109" t="inlineStr">
        <is>
          <t>IRIS1178</t>
        </is>
      </c>
      <c r="B22" s="110" t="inlineStr">
        <is>
          <t>Anand Shinde</t>
        </is>
      </c>
      <c r="C22" s="111" t="inlineStr">
        <is>
          <t>Technology</t>
        </is>
      </c>
      <c r="D22" s="111" t="inlineStr">
        <is>
          <t>Yuvraj Kharchane</t>
        </is>
      </c>
      <c r="E22" s="112" t="n">
        <v>14.3</v>
      </c>
      <c r="F22" s="112" t="n">
        <v>14.3</v>
      </c>
      <c r="G22" s="111" t="inlineStr">
        <is>
          <t>MBA</t>
        </is>
      </c>
      <c r="H22" s="113" t="inlineStr">
        <is>
          <t>Senior Business Analyst</t>
        </is>
      </c>
      <c r="I22" s="114" t="inlineStr">
        <is>
          <t>Business Analysis Specialist</t>
        </is>
      </c>
      <c r="J22" s="115" t="inlineStr">
        <is>
          <t>Business Analysis</t>
        </is>
      </c>
      <c r="K22" s="115" t="inlineStr">
        <is>
          <t>Business Analysis</t>
        </is>
      </c>
      <c r="L22" s="114" t="inlineStr">
        <is>
          <t>L4 – Senior</t>
        </is>
      </c>
      <c r="M22" s="141" t="inlineStr">
        <is>
          <t>B1</t>
        </is>
      </c>
      <c r="N22" s="18" t="inlineStr">
        <is>
          <t>Specialist</t>
        </is>
      </c>
      <c r="O22" s="20" t="inlineStr">
        <is>
          <t>B</t>
        </is>
      </c>
      <c r="P22" s="115" t="inlineStr">
        <is>
          <t>IC</t>
        </is>
      </c>
      <c r="Q22" s="142" t="inlineStr">
        <is>
          <t>▲ Up</t>
        </is>
      </c>
      <c r="R22" s="119" t="inlineStr">
        <is>
          <r>
            <rPr>
              <rFont val="Calibri"/>
              <b val="1"/>
              <sz val="10"/>
            </rPr>
            <t>WHAT THE ROLE DOES:</t>
          </r>
          <r>
            <rPr>
              <rFont val="Calibri"/>
              <sz val="10"/>
            </rPr>
            <t xml:space="preserve"> 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product · regulator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requirement · client · time · issue · assigned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documentation
</t>
          </r>
          <r>
            <rPr>
              <rFont val="Calibri"/>
              <b val="1"/>
              <sz val="10"/>
            </rPr>
            <t>SKILLS &amp; KNOWLEDGE · role-holders:</t>
          </r>
          <r>
            <rPr>
              <rFont val="Calibri"/>
              <sz val="10"/>
            </rPr>
            <t xml:space="preserve"> Business Analysis
</t>
          </r>
          <r>
            <rPr>
              <rFont val="Calibri"/>
              <b val="1"/>
              <sz val="10"/>
            </rPr>
            <t>MANAGER-SET KRAs:</t>
          </r>
          <r>
            <rPr>
              <rFont val="Calibri"/>
              <sz val="10"/>
            </rPr>
            <t xml:space="preserve"> Common themes in manager-set KRAs: releases · satisfaction · delivery · assigned · uat · requirement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7 holders, 7 answered the survey; sub-family 27 answered; catalogue RC-010</t>
          </r>
        </is>
      </c>
      <c r="S22"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yes; work only this person does: yes; successor named: no.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5 · Potential: High · 9-Box Grid placement: Trusted Professional.</t>
          </r>
        </is>
      </c>
      <c r="T22" s="121" t="n"/>
      <c r="U22" s="122" t="inlineStr">
        <is>
          <r>
            <rPr>
              <rFont val="Calibri"/>
              <sz val="10"/>
            </rPr>
            <t xml:space="preserve">Business Analysis Specialist in Technology · iDEAL, B1 — IC.
</t>
          </r>
          <r>
            <rPr>
              <rFont val="Calibri"/>
              <b val="1"/>
              <sz val="10"/>
            </rPr>
            <t>The work:</t>
          </r>
          <r>
            <rPr>
              <rFont val="Calibri"/>
              <sz val="10"/>
            </rPr>
            <t xml:space="preserve"> Gathers and documents requirements · BRD/FRD/SRS/user stories, configures solutions and supports UAT and releases.
At this level the role owns a domain / module, or a small team.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Holders describe it with:</t>
          </r>
          <r>
            <rPr>
              <rFont val="Calibri"/>
              <sz val="10"/>
            </rPr>
            <t xml:space="preserve"> requirement · stakeholder · gathering · client · project · portfolio.</t>
          </r>
        </is>
      </c>
      <c r="V22" s="123" t="inlineStr">
        <is>
          <r>
            <rPr>
              <rFont val="Calibri"/>
              <b val="1"/>
              <sz val="10"/>
            </rPr>
            <t>Hire as:</t>
          </r>
          <r>
            <rPr>
              <rFont val="Calibri"/>
              <sz val="10"/>
            </rPr>
            <t xml:space="preserve"> Senior Business Analyst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Commerce or engineering graduate; MBA a plus
</t>
          </r>
          <r>
            <rPr>
              <rFont val="Calibri"/>
              <b val="1"/>
              <sz val="10"/>
            </rPr>
            <t>Equivalent titles at peers:</t>
          </r>
          <r>
            <rPr>
              <rFont val="Calibri"/>
              <sz val="10"/>
            </rPr>
            <t xml:space="preserve"> Regnology — regulatory reporting – BA · Reg Reporting · Big Four consulting – Senior Consultant · IRIS Vs Market Benchmark — IIBA certification pathway – CCBA · Infosys / Accenture – JL4 · L9 Consultant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22"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Business Analysis
★ = must-have for the family. Scale: 1 Awareness · 2 Working · 3 Practitioner · 4 Advanced · 5 Expert.</t>
          </r>
        </is>
      </c>
      <c r="X22"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2" s="124" t="inlineStr">
        <is>
          <t>iDEAL · Technology · Band B · Expert / POD Lead</t>
        </is>
      </c>
      <c r="Z22" s="125" t="n">
        <v>3.5</v>
      </c>
      <c r="AA22" s="126">
        <f>IFERROR(INDEX(WM_C,MATCH($Y22,WM_KEY,0)),"")</f>
        <v>0.56</v>
      </c>
      <c r="AB22" s="127">
        <f>IF(Z22="","",Z22*AA22)</f>
        <v>1.96</v>
      </c>
      <c r="AC22" s="125" t="n">
        <v>3.5</v>
      </c>
      <c r="AD22" s="126">
        <f>IFERROR(INDEX(WM_AU,MATCH($Y22,WM_KEY,0)),"")</f>
        <v>0.17</v>
      </c>
      <c r="AE22" s="127">
        <f>IF(AC22="","",AC22*AD22)</f>
        <v>0.595</v>
      </c>
      <c r="AF22" s="125" t="n">
        <v>3.5</v>
      </c>
      <c r="AG22" s="126">
        <f>IFERROR(INDEX(WM_AC,MATCH($Y22,WM_KEY,0)),"")</f>
        <v>0.05</v>
      </c>
      <c r="AH22" s="127">
        <f>IF(AF22="","",AF22*AG22)</f>
        <v>0.175</v>
      </c>
      <c r="AI22" s="125" t="n">
        <v>2.5</v>
      </c>
      <c r="AJ22" s="126">
        <f>IFERROR(INDEX(WM_L,MATCH($Y22,WM_KEY,0)),"")</f>
        <v>0.05</v>
      </c>
      <c r="AK22" s="127">
        <f>IF(AI22="","",AI22*AJ22)</f>
        <v>0.125</v>
      </c>
      <c r="AL22" s="125" t="n">
        <v>8</v>
      </c>
      <c r="AM22" s="126">
        <f>IFERROR(INDEX(WM_E,MATCH($Y22,WM_KEY,0)),"")</f>
        <v>0.1</v>
      </c>
      <c r="AN22" s="127">
        <f>IF(AL22="","",AL22*AM22)</f>
        <v>0.8</v>
      </c>
      <c r="AO22" s="128" t="n">
        <v>4.5</v>
      </c>
      <c r="AP22" s="126">
        <f>IFERROR(INDEX(WM_BI,MATCH($Y22,WM_KEY,0)),"")</f>
        <v>0.07</v>
      </c>
      <c r="AQ22" s="127">
        <f>IF(AO22="","",AO22*AP22)</f>
        <v>0.315</v>
      </c>
      <c r="AR22" s="127">
        <f>IF(COUNT(AB22,AE22,AH22,AK22,AN22,AQ22)&lt;6,"",SUM(AB22,AE22,AH22,AK22,AN22,AQ22))</f>
        <v>3.97</v>
      </c>
      <c r="AS22" s="129" t="str">
        <f>IF(AR22="","",INDEX({"A1","A2","A3","B1","B2","B3","C1","C2","D1","D2","E1","E2"},MAX(1,MIN(12,ROUND(AR22,0)))))</f>
        <v>B1</v>
      </c>
      <c r="AT22"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2" s="131" t="inlineStr">
        <is>
          <r>
            <rPr>
              <rFont val="Calibri"/>
              <b val="1"/>
              <sz val="10"/>
            </rPr>
            <t>At build:</t>
          </r>
          <r>
            <rPr>
              <rFont val="Calibri"/>
              <sz val="10"/>
            </rPr>
            <t xml:space="preserve"> Complexity 1.96 + Autonomy 0.60 + Accountability 0.18 + Leadership 0.12 + Experience 0.80 + Business impact 0.32
= 3.97 points → nearest level 4 = B1
</t>
          </r>
          <r>
            <rPr>
              <rFont val="Calibri"/>
              <b val="1"/>
              <sz val="10"/>
            </rPr>
            <t>Final level:</t>
          </r>
          <r>
            <rPr>
              <rFont val="Calibri"/>
              <sz val="10"/>
            </rPr>
            <t xml:space="preserve"> B1 · same as the score</t>
          </r>
        </is>
      </c>
      <c r="AV22" s="131" t="inlineStr">
        <is>
          <r>
            <rPr>
              <rFont val="Calibri"/>
              <b val="1"/>
              <sz val="10"/>
            </rPr>
            <t>No rule applied:</t>
          </r>
          <r>
            <rPr>
              <rFont val="Calibri"/>
              <sz val="10"/>
            </rPr>
            <t xml:space="preserve"> the score decides.</t>
          </r>
        </is>
      </c>
      <c r="AW22"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Develops new RBI returns from scratch; handles client return-conversion errors; uses SQL → moved down 0.5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A3 = Varied and non-standard work; handles exceptions · B1 = Domain specialist work</t>
          </r>
        </is>
      </c>
      <c r="AX22" s="133"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Decides bug fixing only → moved down 0.5
</t>
          </r>
          <r>
            <rPr>
              <rFont val="Calibri"/>
              <b val="1"/>
              <sz val="10"/>
            </rPr>
            <t>Market:</t>
          </r>
          <r>
            <rPr>
              <rFont val="Calibri"/>
              <sz val="10"/>
            </rPr>
            <t xml:space="preserve"> A3 = Technical / QC / client calls on own work · B1 = Technical / QC / client calls for the domain</t>
          </r>
        </is>
      </c>
      <c r="AY22" s="133"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Own return development and error fixes; mistakes trigger client escalation → moved down 0.5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A3 = A module / process, or work with client or regulatory consequences · B1 = A domain or a small team</t>
          </r>
        </is>
      </c>
      <c r="AZ22" s="133" t="inlineStr">
        <is>
          <r>
            <rPr>
              <rFont val="Calibri"/>
              <sz val="10"/>
            </rPr>
            <t xml:space="preserve">Rated 2.5 of 12 · between A2 and A3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None described → moved down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22" s="133" t="inlineStr">
        <is>
          <r>
            <rPr>
              <rFont val="Calibri"/>
              <sz val="10"/>
            </rPr>
            <t xml:space="preserve">Rated 8 of 12
</t>
          </r>
          <r>
            <rPr>
              <rFont val="Calibri"/>
              <b val="1"/>
              <sz val="10"/>
            </rPr>
            <t>Experience:</t>
          </r>
          <r>
            <rPr>
              <rFont val="Calibri"/>
              <sz val="10"/>
            </rPr>
            <t xml:space="preserve"> 14.3 yrs total · 14.3 at IRIS; none recorded before IRIS = 7.9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B1 roles typically have 4–8 yrs · IRIS guide 4–7</t>
          </r>
        </is>
      </c>
      <c r="BB22" s="133" t="inlineStr">
        <is>
          <r>
            <rPr>
              <rFont val="Calibri"/>
              <sz val="10"/>
            </rPr>
            <t xml:space="preserve">Rated 4.5 of 12 — a starting estimate.
</t>
          </r>
          <r>
            <rPr>
              <rFont val="Calibri"/>
              <b val="1"/>
              <sz val="10"/>
            </rPr>
            <t>Start:</t>
          </r>
          <r>
            <rPr>
              <rFont val="Calibri"/>
              <sz val="10"/>
            </rPr>
            <t xml:space="preserve"> 3.5, the role's accountability scope — what it answers for.
</t>
          </r>
          <r>
            <rPr>
              <rFont val="Calibri"/>
              <b val="1"/>
              <sz val="10"/>
            </rPr>
            <t>Moved +1:</t>
          </r>
          <r>
            <rPr>
              <rFont val="Calibri"/>
              <sz val="10"/>
            </rPr>
            <t xml:space="preserve"> the survey / manager mapping marks it business-critical and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22" s="134" t="inlineStr"/>
      <c r="BD22" s="135" t="inlineStr">
        <is>
          <t>✓ HRIS: 14.3 yrs, MBA, 0 direct reports
✓ Survey: 20 of 20 questions answered
✓ KRAs: self, manager-set, quarterly
✓ Manager mapping: rating, potential, 9-box
✗ Job description: not on file</t>
        </is>
      </c>
      <c r="BE22" s="135" t="inlineStr">
        <is>
          <r>
            <rPr>
              <rFont val="Calibri"/>
              <b val="1"/>
              <sz val="10"/>
            </rPr>
            <t>Market level:</t>
          </r>
          <r>
            <rPr>
              <rFont val="Calibri"/>
              <sz val="10"/>
            </rPr>
            <t xml:space="preserve"> P3 / M2 · SFIA 4 Enable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BF22" s="135" t="inlineStr">
        <is>
          <t>Medium</t>
        </is>
      </c>
      <c r="BG22" s="135" t="inlineStr"/>
      <c r="BH22" s="135" t="inlineStr"/>
      <c r="BI22" s="136" t="n"/>
      <c r="BJ22" s="137" t="n"/>
      <c r="BK22" s="137" t="n"/>
      <c r="BL22" s="137" t="n"/>
      <c r="BM22" s="137" t="n"/>
      <c r="BN22" s="138" t="n"/>
      <c r="BO22" s="121" t="n"/>
      <c r="BP22" s="121" t="n"/>
      <c r="BQ22" s="121" t="n"/>
      <c r="BR22" s="121" t="n"/>
      <c r="BS22" s="121" t="n"/>
      <c r="BT22" s="121" t="n"/>
      <c r="BU22" s="121" t="n"/>
      <c r="BV22" s="121" t="n">
        <v>4.5</v>
      </c>
    </row>
    <row r="23" ht="340" customHeight="1">
      <c r="A23" s="109" t="inlineStr">
        <is>
          <t>IRIS1947</t>
        </is>
      </c>
      <c r="B23" s="110" t="inlineStr">
        <is>
          <t>Aroosa Ghole</t>
        </is>
      </c>
      <c r="C23" s="111" t="inlineStr">
        <is>
          <t>Technology</t>
        </is>
      </c>
      <c r="D23" s="111" t="inlineStr">
        <is>
          <t>Hemant Karale</t>
        </is>
      </c>
      <c r="E23" s="112" t="n">
        <v>7.5</v>
      </c>
      <c r="F23" s="112" t="n">
        <v>5.1</v>
      </c>
      <c r="G23" s="111" t="inlineStr">
        <is>
          <t>PGDM</t>
        </is>
      </c>
      <c r="H23" s="113" t="inlineStr">
        <is>
          <t>Senior Business Analyst</t>
        </is>
      </c>
      <c r="I23" s="114" t="inlineStr">
        <is>
          <t>Team Lead – Business Analysis</t>
        </is>
      </c>
      <c r="J23" s="115" t="inlineStr">
        <is>
          <t>Business Analysis</t>
        </is>
      </c>
      <c r="K23" s="115" t="inlineStr">
        <is>
          <t>Business Analysis</t>
        </is>
      </c>
      <c r="L23" s="114" t="inlineStr">
        <is>
          <t>L4 – Senior</t>
        </is>
      </c>
      <c r="M23" s="141" t="inlineStr">
        <is>
          <t>B1</t>
        </is>
      </c>
      <c r="N23" s="18" t="inlineStr">
        <is>
          <t>Team Lead</t>
        </is>
      </c>
      <c r="O23" s="20" t="inlineStr">
        <is>
          <t>B</t>
        </is>
      </c>
      <c r="P23" s="115" t="inlineStr">
        <is>
          <t>People Manager</t>
        </is>
      </c>
      <c r="Q23" s="142" t="inlineStr">
        <is>
          <t>▲ Up</t>
        </is>
      </c>
      <c r="R23" s="119" t="inlineStr">
        <is>
          <r>
            <rPr>
              <rFont val="Calibri"/>
              <b val="1"/>
              <sz val="10"/>
            </rPr>
            <t>WHAT THE ROLE DOES:</t>
          </r>
          <r>
            <rPr>
              <rFont val="Calibri"/>
              <sz val="10"/>
            </rPr>
            <t xml:space="preserve"> Gathers and documents requirements · BRD/FRD/SRS/user stories, configures solutions and supports UAT and releases. At B1: a domain / module, or a small team.
</t>
          </r>
          <r>
            <rPr>
              <rFont val="Calibri"/>
              <b val="1"/>
              <sz val="10"/>
            </rPr>
            <t>Common themes in sub-family holders, all levels' answers:</t>
          </r>
          <r>
            <rPr>
              <rFont val="Calibri"/>
              <sz val="10"/>
            </rPr>
            <t xml:space="preserve"> business · requirements · bridge · analyst · between · technical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Common themes in sub-family holders, all levels' answers:</t>
          </r>
          <r>
            <rPr>
              <rFont val="Calibri"/>
              <sz val="10"/>
            </rPr>
            <t xml:space="preserve"> requirement · documentation · stakeholder · client · gathering · analysis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product · user stories · requirements · process · client · deliver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requirements · accountable · documentation · delivery · am · business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requirements · user · documentation · process · stories · assign
</t>
          </r>
          <r>
            <rPr>
              <rFont val="Calibri"/>
              <b val="1"/>
              <sz val="10"/>
            </rPr>
            <t>SKILLS &amp; KNOWLEDGE · role-holders:</t>
          </r>
          <r>
            <rPr>
              <rFont val="Calibri"/>
              <sz val="10"/>
            </rPr>
            <t xml:space="preserve"> Business Analysis · Documentation · Requirement analysis · Stakeholder Management · communication · XBRL · Requirement Elicitation · generative AI
</t>
          </r>
          <r>
            <rPr>
              <rFont val="Calibri"/>
              <b val="1"/>
              <sz val="10"/>
            </rPr>
            <t>TOOLS &amp; SYSTEMS:</t>
          </r>
          <r>
            <rPr>
              <rFont val="Calibri"/>
              <sz val="10"/>
            </rPr>
            <t xml:space="preserve"> Excel · Figma · Quickscrum · Word · Jira · Claude · XBRL · Copilot
</t>
          </r>
          <r>
            <rPr>
              <rFont val="Calibri"/>
              <b val="1"/>
              <sz val="10"/>
            </rPr>
            <t>MANAGER-SET KRAs:</t>
          </r>
          <r>
            <rPr>
              <rFont val="Calibri"/>
              <sz val="10"/>
            </rPr>
            <t xml:space="preserve"> Common themes in manager-set KRAs: client · first · quality · contribute · update · establish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3 · Future-ready 3 · Functional 3 · Leadership 2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sub-family themes · 3+ answered — 2 holders, 2 answered the survey; sub-family 27 answered; catalogue RC-011</t>
          </r>
        </is>
      </c>
      <c r="S23"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4 direct reports.
From the survey and manager mapping — critical role: yes; successor named: no.
</t>
          </r>
          <r>
            <rPr>
              <rFont val="Calibri"/>
              <b val="1"/>
              <sz val="10"/>
            </rPr>
            <t>If the work is missed · role-holders' themes:</t>
          </r>
          <r>
            <rPr>
              <rFont val="Calibri"/>
              <sz val="10"/>
            </rPr>
            <t xml:space="preserve"> client · rework · delays.
</t>
          </r>
          <r>
            <rPr>
              <rFont val="Calibri"/>
              <b val="1"/>
              <sz val="10"/>
            </rPr>
            <t>Measured on · manager-set KRA themes:</t>
          </r>
          <r>
            <rPr>
              <rFont val="Calibri"/>
              <sz val="10"/>
            </rPr>
            <t xml:space="preserve"> client · first · quality · contribute · update · establish.
Manager talent mapping — Latest rating: 4 · Potential: High · 9-Box Grid placement: High Impact / Growth Talent.</t>
          </r>
        </is>
      </c>
      <c r="T23" s="121" t="n"/>
      <c r="U23" s="122" t="inlineStr">
        <is>
          <r>
            <rPr>
              <rFont val="Calibri"/>
              <sz val="10"/>
            </rPr>
            <t xml:space="preserve">Team Lead – Business Analysis in Technology · iDEAL, B1 — People Manager.
</t>
          </r>
          <r>
            <rPr>
              <rFont val="Calibri"/>
              <b val="1"/>
              <sz val="10"/>
            </rPr>
            <t>The work:</t>
          </r>
          <r>
            <rPr>
              <rFont val="Calibri"/>
              <sz val="10"/>
            </rPr>
            <t xml:space="preserve"> Gathers and documents requirements · BRD/FRD/SRS/user stories, configures solutions and supports UAT and releases.
At this level the role owns a domain / module, or a small team.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Holders describe it with:</t>
          </r>
          <r>
            <rPr>
              <rFont val="Calibri"/>
              <sz val="10"/>
            </rPr>
            <t xml:space="preserve"> requirement · documentation · stakeholder · client · gathering · analysis.
Leads 4 direct reports.</t>
          </r>
        </is>
      </c>
      <c r="V23" s="123" t="inlineStr">
        <is>
          <r>
            <rPr>
              <rFont val="Calibri"/>
              <b val="1"/>
              <sz val="10"/>
            </rPr>
            <t>Hire as:</t>
          </r>
          <r>
            <rPr>
              <rFont val="Calibri"/>
              <sz val="10"/>
            </rPr>
            <t xml:space="preserve"> Team Lead / Assistant Manager — IRIS B1 Team Lead · People Manager
</t>
          </r>
          <r>
            <rPr>
              <rFont val="Calibri"/>
              <b val="1"/>
              <sz val="10"/>
            </rPr>
            <t>Market level:</t>
          </r>
          <r>
            <rPr>
              <rFont val="Calibri"/>
              <sz val="10"/>
            </rPr>
            <t xml:space="preserve"> P3 / M2 · SFIA 4 Enable
</t>
          </r>
          <r>
            <rPr>
              <rFont val="Calibri"/>
              <b val="1"/>
              <sz val="10"/>
            </rPr>
            <t>Experience:</t>
          </r>
          <r>
            <rPr>
              <rFont val="Calibri"/>
              <sz val="10"/>
            </rPr>
            <t xml:space="preserve"> 4–7 yrs · Education: Commerce or engineering graduate; MBA a plus
</t>
          </r>
          <r>
            <rPr>
              <rFont val="Calibri"/>
              <b val="1"/>
              <sz val="10"/>
            </rPr>
            <t>Team size at this level:</t>
          </r>
          <r>
            <rPr>
              <rFont val="Calibri"/>
              <sz val="10"/>
            </rPr>
            <t xml:space="preserve"> IC: none · Team Lead: 3–5
</t>
          </r>
          <r>
            <rPr>
              <rFont val="Calibri"/>
              <b val="1"/>
              <sz val="10"/>
            </rPr>
            <t>Equivalent titles at peers:</t>
          </r>
          <r>
            <rPr>
              <rFont val="Calibri"/>
              <sz val="10"/>
            </rPr>
            <t xml:space="preserve"> Regnology — regulatory reporting – BA · Reg Reporting · Big Four consulting – Senior Consultant · IRIS Vs Market Benchmark — IIBA certification pathway – CCBA · Infosys / Accenture – JL4 · L9 Consultant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23"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Business Analysis · Documentation · Requirement analysis · Stakeholder Management · communication · XBRL · Requirement Elicitation · generative AI
</t>
          </r>
          <r>
            <rPr>
              <rFont val="Calibri"/>
              <b val="1"/>
              <sz val="10"/>
            </rPr>
            <t>TOOLS:</t>
          </r>
          <r>
            <rPr>
              <rFont val="Calibri"/>
              <sz val="10"/>
            </rPr>
            <t xml:space="preserve"> Excel · Figma · Quickscrum · Word · Jira · Claude · XBRL · Copilot
★ = must-have for the family. Scale: 1 Awareness · 2 Working · 3 Practitioner · 4 Advanced · 5 Expert.</t>
          </r>
        </is>
      </c>
      <c r="X23"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3" s="124" t="inlineStr">
        <is>
          <t>iDEAL · Technology · Band B · People Manager</t>
        </is>
      </c>
      <c r="Z23" s="125" t="n">
        <v>4</v>
      </c>
      <c r="AA23" s="126">
        <f>IFERROR(INDEX(WM_C,MATCH($Y23,WM_KEY,0)),"")</f>
        <v>0.42</v>
      </c>
      <c r="AB23" s="127">
        <f>IF(Z23="","",Z23*AA23)</f>
        <v>1.68</v>
      </c>
      <c r="AC23" s="125" t="n">
        <v>4</v>
      </c>
      <c r="AD23" s="126">
        <f>IFERROR(INDEX(WM_AU,MATCH($Y23,WM_KEY,0)),"")</f>
        <v>0.18</v>
      </c>
      <c r="AE23" s="127">
        <f>IF(AC23="","",AC23*AD23)</f>
        <v>0.72</v>
      </c>
      <c r="AF23" s="125" t="n">
        <v>4</v>
      </c>
      <c r="AG23" s="126">
        <f>IFERROR(INDEX(WM_AC,MATCH($Y23,WM_KEY,0)),"")</f>
        <v>0.06</v>
      </c>
      <c r="AH23" s="127">
        <f>IF(AF23="","",AF23*AG23)</f>
        <v>0.24</v>
      </c>
      <c r="AI23" s="125" t="n">
        <v>4</v>
      </c>
      <c r="AJ23" s="126">
        <f>IFERROR(INDEX(WM_L,MATCH($Y23,WM_KEY,0)),"")</f>
        <v>0.15</v>
      </c>
      <c r="AK23" s="127">
        <f>IF(AI23="","",AI23*AJ23)</f>
        <v>0.6</v>
      </c>
      <c r="AL23" s="125" t="n">
        <v>5</v>
      </c>
      <c r="AM23" s="126">
        <f>IFERROR(INDEX(WM_E,MATCH($Y23,WM_KEY,0)),"")</f>
        <v>0.1</v>
      </c>
      <c r="AN23" s="127">
        <f>IF(AL23="","",AL23*AM23)</f>
        <v>0.5</v>
      </c>
      <c r="AO23" s="128" t="n">
        <v>4.5</v>
      </c>
      <c r="AP23" s="126">
        <f>IFERROR(INDEX(WM_BI,MATCH($Y23,WM_KEY,0)),"")</f>
        <v>0.09</v>
      </c>
      <c r="AQ23" s="127">
        <f>IF(AO23="","",AO23*AP23)</f>
        <v>0.405</v>
      </c>
      <c r="AR23" s="127">
        <f>IF(COUNT(AB23,AE23,AH23,AK23,AN23,AQ23)&lt;6,"",SUM(AB23,AE23,AH23,AK23,AN23,AQ23))</f>
        <v>4.145</v>
      </c>
      <c r="AS23" s="129" t="str">
        <f>IF(AR23="","",INDEX({"A1","A2","A3","B1","B2","B3","C1","C2","D1","D2","E1","E2"},MAX(1,MIN(12,ROUND(AR23,0)))))</f>
        <v>B1</v>
      </c>
      <c r="AT23" s="130"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3" s="131" t="inlineStr">
        <is>
          <r>
            <rPr>
              <rFont val="Calibri"/>
              <b val="1"/>
              <sz val="10"/>
            </rPr>
            <t>At build:</t>
          </r>
          <r>
            <rPr>
              <rFont val="Calibri"/>
              <sz val="10"/>
            </rPr>
            <t xml:space="preserve"> Complexity 1.68 + Autonomy 0.72 + Accountability 0.24 + Leadership 0.60 + Experience 0.50 + Business impact 0.40
= 4.14 points → nearest level 4 = B1
</t>
          </r>
          <r>
            <rPr>
              <rFont val="Calibri"/>
              <b val="1"/>
              <sz val="10"/>
            </rPr>
            <t>Final level:</t>
          </r>
          <r>
            <rPr>
              <rFont val="Calibri"/>
              <sz val="10"/>
            </rPr>
            <t xml:space="preserve"> B1 · same as the score</t>
          </r>
        </is>
      </c>
      <c r="AV23" s="131" t="inlineStr">
        <is>
          <r>
            <rPr>
              <rFont val="Calibri"/>
              <b val="1"/>
              <sz val="10"/>
            </rPr>
            <t>No rule applied:</t>
          </r>
          <r>
            <rPr>
              <rFont val="Calibri"/>
              <sz val="10"/>
            </rPr>
            <t xml:space="preserve"> the score decides.</t>
          </r>
        </is>
      </c>
      <c r="AW23" s="132"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RBI regulatory reporting and iDEAL expertise; feasibility assessment, BRD/FSD, validation rules, UAT → matches the start
</t>
          </r>
          <r>
            <rPr>
              <rFont val="Calibri"/>
              <b val="1"/>
              <sz val="10"/>
            </rPr>
            <t>KRA:</t>
          </r>
          <r>
            <rPr>
              <rFont val="Calibri"/>
              <sz val="10"/>
            </rPr>
            <t xml:space="preserve"> “1. Lead the end-to-end delivery of the EBR solution by ensuring all RBI-released SDMX reports are analysed, prioritized, developed, tested,…”
</t>
          </r>
          <r>
            <rPr>
              <rFont val="Calibri"/>
              <b val="1"/>
              <sz val="10"/>
            </rPr>
            <t>Market:</t>
          </r>
          <r>
            <rPr>
              <rFont val="Calibri"/>
              <sz val="10"/>
            </rPr>
            <t xml:space="preserve"> B1 = Domain specialist work</t>
          </r>
        </is>
      </c>
      <c r="AX23" s="133"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Decides whether requirements fit standard product or need customisation, effort and cost → matches the start
</t>
          </r>
          <r>
            <rPr>
              <rFont val="Calibri"/>
              <b val="1"/>
              <sz val="10"/>
            </rPr>
            <t>Market:</t>
          </r>
          <r>
            <rPr>
              <rFont val="Calibri"/>
              <sz val="10"/>
            </rPr>
            <t xml:space="preserve"> B1 = Technical / QC / client calls for the domain</t>
          </r>
        </is>
      </c>
      <c r="AY23" s="133" t="inlineStr">
        <is>
          <r>
            <rPr>
              <rFont val="Calibri"/>
              <sz val="10"/>
            </rPr>
            <t xml:space="preserve">Rated 4 of 12
</t>
          </r>
          <r>
            <rPr>
              <rFont val="Calibri"/>
              <b val="1"/>
              <sz val="10"/>
            </rPr>
            <t>Start:</t>
          </r>
          <r>
            <rPr>
              <rFont val="Calibri"/>
              <sz val="10"/>
            </rPr>
            <t xml:space="preserve"> 4.0 · lead / specialist title; 4 direct reports
</t>
          </r>
          <r>
            <rPr>
              <rFont val="Calibri"/>
              <b val="1"/>
              <sz val="10"/>
            </rPr>
            <t>Evidence reads like B1:</t>
          </r>
          <r>
            <rPr>
              <rFont val="Calibri"/>
              <sz val="10"/>
            </rPr>
            <t xml:space="preserve"> Requirement quality, functional solution, sign-offs and end-to-end delivery coordination for bank implementations → matches the start
</t>
          </r>
          <r>
            <rPr>
              <rFont val="Calibri"/>
              <b val="1"/>
              <sz val="10"/>
            </rPr>
            <t>KRA:</t>
          </r>
          <r>
            <rPr>
              <rFont val="Calibri"/>
              <sz val="10"/>
            </rPr>
            <t xml:space="preserve"> “1. Lead the end-to-end delivery of the EBR solution by ensuring all RBI-released SDMX reports are analysed, prioritized, developed, tested,…”
</t>
          </r>
          <r>
            <rPr>
              <rFont val="Calibri"/>
              <b val="1"/>
              <sz val="10"/>
            </rPr>
            <t>Market:</t>
          </r>
          <r>
            <rPr>
              <rFont val="Calibri"/>
              <sz val="10"/>
            </rPr>
            <t xml:space="preserve"> B1 = A domain or a small team</t>
          </r>
        </is>
      </c>
      <c r="AZ23" s="133"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4 direct reports; manager note expects building a self-sufficient team → matches the start
</t>
          </r>
          <r>
            <rPr>
              <rFont val="Calibri"/>
              <b val="1"/>
              <sz val="10"/>
            </rPr>
            <t>Team:</t>
          </r>
          <r>
            <rPr>
              <rFont val="Calibri"/>
              <sz val="10"/>
            </rPr>
            <t xml:space="preserve"> 4 direct reports · People Manager
</t>
          </r>
          <r>
            <rPr>
              <rFont val="Calibri"/>
              <b val="1"/>
              <sz val="10"/>
            </rPr>
            <t>Market:</t>
          </r>
          <r>
            <rPr>
              <rFont val="Calibri"/>
              <sz val="10"/>
            </rPr>
            <t xml:space="preserve"> B1 = IC: mentors and reviews · People: hands-on team lead of 3–5</t>
          </r>
        </is>
      </c>
      <c r="BA23" s="133" t="inlineStr">
        <is>
          <r>
            <rPr>
              <rFont val="Calibri"/>
              <sz val="10"/>
            </rPr>
            <t xml:space="preserve">Rated 5 of 12
</t>
          </r>
          <r>
            <rPr>
              <rFont val="Calibri"/>
              <b val="1"/>
              <sz val="10"/>
            </rPr>
            <t>Experience:</t>
          </r>
          <r>
            <rPr>
              <rFont val="Calibri"/>
              <sz val="10"/>
            </rPr>
            <t xml:space="preserve"> 7.5 yrs total · 2.4 before IRIS + 5.1 at IRIS = 5.0 on the experience scale
</t>
          </r>
          <r>
            <rPr>
              <rFont val="Calibri"/>
              <b val="1"/>
              <sz val="10"/>
            </rPr>
            <t>Qualification:</t>
          </r>
          <r>
            <rPr>
              <rFont val="Calibri"/>
              <sz val="10"/>
            </rPr>
            <t xml:space="preserve"> PGDM · postgraduate → no change
</t>
          </r>
          <r>
            <rPr>
              <rFont val="Calibri"/>
              <b val="1"/>
              <sz val="10"/>
            </rPr>
            <t>Market:</t>
          </r>
          <r>
            <rPr>
              <rFont val="Calibri"/>
              <sz val="10"/>
            </rPr>
            <t xml:space="preserve"> B1 roles typically have 4–8 yrs · IRIS guide 4–7</t>
          </r>
        </is>
      </c>
      <c r="BB23" s="133" t="inlineStr">
        <is>
          <r>
            <rPr>
              <rFont val="Calibri"/>
              <sz val="10"/>
            </rPr>
            <t xml:space="preserve">Rated 4.5 of 12 — a starting estimate.
</t>
          </r>
          <r>
            <rPr>
              <rFont val="Calibri"/>
              <b val="1"/>
              <sz val="10"/>
            </rPr>
            <t>Start:</t>
          </r>
          <r>
            <rPr>
              <rFont val="Calibri"/>
              <sz val="10"/>
            </rPr>
            <t xml:space="preserve"> 4,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23" s="134" t="inlineStr"/>
      <c r="BD23" s="135" t="inlineStr">
        <is>
          <t>✓ HRIS: 7.5 yrs, PGDM, 4 direct reports
✓ Survey: 20 of 20 questions answered
✓ KRAs: self, manager-set, quarterly
✓ Manager mapping: rating, potential, 9-box
✗ Job description: not on file</t>
        </is>
      </c>
      <c r="BE23" s="135"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BF23" s="135" t="inlineStr">
        <is>
          <t>High</t>
        </is>
      </c>
      <c r="BG23" s="135" t="inlineStr"/>
      <c r="BH23" s="135" t="inlineStr"/>
      <c r="BI23" s="136" t="n"/>
      <c r="BJ23" s="137" t="n"/>
      <c r="BK23" s="137" t="n"/>
      <c r="BL23" s="137" t="n"/>
      <c r="BM23" s="137" t="n"/>
      <c r="BN23" s="138" t="n"/>
      <c r="BO23" s="121" t="n"/>
      <c r="BP23" s="121" t="n"/>
      <c r="BQ23" s="121" t="n"/>
      <c r="BR23" s="121" t="n"/>
      <c r="BS23" s="121" t="n"/>
      <c r="BT23" s="121" t="n"/>
      <c r="BU23" s="121" t="n"/>
      <c r="BV23" s="121" t="n">
        <v>4.5</v>
      </c>
    </row>
    <row r="24" ht="340" customHeight="1">
      <c r="A24" s="109" t="inlineStr">
        <is>
          <t>IRIS1796</t>
        </is>
      </c>
      <c r="B24" s="110" t="inlineStr">
        <is>
          <t>Kailash Sahu</t>
        </is>
      </c>
      <c r="C24" s="111" t="inlineStr">
        <is>
          <t>Technology</t>
        </is>
      </c>
      <c r="D24" s="111" t="inlineStr">
        <is>
          <t>Yuvraj Kharchane</t>
        </is>
      </c>
      <c r="E24" s="112" t="n">
        <v>19.9</v>
      </c>
      <c r="F24" s="112" t="n">
        <v>7.2</v>
      </c>
      <c r="G24" s="111" t="inlineStr">
        <is>
          <t>MCA</t>
        </is>
      </c>
      <c r="H24" s="113" t="inlineStr">
        <is>
          <t>Business Analyst</t>
        </is>
      </c>
      <c r="I24" s="114" t="inlineStr">
        <is>
          <t>Business Analysis Specialist</t>
        </is>
      </c>
      <c r="J24" s="115" t="inlineStr">
        <is>
          <t>Business Analysis</t>
        </is>
      </c>
      <c r="K24" s="115" t="inlineStr">
        <is>
          <t>Business Analysis</t>
        </is>
      </c>
      <c r="L24" s="114" t="inlineStr">
        <is>
          <t>L3 – Professional / Associate</t>
        </is>
      </c>
      <c r="M24" s="141" t="inlineStr">
        <is>
          <t>B1</t>
        </is>
      </c>
      <c r="N24" s="18" t="inlineStr">
        <is>
          <t>Specialist</t>
        </is>
      </c>
      <c r="O24" s="20" t="inlineStr">
        <is>
          <t>B</t>
        </is>
      </c>
      <c r="P24" s="115" t="inlineStr">
        <is>
          <t>IC</t>
        </is>
      </c>
      <c r="Q24" s="142" t="inlineStr">
        <is>
          <t>▲ Up</t>
        </is>
      </c>
      <c r="R24" s="119" t="inlineStr">
        <is>
          <r>
            <rPr>
              <rFont val="Calibri"/>
              <b val="1"/>
              <sz val="10"/>
            </rPr>
            <t>WHAT THE ROLE DOES:</t>
          </r>
          <r>
            <rPr>
              <rFont val="Calibri"/>
              <sz val="10"/>
            </rPr>
            <t xml:space="preserve"> 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product · regulator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requirement · client · time · issue · assigned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documentation
</t>
          </r>
          <r>
            <rPr>
              <rFont val="Calibri"/>
              <b val="1"/>
              <sz val="10"/>
            </rPr>
            <t>SKILLS &amp; KNOWLEDGE · role-holders:</t>
          </r>
          <r>
            <rPr>
              <rFont val="Calibri"/>
              <sz val="10"/>
            </rPr>
            <t xml:space="preserve"> Business Analysis
</t>
          </r>
          <r>
            <rPr>
              <rFont val="Calibri"/>
              <b val="1"/>
              <sz val="10"/>
            </rPr>
            <t>MANAGER-SET KRAs:</t>
          </r>
          <r>
            <rPr>
              <rFont val="Calibri"/>
              <sz val="10"/>
            </rPr>
            <t xml:space="preserve"> Common themes in manager-set KRAs: releases · satisfaction · delivery · assigned · uat · requirement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7 holders, 7 answered the survey; sub-family 27 answered; catalogue RC-010</t>
          </r>
        </is>
      </c>
      <c r="S24"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3 · Potential: Medium · 9-Box Grid placement: Core Contributor.</t>
          </r>
        </is>
      </c>
      <c r="T24" s="121" t="n"/>
      <c r="U24" s="122" t="inlineStr">
        <is>
          <r>
            <rPr>
              <rFont val="Calibri"/>
              <sz val="10"/>
            </rPr>
            <t xml:space="preserve">Business Analysis Specialist in Technology · iDEAL, B1 — IC.
</t>
          </r>
          <r>
            <rPr>
              <rFont val="Calibri"/>
              <b val="1"/>
              <sz val="10"/>
            </rPr>
            <t>The work:</t>
          </r>
          <r>
            <rPr>
              <rFont val="Calibri"/>
              <sz val="10"/>
            </rPr>
            <t xml:space="preserve"> Gathers and documents requirements · BRD/FRD/SRS/user stories, configures solutions and supports UAT and releases.
At this level the role owns a domain / module, or a small team.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Holders describe it with:</t>
          </r>
          <r>
            <rPr>
              <rFont val="Calibri"/>
              <sz val="10"/>
            </rPr>
            <t xml:space="preserve"> requirement · stakeholder · gathering · client · project · portfolio.</t>
          </r>
        </is>
      </c>
      <c r="V24" s="123" t="inlineStr">
        <is>
          <r>
            <rPr>
              <rFont val="Calibri"/>
              <b val="1"/>
              <sz val="10"/>
            </rPr>
            <t>Hire as:</t>
          </r>
          <r>
            <rPr>
              <rFont val="Calibri"/>
              <sz val="10"/>
            </rPr>
            <t xml:space="preserve"> Senior Business Analyst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Commerce or engineering graduate; MBA a plus
</t>
          </r>
          <r>
            <rPr>
              <rFont val="Calibri"/>
              <b val="1"/>
              <sz val="10"/>
            </rPr>
            <t>Equivalent titles at peers:</t>
          </r>
          <r>
            <rPr>
              <rFont val="Calibri"/>
              <sz val="10"/>
            </rPr>
            <t xml:space="preserve"> Regnology — regulatory reporting – BA · Reg Reporting · Big Four consulting – Senior Consultant · IRIS Vs Market Benchmark — IIBA certification pathway – CCBA · Infosys / Accenture – JL4 · L9 Consultant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24"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Business Analysis
★ = must-have for the family. Scale: 1 Awareness · 2 Working · 3 Practitioner · 4 Advanced · 5 Expert.</t>
          </r>
        </is>
      </c>
      <c r="X24"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4" s="124" t="inlineStr">
        <is>
          <t>iDEAL · Technology · Band B · Expert / POD Lead</t>
        </is>
      </c>
      <c r="Z24" s="125" t="n">
        <v>3</v>
      </c>
      <c r="AA24" s="126">
        <f>IFERROR(INDEX(WM_C,MATCH($Y24,WM_KEY,0)),"")</f>
        <v>0.56</v>
      </c>
      <c r="AB24" s="127">
        <f>IF(Z24="","",Z24*AA24)</f>
        <v>1.68</v>
      </c>
      <c r="AC24" s="125" t="n">
        <v>3</v>
      </c>
      <c r="AD24" s="126">
        <f>IFERROR(INDEX(WM_AU,MATCH($Y24,WM_KEY,0)),"")</f>
        <v>0.17</v>
      </c>
      <c r="AE24" s="127">
        <f>IF(AC24="","",AC24*AD24)</f>
        <v>0.51</v>
      </c>
      <c r="AF24" s="125" t="n">
        <v>3.5</v>
      </c>
      <c r="AG24" s="126">
        <f>IFERROR(INDEX(WM_AC,MATCH($Y24,WM_KEY,0)),"")</f>
        <v>0.05</v>
      </c>
      <c r="AH24" s="127">
        <f>IF(AF24="","",AF24*AG24)</f>
        <v>0.175</v>
      </c>
      <c r="AI24" s="125" t="n">
        <v>1.5</v>
      </c>
      <c r="AJ24" s="126">
        <f>IFERROR(INDEX(WM_L,MATCH($Y24,WM_KEY,0)),"")</f>
        <v>0.05</v>
      </c>
      <c r="AK24" s="127">
        <f>IF(AI24="","",AI24*AJ24)</f>
        <v>0.075</v>
      </c>
      <c r="AL24" s="125" t="n">
        <v>10</v>
      </c>
      <c r="AM24" s="126">
        <f>IFERROR(INDEX(WM_E,MATCH($Y24,WM_KEY,0)),"")</f>
        <v>0.1</v>
      </c>
      <c r="AN24" s="127">
        <f>IF(AL24="","",AL24*AM24)</f>
        <v>1</v>
      </c>
      <c r="AO24" s="128" t="n">
        <v>3.5</v>
      </c>
      <c r="AP24" s="126">
        <f>IFERROR(INDEX(WM_BI,MATCH($Y24,WM_KEY,0)),"")</f>
        <v>0.07</v>
      </c>
      <c r="AQ24" s="127">
        <f>IF(AO24="","",AO24*AP24)</f>
        <v>0.245</v>
      </c>
      <c r="AR24" s="127">
        <f>IF(COUNT(AB24,AE24,AH24,AK24,AN24,AQ24)&lt;6,"",SUM(AB24,AE24,AH24,AK24,AN24,AQ24))</f>
        <v>3.685</v>
      </c>
      <c r="AS24" s="129" t="str">
        <f>IF(AR24="","",INDEX({"A1","A2","A3","B1","B2","B3","C1","C2","D1","D2","E1","E2"},MAX(1,MIN(12,ROUND(AR24,0)))))</f>
        <v>B1</v>
      </c>
      <c r="AT24"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4" s="131" t="inlineStr">
        <is>
          <r>
            <rPr>
              <rFont val="Calibri"/>
              <b val="1"/>
              <sz val="10"/>
            </rPr>
            <t>At build:</t>
          </r>
          <r>
            <rPr>
              <rFont val="Calibri"/>
              <sz val="10"/>
            </rPr>
            <t xml:space="preserve"> Complexity 1.68 + Autonomy 0.51 + Accountability 0.18 + Leadership 0.08 + Experience 1.00 + Business impact 0.25
= 3.69 points → nearest level 4 = B1
</t>
          </r>
          <r>
            <rPr>
              <rFont val="Calibri"/>
              <b val="1"/>
              <sz val="10"/>
            </rPr>
            <t>Final level:</t>
          </r>
          <r>
            <rPr>
              <rFont val="Calibri"/>
              <sz val="10"/>
            </rPr>
            <t xml:space="preserve"> B1 · same as the score</t>
          </r>
        </is>
      </c>
      <c r="AV24" s="131" t="inlineStr">
        <is>
          <r>
            <rPr>
              <rFont val="Calibri"/>
              <b val="1"/>
              <sz val="10"/>
            </rPr>
            <t>No rule applied:</t>
          </r>
          <r>
            <rPr>
              <rFont val="Calibri"/>
              <sz val="10"/>
            </rPr>
            <t xml:space="preserve"> the score decides.</t>
          </r>
        </is>
      </c>
      <c r="AW24"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Resolves report errors, deploys upgrades and takes enhancement requirements for client banks → matches the start
</t>
          </r>
          <r>
            <rPr>
              <rFont val="Calibri"/>
              <b val="1"/>
              <sz val="10"/>
            </rPr>
            <t>KRA:</t>
          </r>
          <r>
            <rPr>
              <rFont val="Calibri"/>
              <sz val="10"/>
            </rPr>
            <t xml:space="preserve"> “On Notice Period | On Notice Period”
</t>
          </r>
          <r>
            <rPr>
              <rFont val="Calibri"/>
              <b val="1"/>
              <sz val="10"/>
            </rPr>
            <t>Market:</t>
          </r>
          <r>
            <rPr>
              <rFont val="Calibri"/>
              <sz val="10"/>
            </rPr>
            <t xml:space="preserve"> A3 = Varied and non-standard work; handles exceptions</t>
          </r>
        </is>
      </c>
      <c r="AX24"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Independently resolves report errors and carries out upgrade deployments for his clients → matches the start
</t>
          </r>
          <r>
            <rPr>
              <rFont val="Calibri"/>
              <b val="1"/>
              <sz val="10"/>
            </rPr>
            <t>Market:</t>
          </r>
          <r>
            <rPr>
              <rFont val="Calibri"/>
              <sz val="10"/>
            </rPr>
            <t xml:space="preserve"> A3 = Technical / QC / client calls on own work</t>
          </r>
        </is>
      </c>
      <c r="AY24" s="133"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Own client banks' on-time, error-free compliance filing and application issues → moved up 0.5
</t>
          </r>
          <r>
            <rPr>
              <rFont val="Calibri"/>
              <b val="1"/>
              <sz val="10"/>
            </rPr>
            <t>KRA:</t>
          </r>
          <r>
            <rPr>
              <rFont val="Calibri"/>
              <sz val="10"/>
            </rPr>
            <t xml:space="preserve"> “On Notice Period | On Notice Period”
</t>
          </r>
          <r>
            <rPr>
              <rFont val="Calibri"/>
              <b val="1"/>
              <sz val="10"/>
            </rPr>
            <t>Market:</t>
          </r>
          <r>
            <rPr>
              <rFont val="Calibri"/>
              <sz val="10"/>
            </rPr>
            <t xml:space="preserve"> A3 = A module / process, or work with client or regulatory consequences · B1 = A domain or a small team</t>
          </r>
        </is>
      </c>
      <c r="AZ24" s="133" t="inlineStr">
        <is>
          <r>
            <rPr>
              <rFont val="Calibri"/>
              <sz val="10"/>
            </rPr>
            <t xml:space="preserve">Rated 1.5 of 12 · between A1 and A2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guidance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4" s="133" t="inlineStr">
        <is>
          <r>
            <rPr>
              <rFont val="Calibri"/>
              <sz val="10"/>
            </rPr>
            <t xml:space="preserve">Rated 10 of 12
</t>
          </r>
          <r>
            <rPr>
              <rFont val="Calibri"/>
              <b val="1"/>
              <sz val="10"/>
            </rPr>
            <t>Experience:</t>
          </r>
          <r>
            <rPr>
              <rFont val="Calibri"/>
              <sz val="10"/>
            </rPr>
            <t xml:space="preserve"> 19.9 yrs total · 12.7 before IRIS + 7.2 at IRIS = 9.7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B1 roles typically have 4–8 yrs · IRIS guide 4–7</t>
          </r>
        </is>
      </c>
      <c r="BB24" s="133"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24" s="134" t="inlineStr"/>
      <c r="BD24" s="135" t="inlineStr">
        <is>
          <t>✓ HRIS: 19.9 yrs, MCA, 0 direct reports
✓ Survey: 20 of 20 questions answered
✓ KRAs: self, manager-set, quarterly
✓ Manager mapping: rating, potential, 9-box
✗ Job description: not on file</t>
        </is>
      </c>
      <c r="BE24" s="135" t="inlineStr">
        <is>
          <r>
            <rPr>
              <rFont val="Calibri"/>
              <b val="1"/>
              <sz val="10"/>
            </rPr>
            <t>Market level:</t>
          </r>
          <r>
            <rPr>
              <rFont val="Calibri"/>
              <sz val="10"/>
            </rPr>
            <t xml:space="preserve"> P3 / M2 · SFIA 4 Enable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BF24" s="135" t="inlineStr">
        <is>
          <t>High</t>
        </is>
      </c>
      <c r="BG24" s="135" t="inlineStr">
        <is>
          <t>• Serving notice · Employee Master, 23 Sep 2026</t>
        </is>
      </c>
      <c r="BH24" s="135" t="inlineStr"/>
      <c r="BI24" s="136" t="n"/>
      <c r="BJ24" s="137" t="n"/>
      <c r="BK24" s="137" t="n"/>
      <c r="BL24" s="137" t="n"/>
      <c r="BM24" s="137" t="n"/>
      <c r="BN24" s="138" t="n"/>
      <c r="BO24" s="121" t="n"/>
      <c r="BP24" s="121" t="n"/>
      <c r="BQ24" s="121" t="n"/>
      <c r="BR24" s="121" t="n"/>
      <c r="BS24" s="121" t="n"/>
      <c r="BT24" s="121" t="n"/>
      <c r="BU24" s="121" t="n"/>
      <c r="BV24" s="121" t="n">
        <v>3.5</v>
      </c>
    </row>
    <row r="25" ht="340" customHeight="1">
      <c r="A25" s="109" t="inlineStr">
        <is>
          <t>IRIS2125</t>
        </is>
      </c>
      <c r="B25" s="110" t="inlineStr">
        <is>
          <t>Phuzel Siddiqui</t>
        </is>
      </c>
      <c r="C25" s="111" t="inlineStr">
        <is>
          <t>Technology</t>
        </is>
      </c>
      <c r="D25" s="111" t="inlineStr">
        <is>
          <t>Dnyaneshwar Daund</t>
        </is>
      </c>
      <c r="E25" s="112" t="n">
        <v>9.800000000000001</v>
      </c>
      <c r="F25" s="112" t="n">
        <v>3.4</v>
      </c>
      <c r="G25" s="111" t="inlineStr">
        <is>
          <t>B.E</t>
        </is>
      </c>
      <c r="H25" s="113" t="inlineStr">
        <is>
          <t>Business Analyst</t>
        </is>
      </c>
      <c r="I25" s="114" t="inlineStr">
        <is>
          <t>Business Analysis Specialist – POD Lead</t>
        </is>
      </c>
      <c r="J25" s="115" t="inlineStr">
        <is>
          <t>Business Analysis</t>
        </is>
      </c>
      <c r="K25" s="115" t="inlineStr">
        <is>
          <t>Business Analysis</t>
        </is>
      </c>
      <c r="L25" s="114" t="inlineStr">
        <is>
          <t>L3 – Professional / Associate</t>
        </is>
      </c>
      <c r="M25" s="141" t="inlineStr">
        <is>
          <t>B1</t>
        </is>
      </c>
      <c r="N25" s="18" t="inlineStr">
        <is>
          <t>Specialist · POD Lead</t>
        </is>
      </c>
      <c r="O25" s="20" t="inlineStr">
        <is>
          <t>B</t>
        </is>
      </c>
      <c r="P25" s="115" t="inlineStr">
        <is>
          <t>POD Lead</t>
        </is>
      </c>
      <c r="Q25" s="142" t="inlineStr">
        <is>
          <t>▲ Up</t>
        </is>
      </c>
      <c r="R25" s="119" t="inlineStr">
        <is>
          <r>
            <rPr>
              <rFont val="Calibri"/>
              <b val="1"/>
              <sz val="10"/>
            </rPr>
            <t>WHAT THE ROLE DOES:</t>
          </r>
          <r>
            <rPr>
              <rFont val="Calibri"/>
              <sz val="10"/>
            </rPr>
            <t xml:space="preserve"> 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product · regulator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requirement · client · time · issue · assigned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documentation
</t>
          </r>
          <r>
            <rPr>
              <rFont val="Calibri"/>
              <b val="1"/>
              <sz val="10"/>
            </rPr>
            <t>SKILLS &amp; KNOWLEDGE · role-holders:</t>
          </r>
          <r>
            <rPr>
              <rFont val="Calibri"/>
              <sz val="10"/>
            </rPr>
            <t xml:space="preserve"> Business Analysis
</t>
          </r>
          <r>
            <rPr>
              <rFont val="Calibri"/>
              <b val="1"/>
              <sz val="10"/>
            </rPr>
            <t>MANAGER-SET KRAs:</t>
          </r>
          <r>
            <rPr>
              <rFont val="Calibri"/>
              <sz val="10"/>
            </rPr>
            <t xml:space="preserve"> Common themes in manager-set KRAs: releases · satisfaction · delivery · assigned · uat · requirement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7 holders, 7 answered the survey; sub-family 27 answered; catalogue RC-010</t>
          </r>
        </is>
      </c>
      <c r="S25"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From the survey and manager mapping — critical role: yes; successor named: no.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3 · Potential: Medium · 9-Box Grid placement: Emerging Talent.</t>
          </r>
        </is>
      </c>
      <c r="T25" s="121" t="n"/>
      <c r="U25" s="122" t="inlineStr">
        <is>
          <r>
            <rPr>
              <rFont val="Calibri"/>
              <sz val="10"/>
            </rPr>
            <t xml:space="preserve">Business Analysis Specialist – POD Lead in Technology · iDEAL, B1 — POD Lead.
</t>
          </r>
          <r>
            <rPr>
              <rFont val="Calibri"/>
              <b val="1"/>
              <sz val="10"/>
            </rPr>
            <t>The work:</t>
          </r>
          <r>
            <rPr>
              <rFont val="Calibri"/>
              <sz val="10"/>
            </rPr>
            <t xml:space="preserve"> Gathers and documents requirements · BRD/FRD/SRS/user stories, configures solutions and supports UAT and releases.
At this level the role owns a domain / module, or a small team.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Holders describe it with:</t>
          </r>
          <r>
            <rPr>
              <rFont val="Calibri"/>
              <sz val="10"/>
            </rPr>
            <t xml:space="preserve"> requirement · stakeholder · gathering · client · project · portfolio.
Leads 1 direct report.</t>
          </r>
        </is>
      </c>
      <c r="V25" s="123" t="inlineStr">
        <is>
          <r>
            <rPr>
              <rFont val="Calibri"/>
              <b val="1"/>
              <sz val="10"/>
            </rPr>
            <t>Hire as:</t>
          </r>
          <r>
            <rPr>
              <rFont val="Calibri"/>
              <sz val="10"/>
            </rPr>
            <t xml:space="preserve"> Senior Business Analyst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Commerce or engineering graduate; MBA a plus
</t>
          </r>
          <r>
            <rPr>
              <rFont val="Calibri"/>
              <b val="1"/>
              <sz val="10"/>
            </rPr>
            <t>Equivalent titles at peers:</t>
          </r>
          <r>
            <rPr>
              <rFont val="Calibri"/>
              <sz val="10"/>
            </rPr>
            <t xml:space="preserve"> Regnology — regulatory reporting – BA · Reg Reporting · Big Four consulting – Senior Consultant · IRIS Vs Market Benchmark — IIBA certification pathway – CCBA · Infosys / Accenture – JL4 · L9 Consultant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25"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Business Analysis
★ = must-have for the family. Scale: 1 Awareness · 2 Working · 3 Practitioner · 4 Advanced · 5 Expert.</t>
          </r>
        </is>
      </c>
      <c r="X25"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5" s="124" t="inlineStr">
        <is>
          <t>iDEAL · Technology · Band B · Expert / POD Lead</t>
        </is>
      </c>
      <c r="Z25" s="125" t="n">
        <v>3.5</v>
      </c>
      <c r="AA25" s="126">
        <f>IFERROR(INDEX(WM_C,MATCH($Y25,WM_KEY,0)),"")</f>
        <v>0.56</v>
      </c>
      <c r="AB25" s="127">
        <f>IF(Z25="","",Z25*AA25)</f>
        <v>1.96</v>
      </c>
      <c r="AC25" s="125" t="n">
        <v>3</v>
      </c>
      <c r="AD25" s="126">
        <f>IFERROR(INDEX(WM_AU,MATCH($Y25,WM_KEY,0)),"")</f>
        <v>0.17</v>
      </c>
      <c r="AE25" s="127">
        <f>IF(AC25="","",AC25*AD25)</f>
        <v>0.51</v>
      </c>
      <c r="AF25" s="125" t="n">
        <v>4</v>
      </c>
      <c r="AG25" s="126">
        <f>IFERROR(INDEX(WM_AC,MATCH($Y25,WM_KEY,0)),"")</f>
        <v>0.05</v>
      </c>
      <c r="AH25" s="127">
        <f>IF(AF25="","",AF25*AG25)</f>
        <v>0.2</v>
      </c>
      <c r="AI25" s="125" t="n">
        <v>3</v>
      </c>
      <c r="AJ25" s="126">
        <f>IFERROR(INDEX(WM_L,MATCH($Y25,WM_KEY,0)),"")</f>
        <v>0.05</v>
      </c>
      <c r="AK25" s="127">
        <f>IF(AI25="","",AI25*AJ25)</f>
        <v>0.15</v>
      </c>
      <c r="AL25" s="125" t="n">
        <v>6</v>
      </c>
      <c r="AM25" s="126">
        <f>IFERROR(INDEX(WM_E,MATCH($Y25,WM_KEY,0)),"")</f>
        <v>0.1</v>
      </c>
      <c r="AN25" s="127">
        <f>IF(AL25="","",AL25*AM25)</f>
        <v>0.6</v>
      </c>
      <c r="AO25" s="128" t="n">
        <v>4.5</v>
      </c>
      <c r="AP25" s="126">
        <f>IFERROR(INDEX(WM_BI,MATCH($Y25,WM_KEY,0)),"")</f>
        <v>0.07</v>
      </c>
      <c r="AQ25" s="127">
        <f>IF(AO25="","",AO25*AP25)</f>
        <v>0.315</v>
      </c>
      <c r="AR25" s="127">
        <f>IF(COUNT(AB25,AE25,AH25,AK25,AN25,AQ25)&lt;6,"",SUM(AB25,AE25,AH25,AK25,AN25,AQ25))</f>
        <v>3.735</v>
      </c>
      <c r="AS25" s="129" t="str">
        <f>IF(AR25="","",INDEX({"A1","A2","A3","B1","B2","B3","C1","C2","D1","D2","E1","E2"},MAX(1,MIN(12,ROUND(AR25,0)))))</f>
        <v>B1</v>
      </c>
      <c r="AT25"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5" s="131" t="inlineStr">
        <is>
          <r>
            <rPr>
              <rFont val="Calibri"/>
              <b val="1"/>
              <sz val="10"/>
            </rPr>
            <t>At build:</t>
          </r>
          <r>
            <rPr>
              <rFont val="Calibri"/>
              <sz val="10"/>
            </rPr>
            <t xml:space="preserve"> Complexity 1.96 + Autonomy 0.51 + Accountability 0.20 + Leadership 0.15 + Experience 0.60 + Business impact 0.32
= 3.74 points → nearest level 4 = B1
</t>
          </r>
          <r>
            <rPr>
              <rFont val="Calibri"/>
              <b val="1"/>
              <sz val="10"/>
            </rPr>
            <t>Final level:</t>
          </r>
          <r>
            <rPr>
              <rFont val="Calibri"/>
              <sz val="10"/>
            </rPr>
            <t xml:space="preserve"> B1 · same as the score</t>
          </r>
        </is>
      </c>
      <c r="AV25" s="131" t="inlineStr">
        <is>
          <r>
            <rPr>
              <rFont val="Calibri"/>
              <b val="1"/>
              <sz val="10"/>
            </rPr>
            <t>No rule applied:</t>
          </r>
          <r>
            <rPr>
              <rFont val="Calibri"/>
              <sz val="10"/>
            </rPr>
            <t xml:space="preserve"> the score decides.</t>
          </r>
        </is>
      </c>
      <c r="AW25" s="132"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Handles bank portfolio, product demos, EBR project, ETL coordination, enhancement pitches; FATCA and mutual fund reporting → moved up 0.5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A3 = Varied and non-standard work; handles exceptions · B1 = Domain specialist work</t>
          </r>
        </is>
      </c>
      <c r="AX25"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process streamlining and application improvement initiatives; manages portfolio independently → matches the start
</t>
          </r>
          <r>
            <rPr>
              <rFont val="Calibri"/>
              <b val="1"/>
              <sz val="10"/>
            </rPr>
            <t>Market:</t>
          </r>
          <r>
            <rPr>
              <rFont val="Calibri"/>
              <sz val="10"/>
            </rPr>
            <t xml:space="preserve"> A3 = Technical / QC / client calls on own work</t>
          </r>
        </is>
      </c>
      <c r="AY25" s="133" t="inlineStr">
        <is>
          <r>
            <rPr>
              <rFont val="Calibri"/>
              <sz val="10"/>
            </rPr>
            <t xml:space="preserve">Rated 4 of 12
</t>
          </r>
          <r>
            <rPr>
              <rFont val="Calibri"/>
              <b val="1"/>
              <sz val="10"/>
            </rPr>
            <t>Start:</t>
          </r>
          <r>
            <rPr>
              <rFont val="Calibri"/>
              <sz val="10"/>
            </rPr>
            <t xml:space="preserve"> 3.5 · senior practitioner title; 1 direct report
</t>
          </r>
          <r>
            <rPr>
              <rFont val="Calibri"/>
              <b val="1"/>
              <sz val="10"/>
            </rPr>
            <t>Evidence reads like B1:</t>
          </r>
          <r>
            <rPr>
              <rFont val="Calibri"/>
              <sz val="10"/>
            </rPr>
            <t xml:space="preserve"> Accountable for 'the account assigned to me'; wrong report deployment hits bank's regulatory submission → moved up 0.5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B1 = A domain or a small team</t>
          </r>
        </is>
      </c>
      <c r="AZ25" s="133" t="inlineStr">
        <is>
          <r>
            <rPr>
              <rFont val="Calibri"/>
              <sz val="10"/>
            </rPr>
            <t xml:space="preserve">Rated 3 of 12
</t>
          </r>
          <r>
            <rPr>
              <rFont val="Calibri"/>
              <b val="1"/>
              <sz val="10"/>
            </rPr>
            <t>Start:</t>
          </r>
          <r>
            <rPr>
              <rFont val="Calibri"/>
              <sz val="10"/>
            </rPr>
            <t xml:space="preserve"> 3.5
</t>
          </r>
          <r>
            <rPr>
              <rFont val="Calibri"/>
              <b val="1"/>
              <sz val="10"/>
            </rPr>
            <t>Evidence reads like A3:</t>
          </r>
          <r>
            <rPr>
              <rFont val="Calibri"/>
              <sz val="10"/>
            </rPr>
            <t xml:space="preserve"> 1 direct report in HR data; coordinates ETL team; no mentoring described in text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25" s="133" t="inlineStr">
        <is>
          <r>
            <rPr>
              <rFont val="Calibri"/>
              <sz val="10"/>
            </rPr>
            <t xml:space="preserve">Rated 6 of 12
</t>
          </r>
          <r>
            <rPr>
              <rFont val="Calibri"/>
              <b val="1"/>
              <sz val="10"/>
            </rPr>
            <t>Experience:</t>
          </r>
          <r>
            <rPr>
              <rFont val="Calibri"/>
              <sz val="10"/>
            </rPr>
            <t xml:space="preserve"> 9.8 yrs total · 6.4 before IRIS + 3.4 at IRIS = 5.9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B1 roles typically have 4–8 yrs · IRIS guide 4–7</t>
          </r>
        </is>
      </c>
      <c r="BB25" s="133" t="inlineStr">
        <is>
          <r>
            <rPr>
              <rFont val="Calibri"/>
              <sz val="10"/>
            </rPr>
            <t xml:space="preserve">Rated 4.5 of 12 — a starting estimate.
</t>
          </r>
          <r>
            <rPr>
              <rFont val="Calibri"/>
              <b val="1"/>
              <sz val="10"/>
            </rPr>
            <t>Start:</t>
          </r>
          <r>
            <rPr>
              <rFont val="Calibri"/>
              <sz val="10"/>
            </rPr>
            <t xml:space="preserve"> 4,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25" s="134" t="inlineStr"/>
      <c r="BD25" s="135" t="inlineStr">
        <is>
          <t>✓ HRIS: 9.8 yrs, B.E, 1 direct report
✓ Survey: 18 of 20 questions answered
✓ KRAs: self, manager-set, quarterly
✓ Manager mapping: rating, potential, 9-box
✗ Job description: not on file</t>
        </is>
      </c>
      <c r="BE25" s="135" t="inlineStr">
        <is>
          <r>
            <rPr>
              <rFont val="Calibri"/>
              <b val="1"/>
              <sz val="10"/>
            </rPr>
            <t>Market level:</t>
          </r>
          <r>
            <rPr>
              <rFont val="Calibri"/>
              <sz val="10"/>
            </rPr>
            <t xml:space="preserve"> P3 / M2 · SFIA 4 Enable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BF25" s="135" t="inlineStr">
        <is>
          <t>High</t>
        </is>
      </c>
      <c r="BG25" s="135" t="inlineStr"/>
      <c r="BH25" s="135" t="inlineStr"/>
      <c r="BI25" s="136" t="n"/>
      <c r="BJ25" s="137" t="n"/>
      <c r="BK25" s="137" t="n"/>
      <c r="BL25" s="137" t="n"/>
      <c r="BM25" s="137" t="n"/>
      <c r="BN25" s="138" t="n"/>
      <c r="BO25" s="121" t="n"/>
      <c r="BP25" s="121" t="n"/>
      <c r="BQ25" s="121" t="n"/>
      <c r="BR25" s="121" t="n"/>
      <c r="BS25" s="121" t="n"/>
      <c r="BT25" s="121" t="n"/>
      <c r="BU25" s="121" t="n"/>
      <c r="BV25" s="121" t="n">
        <v>4.5</v>
      </c>
    </row>
    <row r="26" ht="340" customHeight="1">
      <c r="A26" s="109" t="inlineStr">
        <is>
          <t>IRIS0417</t>
        </is>
      </c>
      <c r="B26" s="110" t="inlineStr">
        <is>
          <t>Vishal Pingle</t>
        </is>
      </c>
      <c r="C26" s="111" t="inlineStr">
        <is>
          <t>Technology</t>
        </is>
      </c>
      <c r="D26" s="111" t="inlineStr">
        <is>
          <t>Dnyaneshwar Daund</t>
        </is>
      </c>
      <c r="E26" s="112" t="n">
        <v>16.5</v>
      </c>
      <c r="F26" s="112" t="n">
        <v>16</v>
      </c>
      <c r="G26" s="111" t="inlineStr">
        <is>
          <t>B.Com</t>
        </is>
      </c>
      <c r="H26" s="113" t="inlineStr">
        <is>
          <t>Senior Business Analyst</t>
        </is>
      </c>
      <c r="I26" s="114" t="inlineStr">
        <is>
          <t>Senior Business Analysis Specialist</t>
        </is>
      </c>
      <c r="J26" s="115" t="inlineStr">
        <is>
          <t>Business Analysis</t>
        </is>
      </c>
      <c r="K26" s="115" t="inlineStr">
        <is>
          <t>Business Analysis</t>
        </is>
      </c>
      <c r="L26" s="114" t="inlineStr">
        <is>
          <t>L4 – Senior</t>
        </is>
      </c>
      <c r="M26" s="141" t="inlineStr">
        <is>
          <t>B1</t>
        </is>
      </c>
      <c r="N26" s="18" t="inlineStr">
        <is>
          <t>Specialist</t>
        </is>
      </c>
      <c r="O26" s="20" t="inlineStr">
        <is>
          <t>B</t>
        </is>
      </c>
      <c r="P26" s="115" t="inlineStr">
        <is>
          <t>IC</t>
        </is>
      </c>
      <c r="Q26" s="142" t="inlineStr">
        <is>
          <t>▲ Up</t>
        </is>
      </c>
      <c r="R26" s="119" t="inlineStr">
        <is>
          <r>
            <rPr>
              <rFont val="Calibri"/>
              <b val="1"/>
              <sz val="10"/>
            </rPr>
            <t>WHAT THE ROLE DOES:</t>
          </r>
          <r>
            <rPr>
              <rFont val="Calibri"/>
              <sz val="10"/>
            </rPr>
            <t xml:space="preserve"> 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product · regulator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requirement · client · time · issue · assigned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documentation
</t>
          </r>
          <r>
            <rPr>
              <rFont val="Calibri"/>
              <b val="1"/>
              <sz val="10"/>
            </rPr>
            <t>SKILLS &amp; KNOWLEDGE · role-holders:</t>
          </r>
          <r>
            <rPr>
              <rFont val="Calibri"/>
              <sz val="10"/>
            </rPr>
            <t xml:space="preserve"> Business Analysis
</t>
          </r>
          <r>
            <rPr>
              <rFont val="Calibri"/>
              <b val="1"/>
              <sz val="10"/>
            </rPr>
            <t>MANAGER-SET KRAs:</t>
          </r>
          <r>
            <rPr>
              <rFont val="Calibri"/>
              <sz val="10"/>
            </rPr>
            <t xml:space="preserve"> Common themes in manager-set KRAs: releases · satisfaction · delivery · assigned · uat · requirement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7 holders, 7 answered the survey; sub-family 27 answered; catalogue RC-010</t>
          </r>
        </is>
      </c>
      <c r="S26"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From the survey and manager mapping — critical role: yes; successor named: no.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3 · Potential: Medium · 9-Box Grid placement: Trusted Professional.</t>
          </r>
        </is>
      </c>
      <c r="T26" s="121" t="n"/>
      <c r="U26" s="122" t="inlineStr">
        <is>
          <r>
            <rPr>
              <rFont val="Calibri"/>
              <sz val="10"/>
            </rPr>
            <t xml:space="preserve">Senior Business Analysis Specialist in Technology · iDEAL, B1 — IC.
</t>
          </r>
          <r>
            <rPr>
              <rFont val="Calibri"/>
              <b val="1"/>
              <sz val="10"/>
            </rPr>
            <t>The work:</t>
          </r>
          <r>
            <rPr>
              <rFont val="Calibri"/>
              <sz val="10"/>
            </rPr>
            <t xml:space="preserve"> Gathers and documents requirements · BRD/FRD/SRS/user stories, configures solutions and supports UAT and releases.
At this level the role owns a domain / module, or a small team.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Holders describe it with:</t>
          </r>
          <r>
            <rPr>
              <rFont val="Calibri"/>
              <sz val="10"/>
            </rPr>
            <t xml:space="preserve"> requirement · stakeholder · gathering · client · project · portfolio.</t>
          </r>
        </is>
      </c>
      <c r="V26" s="123" t="inlineStr">
        <is>
          <r>
            <rPr>
              <rFont val="Calibri"/>
              <b val="1"/>
              <sz val="10"/>
            </rPr>
            <t>Hire as:</t>
          </r>
          <r>
            <rPr>
              <rFont val="Calibri"/>
              <sz val="10"/>
            </rPr>
            <t xml:space="preserve"> Lead Business Analyst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Commerce or engineering graduate; MBA a plus
</t>
          </r>
          <r>
            <rPr>
              <rFont val="Calibri"/>
              <b val="1"/>
              <sz val="10"/>
            </rPr>
            <t>Equivalent titles at peers:</t>
          </r>
          <r>
            <rPr>
              <rFont val="Calibri"/>
              <sz val="10"/>
            </rPr>
            <t xml:space="preserve"> Regnology — regulatory reporting – BA · Reg Reporting · Big Four consulting – Senior Consultant · IRIS Vs Market Benchmark — IIBA certification pathway – CCBA · Infosys / Accenture – JL4 · L9 Consultant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26"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Business Analysis
★ = must-have for the family. Scale: 1 Awareness · 2 Working · 3 Practitioner · 4 Advanced · 5 Expert.</t>
          </r>
        </is>
      </c>
      <c r="X26"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6" s="124" t="inlineStr">
        <is>
          <t>iDEAL · Technology · Band B · Expert / POD Lead</t>
        </is>
      </c>
      <c r="Z26" s="125" t="n">
        <v>4</v>
      </c>
      <c r="AA26" s="126">
        <f>IFERROR(INDEX(WM_C,MATCH($Y26,WM_KEY,0)),"")</f>
        <v>0.56</v>
      </c>
      <c r="AB26" s="127">
        <f>IF(Z26="","",Z26*AA26)</f>
        <v>2.24</v>
      </c>
      <c r="AC26" s="125" t="n">
        <v>3.5</v>
      </c>
      <c r="AD26" s="126">
        <f>IFERROR(INDEX(WM_AU,MATCH($Y26,WM_KEY,0)),"")</f>
        <v>0.17</v>
      </c>
      <c r="AE26" s="127">
        <f>IF(AC26="","",AC26*AD26)</f>
        <v>0.595</v>
      </c>
      <c r="AF26" s="125" t="n">
        <v>4</v>
      </c>
      <c r="AG26" s="126">
        <f>IFERROR(INDEX(WM_AC,MATCH($Y26,WM_KEY,0)),"")</f>
        <v>0.05</v>
      </c>
      <c r="AH26" s="127">
        <f>IF(AF26="","",AF26*AG26)</f>
        <v>0.2</v>
      </c>
      <c r="AI26" s="125" t="n">
        <v>2</v>
      </c>
      <c r="AJ26" s="126">
        <f>IFERROR(INDEX(WM_L,MATCH($Y26,WM_KEY,0)),"")</f>
        <v>0.05</v>
      </c>
      <c r="AK26" s="127">
        <f>IF(AI26="","",AI26*AJ26)</f>
        <v>0.1</v>
      </c>
      <c r="AL26" s="125" t="n">
        <v>8.5</v>
      </c>
      <c r="AM26" s="126">
        <f>IFERROR(INDEX(WM_E,MATCH($Y26,WM_KEY,0)),"")</f>
        <v>0.1</v>
      </c>
      <c r="AN26" s="127">
        <f>IF(AL26="","",AL26*AM26)</f>
        <v>0.85</v>
      </c>
      <c r="AO26" s="128" t="n">
        <v>4.5</v>
      </c>
      <c r="AP26" s="126">
        <f>IFERROR(INDEX(WM_BI,MATCH($Y26,WM_KEY,0)),"")</f>
        <v>0.07</v>
      </c>
      <c r="AQ26" s="127">
        <f>IF(AO26="","",AO26*AP26)</f>
        <v>0.315</v>
      </c>
      <c r="AR26" s="127">
        <f>IF(COUNT(AB26,AE26,AH26,AK26,AN26,AQ26)&lt;6,"",SUM(AB26,AE26,AH26,AK26,AN26,AQ26))</f>
        <v>4.3</v>
      </c>
      <c r="AS26" s="129" t="str">
        <f>IF(AR26="","",INDEX({"A1","A2","A3","B1","B2","B3","C1","C2","D1","D2","E1","E2"},MAX(1,MIN(12,ROUND(AR26,0)))))</f>
        <v>B1</v>
      </c>
      <c r="AT26"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6" s="131" t="inlineStr">
        <is>
          <r>
            <rPr>
              <rFont val="Calibri"/>
              <b val="1"/>
              <sz val="10"/>
            </rPr>
            <t>At build:</t>
          </r>
          <r>
            <rPr>
              <rFont val="Calibri"/>
              <sz val="10"/>
            </rPr>
            <t xml:space="preserve"> Complexity 2.24 + Autonomy 0.60 + Accountability 0.20 + Leadership 0.10 + Experience 0.85 + Business impact 0.32
= 4.30 points → nearest level 4 = B1
</t>
          </r>
          <r>
            <rPr>
              <rFont val="Calibri"/>
              <b val="1"/>
              <sz val="10"/>
            </rPr>
            <t>Final level:</t>
          </r>
          <r>
            <rPr>
              <rFont val="Calibri"/>
              <sz val="10"/>
            </rPr>
            <t xml:space="preserve"> B1 · same as the score</t>
          </r>
        </is>
      </c>
      <c r="AV26" s="131" t="inlineStr">
        <is>
          <r>
            <rPr>
              <rFont val="Calibri"/>
              <b val="1"/>
              <sz val="10"/>
            </rPr>
            <t>No rule applied:</t>
          </r>
          <r>
            <rPr>
              <rFont val="Calibri"/>
              <sz val="10"/>
            </rPr>
            <t xml:space="preserve"> the score decides.</t>
          </r>
        </is>
      </c>
      <c r="AW26" s="132"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RBI CIMS return developments, taxonomy changes, validation rules and client customisations across assigned banks → matches the start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B1 = Domain specialist work</t>
          </r>
        </is>
      </c>
      <c r="AX26" s="133"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Analyses and resolves routine client issues independently; escalates others → moved down 0.5
</t>
          </r>
          <r>
            <rPr>
              <rFont val="Calibri"/>
              <b val="1"/>
              <sz val="10"/>
            </rPr>
            <t>Market:</t>
          </r>
          <r>
            <rPr>
              <rFont val="Calibri"/>
              <sz val="10"/>
            </rPr>
            <t xml:space="preserve"> A3 = Technical / QC / client calls on own work · B1 = Technical / QC / client calls for the domain</t>
          </r>
        </is>
      </c>
      <c r="AY26" s="133"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Assigned bank clients end to end; timely, accurate return and taxonomy deliveries → matches the start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B1 = A domain or a small team</t>
          </r>
        </is>
      </c>
      <c r="AZ26" s="133" t="inlineStr">
        <is>
          <r>
            <rPr>
              <rFont val="Calibri"/>
              <sz val="10"/>
            </rPr>
            <t xml:space="preserve">Rated 2 of 12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None described → moved down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26" s="133" t="inlineStr">
        <is>
          <r>
            <rPr>
              <rFont val="Calibri"/>
              <sz val="10"/>
            </rPr>
            <t xml:space="preserve">Rated 8.5 of 12 · between C2 and D1
</t>
          </r>
          <r>
            <rPr>
              <rFont val="Calibri"/>
              <b val="1"/>
              <sz val="10"/>
            </rPr>
            <t>Experience:</t>
          </r>
          <r>
            <rPr>
              <rFont val="Calibri"/>
              <sz val="10"/>
            </rPr>
            <t xml:space="preserve"> 16.5 yrs total · 0.5 before IRIS + 16.0 at IRIS = 8.7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B1 roles typically have 4–8 yrs · IRIS guide 4–7</t>
          </r>
        </is>
      </c>
      <c r="BB26" s="133" t="inlineStr">
        <is>
          <r>
            <rPr>
              <rFont val="Calibri"/>
              <sz val="10"/>
            </rPr>
            <t xml:space="preserve">Rated 4.5 of 12 — a starting estimate.
</t>
          </r>
          <r>
            <rPr>
              <rFont val="Calibri"/>
              <b val="1"/>
              <sz val="10"/>
            </rPr>
            <t>Start:</t>
          </r>
          <r>
            <rPr>
              <rFont val="Calibri"/>
              <sz val="10"/>
            </rPr>
            <t xml:space="preserve"> 4,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26" s="134" t="inlineStr"/>
      <c r="BD26" s="135" t="inlineStr">
        <is>
          <t>✓ HRIS: 16.5 yrs, B.Com, 0 direct reports
✓ Survey: 20 of 20 questions answered
✓ KRAs: self, manager-set, quarterly
✓ Manager mapping: rating, potential, 9-box
✗ Job description: not on file</t>
        </is>
      </c>
      <c r="BE26" s="135" t="inlineStr">
        <is>
          <r>
            <rPr>
              <rFont val="Calibri"/>
              <b val="1"/>
              <sz val="10"/>
            </rPr>
            <t>Market level:</t>
          </r>
          <r>
            <rPr>
              <rFont val="Calibri"/>
              <sz val="10"/>
            </rPr>
            <t xml:space="preserve"> P3 / M2 · SFIA 4 Enable
</t>
          </r>
          <r>
            <rPr>
              <rFont val="Calibri"/>
              <b val="1"/>
              <sz val="10"/>
            </rPr>
            <t>Typical title:</t>
          </r>
          <r>
            <rPr>
              <rFont val="Calibri"/>
              <sz val="10"/>
            </rPr>
            <t xml:space="preserve"> Lead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BF26" s="135" t="inlineStr">
        <is>
          <t>Medium</t>
        </is>
      </c>
      <c r="BG26" s="135" t="inlineStr"/>
      <c r="BH26" s="135" t="inlineStr"/>
      <c r="BI26" s="136" t="n"/>
      <c r="BJ26" s="137" t="n"/>
      <c r="BK26" s="137" t="n"/>
      <c r="BL26" s="137" t="n"/>
      <c r="BM26" s="137" t="n"/>
      <c r="BN26" s="138" t="n"/>
      <c r="BO26" s="121" t="n"/>
      <c r="BP26" s="121" t="n"/>
      <c r="BQ26" s="121" t="n"/>
      <c r="BR26" s="121" t="n"/>
      <c r="BS26" s="121" t="n"/>
      <c r="BT26" s="121" t="n"/>
      <c r="BU26" s="121" t="n"/>
      <c r="BV26" s="121" t="n">
        <v>4.5</v>
      </c>
    </row>
    <row r="27" ht="340" customHeight="1">
      <c r="A27" s="109" t="inlineStr">
        <is>
          <t>IRIS1809</t>
        </is>
      </c>
      <c r="B27" s="110" t="inlineStr">
        <is>
          <t>Jignasha Sawla</t>
        </is>
      </c>
      <c r="C27" s="111" t="inlineStr">
        <is>
          <t>Technology</t>
        </is>
      </c>
      <c r="D27" s="111" t="inlineStr">
        <is>
          <t>Jitendra Kumar</t>
        </is>
      </c>
      <c r="E27" s="112" t="n">
        <v>17</v>
      </c>
      <c r="F27" s="112" t="n">
        <v>7</v>
      </c>
      <c r="G27" s="111" t="inlineStr">
        <is>
          <t>B.E</t>
        </is>
      </c>
      <c r="H27" s="113" t="inlineStr">
        <is>
          <t>Database Lead</t>
        </is>
      </c>
      <c r="I27" s="114" t="inlineStr">
        <is>
          <t>Database Specialist – POD Lead</t>
        </is>
      </c>
      <c r="J27" s="115" t="inlineStr">
        <is>
          <t>Engineering &amp; Development</t>
        </is>
      </c>
      <c r="K27" s="115" t="inlineStr">
        <is>
          <t>Data Engineering &amp; Database Development</t>
        </is>
      </c>
      <c r="L27" s="114" t="inlineStr">
        <is>
          <t>L5 – Lead · IC</t>
        </is>
      </c>
      <c r="M27" s="141" t="inlineStr">
        <is>
          <t>B1</t>
        </is>
      </c>
      <c r="N27" s="18" t="inlineStr">
        <is>
          <t>Specialist · POD Lead</t>
        </is>
      </c>
      <c r="O27" s="20" t="inlineStr">
        <is>
          <t>B</t>
        </is>
      </c>
      <c r="P27" s="115" t="inlineStr">
        <is>
          <t>POD Lead</t>
        </is>
      </c>
      <c r="Q27" s="147" t="inlineStr">
        <is>
          <t>▼ Down · protected</t>
        </is>
      </c>
      <c r="R27" s="119" t="inlineStr">
        <is>
          <r>
            <rPr>
              <rFont val="Calibri"/>
              <b val="1"/>
              <sz val="10"/>
            </rPr>
            <t>WHAT THE ROLE DOES:</t>
          </r>
          <r>
            <rPr>
              <rFont val="Calibri"/>
              <sz val="10"/>
            </rPr>
            <t xml:space="preserve"> Builds ETL pipelines, data models, stored procedures and data layers. At B1: a domain / module, or a small team.
</t>
          </r>
          <r>
            <rPr>
              <rFont val="Calibri"/>
              <b val="1"/>
              <sz val="10"/>
            </rPr>
            <t>Common themes in sub-family holders, all levels' answers:</t>
          </r>
          <r>
            <rPr>
              <rFont val="Calibri"/>
              <sz val="10"/>
            </rPr>
            <t xml:space="preserve"> business · support · data · solutions · build · reliable
</t>
          </r>
          <r>
            <rPr>
              <rFont val="Calibri"/>
              <b val="1"/>
              <sz val="10"/>
            </rPr>
            <t>KEY RESPONSIBILITIES:</t>
          </r>
          <r>
            <rPr>
              <rFont val="Calibri"/>
              <sz val="10"/>
            </rPr>
            <t xml:space="preserve"> Builds ETL pipelines, data models, stored procedures and data layers; Domain specialist work; A domain or a small team
</t>
          </r>
          <r>
            <rPr>
              <rFont val="Calibri"/>
              <b val="1"/>
              <sz val="10"/>
            </rPr>
            <t>Common themes in sub-family holders, all levels' answers:</t>
          </r>
          <r>
            <rPr>
              <rFont val="Calibri"/>
              <sz val="10"/>
            </rPr>
            <t xml:space="preserve"> issue · support · development · data · resolution · deployment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deliver · enhancements · solutions · product · data · models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accountable · am · assigned · quality · solutions · personally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issues · troubleshoot · independently · client · implement · technical
</t>
          </r>
          <r>
            <rPr>
              <rFont val="Calibri"/>
              <b val="1"/>
              <sz val="10"/>
            </rPr>
            <t>SKILLS &amp; KNOWLEDGE · role-holders:</t>
          </r>
          <r>
            <rPr>
              <rFont val="Calibri"/>
              <sz val="10"/>
            </rPr>
            <t xml:space="preserve"> Sql · prompt engineering · debugging · Database · ETL · Talend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 holder, 1 answered the survey; sub-family 7 answered; catalogue RC-075</t>
          </r>
        </is>
      </c>
      <c r="S27"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1 direct report.
From the survey and manager mapping — work only this person does: yes; successor named: no.
</t>
          </r>
          <r>
            <rPr>
              <rFont val="Calibri"/>
              <b val="1"/>
              <sz val="10"/>
            </rPr>
            <t>If the work is missed · role-holders' themes:</t>
          </r>
          <r>
            <rPr>
              <rFont val="Calibri"/>
              <sz val="10"/>
            </rPr>
            <t xml:space="preserve"> issues · lead · incorrect.
Manager talent mapping — Latest rating: 2 · Potential: Low · 9-Box Grid placement: Performance Risk.</t>
          </r>
        </is>
      </c>
      <c r="T27" s="121" t="n"/>
      <c r="U27" s="122" t="inlineStr">
        <is>
          <r>
            <rPr>
              <rFont val="Calibri"/>
              <sz val="10"/>
            </rPr>
            <t xml:space="preserve">Database Specialist – POD Lead in Technology · iDEAL, B1 — POD Lead.
</t>
          </r>
          <r>
            <rPr>
              <rFont val="Calibri"/>
              <b val="1"/>
              <sz val="10"/>
            </rPr>
            <t>The work:</t>
          </r>
          <r>
            <rPr>
              <rFont val="Calibri"/>
              <sz val="10"/>
            </rPr>
            <t xml:space="preserve"> Builds ETL pipelines, data models, stored procedures and data layers.
At this level the role owns a domain / module, or a small team.
</t>
          </r>
          <r>
            <rPr>
              <rFont val="Calibri"/>
              <b val="1"/>
              <sz val="10"/>
            </rPr>
            <t>Key responsibilities:</t>
          </r>
          <r>
            <rPr>
              <rFont val="Calibri"/>
              <sz val="10"/>
            </rPr>
            <t xml:space="preserve"> Builds ETL pipelines, data models, stored procedures and data layers; Domain specialist work; A domain or a small team.
</t>
          </r>
          <r>
            <rPr>
              <rFont val="Calibri"/>
              <b val="1"/>
              <sz val="10"/>
            </rPr>
            <t>Holders describe it with:</t>
          </r>
          <r>
            <rPr>
              <rFont val="Calibri"/>
              <sz val="10"/>
            </rPr>
            <t xml:space="preserve"> issue · support · development · data · resolution · deployment.
Leads 1 direct report.</t>
          </r>
        </is>
      </c>
      <c r="V27" s="123" t="inlineStr">
        <is>
          <r>
            <rPr>
              <rFont val="Calibri"/>
              <b val="1"/>
              <sz val="10"/>
            </rPr>
            <t>Hire as:</t>
          </r>
          <r>
            <rPr>
              <rFont val="Calibri"/>
              <sz val="10"/>
            </rPr>
            <t xml:space="preserve"> Senior Software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7"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Sql · prompt engineering · debugging · Database · ETL · Talend
★ = must-have for the family. Scale: 1 Awareness · 2 Working · 3 Practitioner · 4 Advanced · 5 Expert.</t>
          </r>
        </is>
      </c>
      <c r="X27"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7" s="124" t="inlineStr">
        <is>
          <t>iDEAL · Technology · Band B · Expert / POD Lead</t>
        </is>
      </c>
      <c r="Z27" s="125" t="n">
        <v>3.5</v>
      </c>
      <c r="AA27" s="126">
        <f>IFERROR(INDEX(WM_C,MATCH($Y27,WM_KEY,0)),"")</f>
        <v>0.56</v>
      </c>
      <c r="AB27" s="127">
        <f>IF(Z27="","",Z27*AA27)</f>
        <v>1.96</v>
      </c>
      <c r="AC27" s="125" t="n">
        <v>3.5</v>
      </c>
      <c r="AD27" s="126">
        <f>IFERROR(INDEX(WM_AU,MATCH($Y27,WM_KEY,0)),"")</f>
        <v>0.17</v>
      </c>
      <c r="AE27" s="127">
        <f>IF(AC27="","",AC27*AD27)</f>
        <v>0.595</v>
      </c>
      <c r="AF27" s="125" t="n">
        <v>3.5</v>
      </c>
      <c r="AG27" s="126">
        <f>IFERROR(INDEX(WM_AC,MATCH($Y27,WM_KEY,0)),"")</f>
        <v>0.05</v>
      </c>
      <c r="AH27" s="127">
        <f>IF(AF27="","",AF27*AG27)</f>
        <v>0.175</v>
      </c>
      <c r="AI27" s="125" t="n">
        <v>3</v>
      </c>
      <c r="AJ27" s="126">
        <f>IFERROR(INDEX(WM_L,MATCH($Y27,WM_KEY,0)),"")</f>
        <v>0.05</v>
      </c>
      <c r="AK27" s="127">
        <f>IF(AI27="","",AI27*AJ27)</f>
        <v>0.15</v>
      </c>
      <c r="AL27" s="125" t="n">
        <v>9</v>
      </c>
      <c r="AM27" s="126">
        <f>IFERROR(INDEX(WM_E,MATCH($Y27,WM_KEY,0)),"")</f>
        <v>0.1</v>
      </c>
      <c r="AN27" s="127">
        <f>IF(AL27="","",AL27*AM27)</f>
        <v>0.9</v>
      </c>
      <c r="AO27" s="128" t="n">
        <v>4</v>
      </c>
      <c r="AP27" s="126">
        <f>IFERROR(INDEX(WM_BI,MATCH($Y27,WM_KEY,0)),"")</f>
        <v>0.07</v>
      </c>
      <c r="AQ27" s="127">
        <f>IF(AO27="","",AO27*AP27)</f>
        <v>0.28</v>
      </c>
      <c r="AR27" s="127">
        <f>IF(COUNT(AB27,AE27,AH27,AK27,AN27,AQ27)&lt;6,"",SUM(AB27,AE27,AH27,AK27,AN27,AQ27))</f>
        <v>4.06</v>
      </c>
      <c r="AS27" s="129" t="str">
        <f>IF(AR27="","",INDEX({"A1","A2","A3","B1","B2","B3","C1","C2","D1","D2","E1","E2"},MAX(1,MIN(12,ROUND(AR27,0)))))</f>
        <v>B1</v>
      </c>
      <c r="AT27"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7" s="131" t="inlineStr">
        <is>
          <r>
            <rPr>
              <rFont val="Calibri"/>
              <b val="1"/>
              <sz val="10"/>
            </rPr>
            <t>At build:</t>
          </r>
          <r>
            <rPr>
              <rFont val="Calibri"/>
              <sz val="10"/>
            </rPr>
            <t xml:space="preserve"> Complexity 1.96 + Autonomy 0.60 + Accountability 0.18 + Leadership 0.15 + Experience 0.90 + Business impact 0.28
= 4.06 points → nearest level 4 = B1
</t>
          </r>
          <r>
            <rPr>
              <rFont val="Calibri"/>
              <b val="1"/>
              <sz val="10"/>
            </rPr>
            <t>Final level:</t>
          </r>
          <r>
            <rPr>
              <rFont val="Calibri"/>
              <sz val="10"/>
            </rPr>
            <t xml:space="preserve"> B1 · same as the score</t>
          </r>
        </is>
      </c>
      <c r="AV27" s="131" t="inlineStr">
        <is>
          <r>
            <rPr>
              <rFont val="Calibri"/>
              <b val="1"/>
              <sz val="10"/>
            </rPr>
            <t>No rule applied:</t>
          </r>
          <r>
            <rPr>
              <rFont val="Calibri"/>
              <sz val="10"/>
            </rPr>
            <t xml:space="preserve"> the score decides.</t>
          </r>
        </is>
      </c>
      <c r="AW27"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Database development of procedures and functions, ETL tools, resolves production database issues → moved down 0.5
</t>
          </r>
          <r>
            <rPr>
              <rFont val="Calibri"/>
              <b val="1"/>
              <sz val="10"/>
            </rPr>
            <t>KRA:</t>
          </r>
          <r>
            <rPr>
              <rFont val="Calibri"/>
              <sz val="10"/>
            </rPr>
            <t xml:space="preserve"> “1. Deliver end-to-end database development and project deliverables with high quality, timely execution, and adherence to business…”
</t>
          </r>
          <r>
            <rPr>
              <rFont val="Calibri"/>
              <b val="1"/>
              <sz val="10"/>
            </rPr>
            <t>Market:</t>
          </r>
          <r>
            <rPr>
              <rFont val="Calibri"/>
              <sz val="10"/>
            </rPr>
            <t xml:space="preserve"> A3 = Varied and non-standard work; handles exceptions · B1 = Domain specialist work</t>
          </r>
        </is>
      </c>
      <c r="AX27" s="133"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Independently decides how to resolve database issues → moved down 0.5
</t>
          </r>
          <r>
            <rPr>
              <rFont val="Calibri"/>
              <b val="1"/>
              <sz val="10"/>
            </rPr>
            <t>Market:</t>
          </r>
          <r>
            <rPr>
              <rFont val="Calibri"/>
              <sz val="10"/>
            </rPr>
            <t xml:space="preserve"> A3 = Technical / QC / client calls on own work · B1 = Technical / QC / client calls for the domain</t>
          </r>
        </is>
      </c>
      <c r="AY27" s="133" t="inlineStr">
        <is>
          <r>
            <rPr>
              <rFont val="Calibri"/>
              <sz val="10"/>
            </rPr>
            <t xml:space="preserve">Rated 3.5 of 12 · between A3 and B1
</t>
          </r>
          <r>
            <rPr>
              <rFont val="Calibri"/>
              <b val="1"/>
              <sz val="10"/>
            </rPr>
            <t>Start:</t>
          </r>
          <r>
            <rPr>
              <rFont val="Calibri"/>
              <sz val="10"/>
            </rPr>
            <t xml:space="preserve"> 3.8 · lead / specialist title; 1 direct report
</t>
          </r>
          <r>
            <rPr>
              <rFont val="Calibri"/>
              <b val="1"/>
              <sz val="10"/>
            </rPr>
            <t>Evidence reads like A3:</t>
          </r>
          <r>
            <rPr>
              <rFont val="Calibri"/>
              <sz val="10"/>
            </rPr>
            <t xml:space="preserve"> Accountable for any database issues, including out-of-hours production fixes → moved down 0.2
</t>
          </r>
          <r>
            <rPr>
              <rFont val="Calibri"/>
              <b val="1"/>
              <sz val="10"/>
            </rPr>
            <t>KRA:</t>
          </r>
          <r>
            <rPr>
              <rFont val="Calibri"/>
              <sz val="10"/>
            </rPr>
            <t xml:space="preserve"> “1. Deliver end-to-end database development and project deliverables with high quality, timely execution, and adherence to business…”
</t>
          </r>
          <r>
            <rPr>
              <rFont val="Calibri"/>
              <b val="1"/>
              <sz val="10"/>
            </rPr>
            <t>Market:</t>
          </r>
          <r>
            <rPr>
              <rFont val="Calibri"/>
              <sz val="10"/>
            </rPr>
            <t xml:space="preserve"> A3 = A module / process, or work with client or regulatory consequences · B1 = A domain or a small team</t>
          </r>
        </is>
      </c>
      <c r="AZ27" s="133" t="inlineStr">
        <is>
          <r>
            <rPr>
              <rFont val="Calibri"/>
              <sz val="10"/>
            </rPr>
            <t xml:space="preserve">Rated 3 of 12
</t>
          </r>
          <r>
            <rPr>
              <rFont val="Calibri"/>
              <b val="1"/>
              <sz val="10"/>
            </rPr>
            <t>Start:</t>
          </r>
          <r>
            <rPr>
              <rFont val="Calibri"/>
              <sz val="10"/>
            </rPr>
            <t xml:space="preserve"> 3.5
</t>
          </r>
          <r>
            <rPr>
              <rFont val="Calibri"/>
              <b val="1"/>
              <sz val="10"/>
            </rPr>
            <t>Evidence reads like A3:</t>
          </r>
          <r>
            <rPr>
              <rFont val="Calibri"/>
              <sz val="10"/>
            </rPr>
            <t xml:space="preserve"> Manages tasks and status of the team; 1 direct report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27" s="133" t="inlineStr">
        <is>
          <r>
            <rPr>
              <rFont val="Calibri"/>
              <sz val="10"/>
            </rPr>
            <t xml:space="preserve">Rated 9 of 12
</t>
          </r>
          <r>
            <rPr>
              <rFont val="Calibri"/>
              <b val="1"/>
              <sz val="10"/>
            </rPr>
            <t>Experience:</t>
          </r>
          <r>
            <rPr>
              <rFont val="Calibri"/>
              <sz val="10"/>
            </rPr>
            <t xml:space="preserve"> 17.0 yrs total · 10.0 before IRIS + 7.0 at IRIS = 8.8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B1 roles typically have 4–8 yrs · IRIS guide 4–7</t>
          </r>
        </is>
      </c>
      <c r="BB27" s="133"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27" s="134" t="inlineStr"/>
      <c r="BD27" s="135" t="inlineStr">
        <is>
          <t>✓ HRIS: 17.0 yrs, B.E, 1 direct report
✓ Survey: 20 of 20 questions answered
✓ KRAs: self, manager-set, quarterly
✓ Manager mapping: rating, potential, 9-box
✗ Job description: not on file</t>
        </is>
      </c>
      <c r="BE27" s="135"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27" s="135" t="inlineStr">
        <is>
          <t>Medium</t>
        </is>
      </c>
      <c r="BG27" s="135" t="inlineStr">
        <is>
          <t>• Final level B1 is below the current level · L5 ≈ B3 — manager to confirm the scope of the role; pay and title are protected for one cycle</t>
        </is>
      </c>
      <c r="BH27" s="135" t="inlineStr"/>
      <c r="BI27" s="136" t="n"/>
      <c r="BJ27" s="137" t="n"/>
      <c r="BK27" s="137" t="n"/>
      <c r="BL27" s="137" t="n"/>
      <c r="BM27" s="137" t="n"/>
      <c r="BN27" s="138" t="n"/>
      <c r="BO27" s="121" t="n"/>
      <c r="BP27" s="121" t="n"/>
      <c r="BQ27" s="121" t="n"/>
      <c r="BR27" s="121" t="n"/>
      <c r="BS27" s="121" t="n"/>
      <c r="BT27" s="121" t="n"/>
      <c r="BU27" s="121" t="n"/>
      <c r="BV27" s="121" t="n">
        <v>4</v>
      </c>
    </row>
    <row r="28" ht="340" customHeight="1">
      <c r="A28" s="109" t="inlineStr">
        <is>
          <t>IRIS1343</t>
        </is>
      </c>
      <c r="B28" s="110" t="inlineStr">
        <is>
          <t>Anand Usakoyal</t>
        </is>
      </c>
      <c r="C28" s="111" t="inlineStr">
        <is>
          <t>Technology</t>
        </is>
      </c>
      <c r="D28" s="111" t="inlineStr">
        <is>
          <t>Hemant Karale</t>
        </is>
      </c>
      <c r="E28" s="112" t="n">
        <v>13.3</v>
      </c>
      <c r="F28" s="112" t="n">
        <v>13.3</v>
      </c>
      <c r="G28" s="111" t="inlineStr">
        <is>
          <t>MBA</t>
        </is>
      </c>
      <c r="H28" s="113" t="inlineStr">
        <is>
          <t>Project Lead</t>
        </is>
      </c>
      <c r="I28" s="114" t="inlineStr">
        <is>
          <t>Associate Project Manager</t>
        </is>
      </c>
      <c r="J28" s="115" t="inlineStr">
        <is>
          <t>Project &amp; Program Management</t>
        </is>
      </c>
      <c r="K28" s="115" t="inlineStr">
        <is>
          <t>Project &amp; Program Delivery</t>
        </is>
      </c>
      <c r="L28" s="114" t="inlineStr">
        <is>
          <t>L5 – Lead · IC</t>
        </is>
      </c>
      <c r="M28" s="141" t="inlineStr">
        <is>
          <t>B1</t>
        </is>
      </c>
      <c r="N28" s="18" t="inlineStr">
        <is>
          <t>Specialist</t>
        </is>
      </c>
      <c r="O28" s="20" t="inlineStr">
        <is>
          <t>B</t>
        </is>
      </c>
      <c r="P28" s="115" t="inlineStr">
        <is>
          <t>IC</t>
        </is>
      </c>
      <c r="Q28" s="147" t="inlineStr">
        <is>
          <t>▼ Down · protected</t>
        </is>
      </c>
      <c r="R28" s="119" t="inlineStr">
        <is>
          <r>
            <rPr>
              <rFont val="Calibri"/>
              <b val="1"/>
              <sz val="10"/>
            </rPr>
            <t>WHAT THE ROLE DOES:</t>
          </r>
          <r>
            <rPr>
              <rFont val="Calibri"/>
              <sz val="10"/>
            </rPr>
            <t xml:space="preserve"> Plans and delivers projects/programmes to scope, time and cost; manages CRs, risks and stakeholders. At B1: a domain / module, or a small team.
</t>
          </r>
          <r>
            <rPr>
              <rFont val="Calibri"/>
              <b val="1"/>
              <sz val="10"/>
            </rPr>
            <t>Common themes in role-holders' answers:</t>
          </r>
          <r>
            <rPr>
              <rFont val="Calibri"/>
              <sz val="10"/>
            </rPr>
            <t xml:space="preserve"> business · understood · requirements · project
</t>
          </r>
          <r>
            <rPr>
              <rFont val="Calibri"/>
              <b val="1"/>
              <sz val="10"/>
            </rPr>
            <t>KEY RESPONSIBILITIES:</t>
          </r>
          <r>
            <rPr>
              <rFont val="Calibri"/>
              <sz val="10"/>
            </rPr>
            <t xml:space="preserve"> Plans and delivers projects/programmes to scope, time and cost; manages CRs, risks and stakeholders; Domain specialist work; A domain or a small team
</t>
          </r>
          <r>
            <rPr>
              <rFont val="Calibri"/>
              <b val="1"/>
              <sz val="10"/>
            </rPr>
            <t>Common themes in role-holders' answers:</t>
          </r>
          <r>
            <rPr>
              <rFont val="Calibri"/>
              <sz val="10"/>
            </rPr>
            <t xml:space="preserve"> management · timelines · delivery · coordination · gathering · requirement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project · time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client · timelines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client · requirement
</t>
          </r>
          <r>
            <rPr>
              <rFont val="Calibri"/>
              <b val="1"/>
              <sz val="10"/>
            </rPr>
            <t>SKILLS &amp; KNOWLEDGE · role-holders:</t>
          </r>
          <r>
            <rPr>
              <rFont val="Calibri"/>
              <sz val="10"/>
            </rPr>
            <t xml:space="preserve"> Project Management · Stakeholder Management
</t>
          </r>
          <r>
            <rPr>
              <rFont val="Calibri"/>
              <b val="1"/>
              <sz val="10"/>
            </rPr>
            <t>TOOLS &amp; SYSTEMS:</t>
          </r>
          <r>
            <rPr>
              <rFont val="Calibri"/>
              <sz val="10"/>
            </rPr>
            <t xml:space="preserve"> Excel · Quick Scrum
</t>
          </r>
          <r>
            <rPr>
              <rFont val="Calibri"/>
              <b val="1"/>
              <sz val="10"/>
            </rPr>
            <t>MANAGER-SET KRAs:</t>
          </r>
          <r>
            <rPr>
              <rFont val="Calibri"/>
              <sz val="10"/>
            </rPr>
            <t xml:space="preserve"> Common themes in manager-set KRAs: projects · support · maintain · pm · reporting · on-time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PMP / PRINCE2 / CSM / SAFe
</t>
          </r>
          <r>
            <rPr>
              <rFont val="Calibri"/>
              <b val="1"/>
              <sz val="10"/>
            </rPr>
            <t>SOURCE:</t>
          </r>
          <r>
            <rPr>
              <rFont val="Calibri"/>
              <sz val="10"/>
            </rPr>
            <t xml:space="preserve"> Framework + role-holders' themes · 3+ answered — 4 holders, 4 answered the survey; sub-family 14 answered; catalogue RC-134</t>
          </r>
        </is>
      </c>
      <c r="S28"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t>
          </r>
          <r>
            <rPr>
              <rFont val="Calibri"/>
              <b val="1"/>
              <sz val="10"/>
            </rPr>
            <t>If the work is missed · role-holders' themes:</t>
          </r>
          <r>
            <rPr>
              <rFont val="Calibri"/>
              <sz val="10"/>
            </rPr>
            <t xml:space="preserve"> client · potential.
</t>
          </r>
          <r>
            <rPr>
              <rFont val="Calibri"/>
              <b val="1"/>
              <sz val="10"/>
            </rPr>
            <t>Measured on · manager-set KRA themes:</t>
          </r>
          <r>
            <rPr>
              <rFont val="Calibri"/>
              <sz val="10"/>
            </rPr>
            <t xml:space="preserve"> projects · support · maintain · reporting · on-time.
Manager talent mapping — Latest rating: 3 · Potential: Medium · 9-Box Grid placement: Emerging Talent.</t>
          </r>
        </is>
      </c>
      <c r="T28" s="121" t="n"/>
      <c r="U28" s="122" t="inlineStr">
        <is>
          <r>
            <rPr>
              <rFont val="Calibri"/>
              <sz val="10"/>
            </rPr>
            <t xml:space="preserve">Associate Project Manager in Technology · iDEAL, B1 — IC.
</t>
          </r>
          <r>
            <rPr>
              <rFont val="Calibri"/>
              <b val="1"/>
              <sz val="10"/>
            </rPr>
            <t>The work:</t>
          </r>
          <r>
            <rPr>
              <rFont val="Calibri"/>
              <sz val="10"/>
            </rPr>
            <t xml:space="preserve"> Plans and delivers projects/programmes to scope, time and cost; manages CRs, risks and stakeholders.
At this level the role owns a domain / module, or a small team.
</t>
          </r>
          <r>
            <rPr>
              <rFont val="Calibri"/>
              <b val="1"/>
              <sz val="10"/>
            </rPr>
            <t>Key responsibilities:</t>
          </r>
          <r>
            <rPr>
              <rFont val="Calibri"/>
              <sz val="10"/>
            </rPr>
            <t xml:space="preserve"> Plans and delivers projects/programmes to scope, time and cost; manages CRs, risks and stakeholders; Domain specialist work; A domain or a small team.
</t>
          </r>
          <r>
            <rPr>
              <rFont val="Calibri"/>
              <b val="1"/>
              <sz val="10"/>
            </rPr>
            <t>Holders describe it with:</t>
          </r>
          <r>
            <rPr>
              <rFont val="Calibri"/>
              <sz val="10"/>
            </rPr>
            <t xml:space="preserve"> management · timelines · delivery · coordination · gathering · requirement.</t>
          </r>
        </is>
      </c>
      <c r="V28" s="123" t="inlineStr">
        <is>
          <r>
            <rPr>
              <rFont val="Calibri"/>
              <b val="1"/>
              <sz val="10"/>
            </rPr>
            <t>Hire as:</t>
          </r>
          <r>
            <rPr>
              <rFont val="Calibri"/>
              <sz val="10"/>
            </rPr>
            <t xml:space="preserve"> Project Manager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PMP / PRINCE2 / CSM preferred from B2
</t>
          </r>
          <r>
            <rPr>
              <rFont val="Calibri"/>
              <b val="1"/>
              <sz val="10"/>
            </rPr>
            <t>Equivalent titles at peers:</t>
          </r>
          <r>
            <rPr>
              <rFont val="Calibri"/>
              <sz val="10"/>
            </rPr>
            <t xml:space="preserve"> IRIS Vs Competitor Benchmark — PMI pathway + SaaS delivery ladder – Project Manager · PMP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28" s="123" t="inlineStr">
        <is>
          <r>
            <rPr>
              <rFont val="Calibri"/>
              <sz val="10"/>
            </rPr>
            <t xml:space="preserve">FUNCTIONAL — skill level 3 of 5 · Practitioner
 ★ Project, Program &amp; Agile Management: Plans and tracks delivery; manages risk and scope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Project Management · Stakeholder Management
</t>
          </r>
          <r>
            <rPr>
              <rFont val="Calibri"/>
              <b val="1"/>
              <sz val="10"/>
            </rPr>
            <t>TOOLS:</t>
          </r>
          <r>
            <rPr>
              <rFont val="Calibri"/>
              <sz val="10"/>
            </rPr>
            <t xml:space="preserve"> Excel · Quick Scrum
★ = must-have for the family. Scale: 1 Awareness · 2 Working · 3 Practitioner · 4 Advanced · 5 Expert.</t>
          </r>
        </is>
      </c>
      <c r="X28" s="123" t="inlineStr">
        <is>
          <r>
            <rPr>
              <rFont val="Calibri"/>
              <sz val="10"/>
            </rPr>
            <t xml:space="preserve">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8" s="124" t="inlineStr">
        <is>
          <t>iDEAL · Technology · Band B · Expert / POD Lead</t>
        </is>
      </c>
      <c r="Z28" s="125" t="n">
        <v>3.5</v>
      </c>
      <c r="AA28" s="126">
        <f>IFERROR(INDEX(WM_C,MATCH($Y28,WM_KEY,0)),"")</f>
        <v>0.56</v>
      </c>
      <c r="AB28" s="127">
        <f>IF(Z28="","",Z28*AA28)</f>
        <v>1.96</v>
      </c>
      <c r="AC28" s="125" t="n">
        <v>3.5</v>
      </c>
      <c r="AD28" s="126">
        <f>IFERROR(INDEX(WM_AU,MATCH($Y28,WM_KEY,0)),"")</f>
        <v>0.17</v>
      </c>
      <c r="AE28" s="127">
        <f>IF(AC28="","",AC28*AD28)</f>
        <v>0.595</v>
      </c>
      <c r="AF28" s="125" t="n">
        <v>4</v>
      </c>
      <c r="AG28" s="126">
        <f>IFERROR(INDEX(WM_AC,MATCH($Y28,WM_KEY,0)),"")</f>
        <v>0.05</v>
      </c>
      <c r="AH28" s="127">
        <f>IF(AF28="","",AF28*AG28)</f>
        <v>0.2</v>
      </c>
      <c r="AI28" s="125" t="n">
        <v>3</v>
      </c>
      <c r="AJ28" s="126">
        <f>IFERROR(INDEX(WM_L,MATCH($Y28,WM_KEY,0)),"")</f>
        <v>0.05</v>
      </c>
      <c r="AK28" s="127">
        <f>IF(AI28="","",AI28*AJ28)</f>
        <v>0.15</v>
      </c>
      <c r="AL28" s="125" t="n">
        <v>7.5</v>
      </c>
      <c r="AM28" s="126">
        <f>IFERROR(INDEX(WM_E,MATCH($Y28,WM_KEY,0)),"")</f>
        <v>0.1</v>
      </c>
      <c r="AN28" s="127">
        <f>IF(AL28="","",AL28*AM28)</f>
        <v>0.75</v>
      </c>
      <c r="AO28" s="128" t="n">
        <v>4</v>
      </c>
      <c r="AP28" s="126">
        <f>IFERROR(INDEX(WM_BI,MATCH($Y28,WM_KEY,0)),"")</f>
        <v>0.07</v>
      </c>
      <c r="AQ28" s="127">
        <f>IF(AO28="","",AO28*AP28)</f>
        <v>0.28</v>
      </c>
      <c r="AR28" s="127">
        <f>IF(COUNT(AB28,AE28,AH28,AK28,AN28,AQ28)&lt;6,"",SUM(AB28,AE28,AH28,AK28,AN28,AQ28))</f>
        <v>3.935</v>
      </c>
      <c r="AS28" s="129" t="str">
        <f>IF(AR28="","",INDEX({"A1","A2","A3","B1","B2","B3","C1","C2","D1","D2","E1","E2"},MAX(1,MIN(12,ROUND(AR28,0)))))</f>
        <v>B1</v>
      </c>
      <c r="AT28"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8" s="131" t="inlineStr">
        <is>
          <r>
            <rPr>
              <rFont val="Calibri"/>
              <b val="1"/>
              <sz val="10"/>
            </rPr>
            <t>At build:</t>
          </r>
          <r>
            <rPr>
              <rFont val="Calibri"/>
              <sz val="10"/>
            </rPr>
            <t xml:space="preserve"> Complexity 1.96 + Autonomy 0.60 + Accountability 0.20 + Leadership 0.15 + Experience 0.75 + Business impact 0.28
= 3.94 points → nearest level 4 = B1
</t>
          </r>
          <r>
            <rPr>
              <rFont val="Calibri"/>
              <b val="1"/>
              <sz val="10"/>
            </rPr>
            <t>Final level:</t>
          </r>
          <r>
            <rPr>
              <rFont val="Calibri"/>
              <sz val="10"/>
            </rPr>
            <t xml:space="preserve"> B1 · same as the score</t>
          </r>
        </is>
      </c>
      <c r="AV28" s="131" t="inlineStr">
        <is>
          <r>
            <rPr>
              <rFont val="Calibri"/>
              <b val="1"/>
              <sz val="10"/>
            </rPr>
            <t>No rule applied:</t>
          </r>
          <r>
            <rPr>
              <rFont val="Calibri"/>
              <sz val="10"/>
            </rPr>
            <t xml:space="preserve"> the score decides.</t>
          </r>
        </is>
      </c>
      <c r="AW28"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Gathers RBI EBR return requirements, verifies developed returns, resolves team doubts → moved down 0.5
</t>
          </r>
          <r>
            <rPr>
              <rFont val="Calibri"/>
              <b val="1"/>
              <sz val="10"/>
            </rPr>
            <t>KRA:</t>
          </r>
          <r>
            <rPr>
              <rFont val="Calibri"/>
              <sz val="10"/>
            </rPr>
            <t xml:space="preserve"> “1. Develop a comprehensive understanding of the EBR solution workflow, reporting framework, and implementation processes by August 2026.…”
</t>
          </r>
          <r>
            <rPr>
              <rFont val="Calibri"/>
              <b val="1"/>
              <sz val="10"/>
            </rPr>
            <t>Market:</t>
          </r>
          <r>
            <rPr>
              <rFont val="Calibri"/>
              <sz val="10"/>
            </rPr>
            <t xml:space="preserve"> A3 = Varied and non-standard work; handles exceptions · B1 = Domain specialist work</t>
          </r>
        </is>
      </c>
      <c r="AX28" s="133"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Decides requirement gathering independently; verifies returns before delivery to banks → moved down 0.5
</t>
          </r>
          <r>
            <rPr>
              <rFont val="Calibri"/>
              <b val="1"/>
              <sz val="10"/>
            </rPr>
            <t>Market:</t>
          </r>
          <r>
            <rPr>
              <rFont val="Calibri"/>
              <sz val="10"/>
            </rPr>
            <t xml:space="preserve"> A3 = Technical / QC / client calls on own work · B1 = Technical / QC / client calls for the domain</t>
          </r>
        </is>
      </c>
      <c r="AY28" s="133"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Answers for EBR returns delivered to banks meeting RBI standards → matches the start
</t>
          </r>
          <r>
            <rPr>
              <rFont val="Calibri"/>
              <b val="1"/>
              <sz val="10"/>
            </rPr>
            <t>KRA:</t>
          </r>
          <r>
            <rPr>
              <rFont val="Calibri"/>
              <sz val="10"/>
            </rPr>
            <t xml:space="preserve"> “1. Develop a comprehensive understanding of the EBR solution workflow, reporting framework, and implementation processes by August 2026.…”
</t>
          </r>
          <r>
            <rPr>
              <rFont val="Calibri"/>
              <b val="1"/>
              <sz val="10"/>
            </rPr>
            <t>Market:</t>
          </r>
          <r>
            <rPr>
              <rFont val="Calibri"/>
              <sz val="10"/>
            </rPr>
            <t xml:space="preserve"> B1 = A domain or a small team</t>
          </r>
        </is>
      </c>
      <c r="AZ28" s="133" t="inlineStr">
        <is>
          <r>
            <rPr>
              <rFont val="Calibri"/>
              <sz val="10"/>
            </rPr>
            <t xml:space="preserve">Rated 3 of 12
</t>
          </r>
          <r>
            <rPr>
              <rFont val="Calibri"/>
              <b val="1"/>
              <sz val="10"/>
            </rPr>
            <t>Start:</t>
          </r>
          <r>
            <rPr>
              <rFont val="Calibri"/>
              <sz val="10"/>
            </rPr>
            <t xml:space="preserve"> 3.0 · individual contributor, so influence only
</t>
          </r>
          <r>
            <rPr>
              <rFont val="Calibri"/>
              <b val="1"/>
              <sz val="10"/>
            </rPr>
            <t>Evidence reads like A3:</t>
          </r>
          <r>
            <rPr>
              <rFont val="Calibri"/>
              <sz val="10"/>
            </rPr>
            <t xml:space="preserve"> Coordinates development and testing teams; gives guidance and resolves doubts → matches the start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28" s="133" t="inlineStr">
        <is>
          <r>
            <rPr>
              <rFont val="Calibri"/>
              <sz val="10"/>
            </rPr>
            <t xml:space="preserve">Rated 7.5 of 12 · between C1 and C2
</t>
          </r>
          <r>
            <rPr>
              <rFont val="Calibri"/>
              <b val="1"/>
              <sz val="10"/>
            </rPr>
            <t>Experience:</t>
          </r>
          <r>
            <rPr>
              <rFont val="Calibri"/>
              <sz val="10"/>
            </rPr>
            <t xml:space="preserve"> 13.3 yrs total · 13.3 at IRIS; none recorded before IRIS = 7.5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B1 roles typically have 4–8 yrs · IRIS guide 4–7</t>
          </r>
        </is>
      </c>
      <c r="BB28" s="133"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28" s="134" t="inlineStr"/>
      <c r="BD28" s="135" t="inlineStr">
        <is>
          <t>✓ HRIS: 13.3 yrs, MBA, 0 direct reports
✓ Survey: 20 of 20 questions answered
✓ KRAs: self, manager-set, quarterly
✓ Manager mapping: rating, potential, 9-box
✗ Job description: not on file</t>
        </is>
      </c>
      <c r="BE28" s="135" t="inlineStr">
        <is>
          <r>
            <rPr>
              <rFont val="Calibri"/>
              <b val="1"/>
              <sz val="10"/>
            </rPr>
            <t>Market level:</t>
          </r>
          <r>
            <rPr>
              <rFont val="Calibri"/>
              <sz val="10"/>
            </rPr>
            <t xml:space="preserve"> P3 / M2 · SFIA 4 Enable
</t>
          </r>
          <r>
            <rPr>
              <rFont val="Calibri"/>
              <b val="1"/>
              <sz val="10"/>
            </rPr>
            <t>Typical title:</t>
          </r>
          <r>
            <rPr>
              <rFont val="Calibri"/>
              <sz val="10"/>
            </rPr>
            <t xml:space="preserve"> Project Manager
</t>
          </r>
          <r>
            <rPr>
              <rFont val="Calibri"/>
              <b val="1"/>
              <sz val="10"/>
            </rPr>
            <t>At peers:</t>
          </r>
          <r>
            <rPr>
              <rFont val="Calibri"/>
              <sz val="10"/>
            </rPr>
            <t xml:space="preserve"> IRIS Vs Competitor Benchmark — PMI pathway + SaaS delivery ladder: Project Manager · PMP
</t>
          </r>
          <r>
            <rPr>
              <rFont val="Calibri"/>
              <b val="1"/>
              <sz val="10"/>
            </rPr>
            <t>Typical experience:</t>
          </r>
          <r>
            <rPr>
              <rFont val="Calibri"/>
              <sz val="10"/>
            </rPr>
            <t xml:space="preserve"> 4–8 yrs · IRIS guide 4–7
</t>
          </r>
          <r>
            <rPr>
              <rFont val="Calibri"/>
              <b val="1"/>
              <sz val="10"/>
            </rPr>
            <t>Standard:</t>
          </r>
          <r>
            <rPr>
              <rFont val="Calibri"/>
              <sz val="10"/>
            </rPr>
            <t xml:space="preserve"> PMI PMBOK and Talent Triangle; CAPM → PMP → PgMP</t>
          </r>
        </is>
      </c>
      <c r="BF28" s="135" t="inlineStr">
        <is>
          <t>High</t>
        </is>
      </c>
      <c r="BG28" s="135" t="inlineStr">
        <is>
          <t>• Final level B1 is below the current level · L5 ≈ B3 — manager to confirm the scope of the role; pay and title are protected for one cycle</t>
        </is>
      </c>
      <c r="BH28" s="135" t="inlineStr"/>
      <c r="BI28" s="136" t="n"/>
      <c r="BJ28" s="137" t="n"/>
      <c r="BK28" s="137" t="n"/>
      <c r="BL28" s="137" t="n"/>
      <c r="BM28" s="137" t="n"/>
      <c r="BN28" s="138" t="n"/>
      <c r="BO28" s="121" t="n"/>
      <c r="BP28" s="121" t="n"/>
      <c r="BQ28" s="121" t="n"/>
      <c r="BR28" s="121" t="n"/>
      <c r="BS28" s="121" t="n"/>
      <c r="BT28" s="121" t="n"/>
      <c r="BU28" s="121" t="n"/>
      <c r="BV28" s="121" t="n">
        <v>4</v>
      </c>
    </row>
    <row r="29" ht="340" customHeight="1">
      <c r="A29" s="109" t="inlineStr">
        <is>
          <t>IRIS2236</t>
        </is>
      </c>
      <c r="B29" s="110" t="inlineStr">
        <is>
          <t>Anishaa Mahesh Kukreja</t>
        </is>
      </c>
      <c r="C29" s="111" t="inlineStr">
        <is>
          <t>Technology</t>
        </is>
      </c>
      <c r="D29" s="111" t="inlineStr">
        <is>
          <t>Yuvraj Kharchane</t>
        </is>
      </c>
      <c r="E29" s="112" t="n">
        <v>6.5</v>
      </c>
      <c r="F29" s="112" t="n">
        <v>2.5</v>
      </c>
      <c r="G29" s="111" t="inlineStr">
        <is>
          <t>B.E</t>
        </is>
      </c>
      <c r="H29" s="113" t="inlineStr">
        <is>
          <t>Business Analyst</t>
        </is>
      </c>
      <c r="I29" s="114" t="inlineStr">
        <is>
          <t>Senior Business Analyst</t>
        </is>
      </c>
      <c r="J29" s="115" t="inlineStr">
        <is>
          <t>Business Analysis</t>
        </is>
      </c>
      <c r="K29" s="115" t="inlineStr">
        <is>
          <t>Business Analysis</t>
        </is>
      </c>
      <c r="L29" s="114" t="inlineStr">
        <is>
          <t>L3 – Professional / Associate</t>
        </is>
      </c>
      <c r="M29" s="141" t="inlineStr">
        <is>
          <t>A3</t>
        </is>
      </c>
      <c r="N29" s="117" t="inlineStr">
        <is>
          <t>Senior Associate</t>
        </is>
      </c>
      <c r="O29" s="26" t="inlineStr">
        <is>
          <t>A</t>
        </is>
      </c>
      <c r="P29" s="115" t="inlineStr">
        <is>
          <t>IC</t>
        </is>
      </c>
      <c r="Q29" s="142" t="inlineStr">
        <is>
          <t>▲ Up</t>
        </is>
      </c>
      <c r="R29" s="119"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29"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From the survey and manager mapping — work only this person does: yes; successor named: no.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Core Contributor.</t>
          </r>
        </is>
      </c>
      <c r="T29" s="121" t="n"/>
      <c r="U29" s="122" t="inlineStr">
        <is>
          <r>
            <rPr>
              <rFont val="Calibri"/>
              <sz val="10"/>
            </rPr>
            <t xml:space="preserve">Senior Business Analyst in Technology · iDEAL,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29" s="123"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29"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29"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9" s="124" t="inlineStr">
        <is>
          <t>iDEAL · Technology · Band A · Early career</t>
        </is>
      </c>
      <c r="Z29" s="125" t="n">
        <v>3</v>
      </c>
      <c r="AA29" s="126">
        <f>IFERROR(INDEX(WM_C,MATCH($Y29,WM_KEY,0)),"")</f>
        <v>0.64</v>
      </c>
      <c r="AB29" s="127">
        <f>IF(Z29="","",Z29*AA29)</f>
        <v>1.92</v>
      </c>
      <c r="AC29" s="125" t="n">
        <v>3</v>
      </c>
      <c r="AD29" s="126">
        <f>IFERROR(INDEX(WM_AU,MATCH($Y29,WM_KEY,0)),"")</f>
        <v>0.16</v>
      </c>
      <c r="AE29" s="127">
        <f>IF(AC29="","",AC29*AD29)</f>
        <v>0.48</v>
      </c>
      <c r="AF29" s="125" t="n">
        <v>3.5</v>
      </c>
      <c r="AG29" s="126">
        <f>IFERROR(INDEX(WM_AC,MATCH($Y29,WM_KEY,0)),"")</f>
        <v>0.04</v>
      </c>
      <c r="AH29" s="127">
        <f>IF(AF29="","",AF29*AG29)</f>
        <v>0.14</v>
      </c>
      <c r="AI29" s="125" t="n">
        <v>2</v>
      </c>
      <c r="AJ29" s="126">
        <f>IFERROR(INDEX(WM_L,MATCH($Y29,WM_KEY,0)),"")</f>
        <v>0</v>
      </c>
      <c r="AK29" s="127">
        <f>IF(AI29="","",AI29*AJ29)</f>
        <v>0</v>
      </c>
      <c r="AL29" s="125" t="n">
        <v>4.5</v>
      </c>
      <c r="AM29" s="126">
        <f>IFERROR(INDEX(WM_E,MATCH($Y29,WM_KEY,0)),"")</f>
        <v>0.1</v>
      </c>
      <c r="AN29" s="127">
        <f>IF(AL29="","",AL29*AM29)</f>
        <v>0.45</v>
      </c>
      <c r="AO29" s="128" t="n">
        <v>4</v>
      </c>
      <c r="AP29" s="126">
        <f>IFERROR(INDEX(WM_BI,MATCH($Y29,WM_KEY,0)),"")</f>
        <v>0.06</v>
      </c>
      <c r="AQ29" s="127">
        <f>IF(AO29="","",AO29*AP29)</f>
        <v>0.24</v>
      </c>
      <c r="AR29" s="127">
        <f>IF(COUNT(AB29,AE29,AH29,AK29,AN29,AQ29)&lt;6,"",SUM(AB29,AE29,AH29,AK29,AN29,AQ29))</f>
        <v>3.23</v>
      </c>
      <c r="AS29" s="129" t="str">
        <f>IF(AR29="","",INDEX({"A1","A2","A3","B1","B2","B3","C1","C2","D1","D2","E1","E2"},MAX(1,MIN(12,ROUND(AR29,0)))))</f>
        <v>A3</v>
      </c>
      <c r="AT29"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9" s="131" t="inlineStr">
        <is>
          <r>
            <rPr>
              <rFont val="Calibri"/>
              <b val="1"/>
              <sz val="10"/>
            </rPr>
            <t>At build:</t>
          </r>
          <r>
            <rPr>
              <rFont val="Calibri"/>
              <sz val="10"/>
            </rPr>
            <t xml:space="preserve"> Complexity 1.92 + Autonomy 0.48 + Accountability 0.14 + Leadership 0.00 + Experience 0.45 + Business impact 0.24
= 3.23 points → nearest level 3 = A3
</t>
          </r>
          <r>
            <rPr>
              <rFont val="Calibri"/>
              <b val="1"/>
              <sz val="10"/>
            </rPr>
            <t>Final level:</t>
          </r>
          <r>
            <rPr>
              <rFont val="Calibri"/>
              <sz val="10"/>
            </rPr>
            <t xml:space="preserve"> A3 · same as the score</t>
          </r>
        </is>
      </c>
      <c r="AV29" s="131" t="inlineStr">
        <is>
          <r>
            <rPr>
              <rFont val="Calibri"/>
              <b val="1"/>
              <sz val="10"/>
            </rPr>
            <t>No rule applied:</t>
          </r>
          <r>
            <rPr>
              <rFont val="Calibri"/>
              <sz val="10"/>
            </rPr>
            <t xml:space="preserve"> the score decides.</t>
          </r>
        </is>
      </c>
      <c r="AW29"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Requirement gathering, testing, demos and documentation for RPT; CIMS and EBR support → matches the start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A3 = Varied and non-standard work; handles exceptions</t>
          </r>
        </is>
      </c>
      <c r="AX29"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Coordinates the RPT project and independently validates delivered solution against expected outcome → matches the start
</t>
          </r>
          <r>
            <rPr>
              <rFont val="Calibri"/>
              <b val="1"/>
              <sz val="10"/>
            </rPr>
            <t>Market:</t>
          </r>
          <r>
            <rPr>
              <rFont val="Calibri"/>
              <sz val="10"/>
            </rPr>
            <t xml:space="preserve"> A3 = Technical / QC / client calls on own work</t>
          </r>
        </is>
      </c>
      <c r="AY29" s="133"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States accountability for end-to-end RPT project delivery; manager note says 'contribute' → moved up 0.5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A3 = A module / process, or work with client or regulatory consequences · B1 = A domain or a small team</t>
          </r>
        </is>
      </c>
      <c r="AZ29" s="133"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Coordinates stakeholders and runs RPT demos; no people guidance described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29" s="133" t="inlineStr">
        <is>
          <r>
            <rPr>
              <rFont val="Calibri"/>
              <sz val="10"/>
            </rPr>
            <t xml:space="preserve">Rated 4.5 of 12 · between B1 and B2
</t>
          </r>
          <r>
            <rPr>
              <rFont val="Calibri"/>
              <b val="1"/>
              <sz val="10"/>
            </rPr>
            <t>Experience:</t>
          </r>
          <r>
            <rPr>
              <rFont val="Calibri"/>
              <sz val="10"/>
            </rPr>
            <t xml:space="preserve"> 6.5 yrs total · 4.0 before IRIS + 2.5 at IRIS = 4.5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29" s="133"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29" s="134" t="inlineStr"/>
      <c r="BD29" s="135" t="inlineStr">
        <is>
          <t>✓ HRIS: 6.5 yrs, B.E, 0 direct reports
✓ Survey: 20 of 20 questions answered
✓ KRAs: self, manager-set, quarterly
✓ Manager mapping: rating, potential, 9-box
✗ Job description: not on file</t>
        </is>
      </c>
      <c r="BE29" s="135"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29" s="135" t="inlineStr">
        <is>
          <t>Medium</t>
        </is>
      </c>
      <c r="BG29" s="135" t="inlineStr"/>
      <c r="BH29" s="135" t="inlineStr"/>
      <c r="BI29" s="136" t="n"/>
      <c r="BJ29" s="137" t="n"/>
      <c r="BK29" s="137" t="n"/>
      <c r="BL29" s="137" t="n"/>
      <c r="BM29" s="137" t="n"/>
      <c r="BN29" s="138" t="n"/>
      <c r="BO29" s="121" t="n"/>
      <c r="BP29" s="121" t="n"/>
      <c r="BQ29" s="121" t="n"/>
      <c r="BR29" s="121" t="n"/>
      <c r="BS29" s="121" t="n"/>
      <c r="BT29" s="121" t="n"/>
      <c r="BU29" s="121" t="n"/>
      <c r="BV29" s="121" t="n">
        <v>4</v>
      </c>
    </row>
    <row r="30" ht="340" customHeight="1">
      <c r="A30" s="109" t="inlineStr">
        <is>
          <t>IRIS2536</t>
        </is>
      </c>
      <c r="B30" s="110" t="inlineStr">
        <is>
          <t>Mohin Patel</t>
        </is>
      </c>
      <c r="C30" s="111" t="inlineStr">
        <is>
          <t>Technology</t>
        </is>
      </c>
      <c r="D30" s="111" t="inlineStr">
        <is>
          <t>Aroosa Ghole</t>
        </is>
      </c>
      <c r="E30" s="112" t="n">
        <v>2.7</v>
      </c>
      <c r="F30" s="112" t="n">
        <v>0.3</v>
      </c>
      <c r="G30" s="111" t="inlineStr">
        <is>
          <t>B.E</t>
        </is>
      </c>
      <c r="H30" s="113" t="inlineStr">
        <is>
          <t>Business Analyst</t>
        </is>
      </c>
      <c r="I30" s="114" t="inlineStr">
        <is>
          <t>Senior Business Analyst</t>
        </is>
      </c>
      <c r="J30" s="115" t="inlineStr">
        <is>
          <t>Business Analysis</t>
        </is>
      </c>
      <c r="K30" s="115" t="inlineStr">
        <is>
          <t>Business Analysis</t>
        </is>
      </c>
      <c r="L30" s="114" t="inlineStr">
        <is>
          <t>L3 – Professional / Associate</t>
        </is>
      </c>
      <c r="M30" s="141" t="inlineStr">
        <is>
          <t>A3</t>
        </is>
      </c>
      <c r="N30" s="117" t="inlineStr">
        <is>
          <t>Senior Associate</t>
        </is>
      </c>
      <c r="O30" s="26" t="inlineStr">
        <is>
          <t>A</t>
        </is>
      </c>
      <c r="P30" s="115" t="inlineStr">
        <is>
          <t>IC</t>
        </is>
      </c>
      <c r="Q30" s="142" t="inlineStr">
        <is>
          <t>▲ Up</t>
        </is>
      </c>
      <c r="R30" s="119"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3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Core Contributor.</t>
          </r>
        </is>
      </c>
      <c r="T30" s="121" t="n"/>
      <c r="U30" s="122" t="inlineStr">
        <is>
          <r>
            <rPr>
              <rFont val="Calibri"/>
              <sz val="10"/>
            </rPr>
            <t xml:space="preserve">Senior Business Analyst in Technology · iDEAL,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30" s="123"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30"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30"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0" s="124" t="inlineStr">
        <is>
          <t>iDEAL · Technology · Band A · Early career</t>
        </is>
      </c>
      <c r="Z30" s="125" t="n">
        <v>2.5</v>
      </c>
      <c r="AA30" s="126">
        <f>IFERROR(INDEX(WM_C,MATCH($Y30,WM_KEY,0)),"")</f>
        <v>0.64</v>
      </c>
      <c r="AB30" s="127">
        <f>IF(Z30="","",Z30*AA30)</f>
        <v>1.6</v>
      </c>
      <c r="AC30" s="125" t="n">
        <v>2.5</v>
      </c>
      <c r="AD30" s="126">
        <f>IFERROR(INDEX(WM_AU,MATCH($Y30,WM_KEY,0)),"")</f>
        <v>0.16</v>
      </c>
      <c r="AE30" s="127">
        <f>IF(AC30="","",AC30*AD30)</f>
        <v>0.4</v>
      </c>
      <c r="AF30" s="125" t="n">
        <v>2.5</v>
      </c>
      <c r="AG30" s="126">
        <f>IFERROR(INDEX(WM_AC,MATCH($Y30,WM_KEY,0)),"")</f>
        <v>0.04</v>
      </c>
      <c r="AH30" s="127">
        <f>IF(AF30="","",AF30*AG30)</f>
        <v>0.1</v>
      </c>
      <c r="AI30" s="125" t="n">
        <v>1.5</v>
      </c>
      <c r="AJ30" s="126">
        <f>IFERROR(INDEX(WM_L,MATCH($Y30,WM_KEY,0)),"")</f>
        <v>0</v>
      </c>
      <c r="AK30" s="127">
        <f>IF(AI30="","",AI30*AJ30)</f>
        <v>0</v>
      </c>
      <c r="AL30" s="125" t="n">
        <v>3</v>
      </c>
      <c r="AM30" s="126">
        <f>IFERROR(INDEX(WM_E,MATCH($Y30,WM_KEY,0)),"")</f>
        <v>0.1</v>
      </c>
      <c r="AN30" s="127">
        <f>IF(AL30="","",AL30*AM30)</f>
        <v>0.3</v>
      </c>
      <c r="AO30" s="128" t="n">
        <v>2.5</v>
      </c>
      <c r="AP30" s="126">
        <f>IFERROR(INDEX(WM_BI,MATCH($Y30,WM_KEY,0)),"")</f>
        <v>0.06</v>
      </c>
      <c r="AQ30" s="127">
        <f>IF(AO30="","",AO30*AP30)</f>
        <v>0.15</v>
      </c>
      <c r="AR30" s="127">
        <f>IF(COUNT(AB30,AE30,AH30,AK30,AN30,AQ30)&lt;6,"",SUM(AB30,AE30,AH30,AK30,AN30,AQ30))</f>
        <v>2.55</v>
      </c>
      <c r="AS30" s="129" t="str">
        <f>IF(AR30="","",INDEX({"A1","A2","A3","B1","B2","B3","C1","C2","D1","D2","E1","E2"},MAX(1,MIN(12,ROUND(AR30,0)))))</f>
        <v>A3</v>
      </c>
      <c r="AT30"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0" s="131" t="inlineStr">
        <is>
          <r>
            <rPr>
              <rFont val="Calibri"/>
              <b val="1"/>
              <sz val="10"/>
            </rPr>
            <t>At build:</t>
          </r>
          <r>
            <rPr>
              <rFont val="Calibri"/>
              <sz val="10"/>
            </rPr>
            <t xml:space="preserve"> Complexity 1.60 + Autonomy 0.40 + Accountability 0.10 + Leadership 0.00 + Experience 0.30 + Business impact 0.15
= 2.55 points → nearest level 3 = A3
</t>
          </r>
          <r>
            <rPr>
              <rFont val="Calibri"/>
              <b val="1"/>
              <sz val="10"/>
            </rPr>
            <t>Final level:</t>
          </r>
          <r>
            <rPr>
              <rFont val="Calibri"/>
              <sz val="10"/>
            </rPr>
            <t xml:space="preserve"> A3 · same as the score</t>
          </r>
        </is>
      </c>
      <c r="AV30" s="131" t="inlineStr">
        <is>
          <r>
            <rPr>
              <rFont val="Calibri"/>
              <b val="1"/>
              <sz val="10"/>
            </rPr>
            <t>No rule applied:</t>
          </r>
          <r>
            <rPr>
              <rFont val="Calibri"/>
              <sz val="10"/>
            </rPr>
            <t xml:space="preserve"> the score decides.</t>
          </r>
        </is>
      </c>
      <c r="AW30"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Standard BA tasks: documentation, BRD/FRD, requirement gathering, bank support for report generation → moved down 0.5
</t>
          </r>
          <r>
            <rPr>
              <rFont val="Calibri"/>
              <b val="1"/>
              <sz val="10"/>
            </rPr>
            <t>KRA:</t>
          </r>
          <r>
            <rPr>
              <rFont val="Calibri"/>
              <sz val="10"/>
            </rPr>
            <t xml:space="preserve"> “1. By the end of July 2026, develop an in-depth understanding of the iDEAL product, business processes, and regulatory reporting framework…”
</t>
          </r>
          <r>
            <rPr>
              <rFont val="Calibri"/>
              <b val="1"/>
              <sz val="10"/>
            </rPr>
            <t>Market:</t>
          </r>
          <r>
            <rPr>
              <rFont val="Calibri"/>
              <sz val="10"/>
            </rPr>
            <t xml:space="preserve"> A2 = Standard work of the discipline · A3 = Varied and non-standard work; handles exceptions</t>
          </r>
        </is>
      </c>
      <c r="AX30" s="133"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Only decides 'documentation'; manager note says still gaining independent handling of portfolio → moved down 0.5
</t>
          </r>
          <r>
            <rPr>
              <rFont val="Calibri"/>
              <b val="1"/>
              <sz val="10"/>
            </rPr>
            <t>Market:</t>
          </r>
          <r>
            <rPr>
              <rFont val="Calibri"/>
              <sz val="10"/>
            </rPr>
            <t xml:space="preserve"> A2 = Chooses own approach within standards · A3 = Technical / QC / client calls on own work</t>
          </r>
        </is>
      </c>
      <c r="AY30" s="133"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Accountable for starting documentation and enhancement initiatives; escalation if own work missed → moved down 0.5
</t>
          </r>
          <r>
            <rPr>
              <rFont val="Calibri"/>
              <b val="1"/>
              <sz val="10"/>
            </rPr>
            <t>KRA:</t>
          </r>
          <r>
            <rPr>
              <rFont val="Calibri"/>
              <sz val="10"/>
            </rPr>
            <t xml:space="preserve"> “1. By the end of July 2026, develop an in-depth understanding of the iDEAL product, business processes, and regulatory reporting framework…”
</t>
          </r>
          <r>
            <rPr>
              <rFont val="Calibri"/>
              <b val="1"/>
              <sz val="10"/>
            </rPr>
            <t>Market:</t>
          </r>
          <r>
            <rPr>
              <rFont val="Calibri"/>
              <sz val="10"/>
            </rPr>
            <t xml:space="preserve"> A2 = Own deliverables · accuracy, TAT · A3 = A module / process, or work with client or regulatory consequences</t>
          </r>
        </is>
      </c>
      <c r="AZ30" s="133"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guidance or leadership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30" s="133" t="inlineStr">
        <is>
          <r>
            <rPr>
              <rFont val="Calibri"/>
              <sz val="10"/>
            </rPr>
            <t xml:space="preserve">Rated 3 of 12
</t>
          </r>
          <r>
            <rPr>
              <rFont val="Calibri"/>
              <b val="1"/>
              <sz val="10"/>
            </rPr>
            <t>Experience:</t>
          </r>
          <r>
            <rPr>
              <rFont val="Calibri"/>
              <sz val="10"/>
            </rPr>
            <t xml:space="preserve"> 2.7 yrs total · 2.4 before IRIS + 0.3 at IRIS = 2.9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30" s="133"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30" s="134" t="inlineStr"/>
      <c r="BD30" s="135" t="inlineStr">
        <is>
          <t>✓ HRIS: 2.7 yrs, B.E, 0 direct reports
✓ Survey: 20 of 20 questions answered
✓ KRAs: self, manager-set, quarterly
✓ Manager mapping: rating, potential, 9-box
✗ Job description: not on file</t>
        </is>
      </c>
      <c r="BE30" s="135"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30" s="135" t="inlineStr">
        <is>
          <t>Medium</t>
        </is>
      </c>
      <c r="BG30" s="135" t="inlineStr"/>
      <c r="BH30" s="135" t="inlineStr"/>
      <c r="BI30" s="136" t="n"/>
      <c r="BJ30" s="137" t="n"/>
      <c r="BK30" s="137" t="n"/>
      <c r="BL30" s="137" t="n"/>
      <c r="BM30" s="137" t="n"/>
      <c r="BN30" s="138" t="n"/>
      <c r="BO30" s="121" t="n"/>
      <c r="BP30" s="121" t="n"/>
      <c r="BQ30" s="121" t="n"/>
      <c r="BR30" s="121" t="n"/>
      <c r="BS30" s="121" t="n"/>
      <c r="BT30" s="121" t="n"/>
      <c r="BU30" s="121" t="n"/>
      <c r="BV30" s="121" t="n">
        <v>2.5</v>
      </c>
    </row>
    <row r="31" ht="340" customHeight="1">
      <c r="A31" s="109" t="inlineStr">
        <is>
          <t>IRIS2136</t>
        </is>
      </c>
      <c r="B31" s="110" t="inlineStr">
        <is>
          <t>Neetu Rani Paul</t>
        </is>
      </c>
      <c r="C31" s="111" t="inlineStr">
        <is>
          <t>Technology</t>
        </is>
      </c>
      <c r="D31" s="111" t="inlineStr">
        <is>
          <t>Yuvraj Kharchane</t>
        </is>
      </c>
      <c r="E31" s="112" t="n">
        <v>5.9</v>
      </c>
      <c r="F31" s="112" t="n">
        <v>3.3</v>
      </c>
      <c r="G31" s="111" t="inlineStr">
        <is>
          <t>MA</t>
        </is>
      </c>
      <c r="H31" s="113" t="inlineStr">
        <is>
          <t>Business Analyst</t>
        </is>
      </c>
      <c r="I31" s="114" t="inlineStr">
        <is>
          <t>Senior Business Analyst</t>
        </is>
      </c>
      <c r="J31" s="115" t="inlineStr">
        <is>
          <t>Business Analysis</t>
        </is>
      </c>
      <c r="K31" s="115" t="inlineStr">
        <is>
          <t>Business Analysis</t>
        </is>
      </c>
      <c r="L31" s="114" t="inlineStr">
        <is>
          <t>L3 – Professional / Associate</t>
        </is>
      </c>
      <c r="M31" s="141" t="inlineStr">
        <is>
          <t>A3</t>
        </is>
      </c>
      <c r="N31" s="117" t="inlineStr">
        <is>
          <t>Senior Associate</t>
        </is>
      </c>
      <c r="O31" s="26" t="inlineStr">
        <is>
          <t>A</t>
        </is>
      </c>
      <c r="P31" s="115" t="inlineStr">
        <is>
          <t>IC</t>
        </is>
      </c>
      <c r="Q31" s="142" t="inlineStr">
        <is>
          <t>▲ Up</t>
        </is>
      </c>
      <c r="R31" s="119"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3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Trusted Professional.</t>
          </r>
        </is>
      </c>
      <c r="T31" s="121" t="n"/>
      <c r="U31" s="122" t="inlineStr">
        <is>
          <r>
            <rPr>
              <rFont val="Calibri"/>
              <sz val="10"/>
            </rPr>
            <t xml:space="preserve">Senior Business Analyst in Technology · iDEAL,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31" s="123"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31"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31"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1" s="124" t="inlineStr">
        <is>
          <t>iDEAL · Technology · Band A · Early career</t>
        </is>
      </c>
      <c r="Z31" s="125" t="n">
        <v>3</v>
      </c>
      <c r="AA31" s="126">
        <f>IFERROR(INDEX(WM_C,MATCH($Y31,WM_KEY,0)),"")</f>
        <v>0.64</v>
      </c>
      <c r="AB31" s="127">
        <f>IF(Z31="","",Z31*AA31)</f>
        <v>1.92</v>
      </c>
      <c r="AC31" s="125" t="n">
        <v>3</v>
      </c>
      <c r="AD31" s="126">
        <f>IFERROR(INDEX(WM_AU,MATCH($Y31,WM_KEY,0)),"")</f>
        <v>0.16</v>
      </c>
      <c r="AE31" s="127">
        <f>IF(AC31="","",AC31*AD31)</f>
        <v>0.48</v>
      </c>
      <c r="AF31" s="125" t="n">
        <v>3</v>
      </c>
      <c r="AG31" s="126">
        <f>IFERROR(INDEX(WM_AC,MATCH($Y31,WM_KEY,0)),"")</f>
        <v>0.04</v>
      </c>
      <c r="AH31" s="127">
        <f>IF(AF31="","",AF31*AG31)</f>
        <v>0.12</v>
      </c>
      <c r="AI31" s="125" t="n">
        <v>2</v>
      </c>
      <c r="AJ31" s="126">
        <f>IFERROR(INDEX(WM_L,MATCH($Y31,WM_KEY,0)),"")</f>
        <v>0</v>
      </c>
      <c r="AK31" s="127">
        <f>IF(AI31="","",AI31*AJ31)</f>
        <v>0</v>
      </c>
      <c r="AL31" s="125" t="n">
        <v>4</v>
      </c>
      <c r="AM31" s="126">
        <f>IFERROR(INDEX(WM_E,MATCH($Y31,WM_KEY,0)),"")</f>
        <v>0.1</v>
      </c>
      <c r="AN31" s="127">
        <f>IF(AL31="","",AL31*AM31)</f>
        <v>0.4</v>
      </c>
      <c r="AO31" s="128" t="n">
        <v>3.5</v>
      </c>
      <c r="AP31" s="126">
        <f>IFERROR(INDEX(WM_BI,MATCH($Y31,WM_KEY,0)),"")</f>
        <v>0.06</v>
      </c>
      <c r="AQ31" s="127">
        <f>IF(AO31="","",AO31*AP31)</f>
        <v>0.21</v>
      </c>
      <c r="AR31" s="127">
        <f>IF(COUNT(AB31,AE31,AH31,AK31,AN31,AQ31)&lt;6,"",SUM(AB31,AE31,AH31,AK31,AN31,AQ31))</f>
        <v>3.13</v>
      </c>
      <c r="AS31" s="129" t="str">
        <f>IF(AR31="","",INDEX({"A1","A2","A3","B1","B2","B3","C1","C2","D1","D2","E1","E2"},MAX(1,MIN(12,ROUND(AR31,0)))))</f>
        <v>A3</v>
      </c>
      <c r="AT31"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1" s="131" t="inlineStr">
        <is>
          <r>
            <rPr>
              <rFont val="Calibri"/>
              <b val="1"/>
              <sz val="10"/>
            </rPr>
            <t>At build:</t>
          </r>
          <r>
            <rPr>
              <rFont val="Calibri"/>
              <sz val="10"/>
            </rPr>
            <t xml:space="preserve"> Complexity 1.92 + Autonomy 0.48 + Accountability 0.12 + Leadership 0.00 + Experience 0.40 + Business impact 0.21
= 3.13 points → nearest level 3 = A3
</t>
          </r>
          <r>
            <rPr>
              <rFont val="Calibri"/>
              <b val="1"/>
              <sz val="10"/>
            </rPr>
            <t>Final level:</t>
          </r>
          <r>
            <rPr>
              <rFont val="Calibri"/>
              <sz val="10"/>
            </rPr>
            <t xml:space="preserve"> A3 · same as the score</t>
          </r>
        </is>
      </c>
      <c r="AV31" s="131" t="inlineStr">
        <is>
          <r>
            <rPr>
              <rFont val="Calibri"/>
              <b val="1"/>
              <sz val="10"/>
            </rPr>
            <t>No rule applied:</t>
          </r>
          <r>
            <rPr>
              <rFont val="Calibri"/>
              <sz val="10"/>
            </rPr>
            <t xml:space="preserve"> the score decides.</t>
          </r>
        </is>
      </c>
      <c r="AW31"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Checks feasibility, gives solutions to banks, reads developer code to resolve issues, Excel mapping, deployments → matches the start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A3 = Varied and non-standard work; handles exceptions</t>
          </r>
        </is>
      </c>
      <c r="AX31"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deployment process; assesses feasibility and gives the solution to banks himself → matches the start
</t>
          </r>
          <r>
            <rPr>
              <rFont val="Calibri"/>
              <b val="1"/>
              <sz val="10"/>
            </rPr>
            <t>Market:</t>
          </r>
          <r>
            <rPr>
              <rFont val="Calibri"/>
              <sz val="10"/>
            </rPr>
            <t xml:space="preserve"> A3 = Technical / QC / client calls on own work</t>
          </r>
        </is>
      </c>
      <c r="AY31"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Timely return updates and successful RBI portal submissions for banks; escalation if wrong → matches the start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A3 = A module / process, or work with client or regulatory consequences</t>
          </r>
        </is>
      </c>
      <c r="AZ31" s="133"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Gives KT and handles team coordination; no standing mentoring described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31" s="133" t="inlineStr">
        <is>
          <r>
            <rPr>
              <rFont val="Calibri"/>
              <sz val="10"/>
            </rPr>
            <t xml:space="preserve">Rated 4 of 12
</t>
          </r>
          <r>
            <rPr>
              <rFont val="Calibri"/>
              <b val="1"/>
              <sz val="10"/>
            </rPr>
            <t>Experience:</t>
          </r>
          <r>
            <rPr>
              <rFont val="Calibri"/>
              <sz val="10"/>
            </rPr>
            <t xml:space="preserve"> 5.9 yrs total · 2.6 before IRIS + 3.3 at IRIS = 4.2 on the experience scale
</t>
          </r>
          <r>
            <rPr>
              <rFont val="Calibri"/>
              <b val="1"/>
              <sz val="10"/>
            </rPr>
            <t>Qualification:</t>
          </r>
          <r>
            <rPr>
              <rFont val="Calibri"/>
              <sz val="10"/>
            </rPr>
            <t xml:space="preserve"> MA · postgraduate → no change
</t>
          </r>
          <r>
            <rPr>
              <rFont val="Calibri"/>
              <b val="1"/>
              <sz val="10"/>
            </rPr>
            <t>Market:</t>
          </r>
          <r>
            <rPr>
              <rFont val="Calibri"/>
              <sz val="10"/>
            </rPr>
            <t xml:space="preserve"> A3 roles typically have 2–5 yrs · IRIS guide 2–4</t>
          </r>
        </is>
      </c>
      <c r="BB31" s="133"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31" s="134" t="inlineStr"/>
      <c r="BD31" s="135" t="inlineStr">
        <is>
          <t>✓ HRIS: 5.9 yrs, MA, 0 direct reports
✓ Survey: 20 of 20 questions answered
✓ KRAs: self, manager-set, quarterly
✓ Manager mapping: rating, potential, 9-box
✗ Job description: not on file</t>
        </is>
      </c>
      <c r="BE31" s="135"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31" s="135" t="inlineStr">
        <is>
          <t>High</t>
        </is>
      </c>
      <c r="BG31" s="135" t="inlineStr"/>
      <c r="BH31" s="135" t="inlineStr"/>
      <c r="BI31" s="136" t="n"/>
      <c r="BJ31" s="137" t="n"/>
      <c r="BK31" s="137" t="n"/>
      <c r="BL31" s="137" t="n"/>
      <c r="BM31" s="137" t="n"/>
      <c r="BN31" s="138" t="n"/>
      <c r="BO31" s="121" t="n"/>
      <c r="BP31" s="121" t="n"/>
      <c r="BQ31" s="121" t="n"/>
      <c r="BR31" s="121" t="n"/>
      <c r="BS31" s="121" t="n"/>
      <c r="BT31" s="121" t="n"/>
      <c r="BU31" s="121" t="n"/>
      <c r="BV31" s="121" t="n">
        <v>3.5</v>
      </c>
    </row>
    <row r="32" ht="340" customHeight="1">
      <c r="A32" s="109" t="inlineStr">
        <is>
          <t>IRIS2142</t>
        </is>
      </c>
      <c r="B32" s="110" t="inlineStr">
        <is>
          <t>Nilam Anandrao Kadam</t>
        </is>
      </c>
      <c r="C32" s="111" t="inlineStr">
        <is>
          <t>Technology</t>
        </is>
      </c>
      <c r="D32" s="111" t="inlineStr">
        <is>
          <t>Dnyaneshwar Daund</t>
        </is>
      </c>
      <c r="E32" s="112" t="n">
        <v>5.9</v>
      </c>
      <c r="F32" s="112" t="n">
        <v>3.3</v>
      </c>
      <c r="G32" s="111" t="inlineStr">
        <is>
          <t>MBA</t>
        </is>
      </c>
      <c r="H32" s="113" t="inlineStr">
        <is>
          <t>Business Analyst</t>
        </is>
      </c>
      <c r="I32" s="114" t="inlineStr">
        <is>
          <t>Senior Business Analyst</t>
        </is>
      </c>
      <c r="J32" s="115" t="inlineStr">
        <is>
          <t>Business Analysis</t>
        </is>
      </c>
      <c r="K32" s="115" t="inlineStr">
        <is>
          <t>Business Analysis</t>
        </is>
      </c>
      <c r="L32" s="114" t="inlineStr">
        <is>
          <t>L3 – Professional / Associate</t>
        </is>
      </c>
      <c r="M32" s="141" t="inlineStr">
        <is>
          <t>A3</t>
        </is>
      </c>
      <c r="N32" s="117" t="inlineStr">
        <is>
          <t>Senior Associate</t>
        </is>
      </c>
      <c r="O32" s="26" t="inlineStr">
        <is>
          <t>A</t>
        </is>
      </c>
      <c r="P32" s="115" t="inlineStr">
        <is>
          <t>IC</t>
        </is>
      </c>
      <c r="Q32" s="142" t="inlineStr">
        <is>
          <t>▲ Up</t>
        </is>
      </c>
      <c r="R32" s="119"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3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Trusted Professional.</t>
          </r>
        </is>
      </c>
      <c r="T32" s="121" t="n"/>
      <c r="U32" s="122" t="inlineStr">
        <is>
          <r>
            <rPr>
              <rFont val="Calibri"/>
              <sz val="10"/>
            </rPr>
            <t xml:space="preserve">Senior Business Analyst in Technology · iDEAL,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32" s="123"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32"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32"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2" s="124" t="inlineStr">
        <is>
          <t>iDEAL · Technology · Band A · Early career</t>
        </is>
      </c>
      <c r="Z32" s="125" t="n">
        <v>3</v>
      </c>
      <c r="AA32" s="126">
        <f>IFERROR(INDEX(WM_C,MATCH($Y32,WM_KEY,0)),"")</f>
        <v>0.64</v>
      </c>
      <c r="AB32" s="127">
        <f>IF(Z32="","",Z32*AA32)</f>
        <v>1.92</v>
      </c>
      <c r="AC32" s="125" t="n">
        <v>2.5</v>
      </c>
      <c r="AD32" s="126">
        <f>IFERROR(INDEX(WM_AU,MATCH($Y32,WM_KEY,0)),"")</f>
        <v>0.16</v>
      </c>
      <c r="AE32" s="127">
        <f>IF(AC32="","",AC32*AD32)</f>
        <v>0.4</v>
      </c>
      <c r="AF32" s="125" t="n">
        <v>3</v>
      </c>
      <c r="AG32" s="126">
        <f>IFERROR(INDEX(WM_AC,MATCH($Y32,WM_KEY,0)),"")</f>
        <v>0.04</v>
      </c>
      <c r="AH32" s="127">
        <f>IF(AF32="","",AF32*AG32)</f>
        <v>0.12</v>
      </c>
      <c r="AI32" s="125" t="n">
        <v>1.5</v>
      </c>
      <c r="AJ32" s="126">
        <f>IFERROR(INDEX(WM_L,MATCH($Y32,WM_KEY,0)),"")</f>
        <v>0</v>
      </c>
      <c r="AK32" s="127">
        <f>IF(AI32="","",AI32*AJ32)</f>
        <v>0</v>
      </c>
      <c r="AL32" s="125" t="n">
        <v>4</v>
      </c>
      <c r="AM32" s="126">
        <f>IFERROR(INDEX(WM_E,MATCH($Y32,WM_KEY,0)),"")</f>
        <v>0.1</v>
      </c>
      <c r="AN32" s="127">
        <f>IF(AL32="","",AL32*AM32)</f>
        <v>0.4</v>
      </c>
      <c r="AO32" s="128" t="n">
        <v>3.5</v>
      </c>
      <c r="AP32" s="126">
        <f>IFERROR(INDEX(WM_BI,MATCH($Y32,WM_KEY,0)),"")</f>
        <v>0.06</v>
      </c>
      <c r="AQ32" s="127">
        <f>IF(AO32="","",AO32*AP32)</f>
        <v>0.21</v>
      </c>
      <c r="AR32" s="127">
        <f>IF(COUNT(AB32,AE32,AH32,AK32,AN32,AQ32)&lt;6,"",SUM(AB32,AE32,AH32,AK32,AN32,AQ32))</f>
        <v>3.05</v>
      </c>
      <c r="AS32" s="129" t="str">
        <f>IF(AR32="","",INDEX({"A1","A2","A3","B1","B2","B3","C1","C2","D1","D2","E1","E2"},MAX(1,MIN(12,ROUND(AR32,0)))))</f>
        <v>A3</v>
      </c>
      <c r="AT32"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2" s="131" t="inlineStr">
        <is>
          <r>
            <rPr>
              <rFont val="Calibri"/>
              <b val="1"/>
              <sz val="10"/>
            </rPr>
            <t>At build:</t>
          </r>
          <r>
            <rPr>
              <rFont val="Calibri"/>
              <sz val="10"/>
            </rPr>
            <t xml:space="preserve"> Complexity 1.92 + Autonomy 0.40 + Accountability 0.12 + Leadership 0.00 + Experience 0.40 + Business impact 0.21
= 3.05 points → nearest level 3 = A3
</t>
          </r>
          <r>
            <rPr>
              <rFont val="Calibri"/>
              <b val="1"/>
              <sz val="10"/>
            </rPr>
            <t>Final level:</t>
          </r>
          <r>
            <rPr>
              <rFont val="Calibri"/>
              <sz val="10"/>
            </rPr>
            <t xml:space="preserve"> A3 · same as the score</t>
          </r>
        </is>
      </c>
      <c r="AV32" s="131" t="inlineStr">
        <is>
          <r>
            <rPr>
              <rFont val="Calibri"/>
              <b val="1"/>
              <sz val="10"/>
            </rPr>
            <t>No rule applied:</t>
          </r>
          <r>
            <rPr>
              <rFont val="Calibri"/>
              <sz val="10"/>
            </rPr>
            <t xml:space="preserve"> the score decides.</t>
          </r>
        </is>
      </c>
      <c r="AW32"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Manager note only: tracks, analyses and delivers EBA taxonomy changes; UAT and production deployments for banks → matches the start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A3 = Varied and non-standard work; handles exceptions</t>
          </r>
        </is>
      </c>
      <c r="AX32" s="133"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No survey; note shows query handling and follow-ups within set timelines, no stated authority → moved down 0.5
</t>
          </r>
          <r>
            <rPr>
              <rFont val="Calibri"/>
              <b val="1"/>
              <sz val="10"/>
            </rPr>
            <t>Market:</t>
          </r>
          <r>
            <rPr>
              <rFont val="Calibri"/>
              <sz val="10"/>
            </rPr>
            <t xml:space="preserve"> A2 = Chooses own approach within standards · A3 = Technical / QC / client calls on own work</t>
          </r>
        </is>
      </c>
      <c r="AY32"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Note: assigned portfolio of banks, report/taxonomy updates delivered before filing dates → matches the start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A3 = A module / process, or work with client or regulatory consequences</t>
          </r>
        </is>
      </c>
      <c r="AZ32" s="133"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survey answers; manager note describes no guidance of others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32" s="133" t="inlineStr">
        <is>
          <r>
            <rPr>
              <rFont val="Calibri"/>
              <sz val="10"/>
            </rPr>
            <t xml:space="preserve">Rated 4 of 12
</t>
          </r>
          <r>
            <rPr>
              <rFont val="Calibri"/>
              <b val="1"/>
              <sz val="10"/>
            </rPr>
            <t>Experience:</t>
          </r>
          <r>
            <rPr>
              <rFont val="Calibri"/>
              <sz val="10"/>
            </rPr>
            <t xml:space="preserve"> 5.9 yrs total · 2.6 before IRIS + 3.3 at IRIS = 4.2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A3 roles typically have 2–5 yrs · IRIS guide 2–4</t>
          </r>
        </is>
      </c>
      <c r="BB32" s="133"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32" s="134" t="inlineStr"/>
      <c r="BD32" s="135" t="inlineStr">
        <is>
          <t>✓ HRIS: 5.9 yrs, MBA, 0 direct reports
✗ Survey: no response
✓ KRAs: self, manager-set, quarterly
✓ Manager mapping: rating, potential, 9-box
✗ Job description: not on file</t>
        </is>
      </c>
      <c r="BE32" s="135"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32" s="135" t="inlineStr">
        <is>
          <t>Medium</t>
        </is>
      </c>
      <c r="BG32" s="135" t="inlineStr"/>
      <c r="BH32" s="135" t="inlineStr"/>
      <c r="BI32" s="136" t="n"/>
      <c r="BJ32" s="137" t="n"/>
      <c r="BK32" s="137" t="n"/>
      <c r="BL32" s="137" t="n"/>
      <c r="BM32" s="137" t="n"/>
      <c r="BN32" s="138" t="n"/>
      <c r="BO32" s="121" t="n"/>
      <c r="BP32" s="121" t="n"/>
      <c r="BQ32" s="121" t="n"/>
      <c r="BR32" s="121" t="n"/>
      <c r="BS32" s="121" t="n"/>
      <c r="BT32" s="121" t="n"/>
      <c r="BU32" s="121" t="n"/>
      <c r="BV32" s="121" t="n">
        <v>3.5</v>
      </c>
    </row>
    <row r="33" ht="340" customHeight="1">
      <c r="A33" s="109" t="inlineStr">
        <is>
          <t>IRIS2066</t>
        </is>
      </c>
      <c r="B33" s="110" t="inlineStr">
        <is>
          <t>Shivani Mishra</t>
        </is>
      </c>
      <c r="C33" s="111" t="inlineStr">
        <is>
          <t>Technology</t>
        </is>
      </c>
      <c r="D33" s="111" t="inlineStr">
        <is>
          <t>Yuvraj Kharchane</t>
        </is>
      </c>
      <c r="E33" s="112" t="n">
        <v>7.5</v>
      </c>
      <c r="F33" s="112" t="n">
        <v>4</v>
      </c>
      <c r="G33" s="111" t="inlineStr">
        <is>
          <t>M.Com</t>
        </is>
      </c>
      <c r="H33" s="113" t="inlineStr">
        <is>
          <t>Business Analyst</t>
        </is>
      </c>
      <c r="I33" s="114" t="inlineStr">
        <is>
          <t>Senior Business Analyst</t>
        </is>
      </c>
      <c r="J33" s="115" t="inlineStr">
        <is>
          <t>Business Analysis</t>
        </is>
      </c>
      <c r="K33" s="115" t="inlineStr">
        <is>
          <t>Business Analysis</t>
        </is>
      </c>
      <c r="L33" s="114" t="inlineStr">
        <is>
          <t>L3 – Professional / Associate</t>
        </is>
      </c>
      <c r="M33" s="141" t="inlineStr">
        <is>
          <t>A3</t>
        </is>
      </c>
      <c r="N33" s="117" t="inlineStr">
        <is>
          <t>Senior Associate</t>
        </is>
      </c>
      <c r="O33" s="26" t="inlineStr">
        <is>
          <t>A</t>
        </is>
      </c>
      <c r="P33" s="115" t="inlineStr">
        <is>
          <t>IC</t>
        </is>
      </c>
      <c r="Q33" s="142" t="inlineStr">
        <is>
          <t>▲ Up</t>
        </is>
      </c>
      <c r="R33" s="119"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33"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Trusted Professional.</t>
          </r>
        </is>
      </c>
      <c r="T33" s="121" t="n"/>
      <c r="U33" s="122" t="inlineStr">
        <is>
          <r>
            <rPr>
              <rFont val="Calibri"/>
              <sz val="10"/>
            </rPr>
            <t xml:space="preserve">Senior Business Analyst in Technology · iDEAL,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33" s="123"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33"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33"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3" s="124" t="inlineStr">
        <is>
          <t>iDEAL · Technology · Band A · Early career</t>
        </is>
      </c>
      <c r="Z33" s="125" t="n">
        <v>3</v>
      </c>
      <c r="AA33" s="126">
        <f>IFERROR(INDEX(WM_C,MATCH($Y33,WM_KEY,0)),"")</f>
        <v>0.64</v>
      </c>
      <c r="AB33" s="127">
        <f>IF(Z33="","",Z33*AA33)</f>
        <v>1.92</v>
      </c>
      <c r="AC33" s="125" t="n">
        <v>2.5</v>
      </c>
      <c r="AD33" s="126">
        <f>IFERROR(INDEX(WM_AU,MATCH($Y33,WM_KEY,0)),"")</f>
        <v>0.16</v>
      </c>
      <c r="AE33" s="127">
        <f>IF(AC33="","",AC33*AD33)</f>
        <v>0.4</v>
      </c>
      <c r="AF33" s="125" t="n">
        <v>3</v>
      </c>
      <c r="AG33" s="126">
        <f>IFERROR(INDEX(WM_AC,MATCH($Y33,WM_KEY,0)),"")</f>
        <v>0.04</v>
      </c>
      <c r="AH33" s="127">
        <f>IF(AF33="","",AF33*AG33)</f>
        <v>0.12</v>
      </c>
      <c r="AI33" s="125" t="n">
        <v>1.5</v>
      </c>
      <c r="AJ33" s="126">
        <f>IFERROR(INDEX(WM_L,MATCH($Y33,WM_KEY,0)),"")</f>
        <v>0</v>
      </c>
      <c r="AK33" s="127">
        <f>IF(AI33="","",AI33*AJ33)</f>
        <v>0</v>
      </c>
      <c r="AL33" s="125" t="n">
        <v>5</v>
      </c>
      <c r="AM33" s="126">
        <f>IFERROR(INDEX(WM_E,MATCH($Y33,WM_KEY,0)),"")</f>
        <v>0.1</v>
      </c>
      <c r="AN33" s="127">
        <f>IF(AL33="","",AL33*AM33)</f>
        <v>0.5</v>
      </c>
      <c r="AO33" s="128" t="n">
        <v>3.5</v>
      </c>
      <c r="AP33" s="126">
        <f>IFERROR(INDEX(WM_BI,MATCH($Y33,WM_KEY,0)),"")</f>
        <v>0.06</v>
      </c>
      <c r="AQ33" s="127">
        <f>IF(AO33="","",AO33*AP33)</f>
        <v>0.21</v>
      </c>
      <c r="AR33" s="127">
        <f>IF(COUNT(AB33,AE33,AH33,AK33,AN33,AQ33)&lt;6,"",SUM(AB33,AE33,AH33,AK33,AN33,AQ33))</f>
        <v>3.15</v>
      </c>
      <c r="AS33" s="129" t="str">
        <f>IF(AR33="","",INDEX({"A1","A2","A3","B1","B2","B3","C1","C2","D1","D2","E1","E2"},MAX(1,MIN(12,ROUND(AR33,0)))))</f>
        <v>A3</v>
      </c>
      <c r="AT33"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3" s="131" t="inlineStr">
        <is>
          <r>
            <rPr>
              <rFont val="Calibri"/>
              <b val="1"/>
              <sz val="10"/>
            </rPr>
            <t>At build:</t>
          </r>
          <r>
            <rPr>
              <rFont val="Calibri"/>
              <sz val="10"/>
            </rPr>
            <t xml:space="preserve"> Complexity 1.92 + Autonomy 0.40 + Accountability 0.12 + Leadership 0.00 + Experience 0.50 + Business impact 0.21
= 3.15 points → nearest level 3 = A3
</t>
          </r>
          <r>
            <rPr>
              <rFont val="Calibri"/>
              <b val="1"/>
              <sz val="10"/>
            </rPr>
            <t>Final level:</t>
          </r>
          <r>
            <rPr>
              <rFont val="Calibri"/>
              <sz val="10"/>
            </rPr>
            <t xml:space="preserve"> A3 · same as the score</t>
          </r>
        </is>
      </c>
      <c r="AV33" s="131" t="inlineStr">
        <is>
          <r>
            <rPr>
              <rFont val="Calibri"/>
              <b val="1"/>
              <sz val="10"/>
            </rPr>
            <t>No rule applied:</t>
          </r>
          <r>
            <rPr>
              <rFont val="Calibri"/>
              <sz val="10"/>
            </rPr>
            <t xml:space="preserve"> the score decides.</t>
          </r>
        </is>
      </c>
      <c r="AW33"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Manager note only: tracks, analyses and delivers EBA taxonomy changes; UAT and production deployments for banks → matches the start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A3 = Varied and non-standard work; handles exceptions</t>
          </r>
        </is>
      </c>
      <c r="AX33" s="133"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No survey; note shows query handling and follow-ups within set timelines, no stated authority → moved down 0.5
</t>
          </r>
          <r>
            <rPr>
              <rFont val="Calibri"/>
              <b val="1"/>
              <sz val="10"/>
            </rPr>
            <t>Market:</t>
          </r>
          <r>
            <rPr>
              <rFont val="Calibri"/>
              <sz val="10"/>
            </rPr>
            <t xml:space="preserve"> A2 = Chooses own approach within standards · A3 = Technical / QC / client calls on own work</t>
          </r>
        </is>
      </c>
      <c r="AY33"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Note: assigned portfolio of banks, report/taxonomy updates delivered before filing dates → matches the start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A3 = A module / process, or work with client or regulatory consequences</t>
          </r>
        </is>
      </c>
      <c r="AZ33" s="133"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survey answers; manager note describes no guidance of others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33" s="133" t="inlineStr">
        <is>
          <r>
            <rPr>
              <rFont val="Calibri"/>
              <sz val="10"/>
            </rPr>
            <t xml:space="preserve">Rated 5 of 12
</t>
          </r>
          <r>
            <rPr>
              <rFont val="Calibri"/>
              <b val="1"/>
              <sz val="10"/>
            </rPr>
            <t>Experience:</t>
          </r>
          <r>
            <rPr>
              <rFont val="Calibri"/>
              <sz val="10"/>
            </rPr>
            <t xml:space="preserve"> 7.5 yrs total · 3.5 before IRIS + 4.0 at IRIS = 5.0 on the experience scale
</t>
          </r>
          <r>
            <rPr>
              <rFont val="Calibri"/>
              <b val="1"/>
              <sz val="10"/>
            </rPr>
            <t>Qualification:</t>
          </r>
          <r>
            <rPr>
              <rFont val="Calibri"/>
              <sz val="10"/>
            </rPr>
            <t xml:space="preserve"> M.Com · postgraduate → no change
</t>
          </r>
          <r>
            <rPr>
              <rFont val="Calibri"/>
              <b val="1"/>
              <sz val="10"/>
            </rPr>
            <t>Market:</t>
          </r>
          <r>
            <rPr>
              <rFont val="Calibri"/>
              <sz val="10"/>
            </rPr>
            <t xml:space="preserve"> A3 roles typically have 2–5 yrs · IRIS guide 2–4</t>
          </r>
        </is>
      </c>
      <c r="BB33" s="133"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33" s="134" t="inlineStr"/>
      <c r="BD33" s="135" t="inlineStr">
        <is>
          <t>✓ HRIS: 7.5 yrs, M.Com, 0 direct reports
✗ Survey: no response
✓ KRAs: self, manager-set, quarterly
✓ Manager mapping: rating, potential, 9-box
✗ Job description: not on file</t>
        </is>
      </c>
      <c r="BE33" s="135"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33" s="135" t="inlineStr">
        <is>
          <t>Medium</t>
        </is>
      </c>
      <c r="BG33" s="135" t="inlineStr">
        <is>
          <t>• 7.5 yrs of experience in a role that reads as Band A work — a career-path question for the manager: can the role be widened · Specialist, B1 or is it correctly sized?</t>
        </is>
      </c>
      <c r="BH33" s="135" t="inlineStr"/>
      <c r="BI33" s="136" t="n"/>
      <c r="BJ33" s="137" t="n"/>
      <c r="BK33" s="137" t="n"/>
      <c r="BL33" s="137" t="n"/>
      <c r="BM33" s="137" t="n"/>
      <c r="BN33" s="138" t="n"/>
      <c r="BO33" s="121" t="n"/>
      <c r="BP33" s="121" t="n"/>
      <c r="BQ33" s="121" t="n"/>
      <c r="BR33" s="121" t="n"/>
      <c r="BS33" s="121" t="n"/>
      <c r="BT33" s="121" t="n"/>
      <c r="BU33" s="121" t="n"/>
      <c r="BV33" s="121" t="n">
        <v>3.5</v>
      </c>
    </row>
    <row r="34" ht="340" customHeight="1">
      <c r="A34" s="109" t="inlineStr">
        <is>
          <t>IRIS2067</t>
        </is>
      </c>
      <c r="B34" s="110" t="inlineStr">
        <is>
          <t>Silky Agarwal</t>
        </is>
      </c>
      <c r="C34" s="111" t="inlineStr">
        <is>
          <t>Technology</t>
        </is>
      </c>
      <c r="D34" s="111" t="inlineStr">
        <is>
          <t>Dnyaneshwar Daund</t>
        </is>
      </c>
      <c r="E34" s="112" t="n">
        <v>4.3</v>
      </c>
      <c r="F34" s="112" t="n">
        <v>4</v>
      </c>
      <c r="G34" s="111" t="inlineStr">
        <is>
          <t>MBA</t>
        </is>
      </c>
      <c r="H34" s="113" t="inlineStr">
        <is>
          <t>Business Analyst</t>
        </is>
      </c>
      <c r="I34" s="114" t="inlineStr">
        <is>
          <t>Senior Business Analyst</t>
        </is>
      </c>
      <c r="J34" s="115" t="inlineStr">
        <is>
          <t>Business Analysis</t>
        </is>
      </c>
      <c r="K34" s="115" t="inlineStr">
        <is>
          <t>Business Analysis</t>
        </is>
      </c>
      <c r="L34" s="114" t="inlineStr">
        <is>
          <t>L3 – Professional / Associate</t>
        </is>
      </c>
      <c r="M34" s="141" t="inlineStr">
        <is>
          <t>A3</t>
        </is>
      </c>
      <c r="N34" s="117" t="inlineStr">
        <is>
          <t>Senior Associate</t>
        </is>
      </c>
      <c r="O34" s="26" t="inlineStr">
        <is>
          <t>A</t>
        </is>
      </c>
      <c r="P34" s="115" t="inlineStr">
        <is>
          <t>IC</t>
        </is>
      </c>
      <c r="Q34" s="142" t="inlineStr">
        <is>
          <t>▲ Up</t>
        </is>
      </c>
      <c r="R34" s="119"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34"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Emerging Talent.</t>
          </r>
        </is>
      </c>
      <c r="T34" s="121" t="n"/>
      <c r="U34" s="122" t="inlineStr">
        <is>
          <r>
            <rPr>
              <rFont val="Calibri"/>
              <sz val="10"/>
            </rPr>
            <t xml:space="preserve">Senior Business Analyst in Technology · iDEAL,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34" s="123"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34"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34"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4" s="124" t="inlineStr">
        <is>
          <t>iDEAL · Technology · Band A · Early career</t>
        </is>
      </c>
      <c r="Z34" s="125" t="n">
        <v>3</v>
      </c>
      <c r="AA34" s="126">
        <f>IFERROR(INDEX(WM_C,MATCH($Y34,WM_KEY,0)),"")</f>
        <v>0.64</v>
      </c>
      <c r="AB34" s="127">
        <f>IF(Z34="","",Z34*AA34)</f>
        <v>1.92</v>
      </c>
      <c r="AC34" s="125" t="n">
        <v>3</v>
      </c>
      <c r="AD34" s="126">
        <f>IFERROR(INDEX(WM_AU,MATCH($Y34,WM_KEY,0)),"")</f>
        <v>0.16</v>
      </c>
      <c r="AE34" s="127">
        <f>IF(AC34="","",AC34*AD34)</f>
        <v>0.48</v>
      </c>
      <c r="AF34" s="125" t="n">
        <v>3</v>
      </c>
      <c r="AG34" s="126">
        <f>IFERROR(INDEX(WM_AC,MATCH($Y34,WM_KEY,0)),"")</f>
        <v>0.04</v>
      </c>
      <c r="AH34" s="127">
        <f>IF(AF34="","",AF34*AG34)</f>
        <v>0.12</v>
      </c>
      <c r="AI34" s="125" t="n">
        <v>2</v>
      </c>
      <c r="AJ34" s="126">
        <f>IFERROR(INDEX(WM_L,MATCH($Y34,WM_KEY,0)),"")</f>
        <v>0</v>
      </c>
      <c r="AK34" s="127">
        <f>IF(AI34="","",AI34*AJ34)</f>
        <v>0</v>
      </c>
      <c r="AL34" s="125" t="n">
        <v>3.5</v>
      </c>
      <c r="AM34" s="126">
        <f>IFERROR(INDEX(WM_E,MATCH($Y34,WM_KEY,0)),"")</f>
        <v>0.1</v>
      </c>
      <c r="AN34" s="127">
        <f>IF(AL34="","",AL34*AM34)</f>
        <v>0.35</v>
      </c>
      <c r="AO34" s="128" t="n">
        <v>3.5</v>
      </c>
      <c r="AP34" s="126">
        <f>IFERROR(INDEX(WM_BI,MATCH($Y34,WM_KEY,0)),"")</f>
        <v>0.06</v>
      </c>
      <c r="AQ34" s="127">
        <f>IF(AO34="","",AO34*AP34)</f>
        <v>0.21</v>
      </c>
      <c r="AR34" s="127">
        <f>IF(COUNT(AB34,AE34,AH34,AK34,AN34,AQ34)&lt;6,"",SUM(AB34,AE34,AH34,AK34,AN34,AQ34))</f>
        <v>3.08</v>
      </c>
      <c r="AS34" s="129" t="str">
        <f>IF(AR34="","",INDEX({"A1","A2","A3","B1","B2","B3","C1","C2","D1","D2","E1","E2"},MAX(1,MIN(12,ROUND(AR34,0)))))</f>
        <v>A3</v>
      </c>
      <c r="AT34"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4" s="131" t="inlineStr">
        <is>
          <r>
            <rPr>
              <rFont val="Calibri"/>
              <b val="1"/>
              <sz val="10"/>
            </rPr>
            <t>At build:</t>
          </r>
          <r>
            <rPr>
              <rFont val="Calibri"/>
              <sz val="10"/>
            </rPr>
            <t xml:space="preserve"> Complexity 1.92 + Autonomy 0.48 + Accountability 0.12 + Leadership 0.00 + Experience 0.35 + Business impact 0.21
= 3.08 points → nearest level 3 = A3
</t>
          </r>
          <r>
            <rPr>
              <rFont val="Calibri"/>
              <b val="1"/>
              <sz val="10"/>
            </rPr>
            <t>Final level:</t>
          </r>
          <r>
            <rPr>
              <rFont val="Calibri"/>
              <sz val="10"/>
            </rPr>
            <t xml:space="preserve"> A3 · same as the score</t>
          </r>
        </is>
      </c>
      <c r="AV34" s="131" t="inlineStr">
        <is>
          <r>
            <rPr>
              <rFont val="Calibri"/>
              <b val="1"/>
              <sz val="10"/>
            </rPr>
            <t>No rule applied:</t>
          </r>
          <r>
            <rPr>
              <rFont val="Calibri"/>
              <sz val="10"/>
            </rPr>
            <t xml:space="preserve"> the score decides.</t>
          </r>
        </is>
      </c>
      <c r="AW34"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12 colleagues in the same role and department · own answers too general to rate → no change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A3 = Varied and non-standard work; handles exceptions</t>
          </r>
        </is>
      </c>
      <c r="AX34"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12 colleagues in the same role and department · own answers too general to rate → no change
</t>
          </r>
          <r>
            <rPr>
              <rFont val="Calibri"/>
              <b val="1"/>
              <sz val="10"/>
            </rPr>
            <t>Market:</t>
          </r>
          <r>
            <rPr>
              <rFont val="Calibri"/>
              <sz val="10"/>
            </rPr>
            <t xml:space="preserve"> A3 = Technical / QC / client calls on own work</t>
          </r>
        </is>
      </c>
      <c r="AY34"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12 colleagues in the same role and department · own answers too general to rate → no change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A3 = A module / process, or work with client or regulatory consequences</t>
          </r>
        </is>
      </c>
      <c r="AZ34" s="133"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t>
          </r>
          <r>
            <rPr>
              <rFont val="Calibri"/>
              <sz val="10"/>
            </rPr>
            <t xml:space="preserve"> rated like 12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34" s="133" t="inlineStr">
        <is>
          <r>
            <rPr>
              <rFont val="Calibri"/>
              <sz val="10"/>
            </rPr>
            <t xml:space="preserve">Rated 3.5 of 12 · between A3 and B1
</t>
          </r>
          <r>
            <rPr>
              <rFont val="Calibri"/>
              <b val="1"/>
              <sz val="10"/>
            </rPr>
            <t>Experience:</t>
          </r>
          <r>
            <rPr>
              <rFont val="Calibri"/>
              <sz val="10"/>
            </rPr>
            <t xml:space="preserve"> 4.3 yrs total · 0.3 before IRIS + 4.0 at IRIS = 3.5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A3 roles typically have 2–5 yrs · IRIS guide 2–4</t>
          </r>
        </is>
      </c>
      <c r="BB34" s="133"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34" s="134" t="inlineStr"/>
      <c r="BD34" s="135" t="inlineStr">
        <is>
          <t>✓ HRIS: 4.3 yrs, MBA, 0 direct reports
✓ Survey: 20 of 20 questions answered
✓ KRAs: self, manager-set, quarterly
✓ Manager mapping: rating, potential, 9-box
✗ Job description: not on file</t>
        </is>
      </c>
      <c r="BE34" s="135"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34" s="135" t="inlineStr">
        <is>
          <t>Low</t>
        </is>
      </c>
      <c r="BG34" s="135" t="inlineStr">
        <is>
          <t>• Survey answers are generic or do not match the role — not used as evidence; manager input needed</t>
        </is>
      </c>
      <c r="BH34" s="135" t="inlineStr"/>
      <c r="BI34" s="136" t="n"/>
      <c r="BJ34" s="137" t="n"/>
      <c r="BK34" s="137" t="n"/>
      <c r="BL34" s="137" t="n"/>
      <c r="BM34" s="137" t="n"/>
      <c r="BN34" s="138" t="n"/>
      <c r="BO34" s="121" t="n"/>
      <c r="BP34" s="121" t="n"/>
      <c r="BQ34" s="121" t="n"/>
      <c r="BR34" s="121" t="n"/>
      <c r="BS34" s="121" t="n"/>
      <c r="BT34" s="121" t="n"/>
      <c r="BU34" s="121" t="n"/>
      <c r="BV34" s="121" t="n">
        <v>3.5</v>
      </c>
    </row>
    <row r="35" ht="340" customHeight="1">
      <c r="A35" s="109" t="inlineStr">
        <is>
          <t>IRIS2466</t>
        </is>
      </c>
      <c r="B35" s="110" t="inlineStr">
        <is>
          <t>Vidyasagar Reddy</t>
        </is>
      </c>
      <c r="C35" s="111" t="inlineStr">
        <is>
          <t>Technology</t>
        </is>
      </c>
      <c r="D35" s="111" t="inlineStr">
        <is>
          <t>Dnyaneshwar Daund</t>
        </is>
      </c>
      <c r="E35" s="112" t="n">
        <v>2.2</v>
      </c>
      <c r="F35" s="112" t="n">
        <v>0.7</v>
      </c>
      <c r="G35" s="111" t="inlineStr">
        <is>
          <t>B.Tech</t>
        </is>
      </c>
      <c r="H35" s="113" t="inlineStr">
        <is>
          <t>Business Analyst</t>
        </is>
      </c>
      <c r="I35" s="114" t="inlineStr">
        <is>
          <t>Senior Business Analyst</t>
        </is>
      </c>
      <c r="J35" s="115" t="inlineStr">
        <is>
          <t>Business Analysis</t>
        </is>
      </c>
      <c r="K35" s="115" t="inlineStr">
        <is>
          <t>Business Analysis</t>
        </is>
      </c>
      <c r="L35" s="114" t="inlineStr">
        <is>
          <t>L3 – Professional / Associate</t>
        </is>
      </c>
      <c r="M35" s="141" t="inlineStr">
        <is>
          <t>A3</t>
        </is>
      </c>
      <c r="N35" s="117" t="inlineStr">
        <is>
          <t>Senior Associate</t>
        </is>
      </c>
      <c r="O35" s="26" t="inlineStr">
        <is>
          <t>A</t>
        </is>
      </c>
      <c r="P35" s="115" t="inlineStr">
        <is>
          <t>IC</t>
        </is>
      </c>
      <c r="Q35" s="142" t="inlineStr">
        <is>
          <t>▲ Up</t>
        </is>
      </c>
      <c r="R35" s="119"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35"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Emerging Talent.</t>
          </r>
        </is>
      </c>
      <c r="T35" s="121" t="n"/>
      <c r="U35" s="122" t="inlineStr">
        <is>
          <r>
            <rPr>
              <rFont val="Calibri"/>
              <sz val="10"/>
            </rPr>
            <t xml:space="preserve">Senior Business Analyst in Technology · iDEAL,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35" s="123"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35"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35"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5" s="124" t="inlineStr">
        <is>
          <t>iDEAL · Technology · Band A · Early career</t>
        </is>
      </c>
      <c r="Z35" s="125" t="n">
        <v>3</v>
      </c>
      <c r="AA35" s="126">
        <f>IFERROR(INDEX(WM_C,MATCH($Y35,WM_KEY,0)),"")</f>
        <v>0.64</v>
      </c>
      <c r="AB35" s="127">
        <f>IF(Z35="","",Z35*AA35)</f>
        <v>1.92</v>
      </c>
      <c r="AC35" s="125" t="n">
        <v>2.5</v>
      </c>
      <c r="AD35" s="126">
        <f>IFERROR(INDEX(WM_AU,MATCH($Y35,WM_KEY,0)),"")</f>
        <v>0.16</v>
      </c>
      <c r="AE35" s="127">
        <f>IF(AC35="","",AC35*AD35)</f>
        <v>0.4</v>
      </c>
      <c r="AF35" s="125" t="n">
        <v>3</v>
      </c>
      <c r="AG35" s="126">
        <f>IFERROR(INDEX(WM_AC,MATCH($Y35,WM_KEY,0)),"")</f>
        <v>0.04</v>
      </c>
      <c r="AH35" s="127">
        <f>IF(AF35="","",AF35*AG35)</f>
        <v>0.12</v>
      </c>
      <c r="AI35" s="125" t="n">
        <v>2</v>
      </c>
      <c r="AJ35" s="126">
        <f>IFERROR(INDEX(WM_L,MATCH($Y35,WM_KEY,0)),"")</f>
        <v>0</v>
      </c>
      <c r="AK35" s="127">
        <f>IF(AI35="","",AI35*AJ35)</f>
        <v>0</v>
      </c>
      <c r="AL35" s="125" t="n">
        <v>2.5</v>
      </c>
      <c r="AM35" s="126">
        <f>IFERROR(INDEX(WM_E,MATCH($Y35,WM_KEY,0)),"")</f>
        <v>0.1</v>
      </c>
      <c r="AN35" s="127">
        <f>IF(AL35="","",AL35*AM35)</f>
        <v>0.25</v>
      </c>
      <c r="AO35" s="128" t="n">
        <v>3</v>
      </c>
      <c r="AP35" s="126">
        <f>IFERROR(INDEX(WM_BI,MATCH($Y35,WM_KEY,0)),"")</f>
        <v>0.06</v>
      </c>
      <c r="AQ35" s="127">
        <f>IF(AO35="","",AO35*AP35)</f>
        <v>0.18</v>
      </c>
      <c r="AR35" s="127">
        <f>IF(COUNT(AB35,AE35,AH35,AK35,AN35,AQ35)&lt;6,"",SUM(AB35,AE35,AH35,AK35,AN35,AQ35))</f>
        <v>2.87</v>
      </c>
      <c r="AS35" s="129" t="str">
        <f>IF(AR35="","",INDEX({"A1","A2","A3","B1","B2","B3","C1","C2","D1","D2","E1","E2"},MAX(1,MIN(12,ROUND(AR35,0)))))</f>
        <v>A3</v>
      </c>
      <c r="AT35"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5" s="131" t="inlineStr">
        <is>
          <r>
            <rPr>
              <rFont val="Calibri"/>
              <b val="1"/>
              <sz val="10"/>
            </rPr>
            <t>At build:</t>
          </r>
          <r>
            <rPr>
              <rFont val="Calibri"/>
              <sz val="10"/>
            </rPr>
            <t xml:space="preserve"> Complexity 1.92 + Autonomy 0.40 + Accountability 0.12 + Leadership 0.00 + Experience 0.25 + Business impact 0.18
= 2.87 points → nearest level 3 = A3
</t>
          </r>
          <r>
            <rPr>
              <rFont val="Calibri"/>
              <b val="1"/>
              <sz val="10"/>
            </rPr>
            <t>Final level:</t>
          </r>
          <r>
            <rPr>
              <rFont val="Calibri"/>
              <sz val="10"/>
            </rPr>
            <t xml:space="preserve"> A3 · same as the score</t>
          </r>
        </is>
      </c>
      <c r="AV35" s="131" t="inlineStr">
        <is>
          <r>
            <rPr>
              <rFont val="Calibri"/>
              <b val="1"/>
              <sz val="10"/>
            </rPr>
            <t>No rule applied:</t>
          </r>
          <r>
            <rPr>
              <rFont val="Calibri"/>
              <sz val="10"/>
            </rPr>
            <t xml:space="preserve"> the score decides.</t>
          </r>
        </is>
      </c>
      <c r="AW35"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Requirement gathering, wireframe design, proposes solution designs, part scrum-master duties, client support → matches the start
</t>
          </r>
          <r>
            <rPr>
              <rFont val="Calibri"/>
              <b val="1"/>
              <sz val="10"/>
            </rPr>
            <t>KRA:</t>
          </r>
          <r>
            <rPr>
              <rFont val="Calibri"/>
              <sz val="10"/>
            </rPr>
            <t xml:space="preserve"> “1. By the end of July 2026, develop an in-depth understanding of the iDEAL product, business processes, and regulatory reporting framework…”
</t>
          </r>
          <r>
            <rPr>
              <rFont val="Calibri"/>
              <b val="1"/>
              <sz val="10"/>
            </rPr>
            <t>Market:</t>
          </r>
          <r>
            <rPr>
              <rFont val="Calibri"/>
              <sz val="10"/>
            </rPr>
            <t xml:space="preserve"> A3 = Varied and non-standard work; handles exceptions</t>
          </r>
        </is>
      </c>
      <c r="AX35" s="133"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only on proposing innovative product ideas; note targets working with minimal supervision → moved down 0.5
</t>
          </r>
          <r>
            <rPr>
              <rFont val="Calibri"/>
              <b val="1"/>
              <sz val="10"/>
            </rPr>
            <t>Market:</t>
          </r>
          <r>
            <rPr>
              <rFont val="Calibri"/>
              <sz val="10"/>
            </rPr>
            <t xml:space="preserve"> A2 = Chooses own approach within standards · A3 = Technical / QC / client calls on own work</t>
          </r>
        </is>
      </c>
      <c r="AY35"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Answers for zero production issues for clients and feasibility of solutions he proposes → matches the start
</t>
          </r>
          <r>
            <rPr>
              <rFont val="Calibri"/>
              <b val="1"/>
              <sz val="10"/>
            </rPr>
            <t>KRA:</t>
          </r>
          <r>
            <rPr>
              <rFont val="Calibri"/>
              <sz val="10"/>
            </rPr>
            <t xml:space="preserve"> “1. By the end of July 2026, develop an in-depth understanding of the iDEAL product, business processes, and regulatory reporting framework…”
</t>
          </r>
          <r>
            <rPr>
              <rFont val="Calibri"/>
              <b val="1"/>
              <sz val="10"/>
            </rPr>
            <t>Market:</t>
          </r>
          <r>
            <rPr>
              <rFont val="Calibri"/>
              <sz val="10"/>
            </rPr>
            <t xml:space="preserve"> A3 = A module / process, or work with client or regulatory consequences</t>
          </r>
        </is>
      </c>
      <c r="AZ35" s="133"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Performs scrum master responsibilities 'a bit'; explains requirements to developers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35" s="133" t="inlineStr">
        <is>
          <r>
            <rPr>
              <rFont val="Calibri"/>
              <sz val="10"/>
            </rPr>
            <t xml:space="preserve">Rated 2.5 of 12 · between A2 and A3
</t>
          </r>
          <r>
            <rPr>
              <rFont val="Calibri"/>
              <b val="1"/>
              <sz val="10"/>
            </rPr>
            <t>Experience:</t>
          </r>
          <r>
            <rPr>
              <rFont val="Calibri"/>
              <sz val="10"/>
            </rPr>
            <t xml:space="preserve"> 2.2 yrs total · 1.5 before IRIS + 0.7 at IRIS = 2.6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35" s="133"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35" s="134" t="inlineStr"/>
      <c r="BD35" s="135" t="inlineStr">
        <is>
          <t>✓ HRIS: 2.2 yrs, B.Tech, 0 direct reports
✓ Survey: 19 of 20 questions answered
✓ KRAs: self, manager-set, quarterly
✓ Manager mapping: rating, potential, 9-box
✗ Job description: not on file</t>
        </is>
      </c>
      <c r="BE35" s="135"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35" s="135" t="inlineStr">
        <is>
          <t>High</t>
        </is>
      </c>
      <c r="BG35" s="135" t="inlineStr"/>
      <c r="BH35" s="135" t="inlineStr"/>
      <c r="BI35" s="136" t="n"/>
      <c r="BJ35" s="137" t="n"/>
      <c r="BK35" s="137" t="n"/>
      <c r="BL35" s="137" t="n"/>
      <c r="BM35" s="137" t="n"/>
      <c r="BN35" s="138" t="n"/>
      <c r="BO35" s="121" t="n"/>
      <c r="BP35" s="121" t="n"/>
      <c r="BQ35" s="121" t="n"/>
      <c r="BR35" s="121" t="n"/>
      <c r="BS35" s="121" t="n"/>
      <c r="BT35" s="121" t="n"/>
      <c r="BU35" s="121" t="n"/>
      <c r="BV35" s="121" t="n">
        <v>3</v>
      </c>
    </row>
    <row r="36" ht="340" customHeight="1">
      <c r="A36" s="109" t="inlineStr">
        <is>
          <t>IRIS2310</t>
        </is>
      </c>
      <c r="B36" s="110" t="inlineStr">
        <is>
          <t>Vivek Kumar</t>
        </is>
      </c>
      <c r="C36" s="111" t="inlineStr">
        <is>
          <t>Technology</t>
        </is>
      </c>
      <c r="D36" s="111" t="inlineStr">
        <is>
          <t>Aroosa Ghole</t>
        </is>
      </c>
      <c r="E36" s="112" t="n">
        <v>3.1</v>
      </c>
      <c r="F36" s="112" t="n">
        <v>2</v>
      </c>
      <c r="G36" s="111" t="inlineStr">
        <is>
          <t>BBA</t>
        </is>
      </c>
      <c r="H36" s="113" t="inlineStr">
        <is>
          <t>Trainee Business Analyst</t>
        </is>
      </c>
      <c r="I36" s="114" t="inlineStr">
        <is>
          <t>Senior Business Analyst</t>
        </is>
      </c>
      <c r="J36" s="115" t="inlineStr">
        <is>
          <t>Business Analysis</t>
        </is>
      </c>
      <c r="K36" s="115" t="inlineStr">
        <is>
          <t>Business Analysis</t>
        </is>
      </c>
      <c r="L36" s="114" t="inlineStr">
        <is>
          <t>L2 – Trainee</t>
        </is>
      </c>
      <c r="M36" s="141" t="inlineStr">
        <is>
          <t>A3</t>
        </is>
      </c>
      <c r="N36" s="117" t="inlineStr">
        <is>
          <t>Senior Associate</t>
        </is>
      </c>
      <c r="O36" s="26" t="inlineStr">
        <is>
          <t>A</t>
        </is>
      </c>
      <c r="P36" s="115" t="inlineStr">
        <is>
          <t>IC</t>
        </is>
      </c>
      <c r="Q36" s="142" t="inlineStr">
        <is>
          <t>▲ Up</t>
        </is>
      </c>
      <c r="R36" s="119" t="inlineStr">
        <is>
          <r>
            <rPr>
              <rFont val="Calibri"/>
              <b val="1"/>
              <sz val="10"/>
            </rPr>
            <t>WHAT THE ROLE DOES:</t>
          </r>
          <r>
            <rPr>
              <rFont val="Calibri"/>
              <sz val="10"/>
            </rPr>
            <t xml:space="preserve"> 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product · client · requirement · process · business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requirements · accountable · delivery · quality · documentation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documentation · prioritize · user stories · process · project
</t>
          </r>
          <r>
            <rPr>
              <rFont val="Calibri"/>
              <b val="1"/>
              <sz val="10"/>
            </rPr>
            <t>SKILLS &amp; KNOWLEDGE · role-holders:</t>
          </r>
          <r>
            <rPr>
              <rFont val="Calibri"/>
              <sz val="10"/>
            </rPr>
            <t xml:space="preserve"> Business Analysis · Documentation · Stakeholder management · Requirement analysis · communication · Communication skills
</t>
          </r>
          <r>
            <rPr>
              <rFont val="Calibri"/>
              <b val="1"/>
              <sz val="10"/>
            </rPr>
            <t>TOOLS &amp; SYSTEMS:</t>
          </r>
          <r>
            <rPr>
              <rFont val="Calibri"/>
              <sz val="10"/>
            </rPr>
            <t xml:space="preserve"> Excel · Figma · Claude · QuickScrum · Jira · Confluence · Word · Excel word
</t>
          </r>
          <r>
            <rPr>
              <rFont val="Calibri"/>
              <b val="1"/>
              <sz val="10"/>
            </rPr>
            <t>MANAGER-SET KRAs:</t>
          </r>
          <r>
            <rPr>
              <rFont val="Calibri"/>
              <sz val="10"/>
            </rPr>
            <t xml:space="preserve"> Common themes in manager-set KRAs: delivery · assigned · uat · project · requests · satisfaction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16 holders, 14 answered the survey; sub-family 27 answered; catalogue RC-009</t>
          </r>
        </is>
      </c>
      <c r="S3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client.
</t>
          </r>
          <r>
            <rPr>
              <rFont val="Calibri"/>
              <b val="1"/>
              <sz val="10"/>
            </rPr>
            <t>Measured on · manager-set KRA themes:</t>
          </r>
          <r>
            <rPr>
              <rFont val="Calibri"/>
              <sz val="10"/>
            </rPr>
            <t xml:space="preserve"> delivery · assigned · project · requests · satisfaction.
Manager talent mapping — Latest rating: 3 · Potential: Medium · 9-Box Grid placement: Emerging Talent.</t>
          </r>
        </is>
      </c>
      <c r="T36" s="121" t="n"/>
      <c r="U36" s="122" t="inlineStr">
        <is>
          <r>
            <rPr>
              <rFont val="Calibri"/>
              <sz val="10"/>
            </rPr>
            <t xml:space="preserve">Senior Business Analyst in Technology · iDEAL, A3 — IC.
</t>
          </r>
          <r>
            <rPr>
              <rFont val="Calibri"/>
              <b val="1"/>
              <sz val="10"/>
            </rPr>
            <t>The work:</t>
          </r>
          <r>
            <rPr>
              <rFont val="Calibri"/>
              <sz val="10"/>
            </rPr>
            <t xml:space="preserve"> Gathers and documents requirements · BRD/FRD/SRS/user stories, configures solutions and supports UAT and releases.
At this level the role owns varied work; reviews juniors; go-to for a process.
</t>
          </r>
          <r>
            <rPr>
              <rFont val="Calibri"/>
              <b val="1"/>
              <sz val="10"/>
            </rPr>
            <t>Key responsibilities:</t>
          </r>
          <r>
            <rPr>
              <rFont val="Calibri"/>
              <sz val="10"/>
            </rPr>
            <t xml:space="preserve"> Gathers and documents requirements · BRD/FRD/SRS/user stories, configures solutions and supports UAT and releases; Varied and non-standard work; handles exceptions; A module / process, or work with client or regulatory consequences.
</t>
          </r>
          <r>
            <rPr>
              <rFont val="Calibri"/>
              <b val="1"/>
              <sz val="10"/>
            </rPr>
            <t>Holders describe it with:</t>
          </r>
          <r>
            <rPr>
              <rFont val="Calibri"/>
              <sz val="10"/>
            </rPr>
            <t xml:space="preserve"> documentation · requirement · client · gathering · coordination · managing.</t>
          </r>
        </is>
      </c>
      <c r="V36" s="123" t="inlineStr">
        <is>
          <r>
            <rPr>
              <rFont val="Calibri"/>
              <b val="1"/>
              <sz val="10"/>
            </rPr>
            <t>Hire as:</t>
          </r>
          <r>
            <rPr>
              <rFont val="Calibri"/>
              <sz val="10"/>
            </rPr>
            <t xml:space="preserve"> Business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Commerce or engineering graduate; MBA a plus
</t>
          </r>
          <r>
            <rPr>
              <rFont val="Calibri"/>
              <b val="1"/>
              <sz val="10"/>
            </rPr>
            <t>Equivalent titles at peers:</t>
          </r>
          <r>
            <rPr>
              <rFont val="Calibri"/>
              <sz val="10"/>
            </rPr>
            <t xml:space="preserve"> Regnology — regulatory reporting – Junior BA · Reg Reporting · Big Four consulting – Consultant · IRIS Vs Market Benchmark — IIBA certification pathway – ECBA · Infosys / Accenture – JL3A · L10 Senior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36"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Stakeholder management · Requirement analysis · communication · Communication skills
</t>
          </r>
          <r>
            <rPr>
              <rFont val="Calibri"/>
              <b val="1"/>
              <sz val="10"/>
            </rPr>
            <t>TOOLS:</t>
          </r>
          <r>
            <rPr>
              <rFont val="Calibri"/>
              <sz val="10"/>
            </rPr>
            <t xml:space="preserve"> Excel · Figma · Claude · QuickScrum · Jira · Confluence · Word · Excel word
★ = must-have for the family. Scale: 1 Awareness · 2 Working · 3 Practitioner · 4 Advanced · 5 Expert.</t>
          </r>
        </is>
      </c>
      <c r="X36"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6" s="124" t="inlineStr">
        <is>
          <t>iDEAL · Technology · Band A · Early career</t>
        </is>
      </c>
      <c r="Z36" s="125" t="n">
        <v>2</v>
      </c>
      <c r="AA36" s="126">
        <f>IFERROR(INDEX(WM_C,MATCH($Y36,WM_KEY,0)),"")</f>
        <v>0.64</v>
      </c>
      <c r="AB36" s="127">
        <f>IF(Z36="","",Z36*AA36)</f>
        <v>1.28</v>
      </c>
      <c r="AC36" s="125" t="n">
        <v>2</v>
      </c>
      <c r="AD36" s="126">
        <f>IFERROR(INDEX(WM_AU,MATCH($Y36,WM_KEY,0)),"")</f>
        <v>0.16</v>
      </c>
      <c r="AE36" s="127">
        <f>IF(AC36="","",AC36*AD36)</f>
        <v>0.32</v>
      </c>
      <c r="AF36" s="125" t="n">
        <v>2</v>
      </c>
      <c r="AG36" s="126">
        <f>IFERROR(INDEX(WM_AC,MATCH($Y36,WM_KEY,0)),"")</f>
        <v>0.04</v>
      </c>
      <c r="AH36" s="127">
        <f>IF(AF36="","",AF36*AG36)</f>
        <v>0.08</v>
      </c>
      <c r="AI36" s="125" t="n">
        <v>1.5</v>
      </c>
      <c r="AJ36" s="126">
        <f>IFERROR(INDEX(WM_L,MATCH($Y36,WM_KEY,0)),"")</f>
        <v>0</v>
      </c>
      <c r="AK36" s="127">
        <f>IF(AI36="","",AI36*AJ36)</f>
        <v>0</v>
      </c>
      <c r="AL36" s="125" t="n">
        <v>3</v>
      </c>
      <c r="AM36" s="126">
        <f>IFERROR(INDEX(WM_E,MATCH($Y36,WM_KEY,0)),"")</f>
        <v>0.1</v>
      </c>
      <c r="AN36" s="127">
        <f>IF(AL36="","",AL36*AM36)</f>
        <v>0.3</v>
      </c>
      <c r="AO36" s="128" t="n">
        <v>2</v>
      </c>
      <c r="AP36" s="126">
        <f>IFERROR(INDEX(WM_BI,MATCH($Y36,WM_KEY,0)),"")</f>
        <v>0.06</v>
      </c>
      <c r="AQ36" s="127">
        <f>IF(AO36="","",AO36*AP36)</f>
        <v>0.12</v>
      </c>
      <c r="AR36" s="127">
        <f>IF(COUNT(AB36,AE36,AH36,AK36,AN36,AQ36)&lt;6,"",SUM(AB36,AE36,AH36,AK36,AN36,AQ36))</f>
        <v>2.1</v>
      </c>
      <c r="AS36" s="129" t="str">
        <f>IF(AR36="","",INDEX({"A1","A2","A3","B1","B2","B3","C1","C2","D1","D2","E1","E2"},MAX(1,MIN(12,ROUND(AR36,0)))))</f>
        <v>A2</v>
      </c>
      <c r="AT36"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6" s="131" t="inlineStr">
        <is>
          <r>
            <rPr>
              <rFont val="Calibri"/>
              <b val="1"/>
              <sz val="10"/>
            </rPr>
            <t>At build:</t>
          </r>
          <r>
            <rPr>
              <rFont val="Calibri"/>
              <sz val="10"/>
            </rPr>
            <t xml:space="preserve"> Complexity 1.28 + Autonomy 0.32 + Accountability 0.08 + Leadership 0.00 + Experience 0.30 + Business impact 0.12
= 2.10 points → nearest level 2 = A2
</t>
          </r>
          <r>
            <rPr>
              <rFont val="Calibri"/>
              <b val="1"/>
              <sz val="10"/>
            </rPr>
            <t>Final level:</t>
          </r>
          <r>
            <rPr>
              <rFont val="Calibri"/>
              <sz val="10"/>
            </rPr>
            <t xml:space="preserve"> A3 · a rule applied: see the next column</t>
          </r>
        </is>
      </c>
      <c r="AV36" s="131" t="inlineStr">
        <is>
          <r>
            <rPr>
              <rFont val="Calibri"/>
              <sz val="10"/>
            </rPr>
            <t xml:space="preserve">• </t>
          </r>
          <r>
            <rPr>
              <rFont val="Calibri"/>
              <b val="1"/>
              <sz val="10"/>
            </rPr>
            <t>Raised to A3:</t>
          </r>
          <r>
            <rPr>
              <rFont val="Calibri"/>
              <sz val="10"/>
            </rPr>
            <t xml:space="preserve"> 3.1 years' experience is 2 years or more.
</t>
          </r>
          <r>
            <rPr>
              <rFont val="Calibri"/>
              <b val="1"/>
              <sz val="10"/>
            </rPr>
            <t>Final level:</t>
          </r>
          <r>
            <rPr>
              <rFont val="Calibri"/>
              <sz val="10"/>
            </rPr>
            <t xml:space="preserve"> A3.</t>
          </r>
        </is>
      </c>
      <c r="AW36" s="132" t="inlineStr">
        <is>
          <r>
            <rPr>
              <rFont val="Calibri"/>
              <sz val="10"/>
            </rPr>
            <t xml:space="preserve">Rated 2 of 12
</t>
          </r>
          <r>
            <rPr>
              <rFont val="Calibri"/>
              <b val="1"/>
              <sz val="10"/>
            </rPr>
            <t>Start:</t>
          </r>
          <r>
            <rPr>
              <rFont val="Calibri"/>
              <sz val="10"/>
            </rPr>
            <t xml:space="preserve"> 1.0 · trainee / intern title
</t>
          </r>
          <r>
            <rPr>
              <rFont val="Calibri"/>
              <b val="1"/>
              <sz val="10"/>
            </rPr>
            <t>Evidence reads like A3:</t>
          </r>
          <r>
            <rPr>
              <rFont val="Calibri"/>
              <sz val="10"/>
            </rPr>
            <t xml:space="preserve"> Resolves bank queries, errors and deployments across 10+ banks; documents requirements; CIC automation → moved up 1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A2 = Standard work of the discipline</t>
          </r>
        </is>
      </c>
      <c r="AX36" s="133" t="inlineStr">
        <is>
          <r>
            <rPr>
              <rFont val="Calibri"/>
              <sz val="10"/>
            </rPr>
            <t xml:space="preserve">Rated 2 of 12
</t>
          </r>
          <r>
            <rPr>
              <rFont val="Calibri"/>
              <b val="1"/>
              <sz val="10"/>
            </rPr>
            <t>Start:</t>
          </r>
          <r>
            <rPr>
              <rFont val="Calibri"/>
              <sz val="10"/>
            </rPr>
            <t xml:space="preserve"> 1.0 · trainee / intern title
</t>
          </r>
          <r>
            <rPr>
              <rFont val="Calibri"/>
              <b val="1"/>
              <sz val="10"/>
            </rPr>
            <t>Evidence reads like A3:</t>
          </r>
          <r>
            <rPr>
              <rFont val="Calibri"/>
              <sz val="10"/>
            </rPr>
            <t xml:space="preserve"> Runs daily support calls and requirement understanding with banks as their SPOC → moved up 1
</t>
          </r>
          <r>
            <rPr>
              <rFont val="Calibri"/>
              <b val="1"/>
              <sz val="10"/>
            </rPr>
            <t>Market:</t>
          </r>
          <r>
            <rPr>
              <rFont val="Calibri"/>
              <sz val="10"/>
            </rPr>
            <t xml:space="preserve"> A2 = Chooses own approach within standards</t>
          </r>
        </is>
      </c>
      <c r="AY36" s="133" t="inlineStr">
        <is>
          <r>
            <rPr>
              <rFont val="Calibri"/>
              <sz val="10"/>
            </rPr>
            <t xml:space="preserve">Rated 2 of 12
</t>
          </r>
          <r>
            <rPr>
              <rFont val="Calibri"/>
              <b val="1"/>
              <sz val="10"/>
            </rPr>
            <t>Start:</t>
          </r>
          <r>
            <rPr>
              <rFont val="Calibri"/>
              <sz val="10"/>
            </rPr>
            <t xml:space="preserve"> 1.0 · trainee / intern title
</t>
          </r>
          <r>
            <rPr>
              <rFont val="Calibri"/>
              <b val="1"/>
              <sz val="10"/>
            </rPr>
            <t>Evidence reads like A3:</t>
          </r>
          <r>
            <rPr>
              <rFont val="Calibri"/>
              <sz val="10"/>
            </rPr>
            <t xml:space="preserve"> SPOC for 10+ banks; checks changes on client servers; clears escalations → moved up 1
</t>
          </r>
          <r>
            <rPr>
              <rFont val="Calibri"/>
              <b val="1"/>
              <sz val="10"/>
            </rPr>
            <t>KRA:</t>
          </r>
          <r>
            <rPr>
              <rFont val="Calibri"/>
              <sz val="10"/>
            </rPr>
            <t xml:space="preserve"> “1. Effectively manage the assigned portfolio of banks and maintain high customer satisfaction, with a target of zero critical client…”
</t>
          </r>
          <r>
            <rPr>
              <rFont val="Calibri"/>
              <b val="1"/>
              <sz val="10"/>
            </rPr>
            <t>Market:</t>
          </r>
          <r>
            <rPr>
              <rFont val="Calibri"/>
              <sz val="10"/>
            </rPr>
            <t xml:space="preserve"> A2 = Own deliverables · accuracy, TAT</t>
          </r>
        </is>
      </c>
      <c r="AZ36" s="133"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Lists 'helping others'; no standing guidance role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36" s="133" t="inlineStr">
        <is>
          <r>
            <rPr>
              <rFont val="Calibri"/>
              <sz val="10"/>
            </rPr>
            <t xml:space="preserve">Rated 3 of 12
</t>
          </r>
          <r>
            <rPr>
              <rFont val="Calibri"/>
              <b val="1"/>
              <sz val="10"/>
            </rPr>
            <t>Experience:</t>
          </r>
          <r>
            <rPr>
              <rFont val="Calibri"/>
              <sz val="10"/>
            </rPr>
            <t xml:space="preserve"> 3.1 yrs total · 1.1 before IRIS + 2.0 at IRIS = 3.0 on the experience scale
</t>
          </r>
          <r>
            <rPr>
              <rFont val="Calibri"/>
              <b val="1"/>
              <sz val="10"/>
            </rPr>
            <t>Qualification:</t>
          </r>
          <r>
            <rPr>
              <rFont val="Calibri"/>
              <sz val="10"/>
            </rPr>
            <t xml:space="preserve"> BBA · graduate → no change
</t>
          </r>
          <r>
            <rPr>
              <rFont val="Calibri"/>
              <b val="1"/>
              <sz val="10"/>
            </rPr>
            <t>Market:</t>
          </r>
          <r>
            <rPr>
              <rFont val="Calibri"/>
              <sz val="10"/>
            </rPr>
            <t xml:space="preserve"> A3 roles typically have 2–5 yrs · IRIS guide 2–4</t>
          </r>
        </is>
      </c>
      <c r="BB36" s="133"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36" s="134" t="inlineStr"/>
      <c r="BD36" s="135" t="inlineStr">
        <is>
          <t>✓ HRIS: 3.1 yrs, BBA, 0 direct reports
✓ Survey: 20 of 20 questions answered
✓ KRAs: self, manager-set, quarterly
✓ Manager mapping: rating, potential, 9-box
✗ Job description: not on file</t>
        </is>
      </c>
      <c r="BE36" s="135" t="inlineStr">
        <is>
          <r>
            <rPr>
              <rFont val="Calibri"/>
              <b val="1"/>
              <sz val="10"/>
            </rPr>
            <t>Market level:</t>
          </r>
          <r>
            <rPr>
              <rFont val="Calibri"/>
              <sz val="10"/>
            </rPr>
            <t xml:space="preserve"> P2 · SFIA 3 Apply
</t>
          </r>
          <r>
            <rPr>
              <rFont val="Calibri"/>
              <b val="1"/>
              <sz val="10"/>
            </rPr>
            <t>Typical title:</t>
          </r>
          <r>
            <rPr>
              <rFont val="Calibri"/>
              <sz val="10"/>
            </rPr>
            <t xml:space="preserve"> Business Analyst
</t>
          </r>
          <r>
            <rPr>
              <rFont val="Calibri"/>
              <b val="1"/>
              <sz val="10"/>
            </rPr>
            <t>At peers:</t>
          </r>
          <r>
            <rPr>
              <rFont val="Calibri"/>
              <sz val="10"/>
            </rPr>
            <t xml:space="preserve"> Regnology — regulatory reporting – Junior BA · Reg Reporting · Big Four consulting – Consultant · IRIS Vs Market Benchmark — IIBA certification pathway: ECBA
</t>
          </r>
          <r>
            <rPr>
              <rFont val="Calibri"/>
              <b val="1"/>
              <sz val="10"/>
            </rPr>
            <t>Typical experience:</t>
          </r>
          <r>
            <rPr>
              <rFont val="Calibri"/>
              <sz val="10"/>
            </rPr>
            <t xml:space="preserve"> 2–5 yrs · IRIS guide 2–4
</t>
          </r>
          <r>
            <rPr>
              <rFont val="Calibri"/>
              <b val="1"/>
              <sz val="10"/>
            </rPr>
            <t>Standard:</t>
          </r>
          <r>
            <rPr>
              <rFont val="Calibri"/>
              <sz val="10"/>
            </rPr>
            <t xml:space="preserve"> IIBA BABOK v3; certifications ECBA → CCBA → CBAP</t>
          </r>
        </is>
      </c>
      <c r="BF36" s="135" t="inlineStr">
        <is>
          <t>Medium</t>
        </is>
      </c>
      <c r="BG36" s="135" t="inlineStr">
        <is>
          <t>• Work described is bigger than the current designation suggests — manager to confirm the actual role
• Designation still says Trainee though experience is past the first year — confirm confirmation status / title</t>
        </is>
      </c>
      <c r="BH36" s="135" t="inlineStr"/>
      <c r="BI36" s="136" t="n"/>
      <c r="BJ36" s="137" t="n"/>
      <c r="BK36" s="137" t="n"/>
      <c r="BL36" s="137" t="n"/>
      <c r="BM36" s="137" t="n"/>
      <c r="BN36" s="138" t="n"/>
      <c r="BO36" s="121" t="n"/>
      <c r="BP36" s="121" t="n"/>
      <c r="BQ36" s="121" t="n"/>
      <c r="BR36" s="121" t="n"/>
      <c r="BS36" s="121" t="n"/>
      <c r="BT36" s="121" t="n"/>
      <c r="BU36" s="121" t="n"/>
      <c r="BV36" s="121" t="n">
        <v>2</v>
      </c>
    </row>
    <row r="37" ht="340" customHeight="1">
      <c r="A37" s="109" t="inlineStr">
        <is>
          <t>IRIS2555</t>
        </is>
      </c>
      <c r="B37" s="110" t="inlineStr">
        <is>
          <t>Nidhi Kulkarni</t>
        </is>
      </c>
      <c r="C37" s="111" t="inlineStr">
        <is>
          <t>Technology</t>
        </is>
      </c>
      <c r="D37" s="111" t="inlineStr">
        <is>
          <t>Aroosa Ghole</t>
        </is>
      </c>
      <c r="E37" s="148" t="inlineStr">
        <is>
          <t>Not provided · HRIS</t>
        </is>
      </c>
      <c r="F37" s="112" t="n">
        <v>0.1</v>
      </c>
      <c r="G37" s="111" t="inlineStr">
        <is>
          <t>B.E</t>
        </is>
      </c>
      <c r="H37" s="113" t="inlineStr">
        <is>
          <t>Technical Support Analyst</t>
        </is>
      </c>
      <c r="I37" s="114" t="inlineStr">
        <is>
          <t>Senior Support Executive</t>
        </is>
      </c>
      <c r="J37" s="115" t="inlineStr">
        <is>
          <t>Customer Success &amp; Support</t>
        </is>
      </c>
      <c r="K37" s="115" t="inlineStr">
        <is>
          <t>Application &amp; Product Support</t>
        </is>
      </c>
      <c r="L37" s="114" t="inlineStr">
        <is>
          <t>Not in current mapping files</t>
        </is>
      </c>
      <c r="M37" s="141" t="inlineStr">
        <is>
          <t>A3</t>
        </is>
      </c>
      <c r="N37" s="117" t="inlineStr">
        <is>
          <t>Senior Associate</t>
        </is>
      </c>
      <c r="O37" s="26" t="inlineStr">
        <is>
          <t>A</t>
        </is>
      </c>
      <c r="P37" s="115" t="inlineStr">
        <is>
          <t>IC</t>
        </is>
      </c>
      <c r="Q37" s="143" t="inlineStr">
        <is>
          <t>● Newly mapped</t>
        </is>
      </c>
      <c r="R37" s="119"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3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work only this person does: yes; successor named: no.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Not rated · manager · 9-Box Grid placement: Not placed · manager.</t>
          </r>
        </is>
      </c>
      <c r="T37" s="121" t="n"/>
      <c r="U37" s="122" t="inlineStr">
        <is>
          <r>
            <rPr>
              <rFont val="Calibri"/>
              <sz val="10"/>
            </rPr>
            <t xml:space="preserve">Senior Support Executive in Technology · iDEAL,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37" s="123"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37"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37"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7" s="124" t="inlineStr">
        <is>
          <t>iDEAL · Technology · Band A · Early career</t>
        </is>
      </c>
      <c r="Z37" s="125" t="n">
        <v>2.5</v>
      </c>
      <c r="AA37" s="126">
        <f>IFERROR(INDEX(WM_C,MATCH($Y37,WM_KEY,0)),"")</f>
        <v>0.64</v>
      </c>
      <c r="AB37" s="127">
        <f>IF(Z37="","",Z37*AA37)</f>
        <v>1.6</v>
      </c>
      <c r="AC37" s="125" t="n">
        <v>2.5</v>
      </c>
      <c r="AD37" s="126">
        <f>IFERROR(INDEX(WM_AU,MATCH($Y37,WM_KEY,0)),"")</f>
        <v>0.16</v>
      </c>
      <c r="AE37" s="127">
        <f>IF(AC37="","",AC37*AD37)</f>
        <v>0.4</v>
      </c>
      <c r="AF37" s="125" t="n">
        <v>2.5</v>
      </c>
      <c r="AG37" s="126">
        <f>IFERROR(INDEX(WM_AC,MATCH($Y37,WM_KEY,0)),"")</f>
        <v>0.04</v>
      </c>
      <c r="AH37" s="127">
        <f>IF(AF37="","",AF37*AG37)</f>
        <v>0.1</v>
      </c>
      <c r="AI37" s="125" t="n">
        <v>1.5</v>
      </c>
      <c r="AJ37" s="126">
        <f>IFERROR(INDEX(WM_L,MATCH($Y37,WM_KEY,0)),"")</f>
        <v>0</v>
      </c>
      <c r="AK37" s="127">
        <f>IF(AI37="","",AI37*AJ37)</f>
        <v>0</v>
      </c>
      <c r="AL37" s="125" t="n">
        <v>2.5</v>
      </c>
      <c r="AM37" s="126">
        <f>IFERROR(INDEX(WM_E,MATCH($Y37,WM_KEY,0)),"")</f>
        <v>0.1</v>
      </c>
      <c r="AN37" s="127">
        <f>IF(AL37="","",AL37*AM37)</f>
        <v>0.25</v>
      </c>
      <c r="AO37" s="128" t="n">
        <v>3</v>
      </c>
      <c r="AP37" s="126">
        <f>IFERROR(INDEX(WM_BI,MATCH($Y37,WM_KEY,0)),"")</f>
        <v>0.06</v>
      </c>
      <c r="AQ37" s="127">
        <f>IF(AO37="","",AO37*AP37)</f>
        <v>0.18</v>
      </c>
      <c r="AR37" s="127">
        <f>IF(COUNT(AB37,AE37,AH37,AK37,AN37,AQ37)&lt;6,"",SUM(AB37,AE37,AH37,AK37,AN37,AQ37))</f>
        <v>2.53</v>
      </c>
      <c r="AS37" s="129" t="str">
        <f>IF(AR37="","",INDEX({"A1","A2","A3","B1","B2","B3","C1","C2","D1","D2","E1","E2"},MAX(1,MIN(12,ROUND(AR37,0)))))</f>
        <v>A3</v>
      </c>
      <c r="AT37"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7" s="131" t="inlineStr">
        <is>
          <r>
            <rPr>
              <rFont val="Calibri"/>
              <b val="1"/>
              <sz val="10"/>
            </rPr>
            <t>At build:</t>
          </r>
          <r>
            <rPr>
              <rFont val="Calibri"/>
              <sz val="10"/>
            </rPr>
            <t xml:space="preserve"> Complexity 1.60 + Autonomy 0.40 + Accountability 0.10 + Leadership 0.00 + Experience 0.25 + Business impact 0.18
= 2.53 points → nearest level 3 = A3
</t>
          </r>
          <r>
            <rPr>
              <rFont val="Calibri"/>
              <b val="1"/>
              <sz val="10"/>
            </rPr>
            <t>Final level:</t>
          </r>
          <r>
            <rPr>
              <rFont val="Calibri"/>
              <sz val="10"/>
            </rPr>
            <t xml:space="preserve"> A3 · same as the score</t>
          </r>
        </is>
      </c>
      <c r="AV37" s="131" t="inlineStr">
        <is>
          <r>
            <rPr>
              <rFont val="Calibri"/>
              <sz val="10"/>
            </rPr>
            <t xml:space="preserve">•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A3.</t>
          </r>
        </is>
      </c>
      <c r="AW37"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Routine client support: error solving, documentation, coordination so report filing goes through → moved down 0.5
</t>
          </r>
          <r>
            <rPr>
              <rFont val="Calibri"/>
              <b val="1"/>
              <sz val="10"/>
            </rPr>
            <t>Market:</t>
          </r>
          <r>
            <rPr>
              <rFont val="Calibri"/>
              <sz val="10"/>
            </rPr>
            <t xml:space="preserve"> A2 = Standard work of the discipline · A3 = Varied and non-standard work; handles exceptions</t>
          </r>
        </is>
      </c>
      <c r="AX37" s="133"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Only documentation named as an independent decision → moved down 0.5
</t>
          </r>
          <r>
            <rPr>
              <rFont val="Calibri"/>
              <b val="1"/>
              <sz val="10"/>
            </rPr>
            <t>Market:</t>
          </r>
          <r>
            <rPr>
              <rFont val="Calibri"/>
              <sz val="10"/>
            </rPr>
            <t xml:space="preserve"> A2 = Chooses own approach within standards · A3 = Technical / QC / client calls on own work</t>
          </r>
        </is>
      </c>
      <c r="AY37" s="133"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Delivering correct kits for the reports clients ask for → moved down 0.5
</t>
          </r>
          <r>
            <rPr>
              <rFont val="Calibri"/>
              <b val="1"/>
              <sz val="10"/>
            </rPr>
            <t>Market:</t>
          </r>
          <r>
            <rPr>
              <rFont val="Calibri"/>
              <sz val="10"/>
            </rPr>
            <t xml:space="preserve"> A2 = Own deliverables · accuracy, TAT · A3 = A module / process, or work with client or regulatory consequences</t>
          </r>
        </is>
      </c>
      <c r="AZ37" s="133"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None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37" s="133" t="inlineStr">
        <is>
          <r>
            <rPr>
              <rFont val="Calibri"/>
              <sz val="10"/>
            </rPr>
            <t xml:space="preserve">Rated 2.5 of 12 · between A2 and A3
</t>
          </r>
          <r>
            <rPr>
              <rFont val="Calibri"/>
              <b val="1"/>
              <sz val="10"/>
            </rPr>
            <t>Experience:</t>
          </r>
          <r>
            <rPr>
              <rFont val="Calibri"/>
              <sz val="10"/>
            </rPr>
            <t xml:space="preserve"> not on record · input needed from HR, so set at the role's own level: it neither helps nor hurts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37" s="133"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37" s="149" t="inlineStr">
        <is>
          <t>• Total experience · outside + at IRIS — HR — HRIS
• Confirm prior experience · provisional placement — HR</t>
        </is>
      </c>
      <c r="BD37" s="135" t="inlineStr">
        <is>
          <t>✗ HRIS: experience missing, B.E, 0 direct reports
✓ Survey: 20 of 20 questions answered
✗ KRAs: none on file
✓ Manager mapping: rating, 9-box
✗ Job description: not on file</t>
        </is>
      </c>
      <c r="BE37" s="135"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37" s="135" t="inlineStr">
        <is>
          <t>Low</t>
        </is>
      </c>
      <c r="BG37" s="135" t="inlineStr">
        <is>
          <t>• Total experience is not on record · new joiner — level is provisional until HR adds it</t>
        </is>
      </c>
      <c r="BH37" s="135" t="inlineStr"/>
      <c r="BI37" s="136" t="n"/>
      <c r="BJ37" s="137" t="n"/>
      <c r="BK37" s="137" t="n"/>
      <c r="BL37" s="137" t="n"/>
      <c r="BM37" s="137" t="n"/>
      <c r="BN37" s="138" t="n"/>
      <c r="BO37" s="121" t="n"/>
      <c r="BP37" s="121" t="n"/>
      <c r="BQ37" s="121" t="n"/>
      <c r="BR37" s="121" t="n"/>
      <c r="BS37" s="121" t="n"/>
      <c r="BT37" s="121" t="n"/>
      <c r="BU37" s="121" t="n"/>
      <c r="BV37" s="121" t="n">
        <v>3</v>
      </c>
    </row>
    <row r="38" ht="340" customHeight="1">
      <c r="A38" s="109" t="inlineStr">
        <is>
          <t>IRIS2552</t>
        </is>
      </c>
      <c r="B38" s="110" t="inlineStr">
        <is>
          <t>Shreekanth Samala</t>
        </is>
      </c>
      <c r="C38" s="111" t="inlineStr">
        <is>
          <t>Technology</t>
        </is>
      </c>
      <c r="D38" s="111" t="inlineStr">
        <is>
          <t>Phuzel Siddiqui</t>
        </is>
      </c>
      <c r="E38" s="112" t="n">
        <v>13.4</v>
      </c>
      <c r="F38" s="112" t="n">
        <v>0.1</v>
      </c>
      <c r="G38" s="111" t="inlineStr">
        <is>
          <t>MBA</t>
        </is>
      </c>
      <c r="H38" s="113" t="inlineStr">
        <is>
          <t>Technical Support Analyst</t>
        </is>
      </c>
      <c r="I38" s="114" t="inlineStr">
        <is>
          <t>Support Specialist</t>
        </is>
      </c>
      <c r="J38" s="115" t="inlineStr">
        <is>
          <t>Customer Success &amp; Support</t>
        </is>
      </c>
      <c r="K38" s="115" t="inlineStr">
        <is>
          <t>Application &amp; Product Support</t>
        </is>
      </c>
      <c r="L38" s="114" t="inlineStr">
        <is>
          <t>Not in current mapping files</t>
        </is>
      </c>
      <c r="M38" s="141" t="inlineStr">
        <is>
          <t>A3</t>
        </is>
      </c>
      <c r="N38" s="117" t="inlineStr">
        <is>
          <t>Senior Associate</t>
        </is>
      </c>
      <c r="O38" s="26" t="inlineStr">
        <is>
          <t>A</t>
        </is>
      </c>
      <c r="P38" s="115" t="inlineStr">
        <is>
          <t>IC</t>
        </is>
      </c>
      <c r="Q38" s="143" t="inlineStr">
        <is>
          <t>● Newly mapped</t>
        </is>
      </c>
      <c r="R38" s="119"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38"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Not rated · manager · 9-Box Grid placement: Not placed · manager.</t>
          </r>
        </is>
      </c>
      <c r="T38" s="121" t="n"/>
      <c r="U38" s="122" t="inlineStr">
        <is>
          <r>
            <rPr>
              <rFont val="Calibri"/>
              <sz val="10"/>
            </rPr>
            <t xml:space="preserve">Support Specialist in Technology · iDEAL,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38" s="123" t="inlineStr">
        <is>
          <r>
            <rPr>
              <rFont val="Calibri"/>
              <b val="1"/>
              <sz val="10"/>
            </rPr>
            <t>Hire as:</t>
          </r>
          <r>
            <rPr>
              <rFont val="Calibri"/>
              <sz val="10"/>
            </rPr>
            <t xml:space="preserve"> Senior Executive / CSM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38"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38"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8" s="124" t="inlineStr">
        <is>
          <t>iDEAL · Technology · Band A · Early career</t>
        </is>
      </c>
      <c r="Z38" s="125" t="n">
        <v>3</v>
      </c>
      <c r="AA38" s="126">
        <f>IFERROR(INDEX(WM_C,MATCH($Y38,WM_KEY,0)),"")</f>
        <v>0.64</v>
      </c>
      <c r="AB38" s="127">
        <f>IF(Z38="","",Z38*AA38)</f>
        <v>1.92</v>
      </c>
      <c r="AC38" s="125" t="n">
        <v>3</v>
      </c>
      <c r="AD38" s="126">
        <f>IFERROR(INDEX(WM_AU,MATCH($Y38,WM_KEY,0)),"")</f>
        <v>0.16</v>
      </c>
      <c r="AE38" s="127">
        <f>IF(AC38="","",AC38*AD38)</f>
        <v>0.48</v>
      </c>
      <c r="AF38" s="125" t="n">
        <v>3</v>
      </c>
      <c r="AG38" s="126">
        <f>IFERROR(INDEX(WM_AC,MATCH($Y38,WM_KEY,0)),"")</f>
        <v>0.04</v>
      </c>
      <c r="AH38" s="127">
        <f>IF(AF38="","",AF38*AG38)</f>
        <v>0.12</v>
      </c>
      <c r="AI38" s="125" t="n">
        <v>2</v>
      </c>
      <c r="AJ38" s="126">
        <f>IFERROR(INDEX(WM_L,MATCH($Y38,WM_KEY,0)),"")</f>
        <v>0</v>
      </c>
      <c r="AK38" s="127">
        <f>IF(AI38="","",AI38*AJ38)</f>
        <v>0</v>
      </c>
      <c r="AL38" s="125" t="n">
        <v>7.5</v>
      </c>
      <c r="AM38" s="126">
        <f>IFERROR(INDEX(WM_E,MATCH($Y38,WM_KEY,0)),"")</f>
        <v>0.1</v>
      </c>
      <c r="AN38" s="127">
        <f>IF(AL38="","",AL38*AM38)</f>
        <v>0.75</v>
      </c>
      <c r="AO38" s="128" t="n">
        <v>3</v>
      </c>
      <c r="AP38" s="126">
        <f>IFERROR(INDEX(WM_BI,MATCH($Y38,WM_KEY,0)),"")</f>
        <v>0.06</v>
      </c>
      <c r="AQ38" s="127">
        <f>IF(AO38="","",AO38*AP38)</f>
        <v>0.18</v>
      </c>
      <c r="AR38" s="127">
        <f>IF(COUNT(AB38,AE38,AH38,AK38,AN38,AQ38)&lt;6,"",SUM(AB38,AE38,AH38,AK38,AN38,AQ38))</f>
        <v>3.45</v>
      </c>
      <c r="AS38" s="129" t="str">
        <f>IF(AR38="","",INDEX({"A1","A2","A3","B1","B2","B3","C1","C2","D1","D2","E1","E2"},MAX(1,MIN(12,ROUND(AR38,0)))))</f>
        <v>A3</v>
      </c>
      <c r="AT38"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8" s="131" t="inlineStr">
        <is>
          <r>
            <rPr>
              <rFont val="Calibri"/>
              <b val="1"/>
              <sz val="10"/>
            </rPr>
            <t>At build:</t>
          </r>
          <r>
            <rPr>
              <rFont val="Calibri"/>
              <sz val="10"/>
            </rPr>
            <t xml:space="preserve"> Complexity 1.92 + Autonomy 0.48 + Accountability 0.12 + Leadership 0.00 + Experience 0.75 + Business impact 0.18
= 3.45 points → nearest level 3 = A3
</t>
          </r>
          <r>
            <rPr>
              <rFont val="Calibri"/>
              <b val="1"/>
              <sz val="10"/>
            </rPr>
            <t>Final level:</t>
          </r>
          <r>
            <rPr>
              <rFont val="Calibri"/>
              <sz val="10"/>
            </rPr>
            <t xml:space="preserve"> A3 · same as the score</t>
          </r>
        </is>
      </c>
      <c r="AV38" s="131" t="inlineStr">
        <is>
          <r>
            <rPr>
              <rFont val="Calibri"/>
              <b val="1"/>
              <sz val="10"/>
            </rPr>
            <t>No rule applied:</t>
          </r>
          <r>
            <rPr>
              <rFont val="Calibri"/>
              <sz val="10"/>
            </rPr>
            <t xml:space="preserve"> the score decides.</t>
          </r>
        </is>
      </c>
      <c r="AW38" s="150" t="inlineStr">
        <is>
          <r>
            <rPr>
              <rFont val="Calibri"/>
              <color rgb="009C0006"/>
              <sz val="10"/>
            </rPr>
            <t xml:space="preserve">Rated 3 of 12
</t>
          </r>
          <r>
            <rPr>
              <rFont val="Calibri"/>
              <b val="1"/>
              <color rgb="009C0006"/>
              <sz val="10"/>
            </rPr>
            <t>Start:</t>
          </r>
          <r>
            <rPr>
              <rFont val="Calibri"/>
              <color rgb="009C0006"/>
              <sz val="10"/>
            </rPr>
            <t xml:space="preserve"> 3.0 · senior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A3 = Varied and non-standard work; handles exceptions</t>
          </r>
        </is>
      </c>
      <c r="AX38" s="151" t="inlineStr">
        <is>
          <r>
            <rPr>
              <rFont val="Calibri"/>
              <color rgb="009C0006"/>
              <sz val="10"/>
            </rPr>
            <t xml:space="preserve">Rated 3 of 12
</t>
          </r>
          <r>
            <rPr>
              <rFont val="Calibri"/>
              <b val="1"/>
              <color rgb="009C0006"/>
              <sz val="10"/>
            </rPr>
            <t>Start:</t>
          </r>
          <r>
            <rPr>
              <rFont val="Calibri"/>
              <color rgb="009C0006"/>
              <sz val="10"/>
            </rPr>
            <t xml:space="preserve"> 3.0 · senior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A3 = Technical / QC / client calls on own work</t>
          </r>
        </is>
      </c>
      <c r="AY38" s="151" t="inlineStr">
        <is>
          <r>
            <rPr>
              <rFont val="Calibri"/>
              <color rgb="009C0006"/>
              <sz val="10"/>
            </rPr>
            <t xml:space="preserve">Rated 3 of 12
</t>
          </r>
          <r>
            <rPr>
              <rFont val="Calibri"/>
              <b val="1"/>
              <color rgb="009C0006"/>
              <sz val="10"/>
            </rPr>
            <t>Start:</t>
          </r>
          <r>
            <rPr>
              <rFont val="Calibri"/>
              <color rgb="009C0006"/>
              <sz val="10"/>
            </rPr>
            <t xml:space="preserve"> 3.0 · senior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A3 = A module / process, or work with client or regulatory consequences</t>
          </r>
        </is>
      </c>
      <c r="AZ38" s="151" t="inlineStr">
        <is>
          <r>
            <rPr>
              <rFont val="Calibri"/>
              <color rgb="009C0006"/>
              <sz val="10"/>
            </rPr>
            <t xml:space="preserve">Rated 2 of 12 — not counted: the weight is 0% at this level
</t>
          </r>
          <r>
            <rPr>
              <rFont val="Calibri"/>
              <b val="1"/>
              <color rgb="009C0006"/>
              <sz val="10"/>
            </rPr>
            <t>Start:</t>
          </r>
          <r>
            <rPr>
              <rFont val="Calibri"/>
              <color rgb="009C0006"/>
              <sz val="10"/>
            </rPr>
            <t xml:space="preserve"> 2.0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A2 = Not scored in Band A</t>
          </r>
        </is>
      </c>
      <c r="BA38" s="133" t="inlineStr">
        <is>
          <r>
            <rPr>
              <rFont val="Calibri"/>
              <sz val="10"/>
            </rPr>
            <t xml:space="preserve">Rated 7.5 of 12 · between C1 and C2
</t>
          </r>
          <r>
            <rPr>
              <rFont val="Calibri"/>
              <b val="1"/>
              <sz val="10"/>
            </rPr>
            <t>Experience:</t>
          </r>
          <r>
            <rPr>
              <rFont val="Calibri"/>
              <sz val="10"/>
            </rPr>
            <t xml:space="preserve"> 13.4 yrs total · 13.3 before IRIS + 0.1 at IRIS = 7.6 on the experience scale
</t>
          </r>
          <r>
            <rPr>
              <rFont val="Calibri"/>
              <b val="1"/>
              <sz val="10"/>
            </rPr>
            <t>Qualification:</t>
          </r>
          <r>
            <rPr>
              <rFont val="Calibri"/>
              <sz val="10"/>
            </rPr>
            <t xml:space="preserve"> MBA · postgraduate → no change
</t>
          </r>
          <r>
            <rPr>
              <rFont val="Calibri"/>
              <b val="1"/>
              <sz val="10"/>
            </rPr>
            <t>Market:</t>
          </r>
          <r>
            <rPr>
              <rFont val="Calibri"/>
              <sz val="10"/>
            </rPr>
            <t xml:space="preserve"> A3 roles typically have 2–5 yrs · IRIS guide 2–4</t>
          </r>
        </is>
      </c>
      <c r="BB38" s="133"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38" s="134" t="inlineStr"/>
      <c r="BD38" s="135" t="inlineStr">
        <is>
          <t>✓ HRIS: 13.4 yrs, MBA, 0 direct reports
✓ Survey: 20 of 20 questions answered
✗ KRAs: none on file
✓ Manager mapping: rating, 9-box
✗ Job description: not on file</t>
        </is>
      </c>
      <c r="BE38" s="135" t="inlineStr">
        <is>
          <r>
            <rPr>
              <rFont val="Calibri"/>
              <b val="1"/>
              <sz val="10"/>
            </rPr>
            <t>Market level:</t>
          </r>
          <r>
            <rPr>
              <rFont val="Calibri"/>
              <sz val="10"/>
            </rPr>
            <t xml:space="preserve"> P2 · SFIA 3 Apply
</t>
          </r>
          <r>
            <rPr>
              <rFont val="Calibri"/>
              <b val="1"/>
              <sz val="10"/>
            </rPr>
            <t>Typical title:</t>
          </r>
          <r>
            <rPr>
              <rFont val="Calibri"/>
              <sz val="10"/>
            </rPr>
            <t xml:space="preserve"> Senior Executive / CSM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38" s="135" t="inlineStr">
        <is>
          <t>Low</t>
        </is>
      </c>
      <c r="BG38" s="135" t="inlineStr">
        <is>
          <t>• Survey answers are generic or do not match the role — not used as evidence; manager input needed</t>
        </is>
      </c>
      <c r="BH38" s="135" t="inlineStr"/>
      <c r="BI38" s="136" t="n"/>
      <c r="BJ38" s="137" t="n"/>
      <c r="BK38" s="137" t="n"/>
      <c r="BL38" s="137" t="n"/>
      <c r="BM38" s="137" t="n"/>
      <c r="BN38" s="138" t="n"/>
      <c r="BO38" s="121" t="n"/>
      <c r="BP38" s="121" t="n"/>
      <c r="BQ38" s="121" t="n"/>
      <c r="BR38" s="121" t="n"/>
      <c r="BS38" s="121" t="n"/>
      <c r="BT38" s="121" t="n"/>
      <c r="BU38" s="121" t="n"/>
      <c r="BV38" s="121" t="n">
        <v>3</v>
      </c>
    </row>
    <row r="39" ht="340" customHeight="1">
      <c r="A39" s="109" t="inlineStr">
        <is>
          <t>IRIS2052</t>
        </is>
      </c>
      <c r="B39" s="110" t="inlineStr">
        <is>
          <t>Akshata Sabale</t>
        </is>
      </c>
      <c r="C39" s="111" t="inlineStr">
        <is>
          <t>Technology</t>
        </is>
      </c>
      <c r="D39" s="111" t="inlineStr">
        <is>
          <t>Jitendra Kumar</t>
        </is>
      </c>
      <c r="E39" s="112" t="n">
        <v>5.1</v>
      </c>
      <c r="F39" s="112" t="n">
        <v>4.1</v>
      </c>
      <c r="G39" s="111" t="inlineStr">
        <is>
          <t>B.E</t>
        </is>
      </c>
      <c r="H39" s="113" t="inlineStr">
        <is>
          <t>Software Engineer</t>
        </is>
      </c>
      <c r="I39" s="114" t="inlineStr">
        <is>
          <t>Senior Software Engineer</t>
        </is>
      </c>
      <c r="J39" s="115" t="inlineStr">
        <is>
          <t>Engineering &amp; Development</t>
        </is>
      </c>
      <c r="K39" s="115" t="inlineStr">
        <is>
          <t>Backend Development</t>
        </is>
      </c>
      <c r="L39" s="114" t="inlineStr">
        <is>
          <t>L3 – Professional / Associate</t>
        </is>
      </c>
      <c r="M39" s="141" t="inlineStr">
        <is>
          <t>A3</t>
        </is>
      </c>
      <c r="N39" s="117" t="inlineStr">
        <is>
          <t>Senior Associate</t>
        </is>
      </c>
      <c r="O39" s="26" t="inlineStr">
        <is>
          <t>A</t>
        </is>
      </c>
      <c r="P39" s="115" t="inlineStr">
        <is>
          <t>IC</t>
        </is>
      </c>
      <c r="Q39" s="142" t="inlineStr">
        <is>
          <t>▲ Up</t>
        </is>
      </c>
      <c r="R39"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39"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Core Contributor.</t>
          </r>
        </is>
      </c>
      <c r="T39" s="121" t="n"/>
      <c r="U39" s="122" t="inlineStr">
        <is>
          <r>
            <rPr>
              <rFont val="Calibri"/>
              <sz val="10"/>
            </rPr>
            <t xml:space="preserve">Senior Software Engineer in Technology · iDEAL,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39"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39"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39"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9" s="124" t="inlineStr">
        <is>
          <t>iDEAL · Technology · Band A · Early career</t>
        </is>
      </c>
      <c r="Z39" s="125" t="n">
        <v>2.5</v>
      </c>
      <c r="AA39" s="126">
        <f>IFERROR(INDEX(WM_C,MATCH($Y39,WM_KEY,0)),"")</f>
        <v>0.64</v>
      </c>
      <c r="AB39" s="127">
        <f>IF(Z39="","",Z39*AA39)</f>
        <v>1.6</v>
      </c>
      <c r="AC39" s="125" t="n">
        <v>2</v>
      </c>
      <c r="AD39" s="126">
        <f>IFERROR(INDEX(WM_AU,MATCH($Y39,WM_KEY,0)),"")</f>
        <v>0.16</v>
      </c>
      <c r="AE39" s="127">
        <f>IF(AC39="","",AC39*AD39)</f>
        <v>0.32</v>
      </c>
      <c r="AF39" s="125" t="n">
        <v>2.5</v>
      </c>
      <c r="AG39" s="126">
        <f>IFERROR(INDEX(WM_AC,MATCH($Y39,WM_KEY,0)),"")</f>
        <v>0.04</v>
      </c>
      <c r="AH39" s="127">
        <f>IF(AF39="","",AF39*AG39)</f>
        <v>0.1</v>
      </c>
      <c r="AI39" s="125" t="n">
        <v>1</v>
      </c>
      <c r="AJ39" s="126">
        <f>IFERROR(INDEX(WM_L,MATCH($Y39,WM_KEY,0)),"")</f>
        <v>0</v>
      </c>
      <c r="AK39" s="127">
        <f>IF(AI39="","",AI39*AJ39)</f>
        <v>0</v>
      </c>
      <c r="AL39" s="125" t="n">
        <v>4</v>
      </c>
      <c r="AM39" s="126">
        <f>IFERROR(INDEX(WM_E,MATCH($Y39,WM_KEY,0)),"")</f>
        <v>0.1</v>
      </c>
      <c r="AN39" s="127">
        <f>IF(AL39="","",AL39*AM39)</f>
        <v>0.4</v>
      </c>
      <c r="AO39" s="128" t="n">
        <v>2.5</v>
      </c>
      <c r="AP39" s="126">
        <f>IFERROR(INDEX(WM_BI,MATCH($Y39,WM_KEY,0)),"")</f>
        <v>0.06</v>
      </c>
      <c r="AQ39" s="127">
        <f>IF(AO39="","",AO39*AP39)</f>
        <v>0.15</v>
      </c>
      <c r="AR39" s="127">
        <f>IF(COUNT(AB39,AE39,AH39,AK39,AN39,AQ39)&lt;6,"",SUM(AB39,AE39,AH39,AK39,AN39,AQ39))</f>
        <v>2.57</v>
      </c>
      <c r="AS39" s="129" t="str">
        <f>IF(AR39="","",INDEX({"A1","A2","A3","B1","B2","B3","C1","C2","D1","D2","E1","E2"},MAX(1,MIN(12,ROUND(AR39,0)))))</f>
        <v>A3</v>
      </c>
      <c r="AT39"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9" s="131" t="inlineStr">
        <is>
          <r>
            <rPr>
              <rFont val="Calibri"/>
              <b val="1"/>
              <sz val="10"/>
            </rPr>
            <t>At build:</t>
          </r>
          <r>
            <rPr>
              <rFont val="Calibri"/>
              <sz val="10"/>
            </rPr>
            <t xml:space="preserve"> Complexity 1.60 + Autonomy 0.32 + Accountability 0.10 + Leadership 0.00 + Experience 0.40 + Business impact 0.15
= 2.57 points → nearest level 3 = A3
</t>
          </r>
          <r>
            <rPr>
              <rFont val="Calibri"/>
              <b val="1"/>
              <sz val="10"/>
            </rPr>
            <t>Final level:</t>
          </r>
          <r>
            <rPr>
              <rFont val="Calibri"/>
              <sz val="10"/>
            </rPr>
            <t xml:space="preserve"> A3 · same as the score</t>
          </r>
        </is>
      </c>
      <c r="AV39" s="131" t="inlineStr">
        <is>
          <r>
            <rPr>
              <rFont val="Calibri"/>
              <b val="1"/>
              <sz val="10"/>
            </rPr>
            <t>No rule applied:</t>
          </r>
          <r>
            <rPr>
              <rFont val="Calibri"/>
              <sz val="10"/>
            </rPr>
            <t xml:space="preserve"> the score decides.</t>
          </r>
        </is>
      </c>
      <c r="AW39"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New features, bug fixes, code review, live-issue debugging, report development, unit testing on RPT application → moved up 0.5
</t>
          </r>
          <r>
            <rPr>
              <rFont val="Calibri"/>
              <b val="1"/>
              <sz val="10"/>
            </rPr>
            <t>KRA:</t>
          </r>
          <r>
            <rPr>
              <rFont val="Calibri"/>
              <sz val="10"/>
            </rPr>
            <t xml:space="preserve"> “1. AI-Assisted Development Adoption: Use AI coding assistants for at least 60% of development tasks, with no increase in bug-escape rate.…”
</t>
          </r>
          <r>
            <rPr>
              <rFont val="Calibri"/>
              <b val="1"/>
              <sz val="10"/>
            </rPr>
            <t>Market:</t>
          </r>
          <r>
            <rPr>
              <rFont val="Calibri"/>
              <sz val="10"/>
            </rPr>
            <t xml:space="preserve"> A2 = Standard work of the discipline · A3 = Varied and non-standard work; handles exceptions</t>
          </r>
        </is>
      </c>
      <c r="AX39" s="133"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'code implementation' given as independent decision → matches the start
</t>
          </r>
          <r>
            <rPr>
              <rFont val="Calibri"/>
              <b val="1"/>
              <sz val="10"/>
            </rPr>
            <t>Market:</t>
          </r>
          <r>
            <rPr>
              <rFont val="Calibri"/>
              <sz val="10"/>
            </rPr>
            <t xml:space="preserve"> A2 = Chooses own approach within standards</t>
          </r>
        </is>
      </c>
      <c r="AY39" s="133"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Code he ships to production; breakage means urgent fix by him → moved up 0.5
</t>
          </r>
          <r>
            <rPr>
              <rFont val="Calibri"/>
              <b val="1"/>
              <sz val="10"/>
            </rPr>
            <t>KRA:</t>
          </r>
          <r>
            <rPr>
              <rFont val="Calibri"/>
              <sz val="10"/>
            </rPr>
            <t xml:space="preserve"> “1. AI-Assisted Development Adoption: Use AI coding assistants for at least 60% of development tasks, with no increase in bug-escape rate.…”
</t>
          </r>
          <r>
            <rPr>
              <rFont val="Calibri"/>
              <b val="1"/>
              <sz val="10"/>
            </rPr>
            <t>Market:</t>
          </r>
          <r>
            <rPr>
              <rFont val="Calibri"/>
              <sz val="10"/>
            </rPr>
            <t xml:space="preserve"> A2 = Own deliverables · accuracy, TAT · A3 = A module / process, or work with client or regulatory consequences</t>
          </r>
        </is>
      </c>
      <c r="AZ39" s="133"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Reviews code but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39" s="133" t="inlineStr">
        <is>
          <r>
            <rPr>
              <rFont val="Calibri"/>
              <sz val="10"/>
            </rPr>
            <t xml:space="preserve">Rated 4 of 12
</t>
          </r>
          <r>
            <rPr>
              <rFont val="Calibri"/>
              <b val="1"/>
              <sz val="10"/>
            </rPr>
            <t>Experience:</t>
          </r>
          <r>
            <rPr>
              <rFont val="Calibri"/>
              <sz val="10"/>
            </rPr>
            <t xml:space="preserve"> 5.1 yrs total · 1.0 before IRIS + 4.1 at IRIS = 3.8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39" s="133"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39" s="134" t="inlineStr"/>
      <c r="BD39" s="135" t="inlineStr">
        <is>
          <t>✓ HRIS: 5.1 yrs, B.E, 0 direct reports
✓ Survey: 20 of 20 questions answered
✓ KRAs: self, manager-set, quarterly
✓ Manager mapping: rating, potential, 9-box
✗ Job description: not on file</t>
        </is>
      </c>
      <c r="BE39" s="135"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39" s="135" t="inlineStr">
        <is>
          <t>High</t>
        </is>
      </c>
      <c r="BG39" s="135" t="inlineStr"/>
      <c r="BH39" s="135" t="inlineStr"/>
      <c r="BI39" s="136" t="n"/>
      <c r="BJ39" s="137" t="n"/>
      <c r="BK39" s="137" t="n"/>
      <c r="BL39" s="137" t="n"/>
      <c r="BM39" s="137" t="n"/>
      <c r="BN39" s="138" t="n"/>
      <c r="BO39" s="121" t="n"/>
      <c r="BP39" s="121" t="n"/>
      <c r="BQ39" s="121" t="n"/>
      <c r="BR39" s="121" t="n"/>
      <c r="BS39" s="121" t="n"/>
      <c r="BT39" s="121" t="n"/>
      <c r="BU39" s="121" t="n"/>
      <c r="BV39" s="121" t="n">
        <v>2.5</v>
      </c>
    </row>
    <row r="40" ht="340" customHeight="1">
      <c r="A40" s="109" t="inlineStr">
        <is>
          <t>IRIS1922</t>
        </is>
      </c>
      <c r="B40" s="110" t="inlineStr">
        <is>
          <t>H Marenna</t>
        </is>
      </c>
      <c r="C40" s="111" t="inlineStr">
        <is>
          <t>Technology</t>
        </is>
      </c>
      <c r="D40" s="111" t="inlineStr">
        <is>
          <t>Jitendra Kumar</t>
        </is>
      </c>
      <c r="E40" s="112" t="n">
        <v>9.199999999999999</v>
      </c>
      <c r="F40" s="112" t="n">
        <v>5.2</v>
      </c>
      <c r="G40" s="111" t="inlineStr">
        <is>
          <t>B.Tech</t>
        </is>
      </c>
      <c r="H40" s="113" t="inlineStr">
        <is>
          <t>Senior Software Engineer</t>
        </is>
      </c>
      <c r="I40" s="114" t="inlineStr">
        <is>
          <t>Senior Database Engineer</t>
        </is>
      </c>
      <c r="J40" s="115" t="inlineStr">
        <is>
          <t>Engineering &amp; Development</t>
        </is>
      </c>
      <c r="K40" s="115" t="inlineStr">
        <is>
          <t>Data Engineering &amp; Database Development</t>
        </is>
      </c>
      <c r="L40" s="115" t="inlineStr">
        <is>
          <t>L4 – Senior</t>
        </is>
      </c>
      <c r="M40" s="116" t="inlineStr">
        <is>
          <t>A3</t>
        </is>
      </c>
      <c r="N40" s="117" t="inlineStr">
        <is>
          <t>Senior Associate</t>
        </is>
      </c>
      <c r="O40" s="26" t="inlineStr">
        <is>
          <t>A</t>
        </is>
      </c>
      <c r="P40" s="115" t="inlineStr">
        <is>
          <t>IC</t>
        </is>
      </c>
      <c r="Q40" s="118" t="inlineStr">
        <is>
          <t>• Same level</t>
        </is>
      </c>
      <c r="R40" s="119" t="inlineStr">
        <is>
          <r>
            <rPr>
              <rFont val="Calibri"/>
              <b val="1"/>
              <sz val="10"/>
            </rPr>
            <t>WHAT THE ROLE DOES:</t>
          </r>
          <r>
            <rPr>
              <rFont val="Calibri"/>
              <sz val="10"/>
            </rPr>
            <t xml:space="preserve"> Builds ETL pipelines, data models, stored procedures and data layers. At A3: varied work; reviews juniors; go-to for a process.
</t>
          </r>
          <r>
            <rPr>
              <rFont val="Calibri"/>
              <b val="1"/>
              <sz val="10"/>
            </rPr>
            <t>Common themes in role-holders' answers:</t>
          </r>
          <r>
            <rPr>
              <rFont val="Calibri"/>
              <sz val="10"/>
            </rPr>
            <t xml:space="preserve"> business · support · data · solutions · build · reliable
</t>
          </r>
          <r>
            <rPr>
              <rFont val="Calibri"/>
              <b val="1"/>
              <sz val="10"/>
            </rPr>
            <t>KEY RESPONSIBILITIES:</t>
          </r>
          <r>
            <rPr>
              <rFont val="Calibri"/>
              <sz val="10"/>
            </rPr>
            <t xml:space="preserve"> Builds ETL pipelines, data models, stored procedures and data layers; Varied and non-standard work; handles exceptions; A module / process, or work with client or regulatory consequences
</t>
          </r>
          <r>
            <rPr>
              <rFont val="Calibri"/>
              <b val="1"/>
              <sz val="10"/>
            </rPr>
            <t>Common themes in role-holders' answers:</t>
          </r>
          <r>
            <rPr>
              <rFont val="Calibri"/>
              <sz val="10"/>
            </rPr>
            <t xml:space="preserve"> issue · support · development · data · resolution · deployment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enhancements · solutions · product · data · models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assigned · quality · solutions · personally · delivery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troubleshoot · independently · client · implement · technical
</t>
          </r>
          <r>
            <rPr>
              <rFont val="Calibri"/>
              <b val="1"/>
              <sz val="10"/>
            </rPr>
            <t>SKILLS &amp; KNOWLEDGE · role-holders:</t>
          </r>
          <r>
            <rPr>
              <rFont val="Calibri"/>
              <sz val="10"/>
            </rPr>
            <t xml:space="preserve"> Sql · prompt engineering · debugging · ETL · Talend
</t>
          </r>
          <r>
            <rPr>
              <rFont val="Calibri"/>
              <b val="1"/>
              <sz val="10"/>
            </rPr>
            <t>MANAGER-SET KRAs:</t>
          </r>
          <r>
            <rPr>
              <rFont val="Calibri"/>
              <sz val="10"/>
            </rPr>
            <t xml:space="preserve"> Common themes in manager-set KRAs: quality · deliver · project · timely · development · code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6 answered the survey; sub-family 7 answered; catalogue RC-074</t>
          </r>
        </is>
      </c>
      <c r="S4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work only this person does: no; successor named: no.
</t>
          </r>
          <r>
            <rPr>
              <rFont val="Calibri"/>
              <b val="1"/>
              <sz val="10"/>
            </rPr>
            <t>If the work is missed · role-holders' themes:</t>
          </r>
          <r>
            <rPr>
              <rFont val="Calibri"/>
              <sz val="10"/>
            </rPr>
            <t xml:space="preserve"> issues · lead · incorrect · data.
</t>
          </r>
          <r>
            <rPr>
              <rFont val="Calibri"/>
              <b val="1"/>
              <sz val="10"/>
            </rPr>
            <t>Measured on · manager-set KRA themes:</t>
          </r>
          <r>
            <rPr>
              <rFont val="Calibri"/>
              <sz val="10"/>
            </rPr>
            <t xml:space="preserve"> quality · deliver · project · timely · development · code.
Manager talent mapping — Latest rating: 2 · Potential: Low · 9-Box Grid placement: Reliable Specialist.</t>
          </r>
        </is>
      </c>
      <c r="T40" s="121" t="n"/>
      <c r="U40" s="122" t="inlineStr">
        <is>
          <r>
            <rPr>
              <rFont val="Calibri"/>
              <sz val="10"/>
            </rPr>
            <t xml:space="preserve">Senior Database Engineer in Technology · iDEAL, A3 — IC.
</t>
          </r>
          <r>
            <rPr>
              <rFont val="Calibri"/>
              <b val="1"/>
              <sz val="10"/>
            </rPr>
            <t>The work:</t>
          </r>
          <r>
            <rPr>
              <rFont val="Calibri"/>
              <sz val="10"/>
            </rPr>
            <t xml:space="preserve"> Builds ETL pipelines, data models, stored procedures and data layers.
At this level the role owns varied work; reviews juniors; go-to for a process.
</t>
          </r>
          <r>
            <rPr>
              <rFont val="Calibri"/>
              <b val="1"/>
              <sz val="10"/>
            </rPr>
            <t>Key responsibilities:</t>
          </r>
          <r>
            <rPr>
              <rFont val="Calibri"/>
              <sz val="10"/>
            </rPr>
            <t xml:space="preserve"> Builds ETL pipelines, data models, stored procedures and data layers; Varied and non-standard work; handles exceptions; A module / process, or work with client or regulatory consequences.
</t>
          </r>
          <r>
            <rPr>
              <rFont val="Calibri"/>
              <b val="1"/>
              <sz val="10"/>
            </rPr>
            <t>Holders describe it with:</t>
          </r>
          <r>
            <rPr>
              <rFont val="Calibri"/>
              <sz val="10"/>
            </rPr>
            <t xml:space="preserve"> issue · support · development · data · resolution · deployment.</t>
          </r>
        </is>
      </c>
      <c r="V40"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40"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Sql · prompt engineering · debugging · ETL · Talend
★ = must-have for the family. Scale: 1 Awareness · 2 Working · 3 Practitioner · 4 Advanced · 5 Expert.</t>
          </r>
        </is>
      </c>
      <c r="X40"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0" s="124" t="inlineStr">
        <is>
          <t>iDEAL · Technology · Band A · Early career</t>
        </is>
      </c>
      <c r="Z40" s="125" t="n">
        <v>2.5</v>
      </c>
      <c r="AA40" s="126">
        <f>IFERROR(INDEX(WM_C,MATCH($Y40,WM_KEY,0)),"")</f>
        <v>0.64</v>
      </c>
      <c r="AB40" s="127">
        <f>IF(Z40="","",Z40*AA40)</f>
        <v>1.6</v>
      </c>
      <c r="AC40" s="125" t="n">
        <v>2.5</v>
      </c>
      <c r="AD40" s="126">
        <f>IFERROR(INDEX(WM_AU,MATCH($Y40,WM_KEY,0)),"")</f>
        <v>0.16</v>
      </c>
      <c r="AE40" s="127">
        <f>IF(AC40="","",AC40*AD40)</f>
        <v>0.4</v>
      </c>
      <c r="AF40" s="125" t="n">
        <v>2.5</v>
      </c>
      <c r="AG40" s="126">
        <f>IFERROR(INDEX(WM_AC,MATCH($Y40,WM_KEY,0)),"")</f>
        <v>0.04</v>
      </c>
      <c r="AH40" s="127">
        <f>IF(AF40="","",AF40*AG40)</f>
        <v>0.1</v>
      </c>
      <c r="AI40" s="125" t="n">
        <v>1.5</v>
      </c>
      <c r="AJ40" s="126">
        <f>IFERROR(INDEX(WM_L,MATCH($Y40,WM_KEY,0)),"")</f>
        <v>0</v>
      </c>
      <c r="AK40" s="127">
        <f>IF(AI40="","",AI40*AJ40)</f>
        <v>0</v>
      </c>
      <c r="AL40" s="125" t="n">
        <v>5.5</v>
      </c>
      <c r="AM40" s="126">
        <f>IFERROR(INDEX(WM_E,MATCH($Y40,WM_KEY,0)),"")</f>
        <v>0.1</v>
      </c>
      <c r="AN40" s="127">
        <f>IF(AL40="","",AL40*AM40)</f>
        <v>0.55</v>
      </c>
      <c r="AO40" s="128" t="n">
        <v>2.5</v>
      </c>
      <c r="AP40" s="126">
        <f>IFERROR(INDEX(WM_BI,MATCH($Y40,WM_KEY,0)),"")</f>
        <v>0.06</v>
      </c>
      <c r="AQ40" s="127">
        <f>IF(AO40="","",AO40*AP40)</f>
        <v>0.15</v>
      </c>
      <c r="AR40" s="127">
        <f>IF(COUNT(AB40,AE40,AH40,AK40,AN40,AQ40)&lt;6,"",SUM(AB40,AE40,AH40,AK40,AN40,AQ40))</f>
        <v>2.8</v>
      </c>
      <c r="AS40" s="129" t="str">
        <f>IF(AR40="","",INDEX({"A1","A2","A3","B1","B2","B3","C1","C2","D1","D2","E1","E2"},MAX(1,MIN(12,ROUND(AR40,0)))))</f>
        <v>A3</v>
      </c>
      <c r="AT40"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0" s="131" t="inlineStr">
        <is>
          <r>
            <rPr>
              <rFont val="Calibri"/>
              <b val="1"/>
              <sz val="10"/>
            </rPr>
            <t>At build:</t>
          </r>
          <r>
            <rPr>
              <rFont val="Calibri"/>
              <sz val="10"/>
            </rPr>
            <t xml:space="preserve"> Complexity 1.60 + Autonomy 0.40 + Accountability 0.10 + Leadership 0.00 + Experience 0.55 + Business impact 0.15
= 2.80 points → nearest level 3 = A3
</t>
          </r>
          <r>
            <rPr>
              <rFont val="Calibri"/>
              <b val="1"/>
              <sz val="10"/>
            </rPr>
            <t>Final level:</t>
          </r>
          <r>
            <rPr>
              <rFont val="Calibri"/>
              <sz val="10"/>
            </rPr>
            <t xml:space="preserve"> A3 · same as the score</t>
          </r>
        </is>
      </c>
      <c r="AV40" s="131" t="inlineStr">
        <is>
          <r>
            <rPr>
              <rFont val="Calibri"/>
              <b val="1"/>
              <sz val="10"/>
            </rPr>
            <t>No rule applied:</t>
          </r>
          <r>
            <rPr>
              <rFont val="Calibri"/>
              <sz val="10"/>
            </rPr>
            <t xml:space="preserve"> the score decides.</t>
          </r>
        </is>
      </c>
      <c r="AW40"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Database / ETL issue resolution on assigned work; no harder cases described → moved down 0.5
</t>
          </r>
          <r>
            <rPr>
              <rFont val="Calibri"/>
              <b val="1"/>
              <sz val="10"/>
            </rPr>
            <t>KRA:</t>
          </r>
          <r>
            <rPr>
              <rFont val="Calibri"/>
              <sz val="10"/>
            </rPr>
            <t xml:space="preserve"> “1.Promote best practices in database development, code quality, and performance optimization. 2.Drive team capability in handling database…”
</t>
          </r>
          <r>
            <rPr>
              <rFont val="Calibri"/>
              <b val="1"/>
              <sz val="10"/>
            </rPr>
            <t>Market:</t>
          </r>
          <r>
            <rPr>
              <rFont val="Calibri"/>
              <sz val="10"/>
            </rPr>
            <t xml:space="preserve"> A2 = Standard work of the discipline · A3 = Varied and non-standard work; handles exceptions</t>
          </r>
        </is>
      </c>
      <c r="AX40" s="133"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Only says troubleshooting issues is done independently → moved down 0.5
</t>
          </r>
          <r>
            <rPr>
              <rFont val="Calibri"/>
              <b val="1"/>
              <sz val="10"/>
            </rPr>
            <t>Market:</t>
          </r>
          <r>
            <rPr>
              <rFont val="Calibri"/>
              <sz val="10"/>
            </rPr>
            <t xml:space="preserve"> A2 = Chooses own approach within standards · A3 = Technical / QC / client calls on own work</t>
          </r>
        </is>
      </c>
      <c r="AY40" s="133"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own survey / KRA answers · summarised by the rater; not quoted → moved down 0.5
</t>
          </r>
          <r>
            <rPr>
              <rFont val="Calibri"/>
              <b val="1"/>
              <sz val="10"/>
            </rPr>
            <t>KRA:</t>
          </r>
          <r>
            <rPr>
              <rFont val="Calibri"/>
              <sz val="10"/>
            </rPr>
            <t xml:space="preserve"> “1.Promote best practices in database development, code quality, and performance optimization. 2.Drive team capability in handling database…”
</t>
          </r>
          <r>
            <rPr>
              <rFont val="Calibri"/>
              <b val="1"/>
              <sz val="10"/>
            </rPr>
            <t>Market:</t>
          </r>
          <r>
            <rPr>
              <rFont val="Calibri"/>
              <sz val="10"/>
            </rPr>
            <t xml:space="preserve"> A2 = Own deliverables · accuracy, TAT · A3 = A module / process, or work with client or regulatory consequences</t>
          </r>
        </is>
      </c>
      <c r="AZ40" s="133"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reviewing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40" s="133" t="inlineStr">
        <is>
          <r>
            <rPr>
              <rFont val="Calibri"/>
              <sz val="10"/>
            </rPr>
            <t xml:space="preserve">Rated 5.5 of 12 · between B2 and B3
</t>
          </r>
          <r>
            <rPr>
              <rFont val="Calibri"/>
              <b val="1"/>
              <sz val="10"/>
            </rPr>
            <t>Experience:</t>
          </r>
          <r>
            <rPr>
              <rFont val="Calibri"/>
              <sz val="10"/>
            </rPr>
            <t xml:space="preserve"> 9.2 yrs total · 4.0 before IRIS + 5.2 at IRIS = 5.7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40" s="133"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40" s="134" t="inlineStr"/>
      <c r="BD40" s="135" t="inlineStr">
        <is>
          <t>✓ HRIS: 9.2 yrs, B.Tech, 0 direct reports
✓ Survey: 20 of 20 questions answered
✓ KRAs: self, manager-set, quarterly
✓ Manager mapping: rating, potential, 9-box
✗ Job description: not on file</t>
        </is>
      </c>
      <c r="BE40" s="135"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40" s="135" t="inlineStr">
        <is>
          <t>Medium</t>
        </is>
      </c>
      <c r="BG40" s="135" t="inlineStr">
        <is>
          <t>• 9.2 yrs of experience in a role that reads as Band A work — a career-path question for the manager: can the role be widened · Specialist, B1 or is it correctly sized?</t>
        </is>
      </c>
      <c r="BH40" s="135" t="inlineStr"/>
      <c r="BI40" s="136" t="n"/>
      <c r="BJ40" s="137" t="n"/>
      <c r="BK40" s="137" t="n"/>
      <c r="BL40" s="137" t="n"/>
      <c r="BM40" s="137" t="n"/>
      <c r="BN40" s="138" t="n"/>
      <c r="BO40" s="121" t="n"/>
      <c r="BP40" s="121" t="n"/>
      <c r="BQ40" s="121" t="n"/>
      <c r="BR40" s="121" t="n"/>
      <c r="BS40" s="121" t="n"/>
      <c r="BT40" s="121" t="n"/>
      <c r="BU40" s="121" t="n"/>
      <c r="BV40" s="121" t="n">
        <v>2.5</v>
      </c>
    </row>
    <row r="41" ht="340" customHeight="1">
      <c r="A41" s="109" t="inlineStr">
        <is>
          <t>IRIS2530</t>
        </is>
      </c>
      <c r="B41" s="110" t="inlineStr">
        <is>
          <t>Jay Gudhka</t>
        </is>
      </c>
      <c r="C41" s="111" t="inlineStr">
        <is>
          <t>Technology</t>
        </is>
      </c>
      <c r="D41" s="111" t="inlineStr">
        <is>
          <t>Jitendra Kumar</t>
        </is>
      </c>
      <c r="E41" s="112" t="n">
        <v>7.2</v>
      </c>
      <c r="F41" s="112" t="n">
        <v>0.4</v>
      </c>
      <c r="G41" s="111" t="inlineStr">
        <is>
          <t>B.E</t>
        </is>
      </c>
      <c r="H41" s="113" t="inlineStr">
        <is>
          <t>Senior Software Engineer</t>
        </is>
      </c>
      <c r="I41" s="114" t="inlineStr">
        <is>
          <t>Technical Specialist</t>
        </is>
      </c>
      <c r="J41" s="115" t="inlineStr">
        <is>
          <t>Engineering &amp; Development</t>
        </is>
      </c>
      <c r="K41" s="115" t="inlineStr">
        <is>
          <t>Full-Stack Development</t>
        </is>
      </c>
      <c r="L41" s="114" t="inlineStr">
        <is>
          <t>L4 – Senior</t>
        </is>
      </c>
      <c r="M41" s="141" t="inlineStr">
        <is>
          <t>A3</t>
        </is>
      </c>
      <c r="N41" s="117" t="inlineStr">
        <is>
          <t>Senior Associate</t>
        </is>
      </c>
      <c r="O41" s="26" t="inlineStr">
        <is>
          <t>A</t>
        </is>
      </c>
      <c r="P41" s="115" t="inlineStr">
        <is>
          <t>IC</t>
        </is>
      </c>
      <c r="Q41" s="142" t="inlineStr">
        <is>
          <t>▲ Up</t>
        </is>
      </c>
      <c r="R41" s="119"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4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3 · Potential: Medium · 9-Box Grid placement: Emerging Talent.</t>
          </r>
        </is>
      </c>
      <c r="T41" s="121" t="n"/>
      <c r="U41" s="122" t="inlineStr">
        <is>
          <r>
            <rPr>
              <rFont val="Calibri"/>
              <sz val="10"/>
            </rPr>
            <t xml:space="preserve">Technical Specialist in Technology · iDEAL,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41" s="123" t="inlineStr">
        <is>
          <r>
            <rPr>
              <rFont val="Calibri"/>
              <b val="1"/>
              <sz val="10"/>
            </rPr>
            <t>Hire as:</t>
          </r>
          <r>
            <rPr>
              <rFont val="Calibri"/>
              <sz val="10"/>
            </rPr>
            <t xml:space="preserve"> Senior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41"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41"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1" s="124" t="inlineStr">
        <is>
          <t>iDEAL · Technology · Band A · Early career</t>
        </is>
      </c>
      <c r="Z41" s="125" t="n">
        <v>3.5</v>
      </c>
      <c r="AA41" s="126">
        <f>IFERROR(INDEX(WM_C,MATCH($Y41,WM_KEY,0)),"")</f>
        <v>0.64</v>
      </c>
      <c r="AB41" s="127">
        <f>IF(Z41="","",Z41*AA41)</f>
        <v>2.24</v>
      </c>
      <c r="AC41" s="125" t="n">
        <v>3</v>
      </c>
      <c r="AD41" s="126">
        <f>IFERROR(INDEX(WM_AU,MATCH($Y41,WM_KEY,0)),"")</f>
        <v>0.16</v>
      </c>
      <c r="AE41" s="127">
        <f>IF(AC41="","",AC41*AD41)</f>
        <v>0.48</v>
      </c>
      <c r="AF41" s="125" t="n">
        <v>3</v>
      </c>
      <c r="AG41" s="126">
        <f>IFERROR(INDEX(WM_AC,MATCH($Y41,WM_KEY,0)),"")</f>
        <v>0.04</v>
      </c>
      <c r="AH41" s="127">
        <f>IF(AF41="","",AF41*AG41)</f>
        <v>0.12</v>
      </c>
      <c r="AI41" s="125" t="n">
        <v>2.5</v>
      </c>
      <c r="AJ41" s="126">
        <f>IFERROR(INDEX(WM_L,MATCH($Y41,WM_KEY,0)),"")</f>
        <v>0</v>
      </c>
      <c r="AK41" s="127">
        <f>IF(AI41="","",AI41*AJ41)</f>
        <v>0</v>
      </c>
      <c r="AL41" s="125" t="n">
        <v>5</v>
      </c>
      <c r="AM41" s="126">
        <f>IFERROR(INDEX(WM_E,MATCH($Y41,WM_KEY,0)),"")</f>
        <v>0.1</v>
      </c>
      <c r="AN41" s="127">
        <f>IF(AL41="","",AL41*AM41)</f>
        <v>0.5</v>
      </c>
      <c r="AO41" s="128" t="n">
        <v>3</v>
      </c>
      <c r="AP41" s="126">
        <f>IFERROR(INDEX(WM_BI,MATCH($Y41,WM_KEY,0)),"")</f>
        <v>0.06</v>
      </c>
      <c r="AQ41" s="127">
        <f>IF(AO41="","",AO41*AP41)</f>
        <v>0.18</v>
      </c>
      <c r="AR41" s="127">
        <f>IF(COUNT(AB41,AE41,AH41,AK41,AN41,AQ41)&lt;6,"",SUM(AB41,AE41,AH41,AK41,AN41,AQ41))</f>
        <v>3.52</v>
      </c>
      <c r="AS41" s="129" t="str">
        <f>IF(AR41="","",INDEX({"A1","A2","A3","B1","B2","B3","C1","C2","D1","D2","E1","E2"},MAX(1,MIN(12,ROUND(AR41,0)))))</f>
        <v>B1</v>
      </c>
      <c r="AT41"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1" s="131" t="inlineStr">
        <is>
          <r>
            <rPr>
              <rFont val="Calibri"/>
              <b val="1"/>
              <sz val="10"/>
            </rPr>
            <t>At build:</t>
          </r>
          <r>
            <rPr>
              <rFont val="Calibri"/>
              <sz val="10"/>
            </rPr>
            <t xml:space="preserve"> Complexity 2.24 + Autonomy 0.48 + Accountability 0.12 + Leadership 0.00 + Experience 0.50 + Business impact 0.18
= 3.52 points → nearest level 4 = B1
</t>
          </r>
          <r>
            <rPr>
              <rFont val="Calibri"/>
              <b val="1"/>
              <sz val="10"/>
            </rPr>
            <t>Final level:</t>
          </r>
          <r>
            <rPr>
              <rFont val="Calibri"/>
              <sz val="10"/>
            </rPr>
            <t xml:space="preserve"> A3 · a rule applied: see the next column</t>
          </r>
        </is>
      </c>
      <c r="AV41" s="131"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3.46.
</t>
          </r>
          <r>
            <rPr>
              <rFont val="Calibri"/>
              <b val="1"/>
              <sz val="10"/>
            </rPr>
            <t>Final level:</t>
          </r>
          <r>
            <rPr>
              <rFont val="Calibri"/>
              <sz val="10"/>
            </rPr>
            <t xml:space="preserve"> A3.</t>
          </r>
        </is>
      </c>
      <c r="AW41" s="132"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Full-stack development, API design and RAG/LLM integration with no established internal process → moved up 0.5
</t>
          </r>
          <r>
            <rPr>
              <rFont val="Calibri"/>
              <b val="1"/>
              <sz val="10"/>
            </rPr>
            <t>KRA:</t>
          </r>
          <r>
            <rPr>
              <rFont val="Calibri"/>
              <sz val="10"/>
            </rPr>
            <t xml:space="preserve"> “1. AI Feature Architecture: Design and lead implementation of at least 1 AI-powered feature in the application, from…”
</t>
          </r>
          <r>
            <rPr>
              <rFont val="Calibri"/>
              <b val="1"/>
              <sz val="10"/>
            </rPr>
            <t>Market:</t>
          </r>
          <r>
            <rPr>
              <rFont val="Calibri"/>
              <sz val="10"/>
            </rPr>
            <t xml:space="preserve"> A3 = Varied and non-standard work; handles exceptions · B1 = Domain specialist work</t>
          </r>
        </is>
      </c>
      <c r="AX41"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Makes the tech and design choices on what is built → matches the start
</t>
          </r>
          <r>
            <rPr>
              <rFont val="Calibri"/>
              <b val="1"/>
              <sz val="10"/>
            </rPr>
            <t>Market:</t>
          </r>
          <r>
            <rPr>
              <rFont val="Calibri"/>
              <sz val="10"/>
            </rPr>
            <t xml:space="preserve"> A3 = Technical / QC / client calls on own work</t>
          </r>
        </is>
      </c>
      <c r="AY41" s="133"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survey / KRA answers · summarised by the rater; not quoted → matches the start
</t>
          </r>
          <r>
            <rPr>
              <rFont val="Calibri"/>
              <b val="1"/>
              <sz val="10"/>
            </rPr>
            <t>KRA:</t>
          </r>
          <r>
            <rPr>
              <rFont val="Calibri"/>
              <sz val="10"/>
            </rPr>
            <t xml:space="preserve"> “1. AI Feature Architecture: Design and lead implementation of at least 1 AI-powered feature in the application, from…”
</t>
          </r>
          <r>
            <rPr>
              <rFont val="Calibri"/>
              <b val="1"/>
              <sz val="10"/>
            </rPr>
            <t>Market:</t>
          </r>
          <r>
            <rPr>
              <rFont val="Calibri"/>
              <sz val="10"/>
            </rPr>
            <t xml:space="preserve"> A3 = A module / process, or work with client or regulatory consequences</t>
          </r>
        </is>
      </c>
      <c r="AZ41" s="133" t="inlineStr">
        <is>
          <r>
            <rPr>
              <rFont val="Calibri"/>
              <sz val="10"/>
            </rPr>
            <t xml:space="preserve">Rated 2.5 of 12 · between A2 and A3 — not counted: the weight is 0% at this level
</t>
          </r>
          <r>
            <rPr>
              <rFont val="Calibri"/>
              <b val="1"/>
              <sz val="10"/>
            </rPr>
            <t>Start:</t>
          </r>
          <r>
            <rPr>
              <rFont val="Calibri"/>
              <sz val="10"/>
            </rPr>
            <t xml:space="preserve"> 2.0 · individual contributor, so influence only
</t>
          </r>
          <r>
            <rPr>
              <rFont val="Calibri"/>
              <b val="1"/>
              <sz val="10"/>
            </rPr>
            <t>Evidence reads like A3:</t>
          </r>
          <r>
            <rPr>
              <rFont val="Calibri"/>
              <sz val="10"/>
            </rPr>
            <t xml:space="preserve"> Mentoring is a listed responsibility; KRA includes training the team on AI coding → moved up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41" s="133" t="inlineStr">
        <is>
          <r>
            <rPr>
              <rFont val="Calibri"/>
              <sz val="10"/>
            </rPr>
            <t xml:space="preserve">Rated 5 of 12
</t>
          </r>
          <r>
            <rPr>
              <rFont val="Calibri"/>
              <b val="1"/>
              <sz val="10"/>
            </rPr>
            <t>Experience:</t>
          </r>
          <r>
            <rPr>
              <rFont val="Calibri"/>
              <sz val="10"/>
            </rPr>
            <t xml:space="preserve"> 7.2 yrs total · 6.8 before IRIS + 0.4 at IRIS = 4.8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41" s="133"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41" s="134" t="inlineStr"/>
      <c r="BD41" s="135" t="inlineStr">
        <is>
          <t>✓ HRIS: 7.2 yrs, B.E, 0 direct reports
✓ Survey: 20 of 20 questions answered
✓ KRAs: self, manager-set, quarterly
✓ Manager mapping: rating, potential, 9-box
✗ Job description: not on file</t>
        </is>
      </c>
      <c r="BE41" s="135" t="inlineStr">
        <is>
          <r>
            <rPr>
              <rFont val="Calibri"/>
              <b val="1"/>
              <sz val="10"/>
            </rPr>
            <t>Market level:</t>
          </r>
          <r>
            <rPr>
              <rFont val="Calibri"/>
              <sz val="10"/>
            </rPr>
            <t xml:space="preserve"> P2 · SFIA 3 Apply
</t>
          </r>
          <r>
            <rPr>
              <rFont val="Calibri"/>
              <b val="1"/>
              <sz val="10"/>
            </rPr>
            <t>Typical title:</t>
          </r>
          <r>
            <rPr>
              <rFont val="Calibri"/>
              <sz val="10"/>
            </rPr>
            <t xml:space="preserve"> Senior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41" s="135" t="inlineStr">
        <is>
          <t>Medium</t>
        </is>
      </c>
      <c r="BG41" s="135" t="inlineStr">
        <is>
          <r>
            <rPr>
              <rFont val="Calibri"/>
              <sz val="10"/>
            </rPr>
            <t xml:space="preserve">• </t>
          </r>
          <r>
            <rPr>
              <rFont val="Calibri"/>
              <b val="1"/>
              <sz val="10"/>
            </rPr>
            <t>Near a gate:</t>
          </r>
          <r>
            <rPr>
              <rFont val="Calibri"/>
              <sz val="10"/>
            </rPr>
            <t xml:space="preserve"> top of band: 3.46 on Band B's weights, 0.04 short of the 3.5 needed to enter Band B — calibrate before confirming</t>
          </r>
        </is>
      </c>
      <c r="BH41" s="147" t="inlineStr">
        <is>
          <t>Near a gate: top of band: 3.46 on Band B's weights, 0.04 short of the 3.5 needed to enter Band B</t>
        </is>
      </c>
      <c r="BI41" s="136" t="n"/>
      <c r="BJ41" s="137" t="n"/>
      <c r="BK41" s="137" t="n"/>
      <c r="BL41" s="137" t="n"/>
      <c r="BM41" s="137" t="n"/>
      <c r="BN41" s="138" t="n"/>
      <c r="BO41" s="121" t="n"/>
      <c r="BP41" s="121" t="n"/>
      <c r="BQ41" s="121" t="n"/>
      <c r="BR41" s="121" t="n"/>
      <c r="BS41" s="121" t="n"/>
      <c r="BT41" s="121" t="n"/>
      <c r="BU41" s="121" t="n"/>
      <c r="BV41" s="121" t="n">
        <v>3</v>
      </c>
    </row>
    <row r="42" ht="340" customHeight="1">
      <c r="A42" s="109" t="inlineStr">
        <is>
          <t>IRIS1858</t>
        </is>
      </c>
      <c r="B42" s="110" t="inlineStr">
        <is>
          <t>Prasad Bhoite</t>
        </is>
      </c>
      <c r="C42" s="111" t="inlineStr">
        <is>
          <t>Technology</t>
        </is>
      </c>
      <c r="D42" s="111" t="inlineStr">
        <is>
          <t>Jignasha Sawla</t>
        </is>
      </c>
      <c r="E42" s="112" t="n">
        <v>6.9</v>
      </c>
      <c r="F42" s="112" t="n">
        <v>6.3</v>
      </c>
      <c r="G42" s="111" t="inlineStr">
        <is>
          <t>BCA</t>
        </is>
      </c>
      <c r="H42" s="113" t="inlineStr">
        <is>
          <t>Software Engineer</t>
        </is>
      </c>
      <c r="I42" s="114" t="inlineStr">
        <is>
          <t>Senior Database Engineer</t>
        </is>
      </c>
      <c r="J42" s="115" t="inlineStr">
        <is>
          <t>Engineering &amp; Development</t>
        </is>
      </c>
      <c r="K42" s="115" t="inlineStr">
        <is>
          <t>Data Engineering &amp; Database Development</t>
        </is>
      </c>
      <c r="L42" s="114" t="inlineStr">
        <is>
          <t>L3 – Professional / Associate</t>
        </is>
      </c>
      <c r="M42" s="141" t="inlineStr">
        <is>
          <t>A3</t>
        </is>
      </c>
      <c r="N42" s="117" t="inlineStr">
        <is>
          <t>Senior Associate</t>
        </is>
      </c>
      <c r="O42" s="26" t="inlineStr">
        <is>
          <t>A</t>
        </is>
      </c>
      <c r="P42" s="115" t="inlineStr">
        <is>
          <t>IC</t>
        </is>
      </c>
      <c r="Q42" s="142" t="inlineStr">
        <is>
          <t>▲ Up</t>
        </is>
      </c>
      <c r="R42" s="119" t="inlineStr">
        <is>
          <r>
            <rPr>
              <rFont val="Calibri"/>
              <b val="1"/>
              <sz val="10"/>
            </rPr>
            <t>WHAT THE ROLE DOES:</t>
          </r>
          <r>
            <rPr>
              <rFont val="Calibri"/>
              <sz val="10"/>
            </rPr>
            <t xml:space="preserve"> Builds ETL pipelines, data models, stored procedures and data layers. At A3: varied work; reviews juniors; go-to for a process.
</t>
          </r>
          <r>
            <rPr>
              <rFont val="Calibri"/>
              <b val="1"/>
              <sz val="10"/>
            </rPr>
            <t>Common themes in role-holders' answers:</t>
          </r>
          <r>
            <rPr>
              <rFont val="Calibri"/>
              <sz val="10"/>
            </rPr>
            <t xml:space="preserve"> business · support · data · solutions · build · reliable
</t>
          </r>
          <r>
            <rPr>
              <rFont val="Calibri"/>
              <b val="1"/>
              <sz val="10"/>
            </rPr>
            <t>KEY RESPONSIBILITIES:</t>
          </r>
          <r>
            <rPr>
              <rFont val="Calibri"/>
              <sz val="10"/>
            </rPr>
            <t xml:space="preserve"> Builds ETL pipelines, data models, stored procedures and data layers; Varied and non-standard work; handles exceptions; A module / process, or work with client or regulatory consequences
</t>
          </r>
          <r>
            <rPr>
              <rFont val="Calibri"/>
              <b val="1"/>
              <sz val="10"/>
            </rPr>
            <t>Common themes in role-holders' answers:</t>
          </r>
          <r>
            <rPr>
              <rFont val="Calibri"/>
              <sz val="10"/>
            </rPr>
            <t xml:space="preserve"> issue · support · development · data · resolution · deployment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enhancements · solutions · product · data · models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assigned · quality · solutions · personally · delivery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troubleshoot · independently · client · implement · technical
</t>
          </r>
          <r>
            <rPr>
              <rFont val="Calibri"/>
              <b val="1"/>
              <sz val="10"/>
            </rPr>
            <t>SKILLS &amp; KNOWLEDGE · role-holders:</t>
          </r>
          <r>
            <rPr>
              <rFont val="Calibri"/>
              <sz val="10"/>
            </rPr>
            <t xml:space="preserve"> Sql · prompt engineering · debugging · ETL · Talend
</t>
          </r>
          <r>
            <rPr>
              <rFont val="Calibri"/>
              <b val="1"/>
              <sz val="10"/>
            </rPr>
            <t>MANAGER-SET KRAs:</t>
          </r>
          <r>
            <rPr>
              <rFont val="Calibri"/>
              <sz val="10"/>
            </rPr>
            <t xml:space="preserve"> Common themes in manager-set KRAs: quality · deliver · project · timely · development · code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6 answered the survey; sub-family 7 answered; catalogue RC-074</t>
          </r>
        </is>
      </c>
      <c r="S4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issues · lead · incorrect · data.
</t>
          </r>
          <r>
            <rPr>
              <rFont val="Calibri"/>
              <b val="1"/>
              <sz val="10"/>
            </rPr>
            <t>Measured on · manager-set KRA themes:</t>
          </r>
          <r>
            <rPr>
              <rFont val="Calibri"/>
              <sz val="10"/>
            </rPr>
            <t xml:space="preserve"> quality · deliver · project · timely · development · code.
Manager talent mapping — Latest rating: 3 · Potential: Medium · 9-Box Grid placement: Emerging Talent.</t>
          </r>
        </is>
      </c>
      <c r="T42" s="121" t="n"/>
      <c r="U42" s="122" t="inlineStr">
        <is>
          <r>
            <rPr>
              <rFont val="Calibri"/>
              <sz val="10"/>
            </rPr>
            <t xml:space="preserve">Senior Database Engineer in Technology · iDEAL, A3 — IC.
</t>
          </r>
          <r>
            <rPr>
              <rFont val="Calibri"/>
              <b val="1"/>
              <sz val="10"/>
            </rPr>
            <t>The work:</t>
          </r>
          <r>
            <rPr>
              <rFont val="Calibri"/>
              <sz val="10"/>
            </rPr>
            <t xml:space="preserve"> Builds ETL pipelines, data models, stored procedures and data layers.
At this level the role owns varied work; reviews juniors; go-to for a process.
</t>
          </r>
          <r>
            <rPr>
              <rFont val="Calibri"/>
              <b val="1"/>
              <sz val="10"/>
            </rPr>
            <t>Key responsibilities:</t>
          </r>
          <r>
            <rPr>
              <rFont val="Calibri"/>
              <sz val="10"/>
            </rPr>
            <t xml:space="preserve"> Builds ETL pipelines, data models, stored procedures and data layers; Varied and non-standard work; handles exceptions; A module / process, or work with client or regulatory consequences.
</t>
          </r>
          <r>
            <rPr>
              <rFont val="Calibri"/>
              <b val="1"/>
              <sz val="10"/>
            </rPr>
            <t>Holders describe it with:</t>
          </r>
          <r>
            <rPr>
              <rFont val="Calibri"/>
              <sz val="10"/>
            </rPr>
            <t xml:space="preserve"> issue · support · development · data · resolution · deployment.</t>
          </r>
        </is>
      </c>
      <c r="V42"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42"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Sql · prompt engineering · debugging · ETL · Talend
★ = must-have for the family. Scale: 1 Awareness · 2 Working · 3 Practitioner · 4 Advanced · 5 Expert.</t>
          </r>
        </is>
      </c>
      <c r="X42"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2" s="124" t="inlineStr">
        <is>
          <t>iDEAL · Technology · Band A · Early career</t>
        </is>
      </c>
      <c r="Z42" s="125" t="n">
        <v>2.5</v>
      </c>
      <c r="AA42" s="126">
        <f>IFERROR(INDEX(WM_C,MATCH($Y42,WM_KEY,0)),"")</f>
        <v>0.64</v>
      </c>
      <c r="AB42" s="127">
        <f>IF(Z42="","",Z42*AA42)</f>
        <v>1.6</v>
      </c>
      <c r="AC42" s="125" t="n">
        <v>2</v>
      </c>
      <c r="AD42" s="126">
        <f>IFERROR(INDEX(WM_AU,MATCH($Y42,WM_KEY,0)),"")</f>
        <v>0.16</v>
      </c>
      <c r="AE42" s="127">
        <f>IF(AC42="","",AC42*AD42)</f>
        <v>0.32</v>
      </c>
      <c r="AF42" s="125" t="n">
        <v>2.5</v>
      </c>
      <c r="AG42" s="126">
        <f>IFERROR(INDEX(WM_AC,MATCH($Y42,WM_KEY,0)),"")</f>
        <v>0.04</v>
      </c>
      <c r="AH42" s="127">
        <f>IF(AF42="","",AF42*AG42)</f>
        <v>0.1</v>
      </c>
      <c r="AI42" s="125" t="n">
        <v>1</v>
      </c>
      <c r="AJ42" s="126">
        <f>IFERROR(INDEX(WM_L,MATCH($Y42,WM_KEY,0)),"")</f>
        <v>0</v>
      </c>
      <c r="AK42" s="127">
        <f>IF(AI42="","",AI42*AJ42)</f>
        <v>0</v>
      </c>
      <c r="AL42" s="125" t="n">
        <v>4.5</v>
      </c>
      <c r="AM42" s="126">
        <f>IFERROR(INDEX(WM_E,MATCH($Y42,WM_KEY,0)),"")</f>
        <v>0.1</v>
      </c>
      <c r="AN42" s="127">
        <f>IF(AL42="","",AL42*AM42)</f>
        <v>0.45</v>
      </c>
      <c r="AO42" s="128" t="n">
        <v>3</v>
      </c>
      <c r="AP42" s="126">
        <f>IFERROR(INDEX(WM_BI,MATCH($Y42,WM_KEY,0)),"")</f>
        <v>0.06</v>
      </c>
      <c r="AQ42" s="127">
        <f>IF(AO42="","",AO42*AP42)</f>
        <v>0.18</v>
      </c>
      <c r="AR42" s="127">
        <f>IF(COUNT(AB42,AE42,AH42,AK42,AN42,AQ42)&lt;6,"",SUM(AB42,AE42,AH42,AK42,AN42,AQ42))</f>
        <v>2.65</v>
      </c>
      <c r="AS42" s="129" t="str">
        <f>IF(AR42="","",INDEX({"A1","A2","A3","B1","B2","B3","C1","C2","D1","D2","E1","E2"},MAX(1,MIN(12,ROUND(AR42,0)))))</f>
        <v>A3</v>
      </c>
      <c r="AT42"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2" s="131" t="inlineStr">
        <is>
          <r>
            <rPr>
              <rFont val="Calibri"/>
              <b val="1"/>
              <sz val="10"/>
            </rPr>
            <t>At build:</t>
          </r>
          <r>
            <rPr>
              <rFont val="Calibri"/>
              <sz val="10"/>
            </rPr>
            <t xml:space="preserve"> Complexity 1.60 + Autonomy 0.32 + Accountability 0.10 + Leadership 0.00 + Experience 0.45 + Business impact 0.18
= 2.65 points → nearest level 3 = A3
</t>
          </r>
          <r>
            <rPr>
              <rFont val="Calibri"/>
              <b val="1"/>
              <sz val="10"/>
            </rPr>
            <t>Final level:</t>
          </r>
          <r>
            <rPr>
              <rFont val="Calibri"/>
              <sz val="10"/>
            </rPr>
            <t xml:space="preserve"> A3 · same as the score</t>
          </r>
        </is>
      </c>
      <c r="AV42" s="131" t="inlineStr">
        <is>
          <r>
            <rPr>
              <rFont val="Calibri"/>
              <b val="1"/>
              <sz val="10"/>
            </rPr>
            <t>No rule applied:</t>
          </r>
          <r>
            <rPr>
              <rFont val="Calibri"/>
              <sz val="10"/>
            </rPr>
            <t xml:space="preserve"> the score decides.</t>
          </r>
        </is>
      </c>
      <c r="AW42"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Data models, stored procedures, query optimisation, performance monitoring and production issue support → moved up 0.5
</t>
          </r>
          <r>
            <rPr>
              <rFont val="Calibri"/>
              <b val="1"/>
              <sz val="10"/>
            </rPr>
            <t>KRA:</t>
          </r>
          <r>
            <rPr>
              <rFont val="Calibri"/>
              <sz val="10"/>
            </rPr>
            <t xml:space="preserve"> “1.Ensure timely and high-quality delivery of database development tasks across Oracle and SQL Server 2.Ensure continuous skill development…”
</t>
          </r>
          <r>
            <rPr>
              <rFont val="Calibri"/>
              <b val="1"/>
              <sz val="10"/>
            </rPr>
            <t>Market:</t>
          </r>
          <r>
            <rPr>
              <rFont val="Calibri"/>
              <sz val="10"/>
            </rPr>
            <t xml:space="preserve"> A2 = Standard work of the discipline · A3 = Varied and non-standard work; handles exceptions</t>
          </r>
        </is>
      </c>
      <c r="AX42" s="133"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Market:</t>
          </r>
          <r>
            <rPr>
              <rFont val="Calibri"/>
              <sz val="10"/>
            </rPr>
            <t xml:space="preserve"> A2 = Chooses own approach within standards</t>
          </r>
        </is>
      </c>
      <c r="AY42" s="133"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Data integrity and database performance; errors cause downtime or reporting issues → moved up 0.5
</t>
          </r>
          <r>
            <rPr>
              <rFont val="Calibri"/>
              <b val="1"/>
              <sz val="10"/>
            </rPr>
            <t>KRA:</t>
          </r>
          <r>
            <rPr>
              <rFont val="Calibri"/>
              <sz val="10"/>
            </rPr>
            <t xml:space="preserve"> “1.Ensure timely and high-quality delivery of database development tasks across Oracle and SQL Server 2.Ensure continuous skill development…”
</t>
          </r>
          <r>
            <rPr>
              <rFont val="Calibri"/>
              <b val="1"/>
              <sz val="10"/>
            </rPr>
            <t>Market:</t>
          </r>
          <r>
            <rPr>
              <rFont val="Calibri"/>
              <sz val="10"/>
            </rPr>
            <t xml:space="preserve"> A2 = Own deliverables · accuracy, TAT · A3 = A module / process, or work with client or regulatory consequences</t>
          </r>
        </is>
      </c>
      <c r="AZ42" s="133"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42" s="133" t="inlineStr">
        <is>
          <r>
            <rPr>
              <rFont val="Calibri"/>
              <sz val="10"/>
            </rPr>
            <t xml:space="preserve">Rated 4.5 of 12 · between B1 and B2
</t>
          </r>
          <r>
            <rPr>
              <rFont val="Calibri"/>
              <b val="1"/>
              <sz val="10"/>
            </rPr>
            <t>Experience:</t>
          </r>
          <r>
            <rPr>
              <rFont val="Calibri"/>
              <sz val="10"/>
            </rPr>
            <t xml:space="preserve"> 6.9 yrs total · 0.6 before IRIS + 6.3 at IRIS = 4.7 on the experience scale
</t>
          </r>
          <r>
            <rPr>
              <rFont val="Calibri"/>
              <b val="1"/>
              <sz val="10"/>
            </rPr>
            <t>Qualification:</t>
          </r>
          <r>
            <rPr>
              <rFont val="Calibri"/>
              <sz val="10"/>
            </rPr>
            <t xml:space="preserve"> BCA · graduate, relevant to the work → no change
</t>
          </r>
          <r>
            <rPr>
              <rFont val="Calibri"/>
              <b val="1"/>
              <sz val="10"/>
            </rPr>
            <t>Market:</t>
          </r>
          <r>
            <rPr>
              <rFont val="Calibri"/>
              <sz val="10"/>
            </rPr>
            <t xml:space="preserve"> A3 roles typically have 2–5 yrs · IRIS guide 2–4</t>
          </r>
        </is>
      </c>
      <c r="BB42" s="133"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42" s="134" t="inlineStr"/>
      <c r="BD42" s="135" t="inlineStr">
        <is>
          <t>✓ HRIS: 6.9 yrs, BCA, 0 direct reports
✓ Survey: 20 of 20 questions answered
✓ KRAs: self, manager-set, quarterly
✓ Manager mapping: rating, potential, 9-box
✗ Job description: not on file</t>
        </is>
      </c>
      <c r="BE42" s="135"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42" s="135" t="inlineStr">
        <is>
          <t>High</t>
        </is>
      </c>
      <c r="BG42" s="135" t="inlineStr"/>
      <c r="BH42" s="135" t="inlineStr"/>
      <c r="BI42" s="136" t="n"/>
      <c r="BJ42" s="137" t="n"/>
      <c r="BK42" s="137" t="n"/>
      <c r="BL42" s="137" t="n"/>
      <c r="BM42" s="137" t="n"/>
      <c r="BN42" s="138" t="n"/>
      <c r="BO42" s="121" t="n"/>
      <c r="BP42" s="121" t="n"/>
      <c r="BQ42" s="121" t="n"/>
      <c r="BR42" s="121" t="n"/>
      <c r="BS42" s="121" t="n"/>
      <c r="BT42" s="121" t="n"/>
      <c r="BU42" s="121" t="n"/>
      <c r="BV42" s="121" t="n">
        <v>3</v>
      </c>
    </row>
    <row r="43" ht="340" customHeight="1">
      <c r="A43" s="109" t="inlineStr">
        <is>
          <t>IRIS2260</t>
        </is>
      </c>
      <c r="B43" s="110" t="inlineStr">
        <is>
          <t>Pratik Ekhande</t>
        </is>
      </c>
      <c r="C43" s="111" t="inlineStr">
        <is>
          <t>Technology</t>
        </is>
      </c>
      <c r="D43" s="111" t="inlineStr">
        <is>
          <t>Jitendra Kumar</t>
        </is>
      </c>
      <c r="E43" s="112" t="n">
        <v>2.3</v>
      </c>
      <c r="F43" s="112" t="n">
        <v>2.3</v>
      </c>
      <c r="G43" s="111" t="inlineStr">
        <is>
          <t>B.E</t>
        </is>
      </c>
      <c r="H43" s="113" t="inlineStr">
        <is>
          <t>Software Engineer</t>
        </is>
      </c>
      <c r="I43" s="114" t="inlineStr">
        <is>
          <t>Senior Software Engineer</t>
        </is>
      </c>
      <c r="J43" s="115" t="inlineStr">
        <is>
          <t>Engineering &amp; Development</t>
        </is>
      </c>
      <c r="K43" s="115" t="inlineStr">
        <is>
          <t>Backend Development</t>
        </is>
      </c>
      <c r="L43" s="114" t="inlineStr">
        <is>
          <t>L3 – Professional / Associate</t>
        </is>
      </c>
      <c r="M43" s="141" t="inlineStr">
        <is>
          <t>A3</t>
        </is>
      </c>
      <c r="N43" s="117" t="inlineStr">
        <is>
          <t>Senior Associate</t>
        </is>
      </c>
      <c r="O43" s="26" t="inlineStr">
        <is>
          <t>A</t>
        </is>
      </c>
      <c r="P43" s="115" t="inlineStr">
        <is>
          <t>IC</t>
        </is>
      </c>
      <c r="Q43" s="142" t="inlineStr">
        <is>
          <t>▲ Up</t>
        </is>
      </c>
      <c r="R43"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43"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Emerging Talent.</t>
          </r>
        </is>
      </c>
      <c r="T43" s="121" t="n"/>
      <c r="U43" s="122" t="inlineStr">
        <is>
          <r>
            <rPr>
              <rFont val="Calibri"/>
              <sz val="10"/>
            </rPr>
            <t xml:space="preserve">Senior Software Engineer in Technology · iDEAL,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43"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43"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43"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3" s="124" t="inlineStr">
        <is>
          <t>iDEAL · Technology · Band A · Early career</t>
        </is>
      </c>
      <c r="Z43" s="125" t="n">
        <v>2</v>
      </c>
      <c r="AA43" s="126">
        <f>IFERROR(INDEX(WM_C,MATCH($Y43,WM_KEY,0)),"")</f>
        <v>0.64</v>
      </c>
      <c r="AB43" s="127">
        <f>IF(Z43="","",Z43*AA43)</f>
        <v>1.28</v>
      </c>
      <c r="AC43" s="125" t="n">
        <v>2</v>
      </c>
      <c r="AD43" s="126">
        <f>IFERROR(INDEX(WM_AU,MATCH($Y43,WM_KEY,0)),"")</f>
        <v>0.16</v>
      </c>
      <c r="AE43" s="127">
        <f>IF(AC43="","",AC43*AD43)</f>
        <v>0.32</v>
      </c>
      <c r="AF43" s="125" t="n">
        <v>2.5</v>
      </c>
      <c r="AG43" s="126">
        <f>IFERROR(INDEX(WM_AC,MATCH($Y43,WM_KEY,0)),"")</f>
        <v>0.04</v>
      </c>
      <c r="AH43" s="127">
        <f>IF(AF43="","",AF43*AG43)</f>
        <v>0.1</v>
      </c>
      <c r="AI43" s="125" t="n">
        <v>1</v>
      </c>
      <c r="AJ43" s="126">
        <f>IFERROR(INDEX(WM_L,MATCH($Y43,WM_KEY,0)),"")</f>
        <v>0</v>
      </c>
      <c r="AK43" s="127">
        <f>IF(AI43="","",AI43*AJ43)</f>
        <v>0</v>
      </c>
      <c r="AL43" s="125" t="n">
        <v>2.5</v>
      </c>
      <c r="AM43" s="126">
        <f>IFERROR(INDEX(WM_E,MATCH($Y43,WM_KEY,0)),"")</f>
        <v>0.1</v>
      </c>
      <c r="AN43" s="127">
        <f>IF(AL43="","",AL43*AM43)</f>
        <v>0.25</v>
      </c>
      <c r="AO43" s="128" t="n">
        <v>3</v>
      </c>
      <c r="AP43" s="126">
        <f>IFERROR(INDEX(WM_BI,MATCH($Y43,WM_KEY,0)),"")</f>
        <v>0.06</v>
      </c>
      <c r="AQ43" s="127">
        <f>IF(AO43="","",AO43*AP43)</f>
        <v>0.18</v>
      </c>
      <c r="AR43" s="127">
        <f>IF(COUNT(AB43,AE43,AH43,AK43,AN43,AQ43)&lt;6,"",SUM(AB43,AE43,AH43,AK43,AN43,AQ43))</f>
        <v>2.13</v>
      </c>
      <c r="AS43" s="129" t="str">
        <f>IF(AR43="","",INDEX({"A1","A2","A3","B1","B2","B3","C1","C2","D1","D2","E1","E2"},MAX(1,MIN(12,ROUND(AR43,0)))))</f>
        <v>A2</v>
      </c>
      <c r="AT43"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3" s="131" t="inlineStr">
        <is>
          <r>
            <rPr>
              <rFont val="Calibri"/>
              <b val="1"/>
              <sz val="10"/>
            </rPr>
            <t>At build:</t>
          </r>
          <r>
            <rPr>
              <rFont val="Calibri"/>
              <sz val="10"/>
            </rPr>
            <t xml:space="preserve"> Complexity 1.28 + Autonomy 0.32 + Accountability 0.10 + Leadership 0.00 + Experience 0.25 + Business impact 0.18
= 2.13 points → nearest level 2 = A2
</t>
          </r>
          <r>
            <rPr>
              <rFont val="Calibri"/>
              <b val="1"/>
              <sz val="10"/>
            </rPr>
            <t>Final level:</t>
          </r>
          <r>
            <rPr>
              <rFont val="Calibri"/>
              <sz val="10"/>
            </rPr>
            <t xml:space="preserve"> A3 · a rule applied: see the next column</t>
          </r>
        </is>
      </c>
      <c r="AV43" s="131" t="inlineStr">
        <is>
          <r>
            <rPr>
              <rFont val="Calibri"/>
              <sz val="10"/>
            </rPr>
            <t xml:space="preserve">•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AW43" s="132" t="inlineStr">
        <is>
          <r>
            <rPr>
              <rFont val="Calibri"/>
              <sz val="10"/>
            </rPr>
            <t xml:space="preserve">Rated 2 of 12
</t>
          </r>
          <r>
            <rPr>
              <rFont val="Calibri"/>
              <b val="1"/>
              <sz val="10"/>
            </rPr>
            <t>Start:</t>
          </r>
          <r>
            <rPr>
              <rFont val="Calibri"/>
              <sz val="10"/>
            </rPr>
            <t xml:space="preserve"> 2.0 · practitioner title
Evidence reads like A2:.NET Core development from requirements; asks experienced seniors for review → matches the start
</t>
          </r>
          <r>
            <rPr>
              <rFont val="Calibri"/>
              <b val="1"/>
              <sz val="10"/>
            </rPr>
            <t>KRA:</t>
          </r>
          <r>
            <rPr>
              <rFont val="Calibri"/>
              <sz val="10"/>
            </rPr>
            <t xml:space="preserve"> “1. Feature Delivery: Complete assigned features/stories with 90%+ sprint commitment accuracy. 2. Code Quality: Maintain a bug-escape rate…”
</t>
          </r>
          <r>
            <rPr>
              <rFont val="Calibri"/>
              <b val="1"/>
              <sz val="10"/>
            </rPr>
            <t>Market:</t>
          </r>
          <r>
            <rPr>
              <rFont val="Calibri"/>
              <sz val="10"/>
            </rPr>
            <t xml:space="preserve"> A2 = Standard work of the discipline</t>
          </r>
        </is>
      </c>
      <c r="AX43" s="133"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prerequisites / BRD design; relies on senior review → matches the start
</t>
          </r>
          <r>
            <rPr>
              <rFont val="Calibri"/>
              <b val="1"/>
              <sz val="10"/>
            </rPr>
            <t>Market:</t>
          </r>
          <r>
            <rPr>
              <rFont val="Calibri"/>
              <sz val="10"/>
            </rPr>
            <t xml:space="preserve"> A2 = Chooses own approach within standards</t>
          </r>
        </is>
      </c>
      <c r="AY43" s="133"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Module flow errors produce improper instances and entity filing issues → moved up 0.5
</t>
          </r>
          <r>
            <rPr>
              <rFont val="Calibri"/>
              <b val="1"/>
              <sz val="10"/>
            </rPr>
            <t>KRA:</t>
          </r>
          <r>
            <rPr>
              <rFont val="Calibri"/>
              <sz val="10"/>
            </rPr>
            <t xml:space="preserve"> “1. Feature Delivery: Complete assigned features/stories with 90%+ sprint commitment accuracy. 2. Code Quality: Maintain a bug-escape rate…”
</t>
          </r>
          <r>
            <rPr>
              <rFont val="Calibri"/>
              <b val="1"/>
              <sz val="10"/>
            </rPr>
            <t>Market:</t>
          </r>
          <r>
            <rPr>
              <rFont val="Calibri"/>
              <sz val="10"/>
            </rPr>
            <t xml:space="preserve"> A2 = Own deliverables · accuracy, TAT · A3 = A module / process, or work with client or regulatory consequences</t>
          </r>
        </is>
      </c>
      <c r="AZ43" s="133"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43" s="133" t="inlineStr">
        <is>
          <r>
            <rPr>
              <rFont val="Calibri"/>
              <sz val="10"/>
            </rPr>
            <t xml:space="preserve">Rated 2.5 of 12 · between A2 and A3
</t>
          </r>
          <r>
            <rPr>
              <rFont val="Calibri"/>
              <b val="1"/>
              <sz val="10"/>
            </rPr>
            <t>Experience:</t>
          </r>
          <r>
            <rPr>
              <rFont val="Calibri"/>
              <sz val="10"/>
            </rPr>
            <t xml:space="preserve"> 2.3 yrs total · 2.3 at IRIS; none recorded before IRIS = 2.6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43" s="133"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43" s="134" t="inlineStr"/>
      <c r="BD43" s="135" t="inlineStr">
        <is>
          <t>✓ HRIS: 2.3 yrs, B.E, 0 direct reports
✓ Survey: 20 of 20 questions answered
✓ KRAs: self, manager-set, quarterly
✓ Manager mapping: rating, potential, 9-box
✗ Job description: not on file</t>
        </is>
      </c>
      <c r="BE43" s="135"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43" s="135" t="inlineStr">
        <is>
          <t>Medium</t>
        </is>
      </c>
      <c r="BG43" s="135" t="inlineStr"/>
      <c r="BH43" s="135" t="inlineStr"/>
      <c r="BI43" s="136" t="n"/>
      <c r="BJ43" s="137" t="n"/>
      <c r="BK43" s="137" t="n"/>
      <c r="BL43" s="137" t="n"/>
      <c r="BM43" s="137" t="n"/>
      <c r="BN43" s="138" t="n"/>
      <c r="BO43" s="121" t="n"/>
      <c r="BP43" s="121" t="n"/>
      <c r="BQ43" s="121" t="n"/>
      <c r="BR43" s="121" t="n"/>
      <c r="BS43" s="121" t="n"/>
      <c r="BT43" s="121" t="n"/>
      <c r="BU43" s="121" t="n"/>
      <c r="BV43" s="121" t="n">
        <v>3</v>
      </c>
    </row>
    <row r="44" ht="340" customHeight="1">
      <c r="A44" s="109" t="inlineStr">
        <is>
          <t>IRIS2038</t>
        </is>
      </c>
      <c r="B44" s="110" t="inlineStr">
        <is>
          <t>Swapnil Shirke</t>
        </is>
      </c>
      <c r="C44" s="111" t="inlineStr">
        <is>
          <t>Technology</t>
        </is>
      </c>
      <c r="D44" s="111" t="inlineStr">
        <is>
          <t>Jitendra Kumar</t>
        </is>
      </c>
      <c r="E44" s="112" t="n">
        <v>4.2</v>
      </c>
      <c r="F44" s="112" t="n">
        <v>4.2</v>
      </c>
      <c r="G44" s="111" t="inlineStr">
        <is>
          <t>B.E</t>
        </is>
      </c>
      <c r="H44" s="113" t="inlineStr">
        <is>
          <t>Software Engineer</t>
        </is>
      </c>
      <c r="I44" s="114" t="inlineStr">
        <is>
          <t>Senior Software Engineer</t>
        </is>
      </c>
      <c r="J44" s="115" t="inlineStr">
        <is>
          <t>Engineering &amp; Development</t>
        </is>
      </c>
      <c r="K44" s="115" t="inlineStr">
        <is>
          <t>Backend Development</t>
        </is>
      </c>
      <c r="L44" s="114" t="inlineStr">
        <is>
          <t>L3 – Professional / Associate</t>
        </is>
      </c>
      <c r="M44" s="141" t="inlineStr">
        <is>
          <t>A3</t>
        </is>
      </c>
      <c r="N44" s="117" t="inlineStr">
        <is>
          <t>Senior Associate</t>
        </is>
      </c>
      <c r="O44" s="26" t="inlineStr">
        <is>
          <t>A</t>
        </is>
      </c>
      <c r="P44" s="115" t="inlineStr">
        <is>
          <t>IC</t>
        </is>
      </c>
      <c r="Q44" s="142" t="inlineStr">
        <is>
          <t>▲ Up</t>
        </is>
      </c>
      <c r="R44"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44"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4.5 of 12 · B1-level impact.
Leads 4 direct reports.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5 · Potential: High · 9-Box Grid placement: High Impact / Growth Talent.</t>
          </r>
        </is>
      </c>
      <c r="T44" s="121" t="n"/>
      <c r="U44" s="122" t="inlineStr">
        <is>
          <r>
            <rPr>
              <rFont val="Calibri"/>
              <sz val="10"/>
            </rPr>
            <t xml:space="preserve">Senior Software Engineer in Technology · iDEAL,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
Leads 4 direct reports.</t>
          </r>
        </is>
      </c>
      <c r="V44"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44"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44"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4" s="124" t="inlineStr">
        <is>
          <t>iDEAL · Technology · Band A · Early career</t>
        </is>
      </c>
      <c r="Z44" s="125" t="n">
        <v>2.5</v>
      </c>
      <c r="AA44" s="126">
        <f>IFERROR(INDEX(WM_C,MATCH($Y44,WM_KEY,0)),"")</f>
        <v>0.64</v>
      </c>
      <c r="AB44" s="127">
        <f>IF(Z44="","",Z44*AA44)</f>
        <v>1.6</v>
      </c>
      <c r="AC44" s="125" t="n">
        <v>3</v>
      </c>
      <c r="AD44" s="126">
        <f>IFERROR(INDEX(WM_AU,MATCH($Y44,WM_KEY,0)),"")</f>
        <v>0.16</v>
      </c>
      <c r="AE44" s="127">
        <f>IF(AC44="","",AC44*AD44)</f>
        <v>0.48</v>
      </c>
      <c r="AF44" s="125" t="n">
        <v>4.5</v>
      </c>
      <c r="AG44" s="126">
        <f>IFERROR(INDEX(WM_AC,MATCH($Y44,WM_KEY,0)),"")</f>
        <v>0.04</v>
      </c>
      <c r="AH44" s="127">
        <f>IF(AF44="","",AF44*AG44)</f>
        <v>0.18</v>
      </c>
      <c r="AI44" s="125" t="n">
        <v>4</v>
      </c>
      <c r="AJ44" s="126">
        <f>IFERROR(INDEX(WM_L,MATCH($Y44,WM_KEY,0)),"")</f>
        <v>0</v>
      </c>
      <c r="AK44" s="127">
        <f>IF(AI44="","",AI44*AJ44)</f>
        <v>0</v>
      </c>
      <c r="AL44" s="125" t="n">
        <v>3.5</v>
      </c>
      <c r="AM44" s="126">
        <f>IFERROR(INDEX(WM_E,MATCH($Y44,WM_KEY,0)),"")</f>
        <v>0.1</v>
      </c>
      <c r="AN44" s="127">
        <f>IF(AL44="","",AL44*AM44)</f>
        <v>0.35</v>
      </c>
      <c r="AO44" s="128" t="n">
        <v>5</v>
      </c>
      <c r="AP44" s="126">
        <f>IFERROR(INDEX(WM_BI,MATCH($Y44,WM_KEY,0)),"")</f>
        <v>0.06</v>
      </c>
      <c r="AQ44" s="127">
        <f>IF(AO44="","",AO44*AP44)</f>
        <v>0.3</v>
      </c>
      <c r="AR44" s="127">
        <f>IF(COUNT(AB44,AE44,AH44,AK44,AN44,AQ44)&lt;6,"",SUM(AB44,AE44,AH44,AK44,AN44,AQ44))</f>
        <v>2.91</v>
      </c>
      <c r="AS44" s="129" t="str">
        <f>IF(AR44="","",INDEX({"A1","A2","A3","B1","B2","B3","C1","C2","D1","D2","E1","E2"},MAX(1,MIN(12,ROUND(AR44,0)))))</f>
        <v>A3</v>
      </c>
      <c r="AT44"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4" s="131" t="inlineStr">
        <is>
          <r>
            <rPr>
              <rFont val="Calibri"/>
              <b val="1"/>
              <sz val="10"/>
            </rPr>
            <t>At build:</t>
          </r>
          <r>
            <rPr>
              <rFont val="Calibri"/>
              <sz val="10"/>
            </rPr>
            <t xml:space="preserve"> Complexity 1.60 + Autonomy 0.48 + Accountability 0.18 + Leadership 0.00 + Experience 0.35 + Business impact 0.30
= 2.91 points → nearest level 3 = A3
</t>
          </r>
          <r>
            <rPr>
              <rFont val="Calibri"/>
              <b val="1"/>
              <sz val="10"/>
            </rPr>
            <t>Final level:</t>
          </r>
          <r>
            <rPr>
              <rFont val="Calibri"/>
              <sz val="10"/>
            </rPr>
            <t xml:space="preserve"> A3 · same as the score</t>
          </r>
        </is>
      </c>
      <c r="AV44" s="131" t="inlineStr">
        <is>
          <r>
            <rPr>
              <rFont val="Calibri"/>
              <b val="1"/>
              <sz val="10"/>
            </rPr>
            <t>No rule applied:</t>
          </r>
          <r>
            <rPr>
              <rFont val="Calibri"/>
              <sz val="10"/>
            </rPr>
            <t xml:space="preserve"> the score decides.</t>
          </r>
        </is>
      </c>
      <c r="AW44"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AI-Assisted Development Adoption: Use AI coding assistants for at least 60% of development tasks, with no increase in bug-escape rate.…”
</t>
          </r>
          <r>
            <rPr>
              <rFont val="Calibri"/>
              <b val="1"/>
              <sz val="10"/>
            </rPr>
            <t>Market:</t>
          </r>
          <r>
            <rPr>
              <rFont val="Calibri"/>
              <sz val="10"/>
            </rPr>
            <t xml:space="preserve"> A2 = Standard work of the discipline · A3 = Varied and non-standard work; handles exceptions</t>
          </r>
        </is>
      </c>
      <c r="AX44" s="133" t="inlineStr">
        <is>
          <r>
            <rPr>
              <rFont val="Calibri"/>
              <sz val="10"/>
            </rPr>
            <t xml:space="preserve">Rated 3 of 12
</t>
          </r>
          <r>
            <rPr>
              <rFont val="Calibri"/>
              <b val="1"/>
              <sz val="10"/>
            </rPr>
            <t>Start:</t>
          </r>
          <r>
            <rPr>
              <rFont val="Calibri"/>
              <sz val="10"/>
            </rPr>
            <t xml:space="preserve"> 3.0 · practitioner title; reporting lines show a bigger role: 4 direct reports
</t>
          </r>
          <r>
            <rPr>
              <rFont val="Calibri"/>
              <b val="1"/>
              <sz val="10"/>
            </rPr>
            <t>Evidence:</t>
          </r>
          <r>
            <rPr>
              <rFont val="Calibri"/>
              <sz val="10"/>
            </rPr>
            <t xml:space="preserve"> rated like 36 colleagues in the same role and department · own answers too general to rate → no change
</t>
          </r>
          <r>
            <rPr>
              <rFont val="Calibri"/>
              <b val="1"/>
              <sz val="10"/>
            </rPr>
            <t>Market:</t>
          </r>
          <r>
            <rPr>
              <rFont val="Calibri"/>
              <sz val="10"/>
            </rPr>
            <t xml:space="preserve"> A3 = Technical / QC / client calls on own work</t>
          </r>
        </is>
      </c>
      <c r="AY44" s="133" t="inlineStr">
        <is>
          <r>
            <rPr>
              <rFont val="Calibri"/>
              <sz val="10"/>
            </rPr>
            <t xml:space="preserve">Rated 4.5 of 12 · between B1 and B2
</t>
          </r>
          <r>
            <rPr>
              <rFont val="Calibri"/>
              <b val="1"/>
              <sz val="10"/>
            </rPr>
            <t>Start:</t>
          </r>
          <r>
            <rPr>
              <rFont val="Calibri"/>
              <sz val="10"/>
            </rPr>
            <t xml:space="preserve"> 4.0 · practitioner title; 4 direct reports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AI-Assisted Development Adoption: Use AI coding assistants for at least 60% of development tasks, with no increase in bug-escape rate.…”
</t>
          </r>
          <r>
            <rPr>
              <rFont val="Calibri"/>
              <b val="1"/>
              <sz val="10"/>
            </rPr>
            <t>Market:</t>
          </r>
          <r>
            <rPr>
              <rFont val="Calibri"/>
              <sz val="10"/>
            </rPr>
            <t xml:space="preserve"> B1 = A domain or a small team · B2 = One team or a client portfolio</t>
          </r>
        </is>
      </c>
      <c r="AZ44" s="133" t="inlineStr">
        <is>
          <r>
            <rPr>
              <rFont val="Calibri"/>
              <sz val="10"/>
            </rPr>
            <t xml:space="preserve">Rated 4 of 12 — not counted: the weight is 0% at this level
</t>
          </r>
          <r>
            <rPr>
              <rFont val="Calibri"/>
              <b val="1"/>
              <sz val="10"/>
            </rPr>
            <t>Start:</t>
          </r>
          <r>
            <rPr>
              <rFont val="Calibri"/>
              <sz val="10"/>
            </rPr>
            <t xml:space="preserve"> 4.0
</t>
          </r>
          <r>
            <rPr>
              <rFont val="Calibri"/>
              <b val="1"/>
              <sz val="10"/>
            </rPr>
            <t>Evidence:</t>
          </r>
          <r>
            <rPr>
              <rFont val="Calibri"/>
              <sz val="10"/>
            </rPr>
            <t xml:space="preserve"> rated like 36 colleagues in the same role and department · own answers too general to rate → no change
</t>
          </r>
          <r>
            <rPr>
              <rFont val="Calibri"/>
              <b val="1"/>
              <sz val="10"/>
            </rPr>
            <t>Team:</t>
          </r>
          <r>
            <rPr>
              <rFont val="Calibri"/>
              <sz val="10"/>
            </rPr>
            <t xml:space="preserve"> 4 direct reports · IC
</t>
          </r>
          <r>
            <rPr>
              <rFont val="Calibri"/>
              <b val="1"/>
              <sz val="10"/>
            </rPr>
            <t>Market:</t>
          </r>
          <r>
            <rPr>
              <rFont val="Calibri"/>
              <sz val="10"/>
            </rPr>
            <t xml:space="preserve"> B1 = IC: mentors and reviews · People: hands-on team lead of 3–5</t>
          </r>
        </is>
      </c>
      <c r="BA44" s="133" t="inlineStr">
        <is>
          <r>
            <rPr>
              <rFont val="Calibri"/>
              <sz val="10"/>
            </rPr>
            <t xml:space="preserve">Rated 3.5 of 12 · between A3 and B1
</t>
          </r>
          <r>
            <rPr>
              <rFont val="Calibri"/>
              <b val="1"/>
              <sz val="10"/>
            </rPr>
            <t>Experience:</t>
          </r>
          <r>
            <rPr>
              <rFont val="Calibri"/>
              <sz val="10"/>
            </rPr>
            <t xml:space="preserve"> 4.2 yrs total · 4.2 at IRIS; none recorded before IRIS = 3.5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44" s="133" t="inlineStr">
        <is>
          <r>
            <rPr>
              <rFont val="Calibri"/>
              <sz val="10"/>
            </rPr>
            <t xml:space="preserve">Rated 5 of 12 — a starting estimate.
</t>
          </r>
          <r>
            <rPr>
              <rFont val="Calibri"/>
              <b val="1"/>
              <sz val="10"/>
            </rPr>
            <t>Start:</t>
          </r>
          <r>
            <rPr>
              <rFont val="Calibri"/>
              <sz val="10"/>
            </rPr>
            <t xml:space="preserve"> 4.5,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44" s="149" t="inlineStr">
        <is>
          <t>• Confirm the reporting line — Manager</t>
        </is>
      </c>
      <c r="BD44" s="135" t="inlineStr">
        <is>
          <t>✓ HRIS: 4.2 yrs, B.E, 4 direct reports
✓ Survey: 20 of 20 questions answered
✓ KRAs: self, manager-set, quarterly
✓ Manager mapping: rating, potential, 9-box
✗ Job description: not on file</t>
        </is>
      </c>
      <c r="BE44" s="135"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44" s="135" t="inlineStr">
        <is>
          <t>Low</t>
        </is>
      </c>
      <c r="BG44" s="135" t="inlineStr">
        <is>
          <t>• 4 formal direct reports in the Employee Master, but the role and score are Band A → level kept; HR to confirm whether these are real reporting lines · a first-line lead would be B1
• Survey answers are generic or do not match the role — not used as evidence; manager input needed
• Reporting lines show a much bigger role than the designation suggests — confirm the mandate; the designation may need to change</t>
        </is>
      </c>
      <c r="BH44" s="135" t="inlineStr"/>
      <c r="BI44" s="136" t="n"/>
      <c r="BJ44" s="137" t="n"/>
      <c r="BK44" s="137" t="n"/>
      <c r="BL44" s="137" t="n"/>
      <c r="BM44" s="137" t="n"/>
      <c r="BN44" s="138" t="n"/>
      <c r="BO44" s="121" t="n"/>
      <c r="BP44" s="121" t="n"/>
      <c r="BQ44" s="121" t="n"/>
      <c r="BR44" s="121" t="n"/>
      <c r="BS44" s="121" t="n"/>
      <c r="BT44" s="121" t="n"/>
      <c r="BU44" s="121" t="n"/>
      <c r="BV44" s="121" t="n">
        <v>5</v>
      </c>
    </row>
    <row r="45" ht="340" customHeight="1">
      <c r="A45" s="109" t="inlineStr">
        <is>
          <t>IRIS2259</t>
        </is>
      </c>
      <c r="B45" s="110" t="inlineStr">
        <is>
          <t>Tushar Kadu Nimbolkar</t>
        </is>
      </c>
      <c r="C45" s="111" t="inlineStr">
        <is>
          <t>Technology</t>
        </is>
      </c>
      <c r="D45" s="111" t="inlineStr">
        <is>
          <t>Jitendra Kumar</t>
        </is>
      </c>
      <c r="E45" s="112" t="n">
        <v>2.3</v>
      </c>
      <c r="F45" s="112" t="n">
        <v>2.3</v>
      </c>
      <c r="G45" s="111" t="inlineStr">
        <is>
          <t>B.E</t>
        </is>
      </c>
      <c r="H45" s="113" t="inlineStr">
        <is>
          <t>Software Engineer</t>
        </is>
      </c>
      <c r="I45" s="114" t="inlineStr">
        <is>
          <t>Senior Database Engineer</t>
        </is>
      </c>
      <c r="J45" s="115" t="inlineStr">
        <is>
          <t>Engineering &amp; Development</t>
        </is>
      </c>
      <c r="K45" s="115" t="inlineStr">
        <is>
          <t>Data Engineering &amp; Database Development</t>
        </is>
      </c>
      <c r="L45" s="114" t="inlineStr">
        <is>
          <t>L3 – Professional / Associate</t>
        </is>
      </c>
      <c r="M45" s="141" t="inlineStr">
        <is>
          <t>A3</t>
        </is>
      </c>
      <c r="N45" s="117" t="inlineStr">
        <is>
          <t>Senior Associate</t>
        </is>
      </c>
      <c r="O45" s="26" t="inlineStr">
        <is>
          <t>A</t>
        </is>
      </c>
      <c r="P45" s="115" t="inlineStr">
        <is>
          <t>IC</t>
        </is>
      </c>
      <c r="Q45" s="142" t="inlineStr">
        <is>
          <t>▲ Up</t>
        </is>
      </c>
      <c r="R45" s="119" t="inlineStr">
        <is>
          <r>
            <rPr>
              <rFont val="Calibri"/>
              <b val="1"/>
              <sz val="10"/>
            </rPr>
            <t>WHAT THE ROLE DOES:</t>
          </r>
          <r>
            <rPr>
              <rFont val="Calibri"/>
              <sz val="10"/>
            </rPr>
            <t xml:space="preserve"> Builds ETL pipelines, data models, stored procedures and data layers. At A3: varied work; reviews juniors; go-to for a process.
</t>
          </r>
          <r>
            <rPr>
              <rFont val="Calibri"/>
              <b val="1"/>
              <sz val="10"/>
            </rPr>
            <t>Common themes in role-holders' answers:</t>
          </r>
          <r>
            <rPr>
              <rFont val="Calibri"/>
              <sz val="10"/>
            </rPr>
            <t xml:space="preserve"> business · support · data · solutions · build · reliable
</t>
          </r>
          <r>
            <rPr>
              <rFont val="Calibri"/>
              <b val="1"/>
              <sz val="10"/>
            </rPr>
            <t>KEY RESPONSIBILITIES:</t>
          </r>
          <r>
            <rPr>
              <rFont val="Calibri"/>
              <sz val="10"/>
            </rPr>
            <t xml:space="preserve"> Builds ETL pipelines, data models, stored procedures and data layers; Varied and non-standard work; handles exceptions; A module / process, or work with client or regulatory consequences
</t>
          </r>
          <r>
            <rPr>
              <rFont val="Calibri"/>
              <b val="1"/>
              <sz val="10"/>
            </rPr>
            <t>Common themes in role-holders' answers:</t>
          </r>
          <r>
            <rPr>
              <rFont val="Calibri"/>
              <sz val="10"/>
            </rPr>
            <t xml:space="preserve"> issue · support · development · data · resolution · deployment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deliver · enhancements · solutions · product · data · models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assigned · quality · solutions · personally · delivery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troubleshoot · independently · client · implement · technical
</t>
          </r>
          <r>
            <rPr>
              <rFont val="Calibri"/>
              <b val="1"/>
              <sz val="10"/>
            </rPr>
            <t>SKILLS &amp; KNOWLEDGE · role-holders:</t>
          </r>
          <r>
            <rPr>
              <rFont val="Calibri"/>
              <sz val="10"/>
            </rPr>
            <t xml:space="preserve"> Sql · prompt engineering · debugging · ETL · Talend
</t>
          </r>
          <r>
            <rPr>
              <rFont val="Calibri"/>
              <b val="1"/>
              <sz val="10"/>
            </rPr>
            <t>MANAGER-SET KRAs:</t>
          </r>
          <r>
            <rPr>
              <rFont val="Calibri"/>
              <sz val="10"/>
            </rPr>
            <t xml:space="preserve"> Common themes in manager-set KRAs: quality · deliver · project · timely · development · code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6 answered the survey; sub-family 7 answered; catalogue RC-074</t>
          </r>
        </is>
      </c>
      <c r="S45"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work only this person does: yes; successor named: no.
</t>
          </r>
          <r>
            <rPr>
              <rFont val="Calibri"/>
              <b val="1"/>
              <sz val="10"/>
            </rPr>
            <t>If the work is missed · role-holders' themes:</t>
          </r>
          <r>
            <rPr>
              <rFont val="Calibri"/>
              <sz val="10"/>
            </rPr>
            <t xml:space="preserve"> issues · lead · incorrect · data.
</t>
          </r>
          <r>
            <rPr>
              <rFont val="Calibri"/>
              <b val="1"/>
              <sz val="10"/>
            </rPr>
            <t>Measured on · manager-set KRA themes:</t>
          </r>
          <r>
            <rPr>
              <rFont val="Calibri"/>
              <sz val="10"/>
            </rPr>
            <t xml:space="preserve"> quality · deliver · project · timely · development · code.
Manager talent mapping — Latest rating: 3 · Potential: Medium · 9-Box Grid placement: Emerging Talent.</t>
          </r>
        </is>
      </c>
      <c r="T45" s="121" t="n"/>
      <c r="U45" s="122" t="inlineStr">
        <is>
          <r>
            <rPr>
              <rFont val="Calibri"/>
              <sz val="10"/>
            </rPr>
            <t xml:space="preserve">Senior Database Engineer in Technology · iDEAL, A3 — IC.
</t>
          </r>
          <r>
            <rPr>
              <rFont val="Calibri"/>
              <b val="1"/>
              <sz val="10"/>
            </rPr>
            <t>The work:</t>
          </r>
          <r>
            <rPr>
              <rFont val="Calibri"/>
              <sz val="10"/>
            </rPr>
            <t xml:space="preserve"> Builds ETL pipelines, data models, stored procedures and data layers.
At this level the role owns varied work; reviews juniors; go-to for a process.
</t>
          </r>
          <r>
            <rPr>
              <rFont val="Calibri"/>
              <b val="1"/>
              <sz val="10"/>
            </rPr>
            <t>Key responsibilities:</t>
          </r>
          <r>
            <rPr>
              <rFont val="Calibri"/>
              <sz val="10"/>
            </rPr>
            <t xml:space="preserve"> Builds ETL pipelines, data models, stored procedures and data layers; Varied and non-standard work; handles exceptions; A module / process, or work with client or regulatory consequences.
</t>
          </r>
          <r>
            <rPr>
              <rFont val="Calibri"/>
              <b val="1"/>
              <sz val="10"/>
            </rPr>
            <t>Holders describe it with:</t>
          </r>
          <r>
            <rPr>
              <rFont val="Calibri"/>
              <sz val="10"/>
            </rPr>
            <t xml:space="preserve"> issue · support · development · data · resolution · deployment.</t>
          </r>
        </is>
      </c>
      <c r="V45"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45"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Sql · prompt engineering · debugging · ETL · Talend
★ = must-have for the family. Scale: 1 Awareness · 2 Working · 3 Practitioner · 4 Advanced · 5 Expert.</t>
          </r>
        </is>
      </c>
      <c r="X45"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5" s="124" t="inlineStr">
        <is>
          <t>iDEAL · Technology · Band A · Early career</t>
        </is>
      </c>
      <c r="Z45" s="125" t="n">
        <v>2.5</v>
      </c>
      <c r="AA45" s="126">
        <f>IFERROR(INDEX(WM_C,MATCH($Y45,WM_KEY,0)),"")</f>
        <v>0.64</v>
      </c>
      <c r="AB45" s="127">
        <f>IF(Z45="","",Z45*AA45)</f>
        <v>1.6</v>
      </c>
      <c r="AC45" s="125" t="n">
        <v>2.5</v>
      </c>
      <c r="AD45" s="126">
        <f>IFERROR(INDEX(WM_AU,MATCH($Y45,WM_KEY,0)),"")</f>
        <v>0.16</v>
      </c>
      <c r="AE45" s="127">
        <f>IF(AC45="","",AC45*AD45)</f>
        <v>0.4</v>
      </c>
      <c r="AF45" s="125" t="n">
        <v>2.5</v>
      </c>
      <c r="AG45" s="126">
        <f>IFERROR(INDEX(WM_AC,MATCH($Y45,WM_KEY,0)),"")</f>
        <v>0.04</v>
      </c>
      <c r="AH45" s="127">
        <f>IF(AF45="","",AF45*AG45)</f>
        <v>0.1</v>
      </c>
      <c r="AI45" s="125" t="n">
        <v>1</v>
      </c>
      <c r="AJ45" s="126">
        <f>IFERROR(INDEX(WM_L,MATCH($Y45,WM_KEY,0)),"")</f>
        <v>0</v>
      </c>
      <c r="AK45" s="127">
        <f>IF(AI45="","",AI45*AJ45)</f>
        <v>0</v>
      </c>
      <c r="AL45" s="125" t="n">
        <v>2.5</v>
      </c>
      <c r="AM45" s="126">
        <f>IFERROR(INDEX(WM_E,MATCH($Y45,WM_KEY,0)),"")</f>
        <v>0.1</v>
      </c>
      <c r="AN45" s="127">
        <f>IF(AL45="","",AL45*AM45)</f>
        <v>0.25</v>
      </c>
      <c r="AO45" s="128" t="n">
        <v>3.5</v>
      </c>
      <c r="AP45" s="126">
        <f>IFERROR(INDEX(WM_BI,MATCH($Y45,WM_KEY,0)),"")</f>
        <v>0.06</v>
      </c>
      <c r="AQ45" s="127">
        <f>IF(AO45="","",AO45*AP45)</f>
        <v>0.21</v>
      </c>
      <c r="AR45" s="127">
        <f>IF(COUNT(AB45,AE45,AH45,AK45,AN45,AQ45)&lt;6,"",SUM(AB45,AE45,AH45,AK45,AN45,AQ45))</f>
        <v>2.56</v>
      </c>
      <c r="AS45" s="129" t="str">
        <f>IF(AR45="","",INDEX({"A1","A2","A3","B1","B2","B3","C1","C2","D1","D2","E1","E2"},MAX(1,MIN(12,ROUND(AR45,0)))))</f>
        <v>A3</v>
      </c>
      <c r="AT45"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5" s="131" t="inlineStr">
        <is>
          <r>
            <rPr>
              <rFont val="Calibri"/>
              <b val="1"/>
              <sz val="10"/>
            </rPr>
            <t>At build:</t>
          </r>
          <r>
            <rPr>
              <rFont val="Calibri"/>
              <sz val="10"/>
            </rPr>
            <t xml:space="preserve"> Complexity 1.60 + Autonomy 0.40 + Accountability 0.10 + Leadership 0.00 + Experience 0.25 + Business impact 0.21
= 2.56 points → nearest level 3 = A3
</t>
          </r>
          <r>
            <rPr>
              <rFont val="Calibri"/>
              <b val="1"/>
              <sz val="10"/>
            </rPr>
            <t>Final level:</t>
          </r>
          <r>
            <rPr>
              <rFont val="Calibri"/>
              <sz val="10"/>
            </rPr>
            <t xml:space="preserve"> A3 · same as the score</t>
          </r>
        </is>
      </c>
      <c r="AV45" s="131" t="inlineStr">
        <is>
          <r>
            <rPr>
              <rFont val="Calibri"/>
              <b val="1"/>
              <sz val="10"/>
            </rPr>
            <t>No rule applied:</t>
          </r>
          <r>
            <rPr>
              <rFont val="Calibri"/>
              <sz val="10"/>
            </rPr>
            <t xml:space="preserve"> the score decides.</t>
          </r>
        </is>
      </c>
      <c r="AW45"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Coding, client calls and support, deployment, R&amp;D, documentation; SQL, ETL and data engineering → moved up 0.5
</t>
          </r>
          <r>
            <rPr>
              <rFont val="Calibri"/>
              <b val="1"/>
              <sz val="10"/>
            </rPr>
            <t>KRA:</t>
          </r>
          <r>
            <rPr>
              <rFont val="Calibri"/>
              <sz val="10"/>
            </rPr>
            <t xml:space="preserve"> “1. Feature Delivery: Complete assigned features/stories with 90%+ sprint commitment accuracy. 2. Code Quality: Maintain a bug-escape rate…”
</t>
          </r>
          <r>
            <rPr>
              <rFont val="Calibri"/>
              <b val="1"/>
              <sz val="10"/>
            </rPr>
            <t>Market:</t>
          </r>
          <r>
            <rPr>
              <rFont val="Calibri"/>
              <sz val="10"/>
            </rPr>
            <t xml:space="preserve"> A2 = Standard work of the discipline · A3 = Varied and non-standard work; handles exceptions</t>
          </r>
        </is>
      </c>
      <c r="AX45" s="133"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Independently handles client support, issues and code enhancements → moved up 0.5
</t>
          </r>
          <r>
            <rPr>
              <rFont val="Calibri"/>
              <b val="1"/>
              <sz val="10"/>
            </rPr>
            <t>Market:</t>
          </r>
          <r>
            <rPr>
              <rFont val="Calibri"/>
              <sz val="10"/>
            </rPr>
            <t xml:space="preserve"> A2 = Chooses own approach within standards · A3 = Technical / QC / client calls on own work</t>
          </r>
        </is>
      </c>
      <c r="AY45" s="133"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Logic and code he develops, plus shared client support; escalations if wrong → moved up 0.5
</t>
          </r>
          <r>
            <rPr>
              <rFont val="Calibri"/>
              <b val="1"/>
              <sz val="10"/>
            </rPr>
            <t>KRA:</t>
          </r>
          <r>
            <rPr>
              <rFont val="Calibri"/>
              <sz val="10"/>
            </rPr>
            <t xml:space="preserve"> “1. Feature Delivery: Complete assigned features/stories with 90%+ sprint commitment accuracy. 2. Code Quality: Maintain a bug-escape rate…”
</t>
          </r>
          <r>
            <rPr>
              <rFont val="Calibri"/>
              <b val="1"/>
              <sz val="10"/>
            </rPr>
            <t>Market:</t>
          </r>
          <r>
            <rPr>
              <rFont val="Calibri"/>
              <sz val="10"/>
            </rPr>
            <t xml:space="preserve"> A2 = Own deliverables · accuracy, TAT · A3 = A module / process, or work with client or regulatory consequences</t>
          </r>
        </is>
      </c>
      <c r="AZ45" s="133"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Leadership named only as a quality; no guidance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45" s="133" t="inlineStr">
        <is>
          <r>
            <rPr>
              <rFont val="Calibri"/>
              <sz val="10"/>
            </rPr>
            <t xml:space="preserve">Rated 2.5 of 12 · between A2 and A3
</t>
          </r>
          <r>
            <rPr>
              <rFont val="Calibri"/>
              <b val="1"/>
              <sz val="10"/>
            </rPr>
            <t>Experience:</t>
          </r>
          <r>
            <rPr>
              <rFont val="Calibri"/>
              <sz val="10"/>
            </rPr>
            <t xml:space="preserve"> 2.3 yrs total · 2.3 at IRIS; none recorded before IRIS = 2.6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45" s="133" t="inlineStr">
        <is>
          <r>
            <rPr>
              <rFont val="Calibri"/>
              <sz val="10"/>
            </rPr>
            <t xml:space="preserve">Rated 3.5 of 12 — a starting estimate.
</t>
          </r>
          <r>
            <rPr>
              <rFont val="Calibri"/>
              <b val="1"/>
              <sz val="10"/>
            </rPr>
            <t>Start:</t>
          </r>
          <r>
            <rPr>
              <rFont val="Calibri"/>
              <sz val="10"/>
            </rPr>
            <t xml:space="preserve"> 2.5, the role's accountability scope — what it answers for.
</t>
          </r>
          <r>
            <rPr>
              <rFont val="Calibri"/>
              <b val="1"/>
              <sz val="10"/>
            </rPr>
            <t>Moved +1:</t>
          </r>
          <r>
            <rPr>
              <rFont val="Calibri"/>
              <sz val="10"/>
            </rPr>
            <t xml:space="preserve"> the survey / manager mapping marks it business-critical and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45" s="134" t="inlineStr"/>
      <c r="BD45" s="135" t="inlineStr">
        <is>
          <t>✓ HRIS: 2.3 yrs, B.E, 0 direct reports
✓ Survey: 20 of 20 questions answered
✓ KRAs: self, manager-set, quarterly
✓ Manager mapping: rating, potential, 9-box
✗ Job description: not on file</t>
        </is>
      </c>
      <c r="BE45" s="135"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45" s="135" t="inlineStr">
        <is>
          <t>Medium</t>
        </is>
      </c>
      <c r="BG45" s="135" t="inlineStr"/>
      <c r="BH45" s="135" t="inlineStr"/>
      <c r="BI45" s="136" t="n"/>
      <c r="BJ45" s="137" t="n"/>
      <c r="BK45" s="137" t="n"/>
      <c r="BL45" s="137" t="n"/>
      <c r="BM45" s="137" t="n"/>
      <c r="BN45" s="138" t="n"/>
      <c r="BO45" s="121" t="n"/>
      <c r="BP45" s="121" t="n"/>
      <c r="BQ45" s="121" t="n"/>
      <c r="BR45" s="121" t="n"/>
      <c r="BS45" s="121" t="n"/>
      <c r="BT45" s="121" t="n"/>
      <c r="BU45" s="121" t="n"/>
      <c r="BV45" s="121" t="n">
        <v>3.5</v>
      </c>
    </row>
    <row r="46" ht="340" customHeight="1">
      <c r="A46" s="109" t="inlineStr">
        <is>
          <t>IRIS2258</t>
        </is>
      </c>
      <c r="B46" s="110" t="inlineStr">
        <is>
          <t>Vaibhav Govind Gahat</t>
        </is>
      </c>
      <c r="C46" s="111" t="inlineStr">
        <is>
          <t>Technology</t>
        </is>
      </c>
      <c r="D46" s="111" t="inlineStr">
        <is>
          <t>Jitendra Kumar</t>
        </is>
      </c>
      <c r="E46" s="112" t="n">
        <v>2.3</v>
      </c>
      <c r="F46" s="112" t="n">
        <v>2.3</v>
      </c>
      <c r="G46" s="111" t="inlineStr">
        <is>
          <t>B.E</t>
        </is>
      </c>
      <c r="H46" s="113" t="inlineStr">
        <is>
          <t>Software Engineer</t>
        </is>
      </c>
      <c r="I46" s="114" t="inlineStr">
        <is>
          <t>Senior Software Engineer</t>
        </is>
      </c>
      <c r="J46" s="115" t="inlineStr">
        <is>
          <t>Engineering &amp; Development</t>
        </is>
      </c>
      <c r="K46" s="115" t="inlineStr">
        <is>
          <t>Backend Development</t>
        </is>
      </c>
      <c r="L46" s="114" t="inlineStr">
        <is>
          <t>L3 – Professional / Associate</t>
        </is>
      </c>
      <c r="M46" s="141" t="inlineStr">
        <is>
          <t>A3</t>
        </is>
      </c>
      <c r="N46" s="117" t="inlineStr">
        <is>
          <t>Senior Associate</t>
        </is>
      </c>
      <c r="O46" s="26" t="inlineStr">
        <is>
          <t>A</t>
        </is>
      </c>
      <c r="P46" s="115" t="inlineStr">
        <is>
          <t>IC</t>
        </is>
      </c>
      <c r="Q46" s="142" t="inlineStr">
        <is>
          <t>▲ Up</t>
        </is>
      </c>
      <c r="R46"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4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4 · Potential: High · 9-Box Grid placement: Emerging Talent.</t>
          </r>
        </is>
      </c>
      <c r="T46" s="121" t="n"/>
      <c r="U46" s="122" t="inlineStr">
        <is>
          <r>
            <rPr>
              <rFont val="Calibri"/>
              <sz val="10"/>
            </rPr>
            <t xml:space="preserve">Senior Software Engineer in Technology · iDEAL,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46"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46"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46"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6" s="124" t="inlineStr">
        <is>
          <t>iDEAL · Technology · Band A · Early career</t>
        </is>
      </c>
      <c r="Z46" s="125" t="n">
        <v>2.5</v>
      </c>
      <c r="AA46" s="126">
        <f>IFERROR(INDEX(WM_C,MATCH($Y46,WM_KEY,0)),"")</f>
        <v>0.64</v>
      </c>
      <c r="AB46" s="127">
        <f>IF(Z46="","",Z46*AA46)</f>
        <v>1.6</v>
      </c>
      <c r="AC46" s="125" t="n">
        <v>2</v>
      </c>
      <c r="AD46" s="126">
        <f>IFERROR(INDEX(WM_AU,MATCH($Y46,WM_KEY,0)),"")</f>
        <v>0.16</v>
      </c>
      <c r="AE46" s="127">
        <f>IF(AC46="","",AC46*AD46)</f>
        <v>0.32</v>
      </c>
      <c r="AF46" s="125" t="n">
        <v>2.5</v>
      </c>
      <c r="AG46" s="126">
        <f>IFERROR(INDEX(WM_AC,MATCH($Y46,WM_KEY,0)),"")</f>
        <v>0.04</v>
      </c>
      <c r="AH46" s="127">
        <f>IF(AF46="","",AF46*AG46)</f>
        <v>0.1</v>
      </c>
      <c r="AI46" s="125" t="n">
        <v>1</v>
      </c>
      <c r="AJ46" s="126">
        <f>IFERROR(INDEX(WM_L,MATCH($Y46,WM_KEY,0)),"")</f>
        <v>0</v>
      </c>
      <c r="AK46" s="127">
        <f>IF(AI46="","",AI46*AJ46)</f>
        <v>0</v>
      </c>
      <c r="AL46" s="125" t="n">
        <v>2.5</v>
      </c>
      <c r="AM46" s="126">
        <f>IFERROR(INDEX(WM_E,MATCH($Y46,WM_KEY,0)),"")</f>
        <v>0.1</v>
      </c>
      <c r="AN46" s="127">
        <f>IF(AL46="","",AL46*AM46)</f>
        <v>0.25</v>
      </c>
      <c r="AO46" s="128" t="n">
        <v>3</v>
      </c>
      <c r="AP46" s="126">
        <f>IFERROR(INDEX(WM_BI,MATCH($Y46,WM_KEY,0)),"")</f>
        <v>0.06</v>
      </c>
      <c r="AQ46" s="127">
        <f>IF(AO46="","",AO46*AP46)</f>
        <v>0.18</v>
      </c>
      <c r="AR46" s="127">
        <f>IF(COUNT(AB46,AE46,AH46,AK46,AN46,AQ46)&lt;6,"",SUM(AB46,AE46,AH46,AK46,AN46,AQ46))</f>
        <v>2.45</v>
      </c>
      <c r="AS46" s="129" t="str">
        <f>IF(AR46="","",INDEX({"A1","A2","A3","B1","B2","B3","C1","C2","D1","D2","E1","E2"},MAX(1,MIN(12,ROUND(AR46,0)))))</f>
        <v>A2</v>
      </c>
      <c r="AT46"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6" s="131" t="inlineStr">
        <is>
          <r>
            <rPr>
              <rFont val="Calibri"/>
              <b val="1"/>
              <sz val="10"/>
            </rPr>
            <t>At build:</t>
          </r>
          <r>
            <rPr>
              <rFont val="Calibri"/>
              <sz val="10"/>
            </rPr>
            <t xml:space="preserve"> Complexity 1.60 + Autonomy 0.32 + Accountability 0.10 + Leadership 0.00 + Experience 0.25 + Business impact 0.18
= 2.45 points → nearest level 2 = A2
</t>
          </r>
          <r>
            <rPr>
              <rFont val="Calibri"/>
              <b val="1"/>
              <sz val="10"/>
            </rPr>
            <t>Final level:</t>
          </r>
          <r>
            <rPr>
              <rFont val="Calibri"/>
              <sz val="10"/>
            </rPr>
            <t xml:space="preserve"> A3 · a rule applied: see the next column</t>
          </r>
        </is>
      </c>
      <c r="AV46" s="131" t="inlineStr">
        <is>
          <r>
            <rPr>
              <rFont val="Calibri"/>
              <sz val="10"/>
            </rPr>
            <t xml:space="preserve">•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AW46"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Answers for Data automation module and API issues; deployment, table creation, performance enhancements → moved up 0.5
</t>
          </r>
          <r>
            <rPr>
              <rFont val="Calibri"/>
              <b val="1"/>
              <sz val="10"/>
            </rPr>
            <t>KRA:</t>
          </r>
          <r>
            <rPr>
              <rFont val="Calibri"/>
              <sz val="10"/>
            </rPr>
            <t xml:space="preserve"> “1. Feature Delivery: Complete assigned features/stories with 90%+ sprint commitment accuracy. 2. Code Quality: Maintain a bug-escape rate…”
</t>
          </r>
          <r>
            <rPr>
              <rFont val="Calibri"/>
              <b val="1"/>
              <sz val="10"/>
            </rPr>
            <t>Market:</t>
          </r>
          <r>
            <rPr>
              <rFont val="Calibri"/>
              <sz val="10"/>
            </rPr>
            <t xml:space="preserve"> A2 = Standard work of the discipline · A3 = Varied and non-standard work; handles exceptions</t>
          </r>
        </is>
      </c>
      <c r="AX46" s="133"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performance enhancements and documentation → matches the start
</t>
          </r>
          <r>
            <rPr>
              <rFont val="Calibri"/>
              <b val="1"/>
              <sz val="10"/>
            </rPr>
            <t>Market:</t>
          </r>
          <r>
            <rPr>
              <rFont val="Calibri"/>
              <sz val="10"/>
            </rPr>
            <t xml:space="preserve"> A2 = Chooses own approach within standards</t>
          </r>
        </is>
      </c>
      <c r="AY46" s="133"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Data automation module and API-related issues in iDEAL application → moved up 0.5
</t>
          </r>
          <r>
            <rPr>
              <rFont val="Calibri"/>
              <b val="1"/>
              <sz val="10"/>
            </rPr>
            <t>KRA:</t>
          </r>
          <r>
            <rPr>
              <rFont val="Calibri"/>
              <sz val="10"/>
            </rPr>
            <t xml:space="preserve"> “1. Feature Delivery: Complete assigned features/stories with 90%+ sprint commitment accuracy. 2. Code Quality: Maintain a bug-escape rate…”
</t>
          </r>
          <r>
            <rPr>
              <rFont val="Calibri"/>
              <b val="1"/>
              <sz val="10"/>
            </rPr>
            <t>Market:</t>
          </r>
          <r>
            <rPr>
              <rFont val="Calibri"/>
              <sz val="10"/>
            </rPr>
            <t xml:space="preserve"> A2 = Own deliverables · accuracy, TAT · A3 = A module / process, or work with client or regulatory consequences</t>
          </r>
        </is>
      </c>
      <c r="AZ46" s="133"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46" s="133" t="inlineStr">
        <is>
          <r>
            <rPr>
              <rFont val="Calibri"/>
              <sz val="10"/>
            </rPr>
            <t xml:space="preserve">Rated 2.5 of 12 · between A2 and A3
</t>
          </r>
          <r>
            <rPr>
              <rFont val="Calibri"/>
              <b val="1"/>
              <sz val="10"/>
            </rPr>
            <t>Experience:</t>
          </r>
          <r>
            <rPr>
              <rFont val="Calibri"/>
              <sz val="10"/>
            </rPr>
            <t xml:space="preserve"> 2.3 yrs total · 2.3 at IRIS; none recorded before IRIS = 2.6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46" s="133"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46" s="134" t="inlineStr"/>
      <c r="BD46" s="135" t="inlineStr">
        <is>
          <t>✓ HRIS: 2.3 yrs, B.E, 0 direct reports
✓ Survey: 20 of 20 questions answered
✓ KRAs: self, manager-set, quarterly
✓ Manager mapping: rating, potential, 9-box
✗ Job description: not on file</t>
        </is>
      </c>
      <c r="BE46" s="135"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46" s="135" t="inlineStr">
        <is>
          <t>Medium</t>
        </is>
      </c>
      <c r="BG46" s="135" t="inlineStr"/>
      <c r="BH46" s="135" t="inlineStr"/>
      <c r="BI46" s="136" t="n"/>
      <c r="BJ46" s="137" t="n"/>
      <c r="BK46" s="137" t="n"/>
      <c r="BL46" s="137" t="n"/>
      <c r="BM46" s="137" t="n"/>
      <c r="BN46" s="138" t="n"/>
      <c r="BO46" s="121" t="n"/>
      <c r="BP46" s="121" t="n"/>
      <c r="BQ46" s="121" t="n"/>
      <c r="BR46" s="121" t="n"/>
      <c r="BS46" s="121" t="n"/>
      <c r="BT46" s="121" t="n"/>
      <c r="BU46" s="121" t="n"/>
      <c r="BV46" s="121" t="n">
        <v>3</v>
      </c>
    </row>
    <row r="47" ht="340" customHeight="1">
      <c r="A47" s="109" t="inlineStr">
        <is>
          <t>IRIS2018</t>
        </is>
      </c>
      <c r="B47" s="110" t="inlineStr">
        <is>
          <t>Varsha Patil</t>
        </is>
      </c>
      <c r="C47" s="111" t="inlineStr">
        <is>
          <t>Technology</t>
        </is>
      </c>
      <c r="D47" s="111" t="inlineStr">
        <is>
          <t>Jitendra Kumar</t>
        </is>
      </c>
      <c r="E47" s="112" t="n">
        <v>5.3</v>
      </c>
      <c r="F47" s="112" t="n">
        <v>4.3</v>
      </c>
      <c r="G47" s="111" t="inlineStr">
        <is>
          <t>B.E</t>
        </is>
      </c>
      <c r="H47" s="113" t="inlineStr">
        <is>
          <t>Software Engineer</t>
        </is>
      </c>
      <c r="I47" s="114" t="inlineStr">
        <is>
          <t>Senior Software Engineer</t>
        </is>
      </c>
      <c r="J47" s="115" t="inlineStr">
        <is>
          <t>Engineering &amp; Development</t>
        </is>
      </c>
      <c r="K47" s="115" t="inlineStr">
        <is>
          <t>Backend Development</t>
        </is>
      </c>
      <c r="L47" s="114" t="inlineStr">
        <is>
          <t>L3 – Professional / Associate</t>
        </is>
      </c>
      <c r="M47" s="141" t="inlineStr">
        <is>
          <t>A3</t>
        </is>
      </c>
      <c r="N47" s="117" t="inlineStr">
        <is>
          <t>Senior Associate</t>
        </is>
      </c>
      <c r="O47" s="26" t="inlineStr">
        <is>
          <t>A</t>
        </is>
      </c>
      <c r="P47" s="115" t="inlineStr">
        <is>
          <t>IC</t>
        </is>
      </c>
      <c r="Q47" s="142" t="inlineStr">
        <is>
          <t>▲ Up</t>
        </is>
      </c>
      <c r="R47"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4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Core Contributor.</t>
          </r>
        </is>
      </c>
      <c r="T47" s="121" t="n"/>
      <c r="U47" s="122" t="inlineStr">
        <is>
          <r>
            <rPr>
              <rFont val="Calibri"/>
              <sz val="10"/>
            </rPr>
            <t xml:space="preserve">Senior Software Engineer in Technology · iDEAL,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47"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47"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47"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7" s="124" t="inlineStr">
        <is>
          <t>iDEAL · Technology · Band A · Early career</t>
        </is>
      </c>
      <c r="Z47" s="125" t="n">
        <v>2</v>
      </c>
      <c r="AA47" s="126">
        <f>IFERROR(INDEX(WM_C,MATCH($Y47,WM_KEY,0)),"")</f>
        <v>0.64</v>
      </c>
      <c r="AB47" s="127">
        <f>IF(Z47="","",Z47*AA47)</f>
        <v>1.28</v>
      </c>
      <c r="AC47" s="125" t="n">
        <v>2</v>
      </c>
      <c r="AD47" s="126">
        <f>IFERROR(INDEX(WM_AU,MATCH($Y47,WM_KEY,0)),"")</f>
        <v>0.16</v>
      </c>
      <c r="AE47" s="127">
        <f>IF(AC47="","",AC47*AD47)</f>
        <v>0.32</v>
      </c>
      <c r="AF47" s="125" t="n">
        <v>2.5</v>
      </c>
      <c r="AG47" s="126">
        <f>IFERROR(INDEX(WM_AC,MATCH($Y47,WM_KEY,0)),"")</f>
        <v>0.04</v>
      </c>
      <c r="AH47" s="127">
        <f>IF(AF47="","",AF47*AG47)</f>
        <v>0.1</v>
      </c>
      <c r="AI47" s="125" t="n">
        <v>1</v>
      </c>
      <c r="AJ47" s="126">
        <f>IFERROR(INDEX(WM_L,MATCH($Y47,WM_KEY,0)),"")</f>
        <v>0</v>
      </c>
      <c r="AK47" s="127">
        <f>IF(AI47="","",AI47*AJ47)</f>
        <v>0</v>
      </c>
      <c r="AL47" s="125" t="n">
        <v>4</v>
      </c>
      <c r="AM47" s="126">
        <f>IFERROR(INDEX(WM_E,MATCH($Y47,WM_KEY,0)),"")</f>
        <v>0.1</v>
      </c>
      <c r="AN47" s="127">
        <f>IF(AL47="","",AL47*AM47)</f>
        <v>0.4</v>
      </c>
      <c r="AO47" s="128" t="n">
        <v>2.5</v>
      </c>
      <c r="AP47" s="126">
        <f>IFERROR(INDEX(WM_BI,MATCH($Y47,WM_KEY,0)),"")</f>
        <v>0.06</v>
      </c>
      <c r="AQ47" s="127">
        <f>IF(AO47="","",AO47*AP47)</f>
        <v>0.15</v>
      </c>
      <c r="AR47" s="127">
        <f>IF(COUNT(AB47,AE47,AH47,AK47,AN47,AQ47)&lt;6,"",SUM(AB47,AE47,AH47,AK47,AN47,AQ47))</f>
        <v>2.25</v>
      </c>
      <c r="AS47" s="129" t="str">
        <f>IF(AR47="","",INDEX({"A1","A2","A3","B1","B2","B3","C1","C2","D1","D2","E1","E2"},MAX(1,MIN(12,ROUND(AR47,0)))))</f>
        <v>A2</v>
      </c>
      <c r="AT47"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7" s="131" t="inlineStr">
        <is>
          <r>
            <rPr>
              <rFont val="Calibri"/>
              <b val="1"/>
              <sz val="10"/>
            </rPr>
            <t>At build:</t>
          </r>
          <r>
            <rPr>
              <rFont val="Calibri"/>
              <sz val="10"/>
            </rPr>
            <t xml:space="preserve"> Complexity 1.28 + Autonomy 0.32 + Accountability 0.10 + Leadership 0.00 + Experience 0.40 + Business impact 0.15
= 2.25 points → nearest level 2 = A2
</t>
          </r>
          <r>
            <rPr>
              <rFont val="Calibri"/>
              <b val="1"/>
              <sz val="10"/>
            </rPr>
            <t>Final level:</t>
          </r>
          <r>
            <rPr>
              <rFont val="Calibri"/>
              <sz val="10"/>
            </rPr>
            <t xml:space="preserve"> A3 · a rule applied: see the next column</t>
          </r>
        </is>
      </c>
      <c r="AV47" s="131" t="inlineStr">
        <is>
          <r>
            <rPr>
              <rFont val="Calibri"/>
              <sz val="10"/>
            </rPr>
            <t xml:space="preserve">• </t>
          </r>
          <r>
            <rPr>
              <rFont val="Calibri"/>
              <b val="1"/>
              <sz val="10"/>
            </rPr>
            <t>Raised to A3:</t>
          </r>
          <r>
            <rPr>
              <rFont val="Calibri"/>
              <sz val="10"/>
            </rPr>
            <t xml:space="preserve"> 5.3 years' experience is 2 years or more.
</t>
          </r>
          <r>
            <rPr>
              <rFont val="Calibri"/>
              <b val="1"/>
              <sz val="10"/>
            </rPr>
            <t>Final level:</t>
          </r>
          <r>
            <rPr>
              <rFont val="Calibri"/>
              <sz val="10"/>
            </rPr>
            <t xml:space="preserve"> A3.</t>
          </r>
        </is>
      </c>
      <c r="AW47"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Develops features, supports production issues, fixes bugs; no specifics in own answers → matches the start
</t>
          </r>
          <r>
            <rPr>
              <rFont val="Calibri"/>
              <b val="1"/>
              <sz val="10"/>
            </rPr>
            <t>KRA:</t>
          </r>
          <r>
            <rPr>
              <rFont val="Calibri"/>
              <sz val="10"/>
            </rPr>
            <t xml:space="preserve"> “1. AI-Assisted Development Adoption: Use AI coding assistants for at least 60% of development tasks, with no increase in bug-escape rate.…”
</t>
          </r>
          <r>
            <rPr>
              <rFont val="Calibri"/>
              <b val="1"/>
              <sz val="10"/>
            </rPr>
            <t>Market:</t>
          </r>
          <r>
            <rPr>
              <rFont val="Calibri"/>
              <sz val="10"/>
            </rPr>
            <t xml:space="preserve"> A2 = Standard work of the discipline</t>
          </r>
        </is>
      </c>
      <c r="AX47" s="133"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'improve existing code' given as independent decision → matches the start
</t>
          </r>
          <r>
            <rPr>
              <rFont val="Calibri"/>
              <b val="1"/>
              <sz val="10"/>
            </rPr>
            <t>Market:</t>
          </r>
          <r>
            <rPr>
              <rFont val="Calibri"/>
              <sz val="10"/>
            </rPr>
            <t xml:space="preserve"> A2 = Chooses own approach within standards</t>
          </r>
        </is>
      </c>
      <c r="AY47" s="133"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Production support; KRA gives ownership of non-XBRL WebIDEAL modules and REST API support → moved up 0.5
</t>
          </r>
          <r>
            <rPr>
              <rFont val="Calibri"/>
              <b val="1"/>
              <sz val="10"/>
            </rPr>
            <t>KRA:</t>
          </r>
          <r>
            <rPr>
              <rFont val="Calibri"/>
              <sz val="10"/>
            </rPr>
            <t xml:space="preserve"> “1. AI-Assisted Development Adoption: Use AI coding assistants for at least 60% of development tasks, with no increase in bug-escape rate.…”
</t>
          </r>
          <r>
            <rPr>
              <rFont val="Calibri"/>
              <b val="1"/>
              <sz val="10"/>
            </rPr>
            <t>Market:</t>
          </r>
          <r>
            <rPr>
              <rFont val="Calibri"/>
              <sz val="10"/>
            </rPr>
            <t xml:space="preserve"> A2 = Own deliverables · accuracy, TAT · A3 = A module / process, or work with client or regulatory consequences</t>
          </r>
        </is>
      </c>
      <c r="AZ47" s="133"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47" s="133" t="inlineStr">
        <is>
          <r>
            <rPr>
              <rFont val="Calibri"/>
              <sz val="10"/>
            </rPr>
            <t xml:space="preserve">Rated 4 of 12
</t>
          </r>
          <r>
            <rPr>
              <rFont val="Calibri"/>
              <b val="1"/>
              <sz val="10"/>
            </rPr>
            <t>Experience:</t>
          </r>
          <r>
            <rPr>
              <rFont val="Calibri"/>
              <sz val="10"/>
            </rPr>
            <t xml:space="preserve"> 5.3 yrs total · 1.0 before IRIS + 4.3 at IRIS = 3.9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47" s="133"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47" s="134" t="inlineStr"/>
      <c r="BD47" s="135" t="inlineStr">
        <is>
          <t>✓ HRIS: 5.3 yrs, B.E, 0 direct reports
✓ Survey: 20 of 20 questions answered
✓ KRAs: self, manager-set, quarterly
✓ Manager mapping: rating, potential, 9-box
✗ Job description: not on file</t>
        </is>
      </c>
      <c r="BE47" s="135"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47" s="135" t="inlineStr">
        <is>
          <t>Medium</t>
        </is>
      </c>
      <c r="BG47" s="135" t="inlineStr"/>
      <c r="BH47" s="135" t="inlineStr"/>
      <c r="BI47" s="136" t="n"/>
      <c r="BJ47" s="137" t="n"/>
      <c r="BK47" s="137" t="n"/>
      <c r="BL47" s="137" t="n"/>
      <c r="BM47" s="137" t="n"/>
      <c r="BN47" s="138" t="n"/>
      <c r="BO47" s="121" t="n"/>
      <c r="BP47" s="121" t="n"/>
      <c r="BQ47" s="121" t="n"/>
      <c r="BR47" s="121" t="n"/>
      <c r="BS47" s="121" t="n"/>
      <c r="BT47" s="121" t="n"/>
      <c r="BU47" s="121" t="n"/>
      <c r="BV47" s="121" t="n">
        <v>2.5</v>
      </c>
    </row>
    <row r="48" ht="340" customHeight="1">
      <c r="A48" s="109" t="inlineStr">
        <is>
          <t>IRIS2527</t>
        </is>
      </c>
      <c r="B48" s="110" t="inlineStr">
        <is>
          <t>Hemand Thayil</t>
        </is>
      </c>
      <c r="C48" s="111" t="inlineStr">
        <is>
          <t>Technology</t>
        </is>
      </c>
      <c r="D48" s="111" t="inlineStr">
        <is>
          <t>Aroosa Ghole</t>
        </is>
      </c>
      <c r="E48" s="112" t="n">
        <v>1.9</v>
      </c>
      <c r="F48" s="112" t="n">
        <v>0.4</v>
      </c>
      <c r="G48" s="111" t="inlineStr">
        <is>
          <t>MCA</t>
        </is>
      </c>
      <c r="H48" s="113" t="inlineStr">
        <is>
          <t>Customer Solution Analyst</t>
        </is>
      </c>
      <c r="I48" s="114" t="inlineStr">
        <is>
          <t>Support Executive</t>
        </is>
      </c>
      <c r="J48" s="115" t="inlineStr">
        <is>
          <t>Customer Success &amp; Support</t>
        </is>
      </c>
      <c r="K48" s="115" t="inlineStr">
        <is>
          <t>Application &amp; Product Support</t>
        </is>
      </c>
      <c r="L48" s="115" t="inlineStr">
        <is>
          <t>L3 – Professional / Associate</t>
        </is>
      </c>
      <c r="M48" s="116" t="inlineStr">
        <is>
          <t>A2</t>
        </is>
      </c>
      <c r="N48" s="117" t="inlineStr">
        <is>
          <t>Associate</t>
        </is>
      </c>
      <c r="O48" s="26" t="inlineStr">
        <is>
          <t>A</t>
        </is>
      </c>
      <c r="P48" s="115" t="inlineStr">
        <is>
          <t>IC</t>
        </is>
      </c>
      <c r="Q48" s="118" t="inlineStr">
        <is>
          <t>• Same level</t>
        </is>
      </c>
      <c r="R48" s="119" t="inlineStr">
        <is>
          <r>
            <rPr>
              <rFont val="Calibri"/>
              <b val="1"/>
              <sz val="10"/>
            </rPr>
            <t>WHAT THE ROLE DOES:</t>
          </r>
          <r>
            <rPr>
              <rFont val="Calibri"/>
              <sz val="10"/>
            </rPr>
            <t xml:space="preserve"> Resolves client product and filing issues, troubleshoots, handles UAT/change requests and escalates to engineering. At A2: standard work delivered independently.
</t>
          </r>
          <r>
            <rPr>
              <rFont val="Calibri"/>
              <b val="1"/>
              <sz val="10"/>
            </rPr>
            <t>Common themes in sub-family holders, all levels' answers:</t>
          </r>
          <r>
            <rPr>
              <rFont val="Calibri"/>
              <sz val="10"/>
            </rPr>
            <t xml:space="preserve"> support · clients · queries · provide · issues · resolving
</t>
          </r>
          <r>
            <rPr>
              <rFont val="Calibri"/>
              <b val="1"/>
              <sz val="10"/>
            </rPr>
            <t>KEY RESPONSIBILITIES:</t>
          </r>
          <r>
            <rPr>
              <rFont val="Calibri"/>
              <sz val="10"/>
            </rPr>
            <t xml:space="preserve"> Resolves client product and filing issues, troubleshoots, handles UAT/change requests and escalates to engineering; Standard work of the discipline; Own deliverables · accuracy, TAT
</t>
          </r>
          <r>
            <rPr>
              <rFont val="Calibri"/>
              <b val="1"/>
              <sz val="10"/>
            </rPr>
            <t>Common themes in sub-family holders, all levels' answers:</t>
          </r>
          <r>
            <rPr>
              <rFont val="Calibri"/>
              <sz val="10"/>
            </rPr>
            <t xml:space="preserve"> support · issue · testing · communication · customer · ticket
</t>
          </r>
          <r>
            <rPr>
              <rFont val="Calibri"/>
              <b val="1"/>
              <sz val="10"/>
            </rPr>
            <t>DELIVERS:</t>
          </r>
          <r>
            <rPr>
              <rFont val="Calibri"/>
              <sz val="10"/>
            </rPr>
            <t xml:space="preserve"> Own deliverables · accuracy, TAT
</t>
          </r>
          <r>
            <rPr>
              <rFont val="Calibri"/>
              <b val="1"/>
              <sz val="10"/>
            </rPr>
            <t>Common themes in sub-family holders, all levels' answers:</t>
          </r>
          <r>
            <rPr>
              <rFont val="Calibri"/>
              <sz val="10"/>
            </rPr>
            <t xml:space="preserve"> support · customer · product · provide · testing · deliver
</t>
          </r>
          <r>
            <rPr>
              <rFont val="Calibri"/>
              <b val="1"/>
              <sz val="10"/>
            </rPr>
            <t>ACCOUNTABLE FOR:</t>
          </r>
          <r>
            <rPr>
              <rFont val="Calibri"/>
              <sz val="10"/>
            </rPr>
            <t xml:space="preserve"> Own deliverables · accuracy, TAT
</t>
          </r>
          <r>
            <rPr>
              <rFont val="Calibri"/>
              <b val="1"/>
              <sz val="10"/>
            </rPr>
            <t>Common themes in sub-family holders, all levels' answers:</t>
          </r>
          <r>
            <rPr>
              <rFont val="Calibri"/>
              <sz val="10"/>
            </rPr>
            <t xml:space="preserve"> client · resolution · am · accountable · timely · if
</t>
          </r>
          <r>
            <rPr>
              <rFont val="Calibri"/>
              <b val="1"/>
              <sz val="10"/>
            </rPr>
            <t>DECIDES ALONE:</t>
          </r>
          <r>
            <rPr>
              <rFont val="Calibri"/>
              <sz val="10"/>
            </rPr>
            <t xml:space="preserve"> Chooses own approach within standards
</t>
          </r>
          <r>
            <rPr>
              <rFont val="Calibri"/>
              <b val="1"/>
              <sz val="10"/>
            </rPr>
            <t>Common themes in sub-family holders, all levels'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Communication · Domain Knowledge · Business Analysis · Platform knowledge · Sales
</t>
          </r>
          <r>
            <rPr>
              <rFont val="Calibri"/>
              <b val="1"/>
              <sz val="10"/>
            </rPr>
            <t>TOOLS &amp; SYSTEMS:</t>
          </r>
          <r>
            <rPr>
              <rFont val="Calibri"/>
              <sz val="10"/>
            </rPr>
            <t xml:space="preserve"> MS Office · Faveo · Arelle · Excel · Claude · Copilot · Microsoft Excel · RBI cims portal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2 holders, 2 answered the survey; sub-family 25 answered; catalogue RC-030</t>
          </r>
        </is>
      </c>
      <c r="S48"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work only this person does: no; successor named: no.
</t>
          </r>
          <r>
            <rPr>
              <rFont val="Calibri"/>
              <b val="1"/>
              <sz val="10"/>
            </rPr>
            <t>If the work is missed · role-holders' themes:</t>
          </r>
          <r>
            <rPr>
              <rFont val="Calibri"/>
              <sz val="10"/>
            </rPr>
            <t xml:space="preserve"> customer · rework · client · delays · incorrect.
Manager talent mapping — Latest rating: 3 · Potential: Medium · 9-Box Grid placement: Core Contributor.</t>
          </r>
        </is>
      </c>
      <c r="T48" s="121" t="n"/>
      <c r="U48" s="122" t="inlineStr">
        <is>
          <r>
            <rPr>
              <rFont val="Calibri"/>
              <sz val="10"/>
            </rPr>
            <t xml:space="preserve">Support Executive in Technology · iDEAL, A2 — IC.
</t>
          </r>
          <r>
            <rPr>
              <rFont val="Calibri"/>
              <b val="1"/>
              <sz val="10"/>
            </rPr>
            <t>The work:</t>
          </r>
          <r>
            <rPr>
              <rFont val="Calibri"/>
              <sz val="10"/>
            </rPr>
            <t xml:space="preserve"> Resolves client product and filing issues, troubleshoots, handles UAT/change requests and escalates to engineering.
At this level the role owns standard work delivered independently.
</t>
          </r>
          <r>
            <rPr>
              <rFont val="Calibri"/>
              <b val="1"/>
              <sz val="10"/>
            </rPr>
            <t>Key responsibilities:</t>
          </r>
          <r>
            <rPr>
              <rFont val="Calibri"/>
              <sz val="10"/>
            </rPr>
            <t xml:space="preserve"> Resolves client product and filing issues, troubleshoots, handles UAT/change requests and escalates to engineering; Standard work of the discipline; Own deliverables · accuracy, TAT.
</t>
          </r>
          <r>
            <rPr>
              <rFont val="Calibri"/>
              <b val="1"/>
              <sz val="10"/>
            </rPr>
            <t>Holders describe it with:</t>
          </r>
          <r>
            <rPr>
              <rFont val="Calibri"/>
              <sz val="10"/>
            </rPr>
            <t xml:space="preserve"> support · issue · testing · communication · customer · ticket.</t>
          </r>
        </is>
      </c>
      <c r="V48" s="123" t="inlineStr">
        <is>
          <r>
            <rPr>
              <rFont val="Calibri"/>
              <b val="1"/>
              <sz val="10"/>
            </rPr>
            <t>Hire as:</t>
          </r>
          <r>
            <rPr>
              <rFont val="Calibri"/>
              <sz val="10"/>
            </rPr>
            <t xml:space="preserve"> Support Associate / Support / CS Executive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t>
          </r>
          <r>
            <rPr>
              <rFont val="Calibri"/>
              <b val="1"/>
              <sz val="10"/>
            </rPr>
            <t>Equivalent titles at peers:</t>
          </r>
          <r>
            <rPr>
              <rFont val="Calibri"/>
              <sz val="10"/>
            </rPr>
            <t xml:space="preserve"> IRIS Vs Competitor Benchmark — SaaS customer-success ladder – Support Associate · IRIS Vs Competitor Benchmark — support tiers – L1 Service Desk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48" s="123" t="inlineStr">
        <is>
          <r>
            <rPr>
              <rFont val="Calibri"/>
              <sz val="10"/>
            </rPr>
            <t xml:space="preserve">FUNCTIONAL — skill level 2 of 5 · Working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Communication · Domain Knowledge · Business Analysis · Platform knowledge · Sales
</t>
          </r>
          <r>
            <rPr>
              <rFont val="Calibri"/>
              <b val="1"/>
              <sz val="10"/>
            </rPr>
            <t>TOOLS:</t>
          </r>
          <r>
            <rPr>
              <rFont val="Calibri"/>
              <sz val="10"/>
            </rPr>
            <t xml:space="preserve"> MS Office · Faveo · Arelle · Excel · Claude · Copilot · Microsoft Excel · RBI cims portal
★ = must-have for the family. Scale: 1 Awareness · 2 Working · 3 Practitioner · 4 Advanced · 5 Expert.</t>
          </r>
        </is>
      </c>
      <c r="X48" s="123" t="inlineStr">
        <is>
          <r>
            <rPr>
              <rFont val="Calibri"/>
              <sz val="10"/>
            </rPr>
            <t xml:space="preserve">Draft — generated from the framework; hiring-manager review pending · HR Super Master, sheet T5.
1. [Product, Platform &amp; Domain Knowledge · level 2] Tell me about recent work that shows this: "Handles most product and domain scenarios". What exactly did you do, how, and what was the result? Assess with: Scenario interview.
2. [Stakeholder &amp; Client Management · level 2] Tell me about recent work that shows this: "Manages client communication and expectations for own work". What exactly did you do, how, and what was the result? Assess with: Role play / behavioural interview.
3. [Communication &amp; Presentation · level 2] Give an example that shows you can do this: "Writes and presents clearly to clients and teams". Assess with: Presentation / writing test.
4. [Database, SQL &amp; Data Engineering · level 2] Give an example that shows you can do this: "Writes and tunes queries, procedures and ETL". Assess with: SQL test / case.
5. [Regulatory &amp; BFSI Domain · level 2]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8" s="124" t="inlineStr">
        <is>
          <t>iDEAL · Technology · Band A · Early career</t>
        </is>
      </c>
      <c r="Z48" s="125" t="n">
        <v>2</v>
      </c>
      <c r="AA48" s="126">
        <f>IFERROR(INDEX(WM_C,MATCH($Y48,WM_KEY,0)),"")</f>
        <v>0.64</v>
      </c>
      <c r="AB48" s="127">
        <f>IF(Z48="","",Z48*AA48)</f>
        <v>1.28</v>
      </c>
      <c r="AC48" s="125" t="n">
        <v>2</v>
      </c>
      <c r="AD48" s="126">
        <f>IFERROR(INDEX(WM_AU,MATCH($Y48,WM_KEY,0)),"")</f>
        <v>0.16</v>
      </c>
      <c r="AE48" s="127">
        <f>IF(AC48="","",AC48*AD48)</f>
        <v>0.32</v>
      </c>
      <c r="AF48" s="125" t="n">
        <v>2</v>
      </c>
      <c r="AG48" s="126">
        <f>IFERROR(INDEX(WM_AC,MATCH($Y48,WM_KEY,0)),"")</f>
        <v>0.04</v>
      </c>
      <c r="AH48" s="127">
        <f>IF(AF48="","",AF48*AG48)</f>
        <v>0.08</v>
      </c>
      <c r="AI48" s="125" t="n">
        <v>1</v>
      </c>
      <c r="AJ48" s="126">
        <f>IFERROR(INDEX(WM_L,MATCH($Y48,WM_KEY,0)),"")</f>
        <v>0</v>
      </c>
      <c r="AK48" s="127">
        <f>IF(AI48="","",AI48*AJ48)</f>
        <v>0</v>
      </c>
      <c r="AL48" s="125" t="n">
        <v>3</v>
      </c>
      <c r="AM48" s="126">
        <f>IFERROR(INDEX(WM_E,MATCH($Y48,WM_KEY,0)),"")</f>
        <v>0.1</v>
      </c>
      <c r="AN48" s="127">
        <f>IF(AL48="","",AL48*AM48)</f>
        <v>0.3</v>
      </c>
      <c r="AO48" s="128" t="n">
        <v>2</v>
      </c>
      <c r="AP48" s="126">
        <f>IFERROR(INDEX(WM_BI,MATCH($Y48,WM_KEY,0)),"")</f>
        <v>0.06</v>
      </c>
      <c r="AQ48" s="127">
        <f>IF(AO48="","",AO48*AP48)</f>
        <v>0.12</v>
      </c>
      <c r="AR48" s="127">
        <f>IF(COUNT(AB48,AE48,AH48,AK48,AN48,AQ48)&lt;6,"",SUM(AB48,AE48,AH48,AK48,AN48,AQ48))</f>
        <v>2.1</v>
      </c>
      <c r="AS48" s="129" t="str">
        <f>IF(AR48="","",INDEX({"A1","A2","A3","B1","B2","B3","C1","C2","D1","D2","E1","E2"},MAX(1,MIN(12,ROUND(AR48,0)))))</f>
        <v>A2</v>
      </c>
      <c r="AT48"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8" s="131" t="inlineStr">
        <is>
          <r>
            <rPr>
              <rFont val="Calibri"/>
              <b val="1"/>
              <sz val="10"/>
            </rPr>
            <t>At build:</t>
          </r>
          <r>
            <rPr>
              <rFont val="Calibri"/>
              <sz val="10"/>
            </rPr>
            <t xml:space="preserve"> Complexity 1.28 + Autonomy 0.32 + Accountability 0.08 + Leadership 0.00 + Experience 0.30 + Business impact 0.12
= 2.10 points → nearest level 2 = A2
</t>
          </r>
          <r>
            <rPr>
              <rFont val="Calibri"/>
              <b val="1"/>
              <sz val="10"/>
            </rPr>
            <t>Final level:</t>
          </r>
          <r>
            <rPr>
              <rFont val="Calibri"/>
              <sz val="10"/>
            </rPr>
            <t xml:space="preserve"> A2 · same as the score</t>
          </r>
        </is>
      </c>
      <c r="AV48" s="131" t="inlineStr">
        <is>
          <r>
            <rPr>
              <rFont val="Calibri"/>
              <b val="1"/>
              <sz val="10"/>
            </rPr>
            <t>No rule applied:</t>
          </r>
          <r>
            <rPr>
              <rFont val="Calibri"/>
              <sz val="10"/>
            </rPr>
            <t xml:space="preserve"> the score decides.</t>
          </r>
        </is>
      </c>
      <c r="AW4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Client support and error handling on iDEAL; note says moving from shadowing to independent → matches the start
</t>
          </r>
          <r>
            <rPr>
              <rFont val="Calibri"/>
              <b val="1"/>
              <sz val="10"/>
            </rPr>
            <t>KRA:</t>
          </r>
          <r>
            <rPr>
              <rFont val="Calibri"/>
              <sz val="10"/>
            </rPr>
            <t xml:space="preserve"> “1. By the end of July 2026, develop an in-depth understanding of the iDEAL product, business processes, and regulatory reporting framework…”
</t>
          </r>
          <r>
            <rPr>
              <rFont val="Calibri"/>
              <b val="1"/>
              <sz val="10"/>
            </rPr>
            <t>Market:</t>
          </r>
          <r>
            <rPr>
              <rFont val="Calibri"/>
              <sz val="10"/>
            </rPr>
            <t xml:space="preserve"> A2 = Standard work of the discipline</t>
          </r>
        </is>
      </c>
      <c r="AX48" s="133"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to connect with the client to fix an issue; note shows reliance on seniors → matches the start
</t>
          </r>
          <r>
            <rPr>
              <rFont val="Calibri"/>
              <b val="1"/>
              <sz val="10"/>
            </rPr>
            <t>Market:</t>
          </r>
          <r>
            <rPr>
              <rFont val="Calibri"/>
              <sz val="10"/>
            </rPr>
            <t xml:space="preserve"> A2 = Chooses own approach within standards</t>
          </r>
        </is>
      </c>
      <c r="AY48" s="133"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By the end of July 2026, develop an in-depth understanding of the iDEAL product, business processes, and regulatory reporting framework…”
</t>
          </r>
          <r>
            <rPr>
              <rFont val="Calibri"/>
              <b val="1"/>
              <sz val="10"/>
            </rPr>
            <t>Market:</t>
          </r>
          <r>
            <rPr>
              <rFont val="Calibri"/>
              <sz val="10"/>
            </rPr>
            <t xml:space="preserve"> A2 = Own deliverables · accuracy, TAT</t>
          </r>
        </is>
      </c>
      <c r="AZ48" s="133"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48" s="133" t="inlineStr">
        <is>
          <r>
            <rPr>
              <rFont val="Calibri"/>
              <sz val="10"/>
            </rPr>
            <t xml:space="preserve">Rated 3 of 12
</t>
          </r>
          <r>
            <rPr>
              <rFont val="Calibri"/>
              <b val="1"/>
              <sz val="10"/>
            </rPr>
            <t>Experience:</t>
          </r>
          <r>
            <rPr>
              <rFont val="Calibri"/>
              <sz val="10"/>
            </rPr>
            <t xml:space="preserve"> 1.9 yrs total · 1.5 before IRIS + 0.4 at IRIS = 2.5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A2 roles typically have 0–3 yrs · IRIS guide 0–2</t>
          </r>
        </is>
      </c>
      <c r="BB48" s="133"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48" s="134" t="inlineStr"/>
      <c r="BD48" s="135" t="inlineStr">
        <is>
          <t>✓ HRIS: 1.9 yrs, MCA, 0 direct reports
✓ Survey: 17 of 20 questions answered
✓ KRAs: self, manager-set, quarterly
✓ Manager mapping: rating, potential, 9-box
✗ Job description: not on file</t>
        </is>
      </c>
      <c r="BE48" s="135" t="inlineStr">
        <is>
          <r>
            <rPr>
              <rFont val="Calibri"/>
              <b val="1"/>
              <sz val="10"/>
            </rPr>
            <t>Market level:</t>
          </r>
          <r>
            <rPr>
              <rFont val="Calibri"/>
              <sz val="10"/>
            </rPr>
            <t xml:space="preserve"> P1–P2 · SFIA 2 Assist
</t>
          </r>
          <r>
            <rPr>
              <rFont val="Calibri"/>
              <b val="1"/>
              <sz val="10"/>
            </rPr>
            <t>Typical title:</t>
          </r>
          <r>
            <rPr>
              <rFont val="Calibri"/>
              <sz val="10"/>
            </rPr>
            <t xml:space="preserve"> Support Associate / Support / CS Executive
</t>
          </r>
          <r>
            <rPr>
              <rFont val="Calibri"/>
              <b val="1"/>
              <sz val="10"/>
            </rPr>
            <t>At peers:</t>
          </r>
          <r>
            <rPr>
              <rFont val="Calibri"/>
              <sz val="10"/>
            </rPr>
            <t xml:space="preserve"> IRIS Vs Competitor Benchmark — SaaS customer-success ladder: Support Associate · IRIS Vs Competitor Benchmark — support tiers: L1 Service Desk
</t>
          </r>
          <r>
            <rPr>
              <rFont val="Calibri"/>
              <b val="1"/>
              <sz val="10"/>
            </rPr>
            <t>Typical experience:</t>
          </r>
          <r>
            <rPr>
              <rFont val="Calibri"/>
              <sz val="10"/>
            </rPr>
            <t xml:space="preserve"> 0–3 yrs · IRIS guide 0–2
</t>
          </r>
          <r>
            <rPr>
              <rFont val="Calibri"/>
              <b val="1"/>
              <sz val="10"/>
            </rPr>
            <t>Standard:</t>
          </r>
          <r>
            <rPr>
              <rFont val="Calibri"/>
              <sz val="10"/>
            </rPr>
            <t xml:space="preserve"> TSIA frameworks and benchmarks; ITIL 4 service desk</t>
          </r>
        </is>
      </c>
      <c r="BF48" s="135" t="inlineStr">
        <is>
          <t>Medium</t>
        </is>
      </c>
      <c r="BG48" s="135" t="inlineStr"/>
      <c r="BH48" s="135" t="inlineStr"/>
      <c r="BI48" s="136" t="n"/>
      <c r="BJ48" s="137" t="n"/>
      <c r="BK48" s="137" t="n"/>
      <c r="BL48" s="137" t="n"/>
      <c r="BM48" s="137" t="n"/>
      <c r="BN48" s="138" t="n"/>
      <c r="BO48" s="121" t="n"/>
      <c r="BP48" s="121" t="n"/>
      <c r="BQ48" s="121" t="n"/>
      <c r="BR48" s="121" t="n"/>
      <c r="BS48" s="121" t="n"/>
      <c r="BT48" s="121" t="n"/>
      <c r="BU48" s="121" t="n"/>
      <c r="BV48" s="121" t="n">
        <v>2</v>
      </c>
    </row>
    <row r="49" ht="340" customHeight="1">
      <c r="A49" s="109" t="inlineStr">
        <is>
          <t>IRIS2426</t>
        </is>
      </c>
      <c r="B49" s="110" t="inlineStr">
        <is>
          <t>Abhay Pandey</t>
        </is>
      </c>
      <c r="C49" s="111" t="inlineStr">
        <is>
          <t>Technology</t>
        </is>
      </c>
      <c r="D49" s="111" t="inlineStr">
        <is>
          <t>Swapnil Shirke</t>
        </is>
      </c>
      <c r="E49" s="112" t="n">
        <v>1.1</v>
      </c>
      <c r="F49" s="112" t="n">
        <v>1.1</v>
      </c>
      <c r="G49" s="111" t="inlineStr">
        <is>
          <t>B.E</t>
        </is>
      </c>
      <c r="H49" s="113" t="inlineStr">
        <is>
          <t>Trainee Software Engineer</t>
        </is>
      </c>
      <c r="I49" s="114" t="inlineStr">
        <is>
          <t>Software Engineer</t>
        </is>
      </c>
      <c r="J49" s="115" t="inlineStr">
        <is>
          <t>Engineering &amp; Development</t>
        </is>
      </c>
      <c r="K49" s="115" t="inlineStr">
        <is>
          <t>Backend Development</t>
        </is>
      </c>
      <c r="L49" s="114" t="inlineStr">
        <is>
          <t>L2 – Trainee</t>
        </is>
      </c>
      <c r="M49" s="141" t="inlineStr">
        <is>
          <t>A2</t>
        </is>
      </c>
      <c r="N49" s="117" t="inlineStr">
        <is>
          <t>Associate</t>
        </is>
      </c>
      <c r="O49" s="26" t="inlineStr">
        <is>
          <t>A</t>
        </is>
      </c>
      <c r="P49" s="115" t="inlineStr">
        <is>
          <t>IC</t>
        </is>
      </c>
      <c r="Q49" s="142" t="inlineStr">
        <is>
          <t>▲ Up</t>
        </is>
      </c>
      <c r="R49" s="119" t="inlineStr">
        <is>
          <r>
            <rPr>
              <rFont val="Calibri"/>
              <b val="1"/>
              <sz val="10"/>
            </rPr>
            <t>WHAT THE ROLE DOES:</t>
          </r>
          <r>
            <rPr>
              <rFont val="Calibri"/>
              <sz val="10"/>
            </rPr>
            <t xml:space="preserve"> 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solutions · bug · fixes · features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quality · personally · reliable · delivering · am · accountable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implement · solutions · issues · structure · design
</t>
          </r>
          <r>
            <rPr>
              <rFont val="Calibri"/>
              <b val="1"/>
              <sz val="10"/>
            </rPr>
            <t>SKILLS &amp; KNOWLEDGE · role-holders:</t>
          </r>
          <r>
            <rPr>
              <rFont val="Calibri"/>
              <sz val="10"/>
            </rPr>
            <t xml:space="preserve"> NET MVC · Java
</t>
          </r>
          <r>
            <rPr>
              <rFont val="Calibri"/>
              <b val="1"/>
              <sz val="10"/>
            </rPr>
            <t>TOOLS &amp; SYSTEMS:</t>
          </r>
          <r>
            <rPr>
              <rFont val="Calibri"/>
              <sz val="10"/>
            </rPr>
            <t xml:space="preserve"> Postman · Oracle database
</t>
          </r>
          <r>
            <rPr>
              <rFont val="Calibri"/>
              <b val="1"/>
              <sz val="10"/>
            </rPr>
            <t>MANAGER-SET KRAs:</t>
          </r>
          <r>
            <rPr>
              <rFont val="Calibri"/>
              <sz val="10"/>
            </rPr>
            <t xml:space="preserve"> Common themes in manager-set KRAs: improve · deliver · modules · committed · coverage · automated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7 holders, 7 answered the survey; sub-family 79 answered; catalogue RC-066</t>
          </r>
        </is>
      </c>
      <c r="S49"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3 · Potential: Medium · 9-Box Grid placement: Core Contributor.</t>
          </r>
        </is>
      </c>
      <c r="T49" s="121" t="n"/>
      <c r="U49" s="122" t="inlineStr">
        <is>
          <r>
            <rPr>
              <rFont val="Calibri"/>
              <sz val="10"/>
            </rPr>
            <t xml:space="preserve">Software Engineer in Technology · iDEAL, A2 — IC.
</t>
          </r>
          <r>
            <rPr>
              <rFont val="Calibri"/>
              <b val="1"/>
              <sz val="10"/>
            </rPr>
            <t>The work:</t>
          </r>
          <r>
            <rPr>
              <rFont val="Calibri"/>
              <sz val="10"/>
            </rPr>
            <t xml:space="preserve"> Builds back-end services, APIs, processing/validation logic and DB code; fixes defects and delivers change requests.
At this level the role owns standard work delivered independently.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Holders describe it with:</t>
          </r>
          <r>
            <rPr>
              <rFont val="Calibri"/>
              <sz val="10"/>
            </rPr>
            <t xml:space="preserve"> fixing · quality · bug · development · client · code.</t>
          </r>
        </is>
      </c>
      <c r="V49" s="123"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49" s="123"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NET MVC · Java
</t>
          </r>
          <r>
            <rPr>
              <rFont val="Calibri"/>
              <b val="1"/>
              <sz val="10"/>
            </rPr>
            <t>TOOLS:</t>
          </r>
          <r>
            <rPr>
              <rFont val="Calibri"/>
              <sz val="10"/>
            </rPr>
            <t xml:space="preserve"> Postman · Oracle database
★ = must-have for the family. Scale: 1 Awareness · 2 Working · 3 Practitioner · 4 Advanced · 5 Expert.</t>
          </r>
        </is>
      </c>
      <c r="X49" s="123"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9" s="124" t="inlineStr">
        <is>
          <t>iDEAL · Technology · Band A · Early career</t>
        </is>
      </c>
      <c r="Z49" s="125" t="n">
        <v>2</v>
      </c>
      <c r="AA49" s="126">
        <f>IFERROR(INDEX(WM_C,MATCH($Y49,WM_KEY,0)),"")</f>
        <v>0.64</v>
      </c>
      <c r="AB49" s="127">
        <f>IF(Z49="","",Z49*AA49)</f>
        <v>1.28</v>
      </c>
      <c r="AC49" s="125" t="n">
        <v>1.5</v>
      </c>
      <c r="AD49" s="126">
        <f>IFERROR(INDEX(WM_AU,MATCH($Y49,WM_KEY,0)),"")</f>
        <v>0.16</v>
      </c>
      <c r="AE49" s="127">
        <f>IF(AC49="","",AC49*AD49)</f>
        <v>0.24</v>
      </c>
      <c r="AF49" s="125" t="n">
        <v>1.5</v>
      </c>
      <c r="AG49" s="126">
        <f>IFERROR(INDEX(WM_AC,MATCH($Y49,WM_KEY,0)),"")</f>
        <v>0.04</v>
      </c>
      <c r="AH49" s="127">
        <f>IF(AF49="","",AF49*AG49)</f>
        <v>0.06</v>
      </c>
      <c r="AI49" s="125" t="n">
        <v>1</v>
      </c>
      <c r="AJ49" s="126">
        <f>IFERROR(INDEX(WM_L,MATCH($Y49,WM_KEY,0)),"")</f>
        <v>0</v>
      </c>
      <c r="AK49" s="127">
        <f>IF(AI49="","",AI49*AJ49)</f>
        <v>0</v>
      </c>
      <c r="AL49" s="125" t="n">
        <v>2</v>
      </c>
      <c r="AM49" s="126">
        <f>IFERROR(INDEX(WM_E,MATCH($Y49,WM_KEY,0)),"")</f>
        <v>0.1</v>
      </c>
      <c r="AN49" s="127">
        <f>IF(AL49="","",AL49*AM49)</f>
        <v>0.2</v>
      </c>
      <c r="AO49" s="128" t="n">
        <v>1.5</v>
      </c>
      <c r="AP49" s="126">
        <f>IFERROR(INDEX(WM_BI,MATCH($Y49,WM_KEY,0)),"")</f>
        <v>0.06</v>
      </c>
      <c r="AQ49" s="127">
        <f>IF(AO49="","",AO49*AP49)</f>
        <v>0.09</v>
      </c>
      <c r="AR49" s="127">
        <f>IF(COUNT(AB49,AE49,AH49,AK49,AN49,AQ49)&lt;6,"",SUM(AB49,AE49,AH49,AK49,AN49,AQ49))</f>
        <v>1.87</v>
      </c>
      <c r="AS49" s="129" t="str">
        <f>IF(AR49="","",INDEX({"A1","A2","A3","B1","B2","B3","C1","C2","D1","D2","E1","E2"},MAX(1,MIN(12,ROUND(AR49,0)))))</f>
        <v>A2</v>
      </c>
      <c r="AT49"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9" s="131" t="inlineStr">
        <is>
          <r>
            <rPr>
              <rFont val="Calibri"/>
              <b val="1"/>
              <sz val="10"/>
            </rPr>
            <t>At build:</t>
          </r>
          <r>
            <rPr>
              <rFont val="Calibri"/>
              <sz val="10"/>
            </rPr>
            <t xml:space="preserve"> Complexity 1.28 + Autonomy 0.24 + Accountability 0.06 + Leadership 0.00 + Experience 0.20 + Business impact 0.09
= 1.87 points → nearest level 2 = A2
</t>
          </r>
          <r>
            <rPr>
              <rFont val="Calibri"/>
              <b val="1"/>
              <sz val="10"/>
            </rPr>
            <t>Final level:</t>
          </r>
          <r>
            <rPr>
              <rFont val="Calibri"/>
              <sz val="10"/>
            </rPr>
            <t xml:space="preserve"> A2 · same as the score</t>
          </r>
        </is>
      </c>
      <c r="AV49" s="131" t="inlineStr">
        <is>
          <r>
            <rPr>
              <rFont val="Calibri"/>
              <b val="1"/>
              <sz val="10"/>
            </rPr>
            <t>No rule applied:</t>
          </r>
          <r>
            <rPr>
              <rFont val="Calibri"/>
              <sz val="10"/>
            </rPr>
            <t xml:space="preserve"> the score decides.</t>
          </r>
        </is>
      </c>
      <c r="AW49" s="132" t="inlineStr">
        <is>
          <r>
            <rPr>
              <rFont val="Calibri"/>
              <sz val="10"/>
            </rPr>
            <t xml:space="preserve">Rated 2 of 12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+1.0
</t>
          </r>
          <r>
            <rPr>
              <rFont val="Calibri"/>
              <b val="1"/>
              <sz val="10"/>
            </rPr>
            <t>KRA:</t>
          </r>
          <r>
            <rPr>
              <rFont val="Calibri"/>
              <sz val="10"/>
            </rPr>
            <t xml:space="preserve"> “1. Develop and enhance secure, scalable application features, including audit logging, data processing, and reporting capabilities. 2.…”
</t>
          </r>
          <r>
            <rPr>
              <rFont val="Calibri"/>
              <b val="1"/>
              <sz val="10"/>
            </rPr>
            <t>Market:</t>
          </r>
          <r>
            <rPr>
              <rFont val="Calibri"/>
              <sz val="10"/>
            </rPr>
            <t xml:space="preserve"> A2 = Standard work of the discipline</t>
          </r>
        </is>
      </c>
      <c r="AX49" s="133"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+0.5
</t>
          </r>
          <r>
            <rPr>
              <rFont val="Calibri"/>
              <b val="1"/>
              <sz val="10"/>
            </rPr>
            <t>Market:</t>
          </r>
          <r>
            <rPr>
              <rFont val="Calibri"/>
              <sz val="10"/>
            </rPr>
            <t xml:space="preserve"> A1 = Needs approval / close guidance · A2 = Chooses own approach within standards</t>
          </r>
        </is>
      </c>
      <c r="AY49" s="133"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t>
          </r>
          <r>
            <rPr>
              <rFont val="Calibri"/>
              <sz val="10"/>
            </rPr>
            <t xml:space="preserve"> rated like 11 colleagues in the same role and department · own answers too general to rate → moved +0.5
</t>
          </r>
          <r>
            <rPr>
              <rFont val="Calibri"/>
              <b val="1"/>
              <sz val="10"/>
            </rPr>
            <t>KRA:</t>
          </r>
          <r>
            <rPr>
              <rFont val="Calibri"/>
              <sz val="10"/>
            </rPr>
            <t xml:space="preserve"> “1. Develop and enhance secure, scalable application features, including audit logging, data processing, and reporting capabilities. 2.…”
</t>
          </r>
          <r>
            <rPr>
              <rFont val="Calibri"/>
              <b val="1"/>
              <sz val="10"/>
            </rPr>
            <t>Market:</t>
          </r>
          <r>
            <rPr>
              <rFont val="Calibri"/>
              <sz val="10"/>
            </rPr>
            <t xml:space="preserve"> A1 = Learning tasks · A2 = Own deliverables · accuracy, TAT</t>
          </r>
        </is>
      </c>
      <c r="AZ49" s="133"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11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49" s="133" t="inlineStr">
        <is>
          <r>
            <rPr>
              <rFont val="Calibri"/>
              <sz val="10"/>
            </rPr>
            <t xml:space="preserve">Rated 2 of 12
</t>
          </r>
          <r>
            <rPr>
              <rFont val="Calibri"/>
              <b val="1"/>
              <sz val="10"/>
            </rPr>
            <t>Experience:</t>
          </r>
          <r>
            <rPr>
              <rFont val="Calibri"/>
              <sz val="10"/>
            </rPr>
            <t xml:space="preserve"> 1.1 yrs total · 1.1 at IRIS; none recorded before IRIS = 2.0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A2 roles typically have 0–3 yrs · IRIS guide 0–2</t>
          </r>
        </is>
      </c>
      <c r="BB49" s="133" t="inlineStr">
        <is>
          <r>
            <rPr>
              <rFont val="Calibri"/>
              <sz val="10"/>
            </rPr>
            <t xml:space="preserve">Rated 1.5 of 12 — a starting estimate.
</t>
          </r>
          <r>
            <rPr>
              <rFont val="Calibri"/>
              <b val="1"/>
              <sz val="10"/>
            </rPr>
            <t>Start:</t>
          </r>
          <r>
            <rPr>
              <rFont val="Calibri"/>
              <sz val="10"/>
            </rPr>
            <t xml:space="preserve"> 1.5,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A1 = Learning; little direct effect on business results yet · A2 = Own deliverables feed a team's output and turnaround</t>
          </r>
        </is>
      </c>
      <c r="BC49" s="134" t="inlineStr"/>
      <c r="BD49" s="135" t="inlineStr">
        <is>
          <t>✓ HRIS: 1.1 yrs, B.E, 0 direct reports
✓ Survey: 20 of 20 questions answered
✓ KRAs: self, manager-set, quarterly
✓ Manager mapping: rating, potential, 9-box
✗ Job description: not on file</t>
        </is>
      </c>
      <c r="BE49" s="135"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49" s="135" t="inlineStr">
        <is>
          <t>Low</t>
        </is>
      </c>
      <c r="BG49" s="135" t="inlineStr">
        <is>
          <t>• Survey answers are generic or do not match the role — not used as evidence; manager input needed
• Designation still says Trainee though experience is past the first year — confirm confirmation status / title</t>
        </is>
      </c>
      <c r="BH49" s="135" t="inlineStr"/>
      <c r="BI49" s="136" t="n"/>
      <c r="BJ49" s="137" t="n"/>
      <c r="BK49" s="137" t="n"/>
      <c r="BL49" s="137" t="n"/>
      <c r="BM49" s="137" t="n"/>
      <c r="BN49" s="138" t="n"/>
      <c r="BO49" s="121" t="n"/>
      <c r="BP49" s="121" t="n"/>
      <c r="BQ49" s="121" t="n"/>
      <c r="BR49" s="121" t="n"/>
      <c r="BS49" s="121" t="n"/>
      <c r="BT49" s="121" t="n"/>
      <c r="BU49" s="121" t="n"/>
      <c r="BV49" s="121" t="n">
        <v>1.5</v>
      </c>
    </row>
    <row r="50" ht="340" customHeight="1">
      <c r="A50" s="109" t="inlineStr">
        <is>
          <t>IRIS2427</t>
        </is>
      </c>
      <c r="B50" s="110" t="inlineStr">
        <is>
          <t>Sumeet Laxman Kurdia</t>
        </is>
      </c>
      <c r="C50" s="111" t="inlineStr">
        <is>
          <t>Technology</t>
        </is>
      </c>
      <c r="D50" s="111" t="inlineStr">
        <is>
          <t>Swapnil Shirke</t>
        </is>
      </c>
      <c r="E50" s="112" t="n">
        <v>1.9</v>
      </c>
      <c r="F50" s="112" t="n">
        <v>1.1</v>
      </c>
      <c r="G50" s="111" t="inlineStr">
        <is>
          <t>B.Sc</t>
        </is>
      </c>
      <c r="H50" s="113" t="inlineStr">
        <is>
          <t>Trainee Software Engineer</t>
        </is>
      </c>
      <c r="I50" s="114" t="inlineStr">
        <is>
          <t>Software Engineer</t>
        </is>
      </c>
      <c r="J50" s="115" t="inlineStr">
        <is>
          <t>Engineering &amp; Development</t>
        </is>
      </c>
      <c r="K50" s="115" t="inlineStr">
        <is>
          <t>Backend Development</t>
        </is>
      </c>
      <c r="L50" s="114" t="inlineStr">
        <is>
          <t>L2 – Trainee</t>
        </is>
      </c>
      <c r="M50" s="141" t="inlineStr">
        <is>
          <t>A2</t>
        </is>
      </c>
      <c r="N50" s="117" t="inlineStr">
        <is>
          <t>Associate</t>
        </is>
      </c>
      <c r="O50" s="26" t="inlineStr">
        <is>
          <t>A</t>
        </is>
      </c>
      <c r="P50" s="115" t="inlineStr">
        <is>
          <t>IC</t>
        </is>
      </c>
      <c r="Q50" s="142" t="inlineStr">
        <is>
          <t>▲ Up</t>
        </is>
      </c>
      <c r="R50" s="119" t="inlineStr">
        <is>
          <r>
            <rPr>
              <rFont val="Calibri"/>
              <b val="1"/>
              <sz val="10"/>
            </rPr>
            <t>WHAT THE ROLE DOES:</t>
          </r>
          <r>
            <rPr>
              <rFont val="Calibri"/>
              <sz val="10"/>
            </rPr>
            <t xml:space="preserve"> 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solutions · bug · fixes · features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quality · personally · reliable · delivering · am · accountable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implement · solutions · issues · structure · design
</t>
          </r>
          <r>
            <rPr>
              <rFont val="Calibri"/>
              <b val="1"/>
              <sz val="10"/>
            </rPr>
            <t>SKILLS &amp; KNOWLEDGE · role-holders:</t>
          </r>
          <r>
            <rPr>
              <rFont val="Calibri"/>
              <sz val="10"/>
            </rPr>
            <t xml:space="preserve"> NET MVC · Java
</t>
          </r>
          <r>
            <rPr>
              <rFont val="Calibri"/>
              <b val="1"/>
              <sz val="10"/>
            </rPr>
            <t>TOOLS &amp; SYSTEMS:</t>
          </r>
          <r>
            <rPr>
              <rFont val="Calibri"/>
              <sz val="10"/>
            </rPr>
            <t xml:space="preserve"> Postman · Oracle database
</t>
          </r>
          <r>
            <rPr>
              <rFont val="Calibri"/>
              <b val="1"/>
              <sz val="10"/>
            </rPr>
            <t>MANAGER-SET KRAs:</t>
          </r>
          <r>
            <rPr>
              <rFont val="Calibri"/>
              <sz val="10"/>
            </rPr>
            <t xml:space="preserve"> Common themes in manager-set KRAs: improve · deliver · modules · committed · coverage · automated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7 holders, 7 answered the survey; sub-family 79 answered; catalogue RC-066</t>
          </r>
        </is>
      </c>
      <c r="S50"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3 · Potential: Medium · 9-Box Grid placement: Core Contributor.</t>
          </r>
        </is>
      </c>
      <c r="T50" s="121" t="n"/>
      <c r="U50" s="122" t="inlineStr">
        <is>
          <r>
            <rPr>
              <rFont val="Calibri"/>
              <sz val="10"/>
            </rPr>
            <t xml:space="preserve">Software Engineer in Technology · iDEAL, A2 — IC.
</t>
          </r>
          <r>
            <rPr>
              <rFont val="Calibri"/>
              <b val="1"/>
              <sz val="10"/>
            </rPr>
            <t>The work:</t>
          </r>
          <r>
            <rPr>
              <rFont val="Calibri"/>
              <sz val="10"/>
            </rPr>
            <t xml:space="preserve"> Builds back-end services, APIs, processing/validation logic and DB code; fixes defects and delivers change requests.
At this level the role owns standard work delivered independently.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Holders describe it with:</t>
          </r>
          <r>
            <rPr>
              <rFont val="Calibri"/>
              <sz val="10"/>
            </rPr>
            <t xml:space="preserve"> fixing · quality · bug · development · client · code.</t>
          </r>
        </is>
      </c>
      <c r="V50" s="123"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50" s="123"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NET MVC · Java
</t>
          </r>
          <r>
            <rPr>
              <rFont val="Calibri"/>
              <b val="1"/>
              <sz val="10"/>
            </rPr>
            <t>TOOLS:</t>
          </r>
          <r>
            <rPr>
              <rFont val="Calibri"/>
              <sz val="10"/>
            </rPr>
            <t xml:space="preserve"> Postman · Oracle database
★ = must-have for the family. Scale: 1 Awareness · 2 Working · 3 Practitioner · 4 Advanced · 5 Expert.</t>
          </r>
        </is>
      </c>
      <c r="X50" s="123"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50" s="124" t="inlineStr">
        <is>
          <t>iDEAL · Technology · Band A · Early career</t>
        </is>
      </c>
      <c r="Z50" s="125" t="n">
        <v>1.5</v>
      </c>
      <c r="AA50" s="126">
        <f>IFERROR(INDEX(WM_C,MATCH($Y50,WM_KEY,0)),"")</f>
        <v>0.64</v>
      </c>
      <c r="AB50" s="127">
        <f>IF(Z50="","",Z50*AA50)</f>
        <v>0.96</v>
      </c>
      <c r="AC50" s="125" t="n">
        <v>1.5</v>
      </c>
      <c r="AD50" s="126">
        <f>IFERROR(INDEX(WM_AU,MATCH($Y50,WM_KEY,0)),"")</f>
        <v>0.16</v>
      </c>
      <c r="AE50" s="127">
        <f>IF(AC50="","",AC50*AD50)</f>
        <v>0.24</v>
      </c>
      <c r="AF50" s="125" t="n">
        <v>1.5</v>
      </c>
      <c r="AG50" s="126">
        <f>IFERROR(INDEX(WM_AC,MATCH($Y50,WM_KEY,0)),"")</f>
        <v>0.04</v>
      </c>
      <c r="AH50" s="127">
        <f>IF(AF50="","",AF50*AG50)</f>
        <v>0.06</v>
      </c>
      <c r="AI50" s="125" t="n">
        <v>1</v>
      </c>
      <c r="AJ50" s="126">
        <f>IFERROR(INDEX(WM_L,MATCH($Y50,WM_KEY,0)),"")</f>
        <v>0</v>
      </c>
      <c r="AK50" s="127">
        <f>IF(AI50="","",AI50*AJ50)</f>
        <v>0</v>
      </c>
      <c r="AL50" s="125" t="n">
        <v>2.5</v>
      </c>
      <c r="AM50" s="126">
        <f>IFERROR(INDEX(WM_E,MATCH($Y50,WM_KEY,0)),"")</f>
        <v>0.1</v>
      </c>
      <c r="AN50" s="127">
        <f>IF(AL50="","",AL50*AM50)</f>
        <v>0.25</v>
      </c>
      <c r="AO50" s="128" t="n">
        <v>1.5</v>
      </c>
      <c r="AP50" s="126">
        <f>IFERROR(INDEX(WM_BI,MATCH($Y50,WM_KEY,0)),"")</f>
        <v>0.06</v>
      </c>
      <c r="AQ50" s="127">
        <f>IF(AO50="","",AO50*AP50)</f>
        <v>0.09</v>
      </c>
      <c r="AR50" s="127">
        <f>IF(COUNT(AB50,AE50,AH50,AK50,AN50,AQ50)&lt;6,"",SUM(AB50,AE50,AH50,AK50,AN50,AQ50))</f>
        <v>1.6</v>
      </c>
      <c r="AS50" s="129" t="str">
        <f>IF(AR50="","",INDEX({"A1","A2","A3","B1","B2","B3","C1","C2","D1","D2","E1","E2"},MAX(1,MIN(12,ROUND(AR50,0)))))</f>
        <v>A2</v>
      </c>
      <c r="AT50"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50" s="131" t="inlineStr">
        <is>
          <r>
            <rPr>
              <rFont val="Calibri"/>
              <b val="1"/>
              <sz val="10"/>
            </rPr>
            <t>At build:</t>
          </r>
          <r>
            <rPr>
              <rFont val="Calibri"/>
              <sz val="10"/>
            </rPr>
            <t xml:space="preserve"> Complexity 0.96 + Autonomy 0.24 + Accountability 0.06 + Leadership 0.00 + Experience 0.25 + Business impact 0.09
= 1.60 points → nearest level 2 = A2
</t>
          </r>
          <r>
            <rPr>
              <rFont val="Calibri"/>
              <b val="1"/>
              <sz val="10"/>
            </rPr>
            <t>Final level:</t>
          </r>
          <r>
            <rPr>
              <rFont val="Calibri"/>
              <sz val="10"/>
            </rPr>
            <t xml:space="preserve"> A2 · same as the score</t>
          </r>
        </is>
      </c>
      <c r="AV50" s="131" t="inlineStr">
        <is>
          <r>
            <rPr>
              <rFont val="Calibri"/>
              <b val="1"/>
              <sz val="10"/>
            </rPr>
            <t>No rule applied:</t>
          </r>
          <r>
            <rPr>
              <rFont val="Calibri"/>
              <sz val="10"/>
            </rPr>
            <t xml:space="preserve"> the score decides.</t>
          </r>
        </is>
      </c>
      <c r="AW50" s="132"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ASP.NET MVC development and bug fixing with Excel/XML/Oracle integrations for financial reporting → moved up 0.5
</t>
          </r>
          <r>
            <rPr>
              <rFont val="Calibri"/>
              <b val="1"/>
              <sz val="10"/>
            </rPr>
            <t>KRA:</t>
          </r>
          <r>
            <rPr>
              <rFont val="Calibri"/>
              <sz val="10"/>
            </rPr>
            <t xml:space="preserve"> “1. Deliver high-quality application enhancements, business features, and defect resolutions within committed timelines while ensuring…”
</t>
          </r>
          <r>
            <rPr>
              <rFont val="Calibri"/>
              <b val="1"/>
              <sz val="10"/>
            </rPr>
            <t>Market:</t>
          </r>
          <r>
            <rPr>
              <rFont val="Calibri"/>
              <sz val="10"/>
            </rPr>
            <t xml:space="preserve"> A1 = Learning; follows worked examples · A2 = Standard work of the discipline</t>
          </r>
        </is>
      </c>
      <c r="AX50" s="133"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Only 'technical analysis' named → moved up 0.5
</t>
          </r>
          <r>
            <rPr>
              <rFont val="Calibri"/>
              <b val="1"/>
              <sz val="10"/>
            </rPr>
            <t>Market:</t>
          </r>
          <r>
            <rPr>
              <rFont val="Calibri"/>
              <sz val="10"/>
            </rPr>
            <t xml:space="preserve"> A1 = Needs approval / close guidance · A2 = Chooses own approach within standards</t>
          </r>
        </is>
      </c>
      <c r="AY50" s="133"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Quality of own features and fixes; errors cause incorrect data and bugs → moved up 0.5
</t>
          </r>
          <r>
            <rPr>
              <rFont val="Calibri"/>
              <b val="1"/>
              <sz val="10"/>
            </rPr>
            <t>KRA:</t>
          </r>
          <r>
            <rPr>
              <rFont val="Calibri"/>
              <sz val="10"/>
            </rPr>
            <t xml:space="preserve"> “1. Deliver high-quality application enhancements, business features, and defect resolutions within committed timelines while ensuring…”
</t>
          </r>
          <r>
            <rPr>
              <rFont val="Calibri"/>
              <b val="1"/>
              <sz val="10"/>
            </rPr>
            <t>Market:</t>
          </r>
          <r>
            <rPr>
              <rFont val="Calibri"/>
              <sz val="10"/>
            </rPr>
            <t xml:space="preserve"> A1 = Learning tasks · A2 = Own deliverables · accuracy, TAT</t>
          </r>
        </is>
      </c>
      <c r="AZ50" s="133"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50" s="133" t="inlineStr">
        <is>
          <r>
            <rPr>
              <rFont val="Calibri"/>
              <sz val="10"/>
            </rPr>
            <t xml:space="preserve">Rated 2.5 of 12 · between A2 and A3
</t>
          </r>
          <r>
            <rPr>
              <rFont val="Calibri"/>
              <b val="1"/>
              <sz val="10"/>
            </rPr>
            <t>Experience:</t>
          </r>
          <r>
            <rPr>
              <rFont val="Calibri"/>
              <sz val="10"/>
            </rPr>
            <t xml:space="preserve"> 1.9 yrs total · 0.8 before IRIS + 1.1 at IRIS = 2.5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A2 roles typically have 0–3 yrs · IRIS guide 0–2</t>
          </r>
        </is>
      </c>
      <c r="BB50" s="133" t="inlineStr">
        <is>
          <r>
            <rPr>
              <rFont val="Calibri"/>
              <sz val="10"/>
            </rPr>
            <t xml:space="preserve">Rated 1.5 of 12 — a starting estimate.
</t>
          </r>
          <r>
            <rPr>
              <rFont val="Calibri"/>
              <b val="1"/>
              <sz val="10"/>
            </rPr>
            <t>Start:</t>
          </r>
          <r>
            <rPr>
              <rFont val="Calibri"/>
              <sz val="10"/>
            </rPr>
            <t xml:space="preserve"> 1.5,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A1 = Learning; little direct effect on business results yet · A2 = Own deliverables feed a team's output and turnaround</t>
          </r>
        </is>
      </c>
      <c r="BC50" s="134" t="inlineStr"/>
      <c r="BD50" s="135" t="inlineStr">
        <is>
          <t>✓ HRIS: 1.9 yrs, B.Sc, 0 direct reports
✓ Survey: 20 of 20 questions answered
✓ KRAs: self, manager-set, quarterly
✓ Manager mapping: rating, potential, 9-box
✗ Job description: not on file</t>
        </is>
      </c>
      <c r="BE50" s="135"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50" s="135" t="inlineStr">
        <is>
          <t>High</t>
        </is>
      </c>
      <c r="BG50" s="135" t="inlineStr">
        <is>
          <t>• Designation still says Trainee though experience is past the first year — confirm confirmation status / title</t>
        </is>
      </c>
      <c r="BH50" s="135" t="inlineStr"/>
      <c r="BI50" s="136" t="n"/>
      <c r="BJ50" s="137" t="n"/>
      <c r="BK50" s="137" t="n"/>
      <c r="BL50" s="137" t="n"/>
      <c r="BM50" s="137" t="n"/>
      <c r="BN50" s="138" t="n"/>
      <c r="BO50" s="121" t="n"/>
      <c r="BP50" s="121" t="n"/>
      <c r="BQ50" s="121" t="n"/>
      <c r="BR50" s="121" t="n"/>
      <c r="BS50" s="121" t="n"/>
      <c r="BT50" s="121" t="n"/>
      <c r="BU50" s="121" t="n"/>
      <c r="BV50" s="121" t="n">
        <v>1.5</v>
      </c>
    </row>
    <row r="51" ht="340" customHeight="1">
      <c r="A51" s="109" t="inlineStr">
        <is>
          <t>IRIS2538</t>
        </is>
      </c>
      <c r="B51" s="110" t="inlineStr">
        <is>
          <t>Atharv Sameer Shevade</t>
        </is>
      </c>
      <c r="C51" s="111" t="inlineStr">
        <is>
          <t>Technology</t>
        </is>
      </c>
      <c r="D51" s="111" t="inlineStr">
        <is>
          <t>Swapnil Shirke</t>
        </is>
      </c>
      <c r="E51" s="112" t="n">
        <v>0.3</v>
      </c>
      <c r="F51" s="112" t="n">
        <v>0.3</v>
      </c>
      <c r="G51" s="111" t="inlineStr">
        <is>
          <t>B.Tech</t>
        </is>
      </c>
      <c r="H51" s="139" t="inlineStr">
        <is>
          <t>Trainee Software Engineer</t>
        </is>
      </c>
      <c r="I51" s="115" t="inlineStr">
        <is>
          <t>Trainee Software Engineer</t>
        </is>
      </c>
      <c r="J51" s="115" t="inlineStr">
        <is>
          <t>Engineering &amp; Development</t>
        </is>
      </c>
      <c r="K51" s="115" t="inlineStr">
        <is>
          <t>Full-Stack Development</t>
        </is>
      </c>
      <c r="L51" s="115" t="inlineStr">
        <is>
          <t>L1 – Intern</t>
        </is>
      </c>
      <c r="M51" s="116" t="inlineStr">
        <is>
          <t>A1</t>
        </is>
      </c>
      <c r="N51" s="117" t="inlineStr">
        <is>
          <t>Intern / Trainee</t>
        </is>
      </c>
      <c r="O51" s="26" t="inlineStr">
        <is>
          <t>A</t>
        </is>
      </c>
      <c r="P51" s="115" t="inlineStr">
        <is>
          <t>IC</t>
        </is>
      </c>
      <c r="Q51" s="118" t="inlineStr">
        <is>
          <t>• Same level</t>
        </is>
      </c>
      <c r="R51" s="119" t="inlineStr">
        <is>
          <r>
            <rPr>
              <rFont val="Calibri"/>
              <b val="1"/>
              <sz val="10"/>
            </rPr>
            <t>WHAT THE ROLE DOES:</t>
          </r>
          <r>
            <rPr>
              <rFont val="Calibri"/>
              <sz val="10"/>
            </rPr>
            <t xml:space="preserve"> Builds features end to end — back-end services/APIs plus UI screens. At A1: learning the role; all work reviewed.
</t>
          </r>
          <r>
            <rPr>
              <rFont val="Calibri"/>
              <b val="1"/>
              <sz val="10"/>
            </rPr>
            <t>Common themes in role-holders' answers:</t>
          </r>
          <r>
            <rPr>
              <rFont val="Calibri"/>
              <sz val="10"/>
            </rPr>
            <t xml:space="preserve"> improving · software
</t>
          </r>
          <r>
            <rPr>
              <rFont val="Calibri"/>
              <b val="1"/>
              <sz val="10"/>
            </rPr>
            <t>KEY RESPONSIBILITIES:</t>
          </r>
          <r>
            <rPr>
              <rFont val="Calibri"/>
              <sz val="10"/>
            </rPr>
            <t xml:space="preserve"> Builds features end to end — back-end services/APIs plus UI screens; Learning; follows worked examples; Learning tasks
</t>
          </r>
          <r>
            <rPr>
              <rFont val="Calibri"/>
              <b val="1"/>
              <sz val="10"/>
            </rPr>
            <t>Common themes in role-holders' answers:</t>
          </r>
          <r>
            <rPr>
              <rFont val="Calibri"/>
              <sz val="10"/>
            </rPr>
            <t xml:space="preserve"> bug fixing · development · feature
</t>
          </r>
          <r>
            <rPr>
              <rFont val="Calibri"/>
              <b val="1"/>
              <sz val="10"/>
            </rPr>
            <t>DELIVERS:</t>
          </r>
          <r>
            <rPr>
              <rFont val="Calibri"/>
              <sz val="10"/>
            </rPr>
            <t xml:space="preserve"> Learning tasks
</t>
          </r>
          <r>
            <rPr>
              <rFont val="Calibri"/>
              <b val="1"/>
              <sz val="10"/>
            </rPr>
            <t>Common themes in role-holders' answers:</t>
          </r>
          <r>
            <rPr>
              <rFont val="Calibri"/>
              <sz val="10"/>
            </rPr>
            <t xml:space="preserve"> features · bug fixes · technical · apis · software
</t>
          </r>
          <r>
            <rPr>
              <rFont val="Calibri"/>
              <b val="1"/>
              <sz val="10"/>
            </rPr>
            <t>ACCOUNTABLE FOR:</t>
          </r>
          <r>
            <rPr>
              <rFont val="Calibri"/>
              <sz val="10"/>
            </rPr>
            <t xml:space="preserve"> Learning tasks
</t>
          </r>
          <r>
            <rPr>
              <rFont val="Calibri"/>
              <b val="1"/>
              <sz val="10"/>
            </rPr>
            <t>Common themes in role-holders' answers:</t>
          </r>
          <r>
            <rPr>
              <rFont val="Calibri"/>
              <sz val="10"/>
            </rPr>
            <t xml:space="preserve"> development · am
</t>
          </r>
          <r>
            <rPr>
              <rFont val="Calibri"/>
              <b val="1"/>
              <sz val="10"/>
            </rPr>
            <t>DECIDES ALONE:</t>
          </r>
          <r>
            <rPr>
              <rFont val="Calibri"/>
              <sz val="10"/>
            </rPr>
            <t xml:space="preserve"> Needs approval / close guidance
</t>
          </r>
          <r>
            <rPr>
              <rFont val="Calibri"/>
              <b val="1"/>
              <sz val="10"/>
            </rPr>
            <t>Common themes in role-holders' answers:</t>
          </r>
          <r>
            <rPr>
              <rFont val="Calibri"/>
              <sz val="10"/>
            </rPr>
            <t xml:space="preserve"> approaches · implementation
</t>
          </r>
          <r>
            <rPr>
              <rFont val="Calibri"/>
              <b val="1"/>
              <sz val="10"/>
            </rPr>
            <t>SKILLS &amp; KNOWLEDGE · role-holders:</t>
          </r>
          <r>
            <rPr>
              <rFont val="Calibri"/>
              <sz val="10"/>
            </rPr>
            <t xml:space="preserve"> React · Java · Angular · NET MVC
</t>
          </r>
          <r>
            <rPr>
              <rFont val="Calibri"/>
              <b val="1"/>
              <sz val="10"/>
            </rPr>
            <t>TOOLS &amp; SYSTEMS:</t>
          </r>
          <r>
            <rPr>
              <rFont val="Calibri"/>
              <sz val="10"/>
            </rPr>
            <t xml:space="preserve"> Vs code · Postman
</t>
          </r>
          <r>
            <rPr>
              <rFont val="Calibri"/>
              <b val="1"/>
              <sz val="10"/>
            </rPr>
            <t>MANAGER-SET KRAs:</t>
          </r>
          <r>
            <rPr>
              <rFont val="Calibri"/>
              <sz val="10"/>
            </rPr>
            <t xml:space="preserve"> Common themes in manager-set KRAs: complete · assigned · improve · code · technical · quality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35 answered; catalogue RC-083</t>
          </r>
        </is>
      </c>
      <c r="S51" s="120"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rework · lead · delays.
</t>
          </r>
          <r>
            <rPr>
              <rFont val="Calibri"/>
              <b val="1"/>
              <sz val="10"/>
            </rPr>
            <t>Measured on · manager-set KRA themes:</t>
          </r>
          <r>
            <rPr>
              <rFont val="Calibri"/>
              <sz val="10"/>
            </rPr>
            <t xml:space="preserve"> complete · assigned · improve · code · technical · quality.
Manager talent mapping — Latest rating: 3 · Potential: Medium · 9-Box Grid placement: Core Contributor.</t>
          </r>
        </is>
      </c>
      <c r="T51" s="121" t="n"/>
      <c r="U51" s="122" t="inlineStr">
        <is>
          <r>
            <rPr>
              <rFont val="Calibri"/>
              <sz val="10"/>
            </rPr>
            <t xml:space="preserve">Trainee Software Engineer in Technology · iDEAL, A1 — IC.
</t>
          </r>
          <r>
            <rPr>
              <rFont val="Calibri"/>
              <b val="1"/>
              <sz val="10"/>
            </rPr>
            <t>The work:</t>
          </r>
          <r>
            <rPr>
              <rFont val="Calibri"/>
              <sz val="10"/>
            </rPr>
            <t xml:space="preserve"> Builds features end to end — back-end services/APIs plus UI screens.
At this level the role owns learning the role; all work reviewed.
</t>
          </r>
          <r>
            <rPr>
              <rFont val="Calibri"/>
              <b val="1"/>
              <sz val="10"/>
            </rPr>
            <t>Key responsibilities:</t>
          </r>
          <r>
            <rPr>
              <rFont val="Calibri"/>
              <sz val="10"/>
            </rPr>
            <t xml:space="preserve"> Builds features end to end — back-end services/APIs plus UI screens; Learning; follows worked examples; Learning tasks.
</t>
          </r>
          <r>
            <rPr>
              <rFont val="Calibri"/>
              <b val="1"/>
              <sz val="10"/>
            </rPr>
            <t>Holders describe it with:</t>
          </r>
          <r>
            <rPr>
              <rFont val="Calibri"/>
              <sz val="10"/>
            </rPr>
            <t xml:space="preserve"> bug fixing · development · feature.</t>
          </r>
        </is>
      </c>
      <c r="V51" s="123" t="inlineStr">
        <is>
          <r>
            <rPr>
              <rFont val="Calibri"/>
              <b val="1"/>
              <sz val="10"/>
            </rPr>
            <t>Hire as:</t>
          </r>
          <r>
            <rPr>
              <rFont val="Calibri"/>
              <sz val="10"/>
            </rPr>
            <t xml:space="preserve"> Associate Software Engineer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BE / B.Tech / MCA / M.Tech / B.Sc · CS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51" s="123" t="inlineStr">
        <is>
          <r>
            <rPr>
              <rFont val="Calibri"/>
              <sz val="10"/>
            </rPr>
            <t xml:space="preserve">FUNCTIONAL — skill level 1 of 5 · Awareness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React · Java · Angular · NET MVC
</t>
          </r>
          <r>
            <rPr>
              <rFont val="Calibri"/>
              <b val="1"/>
              <sz val="10"/>
            </rPr>
            <t>TOOLS:</t>
          </r>
          <r>
            <rPr>
              <rFont val="Calibri"/>
              <sz val="10"/>
            </rPr>
            <t xml:space="preserve"> Vs code · Postman
★ = must-have for the family. Scale: 1 Awareness · 2 Working · 3 Practitioner · 4 Advanced · 5 Expert.</t>
          </r>
        </is>
      </c>
      <c r="X51" s="123" t="inlineStr">
        <is>
          <r>
            <rPr>
              <rFont val="Calibri"/>
              <sz val="10"/>
            </rPr>
            <t xml:space="preserve">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51" s="124" t="inlineStr">
        <is>
          <t>—</t>
        </is>
      </c>
      <c r="Z51" s="125" t="n"/>
      <c r="AA51" s="126" t="n"/>
      <c r="AB51" s="127" t="n"/>
      <c r="AC51" s="125" t="n"/>
      <c r="AD51" s="126" t="n"/>
      <c r="AE51" s="127" t="n"/>
      <c r="AF51" s="125" t="n"/>
      <c r="AG51" s="126" t="n"/>
      <c r="AH51" s="127" t="n"/>
      <c r="AI51" s="125" t="n"/>
      <c r="AJ51" s="126" t="n"/>
      <c r="AK51" s="127" t="n"/>
      <c r="AL51" s="125" t="n"/>
      <c r="AM51" s="126" t="n"/>
      <c r="AN51" s="127" t="n"/>
      <c r="AO51" s="128" t="n"/>
      <c r="AP51" s="126" t="n"/>
      <c r="AQ51" s="127" t="n"/>
      <c r="AR51" s="127" t="inlineStr"/>
      <c r="AS51" s="129" t="inlineStr"/>
      <c r="AT51" s="130" t="inlineStr">
        <is>
          <r>
            <rPr>
              <rFont val="Calibri"/>
              <b val="1"/>
              <sz val="10"/>
            </rPr>
            <t>Not scored:</t>
          </r>
          <r>
            <rPr>
              <rFont val="Calibri"/>
              <sz val="10"/>
            </rPr>
            <t xml:space="preserve"> interns and first-year trainees start at A1.</t>
          </r>
        </is>
      </c>
      <c r="AU51" s="131" t="inlineStr">
        <is>
          <r>
            <rPr>
              <rFont val="Calibri"/>
              <b val="1"/>
              <sz val="10"/>
            </rPr>
            <t>Not scored:</t>
          </r>
          <r>
            <rPr>
              <rFont val="Calibri"/>
              <sz val="10"/>
            </rPr>
            <t xml:space="preserve"> interns and first-year trainees start at A1.</t>
          </r>
        </is>
      </c>
      <c r="AV51" s="131" t="inlineStr">
        <is>
          <t>Interns and first-year trainees start at A1.</t>
        </is>
      </c>
      <c r="AW51" s="132" t="inlineStr">
        <is>
          <r>
            <rPr>
              <rFont val="Calibri"/>
              <b val="1"/>
              <sz val="10"/>
            </rPr>
            <t>Not scored:</t>
          </r>
          <r>
            <rPr>
              <rFont val="Calibri"/>
              <sz val="10"/>
            </rPr>
            <t xml:space="preserve"> interns and first-year trainees start at A1.</t>
          </r>
        </is>
      </c>
      <c r="AX51" s="133" t="inlineStr">
        <is>
          <r>
            <rPr>
              <rFont val="Calibri"/>
              <b val="1"/>
              <sz val="10"/>
            </rPr>
            <t>Not scored:</t>
          </r>
          <r>
            <rPr>
              <rFont val="Calibri"/>
              <sz val="10"/>
            </rPr>
            <t xml:space="preserve"> interns and first-year trainees start at A1.</t>
          </r>
        </is>
      </c>
      <c r="AY51" s="133" t="inlineStr">
        <is>
          <r>
            <rPr>
              <rFont val="Calibri"/>
              <b val="1"/>
              <sz val="10"/>
            </rPr>
            <t>Not scored:</t>
          </r>
          <r>
            <rPr>
              <rFont val="Calibri"/>
              <sz val="10"/>
            </rPr>
            <t xml:space="preserve"> interns and first-year trainees start at A1.</t>
          </r>
        </is>
      </c>
      <c r="AZ51" s="133" t="inlineStr">
        <is>
          <r>
            <rPr>
              <rFont val="Calibri"/>
              <b val="1"/>
              <sz val="10"/>
            </rPr>
            <t>Not scored:</t>
          </r>
          <r>
            <rPr>
              <rFont val="Calibri"/>
              <sz val="10"/>
            </rPr>
            <t xml:space="preserve"> interns and first-year trainees start at A1.</t>
          </r>
        </is>
      </c>
      <c r="BA51" s="133" t="inlineStr">
        <is>
          <r>
            <rPr>
              <rFont val="Calibri"/>
              <b val="1"/>
              <sz val="10"/>
            </rPr>
            <t>Not scored:</t>
          </r>
          <r>
            <rPr>
              <rFont val="Calibri"/>
              <sz val="10"/>
            </rPr>
            <t xml:space="preserve"> interns and first-year trainees start at A1.</t>
          </r>
        </is>
      </c>
      <c r="BB51" s="133" t="inlineStr">
        <is>
          <r>
            <rPr>
              <rFont val="Calibri"/>
              <b val="1"/>
              <sz val="10"/>
            </rPr>
            <t>Not scored:</t>
          </r>
          <r>
            <rPr>
              <rFont val="Calibri"/>
              <sz val="10"/>
            </rPr>
            <t xml:space="preserve"> interns and first-year trainees start at A1.</t>
          </r>
        </is>
      </c>
      <c r="BC51" s="134" t="inlineStr"/>
      <c r="BD51" s="135" t="inlineStr">
        <is>
          <t>✓ HRIS: 0.3 yrs, B.Tech, 0 direct reports
✓ Survey: 20 of 20 questions answered
✓ KRAs: self, manager-set, quarterly
✓ Manager mapping: rating, potential, 9-box
✗ Job description: not on file</t>
        </is>
      </c>
      <c r="BE51" s="135"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BF51" s="135" t="inlineStr">
        <is>
          <t>Low</t>
        </is>
      </c>
      <c r="BG51" s="135" t="inlineStr">
        <is>
          <t>• Survey answers are generic or do not match the role — not used as evidence; manager input needed</t>
        </is>
      </c>
      <c r="BH51" s="135" t="inlineStr"/>
      <c r="BI51" s="136" t="n"/>
      <c r="BJ51" s="137" t="n"/>
      <c r="BK51" s="137" t="n"/>
      <c r="BL51" s="137" t="n"/>
      <c r="BM51" s="137" t="n"/>
      <c r="BN51" s="138" t="n"/>
      <c r="BO51" s="121" t="n"/>
      <c r="BP51" s="121" t="n"/>
      <c r="BQ51" s="121" t="n"/>
      <c r="BR51" s="121" t="n"/>
      <c r="BS51" s="121" t="n"/>
      <c r="BT51" s="121" t="n"/>
      <c r="BU51" s="121" t="n"/>
      <c r="BV51" s="121" t="n"/>
    </row>
    <row r="52" ht="340" customHeight="1">
      <c r="A52" s="109" t="inlineStr">
        <is>
          <t>IRIS2539</t>
        </is>
      </c>
      <c r="B52" s="110" t="inlineStr">
        <is>
          <t>Vinayak Dadasaheb Suryawanshi</t>
        </is>
      </c>
      <c r="C52" s="111" t="inlineStr">
        <is>
          <t>Technology</t>
        </is>
      </c>
      <c r="D52" s="111" t="inlineStr">
        <is>
          <t>Swapnil Shirke</t>
        </is>
      </c>
      <c r="E52" s="112" t="n">
        <v>0.3</v>
      </c>
      <c r="F52" s="112" t="n">
        <v>0.3</v>
      </c>
      <c r="G52" s="111" t="inlineStr">
        <is>
          <t>B.Tech</t>
        </is>
      </c>
      <c r="H52" s="139" t="inlineStr">
        <is>
          <t>Trainee Software Engineer</t>
        </is>
      </c>
      <c r="I52" s="115" t="inlineStr">
        <is>
          <t>Trainee Software Engineer</t>
        </is>
      </c>
      <c r="J52" s="115" t="inlineStr">
        <is>
          <t>Engineering &amp; Development</t>
        </is>
      </c>
      <c r="K52" s="115" t="inlineStr">
        <is>
          <t>Backend Development</t>
        </is>
      </c>
      <c r="L52" s="115" t="inlineStr">
        <is>
          <t>L1 – Intern</t>
        </is>
      </c>
      <c r="M52" s="116" t="inlineStr">
        <is>
          <t>A1</t>
        </is>
      </c>
      <c r="N52" s="117" t="inlineStr">
        <is>
          <t>Intern / Trainee</t>
        </is>
      </c>
      <c r="O52" s="26" t="inlineStr">
        <is>
          <t>A</t>
        </is>
      </c>
      <c r="P52" s="115" t="inlineStr">
        <is>
          <t>IC</t>
        </is>
      </c>
      <c r="Q52" s="118" t="inlineStr">
        <is>
          <t>• Same level</t>
        </is>
      </c>
      <c r="R52" s="119" t="inlineStr">
        <is>
          <r>
            <rPr>
              <rFont val="Calibri"/>
              <b val="1"/>
              <sz val="10"/>
            </rPr>
            <t>WHAT THE ROLE DOES:</t>
          </r>
          <r>
            <rPr>
              <rFont val="Calibri"/>
              <sz val="10"/>
            </rPr>
            <t xml:space="preserve"> Builds back-end services, APIs, processing/validation logic and DB code; fixes defects and delivers change requests. At A1: learning the role; all work reviewed.
</t>
          </r>
          <r>
            <rPr>
              <rFont val="Calibri"/>
              <b val="1"/>
              <sz val="10"/>
            </rPr>
            <t>Common themes in role-holders' answers:</t>
          </r>
          <r>
            <rPr>
              <rFont val="Calibri"/>
              <sz val="10"/>
            </rPr>
            <t xml:space="preserve"> learn · core · software engineer · develop · purpose · design
</t>
          </r>
          <r>
            <rPr>
              <rFont val="Calibri"/>
              <b val="1"/>
              <sz val="10"/>
            </rPr>
            <t>KEY RESPONSIBILITIES:</t>
          </r>
          <r>
            <rPr>
              <rFont val="Calibri"/>
              <sz val="10"/>
            </rPr>
            <t xml:space="preserve"> Builds back-end services, APIs, processing/validation logic and DB code; fixes defects and delivers change requests; Learning; follows worked examples; Learning tasks
</t>
          </r>
          <r>
            <rPr>
              <rFont val="Calibri"/>
              <b val="1"/>
              <sz val="10"/>
            </rPr>
            <t>Common themes in role-holders' answers:</t>
          </r>
          <r>
            <rPr>
              <rFont val="Calibri"/>
              <sz val="10"/>
            </rPr>
            <t xml:space="preserve"> features · software · development · learning
</t>
          </r>
          <r>
            <rPr>
              <rFont val="Calibri"/>
              <b val="1"/>
              <sz val="10"/>
            </rPr>
            <t>DELIVERS:</t>
          </r>
          <r>
            <rPr>
              <rFont val="Calibri"/>
              <sz val="10"/>
            </rPr>
            <t xml:space="preserve"> Learning tasks
</t>
          </r>
          <r>
            <rPr>
              <rFont val="Calibri"/>
              <b val="1"/>
              <sz val="10"/>
            </rPr>
            <t>Common themes in role-holders' answers:</t>
          </r>
          <r>
            <rPr>
              <rFont val="Calibri"/>
              <sz val="10"/>
            </rPr>
            <t xml:space="preserve"> software · code · features
</t>
          </r>
          <r>
            <rPr>
              <rFont val="Calibri"/>
              <b val="1"/>
              <sz val="10"/>
            </rPr>
            <t>ACCOUNTABLE FOR:</t>
          </r>
          <r>
            <rPr>
              <rFont val="Calibri"/>
              <sz val="10"/>
            </rPr>
            <t xml:space="preserve"> Learning tasks
</t>
          </r>
          <r>
            <rPr>
              <rFont val="Calibri"/>
              <b val="1"/>
              <sz val="10"/>
            </rPr>
            <t>Common themes in role-holders' answers:</t>
          </r>
          <r>
            <rPr>
              <rFont val="Calibri"/>
              <sz val="10"/>
            </rPr>
            <t xml:space="preserve"> quality · accountable · timely · if · data
</t>
          </r>
          <r>
            <rPr>
              <rFont val="Calibri"/>
              <b val="1"/>
              <sz val="10"/>
            </rPr>
            <t>DECIDES ALONE:</t>
          </r>
          <r>
            <rPr>
              <rFont val="Calibri"/>
              <sz val="10"/>
            </rPr>
            <t xml:space="preserve"> Needs approval / close guidance
</t>
          </r>
          <r>
            <rPr>
              <rFont val="Calibri"/>
              <b val="1"/>
              <sz val="10"/>
            </rPr>
            <t>Common themes in role-holders' answers:</t>
          </r>
          <r>
            <rPr>
              <rFont val="Calibri"/>
              <sz val="10"/>
            </rPr>
            <t xml:space="preserve"> decisions · technical
</t>
          </r>
          <r>
            <rPr>
              <rFont val="Calibri"/>
              <b val="1"/>
              <sz val="10"/>
            </rPr>
            <t>SKILLS &amp; KNOWLEDGE · role-holders:</t>
          </r>
          <r>
            <rPr>
              <rFont val="Calibri"/>
              <sz val="10"/>
            </rPr>
            <t xml:space="preserve"> Java · NET MVC
</t>
          </r>
          <r>
            <rPr>
              <rFont val="Calibri"/>
              <b val="1"/>
              <sz val="10"/>
            </rPr>
            <t>MANAGER-SET KRAs:</t>
          </r>
          <r>
            <rPr>
              <rFont val="Calibri"/>
              <sz val="10"/>
            </rPr>
            <t xml:space="preserve"> Common themes in manager-set KRAs: code · technical · agreed · deliver · application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79 answered; catalogue RC-065</t>
          </r>
        </is>
      </c>
      <c r="S52" s="120"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 delays · rework.
</t>
          </r>
          <r>
            <rPr>
              <rFont val="Calibri"/>
              <b val="1"/>
              <sz val="10"/>
            </rPr>
            <t>Measured on · manager-set KRA themes:</t>
          </r>
          <r>
            <rPr>
              <rFont val="Calibri"/>
              <sz val="10"/>
            </rPr>
            <t xml:space="preserve"> code · technical · agreed · deliver · application · maintain.
Manager talent mapping — Latest rating: 3 · Potential: Medium · 9-Box Grid placement: Emerging Talent.</t>
          </r>
        </is>
      </c>
      <c r="T52" s="121" t="n"/>
      <c r="U52" s="122" t="inlineStr">
        <is>
          <r>
            <rPr>
              <rFont val="Calibri"/>
              <sz val="10"/>
            </rPr>
            <t xml:space="preserve">Trainee Software Engineer in Technology · iDEAL, A1 — IC.
</t>
          </r>
          <r>
            <rPr>
              <rFont val="Calibri"/>
              <b val="1"/>
              <sz val="10"/>
            </rPr>
            <t>The work:</t>
          </r>
          <r>
            <rPr>
              <rFont val="Calibri"/>
              <sz val="10"/>
            </rPr>
            <t xml:space="preserve"> Builds back-end services, APIs, processing/validation logic and DB code; fixes defects and delivers change requests.
At this level the role owns learning the role; all work reviewed.
</t>
          </r>
          <r>
            <rPr>
              <rFont val="Calibri"/>
              <b val="1"/>
              <sz val="10"/>
            </rPr>
            <t>Key responsibilities:</t>
          </r>
          <r>
            <rPr>
              <rFont val="Calibri"/>
              <sz val="10"/>
            </rPr>
            <t xml:space="preserve"> Builds back-end services, APIs, processing/validation logic and DB code; fixes defects and delivers change requests; Learning; follows worked examples; Learning tasks.
</t>
          </r>
          <r>
            <rPr>
              <rFont val="Calibri"/>
              <b val="1"/>
              <sz val="10"/>
            </rPr>
            <t>Holders describe it with:</t>
          </r>
          <r>
            <rPr>
              <rFont val="Calibri"/>
              <sz val="10"/>
            </rPr>
            <t xml:space="preserve"> features · software · development · learning.</t>
          </r>
        </is>
      </c>
      <c r="V52" s="123" t="inlineStr">
        <is>
          <r>
            <rPr>
              <rFont val="Calibri"/>
              <b val="1"/>
              <sz val="10"/>
            </rPr>
            <t>Hire as:</t>
          </r>
          <r>
            <rPr>
              <rFont val="Calibri"/>
              <sz val="10"/>
            </rPr>
            <t xml:space="preserve"> Associate Software Engineer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BE / B.Tech / MCA / M.Tech / B.Sc · CS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52" s="123" t="inlineStr">
        <is>
          <r>
            <rPr>
              <rFont val="Calibri"/>
              <sz val="10"/>
            </rPr>
            <t xml:space="preserve">FUNCTIONAL — skill level 1 of 5 · Awareness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Java · NET MVC
★ = must-have for the family. Scale: 1 Awareness · 2 Working · 3 Practitioner · 4 Advanced · 5 Expert.</t>
          </r>
        </is>
      </c>
      <c r="X52" s="123" t="inlineStr">
        <is>
          <r>
            <rPr>
              <rFont val="Calibri"/>
              <sz val="10"/>
            </rPr>
            <t xml:space="preserve">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52" s="124" t="inlineStr">
        <is>
          <t>—</t>
        </is>
      </c>
      <c r="Z52" s="125" t="n"/>
      <c r="AA52" s="126" t="n"/>
      <c r="AB52" s="127" t="n"/>
      <c r="AC52" s="125" t="n"/>
      <c r="AD52" s="126" t="n"/>
      <c r="AE52" s="127" t="n"/>
      <c r="AF52" s="125" t="n"/>
      <c r="AG52" s="126" t="n"/>
      <c r="AH52" s="127" t="n"/>
      <c r="AI52" s="125" t="n"/>
      <c r="AJ52" s="126" t="n"/>
      <c r="AK52" s="127" t="n"/>
      <c r="AL52" s="125" t="n"/>
      <c r="AM52" s="126" t="n"/>
      <c r="AN52" s="127" t="n"/>
      <c r="AO52" s="128" t="n"/>
      <c r="AP52" s="126" t="n"/>
      <c r="AQ52" s="127" t="n"/>
      <c r="AR52" s="127" t="inlineStr"/>
      <c r="AS52" s="129" t="inlineStr"/>
      <c r="AT52" s="130" t="inlineStr">
        <is>
          <r>
            <rPr>
              <rFont val="Calibri"/>
              <b val="1"/>
              <sz val="10"/>
            </rPr>
            <t>Not scored:</t>
          </r>
          <r>
            <rPr>
              <rFont val="Calibri"/>
              <sz val="10"/>
            </rPr>
            <t xml:space="preserve"> interns and first-year trainees start at A1.</t>
          </r>
        </is>
      </c>
      <c r="AU52" s="131" t="inlineStr">
        <is>
          <r>
            <rPr>
              <rFont val="Calibri"/>
              <b val="1"/>
              <sz val="10"/>
            </rPr>
            <t>Not scored:</t>
          </r>
          <r>
            <rPr>
              <rFont val="Calibri"/>
              <sz val="10"/>
            </rPr>
            <t xml:space="preserve"> interns and first-year trainees start at A1.</t>
          </r>
        </is>
      </c>
      <c r="AV52" s="131" t="inlineStr">
        <is>
          <t>Interns and first-year trainees start at A1.</t>
        </is>
      </c>
      <c r="AW52" s="132" t="inlineStr">
        <is>
          <r>
            <rPr>
              <rFont val="Calibri"/>
              <b val="1"/>
              <sz val="10"/>
            </rPr>
            <t>Not scored:</t>
          </r>
          <r>
            <rPr>
              <rFont val="Calibri"/>
              <sz val="10"/>
            </rPr>
            <t xml:space="preserve"> interns and first-year trainees start at A1.</t>
          </r>
        </is>
      </c>
      <c r="AX52" s="133" t="inlineStr">
        <is>
          <r>
            <rPr>
              <rFont val="Calibri"/>
              <b val="1"/>
              <sz val="10"/>
            </rPr>
            <t>Not scored:</t>
          </r>
          <r>
            <rPr>
              <rFont val="Calibri"/>
              <sz val="10"/>
            </rPr>
            <t xml:space="preserve"> interns and first-year trainees start at A1.</t>
          </r>
        </is>
      </c>
      <c r="AY52" s="133" t="inlineStr">
        <is>
          <r>
            <rPr>
              <rFont val="Calibri"/>
              <b val="1"/>
              <sz val="10"/>
            </rPr>
            <t>Not scored:</t>
          </r>
          <r>
            <rPr>
              <rFont val="Calibri"/>
              <sz val="10"/>
            </rPr>
            <t xml:space="preserve"> interns and first-year trainees start at A1.</t>
          </r>
        </is>
      </c>
      <c r="AZ52" s="133" t="inlineStr">
        <is>
          <r>
            <rPr>
              <rFont val="Calibri"/>
              <b val="1"/>
              <sz val="10"/>
            </rPr>
            <t>Not scored:</t>
          </r>
          <r>
            <rPr>
              <rFont val="Calibri"/>
              <sz val="10"/>
            </rPr>
            <t xml:space="preserve"> interns and first-year trainees start at A1.</t>
          </r>
        </is>
      </c>
      <c r="BA52" s="133" t="inlineStr">
        <is>
          <r>
            <rPr>
              <rFont val="Calibri"/>
              <b val="1"/>
              <sz val="10"/>
            </rPr>
            <t>Not scored:</t>
          </r>
          <r>
            <rPr>
              <rFont val="Calibri"/>
              <sz val="10"/>
            </rPr>
            <t xml:space="preserve"> interns and first-year trainees start at A1.</t>
          </r>
        </is>
      </c>
      <c r="BB52" s="133" t="inlineStr">
        <is>
          <r>
            <rPr>
              <rFont val="Calibri"/>
              <b val="1"/>
              <sz val="10"/>
            </rPr>
            <t>Not scored:</t>
          </r>
          <r>
            <rPr>
              <rFont val="Calibri"/>
              <sz val="10"/>
            </rPr>
            <t xml:space="preserve"> interns and first-year trainees start at A1.</t>
          </r>
        </is>
      </c>
      <c r="BC52" s="134" t="inlineStr"/>
      <c r="BD52" s="135" t="inlineStr">
        <is>
          <t>✓ HRIS: 0.3 yrs, B.Tech, 0 direct reports
✓ Survey: 20 of 20 questions answered
✓ KRAs: self, manager-set, quarterly
✓ Manager mapping: rating, potential, 9-box
✗ Job description: not on file</t>
        </is>
      </c>
      <c r="BE52" s="135"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BF52" s="135" t="inlineStr">
        <is>
          <t>Medium</t>
        </is>
      </c>
      <c r="BG52" s="135" t="inlineStr"/>
      <c r="BH52" s="135" t="inlineStr"/>
      <c r="BI52" s="136" t="n"/>
      <c r="BJ52" s="137" t="n"/>
      <c r="BK52" s="137" t="n"/>
      <c r="BL52" s="137" t="n"/>
      <c r="BM52" s="137" t="n"/>
      <c r="BN52" s="138" t="n"/>
      <c r="BO52" s="121" t="n"/>
      <c r="BP52" s="121" t="n"/>
      <c r="BQ52" s="121" t="n"/>
      <c r="BR52" s="121" t="n"/>
      <c r="BS52" s="121" t="n"/>
      <c r="BT52" s="121" t="n"/>
      <c r="BU52" s="121" t="n"/>
      <c r="BV52" s="121" t="n"/>
    </row>
    <row r="53" ht="340" customHeight="1">
      <c r="A53" s="109" t="inlineStr">
        <is>
          <t>IRIS1224</t>
        </is>
      </c>
      <c r="B53" s="110" t="inlineStr">
        <is>
          <t>Hemant Karale</t>
        </is>
      </c>
      <c r="C53" s="111" t="inlineStr">
        <is>
          <t>iDEAL Business Head</t>
        </is>
      </c>
      <c r="D53" s="111" t="inlineStr">
        <is>
          <t>Shailesh Gupta</t>
        </is>
      </c>
      <c r="E53" s="112" t="n">
        <v>17.6</v>
      </c>
      <c r="F53" s="112" t="n">
        <v>14.2</v>
      </c>
      <c r="G53" s="111" t="inlineStr">
        <is>
          <t>MBA</t>
        </is>
      </c>
      <c r="H53" s="113" t="inlineStr">
        <is>
          <t>Business Head IRIS iDEAL</t>
        </is>
      </c>
      <c r="I53" s="114" t="inlineStr">
        <is>
          <t>Business Head – iDEAL</t>
        </is>
      </c>
      <c r="J53" s="115" t="inlineStr">
        <is>
          <t>Executive Leadership</t>
        </is>
      </c>
      <c r="K53" s="115" t="inlineStr">
        <is>
          <t>Business &amp; Functional Leadership</t>
        </is>
      </c>
      <c r="L53" s="114" t="inlineStr">
        <is>
          <t>L7 – Head / Sr Director</t>
        </is>
      </c>
      <c r="M53" s="141" t="inlineStr">
        <is>
          <t>D1</t>
        </is>
      </c>
      <c r="N53" s="152" t="inlineStr">
        <is>
          <t>Associate Vice President / Business Head</t>
        </is>
      </c>
      <c r="O53" s="39" t="inlineStr">
        <is>
          <t>D</t>
        </is>
      </c>
      <c r="P53" s="115" t="inlineStr">
        <is>
          <t>People Manager</t>
        </is>
      </c>
      <c r="Q53" s="142" t="inlineStr">
        <is>
          <t>▲ Up</t>
        </is>
      </c>
      <c r="R53" s="119" t="inlineStr">
        <is>
          <r>
            <rPr>
              <rFont val="Calibri"/>
              <b val="1"/>
              <sz val="10"/>
            </rPr>
            <t>WHAT THE ROLE DOES:</t>
          </r>
          <r>
            <rPr>
              <rFont val="Calibri"/>
              <sz val="10"/>
            </rPr>
            <t xml:space="preserve"> Owns a business line or enterprise function end to end. At D1: a business line P&amp;L, region or enterprise function.
</t>
          </r>
          <r>
            <rPr>
              <rFont val="Calibri"/>
              <b val="1"/>
              <sz val="10"/>
            </rPr>
            <t>KEY RESPONSIBILITIES:</t>
          </r>
          <r>
            <rPr>
              <rFont val="Calibri"/>
              <sz val="10"/>
            </rPr>
            <t xml:space="preserve"> Owns a business line or enterprise function end to end; Competing strategic, financial and regulatory priorities; Business-line P&amp;L and market position
</t>
          </r>
          <r>
            <rPr>
              <rFont val="Calibri"/>
              <b val="1"/>
              <sz val="10"/>
            </rPr>
            <t>DELIVERS:</t>
          </r>
          <r>
            <rPr>
              <rFont val="Calibri"/>
              <sz val="10"/>
            </rPr>
            <t xml:space="preserve"> Business-line P&amp;L and market position
</t>
          </r>
          <r>
            <rPr>
              <rFont val="Calibri"/>
              <b val="1"/>
              <sz val="10"/>
            </rPr>
            <t>DECIDES ALONE:</t>
          </r>
          <r>
            <rPr>
              <rFont val="Calibri"/>
              <sz val="10"/>
            </rPr>
            <t xml:space="preserve"> Sets business-line direction, pricing and investment
</t>
          </r>
          <r>
            <rPr>
              <rFont val="Calibri"/>
              <b val="1"/>
              <sz val="10"/>
            </rPr>
            <t>SKILLS &amp; KNOWLEDGE · role-holders:</t>
          </r>
          <r>
            <rPr>
              <rFont val="Calibri"/>
              <sz val="10"/>
            </rPr>
            <t xml:space="preserve"> Product Management
COMPETENCIES REQUIRED — must-have ★: Strategic Thinking &amp; Business Acumen · People Leadership &amp; Mentoring
</t>
          </r>
          <r>
            <rPr>
              <rFont val="Calibri"/>
              <b val="1"/>
              <sz val="10"/>
            </rPr>
            <t>OTHER FUNCTIONAL COMPETENCIES:</t>
          </r>
          <r>
            <rPr>
              <rFont val="Calibri"/>
              <sz val="10"/>
            </rPr>
            <t xml:space="preserve"> Stakeholder &amp; Client Management · Product, Platform &amp; Domain Knowledge · Regulatory &amp; BFSI Domain · Communication &amp; Presentation
</t>
          </r>
          <r>
            <rPr>
              <rFont val="Calibri"/>
              <b val="1"/>
              <sz val="10"/>
            </rPr>
            <t>PROFICIENCY NEEDED AT THIS LEVEL:</t>
          </r>
          <r>
            <rPr>
              <rFont val="Calibri"/>
              <sz val="10"/>
            </rPr>
            <t xml:space="preserve"> Core 5 · Future-ready 4 · Functional 4 · Leadership 5
</t>
          </r>
          <r>
            <rPr>
              <rFont val="Calibri"/>
              <b val="1"/>
              <sz val="10"/>
            </rPr>
            <t>CREDENTIALS:</t>
          </r>
          <r>
            <rPr>
              <rFont val="Calibri"/>
              <sz val="10"/>
            </rPr>
            <t xml:space="preserve"> MBA / PGDM · preferred at C+
</t>
          </r>
          <r>
            <rPr>
              <rFont val="Calibri"/>
              <b val="1"/>
              <sz val="10"/>
            </rPr>
            <t>SOURCE:</t>
          </r>
          <r>
            <rPr>
              <rFont val="Calibri"/>
              <sz val="10"/>
            </rPr>
            <t xml:space="preserve"> Framework only · fewer than 3 answered — 2 holders, 0 answered the survey; sub-family 0 answered; catalogue RC-090</t>
          </r>
        </is>
      </c>
      <c r="S53" s="120" t="inlineStr">
        <is>
          <r>
            <rPr>
              <rFont val="Calibri"/>
              <b val="1"/>
              <sz val="10"/>
            </rPr>
            <t>What the role answers for:</t>
          </r>
          <r>
            <rPr>
              <rFont val="Calibri"/>
              <sz val="10"/>
            </rPr>
            <t xml:space="preserve"> Business-line P&amp;L and market position.
</t>
          </r>
          <r>
            <rPr>
              <rFont val="Calibri"/>
              <b val="1"/>
              <sz val="10"/>
            </rPr>
            <t>Accountability &amp; Impact rating:</t>
          </r>
          <r>
            <rPr>
              <rFont val="Calibri"/>
              <sz val="10"/>
            </rPr>
            <t xml:space="preserve"> 9 of 12 · D1-level impact.
Leads 8 direct reports.
Manager talent mapping — Latest rating: Not rated · manager · 9-Box Grid placement: Not placed · manager.</t>
          </r>
        </is>
      </c>
      <c r="T53" s="121" t="n"/>
      <c r="U53" s="122" t="inlineStr">
        <is>
          <r>
            <rPr>
              <rFont val="Calibri"/>
              <sz val="10"/>
            </rPr>
            <t xml:space="preserve">Business Head – iDEAL in iDEAL Business Head · iDEAL, D1 — People Manager.
</t>
          </r>
          <r>
            <rPr>
              <rFont val="Calibri"/>
              <b val="1"/>
              <sz val="10"/>
            </rPr>
            <t>The work:</t>
          </r>
          <r>
            <rPr>
              <rFont val="Calibri"/>
              <sz val="10"/>
            </rPr>
            <t xml:space="preserve"> Owns a business line or enterprise function end to end.
At this level the role owns a business line P&amp;L, region or enterprise function.
</t>
          </r>
          <r>
            <rPr>
              <rFont val="Calibri"/>
              <b val="1"/>
              <sz val="10"/>
            </rPr>
            <t>Key responsibilities:</t>
          </r>
          <r>
            <rPr>
              <rFont val="Calibri"/>
              <sz val="10"/>
            </rPr>
            <t xml:space="preserve"> Owns a business line or enterprise function end to end; Competing strategic, financial and regulatory priorities; Business-line P&amp;L and market position.
Leads 8 direct reports.</t>
          </r>
        </is>
      </c>
      <c r="V53" s="123" t="inlineStr">
        <is>
          <r>
            <rPr>
              <rFont val="Calibri"/>
              <b val="1"/>
              <sz val="10"/>
            </rPr>
            <t>Hire as:</t>
          </r>
          <r>
            <rPr>
              <rFont val="Calibri"/>
              <sz val="10"/>
            </rPr>
            <t xml:space="preserve"> Associate Vice President / Business Head — IRIS D1 Associate Vice President / Business Head · People Manager
</t>
          </r>
          <r>
            <rPr>
              <rFont val="Calibri"/>
              <b val="1"/>
              <sz val="10"/>
            </rPr>
            <t>Market level:</t>
          </r>
          <r>
            <rPr>
              <rFont val="Calibri"/>
              <sz val="10"/>
            </rPr>
            <t xml:space="preserve"> E1–E2 · SFIA 6–7
</t>
          </r>
          <r>
            <rPr>
              <rFont val="Calibri"/>
              <b val="1"/>
              <sz val="10"/>
            </rPr>
            <t>Experience:</t>
          </r>
          <r>
            <rPr>
              <rFont val="Calibri"/>
              <sz val="10"/>
            </rPr>
            <t xml:space="preserve"> 15–20 yrs · Education: Postgraduate / professional qualification
</t>
          </r>
          <r>
            <rPr>
              <rFont val="Calibri"/>
              <b val="1"/>
              <sz val="10"/>
            </rPr>
            <t>Team size at this level:</t>
          </r>
          <r>
            <rPr>
              <rFont val="Calibri"/>
              <sz val="10"/>
            </rPr>
            <t xml:space="preserve"> 5–8 heads
</t>
          </r>
          <r>
            <rPr>
              <rFont val="Calibri"/>
              <b val="1"/>
              <sz val="10"/>
            </rPr>
            <t>Equivalent titles at peers:</t>
          </r>
          <r>
            <rPr>
              <rFont val="Calibri"/>
              <sz val="10"/>
            </rPr>
            <t xml:space="preserve"> IRIS Vs Market Benchmark — Aon Radford / Mercer executive codes – E1–E2 VP / Business Head · IRIS Vs Competitor Benchmark — regtech / SaaS executive titles – General Manager / VP
</t>
          </r>
          <r>
            <rPr>
              <rFont val="Calibri"/>
              <b val="1"/>
              <sz val="10"/>
            </rPr>
            <t>Credentials:</t>
          </r>
          <r>
            <rPr>
              <rFont val="Calibri"/>
              <sz val="10"/>
            </rPr>
            <t xml:space="preserve"> MBA / PGDM · preferred at C+
</t>
          </r>
          <r>
            <rPr>
              <rFont val="Calibri"/>
              <b val="1"/>
              <sz val="10"/>
            </rPr>
            <t>Must already know:</t>
          </r>
          <r>
            <rPr>
              <rFont val="Calibri"/>
              <sz val="10"/>
            </rPr>
            <t xml:space="preserve"> Governance, risk and regulatory accountability</t>
          </r>
        </is>
      </c>
      <c r="W53" s="123" t="inlineStr">
        <is>
          <r>
            <rPr>
              <rFont val="Calibri"/>
              <sz val="10"/>
            </rPr>
            <t xml:space="preserve">FUNCTIONAL — skill level 4 of 5 · Advanced
 ★ Strategic Thinking &amp; Business Acumen: Shapes strategy, pricing or investment choices
 ★ People Leadership &amp; Mentoring: Leads leaders; builds succession
 •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
CORE — skill level 5 of 5 · Expert
 •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5 of 5 · Expert
 •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
</t>
          </r>
          <r>
            <rPr>
              <rFont val="Calibri"/>
              <b val="1"/>
              <sz val="10"/>
            </rPr>
            <t>SKILLS · from role-holders and HRIS:</t>
          </r>
          <r>
            <rPr>
              <rFont val="Calibri"/>
              <sz val="10"/>
            </rPr>
            <t xml:space="preserve"> Product Management
★ = must-have for the family. Scale: 1 Awareness · 2 Working · 3 Practitioner · 4 Advanced · 5 Expert.</t>
          </r>
        </is>
      </c>
      <c r="X53" s="123" t="inlineStr">
        <is>
          <r>
            <rPr>
              <rFont val="Calibri"/>
              <sz val="10"/>
            </rPr>
            <t xml:space="preserve">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t>
          </r>
          <r>
            <rPr>
              <rFont val="Calibri"/>
              <b val="1"/>
              <sz val="10"/>
            </rPr>
            <t>Fit check:</t>
          </r>
          <r>
            <rPr>
              <rFont val="Calibri"/>
              <sz val="10"/>
            </rPr>
            <t xml:space="preserve"> Why this role, why IRIS · regulatory reporting / XBRL / regtech, and what would you change in your first 90 days?</t>
          </r>
        </is>
      </c>
      <c r="Y53" s="124" t="inlineStr">
        <is>
          <t>iDEAL · iDEAL Business Head · Bands D–E · Leadership</t>
        </is>
      </c>
      <c r="Z53" s="125" t="n">
        <v>8.5</v>
      </c>
      <c r="AA53" s="126">
        <f>IFERROR(INDEX(WM_C,MATCH($Y53,WM_KEY,0)),"")</f>
        <v>0.37</v>
      </c>
      <c r="AB53" s="127">
        <f>IF(Z53="","",Z53*AA53)</f>
        <v>3.145</v>
      </c>
      <c r="AC53" s="125" t="n">
        <v>8.5</v>
      </c>
      <c r="AD53" s="126">
        <f>IFERROR(INDEX(WM_AU,MATCH($Y53,WM_KEY,0)),"")</f>
        <v>0.19</v>
      </c>
      <c r="AE53" s="127">
        <f>IF(AC53="","",AC53*AD53)</f>
        <v>1.615</v>
      </c>
      <c r="AF53" s="125" t="n">
        <v>9</v>
      </c>
      <c r="AG53" s="126">
        <f>IFERROR(INDEX(WM_AC,MATCH($Y53,WM_KEY,0)),"")</f>
        <v>0.11</v>
      </c>
      <c r="AH53" s="127">
        <f>IF(AF53="","",AF53*AG53)</f>
        <v>0.99</v>
      </c>
      <c r="AI53" s="125" t="n">
        <v>8.5</v>
      </c>
      <c r="AJ53" s="126">
        <f>IFERROR(INDEX(WM_L,MATCH($Y53,WM_KEY,0)),"")</f>
        <v>0.2</v>
      </c>
      <c r="AK53" s="127">
        <f>IF(AI53="","",AI53*AJ53)</f>
        <v>1.7</v>
      </c>
      <c r="AL53" s="125" t="n">
        <v>9.5</v>
      </c>
      <c r="AM53" s="126">
        <f>IFERROR(INDEX(WM_E,MATCH($Y53,WM_KEY,0)),"")</f>
        <v>0.05</v>
      </c>
      <c r="AN53" s="127">
        <f>IF(AL53="","",AL53*AM53)</f>
        <v>0.475</v>
      </c>
      <c r="AO53" s="128" t="n">
        <v>9</v>
      </c>
      <c r="AP53" s="126">
        <f>IFERROR(INDEX(WM_BI,MATCH($Y53,WM_KEY,0)),"")</f>
        <v>0.08</v>
      </c>
      <c r="AQ53" s="127">
        <f>IF(AO53="","",AO53*AP53)</f>
        <v>0.72</v>
      </c>
      <c r="AR53" s="127">
        <f>IF(COUNT(AB53,AE53,AH53,AK53,AN53,AQ53)&lt;6,"",SUM(AB53,AE53,AH53,AK53,AN53,AQ53))</f>
        <v>8.645</v>
      </c>
      <c r="AS53" s="129" t="str">
        <f>IF(AR53="","",INDEX({"A1","A2","A3","B1","B2","B3","C1","C2","D1","D2","E1","E2"},MAX(1,MIN(12,ROUND(AR53,0)))))</f>
        <v>D1</v>
      </c>
      <c r="AT53" s="130" t="inlineStr">
        <is>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t>
          </r>
        </is>
      </c>
      <c r="AU53" s="131" t="inlineStr">
        <is>
          <r>
            <rPr>
              <rFont val="Calibri"/>
              <b val="1"/>
              <sz val="10"/>
            </rPr>
            <t>At build:</t>
          </r>
          <r>
            <rPr>
              <rFont val="Calibri"/>
              <sz val="10"/>
            </rPr>
            <t xml:space="preserve"> Complexity 3.15 + Autonomy 1.61 + Accountability 0.99 + Leadership 1.70 + Experience 0.48 + Business impact 0.72
= 8.64 points → nearest level 9 = D1
</t>
          </r>
          <r>
            <rPr>
              <rFont val="Calibri"/>
              <b val="1"/>
              <sz val="10"/>
            </rPr>
            <t>Final level:</t>
          </r>
          <r>
            <rPr>
              <rFont val="Calibri"/>
              <sz val="10"/>
            </rPr>
            <t xml:space="preserve"> D1 · same as the score</t>
          </r>
        </is>
      </c>
      <c r="AV53" s="131" t="inlineStr">
        <is>
          <r>
            <rPr>
              <rFont val="Calibri"/>
              <b val="1"/>
              <sz val="10"/>
            </rPr>
            <t>No rule applied:</t>
          </r>
          <r>
            <rPr>
              <rFont val="Calibri"/>
              <sz val="10"/>
            </rPr>
            <t xml:space="preserve"> the score decides.</t>
          </r>
        </is>
      </c>
      <c r="AW53" s="132" t="inlineStr">
        <is>
          <r>
            <rPr>
              <rFont val="Calibri"/>
              <sz val="10"/>
            </rPr>
            <t xml:space="preserve">Rated 8.5 of 12 · between C2 and D1
</t>
          </r>
          <r>
            <rPr>
              <rFont val="Calibri"/>
              <b val="1"/>
              <sz val="10"/>
            </rPr>
            <t>Start:</t>
          </r>
          <r>
            <rPr>
              <rFont val="Calibri"/>
              <sz val="10"/>
            </rPr>
            <t xml:space="preserve"> 9.0 · business head / director title
</t>
          </r>
          <r>
            <rPr>
              <rFont val="Calibri"/>
              <b val="1"/>
              <sz val="10"/>
            </rPr>
            <t>Evidence reads like C2:</t>
          </r>
          <r>
            <rPr>
              <rFont val="Calibri"/>
              <sz val="10"/>
            </rPr>
            <t xml:space="preserve"> KRA only: business revenue, foreign-market partner onboarding, AI product launches, defect reduction → moved down 0.5
</t>
          </r>
          <r>
            <rPr>
              <rFont val="Calibri"/>
              <b val="1"/>
              <sz val="10"/>
            </rPr>
            <t>KRA:</t>
          </r>
          <r>
            <rPr>
              <rFont val="Calibri"/>
              <sz val="10"/>
            </rPr>
            <t xml:space="preserve"> “1. Deliver FY27 Revenue &amp; Growth Commitments of Rs 19Cr &amp; Generate New ARR · 4Cr 2. Meet 100% FY27 revenue recognition plan as per finance…”
</t>
          </r>
          <r>
            <rPr>
              <rFont val="Calibri"/>
              <b val="1"/>
              <sz val="10"/>
            </rPr>
            <t>Market:</t>
          </r>
          <r>
            <rPr>
              <rFont val="Calibri"/>
              <sz val="10"/>
            </rPr>
            <t xml:space="preserve"> C2 = Function-wide or company-wide problems; creates methods and standards · D1 = Competing strategic, financial and regulatory priorities</t>
          </r>
        </is>
      </c>
      <c r="AX53" s="133" t="inlineStr">
        <is>
          <r>
            <rPr>
              <rFont val="Calibri"/>
              <sz val="10"/>
            </rPr>
            <t xml:space="preserve">Rated 8.5 of 12 · between C2 and D1
</t>
          </r>
          <r>
            <rPr>
              <rFont val="Calibri"/>
              <b val="1"/>
              <sz val="10"/>
            </rPr>
            <t>Start:</t>
          </r>
          <r>
            <rPr>
              <rFont val="Calibri"/>
              <sz val="10"/>
            </rPr>
            <t xml:space="preserve"> 9.0 · business head / director title
</t>
          </r>
          <r>
            <rPr>
              <rFont val="Calibri"/>
              <b val="1"/>
              <sz val="10"/>
            </rPr>
            <t>Evidence reads like C2:</t>
          </r>
          <r>
            <rPr>
              <rFont val="Calibri"/>
              <sz val="10"/>
            </rPr>
            <t xml:space="preserve"> KRA only: commits business revenue, partner onboarding and product launches; no decisions stated directly → moved down 0.5
</t>
          </r>
          <r>
            <rPr>
              <rFont val="Calibri"/>
              <b val="1"/>
              <sz val="10"/>
            </rPr>
            <t>Market:</t>
          </r>
          <r>
            <rPr>
              <rFont val="Calibri"/>
              <sz val="10"/>
            </rPr>
            <t xml:space="preserve"> C2 = Sets direction for a function · D1 = Sets business-line direction, pricing and investment</t>
          </r>
        </is>
      </c>
      <c r="AY53" s="133" t="inlineStr">
        <is>
          <r>
            <rPr>
              <rFont val="Calibri"/>
              <sz val="10"/>
            </rPr>
            <t xml:space="preserve">Rated 9 of 12
</t>
          </r>
          <r>
            <rPr>
              <rFont val="Calibri"/>
              <b val="1"/>
              <sz val="10"/>
            </rPr>
            <t>Start:</t>
          </r>
          <r>
            <rPr>
              <rFont val="Calibri"/>
              <sz val="10"/>
            </rPr>
            <t xml:space="preserve"> 9.0 · business head / director title; 8 direct reports, 42 people in the organisation
</t>
          </r>
          <r>
            <rPr>
              <rFont val="Calibri"/>
              <b val="1"/>
              <sz val="10"/>
            </rPr>
            <t>Evidence reads like D1:</t>
          </r>
          <r>
            <rPr>
              <rFont val="Calibri"/>
              <sz val="10"/>
            </rPr>
            <t xml:space="preserve"> KRA: FY27 revenue of Rs 19Cr, new ARR Rs 4Cr, revenue recognition plan → matches the start
</t>
          </r>
          <r>
            <rPr>
              <rFont val="Calibri"/>
              <b val="1"/>
              <sz val="10"/>
            </rPr>
            <t>KRA:</t>
          </r>
          <r>
            <rPr>
              <rFont val="Calibri"/>
              <sz val="10"/>
            </rPr>
            <t xml:space="preserve"> “1. Deliver FY27 Revenue &amp; Growth Commitments of Rs 19Cr &amp; Generate New ARR · 4Cr 2. Meet 100% FY27 revenue recognition plan as per finance…”
</t>
          </r>
          <r>
            <rPr>
              <rFont val="Calibri"/>
              <b val="1"/>
              <sz val="10"/>
            </rPr>
            <t>Market:</t>
          </r>
          <r>
            <rPr>
              <rFont val="Calibri"/>
              <sz val="10"/>
            </rPr>
            <t xml:space="preserve"> D1 = Business-line P&amp;L and market position</t>
          </r>
        </is>
      </c>
      <c r="AZ53" s="133" t="inlineStr">
        <is>
          <r>
            <rPr>
              <rFont val="Calibri"/>
              <sz val="10"/>
            </rPr>
            <t xml:space="preserve">Rated 8.5 of 12 · between C2 and D1
</t>
          </r>
          <r>
            <rPr>
              <rFont val="Calibri"/>
              <b val="1"/>
              <sz val="10"/>
            </rPr>
            <t>Start:</t>
          </r>
          <r>
            <rPr>
              <rFont val="Calibri"/>
              <sz val="10"/>
            </rPr>
            <t xml:space="preserve"> 9.0
</t>
          </r>
          <r>
            <rPr>
              <rFont val="Calibri"/>
              <b val="1"/>
              <sz val="10"/>
            </rPr>
            <t>Evidence reads like C1:</t>
          </r>
          <r>
            <rPr>
              <rFont val="Calibri"/>
              <sz val="10"/>
            </rPr>
            <t xml:space="preserve"> KRA: knowledge sessions with product, sales, delivery leaders; team AI adoption; 8 reports → moved down 0.5
</t>
          </r>
          <r>
            <rPr>
              <rFont val="Calibri"/>
              <b val="1"/>
              <sz val="10"/>
            </rPr>
            <t>Team:</t>
          </r>
          <r>
            <rPr>
              <rFont val="Calibri"/>
              <sz val="10"/>
            </rPr>
            <t xml:space="preserve"> 8 direct reports · People Manager
</t>
          </r>
          <r>
            <rPr>
              <rFont val="Calibri"/>
              <b val="1"/>
              <sz val="10"/>
            </rPr>
            <t>Market:</t>
          </r>
          <r>
            <rPr>
              <rFont val="Calibri"/>
              <sz val="10"/>
            </rPr>
            <t xml:space="preserve"> C2 = Leads a function; shapes functional strategy · D1 = Defines business strategy; builds the leadership bench</t>
          </r>
        </is>
      </c>
      <c r="BA53" s="133" t="inlineStr">
        <is>
          <r>
            <rPr>
              <rFont val="Calibri"/>
              <sz val="10"/>
            </rPr>
            <t xml:space="preserve">Rated 9.5 of 12 · between D1 and D2
</t>
          </r>
          <r>
            <rPr>
              <rFont val="Calibri"/>
              <b val="1"/>
              <sz val="10"/>
            </rPr>
            <t>Experience:</t>
          </r>
          <r>
            <rPr>
              <rFont val="Calibri"/>
              <sz val="10"/>
            </rPr>
            <t xml:space="preserve"> 17.6 yrs total · 3.4 before IRIS + 14.2 at IRIS = 9.0 on the experience scale
</t>
          </r>
          <r>
            <rPr>
              <rFont val="Calibri"/>
              <b val="1"/>
              <sz val="10"/>
            </rPr>
            <t>Qualification:</t>
          </r>
          <r>
            <rPr>
              <rFont val="Calibri"/>
              <sz val="10"/>
            </rPr>
            <t xml:space="preserve"> MBA · postgraduate, relevant to the work → +0.5</t>
          </r>
        </is>
      </c>
      <c r="BB53" s="133" t="inlineStr">
        <is>
          <r>
            <rPr>
              <rFont val="Calibri"/>
              <sz val="10"/>
            </rPr>
            <t xml:space="preserve">Rated 9 of 12 — a starting estimate.
</t>
          </r>
          <r>
            <rPr>
              <rFont val="Calibri"/>
              <b val="1"/>
              <sz val="10"/>
            </rPr>
            <t>Start:</t>
          </r>
          <r>
            <rPr>
              <rFont val="Calibri"/>
              <sz val="10"/>
            </rPr>
            <t xml:space="preserve"> 9,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D1 = Owns a business line's P&amp;L and growth, or a company-wide function</t>
          </r>
        </is>
      </c>
      <c r="BC53" s="134" t="inlineStr"/>
      <c r="BD53" s="135" t="inlineStr">
        <is>
          <t>✓ HRIS: 17.6 yrs, MBA, 8 direct reports
✗ Survey: no response
✓ KRAs: self
✓ Manager mapping: rating, 9-box
✗ Job description: not on file</t>
        </is>
      </c>
      <c r="BE53" s="135" t="inlineStr">
        <is>
          <r>
            <rPr>
              <rFont val="Calibri"/>
              <b val="1"/>
              <sz val="10"/>
            </rPr>
            <t>Market level:</t>
          </r>
          <r>
            <rPr>
              <rFont val="Calibri"/>
              <sz val="10"/>
            </rPr>
            <t xml:space="preserve"> E1–E2 · SFIA 6–7
</t>
          </r>
          <r>
            <rPr>
              <rFont val="Calibri"/>
              <b val="1"/>
              <sz val="10"/>
            </rPr>
            <t>Typical title:</t>
          </r>
          <r>
            <rPr>
              <rFont val="Calibri"/>
              <sz val="10"/>
            </rPr>
            <t xml:space="preserve"> Associate Vice President / Business Head
</t>
          </r>
          <r>
            <rPr>
              <rFont val="Calibri"/>
              <b val="1"/>
              <sz val="10"/>
            </rPr>
            <t>At peers:</t>
          </r>
          <r>
            <rPr>
              <rFont val="Calibri"/>
              <sz val="10"/>
            </rPr>
            <t xml:space="preserve"> IRIS Vs Market Benchmark — Aon Radford / Mercer executive codes: E1–E2 VP / Business Head · IRIS Vs Competitor Benchmark — regtech / SaaS executive titles: General Manager / VP
</t>
          </r>
          <r>
            <rPr>
              <rFont val="Calibri"/>
              <b val="1"/>
              <sz val="10"/>
            </rPr>
            <t>Standard:</t>
          </r>
          <r>
            <rPr>
              <rFont val="Calibri"/>
              <sz val="10"/>
            </rPr>
            <t xml:space="preserve"> Aon Radford executive levels E1–E6; Mercer ET1–ET3</t>
          </r>
        </is>
      </c>
      <c r="BF53" s="135" t="inlineStr">
        <is>
          <t>Medium</t>
        </is>
      </c>
      <c r="BG53" s="135" t="inlineStr"/>
      <c r="BH53" s="135" t="inlineStr"/>
      <c r="BI53" s="136" t="n"/>
      <c r="BJ53" s="137" t="n"/>
      <c r="BK53" s="137" t="n"/>
      <c r="BL53" s="137" t="n"/>
      <c r="BM53" s="137" t="n"/>
      <c r="BN53" s="138" t="n"/>
      <c r="BO53" s="121" t="n"/>
      <c r="BP53" s="121" t="n"/>
      <c r="BQ53" s="121" t="n"/>
      <c r="BR53" s="121" t="n"/>
      <c r="BS53" s="121" t="n"/>
      <c r="BT53" s="121" t="n"/>
      <c r="BU53" s="121" t="n"/>
      <c r="BV53" s="121" t="n">
        <v>9</v>
      </c>
    </row>
  </sheetData>
  <mergeCells count="18">
    <mergeCell ref="R5"/>
    <mergeCell ref="H5:Q5"/>
    <mergeCell ref="AT5:AV5"/>
    <mergeCell ref="A1:Z1"/>
    <mergeCell ref="S5:T5"/>
    <mergeCell ref="A4:D4"/>
    <mergeCell ref="A3:Z3"/>
    <mergeCell ref="L4:O4"/>
    <mergeCell ref="BC5:BH5"/>
    <mergeCell ref="Y5:AS5"/>
    <mergeCell ref="E4:G4"/>
    <mergeCell ref="BN5:BV5"/>
    <mergeCell ref="A2:Z2"/>
    <mergeCell ref="P4:R4"/>
    <mergeCell ref="AW5:BB5"/>
    <mergeCell ref="U5:X5"/>
    <mergeCell ref="BI5:BM5"/>
    <mergeCell ref="A5:G5"/>
  </mergeCells>
  <conditionalFormatting sqref="Z7:Z53">
    <cfRule type="colorScale" priority="1">
      <colorScale>
        <cfvo type="num" val="1"/>
        <cfvo type="num" val="12"/>
        <color rgb="00FFFFFF"/>
        <color rgb="005B9BD5"/>
      </colorScale>
    </cfRule>
  </conditionalFormatting>
  <conditionalFormatting sqref="AC7:AC53">
    <cfRule type="colorScale" priority="2">
      <colorScale>
        <cfvo type="num" val="1"/>
        <cfvo type="num" val="12"/>
        <color rgb="00FFFFFF"/>
        <color rgb="005B9BD5"/>
      </colorScale>
    </cfRule>
  </conditionalFormatting>
  <conditionalFormatting sqref="AF7:AF53">
    <cfRule type="colorScale" priority="3">
      <colorScale>
        <cfvo type="num" val="1"/>
        <cfvo type="num" val="12"/>
        <color rgb="00FFFFFF"/>
        <color rgb="005B9BD5"/>
      </colorScale>
    </cfRule>
  </conditionalFormatting>
  <conditionalFormatting sqref="AI7:AI53">
    <cfRule type="colorScale" priority="4">
      <colorScale>
        <cfvo type="num" val="1"/>
        <cfvo type="num" val="12"/>
        <color rgb="00FFFFFF"/>
        <color rgb="005B9BD5"/>
      </colorScale>
    </cfRule>
  </conditionalFormatting>
  <conditionalFormatting sqref="AL7:AL53">
    <cfRule type="colorScale" priority="5">
      <colorScale>
        <cfvo type="num" val="1"/>
        <cfvo type="num" val="12"/>
        <color rgb="00FFFFFF"/>
        <color rgb="005B9BD5"/>
      </colorScale>
    </cfRule>
  </conditionalFormatting>
  <conditionalFormatting sqref="AO7:AO53">
    <cfRule type="colorScale" priority="6">
      <colorScale>
        <cfvo type="num" val="1"/>
        <cfvo type="num" val="12"/>
        <color rgb="00FFFFFF"/>
        <color rgb="005B9BD5"/>
      </colorScale>
    </cfRule>
  </conditionalFormatting>
  <conditionalFormatting sqref="AR7:AR53">
    <cfRule type="colorScale" priority="7">
      <colorScale>
        <cfvo type="num" val="1"/>
        <cfvo type="num" val="12"/>
        <color rgb="00FFFFFF"/>
        <color rgb="005B9BD5"/>
      </colorScale>
    </cfRule>
  </conditionalFormatting>
  <conditionalFormatting sqref="AA7:AA53">
    <cfRule type="colorScale" priority="8">
      <colorScale>
        <cfvo type="num" val="0"/>
        <cfvo type="num" val="0.4"/>
        <color rgb="00FFFFFF"/>
        <color rgb="00A9D08E"/>
      </colorScale>
    </cfRule>
  </conditionalFormatting>
  <conditionalFormatting sqref="AD7:AD53">
    <cfRule type="colorScale" priority="9">
      <colorScale>
        <cfvo type="num" val="0"/>
        <cfvo type="num" val="0.4"/>
        <color rgb="00FFFFFF"/>
        <color rgb="00A9D08E"/>
      </colorScale>
    </cfRule>
  </conditionalFormatting>
  <conditionalFormatting sqref="AG7:AG53">
    <cfRule type="colorScale" priority="10">
      <colorScale>
        <cfvo type="num" val="0"/>
        <cfvo type="num" val="0.4"/>
        <color rgb="00FFFFFF"/>
        <color rgb="00A9D08E"/>
      </colorScale>
    </cfRule>
  </conditionalFormatting>
  <conditionalFormatting sqref="AJ7:AJ53">
    <cfRule type="colorScale" priority="11">
      <colorScale>
        <cfvo type="num" val="0"/>
        <cfvo type="num" val="0.4"/>
        <color rgb="00FFFFFF"/>
        <color rgb="00A9D08E"/>
      </colorScale>
    </cfRule>
  </conditionalFormatting>
  <conditionalFormatting sqref="AM7:AM53">
    <cfRule type="colorScale" priority="12">
      <colorScale>
        <cfvo type="num" val="0"/>
        <cfvo type="num" val="0.4"/>
        <color rgb="00FFFFFF"/>
        <color rgb="00A9D08E"/>
      </colorScale>
    </cfRule>
  </conditionalFormatting>
  <conditionalFormatting sqref="AP7:AP53">
    <cfRule type="colorScale" priority="13">
      <colorScale>
        <cfvo type="num" val="0"/>
        <cfvo type="num" val="0.4"/>
        <color rgb="00FFFFFF"/>
        <color rgb="00A9D08E"/>
      </colorScale>
    </cfRule>
  </conditionalFormatting>
  <conditionalFormatting sqref="AB7:AB53">
    <cfRule type="colorScale" priority="14">
      <colorScale>
        <cfvo type="num" val="0"/>
        <cfvo type="num" val="4"/>
        <color rgb="00FFFFFF"/>
        <color rgb="00F4B183"/>
      </colorScale>
    </cfRule>
  </conditionalFormatting>
  <conditionalFormatting sqref="AE7:AE53">
    <cfRule type="colorScale" priority="15">
      <colorScale>
        <cfvo type="num" val="0"/>
        <cfvo type="num" val="4"/>
        <color rgb="00FFFFFF"/>
        <color rgb="00F4B183"/>
      </colorScale>
    </cfRule>
  </conditionalFormatting>
  <conditionalFormatting sqref="AH7:AH53">
    <cfRule type="colorScale" priority="16">
      <colorScale>
        <cfvo type="num" val="0"/>
        <cfvo type="num" val="4"/>
        <color rgb="00FFFFFF"/>
        <color rgb="00F4B183"/>
      </colorScale>
    </cfRule>
  </conditionalFormatting>
  <conditionalFormatting sqref="AK7:AK53">
    <cfRule type="colorScale" priority="17">
      <colorScale>
        <cfvo type="num" val="0"/>
        <cfvo type="num" val="4"/>
        <color rgb="00FFFFFF"/>
        <color rgb="00F4B183"/>
      </colorScale>
    </cfRule>
  </conditionalFormatting>
  <conditionalFormatting sqref="AN7:AN53">
    <cfRule type="colorScale" priority="18">
      <colorScale>
        <cfvo type="num" val="0"/>
        <cfvo type="num" val="4"/>
        <color rgb="00FFFFFF"/>
        <color rgb="00F4B183"/>
      </colorScale>
    </cfRule>
  </conditionalFormatting>
  <conditionalFormatting sqref="AQ7:AQ53">
    <cfRule type="colorScale" priority="19">
      <colorScale>
        <cfvo type="num" val="0"/>
        <cfvo type="num" val="4"/>
        <color rgb="00FFFFFF"/>
        <color rgb="00F4B183"/>
      </colorScale>
    </cfRule>
  </conditionalFormatting>
  <dataValidations count="5">
    <dataValidation sqref="BN7:BN53" showDropDown="0" showInputMessage="0" showErrorMessage="0" allowBlank="1" type="list">
      <formula1>"Agree,Change,Discuss"</formula1>
    </dataValidation>
    <dataValidation sqref="BP7:BP53" showDropDown="0" showInputMessage="0" showErrorMessage="0" allowBlank="1" type="list">
      <formula1>"Approved,Changed,On hold"</formula1>
    </dataValidation>
    <dataValidation sqref="BS7:BS53" showDropDown="0" showInputMessage="0" showErrorMessage="0" allowBlank="1" type="list">
      <formula1>"Y,N"</formula1>
    </dataValidation>
    <dataValidation sqref="BQ7:BQ53" showDropDown="0" showInputMessage="0" showErrorMessage="0" allowBlank="1" type="list">
      <formula1>"A1,A2,A3,B1,B2,B3,B+,C1,C2,C+,D1,D2,E1,E2,X1,X2,X3"</formula1>
    </dataValidation>
    <dataValidation sqref="AO7:AO53" showDropDown="0" showInputMessage="0" showErrorMessage="1" allowBlank="1" errorTitle="Business Impact rating" error="Enter a rating from 1 to 12; half points are allowed." type="decimal" operator="between">
      <formula1>1</formula1>
      <formula2>12</formula2>
    </dataValidation>
  </dataValidations>
  <hyperlinks>
    <hyperlink xmlns:r="http://schemas.openxmlformats.org/officeDocument/2006/relationships" ref="AA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9.xml><?xml version="1.0" encoding="utf-8"?>
<worksheet xmlns="http://schemas.openxmlformats.org/spreadsheetml/2006/main">
  <sheetPr>
    <tabColor rgb="00595959"/>
    <outlinePr summaryBelow="1" summaryRight="1"/>
    <pageSetUpPr fitToPage="1"/>
  </sheetPr>
  <dimension ref="A1:EF53"/>
  <sheetViews>
    <sheetView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20" customWidth="1" min="4" max="4"/>
    <col width="24" customWidth="1" min="5" max="5"/>
    <col width="12" customWidth="1" min="6" max="6"/>
    <col width="8" customWidth="1" min="7" max="7"/>
    <col width="10" customWidth="1" min="8" max="8"/>
    <col width="18" customWidth="1" min="9" max="9"/>
    <col width="22" customWidth="1" min="10" max="10"/>
    <col width="30" customWidth="1" min="11" max="11"/>
    <col width="10" customWidth="1" min="12" max="12"/>
    <col width="10" customWidth="1" min="13" max="13"/>
    <col width="12" customWidth="1" min="14" max="14"/>
    <col width="9" customWidth="1" min="15" max="15"/>
    <col width="10" customWidth="1" min="16" max="16"/>
    <col width="16" customWidth="1" min="17" max="17"/>
    <col width="20" customWidth="1" min="18" max="18"/>
    <col width="40" customWidth="1" min="19" max="19"/>
    <col width="30" customWidth="1" min="20" max="20"/>
    <col width="18"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 width="22" customWidth="1" min="88" max="88"/>
    <col width="22" customWidth="1" min="89" max="89"/>
    <col width="22" customWidth="1" min="90" max="90"/>
    <col width="22" customWidth="1" min="91" max="91"/>
    <col width="22" customWidth="1" min="92" max="92"/>
    <col width="22" customWidth="1" min="93" max="93"/>
    <col width="22" customWidth="1" min="94" max="94"/>
    <col width="22" customWidth="1" min="95" max="95"/>
    <col width="22" customWidth="1" min="96" max="96"/>
    <col width="22" customWidth="1" min="97" max="97"/>
    <col width="22" customWidth="1" min="98" max="98"/>
    <col width="22" customWidth="1" min="99" max="99"/>
    <col width="22" customWidth="1" min="100" max="100"/>
    <col width="22" customWidth="1" min="101" max="101"/>
    <col width="22" customWidth="1" min="102" max="102"/>
    <col width="22" customWidth="1" min="103" max="103"/>
    <col width="22" customWidth="1" min="104" max="104"/>
    <col width="22" customWidth="1" min="105" max="105"/>
    <col width="22" customWidth="1" min="106" max="106"/>
    <col width="22" customWidth="1" min="107" max="107"/>
    <col width="22" customWidth="1" min="108" max="108"/>
    <col width="22" customWidth="1" min="109" max="109"/>
    <col width="22" customWidth="1" min="110" max="110"/>
    <col width="22" customWidth="1" min="111" max="111"/>
    <col width="22" customWidth="1" min="112" max="112"/>
    <col width="22" customWidth="1" min="113" max="113"/>
    <col width="22" customWidth="1" min="114" max="114"/>
    <col width="22" customWidth="1" min="115" max="115"/>
    <col width="22" customWidth="1" min="116" max="116"/>
    <col width="22" customWidth="1" min="117" max="117"/>
    <col width="22" customWidth="1" min="118" max="118"/>
    <col width="22" customWidth="1" min="119" max="119"/>
    <col width="22" customWidth="1" min="120" max="120"/>
    <col width="22" customWidth="1" min="121" max="121"/>
    <col width="22" customWidth="1" min="122" max="122"/>
    <col width="22" customWidth="1" min="123" max="123"/>
    <col width="22" customWidth="1" min="124" max="124"/>
    <col width="22" customWidth="1" min="125" max="125"/>
    <col width="22" customWidth="1" min="126" max="126"/>
    <col width="22" customWidth="1" min="127" max="127"/>
    <col width="22" customWidth="1" min="128" max="128"/>
    <col width="22" customWidth="1" min="129" max="129"/>
    <col width="22" customWidth="1" min="130" max="130"/>
    <col width="22" customWidth="1" min="131" max="131"/>
    <col width="22" customWidth="1" min="132" max="132"/>
    <col width="22" customWidth="1" min="133" max="133"/>
    <col width="22" customWidth="1" min="134" max="134"/>
    <col width="22" customWidth="1" min="135" max="135"/>
    <col width="22" customWidth="1" min="136" max="136"/>
  </cols>
  <sheetData>
    <row r="1" ht="34" customHeight="1">
      <c r="A1" s="1" t="inlineStr">
        <is>
          <t>Raw Data &amp; Market Standards — every input per person, next to the market standard for the person's role</t>
        </is>
      </c>
      <c r="S1" s="241" t="inlineStr">
        <is>
          <t>◂ Contents</t>
        </is>
      </c>
    </row>
    <row r="2" ht="32" customHeight="1">
      <c r="A2" s="3" t="inlineStr">
        <is>
          <r>
            <rPr>
              <rFont val="Calibri"/>
              <b val="1"/>
              <i val="1"/>
              <color rgb="00404040"/>
              <sz val="10"/>
            </rPr>
            <t>Sheet 3 · Left:</t>
          </r>
          <r>
            <rPr>
              <rFont val="Calibri"/>
              <i val="1"/>
              <color rgb="00404040"/>
              <sz val="10"/>
            </rPr>
            <t xml:space="preserve"> the person and their final role. Middle: the market standard for that role and level. Right: the work-related raw fields as received — Employee Master, KRAs, CARBON / iFile / iDEAL / DataTech manager mapping. Personal data · gender, age, date of birth, e-mail, mobile, resignation dates and data-processing notes are excluded. Each person's How We Grow survey answers are used as evidence for the ratings but are not reproduced here: only the number of questions answered is shown.</t>
          </r>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G4" s="65" t="inlineStr">
        <is>
          <t>Level up</t>
        </is>
      </c>
      <c r="I4" s="66" t="inlineStr">
        <is>
          <t>Level down — pay &amp; title protected</t>
        </is>
      </c>
      <c r="K4" s="67" t="inlineStr">
        <is>
          <t>Newly mapped</t>
        </is>
      </c>
      <c r="L4" s="68" t="inlineStr">
        <is>
          <t>Player-Coach · B+ · C+</t>
        </is>
      </c>
      <c r="N4" s="69" t="inlineStr">
        <is>
          <t>RED = critical input needed · could change or confirm the level</t>
        </is>
      </c>
      <c r="R4" s="71" t="inlineStr">
        <is>
          <t>YELLOW = to complete in validation</t>
        </is>
      </c>
    </row>
    <row r="5" ht="32" customHeight="1">
      <c r="A5" s="73" t="inlineStr">
        <is>
          <t>PERSON &amp; ROLE — BEFORE → AFTER</t>
        </is>
      </c>
      <c r="M5" s="74" t="inlineStr">
        <is>
          <t>MARKET STANDARD FOR THIS ROLE &amp; LEVEL</t>
        </is>
      </c>
      <c r="V5" s="76" t="inlineStr">
        <is>
          <t>RAW DATA — as received · HRIS · KRAs · manager talent mapping; bracket = source file. Survey answers are counted, not quoted</t>
        </is>
      </c>
    </row>
    <row r="6" ht="58" customHeight="1">
      <c r="A6" s="91" t="inlineStr">
        <is>
          <t>Emp ID</t>
        </is>
      </c>
      <c r="B6" s="92" t="inlineStr">
        <is>
          <t>Employee name</t>
        </is>
      </c>
      <c r="C6" s="92" t="inlineStr">
        <is>
          <t>Department</t>
        </is>
      </c>
      <c r="D6" s="92" t="inlineStr">
        <is>
          <t>Current designation</t>
        </is>
      </c>
      <c r="E6" s="92" t="inlineStr">
        <is>
          <t>Final designation</t>
        </is>
      </c>
      <c r="F6" s="92" t="inlineStr">
        <is>
          <t>Current level</t>
        </is>
      </c>
      <c r="G6" s="92" t="inlineStr">
        <is>
          <t>FINAL LEVEL</t>
        </is>
      </c>
      <c r="H6" s="92" t="inlineStr">
        <is>
          <t>Change vs current</t>
        </is>
      </c>
      <c r="I6" s="92" t="inlineStr">
        <is>
          <t>Job family</t>
        </is>
      </c>
      <c r="J6" s="92" t="inlineStr">
        <is>
          <t>Sub-family</t>
        </is>
      </c>
      <c r="K6" s="92" t="inlineStr">
        <is>
          <t>ADDITIONAL INPUTS NEEDED — what, and who provides it</t>
        </is>
      </c>
      <c r="L6" s="92" t="inlineStr">
        <is>
          <t>Survey questions answered · of 20</t>
        </is>
      </c>
      <c r="M6" s="93" t="inlineStr">
        <is>
          <t>Radford / Mercer code</t>
        </is>
      </c>
      <c r="N6" s="12" t="inlineStr">
        <is>
          <t>Pave level</t>
        </is>
      </c>
      <c r="O6" s="12" t="inlineStr">
        <is>
          <t>SFIA 9</t>
        </is>
      </c>
      <c r="P6" s="12" t="inlineStr">
        <is>
          <t>IRIS experience guide</t>
        </is>
      </c>
      <c r="Q6" s="12" t="inlineStr">
        <is>
          <t>Market experience · Accenture · Infosys</t>
        </is>
      </c>
      <c r="R6" s="12" t="inlineStr">
        <is>
          <t>Typical market title based on competitor/market benchmark</t>
        </is>
      </c>
      <c r="S6" s="12" t="inlineStr">
        <is>
          <t>Competitors, regtech &amp; SaaS leaders</t>
        </is>
      </c>
      <c r="T6" s="12" t="inlineStr">
        <is>
          <t>Professional standard</t>
        </is>
      </c>
      <c r="U6" s="12" t="inlineStr">
        <is>
          <t>Required capability · Core · Future · Functional · Leadership</t>
        </is>
      </c>
      <c r="V6" s="94" t="inlineStr">
        <is>
          <t>Sr No</t>
        </is>
      </c>
      <c r="W6" s="157" t="inlineStr">
        <is>
          <t>Emp Id · 2</t>
        </is>
      </c>
      <c r="X6" s="157" t="inlineStr">
        <is>
          <t>Employee Category</t>
        </is>
      </c>
      <c r="Y6" s="157" t="inlineStr">
        <is>
          <t>Employee Status</t>
        </is>
      </c>
      <c r="Z6" s="157" t="inlineStr">
        <is>
          <t>Employee Name · 2</t>
        </is>
      </c>
      <c r="AA6" s="157" t="inlineStr">
        <is>
          <t>DoJ</t>
        </is>
      </c>
      <c r="AB6" s="157" t="inlineStr">
        <is>
          <t>Designation</t>
        </is>
      </c>
      <c r="AC6" s="157" t="inlineStr">
        <is>
          <t>Highest Qualifications</t>
        </is>
      </c>
      <c r="AD6" s="157" t="inlineStr">
        <is>
          <t>Reporting Manager</t>
        </is>
      </c>
      <c r="AE6" s="157" t="inlineStr">
        <is>
          <t>N levels</t>
        </is>
      </c>
      <c r="AF6" s="157" t="inlineStr">
        <is>
          <t>Manager or Individual Contributor</t>
        </is>
      </c>
      <c r="AG6" s="157" t="inlineStr">
        <is>
          <t>EXP Outside IRIS</t>
        </is>
      </c>
      <c r="AH6" s="157" t="inlineStr">
        <is>
          <t>EXP Current IRIS</t>
        </is>
      </c>
      <c r="AI6" s="157" t="inlineStr">
        <is>
          <t>Business Line</t>
        </is>
      </c>
      <c r="AJ6" s="157" t="inlineStr">
        <is>
          <t>Product/Others</t>
        </is>
      </c>
      <c r="AK6" s="157" t="inlineStr">
        <is>
          <t>Department · 2</t>
        </is>
      </c>
      <c r="AL6" s="157" t="inlineStr">
        <is>
          <t>Sub Functional Categorization</t>
        </is>
      </c>
      <c r="AM6" s="157" t="inlineStr">
        <is>
          <t>Core Development</t>
        </is>
      </c>
      <c r="AN6" s="157" t="inlineStr">
        <is>
          <t>Functional Categorization</t>
        </is>
      </c>
      <c r="AO6" s="157" t="inlineStr">
        <is>
          <t>Skill Sets</t>
        </is>
      </c>
      <c r="AP6" s="157" t="inlineStr">
        <is>
          <t>Technical/Non-technical</t>
        </is>
      </c>
      <c r="AQ6" s="157" t="inlineStr">
        <is>
          <t>Total Question Answered</t>
        </is>
      </c>
      <c r="AR6" s="157" t="inlineStr">
        <is>
          <t>Status</t>
        </is>
      </c>
      <c r="AS6" s="157" t="inlineStr">
        <is>
          <t>[CARBON Mapping Master] Emp Id</t>
        </is>
      </c>
      <c r="AT6" s="157" t="inlineStr">
        <is>
          <t>[CARBON Mapping Master] Employee Name</t>
        </is>
      </c>
      <c r="AU6" s="157" t="inlineStr">
        <is>
          <t>[CARBON Mapping Master] Department</t>
        </is>
      </c>
      <c r="AV6" s="157" t="inlineStr">
        <is>
          <t>[CARBON Mapping Master] Role Family</t>
        </is>
      </c>
      <c r="AW6" s="157" t="inlineStr">
        <is>
          <t>[CARBON Mapping Master] Sub-Family</t>
        </is>
      </c>
      <c r="AX6" s="157" t="inlineStr">
        <is>
          <t>[CARBON Mapping Master] Category</t>
        </is>
      </c>
      <c r="AY6" s="157" t="inlineStr">
        <is>
          <t>[CARBON Mapping Master] Current Reporting Manager</t>
        </is>
      </c>
      <c r="AZ6" s="157" t="inlineStr">
        <is>
          <t>[CARBON Mapping Master] New Reporting Manager</t>
        </is>
      </c>
      <c r="BA6" s="157" t="inlineStr">
        <is>
          <t>[CARBON Mapping Master] Change in RM?</t>
        </is>
      </c>
      <c r="BB6" s="157" t="inlineStr">
        <is>
          <t>[CARBON Mapping Master] Current Designation</t>
        </is>
      </c>
      <c r="BC6" s="157" t="inlineStr">
        <is>
          <t>[CARBON Mapping Master] New Designation</t>
        </is>
      </c>
      <c r="BD6" s="157" t="inlineStr">
        <is>
          <t>[CARBON Mapping Master] Change in Designation?</t>
        </is>
      </c>
      <c r="BE6" s="157" t="inlineStr">
        <is>
          <t>[CARBON Mapping Master] Current Span · Mgrs only</t>
        </is>
      </c>
      <c r="BF6" s="157" t="inlineStr">
        <is>
          <t>[CARBON Mapping Master] Current Span — FTE</t>
        </is>
      </c>
      <c r="BG6" s="157" t="inlineStr">
        <is>
          <t>[CARBON Mapping Master] Current Span — Consult/Intern</t>
        </is>
      </c>
      <c r="BH6" s="157" t="inlineStr">
        <is>
          <t>[CARBON Mapping Master] Current Span Flag</t>
        </is>
      </c>
      <c r="BI6" s="157" t="inlineStr">
        <is>
          <t>[CARBON Mapping Master] New Span · Mgrs only</t>
        </is>
      </c>
      <c r="BJ6" s="157" t="inlineStr">
        <is>
          <t>[CARBON Mapping Master] New Span — FTE</t>
        </is>
      </c>
      <c r="BK6" s="157" t="inlineStr">
        <is>
          <t>[CARBON Mapping Master] New Span — Consult/Intern</t>
        </is>
      </c>
      <c r="BL6" s="157" t="inlineStr">
        <is>
          <t>[CARBON Mapping Master] New Span Flag</t>
        </is>
      </c>
      <c r="BM6" s="157" t="inlineStr">
        <is>
          <t>[CARBON Mapping Master] Change in Span?</t>
        </is>
      </c>
      <c r="BN6" s="157" t="inlineStr">
        <is>
          <t>[CARBON Mapping Master] Career Level — Current</t>
        </is>
      </c>
      <c r="BO6" s="157" t="inlineStr">
        <is>
          <t>[CARBON Mapping Master] Career Level — New</t>
        </is>
      </c>
      <c r="BP6" s="157" t="inlineStr">
        <is>
          <t>[CARBON Mapping Master] Career Level Source</t>
        </is>
      </c>
      <c r="BQ6" s="157" t="inlineStr">
        <is>
          <t>[CARBON Mapping Master] Region / Operating Area</t>
        </is>
      </c>
      <c r="BR6" s="157" t="inlineStr">
        <is>
          <t>[CARBON Talent Mapping · Raw] Emp Id</t>
        </is>
      </c>
      <c r="BS6" s="157" t="inlineStr">
        <is>
          <t>[CARBON Talent Mapping · Raw] Employee Category</t>
        </is>
      </c>
      <c r="BT6" s="157" t="inlineStr">
        <is>
          <t>[CARBON Talent Mapping · Raw] Employee Status</t>
        </is>
      </c>
      <c r="BU6" s="157" t="inlineStr">
        <is>
          <t>[CARBON Talent Mapping · Raw] Employee Name</t>
        </is>
      </c>
      <c r="BV6" s="157" t="inlineStr">
        <is>
          <t>[CARBON Talent Mapping · Raw] DoJ</t>
        </is>
      </c>
      <c r="BW6" s="157" t="inlineStr">
        <is>
          <t>[CARBON Talent Mapping · Raw] Designation</t>
        </is>
      </c>
      <c r="BX6" s="157" t="inlineStr">
        <is>
          <t>[CARBON Talent Mapping · Raw] Actual JD</t>
        </is>
      </c>
      <c r="BY6" s="157" t="inlineStr">
        <is>
          <t>[CARBON Talent Mapping · Raw] Role Family</t>
        </is>
      </c>
      <c r="BZ6" s="157" t="inlineStr">
        <is>
          <t>[CARBON Talent Mapping · Raw] Sub-Family</t>
        </is>
      </c>
      <c r="CA6" s="157" t="inlineStr">
        <is>
          <t>[CARBON Talent Mapping · Raw] Job Title</t>
        </is>
      </c>
      <c r="CB6" s="157" t="inlineStr">
        <is>
          <t>[CARBON Talent Mapping · Raw] Career Level</t>
        </is>
      </c>
      <c r="CC6" s="157" t="inlineStr">
        <is>
          <t>[CARBON Talent Mapping · Raw] Reporting Manager</t>
        </is>
      </c>
      <c r="CD6" s="157" t="inlineStr">
        <is>
          <t>[CARBON Talent Mapping · Raw] N levels</t>
        </is>
      </c>
      <c r="CE6" s="157" t="inlineStr">
        <is>
          <t>[CARBON Talent Mapping · Raw] Manager or Individual Contributor or Player cum Coach</t>
        </is>
      </c>
      <c r="CF6" s="157" t="inlineStr">
        <is>
          <t>[CARBON Talent Mapping · Raw] Business Line</t>
        </is>
      </c>
      <c r="CG6" s="157" t="inlineStr">
        <is>
          <t>[CARBON Talent Mapping · Raw] Department</t>
        </is>
      </c>
      <c r="CH6" s="157" t="inlineStr">
        <is>
          <t>[CARBON Talent Mapping · Raw] Total Experience</t>
        </is>
      </c>
      <c r="CI6" s="157" t="inlineStr">
        <is>
          <t>[CARBON Talent Mapping · Raw] Correct Designation Based on Work</t>
        </is>
      </c>
      <c r="CJ6" s="157" t="inlineStr">
        <is>
          <t>[CARBON Talent Mapping · Raw] Is a structural Change needed for better future · If yes, What changes</t>
        </is>
      </c>
      <c r="CK6" s="157" t="inlineStr">
        <is>
          <t>[CARBON Talent Mapping · Raw] Potential Rating · High/Med/Low</t>
        </is>
      </c>
      <c r="CL6" s="157" t="inlineStr">
        <is>
          <t>[CARBON Talent Mapping · Raw] 9-Box Placement</t>
        </is>
      </c>
      <c r="CM6" s="157" t="inlineStr">
        <is>
          <t>[CARBON Talent Mapping · Raw] Fast Tracker · Y/N</t>
        </is>
      </c>
      <c r="CN6" s="157" t="inlineStr">
        <is>
          <t>[CARBON Talent Mapping · Raw] Critical Role · Y/N</t>
        </is>
      </c>
      <c r="CO6" s="157" t="inlineStr">
        <is>
          <t>[CARBON Talent Mapping · Raw] Training Needs identified for current Role</t>
        </is>
      </c>
      <c r="CP6" s="157" t="inlineStr">
        <is>
          <t>[CARBON Talent Mapping · Raw] Comments</t>
        </is>
      </c>
      <c r="CQ6" s="157" t="inlineStr">
        <is>
          <t>[Talent Mapping · iFile / iDEAL / DataTech / Database Content] Emp Id</t>
        </is>
      </c>
      <c r="CR6" s="157" t="inlineStr">
        <is>
          <t>[Talent Mapping · iFile / iDEAL / DataTech / Database Content] Employee Category</t>
        </is>
      </c>
      <c r="CS6" s="157" t="inlineStr">
        <is>
          <t>[Talent Mapping · iFile / iDEAL / DataTech / Database Content] Employee Status</t>
        </is>
      </c>
      <c r="CT6" s="157" t="inlineStr">
        <is>
          <t>[Talent Mapping · iFile / iDEAL / DataTech / Database Content] Employee Name</t>
        </is>
      </c>
      <c r="CU6" s="157" t="inlineStr">
        <is>
          <t>[Talent Mapping · iFile / iDEAL / DataTech / Database Content] DoJ</t>
        </is>
      </c>
      <c r="CV6" s="157" t="inlineStr">
        <is>
          <t>[Talent Mapping · iFile / iDEAL / DataTech / Database Content] Designation</t>
        </is>
      </c>
      <c r="CW6" s="157" t="inlineStr">
        <is>
          <t>[Talent Mapping · iFile / iDEAL / DataTech / Database Content] Role Family</t>
        </is>
      </c>
      <c r="CX6" s="157" t="inlineStr">
        <is>
          <t>[Talent Mapping · iFile / iDEAL / DataTech / Database Content] Sub-Family</t>
        </is>
      </c>
      <c r="CY6" s="157" t="inlineStr">
        <is>
          <t>[Talent Mapping · iFile / iDEAL / DataTech / Database Content] Job Title</t>
        </is>
      </c>
      <c r="CZ6" s="157" t="inlineStr">
        <is>
          <t>[Talent Mapping · iFile / iDEAL / DataTech / Database Content] Career Level</t>
        </is>
      </c>
      <c r="DA6" s="157" t="inlineStr">
        <is>
          <t>[Talent Mapping · iFile / iDEAL / DataTech / Database Content] Highest Qualifications</t>
        </is>
      </c>
      <c r="DB6" s="157" t="inlineStr">
        <is>
          <t>[Talent Mapping · iFile / iDEAL / DataTech / Database Content] Reporting Manager</t>
        </is>
      </c>
      <c r="DC6" s="157" t="inlineStr">
        <is>
          <t>[Talent Mapping · iFile / iDEAL / DataTech / Database Content] N levels</t>
        </is>
      </c>
      <c r="DD6" s="157" t="inlineStr">
        <is>
          <t>[Talent Mapping · iFile / iDEAL / DataTech / Database Content] Manager or Individual Contributor</t>
        </is>
      </c>
      <c r="DE6" s="157" t="inlineStr">
        <is>
          <t>[Talent Mapping · iFile / iDEAL / DataTech / Database Content] EXP Outside IRIS</t>
        </is>
      </c>
      <c r="DF6" s="157" t="inlineStr">
        <is>
          <t>[Talent Mapping · iFile / iDEAL / DataTech / Database Content] EXP Current IRIS</t>
        </is>
      </c>
      <c r="DG6" s="157" t="inlineStr">
        <is>
          <t>[Talent Mapping · iFile / iDEAL / DataTech / Database Content] Total Experience</t>
        </is>
      </c>
      <c r="DH6" s="157" t="inlineStr">
        <is>
          <t>[Talent Mapping · iFile / iDEAL / DataTech / Database Content] Avg Exp in IRIS</t>
        </is>
      </c>
      <c r="DI6" s="157" t="inlineStr">
        <is>
          <t>[Talent Mapping · iFile / iDEAL / DataTech / Database Content] Business Line</t>
        </is>
      </c>
      <c r="DJ6" s="157" t="inlineStr">
        <is>
          <t>[Talent Mapping · iFile / iDEAL / DataTech / Database Content] Product/Others</t>
        </is>
      </c>
      <c r="DK6" s="157" t="inlineStr">
        <is>
          <t>[Talent Mapping · iFile / iDEAL / DataTech / Database Content] Department</t>
        </is>
      </c>
      <c r="DL6" s="157" t="inlineStr">
        <is>
          <t>[Talent Mapping · iFile / iDEAL / DataTech / Database Content] Sub Functional Categorization</t>
        </is>
      </c>
      <c r="DM6" s="157" t="inlineStr">
        <is>
          <t>[Talent Mapping · iFile / iDEAL / DataTech / Database Content] Core Development</t>
        </is>
      </c>
      <c r="DN6" s="157" t="inlineStr">
        <is>
          <t>[Talent Mapping · iFile / iDEAL / DataTech / Database Content] Functional Categorization</t>
        </is>
      </c>
      <c r="DO6" s="157" t="inlineStr">
        <is>
          <t>[Talent Mapping · iFile / iDEAL / DataTech / Database Content] Skill Sets</t>
        </is>
      </c>
      <c r="DP6" s="157" t="inlineStr">
        <is>
          <t>[Talent Mapping · iFile / iDEAL / DataTech / Database Content] Technical/Non-technical</t>
        </is>
      </c>
      <c r="DQ6" s="157" t="inlineStr">
        <is>
          <t>[Talent Mapping · iFile / iDEAL / DataTech / Database Content] Location</t>
        </is>
      </c>
      <c r="DR6" s="157" t="inlineStr">
        <is>
          <t>[Talent Mapping · iFile / iDEAL / DataTech / Database Content] Annual KRAs · objective Measurable Minimum 5 - Self</t>
        </is>
      </c>
      <c r="DS6" s="157" t="inlineStr">
        <is>
          <t>[Talent Mapping · iFile / iDEAL / DataTech / Database Content] Annual KRAs · objective Measurable Minimum 5 - set by Manager</t>
        </is>
      </c>
      <c r="DT6" s="157" t="inlineStr">
        <is>
          <t>[Talent Mapping · iFile / iDEAL / DataTech / Database Content] Quarterly KRAs</t>
        </is>
      </c>
      <c r="DU6" s="157" t="inlineStr">
        <is>
          <t>[Talent Mapping · iFile / iDEAL / DataTech / Database Content] Tentative Rating for Q1 · Scale 1-5</t>
        </is>
      </c>
      <c r="DV6" s="157" t="inlineStr">
        <is>
          <t>[Talent Mapping · iFile / iDEAL / DataTech / Database Content] Last Performance Discussion date</t>
        </is>
      </c>
      <c r="DW6" s="157" t="inlineStr">
        <is>
          <t>[Talent Mapping · iFile / iDEAL / DataTech / Database Content] Correct Designation</t>
        </is>
      </c>
      <c r="DX6" s="157" t="inlineStr">
        <is>
          <t>[Talent Mapping · iFile / iDEAL / DataTech / Database Content] Is a structural Change needed for better future</t>
        </is>
      </c>
      <c r="DY6" s="157" t="inlineStr">
        <is>
          <t>[Talent Mapping · iFile / iDEAL / DataTech / Database Content] Quarterly Performance Rating</t>
        </is>
      </c>
      <c r="DZ6" s="157" t="inlineStr">
        <is>
          <t>[Talent Mapping · iFile / iDEAL / DataTech / Database Content] Potential Rating · High/Med/Low</t>
        </is>
      </c>
      <c r="EA6" s="157" t="inlineStr">
        <is>
          <t>[Talent Mapping · iFile / iDEAL / DataTech / Database Content] 9-Box Placement</t>
        </is>
      </c>
      <c r="EB6" s="157" t="inlineStr">
        <is>
          <t>[Talent Mapping · iFile / iDEAL / DataTech / Database Content] Ready for Promotion</t>
        </is>
      </c>
      <c r="EC6" s="157" t="inlineStr">
        <is>
          <t>[Talent Mapping · iFile / iDEAL / DataTech / Database Content] Fast Tracker · Y/N</t>
        </is>
      </c>
      <c r="ED6" s="157" t="inlineStr">
        <is>
          <t>[Talent Mapping · iFile / iDEAL / DataTech / Database Content] Critical Role · Y/N</t>
        </is>
      </c>
      <c r="EE6" s="157" t="inlineStr">
        <is>
          <t>[Talent Mapping · iFile / iDEAL / DataTech / Database Content] Training Needs identified for current Role</t>
        </is>
      </c>
      <c r="EF6" s="157" t="inlineStr">
        <is>
          <t>[Talent Mapping · iFile / iDEAL / DataTech / Database Content] Training Needs identified if · If promotion Ready</t>
        </is>
      </c>
    </row>
    <row r="7" ht="64" customHeight="1">
      <c r="A7" s="109" t="inlineStr">
        <is>
          <t>IRIS2511</t>
        </is>
      </c>
      <c r="B7" s="111" t="inlineStr">
        <is>
          <t>Muskan Jain</t>
        </is>
      </c>
      <c r="C7" s="111" t="inlineStr">
        <is>
          <t>Marketing</t>
        </is>
      </c>
      <c r="D7" s="114" t="inlineStr">
        <is>
          <t>Marketing Associate</t>
        </is>
      </c>
      <c r="E7" s="114" t="inlineStr">
        <is>
          <t>Content Marketing Associate</t>
        </is>
      </c>
      <c r="F7" s="111" t="inlineStr">
        <is>
          <t>L3 – Professional / Associate</t>
        </is>
      </c>
      <c r="G7" s="24" t="inlineStr">
        <is>
          <t>A2</t>
        </is>
      </c>
      <c r="H7" s="118" t="inlineStr">
        <is>
          <t>• Same level</t>
        </is>
      </c>
      <c r="I7" s="111" t="inlineStr">
        <is>
          <t>Marketing &amp; Communications</t>
        </is>
      </c>
      <c r="J7" s="111" t="inlineStr">
        <is>
          <t>Content Marketing</t>
        </is>
      </c>
      <c r="K7" s="111" t="inlineStr"/>
      <c r="L7" s="111" t="n">
        <v>20</v>
      </c>
      <c r="M7" s="139" t="inlineStr">
        <is>
          <t>P1–P2</t>
        </is>
      </c>
      <c r="N7" s="115" t="inlineStr">
        <is>
          <t>Entry / Developing</t>
        </is>
      </c>
      <c r="O7" s="115" t="inlineStr">
        <is>
          <t>2 Assist</t>
        </is>
      </c>
      <c r="P7" s="115" t="inlineStr">
        <is>
          <t>0–2 yrs</t>
        </is>
      </c>
      <c r="Q7" s="115" t="inlineStr">
        <is>
          <t>1–3 · 0–3</t>
        </is>
      </c>
      <c r="R7" s="115" t="inlineStr">
        <is>
          <t>Marketing Associate / Marketing Executive</t>
        </is>
      </c>
      <c r="S7" s="115" t="inlineStr">
        <is>
          <t>IRIS Vs Market Benchmark — CIM proficiency scale: 2 Active learner · IRIS Vs Competitor Benchmark — SaaS marketing ladder: Marketing Associate</t>
        </is>
      </c>
      <c r="T7" s="115" t="inlineStr">
        <is>
          <t>CIM Global Professional Marketing Framework — proficiency Aware → Active learner → Able → Accomplished → Authoritative</t>
        </is>
      </c>
      <c r="U7" s="115" t="inlineStr">
        <is>
          <t>Core 2 · Future 2 · Functional 2 · Leadership not scored</t>
        </is>
      </c>
      <c r="V7" s="158" t="n">
        <v>482</v>
      </c>
      <c r="W7" s="159" t="inlineStr">
        <is>
          <t>IRIS2511</t>
        </is>
      </c>
      <c r="X7" s="159" t="inlineStr">
        <is>
          <t>Employee</t>
        </is>
      </c>
      <c r="Y7" s="159" t="inlineStr">
        <is>
          <t>Active</t>
        </is>
      </c>
      <c r="Z7" s="159" t="inlineStr">
        <is>
          <t>Muskan Jain</t>
        </is>
      </c>
      <c r="AA7" s="244" t="n">
        <v>46125</v>
      </c>
      <c r="AB7" s="159" t="inlineStr">
        <is>
          <t>Marketing Associate</t>
        </is>
      </c>
      <c r="AC7" s="159" t="inlineStr">
        <is>
          <t>PGDM</t>
        </is>
      </c>
      <c r="AD7" s="159" t="inlineStr">
        <is>
          <t>Sobhan Pramanik</t>
        </is>
      </c>
      <c r="AE7" s="159" t="inlineStr">
        <is>
          <t>N-5</t>
        </is>
      </c>
      <c r="AF7" s="159" t="inlineStr">
        <is>
          <t>Individual Contributor</t>
        </is>
      </c>
      <c r="AG7" s="159" t="inlineStr">
        <is>
          <t>0 years, 0 months, 0 days</t>
        </is>
      </c>
      <c r="AH7" s="159" t="inlineStr">
        <is>
          <t>0 years, 4 months, 12 days</t>
        </is>
      </c>
      <c r="AI7" s="159" t="inlineStr">
        <is>
          <t>Regtech</t>
        </is>
      </c>
      <c r="AJ7" s="159" t="inlineStr">
        <is>
          <t>iDEAL</t>
        </is>
      </c>
      <c r="AK7" s="159" t="inlineStr">
        <is>
          <t>Marketing</t>
        </is>
      </c>
      <c r="AL7" s="159" t="inlineStr">
        <is>
          <t>Marketing</t>
        </is>
      </c>
      <c r="AM7" s="159" t="inlineStr">
        <is>
          <t>No</t>
        </is>
      </c>
      <c r="AN7" s="159" t="inlineStr">
        <is>
          <t>Sales, Marketing &amp; Support</t>
        </is>
      </c>
      <c r="AO7" s="159" t="inlineStr">
        <is>
          <t>Marketing</t>
        </is>
      </c>
      <c r="AP7" s="159" t="inlineStr">
        <is>
          <t>Non-technical</t>
        </is>
      </c>
      <c r="AQ7" s="159" t="n">
        <v>20</v>
      </c>
      <c r="AR7" s="159" t="inlineStr">
        <is>
          <t>Covered</t>
        </is>
      </c>
      <c r="AS7" s="159" t="inlineStr">
        <is>
          <t>IRIS2511</t>
        </is>
      </c>
      <c r="AT7" s="159" t="inlineStr">
        <is>
          <t>Muskan Jain</t>
        </is>
      </c>
      <c r="AU7" s="159" t="inlineStr">
        <is>
          <t>Marketing</t>
        </is>
      </c>
      <c r="AV7" s="159" t="inlineStr">
        <is>
          <t>Marketing &amp; Communications</t>
        </is>
      </c>
      <c r="AW7" s="159" t="inlineStr">
        <is>
          <t>Content Marketing</t>
        </is>
      </c>
      <c r="AX7" s="159" t="inlineStr">
        <is>
          <t>Employee</t>
        </is>
      </c>
      <c r="AY7" s="159" t="inlineStr">
        <is>
          <t>Saahit Togaru</t>
        </is>
      </c>
      <c r="AZ7" s="159" t="inlineStr">
        <is>
          <t>Sobhan Pramanik</t>
        </is>
      </c>
      <c r="BA7" s="159" t="inlineStr">
        <is>
          <t>Yes</t>
        </is>
      </c>
      <c r="BB7" s="159" t="inlineStr">
        <is>
          <t>Marketing Associate</t>
        </is>
      </c>
      <c r="BC7" s="159" t="inlineStr">
        <is>
          <t>Marketing Associate - content</t>
        </is>
      </c>
      <c r="BD7" s="159" t="inlineStr">
        <is>
          <t>No</t>
        </is>
      </c>
      <c r="BE7" s="159" t="inlineStr">
        <is>
          <t>—</t>
        </is>
      </c>
      <c r="BF7" s="159" t="inlineStr">
        <is>
          <t>—</t>
        </is>
      </c>
      <c r="BG7" s="159" t="inlineStr">
        <is>
          <t>—</t>
        </is>
      </c>
      <c r="BH7" s="159" t="inlineStr">
        <is>
          <t>Not a manager</t>
        </is>
      </c>
      <c r="BI7" s="159" t="inlineStr">
        <is>
          <t>—</t>
        </is>
      </c>
      <c r="BJ7" s="159" t="inlineStr">
        <is>
          <t>—</t>
        </is>
      </c>
      <c r="BK7" s="159" t="inlineStr">
        <is>
          <t>—</t>
        </is>
      </c>
      <c r="BL7" s="159" t="inlineStr">
        <is>
          <t>Not a manager</t>
        </is>
      </c>
      <c r="BM7" s="159" t="inlineStr">
        <is>
          <t>—</t>
        </is>
      </c>
      <c r="BN7" s="159" t="inlineStr">
        <is>
          <t>L3 – Professional / Associate</t>
        </is>
      </c>
      <c r="BO7" s="159" t="inlineStr">
        <is>
          <t>L3 – Professional / Associate</t>
        </is>
      </c>
      <c r="BP7" s="159" t="inlineStr">
        <is>
          <t>No designation change — current record value carried forward</t>
        </is>
      </c>
      <c r="BQ7" s="159" t="inlineStr">
        <is>
          <t>UAE; banking and financial-services sector</t>
        </is>
      </c>
      <c r="BR7" s="159" t="inlineStr">
        <is>
          <t>IRIS2511</t>
        </is>
      </c>
      <c r="BS7" s="159" t="inlineStr">
        <is>
          <t>Employee</t>
        </is>
      </c>
      <c r="BT7" s="159" t="inlineStr">
        <is>
          <t>Active</t>
        </is>
      </c>
      <c r="BU7" s="159" t="inlineStr">
        <is>
          <t>Muskan Jain</t>
        </is>
      </c>
      <c r="BV7" s="160" t="n">
        <v>46125</v>
      </c>
      <c r="BW7" s="159" t="inlineStr">
        <is>
          <t>Marketing Associate</t>
        </is>
      </c>
      <c r="BX7" s="159" t="inlineStr">
        <is>
          <t>Content management allocated to the ideal business</t>
        </is>
      </c>
      <c r="BY7" s="159" t="inlineStr">
        <is>
          <t>Marketing &amp; Communications</t>
        </is>
      </c>
      <c r="BZ7" s="159" t="inlineStr">
        <is>
          <t>Content Marketing</t>
        </is>
      </c>
      <c r="CA7" s="159" t="inlineStr">
        <is>
          <t>Marketing Associate</t>
        </is>
      </c>
      <c r="CB7" s="159" t="inlineStr">
        <is>
          <t>L3 – Professional / Associate</t>
        </is>
      </c>
      <c r="CC7" s="159" t="inlineStr">
        <is>
          <t>Sobhan Pramanik</t>
        </is>
      </c>
      <c r="CD7" s="159" t="inlineStr">
        <is>
          <t>N-4</t>
        </is>
      </c>
      <c r="CE7" s="159" t="inlineStr">
        <is>
          <t>Individual Contributor</t>
        </is>
      </c>
      <c r="CF7" s="159" t="inlineStr">
        <is>
          <t>Regtech</t>
        </is>
      </c>
      <c r="CG7" s="159" t="inlineStr">
        <is>
          <t>Marketing</t>
        </is>
      </c>
      <c r="CH7" s="159" t="inlineStr">
        <is>
          <t>0 years, 2 months, 7 days</t>
        </is>
      </c>
      <c r="CI7" s="159" t="inlineStr">
        <is>
          <t>Marketing Associate</t>
        </is>
      </c>
      <c r="CJ7" s="159" t="inlineStr">
        <is>
          <t>No</t>
        </is>
      </c>
      <c r="CK7" s="159" t="inlineStr">
        <is>
          <t>Medium</t>
        </is>
      </c>
      <c r="CL7" s="159" t="inlineStr">
        <is>
          <t>Core Contributor</t>
        </is>
      </c>
      <c r="CM7" s="159" t="inlineStr">
        <is>
          <t>No</t>
        </is>
      </c>
      <c r="CN7" s="159" t="inlineStr">
        <is>
          <t>No</t>
        </is>
      </c>
      <c r="CO7" s="159" t="inlineStr">
        <is>
          <t>Needs to learn the fundamentals of content marketing</t>
        </is>
      </c>
      <c r="CP7" s="159" t="inlineStr">
        <is>
          <t>To be mapped to Sobhan Pramanik as reporting manager</t>
        </is>
      </c>
      <c r="CQ7" s="159" t="inlineStr">
        <is>
          <t>IRIS2511</t>
        </is>
      </c>
      <c r="CR7" s="159" t="inlineStr">
        <is>
          <t>Employee</t>
        </is>
      </c>
      <c r="CS7" s="159" t="inlineStr">
        <is>
          <t>Active</t>
        </is>
      </c>
      <c r="CT7" s="159" t="inlineStr">
        <is>
          <t>Muskan Jain</t>
        </is>
      </c>
      <c r="CU7" s="160" t="n">
        <v>46125</v>
      </c>
      <c r="CV7" s="159" t="inlineStr">
        <is>
          <t>Marketing Associate</t>
        </is>
      </c>
      <c r="CW7" s="159" t="inlineStr">
        <is>
          <t>Marketing &amp; Communications</t>
        </is>
      </c>
      <c r="CX7" s="159" t="inlineStr">
        <is>
          <t>Demand Generation / Brand</t>
        </is>
      </c>
      <c r="CY7" s="159" t="inlineStr">
        <is>
          <t>Marketing Associate</t>
        </is>
      </c>
      <c r="CZ7" s="159" t="inlineStr">
        <is>
          <t>L3 – Professional / Associate</t>
        </is>
      </c>
      <c r="DA7" s="159" t="inlineStr">
        <is>
          <t>PGDM</t>
        </is>
      </c>
      <c r="DB7" s="159" t="inlineStr">
        <is>
          <t>Saahit Togaru</t>
        </is>
      </c>
      <c r="DC7" s="159" t="inlineStr">
        <is>
          <t>N-4</t>
        </is>
      </c>
      <c r="DD7" s="159" t="inlineStr">
        <is>
          <t>Individual Contributor</t>
        </is>
      </c>
      <c r="DE7" s="159" t="inlineStr">
        <is>
          <t>0 years, 0 months, 0 days</t>
        </is>
      </c>
      <c r="DF7" s="159" t="inlineStr">
        <is>
          <t>0 years, 2 months, 7 days</t>
        </is>
      </c>
      <c r="DG7" s="159" t="inlineStr">
        <is>
          <t>0 years, 2 months, 7 days</t>
        </is>
      </c>
      <c r="DH7" s="159" t="n"/>
      <c r="DI7" s="159" t="inlineStr">
        <is>
          <t>Regtech</t>
        </is>
      </c>
      <c r="DJ7" s="159" t="inlineStr">
        <is>
          <t>iDEAL</t>
        </is>
      </c>
      <c r="DK7" s="159" t="inlineStr">
        <is>
          <t>Marketing</t>
        </is>
      </c>
      <c r="DL7" s="159" t="inlineStr">
        <is>
          <t>Marketing</t>
        </is>
      </c>
      <c r="DM7" s="159" t="inlineStr">
        <is>
          <t>No</t>
        </is>
      </c>
      <c r="DN7" s="159" t="inlineStr">
        <is>
          <t>Sales, Marketing &amp; Support</t>
        </is>
      </c>
      <c r="DO7" s="159" t="inlineStr">
        <is>
          <t>Marketing</t>
        </is>
      </c>
      <c r="DP7" s="159" t="inlineStr">
        <is>
          <t>Non-technical</t>
        </is>
      </c>
      <c r="DQ7" s="159" t="inlineStr">
        <is>
          <t>Work From Office- Hyderabad</t>
        </is>
      </c>
      <c r="DR7" s="159" t="n"/>
      <c r="DS7" s="159" t="n"/>
      <c r="DT7" s="159" t="n"/>
      <c r="DU7" s="159" t="n"/>
      <c r="DV7" s="159" t="n"/>
      <c r="DW7" s="159" t="inlineStr">
        <is>
          <t>Same as per records</t>
        </is>
      </c>
      <c r="DX7" s="159" t="n"/>
      <c r="DY7" s="159" t="n"/>
      <c r="DZ7" s="159" t="n"/>
      <c r="EA7" s="159" t="n"/>
      <c r="EB7" s="159" t="n"/>
      <c r="EC7" s="159" t="n"/>
      <c r="ED7" s="159" t="n"/>
      <c r="EE7" s="159" t="inlineStr">
        <is>
          <t>Training on the effective utilization of AI tools.</t>
        </is>
      </c>
      <c r="EF7" s="159" t="n"/>
    </row>
    <row r="8" ht="64" customHeight="1">
      <c r="A8" s="109" t="inlineStr">
        <is>
          <t>IRIS0971</t>
        </is>
      </c>
      <c r="B8" s="111" t="inlineStr">
        <is>
          <t>Dnyaneshwar Daund</t>
        </is>
      </c>
      <c r="C8" s="111" t="inlineStr">
        <is>
          <t>Product Management</t>
        </is>
      </c>
      <c r="D8" s="111" t="inlineStr">
        <is>
          <t>Product Manager</t>
        </is>
      </c>
      <c r="E8" s="111" t="inlineStr">
        <is>
          <t>Product Manager</t>
        </is>
      </c>
      <c r="F8" s="111" t="inlineStr">
        <is>
          <t>L5 – Manager</t>
        </is>
      </c>
      <c r="G8" s="27" t="inlineStr">
        <is>
          <t>B2</t>
        </is>
      </c>
      <c r="H8" s="118" t="inlineStr">
        <is>
          <t>• Same level</t>
        </is>
      </c>
      <c r="I8" s="111" t="inlineStr">
        <is>
          <t>Product Management</t>
        </is>
      </c>
      <c r="J8" s="111" t="inlineStr">
        <is>
          <t>Product Management</t>
        </is>
      </c>
      <c r="K8" s="111" t="inlineStr"/>
      <c r="L8" s="111" t="n">
        <v>20</v>
      </c>
      <c r="M8" s="139" t="inlineStr">
        <is>
          <t>P4 / M3</t>
        </is>
      </c>
      <c r="N8" s="115" t="inlineStr">
        <is>
          <t>Senior / Manager</t>
        </is>
      </c>
      <c r="O8" s="115" t="inlineStr">
        <is>
          <t>4–5</t>
        </is>
      </c>
      <c r="P8" s="115" t="inlineStr">
        <is>
          <t>6–9 yrs</t>
        </is>
      </c>
      <c r="Q8" s="115" t="inlineStr">
        <is>
          <t>7–10 · 6–11</t>
        </is>
      </c>
      <c r="R8" s="115" t="inlineStr">
        <is>
          <t>Manager</t>
        </is>
      </c>
      <c r="S8" s="115" t="inlineStr">
        <is>
          <t>IRIS Vs Competitor Benchmark — SaaS product ladder: Senior PM</t>
        </is>
      </c>
      <c r="T8" s="115" t="inlineStr">
        <is>
          <t>Pragmatic Institute Framework · 37 activities, 7 categories; AIPMM</t>
        </is>
      </c>
      <c r="U8" s="115" t="inlineStr">
        <is>
          <t>Core 3 · Future 3 · Functional 4 · Leadership 3</t>
        </is>
      </c>
      <c r="V8" s="158" t="n">
        <v>101</v>
      </c>
      <c r="W8" s="159" t="inlineStr">
        <is>
          <t>IRIS0971</t>
        </is>
      </c>
      <c r="X8" s="159" t="inlineStr">
        <is>
          <t>Employee</t>
        </is>
      </c>
      <c r="Y8" s="159" t="inlineStr">
        <is>
          <t>Active</t>
        </is>
      </c>
      <c r="Z8" s="159" t="inlineStr">
        <is>
          <t>Dnyaneshwar Daund</t>
        </is>
      </c>
      <c r="AA8" s="244" t="n">
        <v>40826</v>
      </c>
      <c r="AB8" s="159" t="inlineStr">
        <is>
          <t>Product Manager</t>
        </is>
      </c>
      <c r="AC8" s="159" t="inlineStr">
        <is>
          <t>MMS</t>
        </is>
      </c>
      <c r="AD8" s="159" t="inlineStr">
        <is>
          <t>Hemant Karale</t>
        </is>
      </c>
      <c r="AE8" s="159" t="inlineStr">
        <is>
          <t>N-3</t>
        </is>
      </c>
      <c r="AF8" s="159" t="inlineStr">
        <is>
          <t>Manager</t>
        </is>
      </c>
      <c r="AG8" s="159" t="inlineStr">
        <is>
          <t>1 years, 2 months, 0 days</t>
        </is>
      </c>
      <c r="AH8" s="159" t="inlineStr">
        <is>
          <t>14 years, 10 months, 15 days</t>
        </is>
      </c>
      <c r="AI8" s="159" t="inlineStr">
        <is>
          <t>Regtech</t>
        </is>
      </c>
      <c r="AJ8" s="159" t="inlineStr">
        <is>
          <t>iDEAL</t>
        </is>
      </c>
      <c r="AK8" s="159" t="inlineStr">
        <is>
          <t>Product Management</t>
        </is>
      </c>
      <c r="AL8" s="159" t="inlineStr">
        <is>
          <t>Client Engagement</t>
        </is>
      </c>
      <c r="AM8" s="159" t="inlineStr">
        <is>
          <t>No</t>
        </is>
      </c>
      <c r="AN8" s="159" t="inlineStr">
        <is>
          <t>Client Engagement</t>
        </is>
      </c>
      <c r="AO8" s="159" t="inlineStr">
        <is>
          <t>Product Management</t>
        </is>
      </c>
      <c r="AP8" s="159" t="inlineStr">
        <is>
          <t>Technical · BA, PM and QA</t>
        </is>
      </c>
      <c r="AQ8" s="159" t="n">
        <v>20</v>
      </c>
      <c r="AR8" s="159" t="inlineStr">
        <is>
          <t>Covered</t>
        </is>
      </c>
      <c r="AS8" s="159" t="n"/>
      <c r="AT8" s="159" t="n"/>
      <c r="AU8" s="159" t="n"/>
      <c r="AV8" s="159" t="n"/>
      <c r="AW8" s="159" t="n"/>
      <c r="AX8" s="159" t="n"/>
      <c r="AY8" s="159" t="n"/>
      <c r="AZ8" s="159" t="n"/>
      <c r="BA8" s="159" t="n"/>
      <c r="BB8" s="159" t="n"/>
      <c r="BC8" s="159" t="n"/>
      <c r="BD8" s="159" t="n"/>
      <c r="BE8" s="159" t="n"/>
      <c r="BF8" s="159" t="n"/>
      <c r="BG8" s="159" t="n"/>
      <c r="BH8" s="159" t="n"/>
      <c r="BI8" s="159" t="n"/>
      <c r="BJ8" s="159" t="n"/>
      <c r="BK8" s="159" t="n"/>
      <c r="BL8" s="159" t="n"/>
      <c r="BM8" s="159" t="n"/>
      <c r="BN8" s="159" t="n"/>
      <c r="BO8" s="159" t="n"/>
      <c r="BP8" s="159" t="n"/>
      <c r="BQ8" s="159" t="n"/>
      <c r="BR8" s="159" t="n"/>
      <c r="BS8" s="159" t="n"/>
      <c r="BT8" s="159" t="n"/>
      <c r="BU8" s="159" t="n"/>
      <c r="BV8" s="159" t="n"/>
      <c r="BW8" s="159" t="n"/>
      <c r="BX8" s="159" t="n"/>
      <c r="BY8" s="159" t="n"/>
      <c r="BZ8" s="159" t="n"/>
      <c r="CA8" s="159" t="n"/>
      <c r="CB8" s="159" t="n"/>
      <c r="CC8" s="159" t="n"/>
      <c r="CD8" s="159" t="n"/>
      <c r="CE8" s="159" t="n"/>
      <c r="CF8" s="159" t="n"/>
      <c r="CG8" s="159" t="n"/>
      <c r="CH8" s="159" t="n"/>
      <c r="CI8" s="159" t="n"/>
      <c r="CJ8" s="159" t="n"/>
      <c r="CK8" s="159" t="n"/>
      <c r="CL8" s="159" t="n"/>
      <c r="CM8" s="159" t="n"/>
      <c r="CN8" s="159" t="n"/>
      <c r="CO8" s="159" t="n"/>
      <c r="CP8" s="159" t="n"/>
      <c r="CQ8" s="159" t="inlineStr">
        <is>
          <t>IRIS0971</t>
        </is>
      </c>
      <c r="CR8" s="159" t="inlineStr">
        <is>
          <t>Employee</t>
        </is>
      </c>
      <c r="CS8" s="159" t="inlineStr">
        <is>
          <t>Active</t>
        </is>
      </c>
      <c r="CT8" s="159" t="inlineStr">
        <is>
          <t>Dnyaneshwar Daund</t>
        </is>
      </c>
      <c r="CU8" s="160" t="n">
        <v>40826</v>
      </c>
      <c r="CV8" s="159" t="inlineStr">
        <is>
          <t>Product Manager</t>
        </is>
      </c>
      <c r="CW8" s="159" t="inlineStr">
        <is>
          <t>Product Management</t>
        </is>
      </c>
      <c r="CX8" s="159" t="inlineStr">
        <is>
          <t>Product Management</t>
        </is>
      </c>
      <c r="CY8" s="159" t="inlineStr">
        <is>
          <t>Product Manager</t>
        </is>
      </c>
      <c r="CZ8" s="159" t="inlineStr">
        <is>
          <t>L5 – Manager</t>
        </is>
      </c>
      <c r="DA8" s="159" t="inlineStr">
        <is>
          <t>MMS</t>
        </is>
      </c>
      <c r="DB8" s="159" t="inlineStr">
        <is>
          <t>Hemant Karale</t>
        </is>
      </c>
      <c r="DC8" s="159" t="inlineStr">
        <is>
          <t>N-3</t>
        </is>
      </c>
      <c r="DD8" s="159" t="inlineStr">
        <is>
          <t>Manager</t>
        </is>
      </c>
      <c r="DE8" s="159" t="inlineStr">
        <is>
          <t>1 years, 2 months, 0 days</t>
        </is>
      </c>
      <c r="DF8" s="159" t="inlineStr">
        <is>
          <t>14 years, 8 months, 10 days</t>
        </is>
      </c>
      <c r="DG8" s="159" t="inlineStr">
        <is>
          <t>15 years, 10 months, 10 days</t>
        </is>
      </c>
      <c r="DH8" s="159" t="n">
        <v>14.6940639269406</v>
      </c>
      <c r="DI8" s="159" t="inlineStr">
        <is>
          <t>Regtech</t>
        </is>
      </c>
      <c r="DJ8" s="159" t="inlineStr">
        <is>
          <t>iDEAL</t>
        </is>
      </c>
      <c r="DK8" s="159" t="inlineStr">
        <is>
          <t>Product Management</t>
        </is>
      </c>
      <c r="DL8" s="159" t="inlineStr">
        <is>
          <t>Client Engagement</t>
        </is>
      </c>
      <c r="DM8" s="159" t="inlineStr">
        <is>
          <t>No</t>
        </is>
      </c>
      <c r="DN8" s="159" t="inlineStr">
        <is>
          <t>Client Engagement</t>
        </is>
      </c>
      <c r="DO8" s="159" t="inlineStr">
        <is>
          <t>Product Management</t>
        </is>
      </c>
      <c r="DP8" s="159" t="inlineStr">
        <is>
          <t>Technical · BA, PM and QA</t>
        </is>
      </c>
      <c r="DQ8" s="159" t="inlineStr">
        <is>
          <t>Hybrid</t>
        </is>
      </c>
      <c r="DR8" s="159" t="inlineStr">
        <is>
          <r>
            <rPr>
              <rFont val="Calibri"/>
              <sz val="10"/>
            </rPr>
            <t xml:space="preserve">1. Ensure timely and quality delivery of client requirements, support, and development/customization requests: Lead and manage Business Analyst activities to ensure client support requests, new requirements, customizations, and development deliverables are completed within agreed timelines while minimizing escalations and maintaining high levels of client satisfaction.
2. Build a balanced, collaborative, and high-performing team environment: Ensure effective and balanced work and client allocation across the Business Analyst team and foster a supportive and collaborative work culture to improve team coordination, reduce delivery bottlenecks, and maintain consistent delivery quality throughout the year.
3. Enable market readiness, regional growth opportunities, and successful client onboarding and delivery across assigned portfolios: Ensure timely development, implementation, and delivery across the assigned client portfolio.
 - </t>
          </r>
          <r>
            <rPr>
              <rFont val="Calibri"/>
              <b val="1"/>
              <sz val="10"/>
            </rPr>
            <t>Qatar:</t>
          </r>
          <r>
            <rPr>
              <rFont val="Calibri"/>
              <sz val="10"/>
            </rPr>
            <t xml:space="preserve"> Ensure regulatory taxonomies are analysed and configured, and the product and reports are ready for demonstration and delivery to prospective clients for QCB and QFCRA reporting requirements.
 - </t>
          </r>
          <r>
            <rPr>
              <rFont val="Calibri"/>
              <b val="1"/>
              <sz val="10"/>
            </rPr>
            <t>Jordan:</t>
          </r>
          <r>
            <rPr>
              <rFont val="Calibri"/>
              <sz val="10"/>
            </rPr>
            <t xml:space="preserve"> Ensure regulatory taxonomies are analysed and configured, and the product and reports are ready for demonstration and delivery for prospective clients in alignment with CBJ &amp; JSE · JCM requirements, including Arabic language readiness.
 - </t>
          </r>
          <r>
            <rPr>
              <rFont val="Calibri"/>
              <b val="1"/>
              <sz val="10"/>
            </rPr>
            <t>Mauritius:</t>
          </r>
          <r>
            <rPr>
              <rFont val="Calibri"/>
              <sz val="10"/>
            </rPr>
            <t xml:space="preserve"> Ensure all BOM reports are tested against the latest BOM taxonomies and validated in both MS SQL and PostgreSQL environments for Warwyck and Absa Bank. Ensure smooth onboarding, implementation readiness, and successful delivery for new clients. 
Lead and support client demonstrations, requirement discovery sessions, and solution walkthroughs for prospective and existing clients across regions.
4. Ensure successful execution and delivery of SARB Phase 4 backlog activities: Oversee and ensure all SARB Phase 4 backlog activities are effectively tracked, documented, developed, tested, approved, and delivered with quality and within agreed timelines. Actively participate in project management activities, lead key stakeholder and governance meetings related to iDEAL, and ensure effective coordination, decision-making, and execution across project workstreams.
5. Contribute to iDEAL product enhancement and continuous improvement initiatives: Support continuous improvement of the iDEAL 6.0 platform by collaborating with development teams on requirement, enhancement prioritization, testing, validation, and successful implementation of product improvements for foreign market.
6. Support ETL automation initiatives and solution delivery enablement: Contribute to ETL and data automation initiatives by providing inputs, supporting requirement understanding, participating in discussions, and enabling successful implementation to improve reporting automation and delivery efficiency.</t>
          </r>
        </is>
      </c>
      <c r="DS8" s="159" t="inlineStr">
        <is>
          <t>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Agreement management, Contract Renewals, Timely billing, and Revenue realization for all the existing iDEAL clients, to support organizational growth, profitability, and cash flow objectives.
5. Manage Kick-off, Requirement Gathering Documentation &amp; sign-offs, Report Development and Delivery as per the timeline set by the client, Coordination with Light Frame Team for Warwyck Bank delivery. Overall project should be &gt;=95% on track all the time. 
6. Learning &amp; Development: Participation in Team Learning Sessions - · Internal Trainings For Functional and Tech learning · ETL Processes, AI Features, Study Africa market requirements</t>
        </is>
      </c>
      <c r="DT8" s="159" t="inlineStr">
        <is>
          <t>1. Manage 15 EBR report development, delivery 
2. Manage complete applicable CIMS report development, delivery
3. Manage project kick-offs for important clients · Warwyck, SARB</t>
        </is>
      </c>
      <c r="DU8" s="159" t="n">
        <v>5</v>
      </c>
      <c r="DV8" s="159" t="n"/>
      <c r="DW8" s="159" t="inlineStr">
        <is>
          <t>Same as current designation</t>
        </is>
      </c>
      <c r="DX8" s="159" t="inlineStr">
        <is>
          <t>No</t>
        </is>
      </c>
      <c r="DY8" s="159" t="n"/>
      <c r="DZ8" s="159" t="n"/>
      <c r="EA8" s="159" t="n"/>
      <c r="EB8" s="159" t="n"/>
      <c r="EC8" s="159" t="n"/>
      <c r="ED8" s="159" t="n"/>
      <c r="EE8" s="159" t="inlineStr">
        <is>
          <t>Training on the effective utilization of AI tools.</t>
        </is>
      </c>
      <c r="EF8" s="159" t="n"/>
    </row>
    <row r="9" ht="64" customHeight="1">
      <c r="A9" s="109" t="inlineStr">
        <is>
          <t>IRIS1158</t>
        </is>
      </c>
      <c r="B9" s="111" t="inlineStr">
        <is>
          <t>Yuvraj Kharchane</t>
        </is>
      </c>
      <c r="C9" s="111" t="inlineStr">
        <is>
          <t>Product Management</t>
        </is>
      </c>
      <c r="D9" s="111" t="inlineStr">
        <is>
          <t>Product Manager</t>
        </is>
      </c>
      <c r="E9" s="111" t="inlineStr">
        <is>
          <t>Product Manager</t>
        </is>
      </c>
      <c r="F9" s="111" t="inlineStr">
        <is>
          <t>L5 – Manager</t>
        </is>
      </c>
      <c r="G9" s="27" t="inlineStr">
        <is>
          <t>B2</t>
        </is>
      </c>
      <c r="H9" s="118" t="inlineStr">
        <is>
          <t>• Same level</t>
        </is>
      </c>
      <c r="I9" s="111" t="inlineStr">
        <is>
          <t>Product Management</t>
        </is>
      </c>
      <c r="J9" s="111" t="inlineStr">
        <is>
          <t>Product Management</t>
        </is>
      </c>
      <c r="K9" s="111" t="inlineStr"/>
      <c r="L9" s="111" t="n">
        <v>20</v>
      </c>
      <c r="M9" s="139" t="inlineStr">
        <is>
          <t>P4 / M3</t>
        </is>
      </c>
      <c r="N9" s="115" t="inlineStr">
        <is>
          <t>Senior / Manager</t>
        </is>
      </c>
      <c r="O9" s="115" t="inlineStr">
        <is>
          <t>4–5</t>
        </is>
      </c>
      <c r="P9" s="115" t="inlineStr">
        <is>
          <t>6–9 yrs</t>
        </is>
      </c>
      <c r="Q9" s="115" t="inlineStr">
        <is>
          <t>7–10 · 6–11</t>
        </is>
      </c>
      <c r="R9" s="115" t="inlineStr">
        <is>
          <t>Manager</t>
        </is>
      </c>
      <c r="S9" s="115" t="inlineStr">
        <is>
          <t>IRIS Vs Competitor Benchmark — SaaS product ladder: Senior PM</t>
        </is>
      </c>
      <c r="T9" s="115" t="inlineStr">
        <is>
          <t>Pragmatic Institute Framework · 37 activities, 7 categories; AIPMM</t>
        </is>
      </c>
      <c r="U9" s="115" t="inlineStr">
        <is>
          <t>Core 3 · Future 3 · Functional 4 · Leadership 3</t>
        </is>
      </c>
      <c r="V9" s="158" t="n">
        <v>110</v>
      </c>
      <c r="W9" s="159" t="inlineStr">
        <is>
          <t>IRIS1158</t>
        </is>
      </c>
      <c r="X9" s="159" t="inlineStr">
        <is>
          <t>Employee</t>
        </is>
      </c>
      <c r="Y9" s="159" t="inlineStr">
        <is>
          <t>Active</t>
        </is>
      </c>
      <c r="Z9" s="159" t="inlineStr">
        <is>
          <t>Yuvraj Kharchane</t>
        </is>
      </c>
      <c r="AA9" s="244" t="n">
        <v>41078</v>
      </c>
      <c r="AB9" s="159" t="inlineStr">
        <is>
          <t>Product Manager</t>
        </is>
      </c>
      <c r="AC9" s="159" t="inlineStr">
        <is>
          <t>MBA</t>
        </is>
      </c>
      <c r="AD9" s="159" t="inlineStr">
        <is>
          <t>Hemant Karale</t>
        </is>
      </c>
      <c r="AE9" s="159" t="inlineStr">
        <is>
          <t>N-3</t>
        </is>
      </c>
      <c r="AF9" s="159" t="inlineStr">
        <is>
          <t>Manager</t>
        </is>
      </c>
      <c r="AG9" s="159" t="inlineStr">
        <is>
          <t>0 years, 0 months, 0 days</t>
        </is>
      </c>
      <c r="AH9" s="159" t="inlineStr">
        <is>
          <t>14 years, 2 months, 7 days</t>
        </is>
      </c>
      <c r="AI9" s="159" t="inlineStr">
        <is>
          <t>Regtech</t>
        </is>
      </c>
      <c r="AJ9" s="159" t="inlineStr">
        <is>
          <t>iDEAL</t>
        </is>
      </c>
      <c r="AK9" s="159" t="inlineStr">
        <is>
          <t>Product Management</t>
        </is>
      </c>
      <c r="AL9" s="159" t="inlineStr">
        <is>
          <t>Client Engagement</t>
        </is>
      </c>
      <c r="AM9" s="159" t="inlineStr">
        <is>
          <t>No</t>
        </is>
      </c>
      <c r="AN9" s="159" t="inlineStr">
        <is>
          <t>Client Engagement</t>
        </is>
      </c>
      <c r="AO9" s="159" t="inlineStr">
        <is>
          <t>Product Management</t>
        </is>
      </c>
      <c r="AP9" s="159" t="inlineStr">
        <is>
          <t>Technical · BA, PM and QA</t>
        </is>
      </c>
      <c r="AQ9" s="159" t="n">
        <v>20</v>
      </c>
      <c r="AR9" s="159" t="inlineStr">
        <is>
          <t>Covered</t>
        </is>
      </c>
      <c r="AS9" s="159" t="n"/>
      <c r="AT9" s="159" t="n"/>
      <c r="AU9" s="159" t="n"/>
      <c r="AV9" s="159" t="n"/>
      <c r="AW9" s="159" t="n"/>
      <c r="AX9" s="159" t="n"/>
      <c r="AY9" s="159" t="n"/>
      <c r="AZ9" s="159" t="n"/>
      <c r="BA9" s="159" t="n"/>
      <c r="BB9" s="159" t="n"/>
      <c r="BC9" s="159" t="n"/>
      <c r="BD9" s="159" t="n"/>
      <c r="BE9" s="159" t="n"/>
      <c r="BF9" s="159" t="n"/>
      <c r="BG9" s="159" t="n"/>
      <c r="BH9" s="159" t="n"/>
      <c r="BI9" s="159" t="n"/>
      <c r="BJ9" s="159" t="n"/>
      <c r="BK9" s="159" t="n"/>
      <c r="BL9" s="159" t="n"/>
      <c r="BM9" s="159" t="n"/>
      <c r="BN9" s="159" t="n"/>
      <c r="BO9" s="159" t="n"/>
      <c r="BP9" s="159" t="n"/>
      <c r="BQ9" s="159" t="n"/>
      <c r="BR9" s="159" t="n"/>
      <c r="BS9" s="159" t="n"/>
      <c r="BT9" s="159" t="n"/>
      <c r="BU9" s="159" t="n"/>
      <c r="BV9" s="159" t="n"/>
      <c r="BW9" s="159" t="n"/>
      <c r="BX9" s="159" t="n"/>
      <c r="BY9" s="159" t="n"/>
      <c r="BZ9" s="159" t="n"/>
      <c r="CA9" s="159" t="n"/>
      <c r="CB9" s="159" t="n"/>
      <c r="CC9" s="159" t="n"/>
      <c r="CD9" s="159" t="n"/>
      <c r="CE9" s="159" t="n"/>
      <c r="CF9" s="159" t="n"/>
      <c r="CG9" s="159" t="n"/>
      <c r="CH9" s="159" t="n"/>
      <c r="CI9" s="159" t="n"/>
      <c r="CJ9" s="159" t="n"/>
      <c r="CK9" s="159" t="n"/>
      <c r="CL9" s="159" t="n"/>
      <c r="CM9" s="159" t="n"/>
      <c r="CN9" s="159" t="n"/>
      <c r="CO9" s="159" t="n"/>
      <c r="CP9" s="159" t="n"/>
      <c r="CQ9" s="159" t="inlineStr">
        <is>
          <t>IRIS1158</t>
        </is>
      </c>
      <c r="CR9" s="159" t="inlineStr">
        <is>
          <t>Employee</t>
        </is>
      </c>
      <c r="CS9" s="159" t="inlineStr">
        <is>
          <t>Active</t>
        </is>
      </c>
      <c r="CT9" s="159" t="inlineStr">
        <is>
          <t>Yuvraj Kharchane</t>
        </is>
      </c>
      <c r="CU9" s="160" t="n">
        <v>41078</v>
      </c>
      <c r="CV9" s="159" t="inlineStr">
        <is>
          <t>Product Manager</t>
        </is>
      </c>
      <c r="CW9" s="159" t="inlineStr">
        <is>
          <t>Product Management</t>
        </is>
      </c>
      <c r="CX9" s="159" t="inlineStr">
        <is>
          <t>Product Management</t>
        </is>
      </c>
      <c r="CY9" s="159" t="inlineStr">
        <is>
          <t>Product Manager</t>
        </is>
      </c>
      <c r="CZ9" s="159" t="inlineStr">
        <is>
          <t>L5 – Manager</t>
        </is>
      </c>
      <c r="DA9" s="159" t="inlineStr">
        <is>
          <t>MBA</t>
        </is>
      </c>
      <c r="DB9" s="159" t="inlineStr">
        <is>
          <t>Hemant Karale</t>
        </is>
      </c>
      <c r="DC9" s="159" t="inlineStr">
        <is>
          <t>N-3</t>
        </is>
      </c>
      <c r="DD9" s="159" t="inlineStr">
        <is>
          <t>Manager</t>
        </is>
      </c>
      <c r="DE9" s="159" t="inlineStr">
        <is>
          <t>0 years, 0 months, 0 days</t>
        </is>
      </c>
      <c r="DF9" s="159" t="inlineStr">
        <is>
          <t>14 years, 0 months, 2 days</t>
        </is>
      </c>
      <c r="DG9" s="159" t="inlineStr">
        <is>
          <t>14 years, 0 months, 2 days</t>
        </is>
      </c>
      <c r="DH9" s="159" t="n">
        <v>14.0054794520548</v>
      </c>
      <c r="DI9" s="159" t="inlineStr">
        <is>
          <t>Regtech</t>
        </is>
      </c>
      <c r="DJ9" s="159" t="inlineStr">
        <is>
          <t>iDEAL</t>
        </is>
      </c>
      <c r="DK9" s="159" t="inlineStr">
        <is>
          <t>Product Management</t>
        </is>
      </c>
      <c r="DL9" s="159" t="inlineStr">
        <is>
          <t>Client Engagement</t>
        </is>
      </c>
      <c r="DM9" s="159" t="inlineStr">
        <is>
          <t>No</t>
        </is>
      </c>
      <c r="DN9" s="159" t="inlineStr">
        <is>
          <t>Client Engagement</t>
        </is>
      </c>
      <c r="DO9" s="159" t="inlineStr">
        <is>
          <t>Product Management</t>
        </is>
      </c>
      <c r="DP9" s="159" t="inlineStr">
        <is>
          <t>Technical · BA, PM and QA</t>
        </is>
      </c>
      <c r="DQ9" s="159" t="inlineStr">
        <is>
          <t>Remote - Mumbai</t>
        </is>
      </c>
      <c r="DR9" s="159" t="inlineStr">
        <is>
          <t>1. Product Strategy, Development &amp; Regulatory Compliance: Lead the product roadmap, development, maintenance, and regulatory compliance for RBI CIMS, RBI EBR, EBA, and other regulatory reporting solutions, ensuring timely delivery of enhancements and regulatory changes.
2. EBA Market Readiness &amp; Solution Enablement: Enable EBA regulatory reporting mandates in the IRIS iDEAL solution by driving report development, product readiness, and ongoing support. Actively participate in client discussions, product demonstrations, requirement gathering, and implementation planning activities.
3. RBI EBR SDMX Product Development &amp; Market Adoption: Drive the development and market adoption of the RBI EBR SDMX solution by:
 - Leading EBR report and solution development activities.
 - Conducting product demonstrations and supporting proposal submissions.
 - Participating in customer discussions, negotiations, and deal closure activities.
 - Ensuring successful implementation, customer sign-off, and achievement of billing milestones.
4. Customer Success, Retention &amp; Escalation Management: Build and maintain strong customer relationships by ensuring timely resolution of critical issues and escalations, delivering high service quality, maintaining customer satisfaction and retention, achieving AMC renewals, and fostering long-term customer engagement.
5. Commercial Management &amp; Revenue Realization: Drive effective commercial operations across all iDEAL products and regions, including contract management, renewals, billing, and revenue realization, to support organizational growth, profitability, and cash flow objectives.
6. Sales Support &amp; Business Development: Support business growth through new opportunities, upselling, and cross-selling initiatives such as Cross Report Validation, Mandatory Checks, Master Data Validation, and other value-added offerings. Proactively engage with existing customers to identify enhancement opportunities and expand solution adoption.
7. Team Leadership, Resource Management &amp; Capability Development: Effectively manage team resources, priorities, and workload while developing a skilled, accountable, and self-reliant team through knowledge enhancement, mentoring, and cross-training to ensure timely delivery of projects, customer commitments, and business objectives.
8. ETL Automation &amp; Process Improvement Initiatives: Contribute to ETL and data automation initiatives by reviewing the Scope of Work · SOW, supporting requirement analysis for RBI CIMS reports, and providing inputs on solution design and implementation approaches.</t>
        </is>
      </c>
      <c r="DS9" s="159" t="inlineStr">
        <is>
          <t>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Activities.
4. Support Agreement management, Contract Renewals, Timely billing, and Revenue realization for all the existing iDEAL clients, to support organizational growth, profitability, and cash flow objectives.
5. Learning &amp; Development: Participation in Team Learning Sessions - · Internal Trainings For Functional and Tech learning · ETL Processes, AI Features, Study EU market requirements</t>
        </is>
      </c>
      <c r="DT9" s="159" t="inlineStr">
        <is>
          <t>1. Manage 15 EBR report development, delivery 
2. Close &gt; 3 EBR clients
3. Generate 6 qualified leads</t>
        </is>
      </c>
      <c r="DU9" s="159" t="n">
        <v>5</v>
      </c>
      <c r="DV9" s="160" t="n">
        <v>45931</v>
      </c>
      <c r="DW9" s="159" t="inlineStr">
        <is>
          <t>Same as current designation</t>
        </is>
      </c>
      <c r="DX9" s="159" t="inlineStr">
        <is>
          <t>No</t>
        </is>
      </c>
      <c r="DY9" s="159" t="n">
        <v>5</v>
      </c>
      <c r="DZ9" s="159" t="inlineStr">
        <is>
          <t>High</t>
        </is>
      </c>
      <c r="EA9" s="159" t="inlineStr">
        <is>
          <t>Core Contributor</t>
        </is>
      </c>
      <c r="EB9" s="159" t="inlineStr">
        <is>
          <t>Ready Now</t>
        </is>
      </c>
      <c r="EC9" s="159" t="n"/>
      <c r="ED9" s="159" t="inlineStr">
        <is>
          <t>Yes</t>
        </is>
      </c>
      <c r="EE9" s="159" t="inlineStr">
        <is>
          <t>Product discovery &amp; prioritisation, Information research</t>
        </is>
      </c>
      <c r="EF9" s="15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row>
    <row r="10" ht="64" customHeight="1">
      <c r="A10" s="109" t="inlineStr">
        <is>
          <t>IRIS2435</t>
        </is>
      </c>
      <c r="B10" s="111" t="inlineStr">
        <is>
          <t>Srijith Menon</t>
        </is>
      </c>
      <c r="C10" s="111" t="inlineStr">
        <is>
          <t>Product Management</t>
        </is>
      </c>
      <c r="D10" s="114" t="inlineStr">
        <is>
          <t>Product Coordinator</t>
        </is>
      </c>
      <c r="E10" s="114" t="inlineStr">
        <is>
          <t>Senior Product Analyst</t>
        </is>
      </c>
      <c r="F10" s="114" t="inlineStr">
        <is>
          <t>L3 – Professional / Associate</t>
        </is>
      </c>
      <c r="G10" s="114" t="inlineStr">
        <is>
          <t>A3</t>
        </is>
      </c>
      <c r="H10" s="142" t="inlineStr">
        <is>
          <t>▲ Up</t>
        </is>
      </c>
      <c r="I10" s="111" t="inlineStr">
        <is>
          <t>Product Management</t>
        </is>
      </c>
      <c r="J10" s="111" t="inlineStr">
        <is>
          <t>Product Operations &amp; Research</t>
        </is>
      </c>
      <c r="K10" s="111" t="inlineStr"/>
      <c r="L10" s="111" t="n">
        <v>20</v>
      </c>
      <c r="M10" s="139" t="inlineStr">
        <is>
          <t>P2</t>
        </is>
      </c>
      <c r="N10" s="115" t="inlineStr">
        <is>
          <t>Developing</t>
        </is>
      </c>
      <c r="O10" s="115" t="inlineStr">
        <is>
          <t>3 Apply</t>
        </is>
      </c>
      <c r="P10" s="115" t="inlineStr">
        <is>
          <t>2–4 yrs</t>
        </is>
      </c>
      <c r="Q10" s="115" t="inlineStr">
        <is>
          <t>3–5 · 2–5</t>
        </is>
      </c>
      <c r="R10" s="115" t="inlineStr">
        <is>
          <t>Associate Product Manager</t>
        </is>
      </c>
      <c r="S10" s="115" t="inlineStr">
        <is>
          <t>IRIS Vs Competitor Benchmark — SaaS product ladder: Associate PM</t>
        </is>
      </c>
      <c r="T10" s="115" t="inlineStr">
        <is>
          <t>Pragmatic Institute Framework · 37 activities, 7 categories; AIPMM</t>
        </is>
      </c>
      <c r="U10" s="115" t="inlineStr">
        <is>
          <t>Core 2 · Future 2 · Functional 3 · Leadership not scored</t>
        </is>
      </c>
      <c r="V10" s="158" t="n">
        <v>403</v>
      </c>
      <c r="W10" s="159" t="inlineStr">
        <is>
          <t>IRIS2435</t>
        </is>
      </c>
      <c r="X10" s="159" t="inlineStr">
        <is>
          <t>Employee</t>
        </is>
      </c>
      <c r="Y10" s="159" t="inlineStr">
        <is>
          <t>Active</t>
        </is>
      </c>
      <c r="Z10" s="159" t="inlineStr">
        <is>
          <t>Srijith Menon</t>
        </is>
      </c>
      <c r="AA10" s="244" t="n">
        <v>45925</v>
      </c>
      <c r="AB10" s="159" t="inlineStr">
        <is>
          <t>Product Coordinator</t>
        </is>
      </c>
      <c r="AC10" s="159" t="inlineStr">
        <is>
          <t>Bachelors in Hotel Management</t>
        </is>
      </c>
      <c r="AD10" s="159" t="inlineStr">
        <is>
          <t>Yuvraj Kharchane</t>
        </is>
      </c>
      <c r="AE10" s="159" t="inlineStr">
        <is>
          <t>N-4</t>
        </is>
      </c>
      <c r="AF10" s="159" t="inlineStr">
        <is>
          <t>Individual Contributor</t>
        </is>
      </c>
      <c r="AG10" s="159" t="inlineStr">
        <is>
          <t>7 years, 0 months, 0 days</t>
        </is>
      </c>
      <c r="AH10" s="159" t="inlineStr">
        <is>
          <t>0 years, 11 months, 0 days</t>
        </is>
      </c>
      <c r="AI10" s="159" t="inlineStr">
        <is>
          <t>Regtech</t>
        </is>
      </c>
      <c r="AJ10" s="159" t="inlineStr">
        <is>
          <t>iDEAL</t>
        </is>
      </c>
      <c r="AK10" s="159" t="inlineStr">
        <is>
          <t>Product Management</t>
        </is>
      </c>
      <c r="AL10" s="159" t="inlineStr">
        <is>
          <t>Client Engagement</t>
        </is>
      </c>
      <c r="AM10" s="159" t="inlineStr">
        <is>
          <t>No</t>
        </is>
      </c>
      <c r="AN10" s="159" t="inlineStr">
        <is>
          <t>Client Engagement</t>
        </is>
      </c>
      <c r="AO10" s="159" t="inlineStr">
        <is>
          <t>Product Management</t>
        </is>
      </c>
      <c r="AP10" s="159" t="inlineStr">
        <is>
          <t>Technical · BA, PM and QA</t>
        </is>
      </c>
      <c r="AQ10" s="159" t="n">
        <v>20</v>
      </c>
      <c r="AR10" s="159" t="inlineStr">
        <is>
          <t>Covered</t>
        </is>
      </c>
      <c r="AS10" s="159" t="n"/>
      <c r="AT10" s="159" t="n"/>
      <c r="AU10" s="159" t="n"/>
      <c r="AV10" s="159" t="n"/>
      <c r="AW10" s="159" t="n"/>
      <c r="AX10" s="159" t="n"/>
      <c r="AY10" s="159" t="n"/>
      <c r="AZ10" s="159" t="n"/>
      <c r="BA10" s="159" t="n"/>
      <c r="BB10" s="159" t="n"/>
      <c r="BC10" s="159" t="n"/>
      <c r="BD10" s="159" t="n"/>
      <c r="BE10" s="159" t="n"/>
      <c r="BF10" s="159" t="n"/>
      <c r="BG10" s="159" t="n"/>
      <c r="BH10" s="159" t="n"/>
      <c r="BI10" s="159" t="n"/>
      <c r="BJ10" s="159" t="n"/>
      <c r="BK10" s="159" t="n"/>
      <c r="BL10" s="159" t="n"/>
      <c r="BM10" s="159" t="n"/>
      <c r="BN10" s="159" t="n"/>
      <c r="BO10" s="159" t="n"/>
      <c r="BP10" s="159" t="n"/>
      <c r="BQ10" s="159" t="n"/>
      <c r="BR10" s="159" t="n"/>
      <c r="BS10" s="159" t="n"/>
      <c r="BT10" s="159" t="n"/>
      <c r="BU10" s="159" t="n"/>
      <c r="BV10" s="159" t="n"/>
      <c r="BW10" s="159" t="n"/>
      <c r="BX10" s="159" t="n"/>
      <c r="BY10" s="159" t="n"/>
      <c r="BZ10" s="159" t="n"/>
      <c r="CA10" s="159" t="n"/>
      <c r="CB10" s="159" t="n"/>
      <c r="CC10" s="159" t="n"/>
      <c r="CD10" s="159" t="n"/>
      <c r="CE10" s="159" t="n"/>
      <c r="CF10" s="159" t="n"/>
      <c r="CG10" s="159" t="n"/>
      <c r="CH10" s="159" t="n"/>
      <c r="CI10" s="159" t="n"/>
      <c r="CJ10" s="159" t="n"/>
      <c r="CK10" s="159" t="n"/>
      <c r="CL10" s="159" t="n"/>
      <c r="CM10" s="159" t="n"/>
      <c r="CN10" s="159" t="n"/>
      <c r="CO10" s="159" t="n"/>
      <c r="CP10" s="159" t="n"/>
      <c r="CQ10" s="159" t="inlineStr">
        <is>
          <t>IRIS2435</t>
        </is>
      </c>
      <c r="CR10" s="159" t="inlineStr">
        <is>
          <t>Employee</t>
        </is>
      </c>
      <c r="CS10" s="159" t="inlineStr">
        <is>
          <t>Active</t>
        </is>
      </c>
      <c r="CT10" s="159" t="inlineStr">
        <is>
          <t>Srijith Menon</t>
        </is>
      </c>
      <c r="CU10" s="160" t="n">
        <v>45925</v>
      </c>
      <c r="CV10" s="159" t="inlineStr">
        <is>
          <t>Product Coordinator</t>
        </is>
      </c>
      <c r="CW10" s="159" t="inlineStr">
        <is>
          <t>Executive Leadership</t>
        </is>
      </c>
      <c r="CX10" s="159" t="inlineStr">
        <is>
          <t>Business / Functional Leadership</t>
        </is>
      </c>
      <c r="CY10" s="159" t="inlineStr">
        <is>
          <t>Product Coordinator</t>
        </is>
      </c>
      <c r="CZ10" s="159" t="inlineStr">
        <is>
          <t>L3 – Professional / Associate</t>
        </is>
      </c>
      <c r="DA10" s="159" t="inlineStr">
        <is>
          <t>Bachelors in Hotel Management</t>
        </is>
      </c>
      <c r="DB10" s="159" t="inlineStr">
        <is>
          <t>Yuvraj Kharchane</t>
        </is>
      </c>
      <c r="DC10" s="159" t="inlineStr">
        <is>
          <t>N-4</t>
        </is>
      </c>
      <c r="DD10" s="159" t="inlineStr">
        <is>
          <t>Individual Contributor</t>
        </is>
      </c>
      <c r="DE10" s="159" t="inlineStr">
        <is>
          <t>7 years, 0 months, 0 days</t>
        </is>
      </c>
      <c r="DF10" s="159" t="inlineStr">
        <is>
          <t>0 years, 8 months, 26 days</t>
        </is>
      </c>
      <c r="DG10" s="159" t="inlineStr">
        <is>
          <t>7 years, 8 months, 26 days</t>
        </is>
      </c>
      <c r="DH10" s="159" t="n"/>
      <c r="DI10" s="159" t="inlineStr">
        <is>
          <t>Regtech</t>
        </is>
      </c>
      <c r="DJ10" s="159" t="inlineStr">
        <is>
          <t>iDEAL</t>
        </is>
      </c>
      <c r="DK10" s="159" t="inlineStr">
        <is>
          <t>Product Management</t>
        </is>
      </c>
      <c r="DL10" s="159" t="inlineStr">
        <is>
          <t>Client Engagement</t>
        </is>
      </c>
      <c r="DM10" s="159" t="inlineStr">
        <is>
          <t>No</t>
        </is>
      </c>
      <c r="DN10" s="159" t="inlineStr">
        <is>
          <t>Client Engagement</t>
        </is>
      </c>
      <c r="DO10" s="159" t="inlineStr">
        <is>
          <t>Product Management</t>
        </is>
      </c>
      <c r="DP10" s="159" t="inlineStr">
        <is>
          <t>Technical · BA, PM and QA</t>
        </is>
      </c>
      <c r="DQ10" s="159" t="inlineStr">
        <is>
          <t>Work From Office - Turbhe</t>
        </is>
      </c>
      <c r="DR10" s="159" t="inlineStr">
        <is>
          <t>1. Successfully manage and coordinate assigned ETL implementation for ESAF SFB, Muthoot Fin Corp and upcoming all the ETL projects from initiation to production deployment, ensuring delivery within agreed timelines, scope, and quality standards. Track project milestones, identify risks, coordinate with stakeholders, and proactively drive project completion.
2. Prepare and maintain comprehensive project documentation, including Statements of Work · SOW, Detailed Understanding Documents · DOU, Business Requirement Documents · BRD, Functional Specifications, and project plans, ensuring clear alignment between business requirements and delivered solutions.
3. Coordinate with infrastructure, development, QA, and client teams to ensure timely application deployment, environment setup, access provisioning, and readiness of development, testing, and production environments for successful project execution and releases.
4. Coordinate User Acceptance Testing · UAT activities by ensuring timely test execution, defect tracking, issue resolution, and stakeholder sign-offs. Support production rollout activities, monitor post-deployment performance, and ensure smooth transition to business operations.
5. Build and maintain strong client relationships by proactively addressing project-related concerns, coordinating timely resolution of issues, ensuring adherence to agreed service levels, and continuously improving the client experience throughout the project lifecycle.
6. Contribute to organizational learning by conducting at least one internal knowledge-sharing session every quarter on ETL implementation methodologies, project learnings, tools, best practices, and process improvements to strengthen overall team capabilities.</t>
        </is>
      </c>
      <c r="DS10" s="159" t="inlineStr">
        <is>
          <t>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source data mapping, ETL configuration, testing, and deployment activities &amp; go live for ESAF, Muthoot &amp; Bajaj Fincorp by Dec 2026.
3.Capture, analyse, and document client requirements and project scope accurately, ensuring 100% completion of the required documentation and obtaining client sign-off within two weeks of document submission.
4. Actively contribute to iDEAL ETL product enhancements, automation initiatives, process improvements, client demonstrations, POCs, and new business opportunities to support product adoption and business growth as a part of ongoing activities.</t>
        </is>
      </c>
      <c r="DT10" s="159" t="inlineStr">
        <is>
          <t>1. Ensure the initiation and successful commencement of ESAF report automation development for all Phase 1 reports identified and prioritized by the bank July 2026.
2. Complete the report automation project for Muthoot Finance and coordinate with all stakeholders to achieve successful project completion by the end of Sep 2026.
3. Ensure completion of requirement gathering, scope finalization, and all associated project documentation for the Bajaj Finance implementation within three weeks of client onboarding. Obtain necessary stakeholder approvals and sign-offs to enable timely project execution and delivery.</t>
        </is>
      </c>
      <c r="DU10" s="159" t="n">
        <v>3</v>
      </c>
      <c r="DV10" s="160" t="n">
        <v>45931</v>
      </c>
      <c r="DW10" s="159" t="inlineStr">
        <is>
          <t>Same as current designation</t>
        </is>
      </c>
      <c r="DX10" s="159" t="inlineStr">
        <is>
          <t>No</t>
        </is>
      </c>
      <c r="DY10" s="159" t="n">
        <v>3</v>
      </c>
      <c r="DZ10" s="159" t="inlineStr">
        <is>
          <t>Medium</t>
        </is>
      </c>
      <c r="EA10" s="159" t="inlineStr">
        <is>
          <t>Emerging Talent</t>
        </is>
      </c>
      <c r="EB10" s="159" t="inlineStr">
        <is>
          <t>Not Ready</t>
        </is>
      </c>
      <c r="EC10" s="159" t="inlineStr">
        <is>
          <t>No</t>
        </is>
      </c>
      <c r="ED10" s="159" t="inlineStr">
        <is>
          <t>Yes</t>
        </is>
      </c>
      <c r="EE10" s="159" t="inlineStr">
        <is>
          <t>XBRL Training, Training on the effective utilization of AI tools.</t>
        </is>
      </c>
      <c r="EF10" s="159" t="n"/>
    </row>
    <row r="11" ht="64" customHeight="1">
      <c r="A11" s="109" t="inlineStr">
        <is>
          <t>IRIS0636</t>
        </is>
      </c>
      <c r="B11" s="111" t="inlineStr">
        <is>
          <t>Reena Gotal</t>
        </is>
      </c>
      <c r="C11" s="111" t="inlineStr">
        <is>
          <t>Quality Assurance</t>
        </is>
      </c>
      <c r="D11" s="114" t="inlineStr">
        <is>
          <t>Senior QA - Engineer</t>
        </is>
      </c>
      <c r="E11" s="114" t="inlineStr">
        <is>
          <t>QA Manager</t>
        </is>
      </c>
      <c r="F11" s="114" t="inlineStr">
        <is>
          <t>L4 – Senior</t>
        </is>
      </c>
      <c r="G11" s="114" t="inlineStr">
        <is>
          <t>B1</t>
        </is>
      </c>
      <c r="H11" s="142" t="inlineStr">
        <is>
          <t>▲ Up</t>
        </is>
      </c>
      <c r="I11" s="111" t="inlineStr">
        <is>
          <t>Quality Assurance</t>
        </is>
      </c>
      <c r="J11" s="111" t="inlineStr">
        <is>
          <t>Functional &amp; Domain Testing</t>
        </is>
      </c>
      <c r="K11" s="111" t="inlineStr"/>
      <c r="L11" s="111" t="n">
        <v>20</v>
      </c>
      <c r="M11" s="139" t="inlineStr">
        <is>
          <t>P3 / M2</t>
        </is>
      </c>
      <c r="N11" s="115" t="inlineStr">
        <is>
          <t>Career / · Team Lead</t>
        </is>
      </c>
      <c r="O11" s="115" t="inlineStr">
        <is>
          <t>4 Enable</t>
        </is>
      </c>
      <c r="P11" s="115" t="inlineStr">
        <is>
          <t>4–7 yrs</t>
        </is>
      </c>
      <c r="Q11" s="115" t="inlineStr">
        <is>
          <t>5–8 · 4–8</t>
        </is>
      </c>
      <c r="R11" s="115" t="inlineStr">
        <is>
          <t>Manager</t>
        </is>
      </c>
      <c r="S11" s="115" t="inlineStr">
        <is>
          <r>
            <rPr>
              <rFont val="Calibri"/>
              <b val="1"/>
              <sz val="10"/>
            </rPr>
            <t>Workiva:</t>
          </r>
          <r>
            <rPr>
              <rFont val="Calibri"/>
              <sz val="10"/>
            </rPr>
            <t xml:space="preserve"> SE / Senior SE · Broadridge India: Senior SE · Nasdaq / AxiomSL: Senior SE · IRIS Vs Market Benchmark — ISTQB certification pathway: Advanced · Test Analyst</t>
          </r>
        </is>
      </c>
      <c r="T11" s="115" t="inlineStr">
        <is>
          <t>ISTQB Foundation → Advanced → Expert; SFIA testing</t>
        </is>
      </c>
      <c r="U11" s="115" t="inlineStr">
        <is>
          <t>Core 3 · Future 3 · Functional 3 · Leadership 2</t>
        </is>
      </c>
      <c r="V11" s="158" t="n">
        <v>85</v>
      </c>
      <c r="W11" s="159" t="inlineStr">
        <is>
          <t>IRIS0636</t>
        </is>
      </c>
      <c r="X11" s="159" t="inlineStr">
        <is>
          <t>Employee</t>
        </is>
      </c>
      <c r="Y11" s="159" t="inlineStr">
        <is>
          <t>Active</t>
        </is>
      </c>
      <c r="Z11" s="159" t="inlineStr">
        <is>
          <t>Reena Gotal</t>
        </is>
      </c>
      <c r="AA11" s="244" t="n">
        <v>40686</v>
      </c>
      <c r="AB11" s="159" t="inlineStr">
        <is>
          <t>Senior QA - Engineer</t>
        </is>
      </c>
      <c r="AC11" s="159" t="inlineStr">
        <is>
          <t>B.Com</t>
        </is>
      </c>
      <c r="AD11" s="159" t="inlineStr">
        <is>
          <t>Hemant Karale</t>
        </is>
      </c>
      <c r="AE11" s="159" t="inlineStr">
        <is>
          <t>N-3</t>
        </is>
      </c>
      <c r="AF11" s="159" t="inlineStr">
        <is>
          <t>Manager</t>
        </is>
      </c>
      <c r="AG11" s="159" t="inlineStr">
        <is>
          <t>0 years, 0 months, 0 days</t>
        </is>
      </c>
      <c r="AH11" s="159" t="inlineStr">
        <is>
          <t>15 years, 3 months, 2 days</t>
        </is>
      </c>
      <c r="AI11" s="159" t="inlineStr">
        <is>
          <t>Regtech</t>
        </is>
      </c>
      <c r="AJ11" s="159" t="inlineStr">
        <is>
          <t>iDEAL</t>
        </is>
      </c>
      <c r="AK11" s="159" t="inlineStr">
        <is>
          <t>Quality Assurance</t>
        </is>
      </c>
      <c r="AL11" s="159" t="inlineStr">
        <is>
          <t>Quality Assurance</t>
        </is>
      </c>
      <c r="AM11" s="159" t="inlineStr">
        <is>
          <t>No</t>
        </is>
      </c>
      <c r="AN11" s="159" t="inlineStr">
        <is>
          <t>Product/Project</t>
        </is>
      </c>
      <c r="AO11" s="159" t="inlineStr">
        <is>
          <t>Software Testing</t>
        </is>
      </c>
      <c r="AP11" s="159" t="inlineStr">
        <is>
          <t>Technical · BA, PM and QA</t>
        </is>
      </c>
      <c r="AQ11" s="159" t="n">
        <v>20</v>
      </c>
      <c r="AR11" s="159" t="inlineStr">
        <is>
          <t>Covered</t>
        </is>
      </c>
      <c r="AS11" s="159" t="n"/>
      <c r="AT11" s="159" t="n"/>
      <c r="AU11" s="159" t="n"/>
      <c r="AV11" s="159" t="n"/>
      <c r="AW11" s="159" t="n"/>
      <c r="AX11" s="159" t="n"/>
      <c r="AY11" s="159" t="n"/>
      <c r="AZ11" s="159" t="n"/>
      <c r="BA11" s="159" t="n"/>
      <c r="BB11" s="159" t="n"/>
      <c r="BC11" s="159" t="n"/>
      <c r="BD11" s="159" t="n"/>
      <c r="BE11" s="159" t="n"/>
      <c r="BF11" s="159" t="n"/>
      <c r="BG11" s="159" t="n"/>
      <c r="BH11" s="159" t="n"/>
      <c r="BI11" s="159" t="n"/>
      <c r="BJ11" s="159" t="n"/>
      <c r="BK11" s="159" t="n"/>
      <c r="BL11" s="159" t="n"/>
      <c r="BM11" s="159" t="n"/>
      <c r="BN11" s="159" t="n"/>
      <c r="BO11" s="159" t="n"/>
      <c r="BP11" s="159" t="n"/>
      <c r="BQ11" s="159" t="n"/>
      <c r="BR11" s="159" t="n"/>
      <c r="BS11" s="159" t="n"/>
      <c r="BT11" s="159" t="n"/>
      <c r="BU11" s="159" t="n"/>
      <c r="BV11" s="159" t="n"/>
      <c r="BW11" s="159" t="n"/>
      <c r="BX11" s="159" t="n"/>
      <c r="BY11" s="159" t="n"/>
      <c r="BZ11" s="159" t="n"/>
      <c r="CA11" s="159" t="n"/>
      <c r="CB11" s="159" t="n"/>
      <c r="CC11" s="159" t="n"/>
      <c r="CD11" s="159" t="n"/>
      <c r="CE11" s="159" t="n"/>
      <c r="CF11" s="159" t="n"/>
      <c r="CG11" s="159" t="n"/>
      <c r="CH11" s="159" t="n"/>
      <c r="CI11" s="159" t="n"/>
      <c r="CJ11" s="159" t="n"/>
      <c r="CK11" s="159" t="n"/>
      <c r="CL11" s="159" t="n"/>
      <c r="CM11" s="159" t="n"/>
      <c r="CN11" s="159" t="n"/>
      <c r="CO11" s="159" t="n"/>
      <c r="CP11" s="159" t="n"/>
      <c r="CQ11" s="159" t="inlineStr">
        <is>
          <t>IRIS0636</t>
        </is>
      </c>
      <c r="CR11" s="159" t="inlineStr">
        <is>
          <t>Employee</t>
        </is>
      </c>
      <c r="CS11" s="159" t="inlineStr">
        <is>
          <t>Active</t>
        </is>
      </c>
      <c r="CT11" s="159" t="inlineStr">
        <is>
          <t>Reena Gotal</t>
        </is>
      </c>
      <c r="CU11" s="160" t="n">
        <v>40686</v>
      </c>
      <c r="CV11" s="159" t="inlineStr">
        <is>
          <t>Senior QA - Engineer</t>
        </is>
      </c>
      <c r="CW11" s="159" t="inlineStr">
        <is>
          <t>Quality Assurance</t>
        </is>
      </c>
      <c r="CX11" s="159" t="inlineStr">
        <is>
          <t>Quality Engineering</t>
        </is>
      </c>
      <c r="CY11" s="159" t="inlineStr">
        <is>
          <t>Senior QA - Engineer</t>
        </is>
      </c>
      <c r="CZ11" s="159" t="inlineStr">
        <is>
          <t>L4 – Senior</t>
        </is>
      </c>
      <c r="DA11" s="159" t="inlineStr">
        <is>
          <t>B.Com</t>
        </is>
      </c>
      <c r="DB11" s="159" t="inlineStr">
        <is>
          <t>Hemant Karale</t>
        </is>
      </c>
      <c r="DC11" s="159" t="inlineStr">
        <is>
          <t>N-3</t>
        </is>
      </c>
      <c r="DD11" s="159" t="inlineStr">
        <is>
          <t>Manager</t>
        </is>
      </c>
      <c r="DE11" s="159" t="inlineStr">
        <is>
          <t>0 years, 0 months, 0 days</t>
        </is>
      </c>
      <c r="DF11" s="159" t="inlineStr">
        <is>
          <t>15 years, 0 months, 28 days</t>
        </is>
      </c>
      <c r="DG11" s="159" t="inlineStr">
        <is>
          <t>15 years, 0 months, 28 days</t>
        </is>
      </c>
      <c r="DH11" s="159" t="n">
        <v>15.0767123287671</v>
      </c>
      <c r="DI11" s="159" t="inlineStr">
        <is>
          <t>Regtech</t>
        </is>
      </c>
      <c r="DJ11" s="159" t="inlineStr">
        <is>
          <t>iDEAL</t>
        </is>
      </c>
      <c r="DK11" s="159" t="inlineStr">
        <is>
          <t>Quality Assurance</t>
        </is>
      </c>
      <c r="DL11" s="159" t="inlineStr">
        <is>
          <t>Quality Assurance</t>
        </is>
      </c>
      <c r="DM11" s="159" t="inlineStr">
        <is>
          <t>No</t>
        </is>
      </c>
      <c r="DN11" s="159" t="inlineStr">
        <is>
          <t>Product/Project</t>
        </is>
      </c>
      <c r="DO11" s="159" t="inlineStr">
        <is>
          <t>Software Testing</t>
        </is>
      </c>
      <c r="DP11" s="159" t="inlineStr">
        <is>
          <t>Technical · BA, PM and QA</t>
        </is>
      </c>
      <c r="DQ11" s="159" t="inlineStr">
        <is>
          <t>Hybrid</t>
        </is>
      </c>
      <c r="DR11" s="159" t="n"/>
      <c r="DS11" s="159" t="inlineStr">
        <is>
          <t>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Skill Development: Planned training/certifications should be completed &gt;=80% within a year.</t>
        </is>
      </c>
      <c r="DT11" s="159" t="inlineStr">
        <is>
          <t>1. Defect Escape Rate should be &lt;= 5%, for all Q1 releases
2. Defect Detection Efficiency should be &gt;95% for the Q1 releases
3. Automation testing · test cases coverage should be &gt;=50% for Q1 releases</t>
        </is>
      </c>
      <c r="DU11" s="159" t="n">
        <v>3</v>
      </c>
      <c r="DV11" s="159" t="n"/>
      <c r="DW11" s="159" t="inlineStr">
        <is>
          <t>Same as per records</t>
        </is>
      </c>
      <c r="DX11" s="159" t="n"/>
      <c r="DY11" s="159" t="n">
        <v>3</v>
      </c>
      <c r="DZ11" s="159" t="inlineStr">
        <is>
          <t>Medium</t>
        </is>
      </c>
      <c r="EA11" s="159" t="inlineStr">
        <is>
          <t>Core Contributor</t>
        </is>
      </c>
      <c r="EB11" s="159" t="inlineStr">
        <is>
          <t>Not Ready</t>
        </is>
      </c>
      <c r="EC11" s="159" t="inlineStr">
        <is>
          <t>No</t>
        </is>
      </c>
      <c r="ED11" s="159" t="inlineStr">
        <is>
          <t>No</t>
        </is>
      </c>
      <c r="EE11" s="159" t="inlineStr">
        <is>
          <t>Training on the effective utilization of AI tools.</t>
        </is>
      </c>
      <c r="EF11" s="159" t="n"/>
    </row>
    <row r="12" ht="64" customHeight="1">
      <c r="A12" s="109" t="inlineStr">
        <is>
          <t>IRIS2271</t>
        </is>
      </c>
      <c r="B12" s="111" t="inlineStr">
        <is>
          <t>Atharv Ravindra Bokade</t>
        </is>
      </c>
      <c r="C12" s="111" t="inlineStr">
        <is>
          <t>Quality Assurance</t>
        </is>
      </c>
      <c r="D12" s="114" t="inlineStr">
        <is>
          <t>QA Engineer</t>
        </is>
      </c>
      <c r="E12" s="114" t="inlineStr">
        <is>
          <t>Senior QA Automation Engineer</t>
        </is>
      </c>
      <c r="F12" s="114" t="inlineStr">
        <is>
          <t>L2 – Trainee</t>
        </is>
      </c>
      <c r="G12" s="114" t="inlineStr">
        <is>
          <t>A3</t>
        </is>
      </c>
      <c r="H12" s="142" t="inlineStr">
        <is>
          <t>▲ Up</t>
        </is>
      </c>
      <c r="I12" s="111" t="inlineStr">
        <is>
          <t>Quality Assurance</t>
        </is>
      </c>
      <c r="J12" s="111" t="inlineStr">
        <is>
          <t>Test Automation</t>
        </is>
      </c>
      <c r="K12" s="111" t="inlineStr"/>
      <c r="L12" s="111" t="n">
        <v>20</v>
      </c>
      <c r="M12" s="139" t="inlineStr">
        <is>
          <t>P2</t>
        </is>
      </c>
      <c r="N12" s="115" t="inlineStr">
        <is>
          <t>Developing</t>
        </is>
      </c>
      <c r="O12" s="115" t="inlineStr">
        <is>
          <t>3 Apply</t>
        </is>
      </c>
      <c r="P12" s="115" t="inlineStr">
        <is>
          <t>2–4 yrs</t>
        </is>
      </c>
      <c r="Q12" s="115" t="inlineStr">
        <is>
          <t>3–5 · 2–5</t>
        </is>
      </c>
      <c r="R12" s="115" t="inlineStr">
        <is>
          <t>QA Engineer</t>
        </is>
      </c>
      <c r="S12" s="115" t="inlineStr">
        <is>
          <r>
            <rPr>
              <rFont val="Calibri"/>
              <b val="1"/>
              <sz val="10"/>
            </rPr>
            <t>Workiva:</t>
          </r>
          <r>
            <rPr>
              <rFont val="Calibri"/>
              <sz val="10"/>
            </rPr>
            <t xml:space="preserve"> SE · Broadridge India: SE · Nasdaq / AxiomSL: SE · IRIS Vs Market Benchmark — ISTQB certification pathway: Foundation</t>
          </r>
        </is>
      </c>
      <c r="T12" s="115" t="inlineStr">
        <is>
          <t>ISTQB Foundation → Advanced → Expert; SFIA testing</t>
        </is>
      </c>
      <c r="U12" s="115" t="inlineStr">
        <is>
          <t>Core 2 · Future 2 · Functional 3 · Leadership not scored</t>
        </is>
      </c>
      <c r="V12" s="158" t="n">
        <v>325</v>
      </c>
      <c r="W12" s="159" t="inlineStr">
        <is>
          <t>IRIS2271</t>
        </is>
      </c>
      <c r="X12" s="159" t="inlineStr">
        <is>
          <t>Employee</t>
        </is>
      </c>
      <c r="Y12" s="159" t="inlineStr">
        <is>
          <t>Active</t>
        </is>
      </c>
      <c r="Z12" s="159" t="inlineStr">
        <is>
          <t>Atharv Ravindra Bokade</t>
        </is>
      </c>
      <c r="AA12" s="244" t="n">
        <v>45449</v>
      </c>
      <c r="AB12" s="159" t="inlineStr">
        <is>
          <t>QA Engineer</t>
        </is>
      </c>
      <c r="AC12" s="159" t="inlineStr">
        <is>
          <t>B.E</t>
        </is>
      </c>
      <c r="AD12" s="159" t="inlineStr">
        <is>
          <t>Reena Gotal</t>
        </is>
      </c>
      <c r="AE12" s="159" t="inlineStr">
        <is>
          <t>N-4</t>
        </is>
      </c>
      <c r="AF12" s="159" t="inlineStr">
        <is>
          <t>Individual Contributor</t>
        </is>
      </c>
      <c r="AG12" s="159" t="inlineStr">
        <is>
          <t>0 years, 0 months, 0 days</t>
        </is>
      </c>
      <c r="AH12" s="159" t="inlineStr">
        <is>
          <t>2 years, 2 months, 19 days</t>
        </is>
      </c>
      <c r="AI12" s="159" t="inlineStr">
        <is>
          <t>Regtech</t>
        </is>
      </c>
      <c r="AJ12" s="159" t="inlineStr">
        <is>
          <t>iDEAL</t>
        </is>
      </c>
      <c r="AK12" s="159" t="inlineStr">
        <is>
          <t>Quality Assurance</t>
        </is>
      </c>
      <c r="AL12" s="159" t="inlineStr">
        <is>
          <t>Quality Assurance</t>
        </is>
      </c>
      <c r="AM12" s="159" t="inlineStr">
        <is>
          <t>Yes</t>
        </is>
      </c>
      <c r="AN12" s="159" t="inlineStr">
        <is>
          <t>Product/Project</t>
        </is>
      </c>
      <c r="AO12" s="159" t="inlineStr">
        <is>
          <t>Software Testing</t>
        </is>
      </c>
      <c r="AP12" s="159" t="inlineStr">
        <is>
          <t>Technical · BA, PM and QA</t>
        </is>
      </c>
      <c r="AQ12" s="159" t="n">
        <v>20</v>
      </c>
      <c r="AR12" s="159" t="inlineStr">
        <is>
          <t>Covered</t>
        </is>
      </c>
      <c r="AS12" s="159" t="n"/>
      <c r="AT12" s="159" t="n"/>
      <c r="AU12" s="159" t="n"/>
      <c r="AV12" s="159" t="n"/>
      <c r="AW12" s="159" t="n"/>
      <c r="AX12" s="159" t="n"/>
      <c r="AY12" s="159" t="n"/>
      <c r="AZ12" s="159" t="n"/>
      <c r="BA12" s="159" t="n"/>
      <c r="BB12" s="159" t="n"/>
      <c r="BC12" s="159" t="n"/>
      <c r="BD12" s="159" t="n"/>
      <c r="BE12" s="159" t="n"/>
      <c r="BF12" s="159" t="n"/>
      <c r="BG12" s="159" t="n"/>
      <c r="BH12" s="159" t="n"/>
      <c r="BI12" s="159" t="n"/>
      <c r="BJ12" s="159" t="n"/>
      <c r="BK12" s="159" t="n"/>
      <c r="BL12" s="159" t="n"/>
      <c r="BM12" s="159" t="n"/>
      <c r="BN12" s="159" t="n"/>
      <c r="BO12" s="159" t="n"/>
      <c r="BP12" s="159" t="n"/>
      <c r="BQ12" s="159" t="n"/>
      <c r="BR12" s="159" t="n"/>
      <c r="BS12" s="159" t="n"/>
      <c r="BT12" s="159" t="n"/>
      <c r="BU12" s="159" t="n"/>
      <c r="BV12" s="159" t="n"/>
      <c r="BW12" s="159" t="n"/>
      <c r="BX12" s="159" t="n"/>
      <c r="BY12" s="159" t="n"/>
      <c r="BZ12" s="159" t="n"/>
      <c r="CA12" s="159" t="n"/>
      <c r="CB12" s="159" t="n"/>
      <c r="CC12" s="159" t="n"/>
      <c r="CD12" s="159" t="n"/>
      <c r="CE12" s="159" t="n"/>
      <c r="CF12" s="159" t="n"/>
      <c r="CG12" s="159" t="n"/>
      <c r="CH12" s="159" t="n"/>
      <c r="CI12" s="159" t="n"/>
      <c r="CJ12" s="159" t="n"/>
      <c r="CK12" s="159" t="n"/>
      <c r="CL12" s="159" t="n"/>
      <c r="CM12" s="159" t="n"/>
      <c r="CN12" s="159" t="n"/>
      <c r="CO12" s="159" t="n"/>
      <c r="CP12" s="159" t="n"/>
      <c r="CQ12" s="159" t="inlineStr">
        <is>
          <t>IRIS2271</t>
        </is>
      </c>
      <c r="CR12" s="159" t="inlineStr">
        <is>
          <t>Employee</t>
        </is>
      </c>
      <c r="CS12" s="159" t="inlineStr">
        <is>
          <t>Active</t>
        </is>
      </c>
      <c r="CT12" s="159" t="inlineStr">
        <is>
          <t>Atharv Ravindra Bokade</t>
        </is>
      </c>
      <c r="CU12" s="160" t="n">
        <v>45449</v>
      </c>
      <c r="CV12" s="159" t="inlineStr">
        <is>
          <t>Trainee QA Engineer</t>
        </is>
      </c>
      <c r="CW12" s="159" t="inlineStr">
        <is>
          <t>Quality Assurance</t>
        </is>
      </c>
      <c r="CX12" s="159" t="inlineStr">
        <is>
          <t>Quality Engineering</t>
        </is>
      </c>
      <c r="CY12" s="159" t="inlineStr">
        <is>
          <t>Trainee QA Engineer</t>
        </is>
      </c>
      <c r="CZ12" s="159" t="inlineStr">
        <is>
          <t>L2 – Trainee</t>
        </is>
      </c>
      <c r="DA12" s="159" t="inlineStr">
        <is>
          <t>B.E</t>
        </is>
      </c>
      <c r="DB12" s="159" t="inlineStr">
        <is>
          <t>Reena Gotal</t>
        </is>
      </c>
      <c r="DC12" s="159" t="inlineStr">
        <is>
          <t>N-4</t>
        </is>
      </c>
      <c r="DD12" s="159" t="inlineStr">
        <is>
          <t>Individual Contributor</t>
        </is>
      </c>
      <c r="DE12" s="159" t="inlineStr">
        <is>
          <t>0 years, 0 months, 0 days</t>
        </is>
      </c>
      <c r="DF12" s="159" t="inlineStr">
        <is>
          <t>2 years, 0 months, 14 days</t>
        </is>
      </c>
      <c r="DG12" s="159" t="inlineStr">
        <is>
          <t>2 years, 0 months, 14 days</t>
        </is>
      </c>
      <c r="DH12" s="159" t="n"/>
      <c r="DI12" s="159" t="inlineStr">
        <is>
          <t>Regtech</t>
        </is>
      </c>
      <c r="DJ12" s="159" t="inlineStr">
        <is>
          <t>iDEAL</t>
        </is>
      </c>
      <c r="DK12" s="159" t="inlineStr">
        <is>
          <t>Quality Assurance</t>
        </is>
      </c>
      <c r="DL12" s="159" t="inlineStr">
        <is>
          <t>Quality Assurance</t>
        </is>
      </c>
      <c r="DM12" s="159" t="inlineStr">
        <is>
          <t>Yes</t>
        </is>
      </c>
      <c r="DN12" s="159" t="inlineStr">
        <is>
          <t>Product/Project</t>
        </is>
      </c>
      <c r="DO12" s="159" t="inlineStr">
        <is>
          <t>Software Testing</t>
        </is>
      </c>
      <c r="DP12" s="159" t="inlineStr">
        <is>
          <t>Technical · BA, PM and QA</t>
        </is>
      </c>
      <c r="DQ12" s="159" t="inlineStr">
        <is>
          <t>Work From Office - Turbhe</t>
        </is>
      </c>
      <c r="DR12" s="159" t="inlineStr">
        <is>
          <t>1. Take ownership of assigned testing modules by ensuring timely test execution, complete test coverage, and supporting successful releases throughout FY 2026–27. 
2. Strengthen application security testing capabilities by performing VAPT activities for assigned modules and identifying security vulnerabilities during the testing lifecycle. 
3. Improve testing efficiency by effectively utilizing AI-assisted tools to reduce test case preparation time and enhance the quality and consistency of test documentation. 
4. Enhance professional skills by successfully completing at least one industry-recognized software testing certification during FY 2026–27.</t>
        </is>
      </c>
      <c r="DS12" s="159"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DT12" s="159" t="inlineStr">
        <is>
          <t>1.Complete end-to-end testing activities for the Ideal 6.0 release within the planned timelines while ensuring quality deliverables. 
2. Learn API Automation and develop automated test scripts for at least 5–10 API test scenarios by the end of the quarter. 
3. Perform VAPT/security testing for assigned application modules and document identified vulnerabilities with appropriate recommendations. 
4. Continue utilizing AI-assisted tools to improve testing productivity and reduce test case preparation time for newly assigned modules.</t>
        </is>
      </c>
      <c r="DU12" s="159" t="n">
        <v>3</v>
      </c>
      <c r="DV12" s="159" t="n"/>
      <c r="DW12" s="159" t="inlineStr">
        <is>
          <t>Same as per records</t>
        </is>
      </c>
      <c r="DX12" s="159" t="n"/>
      <c r="DY12" s="159" t="n">
        <v>3</v>
      </c>
      <c r="DZ12" s="159" t="inlineStr">
        <is>
          <t>Medium</t>
        </is>
      </c>
      <c r="EA12" s="159" t="inlineStr">
        <is>
          <t>Core Contributor</t>
        </is>
      </c>
      <c r="EB12" s="159" t="inlineStr">
        <is>
          <t>Not Ready</t>
        </is>
      </c>
      <c r="EC12" s="159" t="inlineStr">
        <is>
          <t>No</t>
        </is>
      </c>
      <c r="ED12" s="159" t="inlineStr">
        <is>
          <t>No</t>
        </is>
      </c>
      <c r="EE12" s="159" t="inlineStr">
        <is>
          <t>XBRL Training, Training on the effective utilization of AI tools.</t>
        </is>
      </c>
      <c r="EF12" s="159" t="n"/>
    </row>
    <row r="13" ht="64" customHeight="1">
      <c r="A13" s="109" t="inlineStr">
        <is>
          <t>IRIS2479</t>
        </is>
      </c>
      <c r="B13" s="111" t="inlineStr">
        <is>
          <t>Rohan Kailas Aher</t>
        </is>
      </c>
      <c r="C13" s="111" t="inlineStr">
        <is>
          <t>Quality Assurance</t>
        </is>
      </c>
      <c r="D13" s="114" t="inlineStr">
        <is>
          <t>QA Engineer</t>
        </is>
      </c>
      <c r="E13" s="114" t="inlineStr">
        <is>
          <t>Senior QA Engineer</t>
        </is>
      </c>
      <c r="F13" s="114" t="inlineStr">
        <is>
          <t>L3 – Professional / Associate</t>
        </is>
      </c>
      <c r="G13" s="114" t="inlineStr">
        <is>
          <t>A3</t>
        </is>
      </c>
      <c r="H13" s="142" t="inlineStr">
        <is>
          <t>▲ Up</t>
        </is>
      </c>
      <c r="I13" s="111" t="inlineStr">
        <is>
          <t>Quality Assurance</t>
        </is>
      </c>
      <c r="J13" s="111" t="inlineStr">
        <is>
          <t>Functional &amp; Domain Testing</t>
        </is>
      </c>
      <c r="K13" s="111" t="inlineStr"/>
      <c r="L13" s="111" t="n">
        <v>20</v>
      </c>
      <c r="M13" s="139" t="inlineStr">
        <is>
          <t>P2</t>
        </is>
      </c>
      <c r="N13" s="115" t="inlineStr">
        <is>
          <t>Developing</t>
        </is>
      </c>
      <c r="O13" s="115" t="inlineStr">
        <is>
          <t>3 Apply</t>
        </is>
      </c>
      <c r="P13" s="115" t="inlineStr">
        <is>
          <t>2–4 yrs</t>
        </is>
      </c>
      <c r="Q13" s="115" t="inlineStr">
        <is>
          <t>3–5 · 2–5</t>
        </is>
      </c>
      <c r="R13" s="115" t="inlineStr">
        <is>
          <t>QA Engineer</t>
        </is>
      </c>
      <c r="S13" s="115" t="inlineStr">
        <is>
          <r>
            <rPr>
              <rFont val="Calibri"/>
              <b val="1"/>
              <sz val="10"/>
            </rPr>
            <t>Workiva:</t>
          </r>
          <r>
            <rPr>
              <rFont val="Calibri"/>
              <sz val="10"/>
            </rPr>
            <t xml:space="preserve"> SE · Broadridge India: SE · Nasdaq / AxiomSL: SE · IRIS Vs Market Benchmark — ISTQB certification pathway: Foundation</t>
          </r>
        </is>
      </c>
      <c r="T13" s="115" t="inlineStr">
        <is>
          <t>ISTQB Foundation → Advanced → Expert; SFIA testing</t>
        </is>
      </c>
      <c r="U13" s="115" t="inlineStr">
        <is>
          <t>Core 2 · Future 2 · Functional 3 · Leadership not scored</t>
        </is>
      </c>
      <c r="V13" s="158" t="n">
        <v>454</v>
      </c>
      <c r="W13" s="159" t="inlineStr">
        <is>
          <t>IRIS2479</t>
        </is>
      </c>
      <c r="X13" s="159" t="inlineStr">
        <is>
          <t>Employee</t>
        </is>
      </c>
      <c r="Y13" s="159" t="inlineStr">
        <is>
          <t>Active</t>
        </is>
      </c>
      <c r="Z13" s="159" t="inlineStr">
        <is>
          <t>Rohan Kailas Aher</t>
        </is>
      </c>
      <c r="AA13" s="244" t="n">
        <v>46072</v>
      </c>
      <c r="AB13" s="159" t="inlineStr">
        <is>
          <t>QA Engineer</t>
        </is>
      </c>
      <c r="AC13" s="159" t="inlineStr">
        <is>
          <t>Civil engineering</t>
        </is>
      </c>
      <c r="AD13" s="159" t="inlineStr">
        <is>
          <t>Reena Gotal</t>
        </is>
      </c>
      <c r="AE13" s="159" t="inlineStr">
        <is>
          <t>N-4</t>
        </is>
      </c>
      <c r="AF13" s="159" t="inlineStr">
        <is>
          <t>Individual Contributor</t>
        </is>
      </c>
      <c r="AG13" s="159" t="inlineStr">
        <is>
          <t>3 years, 0 months, 0 days</t>
        </is>
      </c>
      <c r="AH13" s="159" t="inlineStr">
        <is>
          <t>0 years, 6 months, 6 days</t>
        </is>
      </c>
      <c r="AI13" s="159" t="inlineStr">
        <is>
          <t>Regtech</t>
        </is>
      </c>
      <c r="AJ13" s="159" t="inlineStr">
        <is>
          <t>iDEAL</t>
        </is>
      </c>
      <c r="AK13" s="159" t="inlineStr">
        <is>
          <t>Quality Assurance</t>
        </is>
      </c>
      <c r="AL13" s="159" t="inlineStr">
        <is>
          <t>Quality Assurance</t>
        </is>
      </c>
      <c r="AM13" s="159" t="inlineStr">
        <is>
          <t>No</t>
        </is>
      </c>
      <c r="AN13" s="159" t="inlineStr">
        <is>
          <t>Product/Project</t>
        </is>
      </c>
      <c r="AO13" s="159" t="inlineStr">
        <is>
          <t>Software Testing</t>
        </is>
      </c>
      <c r="AP13" s="159" t="inlineStr">
        <is>
          <t>Technical · BA, PM and QA</t>
        </is>
      </c>
      <c r="AQ13" s="159" t="n">
        <v>20</v>
      </c>
      <c r="AR13" s="159" t="inlineStr">
        <is>
          <t>Covered</t>
        </is>
      </c>
      <c r="AS13" s="159" t="n"/>
      <c r="AT13" s="159" t="n"/>
      <c r="AU13" s="159" t="n"/>
      <c r="AV13" s="159" t="n"/>
      <c r="AW13" s="159" t="n"/>
      <c r="AX13" s="159" t="n"/>
      <c r="AY13" s="159" t="n"/>
      <c r="AZ13" s="159" t="n"/>
      <c r="BA13" s="159" t="n"/>
      <c r="BB13" s="159" t="n"/>
      <c r="BC13" s="159" t="n"/>
      <c r="BD13" s="159" t="n"/>
      <c r="BE13" s="159" t="n"/>
      <c r="BF13" s="159" t="n"/>
      <c r="BG13" s="159" t="n"/>
      <c r="BH13" s="159" t="n"/>
      <c r="BI13" s="159" t="n"/>
      <c r="BJ13" s="159" t="n"/>
      <c r="BK13" s="159" t="n"/>
      <c r="BL13" s="159" t="n"/>
      <c r="BM13" s="159" t="n"/>
      <c r="BN13" s="159" t="n"/>
      <c r="BO13" s="159" t="n"/>
      <c r="BP13" s="159" t="n"/>
      <c r="BQ13" s="159" t="n"/>
      <c r="BR13" s="159" t="n"/>
      <c r="BS13" s="159" t="n"/>
      <c r="BT13" s="159" t="n"/>
      <c r="BU13" s="159" t="n"/>
      <c r="BV13" s="159" t="n"/>
      <c r="BW13" s="159" t="n"/>
      <c r="BX13" s="159" t="n"/>
      <c r="BY13" s="159" t="n"/>
      <c r="BZ13" s="159" t="n"/>
      <c r="CA13" s="159" t="n"/>
      <c r="CB13" s="159" t="n"/>
      <c r="CC13" s="159" t="n"/>
      <c r="CD13" s="159" t="n"/>
      <c r="CE13" s="159" t="n"/>
      <c r="CF13" s="159" t="n"/>
      <c r="CG13" s="159" t="n"/>
      <c r="CH13" s="159" t="n"/>
      <c r="CI13" s="159" t="n"/>
      <c r="CJ13" s="159" t="n"/>
      <c r="CK13" s="159" t="n"/>
      <c r="CL13" s="159" t="n"/>
      <c r="CM13" s="159" t="n"/>
      <c r="CN13" s="159" t="n"/>
      <c r="CO13" s="159" t="n"/>
      <c r="CP13" s="159" t="n"/>
      <c r="CQ13" s="159" t="inlineStr">
        <is>
          <t>IRIS2479</t>
        </is>
      </c>
      <c r="CR13" s="159" t="inlineStr">
        <is>
          <t>Employee</t>
        </is>
      </c>
      <c r="CS13" s="159" t="inlineStr">
        <is>
          <t>Active</t>
        </is>
      </c>
      <c r="CT13" s="159" t="inlineStr">
        <is>
          <t>Rohan Kailas Aher</t>
        </is>
      </c>
      <c r="CU13" s="160" t="n">
        <v>46072</v>
      </c>
      <c r="CV13" s="159" t="inlineStr">
        <is>
          <t>QA Engineer</t>
        </is>
      </c>
      <c r="CW13" s="159" t="inlineStr">
        <is>
          <t>Quality Assurance</t>
        </is>
      </c>
      <c r="CX13" s="159" t="inlineStr">
        <is>
          <t>Quality Engineering</t>
        </is>
      </c>
      <c r="CY13" s="159" t="inlineStr">
        <is>
          <t>QA Engineer</t>
        </is>
      </c>
      <c r="CZ13" s="159" t="inlineStr">
        <is>
          <t>L3 – Professional / Associate</t>
        </is>
      </c>
      <c r="DA13" s="159" t="inlineStr">
        <is>
          <t>Civil engineering</t>
        </is>
      </c>
      <c r="DB13" s="159" t="inlineStr">
        <is>
          <t>Reena Gotal</t>
        </is>
      </c>
      <c r="DC13" s="159" t="inlineStr">
        <is>
          <t>N-4</t>
        </is>
      </c>
      <c r="DD13" s="159" t="inlineStr">
        <is>
          <t>Individual Contributor</t>
        </is>
      </c>
      <c r="DE13" s="159" t="inlineStr">
        <is>
          <t>3 years, 0 months, 0 days</t>
        </is>
      </c>
      <c r="DF13" s="159" t="inlineStr">
        <is>
          <t>0 years, 4 months, 1 days</t>
        </is>
      </c>
      <c r="DG13" s="159" t="inlineStr">
        <is>
          <t>3 years, 4 months, 1 days</t>
        </is>
      </c>
      <c r="DH13" s="159" t="n"/>
      <c r="DI13" s="159" t="inlineStr">
        <is>
          <t>Regtech</t>
        </is>
      </c>
      <c r="DJ13" s="159" t="inlineStr">
        <is>
          <t>iDEAL</t>
        </is>
      </c>
      <c r="DK13" s="159" t="inlineStr">
        <is>
          <t>Quality Assurance</t>
        </is>
      </c>
      <c r="DL13" s="159" t="inlineStr">
        <is>
          <t>Quality Assurance</t>
        </is>
      </c>
      <c r="DM13" s="159" t="inlineStr">
        <is>
          <t>No</t>
        </is>
      </c>
      <c r="DN13" s="159" t="inlineStr">
        <is>
          <t>Product/Project</t>
        </is>
      </c>
      <c r="DO13" s="159" t="inlineStr">
        <is>
          <t>Software Testing</t>
        </is>
      </c>
      <c r="DP13" s="159" t="inlineStr">
        <is>
          <t>Technical · BA, PM and QA</t>
        </is>
      </c>
      <c r="DQ13" s="159" t="inlineStr">
        <is>
          <t>Work From Office - Turbhe</t>
        </is>
      </c>
      <c r="DR13" s="159" t="inlineStr">
        <is>
          <t>1. Deliver high-quality manual testing and improve product quality.
2. Learn and implement automation testing in the project.
3. Improve efficiency using AI tools for requirement understanding and test case writing.
4. Enhance testing knowledge and contribute to faster releases.</t>
        </is>
      </c>
      <c r="DS13" s="159"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DT13" s="159" t="inlineStr">
        <is>
          <t>1. Continue manual testing with better quality and coverage.
2. Learn and implement automation for selected test scenarios.
3. Use AI tools to improve efficiency in requirement analysis and test case writing.
4. Improve testing speed and reduce manual effort.</t>
        </is>
      </c>
      <c r="DU13" s="159" t="n">
        <v>3</v>
      </c>
      <c r="DV13" s="159" t="n"/>
      <c r="DW13" s="159" t="inlineStr">
        <is>
          <t>Same as per records</t>
        </is>
      </c>
      <c r="DX13" s="159" t="n"/>
      <c r="DY13" s="159" t="n">
        <v>3</v>
      </c>
      <c r="DZ13" s="159" t="inlineStr">
        <is>
          <t>Medium</t>
        </is>
      </c>
      <c r="EA13" s="159" t="inlineStr">
        <is>
          <t>Core Contributor</t>
        </is>
      </c>
      <c r="EB13" s="159" t="inlineStr">
        <is>
          <t>Not Ready</t>
        </is>
      </c>
      <c r="EC13" s="159" t="inlineStr">
        <is>
          <t>No</t>
        </is>
      </c>
      <c r="ED13" s="159" t="inlineStr">
        <is>
          <t>No</t>
        </is>
      </c>
      <c r="EE13" s="159" t="inlineStr">
        <is>
          <t>XBRL Training, Training on the effective utilization of AI tools.</t>
        </is>
      </c>
      <c r="EF13" s="159" t="n"/>
    </row>
    <row r="14" ht="64" customHeight="1">
      <c r="A14" s="109" t="inlineStr">
        <is>
          <t>IRIS2437</t>
        </is>
      </c>
      <c r="B14" s="111" t="inlineStr">
        <is>
          <t>Shubham Kamble</t>
        </is>
      </c>
      <c r="C14" s="111" t="inlineStr">
        <is>
          <t>Quality Assurance</t>
        </is>
      </c>
      <c r="D14" s="114" t="inlineStr">
        <is>
          <t>QA Automation Engineer</t>
        </is>
      </c>
      <c r="E14" s="114" t="inlineStr">
        <is>
          <t>Senior QA Automation Engineer</t>
        </is>
      </c>
      <c r="F14" s="114" t="inlineStr">
        <is>
          <t>L3 – Professional / Associate</t>
        </is>
      </c>
      <c r="G14" s="114" t="inlineStr">
        <is>
          <t>A3</t>
        </is>
      </c>
      <c r="H14" s="142" t="inlineStr">
        <is>
          <t>▲ Up</t>
        </is>
      </c>
      <c r="I14" s="111" t="inlineStr">
        <is>
          <t>Quality Assurance</t>
        </is>
      </c>
      <c r="J14" s="111" t="inlineStr">
        <is>
          <t>Test Automation</t>
        </is>
      </c>
      <c r="K14" s="111" t="inlineStr"/>
      <c r="L14" s="111" t="n">
        <v>20</v>
      </c>
      <c r="M14" s="139" t="inlineStr">
        <is>
          <t>P2</t>
        </is>
      </c>
      <c r="N14" s="115" t="inlineStr">
        <is>
          <t>Developing</t>
        </is>
      </c>
      <c r="O14" s="115" t="inlineStr">
        <is>
          <t>3 Apply</t>
        </is>
      </c>
      <c r="P14" s="115" t="inlineStr">
        <is>
          <t>2–4 yrs</t>
        </is>
      </c>
      <c r="Q14" s="115" t="inlineStr">
        <is>
          <t>3–5 · 2–5</t>
        </is>
      </c>
      <c r="R14" s="115" t="inlineStr">
        <is>
          <t>QA Engineer</t>
        </is>
      </c>
      <c r="S14" s="115" t="inlineStr">
        <is>
          <r>
            <rPr>
              <rFont val="Calibri"/>
              <b val="1"/>
              <sz val="10"/>
            </rPr>
            <t>Workiva:</t>
          </r>
          <r>
            <rPr>
              <rFont val="Calibri"/>
              <sz val="10"/>
            </rPr>
            <t xml:space="preserve"> SE · Broadridge India: SE · Nasdaq / AxiomSL: SE · IRIS Vs Market Benchmark — ISTQB certification pathway: Foundation</t>
          </r>
        </is>
      </c>
      <c r="T14" s="115" t="inlineStr">
        <is>
          <t>ISTQB Foundation → Advanced → Expert; SFIA testing</t>
        </is>
      </c>
      <c r="U14" s="115" t="inlineStr">
        <is>
          <t>Core 2 · Future 2 · Functional 3 · Leadership not scored</t>
        </is>
      </c>
      <c r="V14" s="158" t="n">
        <v>405</v>
      </c>
      <c r="W14" s="159" t="inlineStr">
        <is>
          <t>IRIS2437</t>
        </is>
      </c>
      <c r="X14" s="159" t="inlineStr">
        <is>
          <t>Employee</t>
        </is>
      </c>
      <c r="Y14" s="159" t="inlineStr">
        <is>
          <t>Active</t>
        </is>
      </c>
      <c r="Z14" s="159" t="inlineStr">
        <is>
          <t>Shubham Kamble</t>
        </is>
      </c>
      <c r="AA14" s="244" t="n">
        <v>45944</v>
      </c>
      <c r="AB14" s="159" t="inlineStr">
        <is>
          <t>QA Automation Engineer</t>
        </is>
      </c>
      <c r="AC14" s="159" t="inlineStr">
        <is>
          <t>B.Tech</t>
        </is>
      </c>
      <c r="AD14" s="159" t="inlineStr">
        <is>
          <t>Reena Gotal</t>
        </is>
      </c>
      <c r="AE14" s="159" t="inlineStr">
        <is>
          <t>N-4</t>
        </is>
      </c>
      <c r="AF14" s="159" t="inlineStr">
        <is>
          <t>Individual Contributor</t>
        </is>
      </c>
      <c r="AG14" s="159" t="inlineStr">
        <is>
          <t>3 years, 5 months, 0 days</t>
        </is>
      </c>
      <c r="AH14" s="159" t="inlineStr">
        <is>
          <t>0 years, 10 months, 11 days</t>
        </is>
      </c>
      <c r="AI14" s="159" t="inlineStr">
        <is>
          <t>Regtech</t>
        </is>
      </c>
      <c r="AJ14" s="159" t="inlineStr">
        <is>
          <t>iDEAL</t>
        </is>
      </c>
      <c r="AK14" s="159" t="inlineStr">
        <is>
          <t>Quality Assurance</t>
        </is>
      </c>
      <c r="AL14" s="159" t="inlineStr">
        <is>
          <t>Quality Assurance</t>
        </is>
      </c>
      <c r="AM14" s="159" t="inlineStr">
        <is>
          <t>No</t>
        </is>
      </c>
      <c r="AN14" s="159" t="inlineStr">
        <is>
          <t>Product/Project</t>
        </is>
      </c>
      <c r="AO14" s="159" t="inlineStr">
        <is>
          <t>Software Testing</t>
        </is>
      </c>
      <c r="AP14" s="159" t="inlineStr">
        <is>
          <t>Technical · BA, PM and QA</t>
        </is>
      </c>
      <c r="AQ14" s="159" t="n">
        <v>20</v>
      </c>
      <c r="AR14" s="159" t="inlineStr">
        <is>
          <t>Covered</t>
        </is>
      </c>
      <c r="AS14" s="159" t="n"/>
      <c r="AT14" s="159" t="n"/>
      <c r="AU14" s="159" t="n"/>
      <c r="AV14" s="159" t="n"/>
      <c r="AW14" s="159" t="n"/>
      <c r="AX14" s="159" t="n"/>
      <c r="AY14" s="159" t="n"/>
      <c r="AZ14" s="159" t="n"/>
      <c r="BA14" s="159" t="n"/>
      <c r="BB14" s="159" t="n"/>
      <c r="BC14" s="159" t="n"/>
      <c r="BD14" s="159" t="n"/>
      <c r="BE14" s="159" t="n"/>
      <c r="BF14" s="159" t="n"/>
      <c r="BG14" s="159" t="n"/>
      <c r="BH14" s="159" t="n"/>
      <c r="BI14" s="159" t="n"/>
      <c r="BJ14" s="159" t="n"/>
      <c r="BK14" s="159" t="n"/>
      <c r="BL14" s="159" t="n"/>
      <c r="BM14" s="159" t="n"/>
      <c r="BN14" s="159" t="n"/>
      <c r="BO14" s="159" t="n"/>
      <c r="BP14" s="159" t="n"/>
      <c r="BQ14" s="159" t="n"/>
      <c r="BR14" s="159" t="n"/>
      <c r="BS14" s="159" t="n"/>
      <c r="BT14" s="159" t="n"/>
      <c r="BU14" s="159" t="n"/>
      <c r="BV14" s="159" t="n"/>
      <c r="BW14" s="159" t="n"/>
      <c r="BX14" s="159" t="n"/>
      <c r="BY14" s="159" t="n"/>
      <c r="BZ14" s="159" t="n"/>
      <c r="CA14" s="159" t="n"/>
      <c r="CB14" s="159" t="n"/>
      <c r="CC14" s="159" t="n"/>
      <c r="CD14" s="159" t="n"/>
      <c r="CE14" s="159" t="n"/>
      <c r="CF14" s="159" t="n"/>
      <c r="CG14" s="159" t="n"/>
      <c r="CH14" s="159" t="n"/>
      <c r="CI14" s="159" t="n"/>
      <c r="CJ14" s="159" t="n"/>
      <c r="CK14" s="159" t="n"/>
      <c r="CL14" s="159" t="n"/>
      <c r="CM14" s="159" t="n"/>
      <c r="CN14" s="159" t="n"/>
      <c r="CO14" s="159" t="n"/>
      <c r="CP14" s="159" t="n"/>
      <c r="CQ14" s="159" t="inlineStr">
        <is>
          <t>IRIS2437</t>
        </is>
      </c>
      <c r="CR14" s="159" t="inlineStr">
        <is>
          <t>Employee</t>
        </is>
      </c>
      <c r="CS14" s="159" t="inlineStr">
        <is>
          <t>Active</t>
        </is>
      </c>
      <c r="CT14" s="159" t="inlineStr">
        <is>
          <t>Shubham Kamble</t>
        </is>
      </c>
      <c r="CU14" s="160" t="n">
        <v>45944</v>
      </c>
      <c r="CV14" s="159" t="inlineStr">
        <is>
          <t>QA Automation Engineer</t>
        </is>
      </c>
      <c r="CW14" s="159" t="inlineStr">
        <is>
          <t>Quality Assurance</t>
        </is>
      </c>
      <c r="CX14" s="159" t="inlineStr">
        <is>
          <t>QA Automation</t>
        </is>
      </c>
      <c r="CY14" s="159" t="inlineStr">
        <is>
          <t>QA Automation Engineer</t>
        </is>
      </c>
      <c r="CZ14" s="159" t="inlineStr">
        <is>
          <t>L3 – Professional / Associate</t>
        </is>
      </c>
      <c r="DA14" s="159" t="inlineStr">
        <is>
          <t>B.Tech</t>
        </is>
      </c>
      <c r="DB14" s="159" t="inlineStr">
        <is>
          <t>Reena Gotal</t>
        </is>
      </c>
      <c r="DC14" s="159" t="inlineStr">
        <is>
          <t>N-4</t>
        </is>
      </c>
      <c r="DD14" s="159" t="inlineStr">
        <is>
          <t>Individual Contributor</t>
        </is>
      </c>
      <c r="DE14" s="159" t="inlineStr">
        <is>
          <t>3 years, 5 months, 0 days</t>
        </is>
      </c>
      <c r="DF14" s="159" t="inlineStr">
        <is>
          <t>0 years, 8 months, 6 days</t>
        </is>
      </c>
      <c r="DG14" s="159" t="inlineStr">
        <is>
          <t>4 years, 1 months, 6 days</t>
        </is>
      </c>
      <c r="DH14" s="159" t="n"/>
      <c r="DI14" s="159" t="inlineStr">
        <is>
          <t>Regtech</t>
        </is>
      </c>
      <c r="DJ14" s="159" t="inlineStr">
        <is>
          <t>iDEAL</t>
        </is>
      </c>
      <c r="DK14" s="159" t="inlineStr">
        <is>
          <t>Quality Assurance</t>
        </is>
      </c>
      <c r="DL14" s="159" t="inlineStr">
        <is>
          <t>Quality Assurance</t>
        </is>
      </c>
      <c r="DM14" s="159" t="inlineStr">
        <is>
          <t>No</t>
        </is>
      </c>
      <c r="DN14" s="159" t="inlineStr">
        <is>
          <t>Product/Project</t>
        </is>
      </c>
      <c r="DO14" s="159" t="inlineStr">
        <is>
          <t>Software Testing</t>
        </is>
      </c>
      <c r="DP14" s="159" t="inlineStr">
        <is>
          <t>Technical · BA, PM and QA</t>
        </is>
      </c>
      <c r="DQ14" s="159" t="inlineStr">
        <is>
          <t>Work From Office - Turbhe</t>
        </is>
      </c>
      <c r="DR14" s="159" t="inlineStr">
        <is>
          <t>1. Deliver scalable automation foundation for current and future iDeal versions.
Convert maximum repetitive regression scenarios from manual to automation.
Maintain stable, reusable framework with measurable reduction in regression effort and execution time.
2. Ensure cross-product framework reuse and reduced automation development cycle for new projects/releases.
3. Provide consistent test coverage across all supported versions.
Improve release confidence through a balanced manual + automated QA strategy.
4. Complete AI Testing certification · target by Mar 2027.
Institutionalize AI-assisted QA practices · prompt standards, review checklist, use cases.
Demonstrate measurable gains in productivity, test design speed, and troubleshooting turnaround time.
5. Run periodic unattended regression suites with actionable reporting.
Improve feedback cycle for QA and stakeholders through CI-driven test visibility.
6. Identify and automate additional high-volume scenarios to improve operational efficiency and reduce manual dependency.</t>
        </is>
      </c>
      <c r="DS14" s="159"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DT14" s="159" t="inlineStr">
        <is>
          <t>1. Enhance Playwright Automation Framework
Build and maintain a scalable, reusable Playwright · Java automation framework for iDEAL applications with improved coverage, maintainability, and documentation.
2. Prepare Automation for Future Releases
Develop reusable automation standards and accelerators to support upcoming iDEAL releases and the CIC project.
3. Ensure Product Quality
Perform end-to-end manual and regression testing for iDEAL versions, verify defects, and increase automation coverage for regression scenarios.
4. Leverage AI for QA Productivity
Apply AI tools, prompting techniques, and LLM concepts to improve testing efficiency, automation development, and defect analysis.
5. Implement CI/CD Automation
Configure Jenkins-based automated regression execution with centralized reporting for all supported iDEAL versions.
6. Develop Scalable UI &amp; API Automation
Create reusable UI and API automation solutions for complex business workflows to improve automation efficiency and performance.</t>
        </is>
      </c>
      <c r="DU14" s="159" t="n">
        <v>3</v>
      </c>
      <c r="DV14" s="159" t="n"/>
      <c r="DW14" s="159" t="inlineStr">
        <is>
          <t>Same as per records</t>
        </is>
      </c>
      <c r="DX14" s="159" t="n"/>
      <c r="DY14" s="159" t="n">
        <v>3</v>
      </c>
      <c r="DZ14" s="159" t="inlineStr">
        <is>
          <t>Medium</t>
        </is>
      </c>
      <c r="EA14" s="159" t="inlineStr">
        <is>
          <t>Emerging Talent</t>
        </is>
      </c>
      <c r="EB14" s="159" t="inlineStr">
        <is>
          <t>Not Ready</t>
        </is>
      </c>
      <c r="EC14" s="159" t="inlineStr">
        <is>
          <t>No</t>
        </is>
      </c>
      <c r="ED14" s="159" t="inlineStr">
        <is>
          <t>No</t>
        </is>
      </c>
      <c r="EE14" s="159" t="inlineStr">
        <is>
          <t>XBRL Training, Training on the effective utilization of AI tools.</t>
        </is>
      </c>
      <c r="EF14" s="159" t="n"/>
    </row>
    <row r="15" ht="64" customHeight="1">
      <c r="A15" s="109" t="inlineStr">
        <is>
          <t>IRIS2522</t>
        </is>
      </c>
      <c r="B15" s="111" t="inlineStr">
        <is>
          <t>Tulasiram Chand</t>
        </is>
      </c>
      <c r="C15" s="111" t="inlineStr">
        <is>
          <t>Quality Assurance</t>
        </is>
      </c>
      <c r="D15" s="114" t="inlineStr">
        <is>
          <t>QA Automation Engineer</t>
        </is>
      </c>
      <c r="E15" s="114" t="inlineStr">
        <is>
          <t>Senior QA Automation Engineer</t>
        </is>
      </c>
      <c r="F15" s="114" t="inlineStr">
        <is>
          <t>L3 – Professional / Associate</t>
        </is>
      </c>
      <c r="G15" s="114" t="inlineStr">
        <is>
          <t>A3</t>
        </is>
      </c>
      <c r="H15" s="142" t="inlineStr">
        <is>
          <t>▲ Up</t>
        </is>
      </c>
      <c r="I15" s="111" t="inlineStr">
        <is>
          <t>Quality Assurance</t>
        </is>
      </c>
      <c r="J15" s="111" t="inlineStr">
        <is>
          <t>Test Automation</t>
        </is>
      </c>
      <c r="K15" s="111" t="inlineStr"/>
      <c r="L15" s="111" t="n">
        <v>20</v>
      </c>
      <c r="M15" s="139" t="inlineStr">
        <is>
          <t>P2</t>
        </is>
      </c>
      <c r="N15" s="115" t="inlineStr">
        <is>
          <t>Developing</t>
        </is>
      </c>
      <c r="O15" s="115" t="inlineStr">
        <is>
          <t>3 Apply</t>
        </is>
      </c>
      <c r="P15" s="115" t="inlineStr">
        <is>
          <t>2–4 yrs</t>
        </is>
      </c>
      <c r="Q15" s="115" t="inlineStr">
        <is>
          <t>3–5 · 2–5</t>
        </is>
      </c>
      <c r="R15" s="115" t="inlineStr">
        <is>
          <t>QA Engineer</t>
        </is>
      </c>
      <c r="S15" s="115" t="inlineStr">
        <is>
          <r>
            <rPr>
              <rFont val="Calibri"/>
              <b val="1"/>
              <sz val="10"/>
            </rPr>
            <t>Workiva:</t>
          </r>
          <r>
            <rPr>
              <rFont val="Calibri"/>
              <sz val="10"/>
            </rPr>
            <t xml:space="preserve"> SE · Broadridge India: SE · Nasdaq / AxiomSL: SE · IRIS Vs Market Benchmark — ISTQB certification pathway: Foundation</t>
          </r>
        </is>
      </c>
      <c r="T15" s="115" t="inlineStr">
        <is>
          <t>ISTQB Foundation → Advanced → Expert; SFIA testing</t>
        </is>
      </c>
      <c r="U15" s="115" t="inlineStr">
        <is>
          <t>Core 2 · Future 2 · Functional 3 · Leadership not scored</t>
        </is>
      </c>
      <c r="V15" s="158" t="n">
        <v>492</v>
      </c>
      <c r="W15" s="159" t="inlineStr">
        <is>
          <t>IRIS2522</t>
        </is>
      </c>
      <c r="X15" s="159" t="inlineStr">
        <is>
          <t>Employee</t>
        </is>
      </c>
      <c r="Y15" s="159" t="inlineStr">
        <is>
          <t>Active</t>
        </is>
      </c>
      <c r="Z15" s="159" t="inlineStr">
        <is>
          <t>Tulasiram Chand</t>
        </is>
      </c>
      <c r="AA15" s="244" t="n">
        <v>46128</v>
      </c>
      <c r="AB15" s="159" t="inlineStr">
        <is>
          <t>QA Automation Engineer</t>
        </is>
      </c>
      <c r="AC15" s="159" t="inlineStr">
        <is>
          <t>MCA</t>
        </is>
      </c>
      <c r="AD15" s="159" t="inlineStr">
        <is>
          <t>Reena Gotal</t>
        </is>
      </c>
      <c r="AE15" s="159" t="inlineStr">
        <is>
          <t>N-4</t>
        </is>
      </c>
      <c r="AF15" s="159" t="inlineStr">
        <is>
          <t>Individual Contributor</t>
        </is>
      </c>
      <c r="AG15" s="159" t="inlineStr">
        <is>
          <t>4 years, 0 months, 0 days</t>
        </is>
      </c>
      <c r="AH15" s="159" t="inlineStr">
        <is>
          <t>0 years, 4 months, 9 days</t>
        </is>
      </c>
      <c r="AI15" s="159" t="inlineStr">
        <is>
          <t>Regtech</t>
        </is>
      </c>
      <c r="AJ15" s="159" t="inlineStr">
        <is>
          <t>iDEAL</t>
        </is>
      </c>
      <c r="AK15" s="159" t="inlineStr">
        <is>
          <t>Quality Assurance</t>
        </is>
      </c>
      <c r="AL15" s="159" t="inlineStr">
        <is>
          <t>Quality Assurance</t>
        </is>
      </c>
      <c r="AM15" s="159" t="inlineStr">
        <is>
          <t>No</t>
        </is>
      </c>
      <c r="AN15" s="159" t="inlineStr">
        <is>
          <t>Product/Project</t>
        </is>
      </c>
      <c r="AO15" s="159" t="inlineStr">
        <is>
          <t>Software Testing</t>
        </is>
      </c>
      <c r="AP15" s="159" t="inlineStr">
        <is>
          <t>Technical · BA, PM and QA</t>
        </is>
      </c>
      <c r="AQ15" s="159" t="n">
        <v>20</v>
      </c>
      <c r="AR15" s="159" t="inlineStr">
        <is>
          <t>Covered</t>
        </is>
      </c>
      <c r="AS15" s="159" t="n"/>
      <c r="AT15" s="159" t="n"/>
      <c r="AU15" s="159" t="n"/>
      <c r="AV15" s="159" t="n"/>
      <c r="AW15" s="159" t="n"/>
      <c r="AX15" s="159" t="n"/>
      <c r="AY15" s="159" t="n"/>
      <c r="AZ15" s="159" t="n"/>
      <c r="BA15" s="159" t="n"/>
      <c r="BB15" s="159" t="n"/>
      <c r="BC15" s="159" t="n"/>
      <c r="BD15" s="159" t="n"/>
      <c r="BE15" s="159" t="n"/>
      <c r="BF15" s="159" t="n"/>
      <c r="BG15" s="159" t="n"/>
      <c r="BH15" s="159" t="n"/>
      <c r="BI15" s="159" t="n"/>
      <c r="BJ15" s="159" t="n"/>
      <c r="BK15" s="159" t="n"/>
      <c r="BL15" s="159" t="n"/>
      <c r="BM15" s="159" t="n"/>
      <c r="BN15" s="159" t="n"/>
      <c r="BO15" s="159" t="n"/>
      <c r="BP15" s="159" t="n"/>
      <c r="BQ15" s="159" t="n"/>
      <c r="BR15" s="159" t="n"/>
      <c r="BS15" s="159" t="n"/>
      <c r="BT15" s="159" t="n"/>
      <c r="BU15" s="159" t="n"/>
      <c r="BV15" s="159" t="n"/>
      <c r="BW15" s="159" t="n"/>
      <c r="BX15" s="159" t="n"/>
      <c r="BY15" s="159" t="n"/>
      <c r="BZ15" s="159" t="n"/>
      <c r="CA15" s="159" t="n"/>
      <c r="CB15" s="159" t="n"/>
      <c r="CC15" s="159" t="n"/>
      <c r="CD15" s="159" t="n"/>
      <c r="CE15" s="159" t="n"/>
      <c r="CF15" s="159" t="n"/>
      <c r="CG15" s="159" t="n"/>
      <c r="CH15" s="159" t="n"/>
      <c r="CI15" s="159" t="n"/>
      <c r="CJ15" s="159" t="n"/>
      <c r="CK15" s="159" t="n"/>
      <c r="CL15" s="159" t="n"/>
      <c r="CM15" s="159" t="n"/>
      <c r="CN15" s="159" t="n"/>
      <c r="CO15" s="159" t="n"/>
      <c r="CP15" s="159" t="n"/>
      <c r="CQ15" s="159" t="inlineStr">
        <is>
          <t>IRIS2522</t>
        </is>
      </c>
      <c r="CR15" s="159" t="inlineStr">
        <is>
          <t>Employee</t>
        </is>
      </c>
      <c r="CS15" s="159" t="inlineStr">
        <is>
          <t>Active</t>
        </is>
      </c>
      <c r="CT15" s="159" t="inlineStr">
        <is>
          <t>Tulasiram Chand</t>
        </is>
      </c>
      <c r="CU15" s="160" t="n">
        <v>46128</v>
      </c>
      <c r="CV15" s="159" t="inlineStr">
        <is>
          <t>QA Automation Engineer</t>
        </is>
      </c>
      <c r="CW15" s="159" t="inlineStr">
        <is>
          <t>Quality Assurance</t>
        </is>
      </c>
      <c r="CX15" s="159" t="inlineStr">
        <is>
          <t>QA Automation</t>
        </is>
      </c>
      <c r="CY15" s="159" t="inlineStr">
        <is>
          <t>QA Automation Engineer</t>
        </is>
      </c>
      <c r="CZ15" s="159" t="inlineStr">
        <is>
          <t>L3 – Professional / Associate</t>
        </is>
      </c>
      <c r="DA15" s="159" t="inlineStr">
        <is>
          <t>MCA</t>
        </is>
      </c>
      <c r="DB15" s="159" t="inlineStr">
        <is>
          <t>Reena Gotal</t>
        </is>
      </c>
      <c r="DC15" s="159" t="inlineStr">
        <is>
          <t>N-4</t>
        </is>
      </c>
      <c r="DD15" s="159" t="inlineStr">
        <is>
          <t>Individual Contributor</t>
        </is>
      </c>
      <c r="DE15" s="159" t="inlineStr">
        <is>
          <t>4 years, 0 months, 0 days</t>
        </is>
      </c>
      <c r="DF15" s="159" t="inlineStr">
        <is>
          <t>0 years, 2 months, 4 days</t>
        </is>
      </c>
      <c r="DG15" s="159" t="inlineStr">
        <is>
          <t>4 years, 2 months, 4 days</t>
        </is>
      </c>
      <c r="DH15" s="159" t="n"/>
      <c r="DI15" s="159" t="inlineStr">
        <is>
          <t>Regtech</t>
        </is>
      </c>
      <c r="DJ15" s="159" t="inlineStr">
        <is>
          <t>iDEAL</t>
        </is>
      </c>
      <c r="DK15" s="159" t="inlineStr">
        <is>
          <t>Quality Assurance</t>
        </is>
      </c>
      <c r="DL15" s="159" t="inlineStr">
        <is>
          <t>Quality Assurance</t>
        </is>
      </c>
      <c r="DM15" s="159" t="inlineStr">
        <is>
          <t>No</t>
        </is>
      </c>
      <c r="DN15" s="159" t="inlineStr">
        <is>
          <t>Product/Project</t>
        </is>
      </c>
      <c r="DO15" s="159" t="inlineStr">
        <is>
          <t>Software Testing</t>
        </is>
      </c>
      <c r="DP15" s="159" t="inlineStr">
        <is>
          <t>Technical · BA, PM and QA</t>
        </is>
      </c>
      <c r="DQ15" s="159" t="inlineStr">
        <is>
          <t>Work From Office - Turbhe</t>
        </is>
      </c>
      <c r="DR15" s="159" t="inlineStr">
        <is>
          <t>1. Deliver High-Quality Testing 
Execute functional, regression, API, deployment, and exploratory testing activities effectively and within planned timelines. 
Maintain high-quality testing standards across assigned modules. 
Take ownership of assigned testing activities and support successful product releases. 
Contribute to delivering stable and reliable software throughout the year. 
2. Strengthen Automation Testing Capabilities 
Develop, maintain, and enhance automation scripts using the existing Playwright framework. 
Improve the reliability and maintainability of automation scripts. 
Contribute towards expanding automation coverage for suitable test scenarios. 
Support regression testing through reusable automation solutions. 
3. Enhance Technical Skills and Innovation 
Continuously improve technical knowledge in Playwright, Java, Cucumber, API Testing, and JavaScript. 
Learn and apply modern automation practices in day-to-day project activities. 
Explore AI-assisted development and automation techniques to improve testing efficiency. 
Develop proof-of-concept solutions that can support future automation initiatives. 
4. Improve Collaboration and Communication 
Collaborate effectively with Developers, Business Analysts, Product Owners, Architects, and QA team members. 
Understand business requirements and participate actively in requirement discussions. 
Maintain clear and accurate testing documentation. 
Contribute to effective defect analysis and successful release activities. 
5. Drive Continuous Improvement 
Identify opportunities to improve testing processes and QA practices. 
Suggest and implement practical improvements in the automation framework and testing workflow. 
Contribute ideas that improve productivity and reduce manual effort. 
Support continuous improvement initiatives within the QA team.</t>
        </is>
      </c>
      <c r="DS15" s="159"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DT15" s="159" t="inlineStr">
        <is>
          <t>Modules To Work On 
By the end of the current quarter, the objective is to complete the automation script development for the existing functionalities of the iDeal 5.5 LV and iDeal EBR Excel applications, ensuring stable and maintainable automation coverage for regression testing. 
As the iDeal 6.0 application is currently under development, the immediate focus will remain on exploratory, functional, and validation testing to ensure the application is stable and ready for release. Once the application reaches a stable state, the plan is to gradually develop automation scripts for individual modules, with the objective of increasing automation coverage, improving regression efficiency, and reducing manual testing effort over time. 
Take greater ownership of assigned modules and deliver testing activities within planned timelines. 
Continue contributing to both manual and automation testing activities. 
Expand automation coverage using the existing Playwright framework. 
Improve the quality, stability, and maintainability of automation scripts. 
Enhance technical expertise in Playwright, JavaScript, API Testing, and modern automation practices. 
Apply newly learned concepts to ongoing project activities wherever applicable. 
Collaborate effectively with cross-functional teams to ensure quality product delivery. 
Contribute to process improvements and maintain high-quality testing documentation. 
Explore practical use cases of AI-assisted automation to improve testing efficiency and support future automation initiatives.</t>
        </is>
      </c>
      <c r="DU15" s="159" t="n">
        <v>3</v>
      </c>
      <c r="DV15" s="159" t="n"/>
      <c r="DW15" s="159" t="inlineStr">
        <is>
          <t>Same as per records</t>
        </is>
      </c>
      <c r="DX15" s="159" t="inlineStr">
        <is>
          <t>No</t>
        </is>
      </c>
      <c r="DY15" s="159" t="n">
        <v>3</v>
      </c>
      <c r="DZ15" s="159" t="inlineStr">
        <is>
          <t>Medium</t>
        </is>
      </c>
      <c r="EA15" s="159" t="inlineStr">
        <is>
          <t>Reliable Specialist</t>
        </is>
      </c>
      <c r="EB15" s="159" t="inlineStr">
        <is>
          <t>Not Ready</t>
        </is>
      </c>
      <c r="EC15" s="159" t="inlineStr">
        <is>
          <t>No</t>
        </is>
      </c>
      <c r="ED15" s="159" t="inlineStr">
        <is>
          <t>No</t>
        </is>
      </c>
      <c r="EE15" s="159" t="inlineStr">
        <is>
          <t>XBRL Training, Training on the effective utilization of AI tools.</t>
        </is>
      </c>
      <c r="EF15" s="159" t="n"/>
    </row>
    <row r="16" ht="64" customHeight="1">
      <c r="A16" s="109" t="inlineStr">
        <is>
          <t>IRIS2505</t>
        </is>
      </c>
      <c r="B16" s="111" t="inlineStr">
        <is>
          <t>Rohit Patil</t>
        </is>
      </c>
      <c r="C16" s="111" t="inlineStr">
        <is>
          <t>Sales</t>
        </is>
      </c>
      <c r="D16" s="114" t="inlineStr">
        <is>
          <t>Manager Sales</t>
        </is>
      </c>
      <c r="E16" s="114" t="inlineStr">
        <is>
          <t>Senior Account Executive</t>
        </is>
      </c>
      <c r="F16" s="111" t="inlineStr">
        <is>
          <t>L5 – Manager</t>
        </is>
      </c>
      <c r="G16" s="27" t="inlineStr">
        <is>
          <t>B2</t>
        </is>
      </c>
      <c r="H16" s="118" t="inlineStr">
        <is>
          <t>• Same level</t>
        </is>
      </c>
      <c r="I16" s="111" t="inlineStr">
        <is>
          <t>Sales &amp; Business Development</t>
        </is>
      </c>
      <c r="J16" s="111" t="inlineStr">
        <is>
          <t>Enterprise Sales &amp; Account Management</t>
        </is>
      </c>
      <c r="K16" s="111" t="inlineStr"/>
      <c r="L16" s="111" t="n">
        <v>20</v>
      </c>
      <c r="M16" s="139" t="inlineStr">
        <is>
          <t>P4 / M3</t>
        </is>
      </c>
      <c r="N16" s="115" t="inlineStr">
        <is>
          <t>Senior / Manager</t>
        </is>
      </c>
      <c r="O16" s="115" t="inlineStr">
        <is>
          <t>4–5</t>
        </is>
      </c>
      <c r="P16" s="115" t="inlineStr">
        <is>
          <t>6–9 yrs</t>
        </is>
      </c>
      <c r="Q16" s="115" t="inlineStr">
        <is>
          <t>7–10 · 6–11</t>
        </is>
      </c>
      <c r="R16" s="115" t="inlineStr">
        <is>
          <t>Senior Account Executive</t>
        </is>
      </c>
      <c r="S16" s="115" t="inlineStr">
        <is>
          <t>IRIS Vs Competitor Benchmark — SaaS sales ladder — IC: Mid-Market AE · IRIS Vs Competitor Benchmark — SaaS sales ladder — management: Sales Manager</t>
        </is>
      </c>
      <c r="T16" s="115" t="inlineStr">
        <is>
          <t>SaaS sales ladder · SDR → AE → Enterprise AE → VP / CRO; MEDDICC-style qualification</t>
        </is>
      </c>
      <c r="U16" s="115" t="inlineStr">
        <is>
          <t>Core 3 · Future 3 · Functional 4 · Leadership 2</t>
        </is>
      </c>
      <c r="V16" s="158" t="n">
        <v>475</v>
      </c>
      <c r="W16" s="159" t="inlineStr">
        <is>
          <t>IRIS2505</t>
        </is>
      </c>
      <c r="X16" s="159" t="inlineStr">
        <is>
          <t>Employee</t>
        </is>
      </c>
      <c r="Y16" s="159" t="inlineStr">
        <is>
          <t>Active</t>
        </is>
      </c>
      <c r="Z16" s="159" t="inlineStr">
        <is>
          <t>Rohit Patil</t>
        </is>
      </c>
      <c r="AA16" s="244" t="n">
        <v>46114</v>
      </c>
      <c r="AB16" s="159" t="inlineStr">
        <is>
          <t>Manager Sales</t>
        </is>
      </c>
      <c r="AC16" s="159" t="inlineStr">
        <is>
          <t>MBA</t>
        </is>
      </c>
      <c r="AD16" s="159" t="inlineStr">
        <is>
          <t>Hemant Karale</t>
        </is>
      </c>
      <c r="AE16" s="159" t="inlineStr">
        <is>
          <t>N-3</t>
        </is>
      </c>
      <c r="AF16" s="159" t="inlineStr">
        <is>
          <t>Individual Contributor</t>
        </is>
      </c>
      <c r="AG16" s="159" t="inlineStr">
        <is>
          <t>16 years, 0 months, 0 days</t>
        </is>
      </c>
      <c r="AH16" s="159" t="inlineStr">
        <is>
          <t>0 years, 4 months, 23 days</t>
        </is>
      </c>
      <c r="AI16" s="159" t="inlineStr">
        <is>
          <t>Regtech</t>
        </is>
      </c>
      <c r="AJ16" s="159" t="inlineStr">
        <is>
          <t>iDEAL</t>
        </is>
      </c>
      <c r="AK16" s="159" t="inlineStr">
        <is>
          <t>Sales</t>
        </is>
      </c>
      <c r="AL16" s="159" t="inlineStr">
        <is>
          <t>Sales</t>
        </is>
      </c>
      <c r="AM16" s="159" t="inlineStr">
        <is>
          <t>No</t>
        </is>
      </c>
      <c r="AN16" s="159" t="inlineStr">
        <is>
          <t>Sales, Marketing &amp; Support</t>
        </is>
      </c>
      <c r="AO16" s="159" t="inlineStr">
        <is>
          <t>Sales</t>
        </is>
      </c>
      <c r="AP16" s="159" t="inlineStr">
        <is>
          <t>Non-technical</t>
        </is>
      </c>
      <c r="AQ16" s="159" t="n">
        <v>20</v>
      </c>
      <c r="AR16" s="159" t="inlineStr">
        <is>
          <t>Covered</t>
        </is>
      </c>
      <c r="AS16" s="159" t="n"/>
      <c r="AT16" s="159" t="n"/>
      <c r="AU16" s="159" t="n"/>
      <c r="AV16" s="159" t="n"/>
      <c r="AW16" s="159" t="n"/>
      <c r="AX16" s="159" t="n"/>
      <c r="AY16" s="159" t="n"/>
      <c r="AZ16" s="159" t="n"/>
      <c r="BA16" s="159" t="n"/>
      <c r="BB16" s="159" t="n"/>
      <c r="BC16" s="159" t="n"/>
      <c r="BD16" s="159" t="n"/>
      <c r="BE16" s="159" t="n"/>
      <c r="BF16" s="159" t="n"/>
      <c r="BG16" s="159" t="n"/>
      <c r="BH16" s="159" t="n"/>
      <c r="BI16" s="159" t="n"/>
      <c r="BJ16" s="159" t="n"/>
      <c r="BK16" s="159" t="n"/>
      <c r="BL16" s="159" t="n"/>
      <c r="BM16" s="159" t="n"/>
      <c r="BN16" s="159" t="n"/>
      <c r="BO16" s="159" t="n"/>
      <c r="BP16" s="159" t="n"/>
      <c r="BQ16" s="159" t="n"/>
      <c r="BR16" s="159" t="n"/>
      <c r="BS16" s="159" t="n"/>
      <c r="BT16" s="159" t="n"/>
      <c r="BU16" s="159" t="n"/>
      <c r="BV16" s="159" t="n"/>
      <c r="BW16" s="159" t="n"/>
      <c r="BX16" s="159" t="n"/>
      <c r="BY16" s="159" t="n"/>
      <c r="BZ16" s="159" t="n"/>
      <c r="CA16" s="159" t="n"/>
      <c r="CB16" s="159" t="n"/>
      <c r="CC16" s="159" t="n"/>
      <c r="CD16" s="159" t="n"/>
      <c r="CE16" s="159" t="n"/>
      <c r="CF16" s="159" t="n"/>
      <c r="CG16" s="159" t="n"/>
      <c r="CH16" s="159" t="n"/>
      <c r="CI16" s="159" t="n"/>
      <c r="CJ16" s="159" t="n"/>
      <c r="CK16" s="159" t="n"/>
      <c r="CL16" s="159" t="n"/>
      <c r="CM16" s="159" t="n"/>
      <c r="CN16" s="159" t="n"/>
      <c r="CO16" s="159" t="n"/>
      <c r="CP16" s="159" t="n"/>
      <c r="CQ16" s="159" t="inlineStr">
        <is>
          <t>IRIS2505</t>
        </is>
      </c>
      <c r="CR16" s="159" t="inlineStr">
        <is>
          <t>Employee</t>
        </is>
      </c>
      <c r="CS16" s="159" t="inlineStr">
        <is>
          <t>Active</t>
        </is>
      </c>
      <c r="CT16" s="159" t="inlineStr">
        <is>
          <t>Rohit Patil</t>
        </is>
      </c>
      <c r="CU16" s="160" t="n">
        <v>46114</v>
      </c>
      <c r="CV16" s="159" t="inlineStr">
        <is>
          <t>Manager Sales</t>
        </is>
      </c>
      <c r="CW16" s="159" t="inlineStr">
        <is>
          <t>Sales &amp; Business Development</t>
        </is>
      </c>
      <c r="CX16" s="159" t="inlineStr">
        <is>
          <t>Sales / Account Management</t>
        </is>
      </c>
      <c r="CY16" s="159" t="inlineStr">
        <is>
          <t>Manager Sales</t>
        </is>
      </c>
      <c r="CZ16" s="159" t="inlineStr">
        <is>
          <t>L5 – Manager</t>
        </is>
      </c>
      <c r="DA16" s="159" t="inlineStr">
        <is>
          <t>MBA</t>
        </is>
      </c>
      <c r="DB16" s="159" t="inlineStr">
        <is>
          <t>Hemant Karale</t>
        </is>
      </c>
      <c r="DC16" s="159" t="inlineStr">
        <is>
          <t>N-3</t>
        </is>
      </c>
      <c r="DD16" s="159" t="inlineStr">
        <is>
          <t>Individual Contributor</t>
        </is>
      </c>
      <c r="DE16" s="159" t="inlineStr">
        <is>
          <t>16 years, 0 months, 0 days</t>
        </is>
      </c>
      <c r="DF16" s="159" t="inlineStr">
        <is>
          <t>0 years, 2 months, 18 days</t>
        </is>
      </c>
      <c r="DG16" s="159" t="inlineStr">
        <is>
          <t>16 years, 2 months, 18 days</t>
        </is>
      </c>
      <c r="DH16" s="159" t="n"/>
      <c r="DI16" s="159" t="inlineStr">
        <is>
          <t>Regtech</t>
        </is>
      </c>
      <c r="DJ16" s="159" t="inlineStr">
        <is>
          <t>iDEAL</t>
        </is>
      </c>
      <c r="DK16" s="159" t="inlineStr">
        <is>
          <t>Sales</t>
        </is>
      </c>
      <c r="DL16" s="159" t="inlineStr">
        <is>
          <t>Sales</t>
        </is>
      </c>
      <c r="DM16" s="159" t="inlineStr">
        <is>
          <t>No</t>
        </is>
      </c>
      <c r="DN16" s="159" t="inlineStr">
        <is>
          <t>Sales, Marketing &amp; Support</t>
        </is>
      </c>
      <c r="DO16" s="159" t="inlineStr">
        <is>
          <t>Sales</t>
        </is>
      </c>
      <c r="DP16" s="159" t="inlineStr">
        <is>
          <t>Non-technical</t>
        </is>
      </c>
      <c r="DQ16" s="159" t="inlineStr">
        <is>
          <t>Work From Office - Turbhe</t>
        </is>
      </c>
      <c r="DR16" s="159" t="n"/>
      <c r="DS16" s="159"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DT16" s="159" t="inlineStr">
        <is>
          <t>1. Close &gt; 1 NBFCS clients
2. Generate 6 NBFC &amp; 3 Banking qualified leads</t>
        </is>
      </c>
      <c r="DU16" s="159" t="n">
        <v>2</v>
      </c>
      <c r="DV16" s="159" t="n"/>
      <c r="DW16" s="159" t="inlineStr">
        <is>
          <t>Same as per records</t>
        </is>
      </c>
      <c r="DX16" s="159" t="n"/>
      <c r="DY16" s="159" t="n"/>
      <c r="DZ16" s="159" t="n"/>
      <c r="EA16" s="159" t="n"/>
      <c r="EB16" s="159" t="n"/>
      <c r="EC16" s="159" t="n"/>
      <c r="ED16" s="159" t="n"/>
      <c r="EE16" s="159" t="inlineStr">
        <is>
          <t>XBRL Training, Training on the effective utilization of AI tools.</t>
        </is>
      </c>
      <c r="EF16" s="159" t="n"/>
    </row>
    <row r="17" ht="64" customHeight="1">
      <c r="A17" s="109" t="inlineStr">
        <is>
          <t>IRIS2540</t>
        </is>
      </c>
      <c r="B17" s="111" t="inlineStr">
        <is>
          <t>Deepali Barai</t>
        </is>
      </c>
      <c r="C17" s="111" t="inlineStr">
        <is>
          <t>Sales</t>
        </is>
      </c>
      <c r="D17" s="114" t="inlineStr">
        <is>
          <t>Business Development Manager</t>
        </is>
      </c>
      <c r="E17" s="114" t="inlineStr">
        <is>
          <t>Account Executive</t>
        </is>
      </c>
      <c r="F17" s="114" t="inlineStr">
        <is>
          <t>Not in current mapping files</t>
        </is>
      </c>
      <c r="G17" s="114" t="inlineStr">
        <is>
          <t>B1</t>
        </is>
      </c>
      <c r="H17" s="143" t="inlineStr">
        <is>
          <t>● Newly mapped</t>
        </is>
      </c>
      <c r="I17" s="111" t="inlineStr">
        <is>
          <t>Sales &amp; Business Development</t>
        </is>
      </c>
      <c r="J17" s="111" t="inlineStr">
        <is>
          <t>Enterprise Sales &amp; Account Management</t>
        </is>
      </c>
      <c r="K17" s="111" t="inlineStr"/>
      <c r="L17" s="111" t="n">
        <v>18</v>
      </c>
      <c r="M17" s="139" t="inlineStr">
        <is>
          <t>P3 / M2</t>
        </is>
      </c>
      <c r="N17" s="115" t="inlineStr">
        <is>
          <t>Career / · Team Lead</t>
        </is>
      </c>
      <c r="O17" s="115" t="inlineStr">
        <is>
          <t>4 Enable</t>
        </is>
      </c>
      <c r="P17" s="115" t="inlineStr">
        <is>
          <t>4–7 yrs</t>
        </is>
      </c>
      <c r="Q17" s="115" t="inlineStr">
        <is>
          <t>5–8 · 4–8</t>
        </is>
      </c>
      <c r="R17" s="115" t="inlineStr">
        <is>
          <t>Account Executive</t>
        </is>
      </c>
      <c r="S17" s="115" t="inlineStr">
        <is>
          <t>IRIS Vs Competitor Benchmark — SaaS sales ladder — IC: Account Executive · SMB · IRIS Vs Competitor Benchmark — SaaS sales ladder — management: SDR Team Lead</t>
        </is>
      </c>
      <c r="T17" s="115" t="inlineStr">
        <is>
          <t>SaaS sales ladder · SDR → AE → Enterprise AE → VP / CRO; MEDDICC-style qualification</t>
        </is>
      </c>
      <c r="U17" s="115" t="inlineStr">
        <is>
          <t>Core 3 · Future 3 · Functional 3 · Leadership 1</t>
        </is>
      </c>
      <c r="V17" s="158" t="n">
        <v>513</v>
      </c>
      <c r="W17" s="159" t="inlineStr">
        <is>
          <t>IRIS2540</t>
        </is>
      </c>
      <c r="X17" s="159" t="inlineStr">
        <is>
          <t>Employee</t>
        </is>
      </c>
      <c r="Y17" s="159" t="inlineStr">
        <is>
          <t>Active</t>
        </is>
      </c>
      <c r="Z17" s="159" t="inlineStr">
        <is>
          <t>Deepali Barai</t>
        </is>
      </c>
      <c r="AA17" s="244" t="n">
        <v>46195</v>
      </c>
      <c r="AB17" s="159" t="inlineStr">
        <is>
          <t>Business Development Manager</t>
        </is>
      </c>
      <c r="AC17" s="159" t="inlineStr">
        <is>
          <t>B.E</t>
        </is>
      </c>
      <c r="AD17" s="159" t="inlineStr">
        <is>
          <t>Shreya Jolly</t>
        </is>
      </c>
      <c r="AE17" s="159" t="inlineStr">
        <is>
          <t>N-5</t>
        </is>
      </c>
      <c r="AF17" s="159" t="inlineStr">
        <is>
          <t>Individual Contributor</t>
        </is>
      </c>
      <c r="AG17" s="159" t="inlineStr">
        <is>
          <t>4 years, 4 months, 0 days</t>
        </is>
      </c>
      <c r="AH17" s="159" t="inlineStr">
        <is>
          <t>0 years, 2 months, 3 days</t>
        </is>
      </c>
      <c r="AI17" s="159" t="inlineStr">
        <is>
          <t>Regtech</t>
        </is>
      </c>
      <c r="AJ17" s="159" t="inlineStr">
        <is>
          <t>iDEAL</t>
        </is>
      </c>
      <c r="AK17" s="159" t="inlineStr">
        <is>
          <t>Sales</t>
        </is>
      </c>
      <c r="AL17" s="159" t="inlineStr">
        <is>
          <t>Sales</t>
        </is>
      </c>
      <c r="AM17" s="159" t="inlineStr">
        <is>
          <t>No</t>
        </is>
      </c>
      <c r="AN17" s="159" t="inlineStr">
        <is>
          <t>Sales, Marketing &amp; Support</t>
        </is>
      </c>
      <c r="AO17" s="159" t="inlineStr">
        <is>
          <t>Sales</t>
        </is>
      </c>
      <c r="AP17" s="159" t="inlineStr">
        <is>
          <t>Non-technical</t>
        </is>
      </c>
      <c r="AQ17" s="159" t="n">
        <v>20</v>
      </c>
      <c r="AR17" s="159" t="inlineStr">
        <is>
          <t>Covered</t>
        </is>
      </c>
      <c r="AS17" s="159" t="n"/>
      <c r="AT17" s="159" t="n"/>
      <c r="AU17" s="159" t="n"/>
      <c r="AV17" s="159" t="n"/>
      <c r="AW17" s="159" t="n"/>
      <c r="AX17" s="159" t="n"/>
      <c r="AY17" s="159" t="n"/>
      <c r="AZ17" s="159" t="n"/>
      <c r="BA17" s="159" t="n"/>
      <c r="BB17" s="159" t="n"/>
      <c r="BC17" s="159" t="n"/>
      <c r="BD17" s="159" t="n"/>
      <c r="BE17" s="159" t="n"/>
      <c r="BF17" s="159" t="n"/>
      <c r="BG17" s="159" t="n"/>
      <c r="BH17" s="159" t="n"/>
      <c r="BI17" s="159" t="n"/>
      <c r="BJ17" s="159" t="n"/>
      <c r="BK17" s="159" t="n"/>
      <c r="BL17" s="159" t="n"/>
      <c r="BM17" s="159" t="n"/>
      <c r="BN17" s="159" t="n"/>
      <c r="BO17" s="159" t="n"/>
      <c r="BP17" s="159" t="n"/>
      <c r="BQ17" s="159" t="n"/>
      <c r="BR17" s="159" t="n"/>
      <c r="BS17" s="159" t="n"/>
      <c r="BT17" s="159" t="n"/>
      <c r="BU17" s="159" t="n"/>
      <c r="BV17" s="159" t="n"/>
      <c r="BW17" s="159" t="n"/>
      <c r="BX17" s="159" t="n"/>
      <c r="BY17" s="159" t="n"/>
      <c r="BZ17" s="159" t="n"/>
      <c r="CA17" s="159" t="n"/>
      <c r="CB17" s="159" t="n"/>
      <c r="CC17" s="159" t="n"/>
      <c r="CD17" s="159" t="n"/>
      <c r="CE17" s="159" t="n"/>
      <c r="CF17" s="159" t="n"/>
      <c r="CG17" s="159" t="n"/>
      <c r="CH17" s="159" t="n"/>
      <c r="CI17" s="159" t="n"/>
      <c r="CJ17" s="159" t="n"/>
      <c r="CK17" s="159" t="n"/>
      <c r="CL17" s="159" t="n"/>
      <c r="CM17" s="159" t="n"/>
      <c r="CN17" s="159" t="n"/>
      <c r="CO17" s="159" t="n"/>
      <c r="CP17" s="159" t="n"/>
      <c r="CQ17" s="159" t="n"/>
      <c r="CR17" s="159" t="n"/>
      <c r="CS17" s="159" t="n"/>
      <c r="CT17" s="159" t="n"/>
      <c r="CU17" s="159" t="n"/>
      <c r="CV17" s="159" t="n"/>
      <c r="CW17" s="159" t="n"/>
      <c r="CX17" s="159" t="n"/>
      <c r="CY17" s="159" t="n"/>
      <c r="CZ17" s="159" t="n"/>
      <c r="DA17" s="159" t="n"/>
      <c r="DB17" s="159" t="n"/>
      <c r="DC17" s="159" t="n"/>
      <c r="DD17" s="159" t="n"/>
      <c r="DE17" s="159" t="n"/>
      <c r="DF17" s="159" t="n"/>
      <c r="DG17" s="159" t="n"/>
      <c r="DH17" s="159" t="n"/>
      <c r="DI17" s="159" t="n"/>
      <c r="DJ17" s="159" t="n"/>
      <c r="DK17" s="159" t="n"/>
      <c r="DL17" s="159" t="n"/>
      <c r="DM17" s="159" t="n"/>
      <c r="DN17" s="159" t="n"/>
      <c r="DO17" s="159" t="n"/>
      <c r="DP17" s="159" t="n"/>
      <c r="DQ17" s="159" t="n"/>
      <c r="DR17" s="159" t="n"/>
      <c r="DS17" s="159" t="n"/>
      <c r="DT17" s="159" t="n"/>
      <c r="DU17" s="159" t="n"/>
      <c r="DV17" s="159" t="n"/>
      <c r="DW17" s="159" t="n"/>
      <c r="DX17" s="159" t="n"/>
      <c r="DY17" s="159" t="n"/>
      <c r="DZ17" s="159" t="n"/>
      <c r="EA17" s="159" t="n"/>
      <c r="EB17" s="159" t="n"/>
      <c r="EC17" s="159" t="n"/>
      <c r="ED17" s="159" t="n"/>
      <c r="EE17" s="159" t="n"/>
      <c r="EF17" s="159" t="n"/>
    </row>
    <row r="18" ht="64" customHeight="1">
      <c r="A18" s="109" t="inlineStr">
        <is>
          <t>IRIS2481</t>
        </is>
      </c>
      <c r="B18" s="111" t="inlineStr">
        <is>
          <t>Shreya Sharma</t>
        </is>
      </c>
      <c r="C18" s="111" t="inlineStr">
        <is>
          <t>Sales</t>
        </is>
      </c>
      <c r="D18" s="114" t="inlineStr">
        <is>
          <t>Senior Sales Executive</t>
        </is>
      </c>
      <c r="E18" s="114" t="inlineStr">
        <is>
          <t>Senior Alliances Executive</t>
        </is>
      </c>
      <c r="F18" s="111" t="inlineStr">
        <is>
          <t>L4 – Senior</t>
        </is>
      </c>
      <c r="G18" s="24" t="inlineStr">
        <is>
          <t>A3</t>
        </is>
      </c>
      <c r="H18" s="118" t="inlineStr">
        <is>
          <t>• Same level</t>
        </is>
      </c>
      <c r="I18" s="111" t="inlineStr">
        <is>
          <t>Sales &amp; Business Development</t>
        </is>
      </c>
      <c r="J18" s="111" t="inlineStr">
        <is>
          <t>Partnerships &amp; Alliances</t>
        </is>
      </c>
      <c r="K18" s="111" t="inlineStr"/>
      <c r="L18" s="111" t="n">
        <v>20</v>
      </c>
      <c r="M18" s="139" t="inlineStr">
        <is>
          <t>P2</t>
        </is>
      </c>
      <c r="N18" s="115" t="inlineStr">
        <is>
          <t>Developing</t>
        </is>
      </c>
      <c r="O18" s="115" t="inlineStr">
        <is>
          <t>3 Apply</t>
        </is>
      </c>
      <c r="P18" s="115" t="inlineStr">
        <is>
          <t>2–4 yrs</t>
        </is>
      </c>
      <c r="Q18" s="115" t="inlineStr">
        <is>
          <t>3–5 · 2–5</t>
        </is>
      </c>
      <c r="R18" s="115" t="inlineStr">
        <is>
          <t>SDR / Inside Sales</t>
        </is>
      </c>
      <c r="S18" s="115" t="inlineStr">
        <is>
          <t>IRIS Vs Competitor Benchmark — SaaS sales ladder — IC: Senior SDR</t>
        </is>
      </c>
      <c r="T18" s="115" t="inlineStr">
        <is>
          <t>SaaS sales ladder · SDR → AE → Enterprise AE → VP / CRO; MEDDICC-style qualification</t>
        </is>
      </c>
      <c r="U18" s="115" t="inlineStr">
        <is>
          <t>Core 2 · Future 2 · Functional 3 · Leadership not scored</t>
        </is>
      </c>
      <c r="V18" s="158" t="n">
        <v>455</v>
      </c>
      <c r="W18" s="159" t="inlineStr">
        <is>
          <t>IRIS2481</t>
        </is>
      </c>
      <c r="X18" s="159" t="inlineStr">
        <is>
          <t>Employee</t>
        </is>
      </c>
      <c r="Y18" s="159" t="inlineStr">
        <is>
          <t>Active</t>
        </is>
      </c>
      <c r="Z18" s="159" t="inlineStr">
        <is>
          <t>Shreya Sharma</t>
        </is>
      </c>
      <c r="AA18" s="244" t="n">
        <v>46076</v>
      </c>
      <c r="AB18" s="159" t="inlineStr">
        <is>
          <t>Senior Sales Executive</t>
        </is>
      </c>
      <c r="AC18" s="159" t="inlineStr">
        <is>
          <t>B.Com</t>
        </is>
      </c>
      <c r="AD18" s="159" t="inlineStr">
        <is>
          <t>Shreya Jolly</t>
        </is>
      </c>
      <c r="AE18" s="159" t="inlineStr">
        <is>
          <t>N-5</t>
        </is>
      </c>
      <c r="AF18" s="159" t="inlineStr">
        <is>
          <t>Individual Contributor</t>
        </is>
      </c>
      <c r="AG18" s="159" t="inlineStr">
        <is>
          <t>3 years, 10 months, 0 days</t>
        </is>
      </c>
      <c r="AH18" s="159" t="inlineStr">
        <is>
          <t>0 years, 6 months, 2 days</t>
        </is>
      </c>
      <c r="AI18" s="159" t="inlineStr">
        <is>
          <t>Regtech</t>
        </is>
      </c>
      <c r="AJ18" s="159" t="inlineStr">
        <is>
          <t>iDEAL</t>
        </is>
      </c>
      <c r="AK18" s="159" t="inlineStr">
        <is>
          <t>Sales</t>
        </is>
      </c>
      <c r="AL18" s="159" t="inlineStr">
        <is>
          <t>Sales</t>
        </is>
      </c>
      <c r="AM18" s="159" t="inlineStr">
        <is>
          <t>No</t>
        </is>
      </c>
      <c r="AN18" s="159" t="inlineStr">
        <is>
          <t>Sales, Marketing &amp; Support</t>
        </is>
      </c>
      <c r="AO18" s="159" t="inlineStr">
        <is>
          <t>Sales</t>
        </is>
      </c>
      <c r="AP18" s="159" t="inlineStr">
        <is>
          <t>Non-technical</t>
        </is>
      </c>
      <c r="AQ18" s="159" t="n">
        <v>20</v>
      </c>
      <c r="AR18" s="159" t="inlineStr">
        <is>
          <t>Covered</t>
        </is>
      </c>
      <c r="AS18" s="159" t="n"/>
      <c r="AT18" s="159" t="n"/>
      <c r="AU18" s="159" t="n"/>
      <c r="AV18" s="159" t="n"/>
      <c r="AW18" s="159" t="n"/>
      <c r="AX18" s="159" t="n"/>
      <c r="AY18" s="159" t="n"/>
      <c r="AZ18" s="159" t="n"/>
      <c r="BA18" s="159" t="n"/>
      <c r="BB18" s="159" t="n"/>
      <c r="BC18" s="159" t="n"/>
      <c r="BD18" s="159" t="n"/>
      <c r="BE18" s="159" t="n"/>
      <c r="BF18" s="159" t="n"/>
      <c r="BG18" s="159" t="n"/>
      <c r="BH18" s="159" t="n"/>
      <c r="BI18" s="159" t="n"/>
      <c r="BJ18" s="159" t="n"/>
      <c r="BK18" s="159" t="n"/>
      <c r="BL18" s="159" t="n"/>
      <c r="BM18" s="159" t="n"/>
      <c r="BN18" s="159" t="n"/>
      <c r="BO18" s="159" t="n"/>
      <c r="BP18" s="159" t="n"/>
      <c r="BQ18" s="159" t="n"/>
      <c r="BR18" s="159" t="n"/>
      <c r="BS18" s="159" t="n"/>
      <c r="BT18" s="159" t="n"/>
      <c r="BU18" s="159" t="n"/>
      <c r="BV18" s="159" t="n"/>
      <c r="BW18" s="159" t="n"/>
      <c r="BX18" s="159" t="n"/>
      <c r="BY18" s="159" t="n"/>
      <c r="BZ18" s="159" t="n"/>
      <c r="CA18" s="159" t="n"/>
      <c r="CB18" s="159" t="n"/>
      <c r="CC18" s="159" t="n"/>
      <c r="CD18" s="159" t="n"/>
      <c r="CE18" s="159" t="n"/>
      <c r="CF18" s="159" t="n"/>
      <c r="CG18" s="159" t="n"/>
      <c r="CH18" s="159" t="n"/>
      <c r="CI18" s="159" t="n"/>
      <c r="CJ18" s="159" t="n"/>
      <c r="CK18" s="159" t="n"/>
      <c r="CL18" s="159" t="n"/>
      <c r="CM18" s="159" t="n"/>
      <c r="CN18" s="159" t="n"/>
      <c r="CO18" s="159" t="n"/>
      <c r="CP18" s="159" t="n"/>
      <c r="CQ18" s="159" t="inlineStr">
        <is>
          <t>IRIS2481</t>
        </is>
      </c>
      <c r="CR18" s="159" t="inlineStr">
        <is>
          <t>Employee</t>
        </is>
      </c>
      <c r="CS18" s="159" t="inlineStr">
        <is>
          <t>Active</t>
        </is>
      </c>
      <c r="CT18" s="159" t="inlineStr">
        <is>
          <t>Shreya Sharma</t>
        </is>
      </c>
      <c r="CU18" s="160" t="n">
        <v>46076</v>
      </c>
      <c r="CV18" s="159" t="inlineStr">
        <is>
          <t>Senior Sales Executive</t>
        </is>
      </c>
      <c r="CW18" s="159" t="inlineStr">
        <is>
          <t>Sales &amp; Business Development</t>
        </is>
      </c>
      <c r="CX18" s="159" t="inlineStr">
        <is>
          <t>Sales / Account Management</t>
        </is>
      </c>
      <c r="CY18" s="159" t="inlineStr">
        <is>
          <t>Senior Sales Executive</t>
        </is>
      </c>
      <c r="CZ18" s="159" t="inlineStr">
        <is>
          <t>L4 – Senior</t>
        </is>
      </c>
      <c r="DA18" s="159" t="inlineStr">
        <is>
          <t>B.Com</t>
        </is>
      </c>
      <c r="DB18" s="159" t="inlineStr">
        <is>
          <t>Shreya Jolly</t>
        </is>
      </c>
      <c r="DC18" s="159" t="inlineStr">
        <is>
          <t>N-4</t>
        </is>
      </c>
      <c r="DD18" s="159" t="inlineStr">
        <is>
          <t>Individual Contributor</t>
        </is>
      </c>
      <c r="DE18" s="159" t="inlineStr">
        <is>
          <t>3 years, 10 months, 0 days</t>
        </is>
      </c>
      <c r="DF18" s="159" t="inlineStr">
        <is>
          <t>0 years, 3 months, 28 days</t>
        </is>
      </c>
      <c r="DG18" s="159" t="inlineStr">
        <is>
          <t>4 years, 1 months, 28 days</t>
        </is>
      </c>
      <c r="DH18" s="159" t="n"/>
      <c r="DI18" s="159" t="inlineStr">
        <is>
          <t>Regtech</t>
        </is>
      </c>
      <c r="DJ18" s="159" t="inlineStr">
        <is>
          <t>CARBON</t>
        </is>
      </c>
      <c r="DK18" s="159" t="inlineStr">
        <is>
          <t>Sales</t>
        </is>
      </c>
      <c r="DL18" s="159" t="inlineStr">
        <is>
          <t>Sales</t>
        </is>
      </c>
      <c r="DM18" s="159" t="inlineStr">
        <is>
          <t>No</t>
        </is>
      </c>
      <c r="DN18" s="159" t="inlineStr">
        <is>
          <t>Sales, Marketing &amp; Support</t>
        </is>
      </c>
      <c r="DO18" s="159" t="inlineStr">
        <is>
          <t>Sales</t>
        </is>
      </c>
      <c r="DP18" s="159" t="inlineStr">
        <is>
          <t>Non-technical</t>
        </is>
      </c>
      <c r="DQ18" s="159" t="inlineStr">
        <is>
          <t>Hybrid</t>
        </is>
      </c>
      <c r="DR18" s="159" t="inlineStr">
        <is>
          <r>
            <rPr>
              <rFont val="Calibri"/>
              <b val="1"/>
              <sz val="10"/>
            </rPr>
            <t>Q1:</t>
          </r>
          <r>
            <rPr>
              <rFont val="Calibri"/>
              <sz val="10"/>
            </rPr>
            <t xml:space="preserve"> Achieve assigned quarterly sales / revenue quota · target: 100% of number
</t>
          </r>
          <r>
            <rPr>
              <rFont val="Calibri"/>
              <b val="1"/>
              <sz val="10"/>
            </rPr>
            <t>Q1:</t>
          </r>
          <r>
            <rPr>
              <rFont val="Calibri"/>
              <sz val="10"/>
            </rPr>
            <t xml:space="preserve"> Build and maintain qualified pipeline of &gt;=3x quota coverage
</t>
          </r>
          <r>
            <rPr>
              <rFont val="Calibri"/>
              <b val="1"/>
              <sz val="10"/>
            </rPr>
            <t>Q1:</t>
          </r>
          <r>
            <rPr>
              <rFont val="Calibri"/>
              <sz val="10"/>
            </rPr>
            <t xml:space="preserve"> Maintain healthy win rate on qualified opportunities
</t>
          </r>
          <r>
            <rPr>
              <rFont val="Calibri"/>
              <b val="1"/>
              <sz val="10"/>
            </rPr>
            <t>Q1:</t>
          </r>
          <r>
            <rPr>
              <rFont val="Calibri"/>
              <sz val="10"/>
            </rPr>
            <t xml:space="preserve"> Keep CRM hygiene at 100% · all opportunities &amp; activities logged &amp; current</t>
          </r>
        </is>
      </c>
      <c r="DS18" s="159" t="inlineStr">
        <is>
          <t>1. Achieve assigned annual sales / revenue quota · target: 80 Lakhs
2. Build and maintain qualified pipeline of &gt;=3x quota coverage
3. Maintain healthy win rate on qualified opportunities
4. Keep CRM hygiene at 100% · all opportunities &amp; activities logged &amp; current
5. Drive new logo/business acquisition: meet assigned new-business target for the year · target - 20L/quarter
 • 5 L for XBRL
 • 1.5 L for DM
6. Achieve forecast accuracy within +/-15% each quarter
7. Maintain average sales cycle within target band for the segment</t>
        </is>
      </c>
      <c r="DT18" s="159" t="inlineStr">
        <is>
          <r>
            <rPr>
              <rFont val="Calibri"/>
              <b val="1"/>
              <sz val="10"/>
            </rPr>
            <t>Q1:</t>
          </r>
          <r>
            <rPr>
              <rFont val="Calibri"/>
              <sz val="10"/>
            </rPr>
            <t xml:space="preserve"> Achieve assigned quarterly sales / revenue quota · target: 100% of number
</t>
          </r>
          <r>
            <rPr>
              <rFont val="Calibri"/>
              <b val="1"/>
              <sz val="10"/>
            </rPr>
            <t>Q1:</t>
          </r>
          <r>
            <rPr>
              <rFont val="Calibri"/>
              <sz val="10"/>
            </rPr>
            <t xml:space="preserve"> Build and maintain qualified pipeline of &gt;=3x quota coverage
</t>
          </r>
          <r>
            <rPr>
              <rFont val="Calibri"/>
              <b val="1"/>
              <sz val="10"/>
            </rPr>
            <t>Q1:</t>
          </r>
          <r>
            <rPr>
              <rFont val="Calibri"/>
              <sz val="10"/>
            </rPr>
            <t xml:space="preserve"> Maintain healthy win rate on qualified opportunities
</t>
          </r>
          <r>
            <rPr>
              <rFont val="Calibri"/>
              <b val="1"/>
              <sz val="10"/>
            </rPr>
            <t>Q1:</t>
          </r>
          <r>
            <rPr>
              <rFont val="Calibri"/>
              <sz val="10"/>
            </rPr>
            <t xml:space="preserve"> Keep CRM hygiene at 100% · all opportunities &amp; activities logged &amp; current</t>
          </r>
        </is>
      </c>
      <c r="DU18" s="159" t="n">
        <v>3</v>
      </c>
      <c r="DV18" s="159" t="n"/>
      <c r="DW18" s="159" t="inlineStr">
        <is>
          <t>Sales Executive</t>
        </is>
      </c>
      <c r="DX18" s="159" t="inlineStr">
        <is>
          <t>No</t>
        </is>
      </c>
      <c r="DY18" s="159" t="n">
        <v>3</v>
      </c>
      <c r="DZ18" s="159" t="inlineStr">
        <is>
          <t>High</t>
        </is>
      </c>
      <c r="EA18" s="159" t="inlineStr">
        <is>
          <t>Emerging Talent</t>
        </is>
      </c>
      <c r="EB18" s="159" t="inlineStr">
        <is>
          <t>No</t>
        </is>
      </c>
      <c r="EC18" s="159" t="inlineStr">
        <is>
          <t>No</t>
        </is>
      </c>
      <c r="ED18" s="159" t="inlineStr">
        <is>
          <t>Yes</t>
        </is>
      </c>
      <c r="EE18" s="159" t="inlineStr">
        <is>
          <t>1. Advanced Sales Negotiation &amp; Enterprise Deal Structuring — closing complex multi-stakeholder deals for CARBON - XBRL &amp; DM
2. Regulatory &amp; Domain Knowledge: XBRL, DM ESG/Sustainability Reporting · TCFD, GRI, ISSB relevant to SA &amp; Nigeria markets
3. CRM Mastery &amp; Pipeline Management — forecasting discipline, deal hygiene and data-driven selling
4. Africa Market Intelligence — understanding of SA &amp; Nigeria regulatory landscape, client buying behaviour and competitive dynamics</t>
        </is>
      </c>
      <c r="EF18" s="159" t="n"/>
    </row>
    <row r="19" ht="64" customHeight="1">
      <c r="A19" s="109" t="inlineStr">
        <is>
          <t>INTN0302</t>
        </is>
      </c>
      <c r="B19" s="111" t="inlineStr">
        <is>
          <t>Nehal Bohra</t>
        </is>
      </c>
      <c r="C19" s="111" t="inlineStr">
        <is>
          <t>Sales</t>
        </is>
      </c>
      <c r="D19" s="114" t="inlineStr">
        <is>
          <t>Intern</t>
        </is>
      </c>
      <c r="E19" s="114" t="inlineStr">
        <is>
          <t>Intern – Application &amp; Product Support</t>
        </is>
      </c>
      <c r="F19" s="111" t="inlineStr">
        <is>
          <t>L1 – Intern</t>
        </is>
      </c>
      <c r="G19" s="24" t="inlineStr">
        <is>
          <t>A1</t>
        </is>
      </c>
      <c r="H19" s="118" t="inlineStr">
        <is>
          <t>• Same level</t>
        </is>
      </c>
      <c r="I19" s="111" t="inlineStr">
        <is>
          <t>Customer Success &amp; Support</t>
        </is>
      </c>
      <c r="J19" s="111" t="inlineStr">
        <is>
          <t>Application &amp; Product Support</t>
        </is>
      </c>
      <c r="K19" s="111" t="inlineStr"/>
      <c r="L19" s="111" t="n">
        <v>19</v>
      </c>
      <c r="M19" s="139" t="inlineStr">
        <is>
          <t>Entry / P1 · intern</t>
        </is>
      </c>
      <c r="N19" s="115" t="inlineStr">
        <is>
          <t>Entry</t>
        </is>
      </c>
      <c r="O19" s="115" t="inlineStr">
        <is>
          <t>1 Follow</t>
        </is>
      </c>
      <c r="P19" s="115" t="inlineStr">
        <is>
          <t>0 yrs · fresher / intern</t>
        </is>
      </c>
      <c r="Q19" s="115" t="inlineStr">
        <is>
          <t>—</t>
        </is>
      </c>
      <c r="R19" s="115" t="inlineStr">
        <is>
          <t>Support Associate</t>
        </is>
      </c>
      <c r="S19" s="115" t="inlineStr">
        <is>
          <r>
            <rPr>
              <rFont val="Calibri"/>
              <b val="1"/>
              <sz val="10"/>
            </rPr>
            <t>Workiva:</t>
          </r>
          <r>
            <rPr>
              <rFont val="Calibri"/>
              <sz val="10"/>
            </rPr>
            <t xml:space="preserve"> Customer Success intern</t>
          </r>
        </is>
      </c>
      <c r="T19" s="115" t="inlineStr">
        <is>
          <t>TSIA frameworks and benchmarks; ITIL 4 service desk; Gainsight customer-success practice</t>
        </is>
      </c>
      <c r="U19" s="115" t="inlineStr">
        <is>
          <t>Core 1 · Future 1 · Functional 1 · Leadership not scored</t>
        </is>
      </c>
      <c r="V19" s="158" t="n">
        <v>496</v>
      </c>
      <c r="W19" s="159" t="inlineStr">
        <is>
          <t>INTN0302</t>
        </is>
      </c>
      <c r="X19" s="159" t="inlineStr">
        <is>
          <t>Intern</t>
        </is>
      </c>
      <c r="Y19" s="159" t="inlineStr">
        <is>
          <t>Active</t>
        </is>
      </c>
      <c r="Z19" s="159" t="inlineStr">
        <is>
          <t>Nehal Bohra</t>
        </is>
      </c>
      <c r="AA19" s="244" t="n">
        <v>46135</v>
      </c>
      <c r="AB19" s="159" t="inlineStr">
        <is>
          <t>Intern</t>
        </is>
      </c>
      <c r="AC19" s="159" t="inlineStr">
        <is>
          <t>BBA</t>
        </is>
      </c>
      <c r="AD19" s="159" t="inlineStr">
        <is>
          <t>Amit Jaidka</t>
        </is>
      </c>
      <c r="AE19" s="159" t="inlineStr">
        <is>
          <t>N-4</t>
        </is>
      </c>
      <c r="AF19" s="159" t="inlineStr">
        <is>
          <t>Individual Contributor</t>
        </is>
      </c>
      <c r="AG19" s="159" t="inlineStr">
        <is>
          <t>0 years, 0 months, 0 days</t>
        </is>
      </c>
      <c r="AH19" s="159" t="inlineStr">
        <is>
          <t>0 years, 4 months, 2 days</t>
        </is>
      </c>
      <c r="AI19" s="159" t="inlineStr">
        <is>
          <t>Regtech</t>
        </is>
      </c>
      <c r="AJ19" s="159" t="inlineStr">
        <is>
          <t>iDEAL</t>
        </is>
      </c>
      <c r="AK19" s="159" t="inlineStr">
        <is>
          <t>Sales</t>
        </is>
      </c>
      <c r="AL19" s="159" t="inlineStr">
        <is>
          <t>Sales</t>
        </is>
      </c>
      <c r="AM19" s="159" t="inlineStr">
        <is>
          <t>No</t>
        </is>
      </c>
      <c r="AN19" s="159" t="inlineStr">
        <is>
          <t>Sales, Marketing &amp; Support</t>
        </is>
      </c>
      <c r="AO19" s="159" t="inlineStr">
        <is>
          <t>Sales</t>
        </is>
      </c>
      <c r="AP19" s="159" t="inlineStr">
        <is>
          <t>Non-technical</t>
        </is>
      </c>
      <c r="AQ19" s="159" t="n">
        <v>20</v>
      </c>
      <c r="AR19" s="159" t="inlineStr">
        <is>
          <t>Covered</t>
        </is>
      </c>
      <c r="AS19" s="159" t="n"/>
      <c r="AT19" s="159" t="n"/>
      <c r="AU19" s="159" t="n"/>
      <c r="AV19" s="159" t="n"/>
      <c r="AW19" s="159" t="n"/>
      <c r="AX19" s="159" t="n"/>
      <c r="AY19" s="159" t="n"/>
      <c r="AZ19" s="159" t="n"/>
      <c r="BA19" s="159" t="n"/>
      <c r="BB19" s="159" t="n"/>
      <c r="BC19" s="159" t="n"/>
      <c r="BD19" s="159" t="n"/>
      <c r="BE19" s="159" t="n"/>
      <c r="BF19" s="159" t="n"/>
      <c r="BG19" s="159" t="n"/>
      <c r="BH19" s="159" t="n"/>
      <c r="BI19" s="159" t="n"/>
      <c r="BJ19" s="159" t="n"/>
      <c r="BK19" s="159" t="n"/>
      <c r="BL19" s="159" t="n"/>
      <c r="BM19" s="159" t="n"/>
      <c r="BN19" s="159" t="n"/>
      <c r="BO19" s="159" t="n"/>
      <c r="BP19" s="159" t="n"/>
      <c r="BQ19" s="159" t="n"/>
      <c r="BR19" s="159" t="n"/>
      <c r="BS19" s="159" t="n"/>
      <c r="BT19" s="159" t="n"/>
      <c r="BU19" s="159" t="n"/>
      <c r="BV19" s="159" t="n"/>
      <c r="BW19" s="159" t="n"/>
      <c r="BX19" s="159" t="n"/>
      <c r="BY19" s="159" t="n"/>
      <c r="BZ19" s="159" t="n"/>
      <c r="CA19" s="159" t="n"/>
      <c r="CB19" s="159" t="n"/>
      <c r="CC19" s="159" t="n"/>
      <c r="CD19" s="159" t="n"/>
      <c r="CE19" s="159" t="n"/>
      <c r="CF19" s="159" t="n"/>
      <c r="CG19" s="159" t="n"/>
      <c r="CH19" s="159" t="n"/>
      <c r="CI19" s="159" t="n"/>
      <c r="CJ19" s="159" t="n"/>
      <c r="CK19" s="159" t="n"/>
      <c r="CL19" s="159" t="n"/>
      <c r="CM19" s="159" t="n"/>
      <c r="CN19" s="159" t="n"/>
      <c r="CO19" s="159" t="n"/>
      <c r="CP19" s="159" t="n"/>
      <c r="CQ19" s="159" t="inlineStr">
        <is>
          <t>INTN0302</t>
        </is>
      </c>
      <c r="CR19" s="159" t="inlineStr">
        <is>
          <t>Intern</t>
        </is>
      </c>
      <c r="CS19" s="159" t="inlineStr">
        <is>
          <t>Active</t>
        </is>
      </c>
      <c r="CT19" s="159" t="inlineStr">
        <is>
          <t>Nehal Bohra</t>
        </is>
      </c>
      <c r="CU19" s="160" t="n">
        <v>46135</v>
      </c>
      <c r="CV19" s="159" t="inlineStr">
        <is>
          <t>Intern</t>
        </is>
      </c>
      <c r="CW19" s="159" t="inlineStr">
        <is>
          <t>Sales &amp; Business Development</t>
        </is>
      </c>
      <c r="CX19" s="159" t="inlineStr">
        <is>
          <t>Sales / Account Management</t>
        </is>
      </c>
      <c r="CY19" s="159" t="inlineStr">
        <is>
          <t>Intern</t>
        </is>
      </c>
      <c r="CZ19" s="159" t="inlineStr">
        <is>
          <t>L1 – Intern</t>
        </is>
      </c>
      <c r="DA19" s="159" t="inlineStr">
        <is>
          <t>BBA</t>
        </is>
      </c>
      <c r="DB19" s="159" t="inlineStr">
        <is>
          <t>Amit Jaidka</t>
        </is>
      </c>
      <c r="DC19" s="159" t="inlineStr">
        <is>
          <t>N-3</t>
        </is>
      </c>
      <c r="DD19" s="159" t="inlineStr">
        <is>
          <t>Individual Contributor</t>
        </is>
      </c>
      <c r="DE19" s="159" t="inlineStr">
        <is>
          <t>0 years, 0 months, 0 days</t>
        </is>
      </c>
      <c r="DF19" s="159" t="inlineStr">
        <is>
          <t>0 years, 1 months, 28 days</t>
        </is>
      </c>
      <c r="DG19" s="159" t="inlineStr">
        <is>
          <t>0 years, 1 months, 28 days</t>
        </is>
      </c>
      <c r="DH19" s="159" t="n"/>
      <c r="DI19" s="159" t="inlineStr">
        <is>
          <t>Regtech</t>
        </is>
      </c>
      <c r="DJ19" s="159" t="inlineStr">
        <is>
          <t>iDEAL</t>
        </is>
      </c>
      <c r="DK19" s="159" t="inlineStr">
        <is>
          <t>Sales</t>
        </is>
      </c>
      <c r="DL19" s="159" t="inlineStr">
        <is>
          <t>Sales</t>
        </is>
      </c>
      <c r="DM19" s="159" t="inlineStr">
        <is>
          <t>No</t>
        </is>
      </c>
      <c r="DN19" s="159" t="inlineStr">
        <is>
          <t>Sales, Marketing &amp; Support</t>
        </is>
      </c>
      <c r="DO19" s="159" t="inlineStr">
        <is>
          <t>Sales</t>
        </is>
      </c>
      <c r="DP19" s="159" t="inlineStr">
        <is>
          <t>Non-technical</t>
        </is>
      </c>
      <c r="DQ19" s="159" t="inlineStr">
        <is>
          <t>Hybrid</t>
        </is>
      </c>
      <c r="DR19" s="159" t="n"/>
      <c r="DS19" s="159" t="n"/>
      <c r="DT19" s="159" t="n"/>
      <c r="DU19" s="159" t="n"/>
      <c r="DV19" s="159" t="n"/>
      <c r="DW19" s="159" t="inlineStr">
        <is>
          <t>Same as per records</t>
        </is>
      </c>
      <c r="DX19" s="159" t="n"/>
      <c r="DY19" s="159" t="n"/>
      <c r="DZ19" s="159" t="n"/>
      <c r="EA19" s="159" t="n"/>
      <c r="EB19" s="159" t="n"/>
      <c r="EC19" s="159" t="n"/>
      <c r="ED19" s="159" t="n"/>
      <c r="EE19" s="159" t="inlineStr">
        <is>
          <t>Training on the effective utilization of AI tools.</t>
        </is>
      </c>
      <c r="EF19" s="159" t="n"/>
    </row>
    <row r="20" ht="64" customHeight="1">
      <c r="A20" s="109" t="inlineStr">
        <is>
          <t>IRIS0810</t>
        </is>
      </c>
      <c r="B20" s="111" t="inlineStr">
        <is>
          <t>Jitendra Kumar</t>
        </is>
      </c>
      <c r="C20" s="111" t="inlineStr">
        <is>
          <t>Technology</t>
        </is>
      </c>
      <c r="D20" s="114" t="inlineStr">
        <is>
          <t>Technical Architect</t>
        </is>
      </c>
      <c r="E20" s="114" t="inlineStr">
        <is>
          <t>Practice Lead – Solution &amp; Technical Architecture · Player-Coach</t>
        </is>
      </c>
      <c r="F20" s="114" t="inlineStr">
        <is>
          <t>L3 – Professional / Associate</t>
        </is>
      </c>
      <c r="G20" s="146" t="inlineStr">
        <is>
          <t>B+</t>
        </is>
      </c>
      <c r="H20" s="142" t="inlineStr">
        <is>
          <t>▲ Up</t>
        </is>
      </c>
      <c r="I20" s="111" t="inlineStr">
        <is>
          <t>Engineering &amp; Architecture</t>
        </is>
      </c>
      <c r="J20" s="111" t="inlineStr">
        <is>
          <t>Solution &amp; Technical Architecture</t>
        </is>
      </c>
      <c r="K20" s="111" t="inlineStr"/>
      <c r="L20" s="111" t="n">
        <v>20</v>
      </c>
      <c r="M20" s="139" t="inlineStr">
        <is>
          <t>P5–P6 / M4–M5</t>
        </is>
      </c>
      <c r="N20" s="115" t="inlineStr">
        <is>
          <t>Expert / Senior Manager · player-coach</t>
        </is>
      </c>
      <c r="O20" s="115" t="inlineStr">
        <is>
          <t>5 Ensure, advise</t>
        </is>
      </c>
      <c r="P20" s="115" t="inlineStr">
        <is>
          <t>9–14 yrs</t>
        </is>
      </c>
      <c r="Q20" s="115" t="inlineStr">
        <is>
          <t>9–13 · 9–14</t>
        </is>
      </c>
      <c r="R20" s="115" t="inlineStr">
        <is>
          <t>Tech Lead Manager / Practice Lead · player-coach</t>
        </is>
      </c>
      <c r="S20" s="115" t="inlineStr">
        <is>
          <r>
            <rPr>
              <rFont val="Calibri"/>
              <b val="1"/>
              <sz val="10"/>
            </rPr>
            <t>Google:</t>
          </r>
          <r>
            <rPr>
              <rFont val="Calibri"/>
              <sz val="10"/>
            </rPr>
            <t xml:space="preserve"> Tech Lead Manager · TLM · McKinsey player/coach · 3–5 reports · SaaS: player-coach team lead carrying own work</t>
          </r>
        </is>
      </c>
      <c r="T20" s="115" t="inlineStr">
        <is>
          <t>SFIA 9 · solution architecture; TOGAF; AWS / Azure architect certifications</t>
        </is>
      </c>
      <c r="U20" s="115" t="inlineStr">
        <is>
          <t>Core 4 · Future 4 · Functional 4 · Leadership 4</t>
        </is>
      </c>
      <c r="V20" s="158" t="n">
        <v>91</v>
      </c>
      <c r="W20" s="159" t="inlineStr">
        <is>
          <t>IRIS0810</t>
        </is>
      </c>
      <c r="X20" s="159" t="inlineStr">
        <is>
          <t>Employee</t>
        </is>
      </c>
      <c r="Y20" s="159" t="inlineStr">
        <is>
          <t>Active</t>
        </is>
      </c>
      <c r="Z20" s="159" t="inlineStr">
        <is>
          <t>Jitendra Kumar</t>
        </is>
      </c>
      <c r="AA20" s="244" t="n">
        <v>40751</v>
      </c>
      <c r="AB20" s="159" t="inlineStr">
        <is>
          <t>Technical Architect</t>
        </is>
      </c>
      <c r="AC20" s="159" t="inlineStr">
        <is>
          <t>MCA</t>
        </is>
      </c>
      <c r="AD20" s="159" t="inlineStr">
        <is>
          <t>Hemant Karale</t>
        </is>
      </c>
      <c r="AE20" s="159" t="inlineStr">
        <is>
          <t>N-3</t>
        </is>
      </c>
      <c r="AF20" s="159" t="inlineStr">
        <is>
          <t>Manager</t>
        </is>
      </c>
      <c r="AG20" s="159" t="inlineStr">
        <is>
          <t>1 years, 5 months, 0 days</t>
        </is>
      </c>
      <c r="AH20" s="159" t="inlineStr">
        <is>
          <t>15 years, 0 months, 29 days</t>
        </is>
      </c>
      <c r="AI20" s="159" t="inlineStr">
        <is>
          <t>Regtech</t>
        </is>
      </c>
      <c r="AJ20" s="159" t="inlineStr">
        <is>
          <t>iDEAL</t>
        </is>
      </c>
      <c r="AK20" s="159" t="inlineStr">
        <is>
          <t>Technology</t>
        </is>
      </c>
      <c r="AL20" s="159" t="inlineStr">
        <is>
          <t>Development</t>
        </is>
      </c>
      <c r="AM20" s="159" t="inlineStr">
        <is>
          <t>Yes</t>
        </is>
      </c>
      <c r="AN20" s="159" t="inlineStr">
        <is>
          <t>Product/Project</t>
        </is>
      </c>
      <c r="AO20" s="159" t="inlineStr">
        <is>
          <t>.NET MVC</t>
        </is>
      </c>
      <c r="AP20" s="159" t="inlineStr">
        <is>
          <t>Technical - Developer</t>
        </is>
      </c>
      <c r="AQ20" s="159" t="n">
        <v>20</v>
      </c>
      <c r="AR20" s="159" t="inlineStr">
        <is>
          <t>Covered</t>
        </is>
      </c>
      <c r="AS20" s="159" t="n"/>
      <c r="AT20" s="159" t="n"/>
      <c r="AU20" s="159" t="n"/>
      <c r="AV20" s="159" t="n"/>
      <c r="AW20" s="159" t="n"/>
      <c r="AX20" s="159" t="n"/>
      <c r="AY20" s="159" t="n"/>
      <c r="AZ20" s="159" t="n"/>
      <c r="BA20" s="159" t="n"/>
      <c r="BB20" s="159" t="n"/>
      <c r="BC20" s="159" t="n"/>
      <c r="BD20" s="159" t="n"/>
      <c r="BE20" s="159" t="n"/>
      <c r="BF20" s="159" t="n"/>
      <c r="BG20" s="159" t="n"/>
      <c r="BH20" s="159" t="n"/>
      <c r="BI20" s="159" t="n"/>
      <c r="BJ20" s="159" t="n"/>
      <c r="BK20" s="159" t="n"/>
      <c r="BL20" s="159" t="n"/>
      <c r="BM20" s="159" t="n"/>
      <c r="BN20" s="159" t="n"/>
      <c r="BO20" s="159" t="n"/>
      <c r="BP20" s="159" t="n"/>
      <c r="BQ20" s="159" t="n"/>
      <c r="BR20" s="159" t="n"/>
      <c r="BS20" s="159" t="n"/>
      <c r="BT20" s="159" t="n"/>
      <c r="BU20" s="159" t="n"/>
      <c r="BV20" s="159" t="n"/>
      <c r="BW20" s="159" t="n"/>
      <c r="BX20" s="159" t="n"/>
      <c r="BY20" s="159" t="n"/>
      <c r="BZ20" s="159" t="n"/>
      <c r="CA20" s="159" t="n"/>
      <c r="CB20" s="159" t="n"/>
      <c r="CC20" s="159" t="n"/>
      <c r="CD20" s="159" t="n"/>
      <c r="CE20" s="159" t="n"/>
      <c r="CF20" s="159" t="n"/>
      <c r="CG20" s="159" t="n"/>
      <c r="CH20" s="159" t="n"/>
      <c r="CI20" s="159" t="n"/>
      <c r="CJ20" s="159" t="n"/>
      <c r="CK20" s="159" t="n"/>
      <c r="CL20" s="159" t="n"/>
      <c r="CM20" s="159" t="n"/>
      <c r="CN20" s="159" t="n"/>
      <c r="CO20" s="159" t="n"/>
      <c r="CP20" s="159" t="n"/>
      <c r="CQ20" s="159" t="inlineStr">
        <is>
          <t>IRIS0810</t>
        </is>
      </c>
      <c r="CR20" s="159" t="inlineStr">
        <is>
          <t>Employee</t>
        </is>
      </c>
      <c r="CS20" s="159" t="inlineStr">
        <is>
          <t>Active</t>
        </is>
      </c>
      <c r="CT20" s="159" t="inlineStr">
        <is>
          <t>Jitendra Kumar</t>
        </is>
      </c>
      <c r="CU20" s="160" t="n">
        <v>40751</v>
      </c>
      <c r="CV20" s="159" t="inlineStr">
        <is>
          <t>Technical Architect</t>
        </is>
      </c>
      <c r="CW20" s="159" t="inlineStr">
        <is>
          <t>Engineering &amp; Architecture</t>
        </is>
      </c>
      <c r="CX20" s="159" t="inlineStr">
        <is>
          <t>Solution / Software Architecture</t>
        </is>
      </c>
      <c r="CY20" s="159" t="inlineStr">
        <is>
          <t>Technical Architect</t>
        </is>
      </c>
      <c r="CZ20" s="159" t="inlineStr">
        <is>
          <t>L3 – Professional / Associate</t>
        </is>
      </c>
      <c r="DA20" s="159" t="inlineStr">
        <is>
          <t>MCA</t>
        </is>
      </c>
      <c r="DB20" s="159" t="inlineStr">
        <is>
          <t>Hemant Karale</t>
        </is>
      </c>
      <c r="DC20" s="159" t="inlineStr">
        <is>
          <t>N-3</t>
        </is>
      </c>
      <c r="DD20" s="159" t="inlineStr">
        <is>
          <t>Manager</t>
        </is>
      </c>
      <c r="DE20" s="159" t="inlineStr">
        <is>
          <t>1 years, 5 months, 0 days</t>
        </is>
      </c>
      <c r="DF20" s="159" t="inlineStr">
        <is>
          <t>14 years, 10 months, 24 days</t>
        </is>
      </c>
      <c r="DG20" s="159" t="inlineStr">
        <is>
          <t>16 years, 3 months, 24 days</t>
        </is>
      </c>
      <c r="DH20" s="159" t="n">
        <v>14.8990867579909</v>
      </c>
      <c r="DI20" s="159" t="inlineStr">
        <is>
          <t>Regtech</t>
        </is>
      </c>
      <c r="DJ20" s="159" t="inlineStr">
        <is>
          <t>iDEAL</t>
        </is>
      </c>
      <c r="DK20" s="159" t="inlineStr">
        <is>
          <t>Technology</t>
        </is>
      </c>
      <c r="DL20" s="159" t="inlineStr">
        <is>
          <t>Development</t>
        </is>
      </c>
      <c r="DM20" s="159" t="inlineStr">
        <is>
          <t>Yes</t>
        </is>
      </c>
      <c r="DN20" s="159" t="inlineStr">
        <is>
          <t>Product/Project</t>
        </is>
      </c>
      <c r="DO20" s="159" t="inlineStr">
        <is>
          <t>.NET MVC</t>
        </is>
      </c>
      <c r="DP20" s="159" t="inlineStr">
        <is>
          <t>Technical - Developer</t>
        </is>
      </c>
      <c r="DQ20" s="159" t="inlineStr">
        <is>
          <t>Work From Office - Turbhe</t>
        </is>
      </c>
      <c r="DR20" s="159" t="inlineStr">
        <is>
          <t>1. Identify and develop AI-driven functionalities to improve business efficiency and operational effectiveness.
2. Successfully launch iDEAL 6.0 with enhanced functionality and improved features.
3. Design and develop an end-to-end iDEAL solution addressing ETL and reporting requirements.
4. Drive an AI-First approach across Development and Project Management practices.
5. Implement project management and issue-tracking solutions to strengthen the Software Development Life Cycle · SDLC.
6. Develop and mentor technical leaders within the engineering team.</t>
        </is>
      </c>
      <c r="DS20" s="159"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DT20" s="159" t="inlineStr">
        <is>
          <t>1.Strengthen and enhance support for QCB, QFCRA, and EU Taxonomy compliance requirements.
2.Conduct requirement gathering, analysis, and project planning for SARB MVP4.
3.Develop iDEAL 6.0 in compliance with established security standards and guidelines.
4.Develop and enhance TableLinkBase Rendering functionality.
5.Expand AI adoption across Development and Project Management processes.</t>
        </is>
      </c>
      <c r="DU20" s="159" t="n">
        <v>4</v>
      </c>
      <c r="DV20" s="159" t="n"/>
      <c r="DW20" s="159" t="inlineStr">
        <is>
          <t>Same as per records</t>
        </is>
      </c>
      <c r="DX20" s="159" t="n"/>
      <c r="DY20" s="159" t="n"/>
      <c r="DZ20" s="159" t="n"/>
      <c r="EA20" s="159" t="n"/>
      <c r="EB20" s="159" t="n"/>
      <c r="EC20" s="159" t="n"/>
      <c r="ED20" s="159" t="n"/>
      <c r="EE20" s="159" t="inlineStr">
        <is>
          <t>Training on the effective utilization of AI tools.</t>
        </is>
      </c>
      <c r="EF20" s="159" t="n"/>
    </row>
    <row r="21" ht="64" customHeight="1">
      <c r="A21" s="109" t="inlineStr">
        <is>
          <t>IRIS2104</t>
        </is>
      </c>
      <c r="B21" s="111" t="inlineStr">
        <is>
          <t>Ravi Ranjan</t>
        </is>
      </c>
      <c r="C21" s="111" t="inlineStr">
        <is>
          <t>Technology</t>
        </is>
      </c>
      <c r="D21" s="111" t="inlineStr">
        <is>
          <t>Lead Software Engineer</t>
        </is>
      </c>
      <c r="E21" s="111" t="inlineStr">
        <is>
          <t>Lead Software Engineer</t>
        </is>
      </c>
      <c r="F21" s="111" t="inlineStr">
        <is>
          <t>L5 – Lead · IC</t>
        </is>
      </c>
      <c r="G21" s="27" t="inlineStr">
        <is>
          <t>B3</t>
        </is>
      </c>
      <c r="H21" s="118" t="inlineStr">
        <is>
          <t>• Same level</t>
        </is>
      </c>
      <c r="I21" s="111" t="inlineStr">
        <is>
          <t>Engineering &amp; Development</t>
        </is>
      </c>
      <c r="J21" s="111" t="inlineStr">
        <is>
          <t>Backend Development</t>
        </is>
      </c>
      <c r="K21" s="111" t="inlineStr"/>
      <c r="L21" s="111" t="n">
        <v>20</v>
      </c>
      <c r="M21" s="139" t="inlineStr">
        <is>
          <t>P5 / M4</t>
        </is>
      </c>
      <c r="N21" s="115" t="inlineStr">
        <is>
          <t>Expert / Senior Manager</t>
        </is>
      </c>
      <c r="O21" s="115" t="inlineStr">
        <is>
          <t>5 Ensure, advise</t>
        </is>
      </c>
      <c r="P21" s="115" t="inlineStr">
        <is>
          <t>8–12 yrs</t>
        </is>
      </c>
      <c r="Q21" s="115" t="inlineStr">
        <is>
          <t>9–13 · 9–14</t>
        </is>
      </c>
      <c r="R21" s="115" t="inlineStr">
        <is>
          <t>Principal Engineer</t>
        </is>
      </c>
      <c r="S21" s="115" t="inlineStr">
        <is>
          <r>
            <rPr>
              <rFont val="Calibri"/>
              <b val="1"/>
              <sz val="10"/>
            </rPr>
            <t>Workiva:</t>
          </r>
          <r>
            <rPr>
              <rFont val="Calibri"/>
              <sz val="10"/>
            </rPr>
            <t xml:space="preserve"> Staff SE · Broadridge India: Senior Lead SE · Nasdaq / AxiomSL: Lead SE · Salesforce: LMTS · Atlassian: P50 Senior · Freshworks: Staff SE</t>
          </r>
        </is>
      </c>
      <c r="T21" s="115" t="inlineStr">
        <is>
          <t>SFIA 9 · software development, programming; OWASP secure coding; cloud vendor certifications</t>
        </is>
      </c>
      <c r="U21" s="115" t="inlineStr">
        <is>
          <t>Core 4 · Future 3 · Functional 4 · Leadership 3</t>
        </is>
      </c>
      <c r="V21" s="158" t="n">
        <v>264</v>
      </c>
      <c r="W21" s="159" t="inlineStr">
        <is>
          <t>IRIS2104</t>
        </is>
      </c>
      <c r="X21" s="159" t="inlineStr">
        <is>
          <t>Employee</t>
        </is>
      </c>
      <c r="Y21" s="159" t="inlineStr">
        <is>
          <t>Active</t>
        </is>
      </c>
      <c r="Z21" s="159" t="inlineStr">
        <is>
          <t>Ravi Ranjan</t>
        </is>
      </c>
      <c r="AA21" s="244" t="n">
        <v>44986</v>
      </c>
      <c r="AB21" s="159" t="inlineStr">
        <is>
          <t>Lead Software Engineer</t>
        </is>
      </c>
      <c r="AC21" s="159" t="inlineStr">
        <is>
          <t>MCA</t>
        </is>
      </c>
      <c r="AD21" s="159" t="inlineStr">
        <is>
          <t>Hemant Karale</t>
        </is>
      </c>
      <c r="AE21" s="159" t="inlineStr">
        <is>
          <t>N-3</t>
        </is>
      </c>
      <c r="AF21" s="159" t="inlineStr">
        <is>
          <t>Individual Contributor</t>
        </is>
      </c>
      <c r="AG21" s="159" t="inlineStr">
        <is>
          <t>22 years, 0 months, 0 days</t>
        </is>
      </c>
      <c r="AH21" s="159" t="inlineStr">
        <is>
          <t>3 years, 5 months, 24 days</t>
        </is>
      </c>
      <c r="AI21" s="159" t="inlineStr">
        <is>
          <t>Regtech</t>
        </is>
      </c>
      <c r="AJ21" s="159" t="inlineStr">
        <is>
          <t>iDEAL</t>
        </is>
      </c>
      <c r="AK21" s="159" t="inlineStr">
        <is>
          <t>Technology</t>
        </is>
      </c>
      <c r="AL21" s="159" t="inlineStr">
        <is>
          <t>Development</t>
        </is>
      </c>
      <c r="AM21" s="159" t="inlineStr">
        <is>
          <t>Yes</t>
        </is>
      </c>
      <c r="AN21" s="159" t="inlineStr">
        <is>
          <t>Product/Project</t>
        </is>
      </c>
      <c r="AO21" s="159" t="inlineStr">
        <is>
          <t>.NET MVC</t>
        </is>
      </c>
      <c r="AP21" s="159" t="inlineStr">
        <is>
          <t>Technical - Developer</t>
        </is>
      </c>
      <c r="AQ21" s="159" t="n">
        <v>20</v>
      </c>
      <c r="AR21" s="159" t="inlineStr">
        <is>
          <t>Covered</t>
        </is>
      </c>
      <c r="AS21" s="159" t="n"/>
      <c r="AT21" s="159" t="n"/>
      <c r="AU21" s="159" t="n"/>
      <c r="AV21" s="159" t="n"/>
      <c r="AW21" s="159" t="n"/>
      <c r="AX21" s="159" t="n"/>
      <c r="AY21" s="159" t="n"/>
      <c r="AZ21" s="159" t="n"/>
      <c r="BA21" s="159" t="n"/>
      <c r="BB21" s="159" t="n"/>
      <c r="BC21" s="159" t="n"/>
      <c r="BD21" s="159" t="n"/>
      <c r="BE21" s="159" t="n"/>
      <c r="BF21" s="159" t="n"/>
      <c r="BG21" s="159" t="n"/>
      <c r="BH21" s="159" t="n"/>
      <c r="BI21" s="159" t="n"/>
      <c r="BJ21" s="159" t="n"/>
      <c r="BK21" s="159" t="n"/>
      <c r="BL21" s="159" t="n"/>
      <c r="BM21" s="159" t="n"/>
      <c r="BN21" s="159" t="n"/>
      <c r="BO21" s="159" t="n"/>
      <c r="BP21" s="159" t="n"/>
      <c r="BQ21" s="159" t="n"/>
      <c r="BR21" s="159" t="n"/>
      <c r="BS21" s="159" t="n"/>
      <c r="BT21" s="159" t="n"/>
      <c r="BU21" s="159" t="n"/>
      <c r="BV21" s="159" t="n"/>
      <c r="BW21" s="159" t="n"/>
      <c r="BX21" s="159" t="n"/>
      <c r="BY21" s="159" t="n"/>
      <c r="BZ21" s="159" t="n"/>
      <c r="CA21" s="159" t="n"/>
      <c r="CB21" s="159" t="n"/>
      <c r="CC21" s="159" t="n"/>
      <c r="CD21" s="159" t="n"/>
      <c r="CE21" s="159" t="n"/>
      <c r="CF21" s="159" t="n"/>
      <c r="CG21" s="159" t="n"/>
      <c r="CH21" s="159" t="n"/>
      <c r="CI21" s="159" t="n"/>
      <c r="CJ21" s="159" t="n"/>
      <c r="CK21" s="159" t="n"/>
      <c r="CL21" s="159" t="n"/>
      <c r="CM21" s="159" t="n"/>
      <c r="CN21" s="159" t="n"/>
      <c r="CO21" s="159" t="n"/>
      <c r="CP21" s="159" t="n"/>
      <c r="CQ21" s="159" t="inlineStr">
        <is>
          <t>IRIS2104</t>
        </is>
      </c>
      <c r="CR21" s="159" t="inlineStr">
        <is>
          <t>Employee</t>
        </is>
      </c>
      <c r="CS21" s="159" t="inlineStr">
        <is>
          <t>Active</t>
        </is>
      </c>
      <c r="CT21" s="159" t="inlineStr">
        <is>
          <t>Ravi Ranjan</t>
        </is>
      </c>
      <c r="CU21" s="160" t="n">
        <v>44986</v>
      </c>
      <c r="CV21" s="159" t="inlineStr">
        <is>
          <t>Lead Software Engineer</t>
        </is>
      </c>
      <c r="CW21" s="159" t="inlineStr">
        <is>
          <t>Engineering &amp; Development</t>
        </is>
      </c>
      <c r="CX21" s="159" t="inlineStr">
        <is>
          <t>Backend Engineering ·.NET</t>
        </is>
      </c>
      <c r="CY21" s="159" t="inlineStr">
        <is>
          <t>Lead Software Engineer</t>
        </is>
      </c>
      <c r="CZ21" s="159" t="inlineStr">
        <is>
          <t>L5 – Lead · IC</t>
        </is>
      </c>
      <c r="DA21" s="159" t="inlineStr">
        <is>
          <t>MCA</t>
        </is>
      </c>
      <c r="DB21" s="159" t="inlineStr">
        <is>
          <t>Hemant Karale</t>
        </is>
      </c>
      <c r="DC21" s="159" t="inlineStr">
        <is>
          <t>N-3</t>
        </is>
      </c>
      <c r="DD21" s="159" t="inlineStr">
        <is>
          <t>Individual Contributor</t>
        </is>
      </c>
      <c r="DE21" s="159" t="inlineStr">
        <is>
          <t>22 years, 0 months, 0 days</t>
        </is>
      </c>
      <c r="DF21" s="159" t="inlineStr">
        <is>
          <t>3 years, 3 months, 19 days</t>
        </is>
      </c>
      <c r="DG21" s="159" t="inlineStr">
        <is>
          <t>25 years, 3 months, 19 days</t>
        </is>
      </c>
      <c r="DH21" s="159" t="n"/>
      <c r="DI21" s="159" t="inlineStr">
        <is>
          <t>Regtech</t>
        </is>
      </c>
      <c r="DJ21" s="159" t="inlineStr">
        <is>
          <t>iDEAL</t>
        </is>
      </c>
      <c r="DK21" s="159" t="inlineStr">
        <is>
          <t>Technology</t>
        </is>
      </c>
      <c r="DL21" s="159" t="inlineStr">
        <is>
          <t>Development</t>
        </is>
      </c>
      <c r="DM21" s="159" t="inlineStr">
        <is>
          <t>Yes</t>
        </is>
      </c>
      <c r="DN21" s="159" t="inlineStr">
        <is>
          <t>Product/Project</t>
        </is>
      </c>
      <c r="DO21" s="159" t="inlineStr">
        <is>
          <t>.NET MVC</t>
        </is>
      </c>
      <c r="DP21" s="159" t="inlineStr">
        <is>
          <t>Technical - Developer</t>
        </is>
      </c>
      <c r="DQ21" s="159" t="inlineStr">
        <is>
          <t>Remote- Outside Mumbai</t>
        </is>
      </c>
      <c r="DR21" s="159" t="inlineStr">
        <is>
          <t>1. iDEAL 6.0 Architecture Design
2. iDEAL Feature Enhancements 
3. iDEAL Performance Optimisation
4. iDEAL Security Hardening
5. AI Adoption &amp; Team Enablement</t>
        </is>
      </c>
      <c r="DS21" s="159"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DT21" s="159" t="inlineStr">
        <is>
          <t>1. AI Feature Planning and Road Map to be completed 
2. AI adoption and training to the team should be initiated 
3. iDEAL Readiness for EU, Qatar and Jordan Markets</t>
        </is>
      </c>
      <c r="DU21" s="159" t="n">
        <v>4</v>
      </c>
      <c r="DV21" s="159" t="n"/>
      <c r="DW21" s="159" t="inlineStr">
        <is>
          <t>Same as per records</t>
        </is>
      </c>
      <c r="DX21" s="159" t="n"/>
      <c r="DY21" s="159" t="n"/>
      <c r="DZ21" s="159" t="n"/>
      <c r="EA21" s="159" t="n"/>
      <c r="EB21" s="159" t="n"/>
      <c r="EC21" s="159" t="n"/>
      <c r="ED21" s="159" t="inlineStr">
        <is>
          <t>Yes</t>
        </is>
      </c>
      <c r="EE21" s="159" t="inlineStr">
        <is>
          <t>XBRL Training, Training on the effective utilization of AI tools.</t>
        </is>
      </c>
      <c r="EF21" s="159" t="n"/>
    </row>
    <row r="22" ht="64" customHeight="1">
      <c r="A22" s="109" t="inlineStr">
        <is>
          <t>IRIS1178</t>
        </is>
      </c>
      <c r="B22" s="111" t="inlineStr">
        <is>
          <t>Anand Shinde</t>
        </is>
      </c>
      <c r="C22" s="111" t="inlineStr">
        <is>
          <t>Technology</t>
        </is>
      </c>
      <c r="D22" s="114" t="inlineStr">
        <is>
          <t>Senior Business Analyst</t>
        </is>
      </c>
      <c r="E22" s="114" t="inlineStr">
        <is>
          <t>Business Analysis Specialist</t>
        </is>
      </c>
      <c r="F22" s="114" t="inlineStr">
        <is>
          <t>L4 – Senior</t>
        </is>
      </c>
      <c r="G22" s="114" t="inlineStr">
        <is>
          <t>B1</t>
        </is>
      </c>
      <c r="H22" s="142" t="inlineStr">
        <is>
          <t>▲ Up</t>
        </is>
      </c>
      <c r="I22" s="111" t="inlineStr">
        <is>
          <t>Business Analysis</t>
        </is>
      </c>
      <c r="J22" s="111" t="inlineStr">
        <is>
          <t>Business Analysis</t>
        </is>
      </c>
      <c r="K22" s="111" t="inlineStr"/>
      <c r="L22" s="111" t="n">
        <v>20</v>
      </c>
      <c r="M22" s="139" t="inlineStr">
        <is>
          <t>P3 / M2</t>
        </is>
      </c>
      <c r="N22" s="115" t="inlineStr">
        <is>
          <t>Career / · Team Lead</t>
        </is>
      </c>
      <c r="O22" s="115" t="inlineStr">
        <is>
          <t>4 Enable</t>
        </is>
      </c>
      <c r="P22" s="115" t="inlineStr">
        <is>
          <t>4–7 yrs</t>
        </is>
      </c>
      <c r="Q22" s="115" t="inlineStr">
        <is>
          <t>5–8 · 4–8</t>
        </is>
      </c>
      <c r="R22" s="115" t="inlineStr">
        <is>
          <t>Senior Business Analyst</t>
        </is>
      </c>
      <c r="S22" s="115" t="inlineStr">
        <is>
          <t>Regnology — regulatory reporting: BA · Reg Reporting · Big Four consulting: Senior Consultant · IRIS Vs Market Benchmark — IIBA certification pathway: CCBA · Infosys / Accenture: JL4 · L9 Consultant</t>
        </is>
      </c>
      <c r="T22" s="115" t="inlineStr">
        <is>
          <t>IIBA BABOK v3; certifications ECBA · entry → CCBA → CBAP · senior</t>
        </is>
      </c>
      <c r="U22" s="115" t="inlineStr">
        <is>
          <t>Core 3 · Future 3 · Functional 3 · Leadership 1</t>
        </is>
      </c>
      <c r="V22" s="158" t="n">
        <v>111</v>
      </c>
      <c r="W22" s="159" t="inlineStr">
        <is>
          <t>IRIS1178</t>
        </is>
      </c>
      <c r="X22" s="159" t="inlineStr">
        <is>
          <t>Employee</t>
        </is>
      </c>
      <c r="Y22" s="159" t="inlineStr">
        <is>
          <t>Active</t>
        </is>
      </c>
      <c r="Z22" s="159" t="inlineStr">
        <is>
          <t>Anand Shinde</t>
        </is>
      </c>
      <c r="AA22" s="244" t="n">
        <v>41078</v>
      </c>
      <c r="AB22" s="159" t="inlineStr">
        <is>
          <t>Senior Business Analyst</t>
        </is>
      </c>
      <c r="AC22" s="159" t="inlineStr">
        <is>
          <t>MBA</t>
        </is>
      </c>
      <c r="AD22" s="159" t="inlineStr">
        <is>
          <t>Yuvraj Kharchane</t>
        </is>
      </c>
      <c r="AE22" s="159" t="inlineStr">
        <is>
          <t>N-4</t>
        </is>
      </c>
      <c r="AF22" s="159" t="inlineStr">
        <is>
          <t>Individual Contributor</t>
        </is>
      </c>
      <c r="AG22" s="159" t="inlineStr">
        <is>
          <t>0 years, 0 months, 0 days</t>
        </is>
      </c>
      <c r="AH22" s="159" t="inlineStr">
        <is>
          <t>14 years, 2 months, 7 days</t>
        </is>
      </c>
      <c r="AI22" s="159" t="inlineStr">
        <is>
          <t>Regtech</t>
        </is>
      </c>
      <c r="AJ22" s="159" t="inlineStr">
        <is>
          <t>iDEAL</t>
        </is>
      </c>
      <c r="AK22" s="159" t="inlineStr">
        <is>
          <t>Technology</t>
        </is>
      </c>
      <c r="AL22" s="159" t="inlineStr">
        <is>
          <t>Business Analysis</t>
        </is>
      </c>
      <c r="AM22" s="159" t="inlineStr">
        <is>
          <t>No</t>
        </is>
      </c>
      <c r="AN22" s="159" t="inlineStr">
        <is>
          <t>Product/Project</t>
        </is>
      </c>
      <c r="AO22" s="159" t="inlineStr">
        <is>
          <t>Business Analysis</t>
        </is>
      </c>
      <c r="AP22" s="159" t="inlineStr">
        <is>
          <t>Technical · BA, PM and QA</t>
        </is>
      </c>
      <c r="AQ22" s="159" t="n">
        <v>20</v>
      </c>
      <c r="AR22" s="159" t="inlineStr">
        <is>
          <t>Covered</t>
        </is>
      </c>
      <c r="AS22" s="159" t="n"/>
      <c r="AT22" s="159" t="n"/>
      <c r="AU22" s="159" t="n"/>
      <c r="AV22" s="159" t="n"/>
      <c r="AW22" s="159" t="n"/>
      <c r="AX22" s="159" t="n"/>
      <c r="AY22" s="159" t="n"/>
      <c r="AZ22" s="159" t="n"/>
      <c r="BA22" s="159" t="n"/>
      <c r="BB22" s="159" t="n"/>
      <c r="BC22" s="159" t="n"/>
      <c r="BD22" s="159" t="n"/>
      <c r="BE22" s="159" t="n"/>
      <c r="BF22" s="159" t="n"/>
      <c r="BG22" s="159" t="n"/>
      <c r="BH22" s="159" t="n"/>
      <c r="BI22" s="159" t="n"/>
      <c r="BJ22" s="159" t="n"/>
      <c r="BK22" s="159" t="n"/>
      <c r="BL22" s="159" t="n"/>
      <c r="BM22" s="159" t="n"/>
      <c r="BN22" s="159" t="n"/>
      <c r="BO22" s="159" t="n"/>
      <c r="BP22" s="159" t="n"/>
      <c r="BQ22" s="159" t="n"/>
      <c r="BR22" s="159" t="n"/>
      <c r="BS22" s="159" t="n"/>
      <c r="BT22" s="159" t="n"/>
      <c r="BU22" s="159" t="n"/>
      <c r="BV22" s="159" t="n"/>
      <c r="BW22" s="159" t="n"/>
      <c r="BX22" s="159" t="n"/>
      <c r="BY22" s="159" t="n"/>
      <c r="BZ22" s="159" t="n"/>
      <c r="CA22" s="159" t="n"/>
      <c r="CB22" s="159" t="n"/>
      <c r="CC22" s="159" t="n"/>
      <c r="CD22" s="159" t="n"/>
      <c r="CE22" s="159" t="n"/>
      <c r="CF22" s="159" t="n"/>
      <c r="CG22" s="159" t="n"/>
      <c r="CH22" s="159" t="n"/>
      <c r="CI22" s="159" t="n"/>
      <c r="CJ22" s="159" t="n"/>
      <c r="CK22" s="159" t="n"/>
      <c r="CL22" s="159" t="n"/>
      <c r="CM22" s="159" t="n"/>
      <c r="CN22" s="159" t="n"/>
      <c r="CO22" s="159" t="n"/>
      <c r="CP22" s="159" t="n"/>
      <c r="CQ22" s="159" t="inlineStr">
        <is>
          <t>IRIS1178</t>
        </is>
      </c>
      <c r="CR22" s="159" t="inlineStr">
        <is>
          <t>Employee</t>
        </is>
      </c>
      <c r="CS22" s="159" t="inlineStr">
        <is>
          <t>Active</t>
        </is>
      </c>
      <c r="CT22" s="159" t="inlineStr">
        <is>
          <t>Anand Shinde</t>
        </is>
      </c>
      <c r="CU22" s="160" t="n">
        <v>41078</v>
      </c>
      <c r="CV22" s="159" t="inlineStr">
        <is>
          <t>Senior Business Analyst</t>
        </is>
      </c>
      <c r="CW22" s="159" t="inlineStr">
        <is>
          <t>Business Analysis</t>
        </is>
      </c>
      <c r="CX22" s="159" t="inlineStr">
        <is>
          <t>Business / Functional Analysis</t>
        </is>
      </c>
      <c r="CY22" s="159" t="inlineStr">
        <is>
          <t>Senior Business Analyst</t>
        </is>
      </c>
      <c r="CZ22" s="159" t="inlineStr">
        <is>
          <t>L4 – Senior</t>
        </is>
      </c>
      <c r="DA22" s="159" t="inlineStr">
        <is>
          <t>MBA</t>
        </is>
      </c>
      <c r="DB22" s="159" t="inlineStr">
        <is>
          <t>Yuvraj Kharchane</t>
        </is>
      </c>
      <c r="DC22" s="159" t="inlineStr">
        <is>
          <t>N-4</t>
        </is>
      </c>
      <c r="DD22" s="159" t="inlineStr">
        <is>
          <t>Individual Contributor</t>
        </is>
      </c>
      <c r="DE22" s="159" t="inlineStr">
        <is>
          <t>0 years, 0 months, 0 days</t>
        </is>
      </c>
      <c r="DF22" s="159" t="inlineStr">
        <is>
          <t>14 years, 0 months, 2 days</t>
        </is>
      </c>
      <c r="DG22" s="159" t="inlineStr">
        <is>
          <t>14 years, 0 months, 2 days</t>
        </is>
      </c>
      <c r="DH22" s="159" t="n"/>
      <c r="DI22" s="159" t="inlineStr">
        <is>
          <t>Regtech</t>
        </is>
      </c>
      <c r="DJ22" s="159" t="inlineStr">
        <is>
          <t>iDEAL</t>
        </is>
      </c>
      <c r="DK22" s="159" t="inlineStr">
        <is>
          <t>Technology</t>
        </is>
      </c>
      <c r="DL22" s="159" t="inlineStr">
        <is>
          <t>Business Analysis</t>
        </is>
      </c>
      <c r="DM22" s="159" t="inlineStr">
        <is>
          <t>No</t>
        </is>
      </c>
      <c r="DN22" s="159" t="inlineStr">
        <is>
          <t>Product/Project</t>
        </is>
      </c>
      <c r="DO22" s="159" t="inlineStr">
        <is>
          <t>Business Analysis</t>
        </is>
      </c>
      <c r="DP22" s="159" t="inlineStr">
        <is>
          <t>Technical · BA, PM and QA</t>
        </is>
      </c>
      <c r="DQ22" s="159" t="inlineStr">
        <is>
          <t>Remote - Mumbai</t>
        </is>
      </c>
      <c r="DR22" s="159" t="inlineStr">
        <is>
          <t>1. Successfully complete the development of upcoming RBI regulatory returns planned for this quarter. Focus on delivering the three high-impact frequency-based returns, including the RAQ return, which involves significant functional and technical changes, while ensuring quality and timely delivery.
2. To develop complete expertise in EBR-related returns, understand the end-to-end process, independently handle client errors and queries, and efficiently manage all development-related activities.
3. Initiate and actively participate in Business Requirement Document · BRD discussions, prepare functional specifications, and support solution customization/development activities to ensure accurate translation of business requirements into delivered solutions.
4. Actively support team members by resolving complex functional issues, sharing domain knowledge, conducting knowledge-sharing sessions, and mentoring colleagues to improve overall team capability and delivery quality.
5. Enhance Business Analysis capabilities by completing at least one professional certification or training program and applying best practices in requirement gathering, impact analysis, stakeholder management, and documentation.</t>
        </is>
      </c>
      <c r="DS22" s="159"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DT22" s="159" t="inlineStr">
        <is>
          <t>1. Acquire in-depth knowledge of EBR SDMX reports, validations, and implementation processes to independently provide effective client support for assigned clients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Continue to ensure all assigned EBA taxonomy and reports are analysed, developed, tested, and implemented in both the Excel and database applications within the prescribed timelines.
4.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DU22" s="159" t="n">
        <v>5</v>
      </c>
      <c r="DV22" s="160" t="n">
        <v>45931</v>
      </c>
      <c r="DW22" s="159" t="inlineStr">
        <is>
          <t>Same as current designation</t>
        </is>
      </c>
      <c r="DX22" s="159" t="inlineStr">
        <is>
          <t>No</t>
        </is>
      </c>
      <c r="DY22" s="159" t="n">
        <v>5</v>
      </c>
      <c r="DZ22" s="159" t="inlineStr">
        <is>
          <t>High</t>
        </is>
      </c>
      <c r="EA22" s="159" t="inlineStr">
        <is>
          <t>Trusted Professional</t>
        </is>
      </c>
      <c r="EB22" s="159" t="inlineStr">
        <is>
          <t>Ready in 12 Months</t>
        </is>
      </c>
      <c r="EC22" s="159" t="inlineStr">
        <is>
          <t>No</t>
        </is>
      </c>
      <c r="ED22" s="159" t="inlineStr">
        <is>
          <t>Yes</t>
        </is>
      </c>
      <c r="EE22" s="159" t="inlineStr">
        <is>
          <t>Training on the effective utilization of AI tools.</t>
        </is>
      </c>
      <c r="EF22" s="159" t="n"/>
    </row>
    <row r="23" ht="64" customHeight="1">
      <c r="A23" s="109" t="inlineStr">
        <is>
          <t>IRIS1947</t>
        </is>
      </c>
      <c r="B23" s="111" t="inlineStr">
        <is>
          <t>Aroosa Ghole</t>
        </is>
      </c>
      <c r="C23" s="111" t="inlineStr">
        <is>
          <t>Technology</t>
        </is>
      </c>
      <c r="D23" s="114" t="inlineStr">
        <is>
          <t>Senior Business Analyst</t>
        </is>
      </c>
      <c r="E23" s="114" t="inlineStr">
        <is>
          <t>Team Lead – Business Analysis</t>
        </is>
      </c>
      <c r="F23" s="114" t="inlineStr">
        <is>
          <t>L4 – Senior</t>
        </is>
      </c>
      <c r="G23" s="114" t="inlineStr">
        <is>
          <t>B1</t>
        </is>
      </c>
      <c r="H23" s="142" t="inlineStr">
        <is>
          <t>▲ Up</t>
        </is>
      </c>
      <c r="I23" s="111" t="inlineStr">
        <is>
          <t>Business Analysis</t>
        </is>
      </c>
      <c r="J23" s="111" t="inlineStr">
        <is>
          <t>Business Analysis</t>
        </is>
      </c>
      <c r="K23" s="111" t="inlineStr"/>
      <c r="L23" s="111" t="n">
        <v>20</v>
      </c>
      <c r="M23" s="139" t="inlineStr">
        <is>
          <t>P3 / M2</t>
        </is>
      </c>
      <c r="N23" s="115" t="inlineStr">
        <is>
          <t>Career / · Team Lead</t>
        </is>
      </c>
      <c r="O23" s="115" t="inlineStr">
        <is>
          <t>4 Enable</t>
        </is>
      </c>
      <c r="P23" s="115" t="inlineStr">
        <is>
          <t>4–7 yrs</t>
        </is>
      </c>
      <c r="Q23" s="115" t="inlineStr">
        <is>
          <t>5–8 · 4–8</t>
        </is>
      </c>
      <c r="R23" s="115" t="inlineStr">
        <is>
          <t>Team Lead / Assistant Manager</t>
        </is>
      </c>
      <c r="S23" s="115" t="inlineStr">
        <is>
          <t>Regnology — regulatory reporting: BA · Reg Reporting · Big Four consulting: Senior Consultant · IRIS Vs Market Benchmark — IIBA certification pathway: CCBA · Infosys / Accenture: JL4 · L9 Consultant</t>
        </is>
      </c>
      <c r="T23" s="115" t="inlineStr">
        <is>
          <t>IIBA BABOK v3; certifications ECBA · entry → CCBA → CBAP · senior</t>
        </is>
      </c>
      <c r="U23" s="115" t="inlineStr">
        <is>
          <t>Core 3 · Future 3 · Functional 3 · Leadership 2</t>
        </is>
      </c>
      <c r="V23" s="158" t="n">
        <v>195</v>
      </c>
      <c r="W23" s="159" t="inlineStr">
        <is>
          <t>IRIS1947</t>
        </is>
      </c>
      <c r="X23" s="159" t="inlineStr">
        <is>
          <t>Employee</t>
        </is>
      </c>
      <c r="Y23" s="159" t="inlineStr">
        <is>
          <t>Active</t>
        </is>
      </c>
      <c r="Z23" s="159" t="inlineStr">
        <is>
          <t>Aroosa Ghole</t>
        </is>
      </c>
      <c r="AA23" s="244" t="n">
        <v>44431</v>
      </c>
      <c r="AB23" s="159" t="inlineStr">
        <is>
          <t>Senior Business Analyst</t>
        </is>
      </c>
      <c r="AC23" s="159" t="inlineStr">
        <is>
          <t>PGDM</t>
        </is>
      </c>
      <c r="AD23" s="159" t="inlineStr">
        <is>
          <t>Hemant Karale</t>
        </is>
      </c>
      <c r="AE23" s="159" t="inlineStr">
        <is>
          <t>N-3</t>
        </is>
      </c>
      <c r="AF23" s="159" t="inlineStr">
        <is>
          <t>Manager</t>
        </is>
      </c>
      <c r="AG23" s="159" t="inlineStr">
        <is>
          <t>2 years, 5 months, 0 days</t>
        </is>
      </c>
      <c r="AH23" s="159" t="inlineStr">
        <is>
          <t>5 years, 0 months, 2 days</t>
        </is>
      </c>
      <c r="AI23" s="159" t="inlineStr">
        <is>
          <t>Regtech</t>
        </is>
      </c>
      <c r="AJ23" s="159" t="inlineStr">
        <is>
          <t>iDEAL</t>
        </is>
      </c>
      <c r="AK23" s="159" t="inlineStr">
        <is>
          <t>Technology</t>
        </is>
      </c>
      <c r="AL23" s="159" t="inlineStr">
        <is>
          <t>Business Analysis</t>
        </is>
      </c>
      <c r="AM23" s="159" t="inlineStr">
        <is>
          <t>No</t>
        </is>
      </c>
      <c r="AN23" s="159" t="inlineStr">
        <is>
          <t>Product/Project</t>
        </is>
      </c>
      <c r="AO23" s="159" t="inlineStr">
        <is>
          <t>Business Analysis</t>
        </is>
      </c>
      <c r="AP23" s="159" t="inlineStr">
        <is>
          <t>Technical · BA, PM and QA</t>
        </is>
      </c>
      <c r="AQ23" s="159" t="n">
        <v>20</v>
      </c>
      <c r="AR23" s="159" t="inlineStr">
        <is>
          <t>Covered</t>
        </is>
      </c>
      <c r="AS23" s="159" t="n"/>
      <c r="AT23" s="159" t="n"/>
      <c r="AU23" s="159" t="n"/>
      <c r="AV23" s="159" t="n"/>
      <c r="AW23" s="159" t="n"/>
      <c r="AX23" s="159" t="n"/>
      <c r="AY23" s="159" t="n"/>
      <c r="AZ23" s="159" t="n"/>
      <c r="BA23" s="159" t="n"/>
      <c r="BB23" s="159" t="n"/>
      <c r="BC23" s="159" t="n"/>
      <c r="BD23" s="159" t="n"/>
      <c r="BE23" s="159" t="n"/>
      <c r="BF23" s="159" t="n"/>
      <c r="BG23" s="159" t="n"/>
      <c r="BH23" s="159" t="n"/>
      <c r="BI23" s="159" t="n"/>
      <c r="BJ23" s="159" t="n"/>
      <c r="BK23" s="159" t="n"/>
      <c r="BL23" s="159" t="n"/>
      <c r="BM23" s="159" t="n"/>
      <c r="BN23" s="159" t="n"/>
      <c r="BO23" s="159" t="n"/>
      <c r="BP23" s="159" t="n"/>
      <c r="BQ23" s="159" t="n"/>
      <c r="BR23" s="159" t="n"/>
      <c r="BS23" s="159" t="n"/>
      <c r="BT23" s="159" t="n"/>
      <c r="BU23" s="159" t="n"/>
      <c r="BV23" s="159" t="n"/>
      <c r="BW23" s="159" t="n"/>
      <c r="BX23" s="159" t="n"/>
      <c r="BY23" s="159" t="n"/>
      <c r="BZ23" s="159" t="n"/>
      <c r="CA23" s="159" t="n"/>
      <c r="CB23" s="159" t="n"/>
      <c r="CC23" s="159" t="n"/>
      <c r="CD23" s="159" t="n"/>
      <c r="CE23" s="159" t="n"/>
      <c r="CF23" s="159" t="n"/>
      <c r="CG23" s="159" t="n"/>
      <c r="CH23" s="159" t="n"/>
      <c r="CI23" s="159" t="n"/>
      <c r="CJ23" s="159" t="n"/>
      <c r="CK23" s="159" t="n"/>
      <c r="CL23" s="159" t="n"/>
      <c r="CM23" s="159" t="n"/>
      <c r="CN23" s="159" t="n"/>
      <c r="CO23" s="159" t="n"/>
      <c r="CP23" s="159" t="n"/>
      <c r="CQ23" s="159" t="inlineStr">
        <is>
          <t>IRIS1947</t>
        </is>
      </c>
      <c r="CR23" s="159" t="inlineStr">
        <is>
          <t>Employee</t>
        </is>
      </c>
      <c r="CS23" s="159" t="inlineStr">
        <is>
          <t>Active</t>
        </is>
      </c>
      <c r="CT23" s="159" t="inlineStr">
        <is>
          <t>Aroosa Ghole</t>
        </is>
      </c>
      <c r="CU23" s="160" t="n">
        <v>44431</v>
      </c>
      <c r="CV23" s="159" t="inlineStr">
        <is>
          <t>Senior Business Analyst</t>
        </is>
      </c>
      <c r="CW23" s="159" t="inlineStr">
        <is>
          <t>Business Analysis</t>
        </is>
      </c>
      <c r="CX23" s="159" t="inlineStr">
        <is>
          <t>Business / Functional Analysis</t>
        </is>
      </c>
      <c r="CY23" s="159" t="inlineStr">
        <is>
          <t>Senior Business Analyst</t>
        </is>
      </c>
      <c r="CZ23" s="159" t="inlineStr">
        <is>
          <t>L4 – Senior</t>
        </is>
      </c>
      <c r="DA23" s="159" t="inlineStr">
        <is>
          <t>PGDM</t>
        </is>
      </c>
      <c r="DB23" s="159" t="inlineStr">
        <is>
          <t>Hemant Karale</t>
        </is>
      </c>
      <c r="DC23" s="159" t="inlineStr">
        <is>
          <t>N-3</t>
        </is>
      </c>
      <c r="DD23" s="159" t="inlineStr">
        <is>
          <t>Manager</t>
        </is>
      </c>
      <c r="DE23" s="159" t="inlineStr">
        <is>
          <t>2 years, 5 months, 0 days</t>
        </is>
      </c>
      <c r="DF23" s="159" t="inlineStr">
        <is>
          <t>4 years, 9 months, 28 days</t>
        </is>
      </c>
      <c r="DG23" s="159" t="inlineStr">
        <is>
          <t>7 years, 2 months, 28 days</t>
        </is>
      </c>
      <c r="DH23" s="159" t="n">
        <v>4.82671232876712</v>
      </c>
      <c r="DI23" s="159" t="inlineStr">
        <is>
          <t>Regtech</t>
        </is>
      </c>
      <c r="DJ23" s="159" t="inlineStr">
        <is>
          <t>iDEAL</t>
        </is>
      </c>
      <c r="DK23" s="159" t="inlineStr">
        <is>
          <t>Technology</t>
        </is>
      </c>
      <c r="DL23" s="159" t="inlineStr">
        <is>
          <t>Business Analysis</t>
        </is>
      </c>
      <c r="DM23" s="159" t="inlineStr">
        <is>
          <t>No</t>
        </is>
      </c>
      <c r="DN23" s="159" t="inlineStr">
        <is>
          <t>Product/Project</t>
        </is>
      </c>
      <c r="DO23" s="159" t="inlineStr">
        <is>
          <t>Business Analysis</t>
        </is>
      </c>
      <c r="DP23" s="159" t="inlineStr">
        <is>
          <t>Technical · BA, PM and QA</t>
        </is>
      </c>
      <c r="DQ23" s="159" t="inlineStr">
        <is>
          <t>Hybrid</t>
        </is>
      </c>
      <c r="DR23" s="159" t="inlineStr">
        <is>
          <t>1. Successfully drive the implementation and closure of the EBR reporting solution for all banks across India covered under the EBR reporting mandate.
2. Establish Scrum Practices and Strengthen Agile Project: Drive the adoption of Scrum practices within the team by implementing a structured Scrum board for project planning and tracking, ensuring effective collaboration, transparency, and timely delivery across Business Analysis, Development, QA, and Deployment teams
3. Product Strategy &amp; Innovation: Drive continuous improvement of the iDEAL platform by identifying product enhancements, standardizing client requirements, and contributing to the product roadmap. Involved in gathering client feedback, coordinating the development of enhancements, and ensuring the successful testing, release, and deployment of upgraded product versions.
4. Build a Self-Sufficient and High-Performing Team
 - Develop a team that can independently manage client engagements with minimal escalations. 
 - Conduct training sessions for new joiners and trainees on client deployments, user training, application walkthroughs, and product demonstrations. 
 - Mentor team members on handling client queries, resolving issues, and managing client interactions confidently. 
 - Provide training on error analysis, patch preparation, testing, and deployment activities. 
 - Guide team members to independently manage end-to-end client implementations and support activities while maintaining high quality and customer satisfaction.
5. PMP Certification: Successfully pass and clear the PMP certification exam by September 30, 2026, applying advanced project management frameworks directly to active team workflows.
6. Increase Involvement in Qatar Regulatory Reporting: Develop end-to-end expertise in Qatar Regulatory Reporting and the iDEAL platform by actively participating in requirement gathering, report development, testing, deployment, and client delivery activities. Strengthen presentation, communication, and stakeholder management skills to independently manage the complete project lifecycle, deliver client demonstrations, address client queries, and ensure successful project implementations.</t>
        </is>
      </c>
      <c r="DS23" s="159" t="inlineStr">
        <is>
          <t>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RBI-prescribed SDMX validations within the IRIS iDEAL EBR solution by July 2026 and ensure successful deployment to all EBR customers by the first week of August 2026.
3. Establish a proactive coordination process with the internal RBI EBR team to monitor RBI SDMX releases, regulatory changes, and validation updates, ensuring that no regulatory update is missed or delayed. Ensure timely impact assessment and implementation of all changes with 100% adherence to regulatory timelines.
4.Support business leads in EBR product demonstrations, client discussions, requirement analysis, and requirement clarification activities, ensuring responses and support are provided within one business day of receiving the client request.
5. By September 2026, actively contribute to Middle East regulatory reporting projects by supporting requirement analysis, report development, testing, and validation activities, ensuring timely completion of assigned deliverables and successful project execution.</t>
        </is>
      </c>
      <c r="DT23" s="159" t="inlineStr">
        <is>
          <t>1. Organize and conduct bi-weekly knowledge-sharing sessions for Business Analysts on EBR solution error handling, validations, and troubleshooting techniques to reduce dependency on specific individuals, improve team capability.
2.Continue to support business leads in EBR product demonstrations, client discussions, workshops, and requirement clarification activities to facilitate successful client engagements and new business opportunities.
3. Ensure successful development, testing, and delivery of the Bank of Baroda customization requirements by the second week of July 2026, achieving all project milestones and obtaining formal client sign-off on the delivered solution.
4. Ensure and track the team for timely delivery of all CIC reporting solution Aug 2026.</t>
        </is>
      </c>
      <c r="DU23" s="159" t="n">
        <v>4</v>
      </c>
      <c r="DV23" s="160" t="n">
        <v>45931</v>
      </c>
      <c r="DW23" s="159" t="inlineStr">
        <is>
          <t>Same as current designation</t>
        </is>
      </c>
      <c r="DX23" s="159" t="inlineStr">
        <is>
          <t>No</t>
        </is>
      </c>
      <c r="DY23" s="159" t="n">
        <v>4</v>
      </c>
      <c r="DZ23" s="159" t="inlineStr">
        <is>
          <t>High</t>
        </is>
      </c>
      <c r="EA23" s="159" t="inlineStr">
        <is>
          <t>High Impact / Growth Talent</t>
        </is>
      </c>
      <c r="EB23" s="159" t="inlineStr">
        <is>
          <t>Ready in 12 Months</t>
        </is>
      </c>
      <c r="EC23" s="159" t="inlineStr">
        <is>
          <t>No</t>
        </is>
      </c>
      <c r="ED23" s="159" t="inlineStr">
        <is>
          <t>Yes</t>
        </is>
      </c>
      <c r="EE23" s="159" t="inlineStr">
        <is>
          <t>Training on the effective utilization of AI tools.</t>
        </is>
      </c>
      <c r="EF23" s="159" t="n"/>
    </row>
    <row r="24" ht="64" customHeight="1">
      <c r="A24" s="109" t="inlineStr">
        <is>
          <t>IRIS1796</t>
        </is>
      </c>
      <c r="B24" s="111" t="inlineStr">
        <is>
          <t>Kailash Sahu</t>
        </is>
      </c>
      <c r="C24" s="111" t="inlineStr">
        <is>
          <t>Technology</t>
        </is>
      </c>
      <c r="D24" s="114" t="inlineStr">
        <is>
          <t>Business Analyst</t>
        </is>
      </c>
      <c r="E24" s="114" t="inlineStr">
        <is>
          <t>Business Analysis Specialist</t>
        </is>
      </c>
      <c r="F24" s="114" t="inlineStr">
        <is>
          <t>L3 – Professional / Associate</t>
        </is>
      </c>
      <c r="G24" s="114" t="inlineStr">
        <is>
          <t>B1</t>
        </is>
      </c>
      <c r="H24" s="142" t="inlineStr">
        <is>
          <t>▲ Up</t>
        </is>
      </c>
      <c r="I24" s="111" t="inlineStr">
        <is>
          <t>Business Analysis</t>
        </is>
      </c>
      <c r="J24" s="111" t="inlineStr">
        <is>
          <t>Business Analysis</t>
        </is>
      </c>
      <c r="K24" s="111" t="inlineStr"/>
      <c r="L24" s="111" t="n">
        <v>20</v>
      </c>
      <c r="M24" s="139" t="inlineStr">
        <is>
          <t>P3 / M2</t>
        </is>
      </c>
      <c r="N24" s="115" t="inlineStr">
        <is>
          <t>Career / · Team Lead</t>
        </is>
      </c>
      <c r="O24" s="115" t="inlineStr">
        <is>
          <t>4 Enable</t>
        </is>
      </c>
      <c r="P24" s="115" t="inlineStr">
        <is>
          <t>4–7 yrs</t>
        </is>
      </c>
      <c r="Q24" s="115" t="inlineStr">
        <is>
          <t>5–8 · 4–8</t>
        </is>
      </c>
      <c r="R24" s="115" t="inlineStr">
        <is>
          <t>Senior Business Analyst</t>
        </is>
      </c>
      <c r="S24" s="115" t="inlineStr">
        <is>
          <t>Regnology — regulatory reporting: BA · Reg Reporting · Big Four consulting: Senior Consultant · IRIS Vs Market Benchmark — IIBA certification pathway: CCBA · Infosys / Accenture: JL4 · L9 Consultant</t>
        </is>
      </c>
      <c r="T24" s="115" t="inlineStr">
        <is>
          <t>IIBA BABOK v3; certifications ECBA · entry → CCBA → CBAP · senior</t>
        </is>
      </c>
      <c r="U24" s="115" t="inlineStr">
        <is>
          <t>Core 3 · Future 3 · Functional 3 · Leadership 1</t>
        </is>
      </c>
      <c r="V24" s="158" t="n">
        <v>157</v>
      </c>
      <c r="W24" s="159" t="inlineStr">
        <is>
          <t>IRIS1796</t>
        </is>
      </c>
      <c r="X24" s="159" t="inlineStr">
        <is>
          <t>Employee</t>
        </is>
      </c>
      <c r="Y24" s="159" t="inlineStr">
        <is>
          <t>Serving Notice</t>
        </is>
      </c>
      <c r="Z24" s="159" t="inlineStr">
        <is>
          <t>Kailash Sahu</t>
        </is>
      </c>
      <c r="AA24" s="244" t="n">
        <v>43647</v>
      </c>
      <c r="AB24" s="159" t="inlineStr">
        <is>
          <t>Business Analyst</t>
        </is>
      </c>
      <c r="AC24" s="159" t="inlineStr">
        <is>
          <t>MCA</t>
        </is>
      </c>
      <c r="AD24" s="159" t="inlineStr">
        <is>
          <t>Yuvraj Kharchane</t>
        </is>
      </c>
      <c r="AE24" s="159" t="inlineStr">
        <is>
          <t>N-4</t>
        </is>
      </c>
      <c r="AF24" s="159" t="inlineStr">
        <is>
          <t>Individual Contributor</t>
        </is>
      </c>
      <c r="AG24" s="159" t="inlineStr">
        <is>
          <t>12 years, 8 months, 4 days</t>
        </is>
      </c>
      <c r="AH24" s="159" t="inlineStr">
        <is>
          <t>7 years, 1 months, 24 days</t>
        </is>
      </c>
      <c r="AI24" s="159" t="inlineStr">
        <is>
          <t>Regtech</t>
        </is>
      </c>
      <c r="AJ24" s="159" t="inlineStr">
        <is>
          <t>iDEAL</t>
        </is>
      </c>
      <c r="AK24" s="159" t="inlineStr">
        <is>
          <t>Technology</t>
        </is>
      </c>
      <c r="AL24" s="159" t="inlineStr">
        <is>
          <t>Business Analysis</t>
        </is>
      </c>
      <c r="AM24" s="159" t="inlineStr">
        <is>
          <t>Yes</t>
        </is>
      </c>
      <c r="AN24" s="159" t="inlineStr">
        <is>
          <t>Product/Project</t>
        </is>
      </c>
      <c r="AO24" s="159" t="inlineStr">
        <is>
          <t>Business Analysis</t>
        </is>
      </c>
      <c r="AP24" s="159" t="inlineStr">
        <is>
          <t>Technical · BA, PM and QA</t>
        </is>
      </c>
      <c r="AQ24" s="159" t="n">
        <v>20</v>
      </c>
      <c r="AR24" s="159" t="inlineStr">
        <is>
          <t>Covered</t>
        </is>
      </c>
      <c r="AS24" s="159" t="n"/>
      <c r="AT24" s="159" t="n"/>
      <c r="AU24" s="159" t="n"/>
      <c r="AV24" s="159" t="n"/>
      <c r="AW24" s="159" t="n"/>
      <c r="AX24" s="159" t="n"/>
      <c r="AY24" s="159" t="n"/>
      <c r="AZ24" s="159" t="n"/>
      <c r="BA24" s="159" t="n"/>
      <c r="BB24" s="159" t="n"/>
      <c r="BC24" s="159" t="n"/>
      <c r="BD24" s="159" t="n"/>
      <c r="BE24" s="159" t="n"/>
      <c r="BF24" s="159" t="n"/>
      <c r="BG24" s="159" t="n"/>
      <c r="BH24" s="159" t="n"/>
      <c r="BI24" s="159" t="n"/>
      <c r="BJ24" s="159" t="n"/>
      <c r="BK24" s="159" t="n"/>
      <c r="BL24" s="159" t="n"/>
      <c r="BM24" s="159" t="n"/>
      <c r="BN24" s="159" t="n"/>
      <c r="BO24" s="159" t="n"/>
      <c r="BP24" s="159" t="n"/>
      <c r="BQ24" s="159" t="n"/>
      <c r="BR24" s="159" t="n"/>
      <c r="BS24" s="159" t="n"/>
      <c r="BT24" s="159" t="n"/>
      <c r="BU24" s="159" t="n"/>
      <c r="BV24" s="159" t="n"/>
      <c r="BW24" s="159" t="n"/>
      <c r="BX24" s="159" t="n"/>
      <c r="BY24" s="159" t="n"/>
      <c r="BZ24" s="159" t="n"/>
      <c r="CA24" s="159" t="n"/>
      <c r="CB24" s="159" t="n"/>
      <c r="CC24" s="159" t="n"/>
      <c r="CD24" s="159" t="n"/>
      <c r="CE24" s="159" t="n"/>
      <c r="CF24" s="159" t="n"/>
      <c r="CG24" s="159" t="n"/>
      <c r="CH24" s="159" t="n"/>
      <c r="CI24" s="159" t="n"/>
      <c r="CJ24" s="159" t="n"/>
      <c r="CK24" s="159" t="n"/>
      <c r="CL24" s="159" t="n"/>
      <c r="CM24" s="159" t="n"/>
      <c r="CN24" s="159" t="n"/>
      <c r="CO24" s="159" t="n"/>
      <c r="CP24" s="159" t="n"/>
      <c r="CQ24" s="159" t="inlineStr">
        <is>
          <t>IRIS1796</t>
        </is>
      </c>
      <c r="CR24" s="159" t="inlineStr">
        <is>
          <t>Employee</t>
        </is>
      </c>
      <c r="CS24" s="159" t="inlineStr">
        <is>
          <t>Serving Notice</t>
        </is>
      </c>
      <c r="CT24" s="159" t="inlineStr">
        <is>
          <t>Kailash Sahu</t>
        </is>
      </c>
      <c r="CU24" s="160" t="n">
        <v>43647</v>
      </c>
      <c r="CV24" s="159" t="inlineStr">
        <is>
          <t>Business Analyst</t>
        </is>
      </c>
      <c r="CW24" s="159" t="inlineStr">
        <is>
          <t>Business Analysis</t>
        </is>
      </c>
      <c r="CX24" s="159" t="inlineStr">
        <is>
          <t>Business / Functional Analysis</t>
        </is>
      </c>
      <c r="CY24" s="159" t="inlineStr">
        <is>
          <t>Business Analyst</t>
        </is>
      </c>
      <c r="CZ24" s="159" t="inlineStr">
        <is>
          <t>L3 – Professional / Associate</t>
        </is>
      </c>
      <c r="DA24" s="159" t="inlineStr">
        <is>
          <t>MCA</t>
        </is>
      </c>
      <c r="DB24" s="159" t="inlineStr">
        <is>
          <t>Yuvraj Kharchane</t>
        </is>
      </c>
      <c r="DC24" s="159" t="inlineStr">
        <is>
          <t>N-4</t>
        </is>
      </c>
      <c r="DD24" s="159" t="inlineStr">
        <is>
          <t>Individual Contributor</t>
        </is>
      </c>
      <c r="DE24" s="159" t="inlineStr">
        <is>
          <t>12 years, 8 months, 4 days</t>
        </is>
      </c>
      <c r="DF24" s="159" t="inlineStr">
        <is>
          <t>6 years, 11 months, 19 days</t>
        </is>
      </c>
      <c r="DG24" s="159" t="inlineStr">
        <is>
          <t>19 years, 7 months, 23 days</t>
        </is>
      </c>
      <c r="DH24" s="159" t="n"/>
      <c r="DI24" s="159" t="inlineStr">
        <is>
          <t>Regtech</t>
        </is>
      </c>
      <c r="DJ24" s="159" t="inlineStr">
        <is>
          <t>iDEAL</t>
        </is>
      </c>
      <c r="DK24" s="159" t="inlineStr">
        <is>
          <t>Technology</t>
        </is>
      </c>
      <c r="DL24" s="159" t="inlineStr">
        <is>
          <t>Business Analysis</t>
        </is>
      </c>
      <c r="DM24" s="159" t="inlineStr">
        <is>
          <t>Yes</t>
        </is>
      </c>
      <c r="DN24" s="159" t="inlineStr">
        <is>
          <t>Product/Project</t>
        </is>
      </c>
      <c r="DO24" s="159" t="inlineStr">
        <is>
          <t>Business Analysis</t>
        </is>
      </c>
      <c r="DP24" s="159" t="inlineStr">
        <is>
          <t>Technical · BA, PM and QA</t>
        </is>
      </c>
      <c r="DQ24" s="159" t="inlineStr">
        <is>
          <t>Remote- Outside Mumbai</t>
        </is>
      </c>
      <c r="DR24" s="159" t="inlineStr">
        <is>
          <t>On Notice Period</t>
        </is>
      </c>
      <c r="DS24" s="159" t="inlineStr">
        <is>
          <t>On Notice Period</t>
        </is>
      </c>
      <c r="DT24" s="159" t="inlineStr">
        <is>
          <t>On Notice Period</t>
        </is>
      </c>
      <c r="DU24" s="159" t="n">
        <v>3</v>
      </c>
      <c r="DV24" s="160" t="n">
        <v>45931</v>
      </c>
      <c r="DW24" s="159" t="inlineStr">
        <is>
          <t>Same as current designation</t>
        </is>
      </c>
      <c r="DX24" s="159" t="inlineStr">
        <is>
          <t>No</t>
        </is>
      </c>
      <c r="DY24" s="159" t="n">
        <v>3</v>
      </c>
      <c r="DZ24" s="159" t="inlineStr">
        <is>
          <t>Medium</t>
        </is>
      </c>
      <c r="EA24" s="159" t="inlineStr">
        <is>
          <t>Core Contributor</t>
        </is>
      </c>
      <c r="EB24" s="159" t="inlineStr">
        <is>
          <t>Not Ready</t>
        </is>
      </c>
      <c r="EC24" s="159" t="inlineStr">
        <is>
          <t>No</t>
        </is>
      </c>
      <c r="ED24" s="159" t="inlineStr">
        <is>
          <t>No</t>
        </is>
      </c>
      <c r="EE24" s="159" t="inlineStr">
        <is>
          <t>Training on the effective utilization of AI tools.</t>
        </is>
      </c>
      <c r="EF24" s="159" t="n"/>
    </row>
    <row r="25" ht="64" customHeight="1">
      <c r="A25" s="109" t="inlineStr">
        <is>
          <t>IRIS2125</t>
        </is>
      </c>
      <c r="B25" s="111" t="inlineStr">
        <is>
          <t>Phuzel Siddiqui</t>
        </is>
      </c>
      <c r="C25" s="111" t="inlineStr">
        <is>
          <t>Technology</t>
        </is>
      </c>
      <c r="D25" s="114" t="inlineStr">
        <is>
          <t>Business Analyst</t>
        </is>
      </c>
      <c r="E25" s="114" t="inlineStr">
        <is>
          <t>Business Analysis Specialist – POD Lead</t>
        </is>
      </c>
      <c r="F25" s="114" t="inlineStr">
        <is>
          <t>L3 – Professional / Associate</t>
        </is>
      </c>
      <c r="G25" s="114" t="inlineStr">
        <is>
          <t>B1</t>
        </is>
      </c>
      <c r="H25" s="142" t="inlineStr">
        <is>
          <t>▲ Up</t>
        </is>
      </c>
      <c r="I25" s="111" t="inlineStr">
        <is>
          <t>Business Analysis</t>
        </is>
      </c>
      <c r="J25" s="111" t="inlineStr">
        <is>
          <t>Business Analysis</t>
        </is>
      </c>
      <c r="K25" s="111" t="inlineStr"/>
      <c r="L25" s="111" t="n">
        <v>18</v>
      </c>
      <c r="M25" s="139" t="inlineStr">
        <is>
          <t>P3 / M2</t>
        </is>
      </c>
      <c r="N25" s="115" t="inlineStr">
        <is>
          <t>Career / · Team Lead</t>
        </is>
      </c>
      <c r="O25" s="115" t="inlineStr">
        <is>
          <t>4 Enable</t>
        </is>
      </c>
      <c r="P25" s="115" t="inlineStr">
        <is>
          <t>4–7 yrs</t>
        </is>
      </c>
      <c r="Q25" s="115" t="inlineStr">
        <is>
          <t>5–8 · 4–8</t>
        </is>
      </c>
      <c r="R25" s="115" t="inlineStr">
        <is>
          <t>Senior Business Analyst</t>
        </is>
      </c>
      <c r="S25" s="115" t="inlineStr">
        <is>
          <t>Regnology — regulatory reporting: BA · Reg Reporting · Big Four consulting: Senior Consultant · IRIS Vs Market Benchmark — IIBA certification pathway: CCBA · Infosys / Accenture: JL4 · L9 Consultant</t>
        </is>
      </c>
      <c r="T25" s="115" t="inlineStr">
        <is>
          <t>IIBA BABOK v3; certifications ECBA · entry → CCBA → CBAP · senior</t>
        </is>
      </c>
      <c r="U25" s="115" t="inlineStr">
        <is>
          <t>Core 3 · Future 3 · Functional 3 · Leadership 2</t>
        </is>
      </c>
      <c r="V25" s="158" t="n">
        <v>271</v>
      </c>
      <c r="W25" s="159" t="inlineStr">
        <is>
          <t>IRIS2125</t>
        </is>
      </c>
      <c r="X25" s="159" t="inlineStr">
        <is>
          <t>Employee</t>
        </is>
      </c>
      <c r="Y25" s="159" t="inlineStr">
        <is>
          <t>Active</t>
        </is>
      </c>
      <c r="Z25" s="159" t="inlineStr">
        <is>
          <t>Phuzel Siddiqui</t>
        </is>
      </c>
      <c r="AA25" s="244" t="n">
        <v>45048</v>
      </c>
      <c r="AB25" s="159" t="inlineStr">
        <is>
          <t>Business Analyst</t>
        </is>
      </c>
      <c r="AC25" s="159" t="inlineStr">
        <is>
          <t>B.E</t>
        </is>
      </c>
      <c r="AD25" s="159" t="inlineStr">
        <is>
          <t>Dnyaneshwar Daund</t>
        </is>
      </c>
      <c r="AE25" s="159" t="inlineStr">
        <is>
          <t>N-4</t>
        </is>
      </c>
      <c r="AF25" s="159" t="inlineStr">
        <is>
          <t>Manager</t>
        </is>
      </c>
      <c r="AG25" s="159" t="inlineStr">
        <is>
          <t>6 years, 5 months, 0 days</t>
        </is>
      </c>
      <c r="AH25" s="159" t="inlineStr">
        <is>
          <t>3 years, 3 months, 23 days</t>
        </is>
      </c>
      <c r="AI25" s="159" t="inlineStr">
        <is>
          <t>Regtech</t>
        </is>
      </c>
      <c r="AJ25" s="159" t="inlineStr">
        <is>
          <t>iDEAL</t>
        </is>
      </c>
      <c r="AK25" s="159" t="inlineStr">
        <is>
          <t>Technology</t>
        </is>
      </c>
      <c r="AL25" s="159" t="inlineStr">
        <is>
          <t>Business Analysis</t>
        </is>
      </c>
      <c r="AM25" s="159" t="inlineStr">
        <is>
          <t>No</t>
        </is>
      </c>
      <c r="AN25" s="159" t="inlineStr">
        <is>
          <t>Product/Project</t>
        </is>
      </c>
      <c r="AO25" s="159" t="inlineStr">
        <is>
          <t>Business Analysis</t>
        </is>
      </c>
      <c r="AP25" s="159" t="inlineStr">
        <is>
          <t>Technical · BA, PM and QA</t>
        </is>
      </c>
      <c r="AQ25" s="159" t="n">
        <v>20</v>
      </c>
      <c r="AR25" s="159" t="inlineStr">
        <is>
          <t>Covered</t>
        </is>
      </c>
      <c r="AS25" s="159" t="n"/>
      <c r="AT25" s="159" t="n"/>
      <c r="AU25" s="159" t="n"/>
      <c r="AV25" s="159" t="n"/>
      <c r="AW25" s="159" t="n"/>
      <c r="AX25" s="159" t="n"/>
      <c r="AY25" s="159" t="n"/>
      <c r="AZ25" s="159" t="n"/>
      <c r="BA25" s="159" t="n"/>
      <c r="BB25" s="159" t="n"/>
      <c r="BC25" s="159" t="n"/>
      <c r="BD25" s="159" t="n"/>
      <c r="BE25" s="159" t="n"/>
      <c r="BF25" s="159" t="n"/>
      <c r="BG25" s="159" t="n"/>
      <c r="BH25" s="159" t="n"/>
      <c r="BI25" s="159" t="n"/>
      <c r="BJ25" s="159" t="n"/>
      <c r="BK25" s="159" t="n"/>
      <c r="BL25" s="159" t="n"/>
      <c r="BM25" s="159" t="n"/>
      <c r="BN25" s="159" t="n"/>
      <c r="BO25" s="159" t="n"/>
      <c r="BP25" s="159" t="n"/>
      <c r="BQ25" s="159" t="n"/>
      <c r="BR25" s="159" t="n"/>
      <c r="BS25" s="159" t="n"/>
      <c r="BT25" s="159" t="n"/>
      <c r="BU25" s="159" t="n"/>
      <c r="BV25" s="159" t="n"/>
      <c r="BW25" s="159" t="n"/>
      <c r="BX25" s="159" t="n"/>
      <c r="BY25" s="159" t="n"/>
      <c r="BZ25" s="159" t="n"/>
      <c r="CA25" s="159" t="n"/>
      <c r="CB25" s="159" t="n"/>
      <c r="CC25" s="159" t="n"/>
      <c r="CD25" s="159" t="n"/>
      <c r="CE25" s="159" t="n"/>
      <c r="CF25" s="159" t="n"/>
      <c r="CG25" s="159" t="n"/>
      <c r="CH25" s="159" t="n"/>
      <c r="CI25" s="159" t="n"/>
      <c r="CJ25" s="159" t="n"/>
      <c r="CK25" s="159" t="n"/>
      <c r="CL25" s="159" t="n"/>
      <c r="CM25" s="159" t="n"/>
      <c r="CN25" s="159" t="n"/>
      <c r="CO25" s="159" t="n"/>
      <c r="CP25" s="159" t="n"/>
      <c r="CQ25" s="159" t="inlineStr">
        <is>
          <t>IRIS2125</t>
        </is>
      </c>
      <c r="CR25" s="159" t="inlineStr">
        <is>
          <t>Employee</t>
        </is>
      </c>
      <c r="CS25" s="159" t="inlineStr">
        <is>
          <t>Active</t>
        </is>
      </c>
      <c r="CT25" s="159" t="inlineStr">
        <is>
          <t>Phuzel Siddiqui</t>
        </is>
      </c>
      <c r="CU25" s="160" t="n">
        <v>45048</v>
      </c>
      <c r="CV25" s="159" t="inlineStr">
        <is>
          <t>Business Analyst</t>
        </is>
      </c>
      <c r="CW25" s="159" t="inlineStr">
        <is>
          <t>Business Analysis</t>
        </is>
      </c>
      <c r="CX25" s="159" t="inlineStr">
        <is>
          <t>Business / Functional Analysis</t>
        </is>
      </c>
      <c r="CY25" s="159" t="inlineStr">
        <is>
          <t>Business Analyst</t>
        </is>
      </c>
      <c r="CZ25" s="159" t="inlineStr">
        <is>
          <t>L3 – Professional / Associate</t>
        </is>
      </c>
      <c r="DA25" s="159" t="inlineStr">
        <is>
          <t>B.E</t>
        </is>
      </c>
      <c r="DB25" s="159" t="inlineStr">
        <is>
          <t>Dnyaneshwar Daund</t>
        </is>
      </c>
      <c r="DC25" s="159" t="inlineStr">
        <is>
          <t>N-4</t>
        </is>
      </c>
      <c r="DD25" s="159" t="inlineStr">
        <is>
          <t>Individual Contributor</t>
        </is>
      </c>
      <c r="DE25" s="159" t="inlineStr">
        <is>
          <t>6 years, 5 months, 0 days</t>
        </is>
      </c>
      <c r="DF25" s="159" t="inlineStr">
        <is>
          <t>3 years, 1 months, 18 days</t>
        </is>
      </c>
      <c r="DG25" s="159" t="inlineStr">
        <is>
          <t>9 years, 6 months, 18 days</t>
        </is>
      </c>
      <c r="DH25" s="159" t="n"/>
      <c r="DI25" s="159" t="inlineStr">
        <is>
          <t>Regtech</t>
        </is>
      </c>
      <c r="DJ25" s="159" t="inlineStr">
        <is>
          <t>iDEAL</t>
        </is>
      </c>
      <c r="DK25" s="159" t="inlineStr">
        <is>
          <t>Technology</t>
        </is>
      </c>
      <c r="DL25" s="159" t="inlineStr">
        <is>
          <t>Business Analysis</t>
        </is>
      </c>
      <c r="DM25" s="159" t="inlineStr">
        <is>
          <t>No</t>
        </is>
      </c>
      <c r="DN25" s="159" t="inlineStr">
        <is>
          <t>Product/Project</t>
        </is>
      </c>
      <c r="DO25" s="159" t="inlineStr">
        <is>
          <t>Business Analysis</t>
        </is>
      </c>
      <c r="DP25" s="159" t="inlineStr">
        <is>
          <t>Technical · BA, PM and QA</t>
        </is>
      </c>
      <c r="DQ25" s="159" t="inlineStr">
        <is>
          <t>Remote - Mumbai</t>
        </is>
      </c>
      <c r="DR25" s="159" t="inlineStr">
        <is>
          <t>1. Establish a Robust Client Management Support Handover: Successfully managed all assigned clients while ensuring smooth day-to-day support operations. Effectively handled 4–5 critical client escalations by identifying root causes and providing timely resolutions. In addition to Compliance Reporting, I am independently managing FATCA and Mutual Fund Reporting, including new report development and report enhancements. Building on this experience, my objective is to establish a robust client management support framework and successfully hand over all critical operational activities—including deployments, escalation management, error resolution, FATCA reporting, and Mutual Fund Reporting—ensuring seamless ownership and business continuity.
2. Transition from Support to Project Lead: Beyond client support, I have actively contributed to business growth by conducting 50+ Ideal application pre-sales demonstrations and 15–20 EBR demonstrations, while successfully handling client queries and increasing customer confidence in the solution. I have also worked closely with the Sales team to execute 15+ automation demos for Excel-based clients, promoting end-to-end automation. My objective is to transition from a support-focused role to leading new projects by taking end-to-end ownership of project planning, execution, delivery, stakeholder management, and successful implementation.
3. Streamline the EBR Project: Conducted multiple EBR demonstrations to educate clients about the product's features, benefits, and business value, helping improve customer understanding and confidence in the EBR solution. Going forward, I aim to standardize and streamline the EBR project by implementing best practices from the RBR project, strengthening client onboarding, documentation, process standardization, and overall customer experience.
4. Build Expertise in ETL Processes: Contributed to the development of the Email Notification and Data Preparation · ETL modules, including front-end design and feature enhancement. My objective is to deepen my understanding of the complete ETL lifecycle by becoming hands-on in ETL development, optimization, and support, while completing relevant ETL training and certifications to enhance my technical expertise and contribute more effectively to ETL initiatives.
5. Expand Technical Skills Beyond Oracle: While working extensively on Oracle-based reporting solutions, Compliance Reporting, FATCA, Mutual Fund Reporting, and application support, I aim to expand my technical expertise by gaining proficiency in PostgreSQL and other modern database technologies. This will enable me to support evolving client technology requirements, improve solution delivery, and contribute more effectively to future product development initiatives.</t>
        </is>
      </c>
      <c r="DS25" s="159"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DT25" s="159" t="inlineStr">
        <is>
          <t>1. Acquire in-depth knowledge of EBR SDMX reports, validations, and implementation processes to independently provide effective client support for assigned clients by Aug 2026.
2.Continue to support business leads in EBR/NBFC product demonstrations, client discussions and requirement clarification to facilitate successful client engagements and business opportunities.
3. Actively contribute to the development, testing, validation, and implementation of EBR SDMX reports and related product enhancements. Provide at least 2–3 constructive inputs, recommendations, or improvement suggestions before each release to enhance product quality.</t>
        </is>
      </c>
      <c r="DU25" s="159" t="n">
        <v>3</v>
      </c>
      <c r="DV25" s="160" t="n">
        <v>45931</v>
      </c>
      <c r="DW25" s="159" t="inlineStr">
        <is>
          <t>Same as current designation</t>
        </is>
      </c>
      <c r="DX25" s="159" t="inlineStr">
        <is>
          <t>No</t>
        </is>
      </c>
      <c r="DY25" s="159" t="n">
        <v>3</v>
      </c>
      <c r="DZ25" s="159" t="inlineStr">
        <is>
          <t>Medium</t>
        </is>
      </c>
      <c r="EA25" s="159" t="inlineStr">
        <is>
          <t>Emerging Talent</t>
        </is>
      </c>
      <c r="EB25" s="159" t="inlineStr">
        <is>
          <t>Ready in 12 Months</t>
        </is>
      </c>
      <c r="EC25" s="159" t="inlineStr">
        <is>
          <t>No</t>
        </is>
      </c>
      <c r="ED25" s="159" t="inlineStr">
        <is>
          <t>Yes</t>
        </is>
      </c>
      <c r="EE25" s="159" t="inlineStr">
        <is>
          <t>Training on the effective utilization of AI tools.</t>
        </is>
      </c>
      <c r="EF25" s="159" t="n"/>
    </row>
    <row r="26" ht="64" customHeight="1">
      <c r="A26" s="109" t="inlineStr">
        <is>
          <t>IRIS0417</t>
        </is>
      </c>
      <c r="B26" s="111" t="inlineStr">
        <is>
          <t>Vishal Pingle</t>
        </is>
      </c>
      <c r="C26" s="111" t="inlineStr">
        <is>
          <t>Technology</t>
        </is>
      </c>
      <c r="D26" s="114" t="inlineStr">
        <is>
          <t>Senior Business Analyst</t>
        </is>
      </c>
      <c r="E26" s="114" t="inlineStr">
        <is>
          <t>Senior Business Analysis Specialist</t>
        </is>
      </c>
      <c r="F26" s="114" t="inlineStr">
        <is>
          <t>L4 – Senior</t>
        </is>
      </c>
      <c r="G26" s="114" t="inlineStr">
        <is>
          <t>B1</t>
        </is>
      </c>
      <c r="H26" s="142" t="inlineStr">
        <is>
          <t>▲ Up</t>
        </is>
      </c>
      <c r="I26" s="111" t="inlineStr">
        <is>
          <t>Business Analysis</t>
        </is>
      </c>
      <c r="J26" s="111" t="inlineStr">
        <is>
          <t>Business Analysis</t>
        </is>
      </c>
      <c r="K26" s="111" t="inlineStr"/>
      <c r="L26" s="111" t="n">
        <v>20</v>
      </c>
      <c r="M26" s="139" t="inlineStr">
        <is>
          <t>P3 / M2</t>
        </is>
      </c>
      <c r="N26" s="115" t="inlineStr">
        <is>
          <t>Career / · Team Lead</t>
        </is>
      </c>
      <c r="O26" s="115" t="inlineStr">
        <is>
          <t>4 Enable</t>
        </is>
      </c>
      <c r="P26" s="115" t="inlineStr">
        <is>
          <t>4–7 yrs</t>
        </is>
      </c>
      <c r="Q26" s="115" t="inlineStr">
        <is>
          <t>5–8 · 4–8</t>
        </is>
      </c>
      <c r="R26" s="115" t="inlineStr">
        <is>
          <t>Lead Business Analyst</t>
        </is>
      </c>
      <c r="S26" s="115" t="inlineStr">
        <is>
          <t>Regnology — regulatory reporting: BA · Reg Reporting · Big Four consulting: Senior Consultant · IRIS Vs Market Benchmark — IIBA certification pathway: CCBA · Infosys / Accenture: JL4 · L9 Consultant</t>
        </is>
      </c>
      <c r="T26" s="115" t="inlineStr">
        <is>
          <t>IIBA BABOK v3; certifications ECBA · entry → CCBA → CBAP · senior</t>
        </is>
      </c>
      <c r="U26" s="115" t="inlineStr">
        <is>
          <t>Core 3 · Future 3 · Functional 3 · Leadership 1</t>
        </is>
      </c>
      <c r="V26" s="158" t="n">
        <v>61</v>
      </c>
      <c r="W26" s="159" t="inlineStr">
        <is>
          <t>IRIS0417</t>
        </is>
      </c>
      <c r="X26" s="159" t="inlineStr">
        <is>
          <t>Employee</t>
        </is>
      </c>
      <c r="Y26" s="159" t="inlineStr">
        <is>
          <t>Active</t>
        </is>
      </c>
      <c r="Z26" s="159" t="inlineStr">
        <is>
          <t>Vishal Pingle</t>
        </is>
      </c>
      <c r="AA26" s="244" t="n">
        <v>40448</v>
      </c>
      <c r="AB26" s="159" t="inlineStr">
        <is>
          <t>Senior Business Analyst</t>
        </is>
      </c>
      <c r="AC26" s="159" t="inlineStr">
        <is>
          <t>B.Com</t>
        </is>
      </c>
      <c r="AD26" s="159" t="inlineStr">
        <is>
          <t>Dnyaneshwar Daund</t>
        </is>
      </c>
      <c r="AE26" s="159" t="inlineStr">
        <is>
          <t>N-4</t>
        </is>
      </c>
      <c r="AF26" s="159" t="inlineStr">
        <is>
          <t>Individual Contributor</t>
        </is>
      </c>
      <c r="AG26" s="159" t="inlineStr">
        <is>
          <t>0 years, 6 months, 0 days</t>
        </is>
      </c>
      <c r="AH26" s="159" t="inlineStr">
        <is>
          <t>15 years, 10 months, 29 days</t>
        </is>
      </c>
      <c r="AI26" s="159" t="inlineStr">
        <is>
          <t>Regtech</t>
        </is>
      </c>
      <c r="AJ26" s="159" t="inlineStr">
        <is>
          <t>iDEAL</t>
        </is>
      </c>
      <c r="AK26" s="159" t="inlineStr">
        <is>
          <t>Technology</t>
        </is>
      </c>
      <c r="AL26" s="159" t="inlineStr">
        <is>
          <t>Business Analysis</t>
        </is>
      </c>
      <c r="AM26" s="159" t="inlineStr">
        <is>
          <t>No</t>
        </is>
      </c>
      <c r="AN26" s="159" t="inlineStr">
        <is>
          <t>Product/Project</t>
        </is>
      </c>
      <c r="AO26" s="159" t="inlineStr">
        <is>
          <t>Business Analysis</t>
        </is>
      </c>
      <c r="AP26" s="159" t="inlineStr">
        <is>
          <t>Technical · BA, PM and QA</t>
        </is>
      </c>
      <c r="AQ26" s="159" t="n">
        <v>20</v>
      </c>
      <c r="AR26" s="159" t="inlineStr">
        <is>
          <t>Covered</t>
        </is>
      </c>
      <c r="AS26" s="159" t="n"/>
      <c r="AT26" s="159" t="n"/>
      <c r="AU26" s="159" t="n"/>
      <c r="AV26" s="159" t="n"/>
      <c r="AW26" s="159" t="n"/>
      <c r="AX26" s="159" t="n"/>
      <c r="AY26" s="159" t="n"/>
      <c r="AZ26" s="159" t="n"/>
      <c r="BA26" s="159" t="n"/>
      <c r="BB26" s="159" t="n"/>
      <c r="BC26" s="159" t="n"/>
      <c r="BD26" s="159" t="n"/>
      <c r="BE26" s="159" t="n"/>
      <c r="BF26" s="159" t="n"/>
      <c r="BG26" s="159" t="n"/>
      <c r="BH26" s="159" t="n"/>
      <c r="BI26" s="159" t="n"/>
      <c r="BJ26" s="159" t="n"/>
      <c r="BK26" s="159" t="n"/>
      <c r="BL26" s="159" t="n"/>
      <c r="BM26" s="159" t="n"/>
      <c r="BN26" s="159" t="n"/>
      <c r="BO26" s="159" t="n"/>
      <c r="BP26" s="159" t="n"/>
      <c r="BQ26" s="159" t="n"/>
      <c r="BR26" s="159" t="n"/>
      <c r="BS26" s="159" t="n"/>
      <c r="BT26" s="159" t="n"/>
      <c r="BU26" s="159" t="n"/>
      <c r="BV26" s="159" t="n"/>
      <c r="BW26" s="159" t="n"/>
      <c r="BX26" s="159" t="n"/>
      <c r="BY26" s="159" t="n"/>
      <c r="BZ26" s="159" t="n"/>
      <c r="CA26" s="159" t="n"/>
      <c r="CB26" s="159" t="n"/>
      <c r="CC26" s="159" t="n"/>
      <c r="CD26" s="159" t="n"/>
      <c r="CE26" s="159" t="n"/>
      <c r="CF26" s="159" t="n"/>
      <c r="CG26" s="159" t="n"/>
      <c r="CH26" s="159" t="n"/>
      <c r="CI26" s="159" t="n"/>
      <c r="CJ26" s="159" t="n"/>
      <c r="CK26" s="159" t="n"/>
      <c r="CL26" s="159" t="n"/>
      <c r="CM26" s="159" t="n"/>
      <c r="CN26" s="159" t="n"/>
      <c r="CO26" s="159" t="n"/>
      <c r="CP26" s="159" t="n"/>
      <c r="CQ26" s="159" t="inlineStr">
        <is>
          <t>IRIS0417</t>
        </is>
      </c>
      <c r="CR26" s="159" t="inlineStr">
        <is>
          <t>Employee</t>
        </is>
      </c>
      <c r="CS26" s="159" t="inlineStr">
        <is>
          <t>Active</t>
        </is>
      </c>
      <c r="CT26" s="159" t="inlineStr">
        <is>
          <t>Vishal Pingle</t>
        </is>
      </c>
      <c r="CU26" s="160" t="n">
        <v>40448</v>
      </c>
      <c r="CV26" s="159" t="inlineStr">
        <is>
          <t>Senior Business Analyst</t>
        </is>
      </c>
      <c r="CW26" s="159" t="inlineStr">
        <is>
          <t>Business Analysis</t>
        </is>
      </c>
      <c r="CX26" s="159" t="inlineStr">
        <is>
          <t>Business / Functional Analysis</t>
        </is>
      </c>
      <c r="CY26" s="159" t="inlineStr">
        <is>
          <t>Senior Business Analyst</t>
        </is>
      </c>
      <c r="CZ26" s="159" t="inlineStr">
        <is>
          <t>L4 – Senior</t>
        </is>
      </c>
      <c r="DA26" s="159" t="inlineStr">
        <is>
          <t>B.Com</t>
        </is>
      </c>
      <c r="DB26" s="159" t="inlineStr">
        <is>
          <t>Dnyaneshwar Daund</t>
        </is>
      </c>
      <c r="DC26" s="159" t="inlineStr">
        <is>
          <t>N-4</t>
        </is>
      </c>
      <c r="DD26" s="159" t="inlineStr">
        <is>
          <t>Individual Contributor</t>
        </is>
      </c>
      <c r="DE26" s="159" t="inlineStr">
        <is>
          <t>0 years, 6 months, 0 days</t>
        </is>
      </c>
      <c r="DF26" s="159" t="inlineStr">
        <is>
          <t>15 years, 8 months, 24 days</t>
        </is>
      </c>
      <c r="DG26" s="159" t="inlineStr">
        <is>
          <t>16 years, 2 months, 24 days</t>
        </is>
      </c>
      <c r="DH26" s="159" t="n"/>
      <c r="DI26" s="159" t="inlineStr">
        <is>
          <t>Regtech</t>
        </is>
      </c>
      <c r="DJ26" s="159" t="inlineStr">
        <is>
          <t>iDEAL</t>
        </is>
      </c>
      <c r="DK26" s="159" t="inlineStr">
        <is>
          <t>Technology</t>
        </is>
      </c>
      <c r="DL26" s="159" t="inlineStr">
        <is>
          <t>Business Analysis</t>
        </is>
      </c>
      <c r="DM26" s="159" t="inlineStr">
        <is>
          <t>No</t>
        </is>
      </c>
      <c r="DN26" s="159" t="inlineStr">
        <is>
          <t>Product/Project</t>
        </is>
      </c>
      <c r="DO26" s="159" t="inlineStr">
        <is>
          <t>Business Analysis</t>
        </is>
      </c>
      <c r="DP26" s="159" t="inlineStr">
        <is>
          <t>Technical · BA, PM and QA</t>
        </is>
      </c>
      <c r="DQ26" s="159" t="inlineStr">
        <is>
          <t>Remote - Mumbai</t>
        </is>
      </c>
      <c r="DR26" s="159" t="inlineStr">
        <is>
          <t>1. Deliver Regulatory Return Development: Ensure timely tracking, development and deliver all RBI regulatory changes in reports, including major and complex returns such as FR R162, RAQ, R380, R419, R156, and other new regulatory changes within the committed timelines while maintaining high quality standards.
2. Ensure Timely Project Delivery: Successfully gather business requirements, prepare functional documentation, coordinate with development teams, and ensure timely delivery of client-specific customizations, deployments, and production releases with minimal post-production issues.
3. Provide Excellent Client Support: Maintain high-quality support for assigned banking clients by ensuring timely issue resolution, proactive communication, regular follow-ups, and continuous support for EBR, ETL, XBRL, and Non-XBRL implementations to achieve high customer satisfaction.
4. Strengthen Business Analysis Skills: Enhance Business Analysis capabilities by completing at least one professional certification or training program and applying best practices in requirement gathering, impact analysis, stakeholder management, and documentation.
5. Understand EBR SDMX Expertise: Enhance expertise in RBI EBR SDMX reporting, implementation processes, and support activities to effectively analyse requirements, resolve functional issues, and provide accurate guidance and solutions to clients.
6. Improve Documentation &amp; Knowledge Management: Create and maintain standardized Business Requirement Documents · BRD, Functional Requirement Documents · FRD, Standard Operating Procedures · SOP, Deployment Guides, User Manuals, and RCA documents to improve process consistency and reduce dependency on individual resources.
7. Lead Deployment Automation Initiatives from the Business Team: Actively contribute to the automation of CIMS report and application deployments by supporting and validating automation processes related to kit preparation, deployment activities, server configuration, testing, and other repetitive operational tasks. This will help improve productivity, enhance deployment efficiency, and reduce manual effort and operational risks.
8. Support Team Collaboration &amp; Knowledge Sharing: Actively support team members by resolving complex functional issues, sharing domain knowledge, conducting knowledge-sharing sessions, and mentoring colleagues to improve overall team capability and delivery quality.</t>
        </is>
      </c>
      <c r="DS26" s="159"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DT26" s="159" t="inlineStr">
        <is>
          <t>1. Acquire in-depth knowledge of EBR SDMX reports, validations, and implementation processes to independently provide effective client support for assigned clients by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Ensure the successful development and delivery of IDFC Bank's customization requirements by July 2026, including requirement clarification, UAT support, and obtaining formal sign-off from the client upon successful implementation.
4. Lead the testing, validation, and implementation of the Auto Deployment and Auto Kit Preparation tool, ensuring a defect-free rollout and successful adoption across all clients by the respective Business Analysts by July 2026.</t>
        </is>
      </c>
      <c r="DU26" s="159" t="n">
        <v>3</v>
      </c>
      <c r="DV26" s="160" t="n">
        <v>45931</v>
      </c>
      <c r="DW26" s="159" t="inlineStr">
        <is>
          <t>Same as current designation</t>
        </is>
      </c>
      <c r="DX26" s="159" t="inlineStr">
        <is>
          <t>No</t>
        </is>
      </c>
      <c r="DY26" s="159" t="n">
        <v>3</v>
      </c>
      <c r="DZ26" s="159" t="inlineStr">
        <is>
          <t>Medium</t>
        </is>
      </c>
      <c r="EA26" s="159" t="inlineStr">
        <is>
          <t>Trusted Professional</t>
        </is>
      </c>
      <c r="EB26" s="159" t="inlineStr">
        <is>
          <t>Not Ready</t>
        </is>
      </c>
      <c r="EC26" s="159" t="inlineStr">
        <is>
          <t>No</t>
        </is>
      </c>
      <c r="ED26" s="159" t="inlineStr">
        <is>
          <t>Yes</t>
        </is>
      </c>
      <c r="EE26" s="159" t="inlineStr">
        <is>
          <t>Training on the effective utilization of AI tools.</t>
        </is>
      </c>
      <c r="EF26" s="159" t="n"/>
    </row>
    <row r="27" ht="64" customHeight="1">
      <c r="A27" s="109" t="inlineStr">
        <is>
          <t>IRIS1809</t>
        </is>
      </c>
      <c r="B27" s="111" t="inlineStr">
        <is>
          <t>Jignasha Sawla</t>
        </is>
      </c>
      <c r="C27" s="111" t="inlineStr">
        <is>
          <t>Technology</t>
        </is>
      </c>
      <c r="D27" s="114" t="inlineStr">
        <is>
          <t>Database Lead</t>
        </is>
      </c>
      <c r="E27" s="114" t="inlineStr">
        <is>
          <t>Database Specialist – POD Lead</t>
        </is>
      </c>
      <c r="F27" s="114" t="inlineStr">
        <is>
          <t>L5 – Lead · IC</t>
        </is>
      </c>
      <c r="G27" s="114" t="inlineStr">
        <is>
          <t>B1</t>
        </is>
      </c>
      <c r="H27" s="147" t="inlineStr">
        <is>
          <t>▼ Down · protected</t>
        </is>
      </c>
      <c r="I27" s="111" t="inlineStr">
        <is>
          <t>Engineering &amp; Development</t>
        </is>
      </c>
      <c r="J27" s="111" t="inlineStr">
        <is>
          <t>Data Engineering &amp; Database Development</t>
        </is>
      </c>
      <c r="K27" s="111" t="inlineStr"/>
      <c r="L27" s="111" t="n">
        <v>20</v>
      </c>
      <c r="M27" s="139" t="inlineStr">
        <is>
          <t>P3 / M2</t>
        </is>
      </c>
      <c r="N27" s="115" t="inlineStr">
        <is>
          <t>Career / · Team Lead</t>
        </is>
      </c>
      <c r="O27" s="115" t="inlineStr">
        <is>
          <t>4 Enable</t>
        </is>
      </c>
      <c r="P27" s="115" t="inlineStr">
        <is>
          <t>4–7 yrs</t>
        </is>
      </c>
      <c r="Q27" s="115" t="inlineStr">
        <is>
          <t>5–8 · 4–8</t>
        </is>
      </c>
      <c r="R27" s="115" t="inlineStr">
        <is>
          <t>Senior Software Engineer</t>
        </is>
      </c>
      <c r="S27" s="115" t="inlineStr">
        <is>
          <r>
            <rPr>
              <rFont val="Calibri"/>
              <b val="1"/>
              <sz val="10"/>
            </rPr>
            <t>Workiva:</t>
          </r>
          <r>
            <rPr>
              <rFont val="Calibri"/>
              <sz val="10"/>
            </rPr>
            <t xml:space="preserve"> SE / Senior SE · Broadridge India: Senior SE · Nasdaq / AxiomSL: Senior SE · Salesforce: MTS · Atlassian: P40 · Freshworks: Senior SE</t>
          </r>
        </is>
      </c>
      <c r="T27" s="115" t="inlineStr">
        <is>
          <t>SFIA 9 · software development, programming; OWASP secure coding; cloud vendor certifications</t>
        </is>
      </c>
      <c r="U27" s="115" t="inlineStr">
        <is>
          <t>Core 3 · Future 3 · Functional 3 · Leadership 2</t>
        </is>
      </c>
      <c r="V27" s="158" t="n">
        <v>160</v>
      </c>
      <c r="W27" s="159" t="inlineStr">
        <is>
          <t>IRIS1809</t>
        </is>
      </c>
      <c r="X27" s="159" t="inlineStr">
        <is>
          <t>Employee</t>
        </is>
      </c>
      <c r="Y27" s="159" t="inlineStr">
        <is>
          <t>Active</t>
        </is>
      </c>
      <c r="Z27" s="159" t="inlineStr">
        <is>
          <t>Jignasha Sawla</t>
        </is>
      </c>
      <c r="AA27" s="244" t="n">
        <v>43731</v>
      </c>
      <c r="AB27" s="159" t="inlineStr">
        <is>
          <t>Database Lead</t>
        </is>
      </c>
      <c r="AC27" s="159" t="inlineStr">
        <is>
          <t>B.E</t>
        </is>
      </c>
      <c r="AD27" s="159" t="inlineStr">
        <is>
          <t>Jitendra Kumar</t>
        </is>
      </c>
      <c r="AE27" s="159" t="inlineStr">
        <is>
          <t>N-4</t>
        </is>
      </c>
      <c r="AF27" s="159" t="inlineStr">
        <is>
          <t>Manager</t>
        </is>
      </c>
      <c r="AG27" s="159" t="inlineStr">
        <is>
          <t>10 years, 0 months, 0 days</t>
        </is>
      </c>
      <c r="AH27" s="159" t="inlineStr">
        <is>
          <t>6 years, 11 months, 2 days</t>
        </is>
      </c>
      <c r="AI27" s="159" t="inlineStr">
        <is>
          <t>Regtech</t>
        </is>
      </c>
      <c r="AJ27" s="159" t="inlineStr">
        <is>
          <t>iDEAL</t>
        </is>
      </c>
      <c r="AK27" s="159" t="inlineStr">
        <is>
          <t>Technology</t>
        </is>
      </c>
      <c r="AL27" s="159" t="inlineStr">
        <is>
          <t>Development</t>
        </is>
      </c>
      <c r="AM27" s="159" t="inlineStr">
        <is>
          <t>Yes</t>
        </is>
      </c>
      <c r="AN27" s="159" t="inlineStr">
        <is>
          <t>Product/Project</t>
        </is>
      </c>
      <c r="AO27" s="159" t="inlineStr">
        <is>
          <t>SQL</t>
        </is>
      </c>
      <c r="AP27" s="159" t="inlineStr">
        <is>
          <t>Technical - Developer</t>
        </is>
      </c>
      <c r="AQ27" s="159" t="n">
        <v>20</v>
      </c>
      <c r="AR27" s="159" t="inlineStr">
        <is>
          <t>Covered</t>
        </is>
      </c>
      <c r="AS27" s="159" t="n"/>
      <c r="AT27" s="159" t="n"/>
      <c r="AU27" s="159" t="n"/>
      <c r="AV27" s="159" t="n"/>
      <c r="AW27" s="159" t="n"/>
      <c r="AX27" s="159" t="n"/>
      <c r="AY27" s="159" t="n"/>
      <c r="AZ27" s="159" t="n"/>
      <c r="BA27" s="159" t="n"/>
      <c r="BB27" s="159" t="n"/>
      <c r="BC27" s="159" t="n"/>
      <c r="BD27" s="159" t="n"/>
      <c r="BE27" s="159" t="n"/>
      <c r="BF27" s="159" t="n"/>
      <c r="BG27" s="159" t="n"/>
      <c r="BH27" s="159" t="n"/>
      <c r="BI27" s="159" t="n"/>
      <c r="BJ27" s="159" t="n"/>
      <c r="BK27" s="159" t="n"/>
      <c r="BL27" s="159" t="n"/>
      <c r="BM27" s="159" t="n"/>
      <c r="BN27" s="159" t="n"/>
      <c r="BO27" s="159" t="n"/>
      <c r="BP27" s="159" t="n"/>
      <c r="BQ27" s="159" t="n"/>
      <c r="BR27" s="159" t="n"/>
      <c r="BS27" s="159" t="n"/>
      <c r="BT27" s="159" t="n"/>
      <c r="BU27" s="159" t="n"/>
      <c r="BV27" s="159" t="n"/>
      <c r="BW27" s="159" t="n"/>
      <c r="BX27" s="159" t="n"/>
      <c r="BY27" s="159" t="n"/>
      <c r="BZ27" s="159" t="n"/>
      <c r="CA27" s="159" t="n"/>
      <c r="CB27" s="159" t="n"/>
      <c r="CC27" s="159" t="n"/>
      <c r="CD27" s="159" t="n"/>
      <c r="CE27" s="159" t="n"/>
      <c r="CF27" s="159" t="n"/>
      <c r="CG27" s="159" t="n"/>
      <c r="CH27" s="159" t="n"/>
      <c r="CI27" s="159" t="n"/>
      <c r="CJ27" s="159" t="n"/>
      <c r="CK27" s="159" t="n"/>
      <c r="CL27" s="159" t="n"/>
      <c r="CM27" s="159" t="n"/>
      <c r="CN27" s="159" t="n"/>
      <c r="CO27" s="159" t="n"/>
      <c r="CP27" s="159" t="n"/>
      <c r="CQ27" s="159" t="inlineStr">
        <is>
          <t>IRIS1809</t>
        </is>
      </c>
      <c r="CR27" s="159" t="inlineStr">
        <is>
          <t>Employee</t>
        </is>
      </c>
      <c r="CS27" s="159" t="inlineStr">
        <is>
          <t>Active</t>
        </is>
      </c>
      <c r="CT27" s="159" t="inlineStr">
        <is>
          <t>Jignasha Sawla</t>
        </is>
      </c>
      <c r="CU27" s="160" t="n">
        <v>43731</v>
      </c>
      <c r="CV27" s="159" t="inlineStr">
        <is>
          <t>Database Lead</t>
        </is>
      </c>
      <c r="CW27" s="159" t="inlineStr">
        <is>
          <t>Engineering &amp; Development</t>
        </is>
      </c>
      <c r="CX27" s="159" t="inlineStr">
        <is>
          <t>Software Engineering</t>
        </is>
      </c>
      <c r="CY27" s="159" t="inlineStr">
        <is>
          <t>Database Lead</t>
        </is>
      </c>
      <c r="CZ27" s="159" t="inlineStr">
        <is>
          <t>L5 – Lead · IC</t>
        </is>
      </c>
      <c r="DA27" s="159" t="inlineStr">
        <is>
          <t>B.E</t>
        </is>
      </c>
      <c r="DB27" s="159" t="inlineStr">
        <is>
          <t>Jitendra Kumar</t>
        </is>
      </c>
      <c r="DC27" s="159" t="inlineStr">
        <is>
          <t>N-4</t>
        </is>
      </c>
      <c r="DD27" s="159" t="inlineStr">
        <is>
          <t>Manager</t>
        </is>
      </c>
      <c r="DE27" s="159" t="inlineStr">
        <is>
          <t>10 years, 0 months, 0 days</t>
        </is>
      </c>
      <c r="DF27" s="159" t="inlineStr">
        <is>
          <t>6 years, 8 months, 28 days</t>
        </is>
      </c>
      <c r="DG27" s="159" t="inlineStr">
        <is>
          <t>16 years, 8 months, 28 days</t>
        </is>
      </c>
      <c r="DH27" s="159" t="n">
        <v>6.74337899543379</v>
      </c>
      <c r="DI27" s="159" t="inlineStr">
        <is>
          <t>Regtech</t>
        </is>
      </c>
      <c r="DJ27" s="159" t="inlineStr">
        <is>
          <t>iDEAL</t>
        </is>
      </c>
      <c r="DK27" s="159" t="inlineStr">
        <is>
          <t>Technology</t>
        </is>
      </c>
      <c r="DL27" s="159" t="inlineStr">
        <is>
          <t>Development</t>
        </is>
      </c>
      <c r="DM27" s="159" t="inlineStr">
        <is>
          <t>Yes</t>
        </is>
      </c>
      <c r="DN27" s="159" t="inlineStr">
        <is>
          <t>Product/Project</t>
        </is>
      </c>
      <c r="DO27" s="159" t="inlineStr">
        <is>
          <t>SQL</t>
        </is>
      </c>
      <c r="DP27" s="159" t="inlineStr">
        <is>
          <t>Technical - Developer</t>
        </is>
      </c>
      <c r="DQ27" s="159" t="inlineStr">
        <is>
          <t>Remote - Mumbai</t>
        </is>
      </c>
      <c r="DR27" s="159" t="inlineStr">
        <is>
          <t>Focused on delivering reliable, scalable, and optimized solutions while also aiming to enhance team productivity, adopt AI-driven development practices, and continuously upskill in ETL and BI tools like Apache Hop.</t>
        </is>
      </c>
      <c r="DS27" s="159" t="inlineStr">
        <is>
          <t>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stability by resolving client issues, performing code reviews, testing, and supporting production deployments.
4. Drive innovation and productivity by leveraging AI, automation, and modern database/ETL technologies to improve development efficiency.
5. Continuously improve application performance, database optimization, and customer satisfaction through proactive enhancements and process improvements.</t>
        </is>
      </c>
      <c r="DT27" s="159" t="inlineStr">
        <is>
          <t>1	Achieve ≥ 98% defect-free delivery in production releases.
2	Complete assigned development tasks within agreed timelines · ≥ 95% on-time delivery.
3	Perform impact analysis for 100% of change requests before development.
4	Achieve ≥ 95% success rate in SIT/UAT cycles without major defects.
5	Ensure zero critical issues during production deployment.
6	Conduct daily/weekly status tracking with 100% task visibility.
7	Ensure balanced workload distribution across team · no resource overloaded &gt;110%.
8	Resolve team blockers within 24–48 hours.
9	Improve team delivery efficiency by ≥ 15% over the cycle.</t>
        </is>
      </c>
      <c r="DU27" s="159" t="n">
        <v>2</v>
      </c>
      <c r="DV27" s="159" t="n"/>
      <c r="DW27" s="159" t="inlineStr">
        <is>
          <t>Same as per records</t>
        </is>
      </c>
      <c r="DX27" s="159" t="n"/>
      <c r="DY27" s="159" t="n">
        <v>2</v>
      </c>
      <c r="DZ27" s="159" t="inlineStr">
        <is>
          <t>Low</t>
        </is>
      </c>
      <c r="EA27" s="159" t="inlineStr">
        <is>
          <t>Performance Risk</t>
        </is>
      </c>
      <c r="EB27" s="159" t="inlineStr">
        <is>
          <t>Not Ready</t>
        </is>
      </c>
      <c r="EC27" s="159" t="inlineStr">
        <is>
          <t>No</t>
        </is>
      </c>
      <c r="ED27" s="159" t="inlineStr">
        <is>
          <t>No</t>
        </is>
      </c>
      <c r="EE27" s="159" t="inlineStr">
        <is>
          <t>Training on the effective utilization of AI tools.</t>
        </is>
      </c>
      <c r="EF27" s="159" t="n"/>
    </row>
    <row r="28" ht="64" customHeight="1">
      <c r="A28" s="109" t="inlineStr">
        <is>
          <t>IRIS1343</t>
        </is>
      </c>
      <c r="B28" s="111" t="inlineStr">
        <is>
          <t>Anand Usakoyal</t>
        </is>
      </c>
      <c r="C28" s="111" t="inlineStr">
        <is>
          <t>Technology</t>
        </is>
      </c>
      <c r="D28" s="114" t="inlineStr">
        <is>
          <t>Project Lead</t>
        </is>
      </c>
      <c r="E28" s="114" t="inlineStr">
        <is>
          <t>Associate Project Manager</t>
        </is>
      </c>
      <c r="F28" s="114" t="inlineStr">
        <is>
          <t>L5 – Lead · IC</t>
        </is>
      </c>
      <c r="G28" s="114" t="inlineStr">
        <is>
          <t>B1</t>
        </is>
      </c>
      <c r="H28" s="147" t="inlineStr">
        <is>
          <t>▼ Down · protected</t>
        </is>
      </c>
      <c r="I28" s="111" t="inlineStr">
        <is>
          <t>Project &amp; Program Management</t>
        </is>
      </c>
      <c r="J28" s="111" t="inlineStr">
        <is>
          <t>Project &amp; Program Delivery</t>
        </is>
      </c>
      <c r="K28" s="111" t="inlineStr"/>
      <c r="L28" s="111" t="n">
        <v>20</v>
      </c>
      <c r="M28" s="139" t="inlineStr">
        <is>
          <t>P3 / M2</t>
        </is>
      </c>
      <c r="N28" s="115" t="inlineStr">
        <is>
          <t>Career / · Team Lead</t>
        </is>
      </c>
      <c r="O28" s="115" t="inlineStr">
        <is>
          <t>4 Enable</t>
        </is>
      </c>
      <c r="P28" s="115" t="inlineStr">
        <is>
          <t>4–7 yrs</t>
        </is>
      </c>
      <c r="Q28" s="115" t="inlineStr">
        <is>
          <t>5–8 · 4–8</t>
        </is>
      </c>
      <c r="R28" s="115" t="inlineStr">
        <is>
          <t>Project Manager</t>
        </is>
      </c>
      <c r="S28" s="115" t="inlineStr">
        <is>
          <t>IRIS Vs Competitor Benchmark — PMI pathway + SaaS delivery ladder: Project Manager · PMP</t>
        </is>
      </c>
      <c r="T28" s="115" t="inlineStr">
        <is>
          <t>PMI PMBOK and Talent Triangle; CAPM · entry → PMP → PgMP; Scrum / SAFe</t>
        </is>
      </c>
      <c r="U28" s="115" t="inlineStr">
        <is>
          <t>Core 3 · Future 3 · Functional 3 · Leadership 1</t>
        </is>
      </c>
      <c r="V28" s="158" t="n">
        <v>119</v>
      </c>
      <c r="W28" s="159" t="inlineStr">
        <is>
          <t>IRIS1343</t>
        </is>
      </c>
      <c r="X28" s="159" t="inlineStr">
        <is>
          <t>Employee</t>
        </is>
      </c>
      <c r="Y28" s="159" t="inlineStr">
        <is>
          <t>Active</t>
        </is>
      </c>
      <c r="Z28" s="159" t="inlineStr">
        <is>
          <t>Anand Usakoyal</t>
        </is>
      </c>
      <c r="AA28" s="244" t="n">
        <v>41437</v>
      </c>
      <c r="AB28" s="159" t="inlineStr">
        <is>
          <t>Project Lead</t>
        </is>
      </c>
      <c r="AC28" s="159" t="inlineStr">
        <is>
          <t>MBA</t>
        </is>
      </c>
      <c r="AD28" s="159" t="inlineStr">
        <is>
          <t>Hemant Karale</t>
        </is>
      </c>
      <c r="AE28" s="159" t="inlineStr">
        <is>
          <t>N-3</t>
        </is>
      </c>
      <c r="AF28" s="159" t="inlineStr">
        <is>
          <t>Individual Contributor</t>
        </is>
      </c>
      <c r="AG28" s="159" t="inlineStr">
        <is>
          <t>0 years, 0 months, 0 days</t>
        </is>
      </c>
      <c r="AH28" s="159" t="inlineStr">
        <is>
          <t>13 years, 2 months, 13 days</t>
        </is>
      </c>
      <c r="AI28" s="159" t="inlineStr">
        <is>
          <t>Regtech</t>
        </is>
      </c>
      <c r="AJ28" s="159" t="inlineStr">
        <is>
          <t>iDEAL</t>
        </is>
      </c>
      <c r="AK28" s="159" t="inlineStr">
        <is>
          <t>Technology</t>
        </is>
      </c>
      <c r="AL28" s="159" t="inlineStr">
        <is>
          <t>Project Management</t>
        </is>
      </c>
      <c r="AM28" s="159" t="inlineStr">
        <is>
          <t>No</t>
        </is>
      </c>
      <c r="AN28" s="159" t="inlineStr">
        <is>
          <t>Product/Project</t>
        </is>
      </c>
      <c r="AO28" s="159" t="inlineStr">
        <is>
          <t>Project Management</t>
        </is>
      </c>
      <c r="AP28" s="159" t="inlineStr">
        <is>
          <t>Technical · BA, PM and QA</t>
        </is>
      </c>
      <c r="AQ28" s="159" t="n">
        <v>20</v>
      </c>
      <c r="AR28" s="159" t="inlineStr">
        <is>
          <t>Covered</t>
        </is>
      </c>
      <c r="AS28" s="159" t="n"/>
      <c r="AT28" s="159" t="n"/>
      <c r="AU28" s="159" t="n"/>
      <c r="AV28" s="159" t="n"/>
      <c r="AW28" s="159" t="n"/>
      <c r="AX28" s="159" t="n"/>
      <c r="AY28" s="159" t="n"/>
      <c r="AZ28" s="159" t="n"/>
      <c r="BA28" s="159" t="n"/>
      <c r="BB28" s="159" t="n"/>
      <c r="BC28" s="159" t="n"/>
      <c r="BD28" s="159" t="n"/>
      <c r="BE28" s="159" t="n"/>
      <c r="BF28" s="159" t="n"/>
      <c r="BG28" s="159" t="n"/>
      <c r="BH28" s="159" t="n"/>
      <c r="BI28" s="159" t="n"/>
      <c r="BJ28" s="159" t="n"/>
      <c r="BK28" s="159" t="n"/>
      <c r="BL28" s="159" t="n"/>
      <c r="BM28" s="159" t="n"/>
      <c r="BN28" s="159" t="n"/>
      <c r="BO28" s="159" t="n"/>
      <c r="BP28" s="159" t="n"/>
      <c r="BQ28" s="159" t="n"/>
      <c r="BR28" s="159" t="n"/>
      <c r="BS28" s="159" t="n"/>
      <c r="BT28" s="159" t="n"/>
      <c r="BU28" s="159" t="n"/>
      <c r="BV28" s="159" t="n"/>
      <c r="BW28" s="159" t="n"/>
      <c r="BX28" s="159" t="n"/>
      <c r="BY28" s="159" t="n"/>
      <c r="BZ28" s="159" t="n"/>
      <c r="CA28" s="159" t="n"/>
      <c r="CB28" s="159" t="n"/>
      <c r="CC28" s="159" t="n"/>
      <c r="CD28" s="159" t="n"/>
      <c r="CE28" s="159" t="n"/>
      <c r="CF28" s="159" t="n"/>
      <c r="CG28" s="159" t="n"/>
      <c r="CH28" s="159" t="n"/>
      <c r="CI28" s="159" t="n"/>
      <c r="CJ28" s="159" t="n"/>
      <c r="CK28" s="159" t="n"/>
      <c r="CL28" s="159" t="n"/>
      <c r="CM28" s="159" t="n"/>
      <c r="CN28" s="159" t="n"/>
      <c r="CO28" s="159" t="n"/>
      <c r="CP28" s="159" t="n"/>
      <c r="CQ28" s="159" t="inlineStr">
        <is>
          <t>IRIS1343</t>
        </is>
      </c>
      <c r="CR28" s="159" t="inlineStr">
        <is>
          <t>Employee</t>
        </is>
      </c>
      <c r="CS28" s="159" t="inlineStr">
        <is>
          <t>Active</t>
        </is>
      </c>
      <c r="CT28" s="159" t="inlineStr">
        <is>
          <t>Anand Usakoyal</t>
        </is>
      </c>
      <c r="CU28" s="160" t="n">
        <v>41437</v>
      </c>
      <c r="CV28" s="159" t="inlineStr">
        <is>
          <t>Project Lead</t>
        </is>
      </c>
      <c r="CW28" s="159" t="inlineStr">
        <is>
          <t>Project &amp; Program Management</t>
        </is>
      </c>
      <c r="CX28" s="159" t="inlineStr">
        <is>
          <t>Project Management</t>
        </is>
      </c>
      <c r="CY28" s="159" t="inlineStr">
        <is>
          <t>Project Lead</t>
        </is>
      </c>
      <c r="CZ28" s="159" t="inlineStr">
        <is>
          <t>L5 – Lead · IC</t>
        </is>
      </c>
      <c r="DA28" s="159" t="inlineStr">
        <is>
          <t>MBA</t>
        </is>
      </c>
      <c r="DB28" s="159" t="inlineStr">
        <is>
          <t>Hemant Karale</t>
        </is>
      </c>
      <c r="DC28" s="159" t="inlineStr">
        <is>
          <t>N-3</t>
        </is>
      </c>
      <c r="DD28" s="159" t="inlineStr">
        <is>
          <t>Individual Contributor</t>
        </is>
      </c>
      <c r="DE28" s="159" t="inlineStr">
        <is>
          <t>0 years, 0 months, 0 days</t>
        </is>
      </c>
      <c r="DF28" s="159" t="inlineStr">
        <is>
          <t>13 years, 0 months, 8 days</t>
        </is>
      </c>
      <c r="DG28" s="159" t="inlineStr">
        <is>
          <t>13 years, 0 months, 8 days</t>
        </is>
      </c>
      <c r="DH28" s="159" t="n"/>
      <c r="DI28" s="159" t="inlineStr">
        <is>
          <t>Regtech</t>
        </is>
      </c>
      <c r="DJ28" s="159" t="inlineStr">
        <is>
          <t>iDEAL</t>
        </is>
      </c>
      <c r="DK28" s="159" t="inlineStr">
        <is>
          <t>Technology</t>
        </is>
      </c>
      <c r="DL28" s="159" t="inlineStr">
        <is>
          <t>Project Management</t>
        </is>
      </c>
      <c r="DM28" s="159" t="inlineStr">
        <is>
          <t>No</t>
        </is>
      </c>
      <c r="DN28" s="159" t="inlineStr">
        <is>
          <t>Product/Project</t>
        </is>
      </c>
      <c r="DO28" s="159" t="inlineStr">
        <is>
          <t>Project Management</t>
        </is>
      </c>
      <c r="DP28" s="159" t="inlineStr">
        <is>
          <t>Technical · BA, PM and QA</t>
        </is>
      </c>
      <c r="DQ28" s="159" t="inlineStr">
        <is>
          <t>Remote - Mumbai</t>
        </is>
      </c>
      <c r="DR28" s="159" t="inlineStr">
        <is>
          <r>
            <rPr>
              <rFont val="Calibri"/>
              <b val="1"/>
              <sz val="10"/>
            </rPr>
            <t>EBR SDMX Project:</t>
          </r>
          <r>
            <rPr>
              <rFont val="Calibri"/>
              <sz val="10"/>
            </rPr>
            <t xml:space="preserve">
1. Target to manage the requirement gathering, coordinate development and testing, and successfully release all new returns to the banks that are introduced throughout the year.
2. To establish a proper tracking process for all application bug fixes and return changes, maintaining a clear record of what changes were delivered to which banks and when, to improve deployment accuracy.
3. To manage requirement gathering and development for new features, modifications, and enhancements required in the application to support future return releases and improve overall performance.
4. To gather requirements and coordinate with development and testing teams to successfully implement new master validations and open dimension validations for all new returns released throughout the year.
5. To ensure proper delivery and deployment of all returns at the banks' end, enabling them to generate error-free outputs and successfully complete their filing on the RBI portal.</t>
          </r>
        </is>
      </c>
      <c r="DS28" s="159" t="inlineStr">
        <is>
          <t>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maintain zero escalations.
2. Drive the implementation, testing, and rollout of all RBI-prescribed SDMX validations within the IRIS iDEAL EBR solution by July 2026 and ensure successful deployment to all EBR customers by the first week of August 2026.
3.Organize and conduct bi-weekly knowledge-sharing sessions for Business Analysts on EBR solution error handling, validations, and troubleshooting techniques to reduce dependency on specific individuals, improve team capability.
4. Support business leads in EBR product demonstrations, client EBR discussions, and requirement clarification to facilitate successful client engagements and business opportunities. Conduct and support a minimum of two EBR product demonstrations per week until December 2026.
5.Proactively contribute to and increase involvement in iDEAL projects beyond EBR to expand domain and product expertise. By December 2026, develop a working understanding of all iDEAL products, their key functionalities, business purposes, and implementation workflows, enabling effective participation in project discussions, support activities, and client engagements.</t>
        </is>
      </c>
      <c r="DT28" s="159" t="inlineStr">
        <is>
          <t>1. Enhance expertise in EBR SDMX reports, validations, and implementation processes, and conduct periodic knowledge-sharing and training sessions for BA's to strengthen the team's EBR support and implementation capabilities.
2. Support business leads in EBR product demonstrations, client discussions, workshops, and requirement clarification activities to facilitate successful client engagements and new business opportunities.</t>
        </is>
      </c>
      <c r="DU28" s="159" t="n">
        <v>3</v>
      </c>
      <c r="DV28" s="160" t="n">
        <v>45931</v>
      </c>
      <c r="DW28" s="159" t="inlineStr">
        <is>
          <t>Same as current designation</t>
        </is>
      </c>
      <c r="DX28" s="159" t="inlineStr">
        <is>
          <t>No</t>
        </is>
      </c>
      <c r="DY28" s="159" t="n">
        <v>3</v>
      </c>
      <c r="DZ28" s="159" t="inlineStr">
        <is>
          <t>Medium</t>
        </is>
      </c>
      <c r="EA28" s="159" t="inlineStr">
        <is>
          <t>Emerging Talent</t>
        </is>
      </c>
      <c r="EB28" s="159" t="inlineStr">
        <is>
          <t>Not Ready</t>
        </is>
      </c>
      <c r="EC28" s="159" t="inlineStr">
        <is>
          <t>No</t>
        </is>
      </c>
      <c r="ED28" s="159" t="inlineStr">
        <is>
          <t>No</t>
        </is>
      </c>
      <c r="EE28" s="159" t="inlineStr">
        <is>
          <t>Training on the effective utilization of AI tools.</t>
        </is>
      </c>
      <c r="EF28" s="159" t="n"/>
    </row>
    <row r="29" ht="64" customHeight="1">
      <c r="A29" s="109" t="inlineStr">
        <is>
          <t>IRIS2236</t>
        </is>
      </c>
      <c r="B29" s="111" t="inlineStr">
        <is>
          <t>Anishaa Mahesh Kukreja</t>
        </is>
      </c>
      <c r="C29" s="111" t="inlineStr">
        <is>
          <t>Technology</t>
        </is>
      </c>
      <c r="D29" s="114" t="inlineStr">
        <is>
          <t>Business Analyst</t>
        </is>
      </c>
      <c r="E29" s="114" t="inlineStr">
        <is>
          <t>Senior Business Analyst</t>
        </is>
      </c>
      <c r="F29" s="114" t="inlineStr">
        <is>
          <t>L3 – Professional / Associate</t>
        </is>
      </c>
      <c r="G29" s="114" t="inlineStr">
        <is>
          <t>A3</t>
        </is>
      </c>
      <c r="H29" s="142" t="inlineStr">
        <is>
          <t>▲ Up</t>
        </is>
      </c>
      <c r="I29" s="111" t="inlineStr">
        <is>
          <t>Business Analysis</t>
        </is>
      </c>
      <c r="J29" s="111" t="inlineStr">
        <is>
          <t>Business Analysis</t>
        </is>
      </c>
      <c r="K29" s="111" t="inlineStr"/>
      <c r="L29" s="111" t="n">
        <v>20</v>
      </c>
      <c r="M29" s="139" t="inlineStr">
        <is>
          <t>P2</t>
        </is>
      </c>
      <c r="N29" s="115" t="inlineStr">
        <is>
          <t>Developing</t>
        </is>
      </c>
      <c r="O29" s="115" t="inlineStr">
        <is>
          <t>3 Apply</t>
        </is>
      </c>
      <c r="P29" s="115" t="inlineStr">
        <is>
          <t>2–4 yrs</t>
        </is>
      </c>
      <c r="Q29" s="115" t="inlineStr">
        <is>
          <t>3–5 · 2–5</t>
        </is>
      </c>
      <c r="R29" s="115" t="inlineStr">
        <is>
          <t>Business Analyst</t>
        </is>
      </c>
      <c r="S29" s="115" t="inlineStr">
        <is>
          <t>Regnology — regulatory reporting: Junior BA · Reg Reporting · Big Four consulting: Consultant · IRIS Vs Market Benchmark — IIBA certification pathway: ECBA · Infosys / Accenture: JL3A · L10 Senior Analyst</t>
        </is>
      </c>
      <c r="T29" s="115" t="inlineStr">
        <is>
          <t>IIBA BABOK v3; certifications ECBA · entry → CCBA → CBAP · senior</t>
        </is>
      </c>
      <c r="U29" s="115" t="inlineStr">
        <is>
          <t>Core 2 · Future 2 · Functional 3 · Leadership not scored</t>
        </is>
      </c>
      <c r="V29" s="158" t="n">
        <v>312</v>
      </c>
      <c r="W29" s="159" t="inlineStr">
        <is>
          <t>IRIS2236</t>
        </is>
      </c>
      <c r="X29" s="159" t="inlineStr">
        <is>
          <t>Employee</t>
        </is>
      </c>
      <c r="Y29" s="159" t="inlineStr">
        <is>
          <t>Active</t>
        </is>
      </c>
      <c r="Z29" s="159" t="inlineStr">
        <is>
          <t>Anishaa Mahesh Kukreja</t>
        </is>
      </c>
      <c r="AA29" s="244" t="n">
        <v>45390</v>
      </c>
      <c r="AB29" s="159" t="inlineStr">
        <is>
          <t>Business Analyst</t>
        </is>
      </c>
      <c r="AC29" s="159" t="inlineStr">
        <is>
          <t>B.E</t>
        </is>
      </c>
      <c r="AD29" s="159" t="inlineStr">
        <is>
          <t>Yuvraj Kharchane</t>
        </is>
      </c>
      <c r="AE29" s="159" t="inlineStr">
        <is>
          <t>N-4</t>
        </is>
      </c>
      <c r="AF29" s="159" t="inlineStr">
        <is>
          <t>Individual Contributor</t>
        </is>
      </c>
      <c r="AG29" s="159" t="inlineStr">
        <is>
          <t>4 years, 0 months, 0 days</t>
        </is>
      </c>
      <c r="AH29" s="159" t="inlineStr">
        <is>
          <t>2 years, 4 months, 17 days</t>
        </is>
      </c>
      <c r="AI29" s="159" t="inlineStr">
        <is>
          <t>Regtech</t>
        </is>
      </c>
      <c r="AJ29" s="159" t="inlineStr">
        <is>
          <t>iDEAL</t>
        </is>
      </c>
      <c r="AK29" s="159" t="inlineStr">
        <is>
          <t>Technology</t>
        </is>
      </c>
      <c r="AL29" s="159" t="inlineStr">
        <is>
          <t>Business Analysis</t>
        </is>
      </c>
      <c r="AM29" s="159" t="inlineStr">
        <is>
          <t>No</t>
        </is>
      </c>
      <c r="AN29" s="159" t="inlineStr">
        <is>
          <t>Product/Project</t>
        </is>
      </c>
      <c r="AO29" s="159" t="inlineStr">
        <is>
          <t>Business Analysis</t>
        </is>
      </c>
      <c r="AP29" s="159" t="inlineStr">
        <is>
          <t>Technical · BA, PM and QA</t>
        </is>
      </c>
      <c r="AQ29" s="159" t="n">
        <v>20</v>
      </c>
      <c r="AR29" s="159" t="inlineStr">
        <is>
          <t>Covered</t>
        </is>
      </c>
      <c r="AS29" s="159" t="n"/>
      <c r="AT29" s="159" t="n"/>
      <c r="AU29" s="159" t="n"/>
      <c r="AV29" s="159" t="n"/>
      <c r="AW29" s="159" t="n"/>
      <c r="AX29" s="159" t="n"/>
      <c r="AY29" s="159" t="n"/>
      <c r="AZ29" s="159" t="n"/>
      <c r="BA29" s="159" t="n"/>
      <c r="BB29" s="159" t="n"/>
      <c r="BC29" s="159" t="n"/>
      <c r="BD29" s="159" t="n"/>
      <c r="BE29" s="159" t="n"/>
      <c r="BF29" s="159" t="n"/>
      <c r="BG29" s="159" t="n"/>
      <c r="BH29" s="159" t="n"/>
      <c r="BI29" s="159" t="n"/>
      <c r="BJ29" s="159" t="n"/>
      <c r="BK29" s="159" t="n"/>
      <c r="BL29" s="159" t="n"/>
      <c r="BM29" s="159" t="n"/>
      <c r="BN29" s="159" t="n"/>
      <c r="BO29" s="159" t="n"/>
      <c r="BP29" s="159" t="n"/>
      <c r="BQ29" s="159" t="n"/>
      <c r="BR29" s="159" t="n"/>
      <c r="BS29" s="159" t="n"/>
      <c r="BT29" s="159" t="n"/>
      <c r="BU29" s="159" t="n"/>
      <c r="BV29" s="159" t="n"/>
      <c r="BW29" s="159" t="n"/>
      <c r="BX29" s="159" t="n"/>
      <c r="BY29" s="159" t="n"/>
      <c r="BZ29" s="159" t="n"/>
      <c r="CA29" s="159" t="n"/>
      <c r="CB29" s="159" t="n"/>
      <c r="CC29" s="159" t="n"/>
      <c r="CD29" s="159" t="n"/>
      <c r="CE29" s="159" t="n"/>
      <c r="CF29" s="159" t="n"/>
      <c r="CG29" s="159" t="n"/>
      <c r="CH29" s="159" t="n"/>
      <c r="CI29" s="159" t="n"/>
      <c r="CJ29" s="159" t="n"/>
      <c r="CK29" s="159" t="n"/>
      <c r="CL29" s="159" t="n"/>
      <c r="CM29" s="159" t="n"/>
      <c r="CN29" s="159" t="n"/>
      <c r="CO29" s="159" t="n"/>
      <c r="CP29" s="159" t="n"/>
      <c r="CQ29" s="159" t="inlineStr">
        <is>
          <t>IRIS2236</t>
        </is>
      </c>
      <c r="CR29" s="159" t="inlineStr">
        <is>
          <t>Employee</t>
        </is>
      </c>
      <c r="CS29" s="159" t="inlineStr">
        <is>
          <t>Active</t>
        </is>
      </c>
      <c r="CT29" s="159" t="inlineStr">
        <is>
          <t>Anishaa Mahesh Kukreja</t>
        </is>
      </c>
      <c r="CU29" s="160" t="n">
        <v>45390</v>
      </c>
      <c r="CV29" s="159" t="inlineStr">
        <is>
          <t>Business Analyst</t>
        </is>
      </c>
      <c r="CW29" s="159" t="inlineStr">
        <is>
          <t>Business Analysis</t>
        </is>
      </c>
      <c r="CX29" s="159" t="inlineStr">
        <is>
          <t>Business / Functional Analysis</t>
        </is>
      </c>
      <c r="CY29" s="159" t="inlineStr">
        <is>
          <t>Business Analyst</t>
        </is>
      </c>
      <c r="CZ29" s="159" t="inlineStr">
        <is>
          <t>L3 – Professional / Associate</t>
        </is>
      </c>
      <c r="DA29" s="159" t="inlineStr">
        <is>
          <t>B.E</t>
        </is>
      </c>
      <c r="DB29" s="159" t="inlineStr">
        <is>
          <t>Yuvraj Kharchane</t>
        </is>
      </c>
      <c r="DC29" s="159" t="inlineStr">
        <is>
          <t>N-4</t>
        </is>
      </c>
      <c r="DD29" s="159" t="inlineStr">
        <is>
          <t>Individual Contributor</t>
        </is>
      </c>
      <c r="DE29" s="159" t="inlineStr">
        <is>
          <t>4 years, 0 months, 0 days</t>
        </is>
      </c>
      <c r="DF29" s="159" t="inlineStr">
        <is>
          <t>2 years, 2 months, 12 days</t>
        </is>
      </c>
      <c r="DG29" s="159" t="inlineStr">
        <is>
          <t>6 years, 2 months, 12 days</t>
        </is>
      </c>
      <c r="DH29" s="159" t="n"/>
      <c r="DI29" s="159" t="inlineStr">
        <is>
          <t>Regtech</t>
        </is>
      </c>
      <c r="DJ29" s="159" t="inlineStr">
        <is>
          <t>iDEAL</t>
        </is>
      </c>
      <c r="DK29" s="159" t="inlineStr">
        <is>
          <t>Technology</t>
        </is>
      </c>
      <c r="DL29" s="159" t="inlineStr">
        <is>
          <t>Business Analysis</t>
        </is>
      </c>
      <c r="DM29" s="159" t="inlineStr">
        <is>
          <t>No</t>
        </is>
      </c>
      <c r="DN29" s="159" t="inlineStr">
        <is>
          <t>Product/Project</t>
        </is>
      </c>
      <c r="DO29" s="159" t="inlineStr">
        <is>
          <t>Business Analysis</t>
        </is>
      </c>
      <c r="DP29" s="159" t="inlineStr">
        <is>
          <t>Technical · BA, PM and QA</t>
        </is>
      </c>
      <c r="DQ29" s="159" t="inlineStr">
        <is>
          <t>Remote - Mumbai</t>
        </is>
      </c>
      <c r="DR29" s="159" t="inlineStr">
        <is>
          <t>1. Contribute to ongoing development and enhancement activities for the RPT product by supporting requirement analysis, validation, and business coordination. 
2. Do the RPT product demonstrations and stakeholder discussions to showcase product capabilities and gather feedback for continuous improvement.
3. Support business and functional activities across CIMS, RPT, and EBR projects, ensuring timely resolution of queries and smooth project execution.
4. Contribute to knowledge building within the team and eliminate external dependency · Contetrathrough increased product understanding and ownership for for RPT solution.
5. For RBI CIMS and EBR project, coordinate effectively with cross-functional teams and stakeholders to ensure seamless communication, timely issue resolution, and successful project delivery. Maintain a client-centric approach by resolving support issues and client queries within agreed SLA timelines and proactively communicating project status, risks, and resolutions.
6. Perform detailed functional validation and testing activities for RPT, identifying defects and ensuring quality deliverables</t>
        </is>
      </c>
      <c r="DS29" s="159" t="inlineStr">
        <is>
          <t>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successful client engagements and business opportunities. Lead and coordinate the implementation and successful delivery of the Bharat Forge RPT project, ensuring completion of all agreed milestones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DT29" s="159" t="inlineStr">
        <is>
          <t>1. Acquire in-depth knowledge of EBR SDMX reports, validations, and implementation processes to independently provide effective client support for assigned clients by Aug 2026.
2. Continue to support and lead the RPT product demonstrations, client discussions and requirement clarification to facilitate successful client engagements and business opportunities.
3. Lead the onboarding and project kick-off activities for the upcoming Bharat Forge RPT implementation, including requirement gathering, stakeholder coordination, and collaboration with cross-functional teams to ensure timely project completion by Sep 2026.
4. Effectively manage the assigned portfolio of banks independently  while maintaining 100% customer satisfaction with zero critical escalations.</t>
        </is>
      </c>
      <c r="DU29" s="159" t="n">
        <v>3</v>
      </c>
      <c r="DV29" s="160" t="n">
        <v>45931</v>
      </c>
      <c r="DW29" s="159" t="inlineStr">
        <is>
          <t>Same as current designation</t>
        </is>
      </c>
      <c r="DX29" s="159" t="inlineStr">
        <is>
          <t>No</t>
        </is>
      </c>
      <c r="DY29" s="159" t="n">
        <v>3</v>
      </c>
      <c r="DZ29" s="159" t="inlineStr">
        <is>
          <t>Medium</t>
        </is>
      </c>
      <c r="EA29" s="159" t="inlineStr">
        <is>
          <t>Core Contributor</t>
        </is>
      </c>
      <c r="EB29" s="159" t="inlineStr">
        <is>
          <t>Not Ready</t>
        </is>
      </c>
      <c r="EC29" s="159" t="inlineStr">
        <is>
          <t>No</t>
        </is>
      </c>
      <c r="ED29" s="159" t="inlineStr">
        <is>
          <t>No</t>
        </is>
      </c>
      <c r="EE29" s="159" t="inlineStr">
        <is>
          <t>XBRL Training, Training on the effective utilization of AI tools.</t>
        </is>
      </c>
      <c r="EF29" s="159" t="n"/>
    </row>
    <row r="30" ht="64" customHeight="1">
      <c r="A30" s="109" t="inlineStr">
        <is>
          <t>IRIS2536</t>
        </is>
      </c>
      <c r="B30" s="111" t="inlineStr">
        <is>
          <t>Mohin Patel</t>
        </is>
      </c>
      <c r="C30" s="111" t="inlineStr">
        <is>
          <t>Technology</t>
        </is>
      </c>
      <c r="D30" s="114" t="inlineStr">
        <is>
          <t>Business Analyst</t>
        </is>
      </c>
      <c r="E30" s="114" t="inlineStr">
        <is>
          <t>Senior Business Analyst</t>
        </is>
      </c>
      <c r="F30" s="114" t="inlineStr">
        <is>
          <t>L3 – Professional / Associate</t>
        </is>
      </c>
      <c r="G30" s="114" t="inlineStr">
        <is>
          <t>A3</t>
        </is>
      </c>
      <c r="H30" s="142" t="inlineStr">
        <is>
          <t>▲ Up</t>
        </is>
      </c>
      <c r="I30" s="111" t="inlineStr">
        <is>
          <t>Business Analysis</t>
        </is>
      </c>
      <c r="J30" s="111" t="inlineStr">
        <is>
          <t>Business Analysis</t>
        </is>
      </c>
      <c r="K30" s="111" t="inlineStr"/>
      <c r="L30" s="111" t="n">
        <v>20</v>
      </c>
      <c r="M30" s="139" t="inlineStr">
        <is>
          <t>P2</t>
        </is>
      </c>
      <c r="N30" s="115" t="inlineStr">
        <is>
          <t>Developing</t>
        </is>
      </c>
      <c r="O30" s="115" t="inlineStr">
        <is>
          <t>3 Apply</t>
        </is>
      </c>
      <c r="P30" s="115" t="inlineStr">
        <is>
          <t>2–4 yrs</t>
        </is>
      </c>
      <c r="Q30" s="115" t="inlineStr">
        <is>
          <t>3–5 · 2–5</t>
        </is>
      </c>
      <c r="R30" s="115" t="inlineStr">
        <is>
          <t>Business Analyst</t>
        </is>
      </c>
      <c r="S30" s="115" t="inlineStr">
        <is>
          <t>Regnology — regulatory reporting: Junior BA · Reg Reporting · Big Four consulting: Consultant · IRIS Vs Market Benchmark — IIBA certification pathway: ECBA · Infosys / Accenture: JL3A · L10 Senior Analyst</t>
        </is>
      </c>
      <c r="T30" s="115" t="inlineStr">
        <is>
          <t>IIBA BABOK v3; certifications ECBA · entry → CCBA → CBAP · senior</t>
        </is>
      </c>
      <c r="U30" s="115" t="inlineStr">
        <is>
          <t>Core 2 · Future 2 · Functional 3 · Leadership not scored</t>
        </is>
      </c>
      <c r="V30" s="158" t="n">
        <v>509</v>
      </c>
      <c r="W30" s="159" t="inlineStr">
        <is>
          <t>IRIS2536</t>
        </is>
      </c>
      <c r="X30" s="159" t="inlineStr">
        <is>
          <t>Employee</t>
        </is>
      </c>
      <c r="Y30" s="159" t="inlineStr">
        <is>
          <t>Active</t>
        </is>
      </c>
      <c r="Z30" s="159" t="inlineStr">
        <is>
          <t>Mohin Patel</t>
        </is>
      </c>
      <c r="AA30" s="244" t="n">
        <v>46181</v>
      </c>
      <c r="AB30" s="159" t="inlineStr">
        <is>
          <t>Business Analyst</t>
        </is>
      </c>
      <c r="AC30" s="159" t="inlineStr">
        <is>
          <t>B.E</t>
        </is>
      </c>
      <c r="AD30" s="159" t="inlineStr">
        <is>
          <t>Aroosa Ghole</t>
        </is>
      </c>
      <c r="AE30" s="159" t="inlineStr">
        <is>
          <t>N-4</t>
        </is>
      </c>
      <c r="AF30" s="159" t="inlineStr">
        <is>
          <t>Individual Contributor</t>
        </is>
      </c>
      <c r="AG30" s="159" t="inlineStr">
        <is>
          <t>2 years, 5 months, 00 days</t>
        </is>
      </c>
      <c r="AH30" s="159" t="inlineStr">
        <is>
          <t>0 years, 2 months, 17 days</t>
        </is>
      </c>
      <c r="AI30" s="159" t="inlineStr">
        <is>
          <t>Regtech</t>
        </is>
      </c>
      <c r="AJ30" s="159" t="inlineStr">
        <is>
          <t>iDEAL</t>
        </is>
      </c>
      <c r="AK30" s="159" t="inlineStr">
        <is>
          <t>Technology</t>
        </is>
      </c>
      <c r="AL30" s="159" t="inlineStr">
        <is>
          <t>Development</t>
        </is>
      </c>
      <c r="AM30" s="159" t="inlineStr">
        <is>
          <t>Yes</t>
        </is>
      </c>
      <c r="AN30" s="159" t="inlineStr">
        <is>
          <t>Product/Project</t>
        </is>
      </c>
      <c r="AO30" s="159" t="n"/>
      <c r="AP30" s="159" t="inlineStr">
        <is>
          <t>Technical - Developer</t>
        </is>
      </c>
      <c r="AQ30" s="159" t="n">
        <v>20</v>
      </c>
      <c r="AR30" s="159" t="inlineStr">
        <is>
          <t>Covered</t>
        </is>
      </c>
      <c r="AS30" s="159" t="n"/>
      <c r="AT30" s="159" t="n"/>
      <c r="AU30" s="159" t="n"/>
      <c r="AV30" s="159" t="n"/>
      <c r="AW30" s="159" t="n"/>
      <c r="AX30" s="159" t="n"/>
      <c r="AY30" s="159" t="n"/>
      <c r="AZ30" s="159" t="n"/>
      <c r="BA30" s="159" t="n"/>
      <c r="BB30" s="159" t="n"/>
      <c r="BC30" s="159" t="n"/>
      <c r="BD30" s="159" t="n"/>
      <c r="BE30" s="159" t="n"/>
      <c r="BF30" s="159" t="n"/>
      <c r="BG30" s="159" t="n"/>
      <c r="BH30" s="159" t="n"/>
      <c r="BI30" s="159" t="n"/>
      <c r="BJ30" s="159" t="n"/>
      <c r="BK30" s="159" t="n"/>
      <c r="BL30" s="159" t="n"/>
      <c r="BM30" s="159" t="n"/>
      <c r="BN30" s="159" t="n"/>
      <c r="BO30" s="159" t="n"/>
      <c r="BP30" s="159" t="n"/>
      <c r="BQ30" s="159" t="n"/>
      <c r="BR30" s="159" t="n"/>
      <c r="BS30" s="159" t="n"/>
      <c r="BT30" s="159" t="n"/>
      <c r="BU30" s="159" t="n"/>
      <c r="BV30" s="159" t="n"/>
      <c r="BW30" s="159" t="n"/>
      <c r="BX30" s="159" t="n"/>
      <c r="BY30" s="159" t="n"/>
      <c r="BZ30" s="159" t="n"/>
      <c r="CA30" s="159" t="n"/>
      <c r="CB30" s="159" t="n"/>
      <c r="CC30" s="159" t="n"/>
      <c r="CD30" s="159" t="n"/>
      <c r="CE30" s="159" t="n"/>
      <c r="CF30" s="159" t="n"/>
      <c r="CG30" s="159" t="n"/>
      <c r="CH30" s="159" t="n"/>
      <c r="CI30" s="159" t="n"/>
      <c r="CJ30" s="159" t="n"/>
      <c r="CK30" s="159" t="n"/>
      <c r="CL30" s="159" t="n"/>
      <c r="CM30" s="159" t="n"/>
      <c r="CN30" s="159" t="n"/>
      <c r="CO30" s="159" t="n"/>
      <c r="CP30" s="159" t="n"/>
      <c r="CQ30" s="159" t="inlineStr">
        <is>
          <t>IRIS2536</t>
        </is>
      </c>
      <c r="CR30" s="159" t="inlineStr">
        <is>
          <t>Employee</t>
        </is>
      </c>
      <c r="CS30" s="159" t="inlineStr">
        <is>
          <t>Active</t>
        </is>
      </c>
      <c r="CT30" s="159" t="inlineStr">
        <is>
          <t>Mohin Patel</t>
        </is>
      </c>
      <c r="CU30" s="160" t="n">
        <v>46181</v>
      </c>
      <c r="CV30" s="159" t="inlineStr">
        <is>
          <t>Business Analyst</t>
        </is>
      </c>
      <c r="CW30" s="159" t="inlineStr">
        <is>
          <t>Business Analysis</t>
        </is>
      </c>
      <c r="CX30" s="159" t="inlineStr">
        <is>
          <t>Business / Functional Analysis</t>
        </is>
      </c>
      <c r="CY30" s="159" t="inlineStr">
        <is>
          <t>Business Analyst</t>
        </is>
      </c>
      <c r="CZ30" s="159" t="inlineStr">
        <is>
          <t>L3 – Professional / Associate</t>
        </is>
      </c>
      <c r="DA30" s="159" t="inlineStr">
        <is>
          <t>Business Analysis</t>
        </is>
      </c>
      <c r="DB30" s="159" t="inlineStr">
        <is>
          <t>Technical · BA, PM and QA</t>
        </is>
      </c>
      <c r="DC30" s="159" t="inlineStr">
        <is>
          <t>Work From Office - Turbhe</t>
        </is>
      </c>
      <c r="DD30" s="159" t="inlineStr">
        <is>
          <t>Individual Contributor</t>
        </is>
      </c>
      <c r="DE30" s="159" t="inlineStr">
        <is>
          <t>4 years, 0 months, 0 days</t>
        </is>
      </c>
      <c r="DF30" s="159" t="inlineStr">
        <is>
          <t>2 years, 2 months, 12 days</t>
        </is>
      </c>
      <c r="DG30" s="159" t="inlineStr">
        <is>
          <t>6 years, 2 months, 12 days</t>
        </is>
      </c>
      <c r="DH30" s="159" t="n"/>
      <c r="DI30" s="159" t="inlineStr">
        <is>
          <t>Regtech</t>
        </is>
      </c>
      <c r="DJ30" s="159" t="inlineStr">
        <is>
          <t>iDEAL</t>
        </is>
      </c>
      <c r="DK30" s="159" t="inlineStr">
        <is>
          <t>Technology</t>
        </is>
      </c>
      <c r="DL30" s="159" t="inlineStr">
        <is>
          <t>Business Analysis</t>
        </is>
      </c>
      <c r="DM30" s="159" t="inlineStr">
        <is>
          <t>No</t>
        </is>
      </c>
      <c r="DN30" s="159" t="inlineStr">
        <is>
          <t>Product/Project</t>
        </is>
      </c>
      <c r="DO30" s="159" t="inlineStr">
        <is>
          <t>Business Analysis</t>
        </is>
      </c>
      <c r="DP30" s="159" t="inlineStr">
        <is>
          <t>Technical · BA, PM and QA</t>
        </is>
      </c>
      <c r="DQ30" s="159" t="inlineStr">
        <is>
          <t>Remote - Mumbai</t>
        </is>
      </c>
      <c r="DR30" s="159" t="inlineStr">
        <is>
          <t>1. Gain End-to-End Ownership of Assigned Portfolio: Develop a strong understanding of the assigned portfolio and become capable of independently handling business analysis activities, including requirement gathering, documentation, testing coordination, client communication, and delivery support.
2. Strengthen Business Analysis and Documentation Skills: Enhance Business Analysis skills by independently preparing and managing project documents such as BRDs,  MoMs, requirement documents, user stories, process flows, and UAT sign-offs with minimal supervision.
3. Build Functional and Technical Expertise: Develop strong functional knowledge of the iDEAL product, regulatory reporting, and banking domain while improving technical understanding of SQL, databases, and system workflows to support better requirement analysis and solution design.
4. Improve Stakeholder Communication and Collaboration: Strengthen communication and collaboration skills by actively participating in client discussions, internal meetings, cross-functional coordination, and providing timely project updates.
5. Deliver Quality Outcomes with Continuous Learning: Ensure timely delivery of assigned tasks with high quality standards while continuously improving problem-solving ability, analytical thinking, and domain knowledge.</t>
        </is>
      </c>
      <c r="DS30" s="159"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DT30" s="159"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DU30" s="159" t="n">
        <v>2</v>
      </c>
      <c r="DV30" s="160" t="n">
        <v>45931</v>
      </c>
      <c r="DW30" s="159" t="inlineStr">
        <is>
          <t>Same as current designation</t>
        </is>
      </c>
      <c r="DX30" s="159" t="inlineStr">
        <is>
          <t>No</t>
        </is>
      </c>
      <c r="DY30" s="159" t="n">
        <v>3</v>
      </c>
      <c r="DZ30" s="159" t="inlineStr">
        <is>
          <t>Medium</t>
        </is>
      </c>
      <c r="EA30" s="159" t="inlineStr">
        <is>
          <t>Core Contributor</t>
        </is>
      </c>
      <c r="EB30" s="159" t="inlineStr">
        <is>
          <t>Not Ready</t>
        </is>
      </c>
      <c r="EC30" s="159" t="inlineStr">
        <is>
          <t>No</t>
        </is>
      </c>
      <c r="ED30" s="159" t="inlineStr">
        <is>
          <t>No</t>
        </is>
      </c>
      <c r="EE30" s="159" t="inlineStr">
        <is>
          <t>XBRL Training, Training on the effective utilization of AI tools.</t>
        </is>
      </c>
      <c r="EF30" s="159" t="n"/>
    </row>
    <row r="31" ht="64" customHeight="1">
      <c r="A31" s="109" t="inlineStr">
        <is>
          <t>IRIS2136</t>
        </is>
      </c>
      <c r="B31" s="111" t="inlineStr">
        <is>
          <t>Neetu Rani Paul</t>
        </is>
      </c>
      <c r="C31" s="111" t="inlineStr">
        <is>
          <t>Technology</t>
        </is>
      </c>
      <c r="D31" s="114" t="inlineStr">
        <is>
          <t>Business Analyst</t>
        </is>
      </c>
      <c r="E31" s="114" t="inlineStr">
        <is>
          <t>Senior Business Analyst</t>
        </is>
      </c>
      <c r="F31" s="114" t="inlineStr">
        <is>
          <t>L3 – Professional / Associate</t>
        </is>
      </c>
      <c r="G31" s="114" t="inlineStr">
        <is>
          <t>A3</t>
        </is>
      </c>
      <c r="H31" s="142" t="inlineStr">
        <is>
          <t>▲ Up</t>
        </is>
      </c>
      <c r="I31" s="111" t="inlineStr">
        <is>
          <t>Business Analysis</t>
        </is>
      </c>
      <c r="J31" s="111" t="inlineStr">
        <is>
          <t>Business Analysis</t>
        </is>
      </c>
      <c r="K31" s="111" t="inlineStr"/>
      <c r="L31" s="111" t="n">
        <v>20</v>
      </c>
      <c r="M31" s="139" t="inlineStr">
        <is>
          <t>P2</t>
        </is>
      </c>
      <c r="N31" s="115" t="inlineStr">
        <is>
          <t>Developing</t>
        </is>
      </c>
      <c r="O31" s="115" t="inlineStr">
        <is>
          <t>3 Apply</t>
        </is>
      </c>
      <c r="P31" s="115" t="inlineStr">
        <is>
          <t>2–4 yrs</t>
        </is>
      </c>
      <c r="Q31" s="115" t="inlineStr">
        <is>
          <t>3–5 · 2–5</t>
        </is>
      </c>
      <c r="R31" s="115" t="inlineStr">
        <is>
          <t>Business Analyst</t>
        </is>
      </c>
      <c r="S31" s="115" t="inlineStr">
        <is>
          <t>Regnology — regulatory reporting: Junior BA · Reg Reporting · Big Four consulting: Consultant · IRIS Vs Market Benchmark — IIBA certification pathway: ECBA · Infosys / Accenture: JL3A · L10 Senior Analyst</t>
        </is>
      </c>
      <c r="T31" s="115" t="inlineStr">
        <is>
          <t>IIBA BABOK v3; certifications ECBA · entry → CCBA → CBAP · senior</t>
        </is>
      </c>
      <c r="U31" s="115" t="inlineStr">
        <is>
          <t>Core 2 · Future 2 · Functional 3 · Leadership not scored</t>
        </is>
      </c>
      <c r="V31" s="158" t="n">
        <v>276</v>
      </c>
      <c r="W31" s="159" t="inlineStr">
        <is>
          <t>IRIS2136</t>
        </is>
      </c>
      <c r="X31" s="159" t="inlineStr">
        <is>
          <t>Employee</t>
        </is>
      </c>
      <c r="Y31" s="159" t="inlineStr">
        <is>
          <t>Active</t>
        </is>
      </c>
      <c r="Z31" s="159" t="inlineStr">
        <is>
          <t>Neetu Rani Paul</t>
        </is>
      </c>
      <c r="AA31" s="244" t="n">
        <v>45078</v>
      </c>
      <c r="AB31" s="159" t="inlineStr">
        <is>
          <t>Business Analyst</t>
        </is>
      </c>
      <c r="AC31" s="159" t="inlineStr">
        <is>
          <t>MA</t>
        </is>
      </c>
      <c r="AD31" s="159" t="inlineStr">
        <is>
          <t>Yuvraj Kharchane</t>
        </is>
      </c>
      <c r="AE31" s="159" t="inlineStr">
        <is>
          <t>N-4</t>
        </is>
      </c>
      <c r="AF31" s="159" t="inlineStr">
        <is>
          <t>Individual Contributor</t>
        </is>
      </c>
      <c r="AG31" s="159" t="inlineStr">
        <is>
          <t>2 years, 7 months, 0 days</t>
        </is>
      </c>
      <c r="AH31" s="159" t="inlineStr">
        <is>
          <t>3 years, 2 months, 24 days</t>
        </is>
      </c>
      <c r="AI31" s="159" t="inlineStr">
        <is>
          <t>Regtech</t>
        </is>
      </c>
      <c r="AJ31" s="159" t="inlineStr">
        <is>
          <t>iDEAL</t>
        </is>
      </c>
      <c r="AK31" s="159" t="inlineStr">
        <is>
          <t>Technology</t>
        </is>
      </c>
      <c r="AL31" s="159" t="inlineStr">
        <is>
          <t>Business Analysis</t>
        </is>
      </c>
      <c r="AM31" s="159" t="inlineStr">
        <is>
          <t>No</t>
        </is>
      </c>
      <c r="AN31" s="159" t="inlineStr">
        <is>
          <t>Product/Project</t>
        </is>
      </c>
      <c r="AO31" s="159" t="inlineStr">
        <is>
          <t>Business Analysis</t>
        </is>
      </c>
      <c r="AP31" s="159" t="inlineStr">
        <is>
          <t>Technical · BA, PM and QA</t>
        </is>
      </c>
      <c r="AQ31" s="159" t="n">
        <v>20</v>
      </c>
      <c r="AR31" s="159" t="inlineStr">
        <is>
          <t>Covered</t>
        </is>
      </c>
      <c r="AS31" s="159" t="n"/>
      <c r="AT31" s="159" t="n"/>
      <c r="AU31" s="159" t="n"/>
      <c r="AV31" s="159" t="n"/>
      <c r="AW31" s="159" t="n"/>
      <c r="AX31" s="159" t="n"/>
      <c r="AY31" s="159" t="n"/>
      <c r="AZ31" s="159" t="n"/>
      <c r="BA31" s="159" t="n"/>
      <c r="BB31" s="159" t="n"/>
      <c r="BC31" s="159" t="n"/>
      <c r="BD31" s="159" t="n"/>
      <c r="BE31" s="159" t="n"/>
      <c r="BF31" s="159" t="n"/>
      <c r="BG31" s="159" t="n"/>
      <c r="BH31" s="159" t="n"/>
      <c r="BI31" s="159" t="n"/>
      <c r="BJ31" s="159" t="n"/>
      <c r="BK31" s="159" t="n"/>
      <c r="BL31" s="159" t="n"/>
      <c r="BM31" s="159" t="n"/>
      <c r="BN31" s="159" t="n"/>
      <c r="BO31" s="159" t="n"/>
      <c r="BP31" s="159" t="n"/>
      <c r="BQ31" s="159" t="n"/>
      <c r="BR31" s="159" t="n"/>
      <c r="BS31" s="159" t="n"/>
      <c r="BT31" s="159" t="n"/>
      <c r="BU31" s="159" t="n"/>
      <c r="BV31" s="159" t="n"/>
      <c r="BW31" s="159" t="n"/>
      <c r="BX31" s="159" t="n"/>
      <c r="BY31" s="159" t="n"/>
      <c r="BZ31" s="159" t="n"/>
      <c r="CA31" s="159" t="n"/>
      <c r="CB31" s="159" t="n"/>
      <c r="CC31" s="159" t="n"/>
      <c r="CD31" s="159" t="n"/>
      <c r="CE31" s="159" t="n"/>
      <c r="CF31" s="159" t="n"/>
      <c r="CG31" s="159" t="n"/>
      <c r="CH31" s="159" t="n"/>
      <c r="CI31" s="159" t="n"/>
      <c r="CJ31" s="159" t="n"/>
      <c r="CK31" s="159" t="n"/>
      <c r="CL31" s="159" t="n"/>
      <c r="CM31" s="159" t="n"/>
      <c r="CN31" s="159" t="n"/>
      <c r="CO31" s="159" t="n"/>
      <c r="CP31" s="159" t="n"/>
      <c r="CQ31" s="159" t="inlineStr">
        <is>
          <t>IRIS2136</t>
        </is>
      </c>
      <c r="CR31" s="159" t="inlineStr">
        <is>
          <t>Employee</t>
        </is>
      </c>
      <c r="CS31" s="159" t="inlineStr">
        <is>
          <t>Active</t>
        </is>
      </c>
      <c r="CT31" s="159" t="inlineStr">
        <is>
          <t>Neetu Rani Paul</t>
        </is>
      </c>
      <c r="CU31" s="160" t="n">
        <v>45078</v>
      </c>
      <c r="CV31" s="159" t="inlineStr">
        <is>
          <t>Business Analyst</t>
        </is>
      </c>
      <c r="CW31" s="159" t="inlineStr">
        <is>
          <t>Business Analysis</t>
        </is>
      </c>
      <c r="CX31" s="159" t="inlineStr">
        <is>
          <t>Business / Functional Analysis</t>
        </is>
      </c>
      <c r="CY31" s="159" t="inlineStr">
        <is>
          <t>Business Analyst</t>
        </is>
      </c>
      <c r="CZ31" s="159" t="inlineStr">
        <is>
          <t>L3 – Professional / Associate</t>
        </is>
      </c>
      <c r="DA31" s="159" t="inlineStr">
        <is>
          <t>MA</t>
        </is>
      </c>
      <c r="DB31" s="159" t="inlineStr">
        <is>
          <t>Yuvraj Kharchane</t>
        </is>
      </c>
      <c r="DC31" s="159" t="inlineStr">
        <is>
          <t>N-4</t>
        </is>
      </c>
      <c r="DD31" s="159" t="inlineStr">
        <is>
          <t>Individual Contributor</t>
        </is>
      </c>
      <c r="DE31" s="159" t="inlineStr">
        <is>
          <t>2 years, 7 months, 0 days</t>
        </is>
      </c>
      <c r="DF31" s="159" t="inlineStr">
        <is>
          <t>3 years, 0 months, 19 days</t>
        </is>
      </c>
      <c r="DG31" s="159" t="inlineStr">
        <is>
          <t>5 years, 7 months, 19 days</t>
        </is>
      </c>
      <c r="DH31" s="159" t="n"/>
      <c r="DI31" s="159" t="inlineStr">
        <is>
          <t>Regtech</t>
        </is>
      </c>
      <c r="DJ31" s="159" t="inlineStr">
        <is>
          <t>iDEAL</t>
        </is>
      </c>
      <c r="DK31" s="159" t="inlineStr">
        <is>
          <t>Technology</t>
        </is>
      </c>
      <c r="DL31" s="159" t="inlineStr">
        <is>
          <t>Business Analysis</t>
        </is>
      </c>
      <c r="DM31" s="159" t="inlineStr">
        <is>
          <t>No</t>
        </is>
      </c>
      <c r="DN31" s="159" t="inlineStr">
        <is>
          <t>Product/Project</t>
        </is>
      </c>
      <c r="DO31" s="159" t="inlineStr">
        <is>
          <t>Business Analysis</t>
        </is>
      </c>
      <c r="DP31" s="159" t="inlineStr">
        <is>
          <t>Technical · BA, PM and QA</t>
        </is>
      </c>
      <c r="DQ31" s="159" t="inlineStr">
        <is>
          <t>Remote- Outside Mumbai</t>
        </is>
      </c>
      <c r="DR31" s="159" t="inlineStr">
        <is>
          <t>1. End-to-End Requirement Analysis &amp; Delivery: Manage business analysis activities for assigned RBI CIMS and EBR clients, ensuring timely delivery of report updates, application enhancements, deployments, and regulatory changes with adherence to agreed timelines.
2. EBR Report Testing &amp; Quality Assurance: Lead functional, validation, and UAT testing of EBR reports, ensuring accurate implementation of SDMX requirements, validation rules, and regulatory changes, while maintaining high first-time acceptance rates.
3. Client Support &amp; Stakeholder Management: Provide timely support to assigned clients, maintain strong stakeholder relationships, and proactively resolve issues to minimize escalations and improve customer satisfaction.
4. Technical &amp; Regulatory Knowledge Enhancement: Develop expertise in SQL, SDMX, XBRL, ETL processes, and RBI regulatory reporting frameworks by completing planned learning and applying the knowledge in project implementations and support activities.
5. Documentation Excellence: Prepare and maintain high-quality BRDs, Functional Specifications, Test Cases, Release Notes, User Manuals, and deployment documents for all assigned projects and enhancements.
6. Knowledge Sharing &amp; Team Development: Support onboarding and mentoring of junior team members through knowledge-sharing sessions, testing guidance, and project-related support to strengthen overall team capability.
7. Professional Certification &amp; Skill Development: Complete at least one relevant certification/training in regulatory reporting, SDMX, data analysis, SQL, or business analysis to enhance domain and technical expertise.</t>
        </is>
      </c>
      <c r="DS31" s="159"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DT31" s="159" t="inlineStr">
        <is>
          <t>1. Acquire in-depth knowledge of EBR SDMX reports, validations, and implementation processes to independently provide effective client support for assigned clients by Aug 2026.
2. Continue support the UAT team in EBR product testing, report validation, and sign-off activities, while actively contributing to product and process enhancements to improve data quality and reporting accuracy.
3. Continue to manage the assigned portfolio of banks independently  while maintaining 100% customer satisfaction with zero critical escalations.</t>
        </is>
      </c>
      <c r="DU31" s="159" t="n">
        <v>3</v>
      </c>
      <c r="DV31" s="160" t="n">
        <v>45931</v>
      </c>
      <c r="DW31" s="159" t="inlineStr">
        <is>
          <t>Same as current designation</t>
        </is>
      </c>
      <c r="DX31" s="159" t="inlineStr">
        <is>
          <t>No</t>
        </is>
      </c>
      <c r="DY31" s="159" t="n">
        <v>3</v>
      </c>
      <c r="DZ31" s="159" t="inlineStr">
        <is>
          <t>Medium</t>
        </is>
      </c>
      <c r="EA31" s="159" t="inlineStr">
        <is>
          <t>Trusted Professional</t>
        </is>
      </c>
      <c r="EB31" s="159" t="inlineStr">
        <is>
          <t>Not Ready</t>
        </is>
      </c>
      <c r="EC31" s="159" t="inlineStr">
        <is>
          <t>No</t>
        </is>
      </c>
      <c r="ED31" s="159" t="inlineStr">
        <is>
          <t>Yes</t>
        </is>
      </c>
      <c r="EE31" s="159" t="inlineStr">
        <is>
          <t>Training on the effective utilization of AI tools.</t>
        </is>
      </c>
      <c r="EF31" s="159" t="n"/>
    </row>
    <row r="32" ht="64" customHeight="1">
      <c r="A32" s="109" t="inlineStr">
        <is>
          <t>IRIS2142</t>
        </is>
      </c>
      <c r="B32" s="111" t="inlineStr">
        <is>
          <t>Nilam Anandrao Kadam</t>
        </is>
      </c>
      <c r="C32" s="111" t="inlineStr">
        <is>
          <t>Technology</t>
        </is>
      </c>
      <c r="D32" s="114" t="inlineStr">
        <is>
          <t>Business Analyst</t>
        </is>
      </c>
      <c r="E32" s="114" t="inlineStr">
        <is>
          <t>Senior Business Analyst</t>
        </is>
      </c>
      <c r="F32" s="114" t="inlineStr">
        <is>
          <t>L3 – Professional / Associate</t>
        </is>
      </c>
      <c r="G32" s="114" t="inlineStr">
        <is>
          <t>A3</t>
        </is>
      </c>
      <c r="H32" s="142" t="inlineStr">
        <is>
          <t>▲ Up</t>
        </is>
      </c>
      <c r="I32" s="111" t="inlineStr">
        <is>
          <t>Business Analysis</t>
        </is>
      </c>
      <c r="J32" s="111" t="inlineStr">
        <is>
          <t>Business Analysis</t>
        </is>
      </c>
      <c r="K32" s="111" t="inlineStr"/>
      <c r="L32" s="111" t="n">
        <v>0</v>
      </c>
      <c r="M32" s="139" t="inlineStr">
        <is>
          <t>P2</t>
        </is>
      </c>
      <c r="N32" s="115" t="inlineStr">
        <is>
          <t>Developing</t>
        </is>
      </c>
      <c r="O32" s="115" t="inlineStr">
        <is>
          <t>3 Apply</t>
        </is>
      </c>
      <c r="P32" s="115" t="inlineStr">
        <is>
          <t>2–4 yrs</t>
        </is>
      </c>
      <c r="Q32" s="115" t="inlineStr">
        <is>
          <t>3–5 · 2–5</t>
        </is>
      </c>
      <c r="R32" s="115" t="inlineStr">
        <is>
          <t>Business Analyst</t>
        </is>
      </c>
      <c r="S32" s="115" t="inlineStr">
        <is>
          <t>Regnology — regulatory reporting: Junior BA · Reg Reporting · Big Four consulting: Consultant · IRIS Vs Market Benchmark — IIBA certification pathway: ECBA · Infosys / Accenture: JL3A · L10 Senior Analyst</t>
        </is>
      </c>
      <c r="T32" s="115" t="inlineStr">
        <is>
          <t>IIBA BABOK v3; certifications ECBA · entry → CCBA → CBAP · senior</t>
        </is>
      </c>
      <c r="U32" s="115" t="inlineStr">
        <is>
          <t>Core 2 · Future 2 · Functional 3 · Leadership not scored</t>
        </is>
      </c>
      <c r="V32" s="158" t="n">
        <v>278</v>
      </c>
      <c r="W32" s="159" t="inlineStr">
        <is>
          <t>IRIS2142</t>
        </is>
      </c>
      <c r="X32" s="159" t="inlineStr">
        <is>
          <t>Employee</t>
        </is>
      </c>
      <c r="Y32" s="159" t="inlineStr">
        <is>
          <t>Active</t>
        </is>
      </c>
      <c r="Z32" s="159" t="inlineStr">
        <is>
          <t>Nilam Anandrao Kadam</t>
        </is>
      </c>
      <c r="AA32" s="244" t="n">
        <v>45083</v>
      </c>
      <c r="AB32" s="159" t="inlineStr">
        <is>
          <t>Business Analyst</t>
        </is>
      </c>
      <c r="AC32" s="159" t="inlineStr">
        <is>
          <t>MBA</t>
        </is>
      </c>
      <c r="AD32" s="159" t="inlineStr">
        <is>
          <t>Dnyaneshwar Daund</t>
        </is>
      </c>
      <c r="AE32" s="159" t="inlineStr">
        <is>
          <t>N-4</t>
        </is>
      </c>
      <c r="AF32" s="159" t="inlineStr">
        <is>
          <t>Individual Contributor</t>
        </is>
      </c>
      <c r="AG32" s="159" t="inlineStr">
        <is>
          <t>2 years, 7 months, 0 days</t>
        </is>
      </c>
      <c r="AH32" s="159" t="inlineStr">
        <is>
          <t>3 years, 2 months, 19 days</t>
        </is>
      </c>
      <c r="AI32" s="159" t="inlineStr">
        <is>
          <t>Regtech</t>
        </is>
      </c>
      <c r="AJ32" s="159" t="inlineStr">
        <is>
          <t>iDEAL</t>
        </is>
      </c>
      <c r="AK32" s="159" t="inlineStr">
        <is>
          <t>Technology</t>
        </is>
      </c>
      <c r="AL32" s="159" t="inlineStr">
        <is>
          <t>Business Analysis</t>
        </is>
      </c>
      <c r="AM32" s="159" t="inlineStr">
        <is>
          <t>No</t>
        </is>
      </c>
      <c r="AN32" s="159" t="inlineStr">
        <is>
          <t>Product/Project</t>
        </is>
      </c>
      <c r="AO32" s="159" t="inlineStr">
        <is>
          <t>Business Analysis</t>
        </is>
      </c>
      <c r="AP32" s="159" t="inlineStr">
        <is>
          <t>Technical · BA, PM and QA</t>
        </is>
      </c>
      <c r="AQ32" s="159" t="n">
        <v>0</v>
      </c>
      <c r="AR32" s="159" t="inlineStr">
        <is>
          <t>E-Maternity</t>
        </is>
      </c>
      <c r="AS32" s="159" t="n"/>
      <c r="AT32" s="159" t="n"/>
      <c r="AU32" s="159" t="n"/>
      <c r="AV32" s="159" t="n"/>
      <c r="AW32" s="159" t="n"/>
      <c r="AX32" s="159" t="n"/>
      <c r="AY32" s="159" t="n"/>
      <c r="AZ32" s="159" t="n"/>
      <c r="BA32" s="159" t="n"/>
      <c r="BB32" s="159" t="n"/>
      <c r="BC32" s="159" t="n"/>
      <c r="BD32" s="159" t="n"/>
      <c r="BE32" s="159" t="n"/>
      <c r="BF32" s="159" t="n"/>
      <c r="BG32" s="159" t="n"/>
      <c r="BH32" s="159" t="n"/>
      <c r="BI32" s="159" t="n"/>
      <c r="BJ32" s="159" t="n"/>
      <c r="BK32" s="159" t="n"/>
      <c r="BL32" s="159" t="n"/>
      <c r="BM32" s="159" t="n"/>
      <c r="BN32" s="159" t="n"/>
      <c r="BO32" s="159" t="n"/>
      <c r="BP32" s="159" t="n"/>
      <c r="BQ32" s="159" t="n"/>
      <c r="BR32" s="159" t="n"/>
      <c r="BS32" s="159" t="n"/>
      <c r="BT32" s="159" t="n"/>
      <c r="BU32" s="159" t="n"/>
      <c r="BV32" s="159" t="n"/>
      <c r="BW32" s="159" t="n"/>
      <c r="BX32" s="159" t="n"/>
      <c r="BY32" s="159" t="n"/>
      <c r="BZ32" s="159" t="n"/>
      <c r="CA32" s="159" t="n"/>
      <c r="CB32" s="159" t="n"/>
      <c r="CC32" s="159" t="n"/>
      <c r="CD32" s="159" t="n"/>
      <c r="CE32" s="159" t="n"/>
      <c r="CF32" s="159" t="n"/>
      <c r="CG32" s="159" t="n"/>
      <c r="CH32" s="159" t="n"/>
      <c r="CI32" s="159" t="n"/>
      <c r="CJ32" s="159" t="n"/>
      <c r="CK32" s="159" t="n"/>
      <c r="CL32" s="159" t="n"/>
      <c r="CM32" s="159" t="n"/>
      <c r="CN32" s="159" t="n"/>
      <c r="CO32" s="159" t="n"/>
      <c r="CP32" s="159" t="n"/>
      <c r="CQ32" s="159" t="inlineStr">
        <is>
          <t>IRIS2142</t>
        </is>
      </c>
      <c r="CR32" s="159" t="inlineStr">
        <is>
          <t>Employee</t>
        </is>
      </c>
      <c r="CS32" s="159" t="inlineStr">
        <is>
          <t>Active</t>
        </is>
      </c>
      <c r="CT32" s="159" t="inlineStr">
        <is>
          <t>Nilam Anandrao Kadam</t>
        </is>
      </c>
      <c r="CU32" s="160" t="n">
        <v>45083</v>
      </c>
      <c r="CV32" s="159" t="inlineStr">
        <is>
          <t>Business Analyst</t>
        </is>
      </c>
      <c r="CW32" s="159" t="inlineStr">
        <is>
          <t>Business Analysis</t>
        </is>
      </c>
      <c r="CX32" s="159" t="inlineStr">
        <is>
          <t>Business / Functional Analysis</t>
        </is>
      </c>
      <c r="CY32" s="159" t="inlineStr">
        <is>
          <t>Business Analyst</t>
        </is>
      </c>
      <c r="CZ32" s="159" t="inlineStr">
        <is>
          <t>L3 – Professional / Associate</t>
        </is>
      </c>
      <c r="DA32" s="159" t="inlineStr">
        <is>
          <t>MBA</t>
        </is>
      </c>
      <c r="DB32" s="159" t="inlineStr">
        <is>
          <t>Dnyaneshwar Daund</t>
        </is>
      </c>
      <c r="DC32" s="159" t="inlineStr">
        <is>
          <t>N-4</t>
        </is>
      </c>
      <c r="DD32" s="159" t="inlineStr">
        <is>
          <t>Individual Contributor</t>
        </is>
      </c>
      <c r="DE32" s="159" t="inlineStr">
        <is>
          <t>2 years, 7 months, 0 days</t>
        </is>
      </c>
      <c r="DF32" s="159" t="inlineStr">
        <is>
          <t>3 years, 0 months, 14 days</t>
        </is>
      </c>
      <c r="DG32" s="159" t="inlineStr">
        <is>
          <t>5 years, 7 months, 14 days</t>
        </is>
      </c>
      <c r="DH32" s="159" t="n"/>
      <c r="DI32" s="159" t="inlineStr">
        <is>
          <t>Regtech</t>
        </is>
      </c>
      <c r="DJ32" s="159" t="inlineStr">
        <is>
          <t>iDEAL</t>
        </is>
      </c>
      <c r="DK32" s="159" t="inlineStr">
        <is>
          <t>Technology</t>
        </is>
      </c>
      <c r="DL32" s="159" t="inlineStr">
        <is>
          <t>Business Analysis</t>
        </is>
      </c>
      <c r="DM32" s="159" t="inlineStr">
        <is>
          <t>No</t>
        </is>
      </c>
      <c r="DN32" s="159" t="inlineStr">
        <is>
          <t>Product/Project</t>
        </is>
      </c>
      <c r="DO32" s="159" t="inlineStr">
        <is>
          <t>Business Analysis</t>
        </is>
      </c>
      <c r="DP32" s="159" t="inlineStr">
        <is>
          <t>Technical · BA, PM and QA</t>
        </is>
      </c>
      <c r="DQ32" s="159" t="inlineStr">
        <is>
          <t>Remote- Outside Mumbai</t>
        </is>
      </c>
      <c r="DR32" s="159" t="inlineStr">
        <is>
          <t>On Maternity Leave</t>
        </is>
      </c>
      <c r="DS32" s="159"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DT32" s="159" t="inlineStr">
        <is>
          <t>On Maternity Leave</t>
        </is>
      </c>
      <c r="DU32" s="159" t="n">
        <v>3</v>
      </c>
      <c r="DV32" s="160" t="n">
        <v>45931</v>
      </c>
      <c r="DW32" s="159" t="inlineStr">
        <is>
          <t>Same as current designation</t>
        </is>
      </c>
      <c r="DX32" s="159" t="inlineStr">
        <is>
          <t>No</t>
        </is>
      </c>
      <c r="DY32" s="159" t="n">
        <v>3</v>
      </c>
      <c r="DZ32" s="159" t="inlineStr">
        <is>
          <t>Medium</t>
        </is>
      </c>
      <c r="EA32" s="159" t="inlineStr">
        <is>
          <t>Trusted Professional</t>
        </is>
      </c>
      <c r="EB32" s="159" t="inlineStr">
        <is>
          <t>Not Ready</t>
        </is>
      </c>
      <c r="EC32" s="159" t="inlineStr">
        <is>
          <t>No</t>
        </is>
      </c>
      <c r="ED32" s="159" t="inlineStr">
        <is>
          <t>Yes</t>
        </is>
      </c>
      <c r="EE32" s="159" t="inlineStr">
        <is>
          <t>Training on the effective utilization of AI tools.</t>
        </is>
      </c>
      <c r="EF32" s="159" t="n"/>
    </row>
    <row r="33" ht="64" customHeight="1">
      <c r="A33" s="109" t="inlineStr">
        <is>
          <t>IRIS2066</t>
        </is>
      </c>
      <c r="B33" s="111" t="inlineStr">
        <is>
          <t>Shivani Mishra</t>
        </is>
      </c>
      <c r="C33" s="111" t="inlineStr">
        <is>
          <t>Technology</t>
        </is>
      </c>
      <c r="D33" s="114" t="inlineStr">
        <is>
          <t>Business Analyst</t>
        </is>
      </c>
      <c r="E33" s="114" t="inlineStr">
        <is>
          <t>Senior Business Analyst</t>
        </is>
      </c>
      <c r="F33" s="114" t="inlineStr">
        <is>
          <t>L3 – Professional / Associate</t>
        </is>
      </c>
      <c r="G33" s="114" t="inlineStr">
        <is>
          <t>A3</t>
        </is>
      </c>
      <c r="H33" s="142" t="inlineStr">
        <is>
          <t>▲ Up</t>
        </is>
      </c>
      <c r="I33" s="111" t="inlineStr">
        <is>
          <t>Business Analysis</t>
        </is>
      </c>
      <c r="J33" s="111" t="inlineStr">
        <is>
          <t>Business Analysis</t>
        </is>
      </c>
      <c r="K33" s="111" t="inlineStr"/>
      <c r="L33" s="111" t="n">
        <v>0</v>
      </c>
      <c r="M33" s="139" t="inlineStr">
        <is>
          <t>P2</t>
        </is>
      </c>
      <c r="N33" s="115" t="inlineStr">
        <is>
          <t>Developing</t>
        </is>
      </c>
      <c r="O33" s="115" t="inlineStr">
        <is>
          <t>3 Apply</t>
        </is>
      </c>
      <c r="P33" s="115" t="inlineStr">
        <is>
          <t>2–4 yrs</t>
        </is>
      </c>
      <c r="Q33" s="115" t="inlineStr">
        <is>
          <t>3–5 · 2–5</t>
        </is>
      </c>
      <c r="R33" s="115" t="inlineStr">
        <is>
          <t>Business Analyst</t>
        </is>
      </c>
      <c r="S33" s="115" t="inlineStr">
        <is>
          <t>Regnology — regulatory reporting: Junior BA · Reg Reporting · Big Four consulting: Consultant · IRIS Vs Market Benchmark — IIBA certification pathway: ECBA · Infosys / Accenture: JL3A · L10 Senior Analyst</t>
        </is>
      </c>
      <c r="T33" s="115" t="inlineStr">
        <is>
          <t>IIBA BABOK v3; certifications ECBA · entry → CCBA → CBAP · senior</t>
        </is>
      </c>
      <c r="U33" s="115" t="inlineStr">
        <is>
          <t>Core 2 · Future 2 · Functional 3 · Leadership not scored</t>
        </is>
      </c>
      <c r="V33" s="158" t="n">
        <v>242</v>
      </c>
      <c r="W33" s="159" t="inlineStr">
        <is>
          <t>IRIS2066</t>
        </is>
      </c>
      <c r="X33" s="159" t="inlineStr">
        <is>
          <t>Employee</t>
        </is>
      </c>
      <c r="Y33" s="159" t="inlineStr">
        <is>
          <t>Active</t>
        </is>
      </c>
      <c r="Z33" s="159" t="inlineStr">
        <is>
          <t>Shivani Mishra</t>
        </is>
      </c>
      <c r="AA33" s="244" t="n">
        <v>44837</v>
      </c>
      <c r="AB33" s="159" t="inlineStr">
        <is>
          <t>Business Analyst</t>
        </is>
      </c>
      <c r="AC33" s="159" t="inlineStr">
        <is>
          <t>M.Com</t>
        </is>
      </c>
      <c r="AD33" s="159" t="inlineStr">
        <is>
          <t>Yuvraj Kharchane</t>
        </is>
      </c>
      <c r="AE33" s="159" t="inlineStr">
        <is>
          <t>N-4</t>
        </is>
      </c>
      <c r="AF33" s="159" t="inlineStr">
        <is>
          <t>Individual Contributor</t>
        </is>
      </c>
      <c r="AG33" s="159" t="inlineStr">
        <is>
          <t>3 years, 6 months, 0 days</t>
        </is>
      </c>
      <c r="AH33" s="159" t="inlineStr">
        <is>
          <t>3 years, 10 months, 22 days</t>
        </is>
      </c>
      <c r="AI33" s="159" t="inlineStr">
        <is>
          <t>Regtech</t>
        </is>
      </c>
      <c r="AJ33" s="159" t="inlineStr">
        <is>
          <t>iDEAL</t>
        </is>
      </c>
      <c r="AK33" s="159" t="inlineStr">
        <is>
          <t>Technology</t>
        </is>
      </c>
      <c r="AL33" s="159" t="inlineStr">
        <is>
          <t>Business Analysis</t>
        </is>
      </c>
      <c r="AM33" s="159" t="inlineStr">
        <is>
          <t>No</t>
        </is>
      </c>
      <c r="AN33" s="159" t="inlineStr">
        <is>
          <t>Product/Project</t>
        </is>
      </c>
      <c r="AO33" s="159" t="inlineStr">
        <is>
          <t>Business Analysis</t>
        </is>
      </c>
      <c r="AP33" s="159" t="inlineStr">
        <is>
          <t>Technical · BA, PM and QA</t>
        </is>
      </c>
      <c r="AQ33" s="159" t="n">
        <v>0</v>
      </c>
      <c r="AR33" s="159" t="inlineStr">
        <is>
          <t>E-Maternity</t>
        </is>
      </c>
      <c r="AS33" s="159" t="n"/>
      <c r="AT33" s="159" t="n"/>
      <c r="AU33" s="159" t="n"/>
      <c r="AV33" s="159" t="n"/>
      <c r="AW33" s="159" t="n"/>
      <c r="AX33" s="159" t="n"/>
      <c r="AY33" s="159" t="n"/>
      <c r="AZ33" s="159" t="n"/>
      <c r="BA33" s="159" t="n"/>
      <c r="BB33" s="159" t="n"/>
      <c r="BC33" s="159" t="n"/>
      <c r="BD33" s="159" t="n"/>
      <c r="BE33" s="159" t="n"/>
      <c r="BF33" s="159" t="n"/>
      <c r="BG33" s="159" t="n"/>
      <c r="BH33" s="159" t="n"/>
      <c r="BI33" s="159" t="n"/>
      <c r="BJ33" s="159" t="n"/>
      <c r="BK33" s="159" t="n"/>
      <c r="BL33" s="159" t="n"/>
      <c r="BM33" s="159" t="n"/>
      <c r="BN33" s="159" t="n"/>
      <c r="BO33" s="159" t="n"/>
      <c r="BP33" s="159" t="n"/>
      <c r="BQ33" s="159" t="n"/>
      <c r="BR33" s="159" t="n"/>
      <c r="BS33" s="159" t="n"/>
      <c r="BT33" s="159" t="n"/>
      <c r="BU33" s="159" t="n"/>
      <c r="BV33" s="159" t="n"/>
      <c r="BW33" s="159" t="n"/>
      <c r="BX33" s="159" t="n"/>
      <c r="BY33" s="159" t="n"/>
      <c r="BZ33" s="159" t="n"/>
      <c r="CA33" s="159" t="n"/>
      <c r="CB33" s="159" t="n"/>
      <c r="CC33" s="159" t="n"/>
      <c r="CD33" s="159" t="n"/>
      <c r="CE33" s="159" t="n"/>
      <c r="CF33" s="159" t="n"/>
      <c r="CG33" s="159" t="n"/>
      <c r="CH33" s="159" t="n"/>
      <c r="CI33" s="159" t="n"/>
      <c r="CJ33" s="159" t="n"/>
      <c r="CK33" s="159" t="n"/>
      <c r="CL33" s="159" t="n"/>
      <c r="CM33" s="159" t="n"/>
      <c r="CN33" s="159" t="n"/>
      <c r="CO33" s="159" t="n"/>
      <c r="CP33" s="159" t="n"/>
      <c r="CQ33" s="159" t="inlineStr">
        <is>
          <t>IRIS2066</t>
        </is>
      </c>
      <c r="CR33" s="159" t="inlineStr">
        <is>
          <t>Employee</t>
        </is>
      </c>
      <c r="CS33" s="159" t="inlineStr">
        <is>
          <t>Active</t>
        </is>
      </c>
      <c r="CT33" s="159" t="inlineStr">
        <is>
          <t>Shivani Mishra</t>
        </is>
      </c>
      <c r="CU33" s="160" t="n">
        <v>44837</v>
      </c>
      <c r="CV33" s="159" t="inlineStr">
        <is>
          <t>Business Analyst</t>
        </is>
      </c>
      <c r="CW33" s="159" t="inlineStr">
        <is>
          <t>Business Analysis</t>
        </is>
      </c>
      <c r="CX33" s="159" t="inlineStr">
        <is>
          <t>Business / Functional Analysis</t>
        </is>
      </c>
      <c r="CY33" s="159" t="inlineStr">
        <is>
          <t>Business Analyst</t>
        </is>
      </c>
      <c r="CZ33" s="159" t="inlineStr">
        <is>
          <t>L3 – Professional / Associate</t>
        </is>
      </c>
      <c r="DA33" s="159" t="inlineStr">
        <is>
          <t>M.Com</t>
        </is>
      </c>
      <c r="DB33" s="159" t="inlineStr">
        <is>
          <t>Yuvraj Kharchane</t>
        </is>
      </c>
      <c r="DC33" s="159" t="inlineStr">
        <is>
          <t>N-4</t>
        </is>
      </c>
      <c r="DD33" s="159" t="inlineStr">
        <is>
          <t>Individual Contributor</t>
        </is>
      </c>
      <c r="DE33" s="159" t="inlineStr">
        <is>
          <t>3 years, 6 months, 0 days</t>
        </is>
      </c>
      <c r="DF33" s="159" t="inlineStr">
        <is>
          <t>3 years, 8 months, 17 days</t>
        </is>
      </c>
      <c r="DG33" s="159" t="inlineStr">
        <is>
          <t>7 years, 2 months, 17 days</t>
        </is>
      </c>
      <c r="DH33" s="159" t="n"/>
      <c r="DI33" s="159" t="inlineStr">
        <is>
          <t>Regtech</t>
        </is>
      </c>
      <c r="DJ33" s="159" t="inlineStr">
        <is>
          <t>iDEAL</t>
        </is>
      </c>
      <c r="DK33" s="159" t="inlineStr">
        <is>
          <t>Technology</t>
        </is>
      </c>
      <c r="DL33" s="159" t="inlineStr">
        <is>
          <t>Business Analysis</t>
        </is>
      </c>
      <c r="DM33" s="159" t="inlineStr">
        <is>
          <t>No</t>
        </is>
      </c>
      <c r="DN33" s="159" t="inlineStr">
        <is>
          <t>Product/Project</t>
        </is>
      </c>
      <c r="DO33" s="159" t="inlineStr">
        <is>
          <t>Business Analysis</t>
        </is>
      </c>
      <c r="DP33" s="159" t="inlineStr">
        <is>
          <t>Technical · BA, PM and QA</t>
        </is>
      </c>
      <c r="DQ33" s="159" t="inlineStr">
        <is>
          <t>Remote- Outside Mumbai</t>
        </is>
      </c>
      <c r="DR33" s="159" t="inlineStr">
        <is>
          <t>On Maternity Leave</t>
        </is>
      </c>
      <c r="DS33" s="159"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DT33" s="159" t="inlineStr">
        <is>
          <t>On Maternity Leave</t>
        </is>
      </c>
      <c r="DU33" s="159" t="n">
        <v>3</v>
      </c>
      <c r="DV33" s="160" t="n">
        <v>45931</v>
      </c>
      <c r="DW33" s="159" t="inlineStr">
        <is>
          <t>Same as current designation</t>
        </is>
      </c>
      <c r="DX33" s="159" t="inlineStr">
        <is>
          <t>No</t>
        </is>
      </c>
      <c r="DY33" s="159" t="n">
        <v>3</v>
      </c>
      <c r="DZ33" s="159" t="inlineStr">
        <is>
          <t>Medium</t>
        </is>
      </c>
      <c r="EA33" s="159" t="inlineStr">
        <is>
          <t>Trusted Professional</t>
        </is>
      </c>
      <c r="EB33" s="159" t="inlineStr">
        <is>
          <t>Not Ready</t>
        </is>
      </c>
      <c r="EC33" s="159" t="inlineStr">
        <is>
          <t>No</t>
        </is>
      </c>
      <c r="ED33" s="159" t="inlineStr">
        <is>
          <t>Yes</t>
        </is>
      </c>
      <c r="EE33" s="159" t="inlineStr">
        <is>
          <t>Training on the effective utilization of AI tools.</t>
        </is>
      </c>
      <c r="EF33" s="159" t="n"/>
    </row>
    <row r="34" ht="64" customHeight="1">
      <c r="A34" s="109" t="inlineStr">
        <is>
          <t>IRIS2067</t>
        </is>
      </c>
      <c r="B34" s="111" t="inlineStr">
        <is>
          <t>Silky Agarwal</t>
        </is>
      </c>
      <c r="C34" s="111" t="inlineStr">
        <is>
          <t>Technology</t>
        </is>
      </c>
      <c r="D34" s="114" t="inlineStr">
        <is>
          <t>Business Analyst</t>
        </is>
      </c>
      <c r="E34" s="114" t="inlineStr">
        <is>
          <t>Senior Business Analyst</t>
        </is>
      </c>
      <c r="F34" s="114" t="inlineStr">
        <is>
          <t>L3 – Professional / Associate</t>
        </is>
      </c>
      <c r="G34" s="114" t="inlineStr">
        <is>
          <t>A3</t>
        </is>
      </c>
      <c r="H34" s="142" t="inlineStr">
        <is>
          <t>▲ Up</t>
        </is>
      </c>
      <c r="I34" s="111" t="inlineStr">
        <is>
          <t>Business Analysis</t>
        </is>
      </c>
      <c r="J34" s="111" t="inlineStr">
        <is>
          <t>Business Analysis</t>
        </is>
      </c>
      <c r="K34" s="111" t="inlineStr"/>
      <c r="L34" s="111" t="n">
        <v>20</v>
      </c>
      <c r="M34" s="139" t="inlineStr">
        <is>
          <t>P2</t>
        </is>
      </c>
      <c r="N34" s="115" t="inlineStr">
        <is>
          <t>Developing</t>
        </is>
      </c>
      <c r="O34" s="115" t="inlineStr">
        <is>
          <t>3 Apply</t>
        </is>
      </c>
      <c r="P34" s="115" t="inlineStr">
        <is>
          <t>2–4 yrs</t>
        </is>
      </c>
      <c r="Q34" s="115" t="inlineStr">
        <is>
          <t>3–5 · 2–5</t>
        </is>
      </c>
      <c r="R34" s="115" t="inlineStr">
        <is>
          <t>Business Analyst</t>
        </is>
      </c>
      <c r="S34" s="115" t="inlineStr">
        <is>
          <t>Regnology — regulatory reporting: Junior BA · Reg Reporting · Big Four consulting: Consultant · IRIS Vs Market Benchmark — IIBA certification pathway: ECBA · Infosys / Accenture: JL3A · L10 Senior Analyst</t>
        </is>
      </c>
      <c r="T34" s="115" t="inlineStr">
        <is>
          <t>IIBA BABOK v3; certifications ECBA · entry → CCBA → CBAP · senior</t>
        </is>
      </c>
      <c r="U34" s="115" t="inlineStr">
        <is>
          <t>Core 2 · Future 2 · Functional 3 · Leadership not scored</t>
        </is>
      </c>
      <c r="V34" s="158" t="n">
        <v>243</v>
      </c>
      <c r="W34" s="159" t="inlineStr">
        <is>
          <t>IRIS2067</t>
        </is>
      </c>
      <c r="X34" s="159" t="inlineStr">
        <is>
          <t>Employee</t>
        </is>
      </c>
      <c r="Y34" s="159" t="inlineStr">
        <is>
          <t>Active</t>
        </is>
      </c>
      <c r="Z34" s="159" t="inlineStr">
        <is>
          <t>Silky Agarwal</t>
        </is>
      </c>
      <c r="AA34" s="244" t="n">
        <v>44837</v>
      </c>
      <c r="AB34" s="159" t="inlineStr">
        <is>
          <t>Business Analyst</t>
        </is>
      </c>
      <c r="AC34" s="159" t="inlineStr">
        <is>
          <t>MBA</t>
        </is>
      </c>
      <c r="AD34" s="159" t="inlineStr">
        <is>
          <t>Dnyaneshwar Daund</t>
        </is>
      </c>
      <c r="AE34" s="159" t="inlineStr">
        <is>
          <t>N-4</t>
        </is>
      </c>
      <c r="AF34" s="159" t="inlineStr">
        <is>
          <t>Individual Contributor</t>
        </is>
      </c>
      <c r="AG34" s="159" t="inlineStr">
        <is>
          <t>0 years, 4 months, 0 days</t>
        </is>
      </c>
      <c r="AH34" s="159" t="inlineStr">
        <is>
          <t>3 years, 10 months, 22 days</t>
        </is>
      </c>
      <c r="AI34" s="159" t="inlineStr">
        <is>
          <t>Regtech</t>
        </is>
      </c>
      <c r="AJ34" s="159" t="inlineStr">
        <is>
          <t>iDEAL</t>
        </is>
      </c>
      <c r="AK34" s="159" t="inlineStr">
        <is>
          <t>Technology</t>
        </is>
      </c>
      <c r="AL34" s="159" t="inlineStr">
        <is>
          <t>Business Analysis</t>
        </is>
      </c>
      <c r="AM34" s="159" t="inlineStr">
        <is>
          <t>No</t>
        </is>
      </c>
      <c r="AN34" s="159" t="inlineStr">
        <is>
          <t>Product/Project</t>
        </is>
      </c>
      <c r="AO34" s="159" t="inlineStr">
        <is>
          <t>Business Analysis</t>
        </is>
      </c>
      <c r="AP34" s="159" t="inlineStr">
        <is>
          <t>Technical · BA, PM and QA</t>
        </is>
      </c>
      <c r="AQ34" s="159" t="n">
        <v>20</v>
      </c>
      <c r="AR34" s="159" t="inlineStr">
        <is>
          <t>Covered</t>
        </is>
      </c>
      <c r="AS34" s="159" t="n"/>
      <c r="AT34" s="159" t="n"/>
      <c r="AU34" s="159" t="n"/>
      <c r="AV34" s="159" t="n"/>
      <c r="AW34" s="159" t="n"/>
      <c r="AX34" s="159" t="n"/>
      <c r="AY34" s="159" t="n"/>
      <c r="AZ34" s="159" t="n"/>
      <c r="BA34" s="159" t="n"/>
      <c r="BB34" s="159" t="n"/>
      <c r="BC34" s="159" t="n"/>
      <c r="BD34" s="159" t="n"/>
      <c r="BE34" s="159" t="n"/>
      <c r="BF34" s="159" t="n"/>
      <c r="BG34" s="159" t="n"/>
      <c r="BH34" s="159" t="n"/>
      <c r="BI34" s="159" t="n"/>
      <c r="BJ34" s="159" t="n"/>
      <c r="BK34" s="159" t="n"/>
      <c r="BL34" s="159" t="n"/>
      <c r="BM34" s="159" t="n"/>
      <c r="BN34" s="159" t="n"/>
      <c r="BO34" s="159" t="n"/>
      <c r="BP34" s="159" t="n"/>
      <c r="BQ34" s="159" t="n"/>
      <c r="BR34" s="159" t="n"/>
      <c r="BS34" s="159" t="n"/>
      <c r="BT34" s="159" t="n"/>
      <c r="BU34" s="159" t="n"/>
      <c r="BV34" s="159" t="n"/>
      <c r="BW34" s="159" t="n"/>
      <c r="BX34" s="159" t="n"/>
      <c r="BY34" s="159" t="n"/>
      <c r="BZ34" s="159" t="n"/>
      <c r="CA34" s="159" t="n"/>
      <c r="CB34" s="159" t="n"/>
      <c r="CC34" s="159" t="n"/>
      <c r="CD34" s="159" t="n"/>
      <c r="CE34" s="159" t="n"/>
      <c r="CF34" s="159" t="n"/>
      <c r="CG34" s="159" t="n"/>
      <c r="CH34" s="159" t="n"/>
      <c r="CI34" s="159" t="n"/>
      <c r="CJ34" s="159" t="n"/>
      <c r="CK34" s="159" t="n"/>
      <c r="CL34" s="159" t="n"/>
      <c r="CM34" s="159" t="n"/>
      <c r="CN34" s="159" t="n"/>
      <c r="CO34" s="159" t="n"/>
      <c r="CP34" s="159" t="n"/>
      <c r="CQ34" s="159" t="inlineStr">
        <is>
          <t>IRIS2067</t>
        </is>
      </c>
      <c r="CR34" s="159" t="inlineStr">
        <is>
          <t>Employee</t>
        </is>
      </c>
      <c r="CS34" s="159" t="inlineStr">
        <is>
          <t>Active</t>
        </is>
      </c>
      <c r="CT34" s="159" t="inlineStr">
        <is>
          <t>Silky Agarwal</t>
        </is>
      </c>
      <c r="CU34" s="160" t="n">
        <v>44837</v>
      </c>
      <c r="CV34" s="159" t="inlineStr">
        <is>
          <t>Business Analyst</t>
        </is>
      </c>
      <c r="CW34" s="159" t="inlineStr">
        <is>
          <t>Business Analysis</t>
        </is>
      </c>
      <c r="CX34" s="159" t="inlineStr">
        <is>
          <t>Business / Functional Analysis</t>
        </is>
      </c>
      <c r="CY34" s="159" t="inlineStr">
        <is>
          <t>Business Analyst</t>
        </is>
      </c>
      <c r="CZ34" s="159" t="inlineStr">
        <is>
          <t>L3 – Professional / Associate</t>
        </is>
      </c>
      <c r="DA34" s="159" t="inlineStr">
        <is>
          <t>MBA</t>
        </is>
      </c>
      <c r="DB34" s="159" t="inlineStr">
        <is>
          <t>Dnyaneshwar Daund</t>
        </is>
      </c>
      <c r="DC34" s="159" t="inlineStr">
        <is>
          <t>N-4</t>
        </is>
      </c>
      <c r="DD34" s="159" t="inlineStr">
        <is>
          <t>Individual Contributor</t>
        </is>
      </c>
      <c r="DE34" s="159" t="inlineStr">
        <is>
          <t>0 years, 4 months, 0 days</t>
        </is>
      </c>
      <c r="DF34" s="159" t="inlineStr">
        <is>
          <t>3 years, 8 months, 17 days</t>
        </is>
      </c>
      <c r="DG34" s="159" t="inlineStr">
        <is>
          <t>4 years, 0 months, 17 days</t>
        </is>
      </c>
      <c r="DH34" s="159" t="n"/>
      <c r="DI34" s="159" t="inlineStr">
        <is>
          <t>Regtech</t>
        </is>
      </c>
      <c r="DJ34" s="159" t="inlineStr">
        <is>
          <t>iDEAL</t>
        </is>
      </c>
      <c r="DK34" s="159" t="inlineStr">
        <is>
          <t>Technology</t>
        </is>
      </c>
      <c r="DL34" s="159" t="inlineStr">
        <is>
          <t>Business Analysis</t>
        </is>
      </c>
      <c r="DM34" s="159" t="inlineStr">
        <is>
          <t>No</t>
        </is>
      </c>
      <c r="DN34" s="159" t="inlineStr">
        <is>
          <t>Product/Project</t>
        </is>
      </c>
      <c r="DO34" s="159" t="inlineStr">
        <is>
          <t>Business Analysis</t>
        </is>
      </c>
      <c r="DP34" s="159" t="inlineStr">
        <is>
          <t>Technical · BA, PM and QA</t>
        </is>
      </c>
      <c r="DQ34" s="159" t="inlineStr">
        <is>
          <t>Remote- Outside Mumbai</t>
        </is>
      </c>
      <c r="DR34" s="159" t="inlineStr">
        <is>
          <t>1. Lead End-to-End Regulatory Reporting Implementations: Take complete ownership of assigned regulatory reporting initiatives by managing the entire project lifecycle—from requirement gathering, functional analysis, documentation, stakeholder sign-offs, testing coordination, CAB approvals, deployment planning, and production support—while ensuring delivery within committed timelines and quality standards.
2. Deliver Comprehensive Documentation and Conducting Demo of the Application: Prepare high-quality BRDs, Functional Specifications, User Manuals, Mapping Documents, and implementation documentation that ensure clear communication between business, development, and clients.
Drive functional demonstrations of the iDEAL application by presenting RBI EBR functionalities, new product features, and application enhancements to clients and internal teams,
3. Build Technical Expertise to Improve Delivery Efficiency: Strengthen technical capabilities in SQL, Advanced Microsoft Excel, Power BI, SDMX, Agile Business Analysis, AI-assisted Business Analysis, and Project Management, and apply these skills to improve data validation, production issue analysis, reporting efficiency, dashboard creation, automation opportunities, and overall solution quality across regulatory reporting projects.
4. Develop Future Business Analysts and Strengthen Team Capability: Mentor newly onboarded Business Analysts by conducting structured onboarding sessions, reviewing requirement documents, sharing functional knowledge, and providing guidance on client communication, production support, and best practices. Enable new team members to independently manage assigned client portfolios while contributing to the overall capability and scalability of the BA team. i.e already taken session on RBR deployment but 
5. Demonstrate Leadership Through Delivery Ownership: Progress from a support-focused Business Analyst to a delivery-focused functional lead by proactively driving cross-functional discussions, managing project risks and dependencies, coordinating stakeholders, mentoring team members, and ensuring successful execution of strategic initiatives. Demonstrate the capability to independently lead implementation activities and prepare for broader delivery and leadership responsibilities within IRIS.</t>
        </is>
      </c>
      <c r="DS34" s="159" t="inlineStr">
        <is>
          <t>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implementation activities, ensuring 100% completion of assigned deliverables by December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DT34" s="159" t="inlineStr">
        <is>
          <t>1.Acquire in-depth knowledge of EBR SDMX reports, validations, and implementation processes to independently provide effective client support for assigned clients by Aug 2026.
2. Actively participate and support the SARB Phase 4 backlog requirements gathering, analysis, testing, and implementation activities to ensure timely project delivery by Dec 2026.
3. Organize and conduct at least 2–3 knowledge-sharing sessions every month until Sep 2026 on RBI CIMS report error handling · Excebased &amp; DB, troubleshooting, and critical report validations for new joiners.</t>
        </is>
      </c>
      <c r="DU34" s="159" t="n">
        <v>3</v>
      </c>
      <c r="DV34" s="160" t="n">
        <v>45931</v>
      </c>
      <c r="DW34" s="159" t="inlineStr">
        <is>
          <t>Same as current designation</t>
        </is>
      </c>
      <c r="DX34" s="159" t="inlineStr">
        <is>
          <t>No</t>
        </is>
      </c>
      <c r="DY34" s="159" t="n">
        <v>3</v>
      </c>
      <c r="DZ34" s="159" t="inlineStr">
        <is>
          <t>Medium</t>
        </is>
      </c>
      <c r="EA34" s="159" t="inlineStr">
        <is>
          <t>Emerging Talent</t>
        </is>
      </c>
      <c r="EB34" s="159" t="inlineStr">
        <is>
          <t>Not Ready</t>
        </is>
      </c>
      <c r="EC34" s="159" t="inlineStr">
        <is>
          <t>No</t>
        </is>
      </c>
      <c r="ED34" s="159" t="inlineStr">
        <is>
          <t>Yes</t>
        </is>
      </c>
      <c r="EE34" s="159" t="inlineStr">
        <is>
          <t>Training on the effective utilization of AI tools.</t>
        </is>
      </c>
      <c r="EF34" s="159" t="n"/>
    </row>
    <row r="35" ht="64" customHeight="1">
      <c r="A35" s="109" t="inlineStr">
        <is>
          <t>IRIS2466</t>
        </is>
      </c>
      <c r="B35" s="111" t="inlineStr">
        <is>
          <t>Vidyasagar Reddy</t>
        </is>
      </c>
      <c r="C35" s="111" t="inlineStr">
        <is>
          <t>Technology</t>
        </is>
      </c>
      <c r="D35" s="114" t="inlineStr">
        <is>
          <t>Business Analyst</t>
        </is>
      </c>
      <c r="E35" s="114" t="inlineStr">
        <is>
          <t>Senior Business Analyst</t>
        </is>
      </c>
      <c r="F35" s="114" t="inlineStr">
        <is>
          <t>L3 – Professional / Associate</t>
        </is>
      </c>
      <c r="G35" s="114" t="inlineStr">
        <is>
          <t>A3</t>
        </is>
      </c>
      <c r="H35" s="142" t="inlineStr">
        <is>
          <t>▲ Up</t>
        </is>
      </c>
      <c r="I35" s="111" t="inlineStr">
        <is>
          <t>Business Analysis</t>
        </is>
      </c>
      <c r="J35" s="111" t="inlineStr">
        <is>
          <t>Business Analysis</t>
        </is>
      </c>
      <c r="K35" s="111" t="inlineStr"/>
      <c r="L35" s="111" t="n">
        <v>19</v>
      </c>
      <c r="M35" s="139" t="inlineStr">
        <is>
          <t>P2</t>
        </is>
      </c>
      <c r="N35" s="115" t="inlineStr">
        <is>
          <t>Developing</t>
        </is>
      </c>
      <c r="O35" s="115" t="inlineStr">
        <is>
          <t>3 Apply</t>
        </is>
      </c>
      <c r="P35" s="115" t="inlineStr">
        <is>
          <t>2–4 yrs</t>
        </is>
      </c>
      <c r="Q35" s="115" t="inlineStr">
        <is>
          <t>3–5 · 2–5</t>
        </is>
      </c>
      <c r="R35" s="115" t="inlineStr">
        <is>
          <t>Business Analyst</t>
        </is>
      </c>
      <c r="S35" s="115" t="inlineStr">
        <is>
          <t>Regnology — regulatory reporting: Junior BA · Reg Reporting · Big Four consulting: Consultant · IRIS Vs Market Benchmark — IIBA certification pathway: ECBA · Infosys / Accenture: JL3A · L10 Senior Analyst</t>
        </is>
      </c>
      <c r="T35" s="115" t="inlineStr">
        <is>
          <t>IIBA BABOK v3; certifications ECBA · entry → CCBA → CBAP · senior</t>
        </is>
      </c>
      <c r="U35" s="115" t="inlineStr">
        <is>
          <t>Core 2 · Future 2 · Functional 3 · Leadership not scored</t>
        </is>
      </c>
      <c r="V35" s="158" t="n">
        <v>439</v>
      </c>
      <c r="W35" s="159" t="inlineStr">
        <is>
          <t>IRIS2466</t>
        </is>
      </c>
      <c r="X35" s="159" t="inlineStr">
        <is>
          <t>Employee</t>
        </is>
      </c>
      <c r="Y35" s="159" t="inlineStr">
        <is>
          <t>Active</t>
        </is>
      </c>
      <c r="Z35" s="159" t="inlineStr">
        <is>
          <t>Vidyasagar Reddy</t>
        </is>
      </c>
      <c r="AA35" s="244" t="n">
        <v>46041</v>
      </c>
      <c r="AB35" s="159" t="inlineStr">
        <is>
          <t>Business Analyst</t>
        </is>
      </c>
      <c r="AC35" s="159" t="inlineStr">
        <is>
          <t>B.Tech</t>
        </is>
      </c>
      <c r="AD35" s="159" t="inlineStr">
        <is>
          <t>Dnyaneshwar Daund</t>
        </is>
      </c>
      <c r="AE35" s="159" t="inlineStr">
        <is>
          <t>N-4</t>
        </is>
      </c>
      <c r="AF35" s="159" t="inlineStr">
        <is>
          <t>Individual Contributor</t>
        </is>
      </c>
      <c r="AG35" s="159" t="inlineStr">
        <is>
          <t>1 years, 6 months, 0 days</t>
        </is>
      </c>
      <c r="AH35" s="159" t="inlineStr">
        <is>
          <t>0 years, 7 months, 6 days</t>
        </is>
      </c>
      <c r="AI35" s="159" t="inlineStr">
        <is>
          <t>Regtech</t>
        </is>
      </c>
      <c r="AJ35" s="159" t="inlineStr">
        <is>
          <t>iDEAL</t>
        </is>
      </c>
      <c r="AK35" s="159" t="inlineStr">
        <is>
          <t>Technology</t>
        </is>
      </c>
      <c r="AL35" s="159" t="inlineStr">
        <is>
          <t>Business Analysis</t>
        </is>
      </c>
      <c r="AM35" s="159" t="inlineStr">
        <is>
          <t>No</t>
        </is>
      </c>
      <c r="AN35" s="159" t="inlineStr">
        <is>
          <t>Product/Project</t>
        </is>
      </c>
      <c r="AO35" s="159" t="inlineStr">
        <is>
          <t>Business Analysis</t>
        </is>
      </c>
      <c r="AP35" s="159" t="inlineStr">
        <is>
          <t>Technical · BA, PM and QA</t>
        </is>
      </c>
      <c r="AQ35" s="159" t="n">
        <v>20</v>
      </c>
      <c r="AR35" s="159" t="inlineStr">
        <is>
          <t>Covered</t>
        </is>
      </c>
      <c r="AS35" s="159" t="n"/>
      <c r="AT35" s="159" t="n"/>
      <c r="AU35" s="159" t="n"/>
      <c r="AV35" s="159" t="n"/>
      <c r="AW35" s="159" t="n"/>
      <c r="AX35" s="159" t="n"/>
      <c r="AY35" s="159" t="n"/>
      <c r="AZ35" s="159" t="n"/>
      <c r="BA35" s="159" t="n"/>
      <c r="BB35" s="159" t="n"/>
      <c r="BC35" s="159" t="n"/>
      <c r="BD35" s="159" t="n"/>
      <c r="BE35" s="159" t="n"/>
      <c r="BF35" s="159" t="n"/>
      <c r="BG35" s="159" t="n"/>
      <c r="BH35" s="159" t="n"/>
      <c r="BI35" s="159" t="n"/>
      <c r="BJ35" s="159" t="n"/>
      <c r="BK35" s="159" t="n"/>
      <c r="BL35" s="159" t="n"/>
      <c r="BM35" s="159" t="n"/>
      <c r="BN35" s="159" t="n"/>
      <c r="BO35" s="159" t="n"/>
      <c r="BP35" s="159" t="n"/>
      <c r="BQ35" s="159" t="n"/>
      <c r="BR35" s="159" t="n"/>
      <c r="BS35" s="159" t="n"/>
      <c r="BT35" s="159" t="n"/>
      <c r="BU35" s="159" t="n"/>
      <c r="BV35" s="159" t="n"/>
      <c r="BW35" s="159" t="n"/>
      <c r="BX35" s="159" t="n"/>
      <c r="BY35" s="159" t="n"/>
      <c r="BZ35" s="159" t="n"/>
      <c r="CA35" s="159" t="n"/>
      <c r="CB35" s="159" t="n"/>
      <c r="CC35" s="159" t="n"/>
      <c r="CD35" s="159" t="n"/>
      <c r="CE35" s="159" t="n"/>
      <c r="CF35" s="159" t="n"/>
      <c r="CG35" s="159" t="n"/>
      <c r="CH35" s="159" t="n"/>
      <c r="CI35" s="159" t="n"/>
      <c r="CJ35" s="159" t="n"/>
      <c r="CK35" s="159" t="n"/>
      <c r="CL35" s="159" t="n"/>
      <c r="CM35" s="159" t="n"/>
      <c r="CN35" s="159" t="n"/>
      <c r="CO35" s="159" t="n"/>
      <c r="CP35" s="159" t="n"/>
      <c r="CQ35" s="159" t="inlineStr">
        <is>
          <t>IRIS2466</t>
        </is>
      </c>
      <c r="CR35" s="159" t="inlineStr">
        <is>
          <t>Employee</t>
        </is>
      </c>
      <c r="CS35" s="159" t="inlineStr">
        <is>
          <t>Active</t>
        </is>
      </c>
      <c r="CT35" s="159" t="inlineStr">
        <is>
          <t>Vidyasagar Reddy</t>
        </is>
      </c>
      <c r="CU35" s="160" t="n">
        <v>46041</v>
      </c>
      <c r="CV35" s="159" t="inlineStr">
        <is>
          <t>Business Analyst</t>
        </is>
      </c>
      <c r="CW35" s="159" t="inlineStr">
        <is>
          <t>Business Analysis</t>
        </is>
      </c>
      <c r="CX35" s="159" t="inlineStr">
        <is>
          <t>Business / Functional Analysis</t>
        </is>
      </c>
      <c r="CY35" s="159" t="inlineStr">
        <is>
          <t>Business Analyst</t>
        </is>
      </c>
      <c r="CZ35" s="159" t="inlineStr">
        <is>
          <t>L3 – Professional / Associate</t>
        </is>
      </c>
      <c r="DA35" s="159" t="inlineStr">
        <is>
          <t>B.Tech</t>
        </is>
      </c>
      <c r="DB35" s="159" t="inlineStr">
        <is>
          <t>Dnyaneshwar Daund</t>
        </is>
      </c>
      <c r="DC35" s="159" t="inlineStr">
        <is>
          <t>N-4</t>
        </is>
      </c>
      <c r="DD35" s="159" t="inlineStr">
        <is>
          <t>Individual Contributor</t>
        </is>
      </c>
      <c r="DE35" s="159" t="inlineStr">
        <is>
          <t>1 years, 6 months, 0 days</t>
        </is>
      </c>
      <c r="DF35" s="159" t="inlineStr">
        <is>
          <t>0 years, 5 months, 1 days</t>
        </is>
      </c>
      <c r="DG35" s="159" t="inlineStr">
        <is>
          <t>1 years, 11 months, 1 days</t>
        </is>
      </c>
      <c r="DH35" s="159" t="n"/>
      <c r="DI35" s="159" t="inlineStr">
        <is>
          <t>Regtech</t>
        </is>
      </c>
      <c r="DJ35" s="159" t="inlineStr">
        <is>
          <t>iDEAL</t>
        </is>
      </c>
      <c r="DK35" s="159" t="inlineStr">
        <is>
          <t>Technology</t>
        </is>
      </c>
      <c r="DL35" s="159" t="inlineStr">
        <is>
          <t>Business Analysis</t>
        </is>
      </c>
      <c r="DM35" s="159" t="inlineStr">
        <is>
          <t>No</t>
        </is>
      </c>
      <c r="DN35" s="159" t="inlineStr">
        <is>
          <t>Product/Project</t>
        </is>
      </c>
      <c r="DO35" s="159" t="inlineStr">
        <is>
          <t>Business Analysis</t>
        </is>
      </c>
      <c r="DP35" s="159" t="inlineStr">
        <is>
          <t>Technical · BA, PM and QA</t>
        </is>
      </c>
      <c r="DQ35" s="159" t="inlineStr">
        <is>
          <t>Work From Office - Turbhe</t>
        </is>
      </c>
      <c r="DR35" s="159" t="inlineStr">
        <is>
          <t>1. Independently resolve 90%+ of assigned client issues while consistently meeting SLA and quality expectations.
2. Adhere to SDLC best practices across all assigned projects and actively support the team in following standardized project delivery processes.
3. Develop strong expertise in requirement gathering, solution analysis, documentation, and stakeholder communication to handle projects with minimal supervision.
4. Contribute to product innovation by proposing and documenting value-added functional enhancements that improve customer experience and business value.
5. Build Solution Architect competencies by developing a deeper understanding of system architecture, integrations, data flow, and end-to-end solution design while contributing to implementation and product discussions.</t>
        </is>
      </c>
      <c r="DS35" s="159"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By 15 July 2026, develop a thorough understanding of the CIC project and actively participate in implementation, documentation, testing, UAT, and sign-off activities to contribute to successful project execution and delivery.
4. Conduct knowledge-sharing sessions with bank users on interpreting and resolving common validation and business errors directly at the bank level, reducing dependency on the IRIS support team. This objective should be achieved by September 2026.
5. Develop expertise in onboarding and supporting Database and EBR clients, in addition to the Excel-based clients currently being managed, to expand domain knowledge and independently handle Database reports · clients by October 2026.</t>
        </is>
      </c>
      <c r="DT35" s="159" t="inlineStr">
        <is>
          <t>1. Acquire in-depth knowledge of EBR SDMX reports, validations, and implementation processes to independently provide effective client support for assigned clients by Sep 2026.
2. Actively assist Vivek Kumar in the requirement gathering, product development coordination, testing, and implementation of the CIC Reporting mandate to ensure delivery by Aug 2026.
3.Demonstrate independent ownership of the assigned client portfolio by managing support activities, resolving client issues by Sep 2026.</t>
        </is>
      </c>
      <c r="DU35" s="159" t="n">
        <v>2</v>
      </c>
      <c r="DV35" s="160" t="n">
        <v>45931</v>
      </c>
      <c r="DW35" s="159" t="inlineStr">
        <is>
          <t>Same as current designation</t>
        </is>
      </c>
      <c r="DX35" s="159" t="inlineStr">
        <is>
          <t>No</t>
        </is>
      </c>
      <c r="DY35" s="159" t="n">
        <v>3</v>
      </c>
      <c r="DZ35" s="159" t="inlineStr">
        <is>
          <t>Medium</t>
        </is>
      </c>
      <c r="EA35" s="159" t="inlineStr">
        <is>
          <t>Emerging Talent</t>
        </is>
      </c>
      <c r="EB35" s="159" t="inlineStr">
        <is>
          <t>Not Ready</t>
        </is>
      </c>
      <c r="EC35" s="159" t="inlineStr">
        <is>
          <t>No</t>
        </is>
      </c>
      <c r="ED35" s="159" t="inlineStr">
        <is>
          <t>No</t>
        </is>
      </c>
      <c r="EE35" s="159" t="inlineStr">
        <is>
          <t>XBRL Training, Training on the effective utilization of AI tools.</t>
        </is>
      </c>
      <c r="EF35" s="159" t="n"/>
    </row>
    <row r="36" ht="64" customHeight="1">
      <c r="A36" s="109" t="inlineStr">
        <is>
          <t>IRIS2310</t>
        </is>
      </c>
      <c r="B36" s="111" t="inlineStr">
        <is>
          <t>Vivek Kumar</t>
        </is>
      </c>
      <c r="C36" s="111" t="inlineStr">
        <is>
          <t>Technology</t>
        </is>
      </c>
      <c r="D36" s="114" t="inlineStr">
        <is>
          <t>Trainee Business Analyst</t>
        </is>
      </c>
      <c r="E36" s="114" t="inlineStr">
        <is>
          <t>Senior Business Analyst</t>
        </is>
      </c>
      <c r="F36" s="114" t="inlineStr">
        <is>
          <t>L2 – Trainee</t>
        </is>
      </c>
      <c r="G36" s="114" t="inlineStr">
        <is>
          <t>A3</t>
        </is>
      </c>
      <c r="H36" s="142" t="inlineStr">
        <is>
          <t>▲ Up</t>
        </is>
      </c>
      <c r="I36" s="111" t="inlineStr">
        <is>
          <t>Business Analysis</t>
        </is>
      </c>
      <c r="J36" s="111" t="inlineStr">
        <is>
          <t>Business Analysis</t>
        </is>
      </c>
      <c r="K36" s="111" t="inlineStr"/>
      <c r="L36" s="111" t="n">
        <v>20</v>
      </c>
      <c r="M36" s="139" t="inlineStr">
        <is>
          <t>P2</t>
        </is>
      </c>
      <c r="N36" s="115" t="inlineStr">
        <is>
          <t>Developing</t>
        </is>
      </c>
      <c r="O36" s="115" t="inlineStr">
        <is>
          <t>3 Apply</t>
        </is>
      </c>
      <c r="P36" s="115" t="inlineStr">
        <is>
          <t>2–4 yrs</t>
        </is>
      </c>
      <c r="Q36" s="115" t="inlineStr">
        <is>
          <t>3–5 · 2–5</t>
        </is>
      </c>
      <c r="R36" s="115" t="inlineStr">
        <is>
          <t>Business Analyst</t>
        </is>
      </c>
      <c r="S36" s="115" t="inlineStr">
        <is>
          <t>Regnology — regulatory reporting: Junior BA · Reg Reporting · Big Four consulting: Consultant · IRIS Vs Market Benchmark — IIBA certification pathway: ECBA · Infosys / Accenture: JL3A · L10 Senior Analyst</t>
        </is>
      </c>
      <c r="T36" s="115" t="inlineStr">
        <is>
          <t>IIBA BABOK v3; certifications ECBA · entry → CCBA → CBAP · senior</t>
        </is>
      </c>
      <c r="U36" s="115" t="inlineStr">
        <is>
          <t>Core 2 · Future 2 · Functional 3 · Leadership not scored</t>
        </is>
      </c>
      <c r="V36" s="158" t="n">
        <v>344</v>
      </c>
      <c r="W36" s="159" t="inlineStr">
        <is>
          <t>IRIS2310</t>
        </is>
      </c>
      <c r="X36" s="159" t="inlineStr">
        <is>
          <t>Employee</t>
        </is>
      </c>
      <c r="Y36" s="159" t="inlineStr">
        <is>
          <t>Active</t>
        </is>
      </c>
      <c r="Z36" s="159" t="inlineStr">
        <is>
          <t>Vivek Kumar</t>
        </is>
      </c>
      <c r="AA36" s="244" t="n">
        <v>45558</v>
      </c>
      <c r="AB36" s="159" t="inlineStr">
        <is>
          <t>Trainee Business Analyst</t>
        </is>
      </c>
      <c r="AC36" s="159" t="inlineStr">
        <is>
          <t>BBA</t>
        </is>
      </c>
      <c r="AD36" s="159" t="inlineStr">
        <is>
          <t>Aroosa Ghole</t>
        </is>
      </c>
      <c r="AE36" s="159" t="inlineStr">
        <is>
          <t>N-4</t>
        </is>
      </c>
      <c r="AF36" s="159" t="inlineStr">
        <is>
          <t>Individual Contributor</t>
        </is>
      </c>
      <c r="AG36" s="159" t="inlineStr">
        <is>
          <t>1 years, 1 months, 0 days</t>
        </is>
      </c>
      <c r="AH36" s="159" t="inlineStr">
        <is>
          <t>1 years, 11 months, 2 days</t>
        </is>
      </c>
      <c r="AI36" s="159" t="inlineStr">
        <is>
          <t>Regtech</t>
        </is>
      </c>
      <c r="AJ36" s="159" t="inlineStr">
        <is>
          <t>iDEAL</t>
        </is>
      </c>
      <c r="AK36" s="159" t="inlineStr">
        <is>
          <t>Technology</t>
        </is>
      </c>
      <c r="AL36" s="159" t="inlineStr">
        <is>
          <t>Business Analysis</t>
        </is>
      </c>
      <c r="AM36" s="159" t="inlineStr">
        <is>
          <t>No</t>
        </is>
      </c>
      <c r="AN36" s="159" t="inlineStr">
        <is>
          <t>Product/Project</t>
        </is>
      </c>
      <c r="AO36" s="159" t="inlineStr">
        <is>
          <t>Business Analysis</t>
        </is>
      </c>
      <c r="AP36" s="159" t="inlineStr">
        <is>
          <t>Technical · BA, PM and QA</t>
        </is>
      </c>
      <c r="AQ36" s="159" t="n">
        <v>20</v>
      </c>
      <c r="AR36" s="159" t="inlineStr">
        <is>
          <t>Covered</t>
        </is>
      </c>
      <c r="AS36" s="159" t="n"/>
      <c r="AT36" s="159" t="n"/>
      <c r="AU36" s="159" t="n"/>
      <c r="AV36" s="159" t="n"/>
      <c r="AW36" s="159" t="n"/>
      <c r="AX36" s="159" t="n"/>
      <c r="AY36" s="159" t="n"/>
      <c r="AZ36" s="159" t="n"/>
      <c r="BA36" s="159" t="n"/>
      <c r="BB36" s="159" t="n"/>
      <c r="BC36" s="159" t="n"/>
      <c r="BD36" s="159" t="n"/>
      <c r="BE36" s="159" t="n"/>
      <c r="BF36" s="159" t="n"/>
      <c r="BG36" s="159" t="n"/>
      <c r="BH36" s="159" t="n"/>
      <c r="BI36" s="159" t="n"/>
      <c r="BJ36" s="159" t="n"/>
      <c r="BK36" s="159" t="n"/>
      <c r="BL36" s="159" t="n"/>
      <c r="BM36" s="159" t="n"/>
      <c r="BN36" s="159" t="n"/>
      <c r="BO36" s="159" t="n"/>
      <c r="BP36" s="159" t="n"/>
      <c r="BQ36" s="159" t="n"/>
      <c r="BR36" s="159" t="n"/>
      <c r="BS36" s="159" t="n"/>
      <c r="BT36" s="159" t="n"/>
      <c r="BU36" s="159" t="n"/>
      <c r="BV36" s="159" t="n"/>
      <c r="BW36" s="159" t="n"/>
      <c r="BX36" s="159" t="n"/>
      <c r="BY36" s="159" t="n"/>
      <c r="BZ36" s="159" t="n"/>
      <c r="CA36" s="159" t="n"/>
      <c r="CB36" s="159" t="n"/>
      <c r="CC36" s="159" t="n"/>
      <c r="CD36" s="159" t="n"/>
      <c r="CE36" s="159" t="n"/>
      <c r="CF36" s="159" t="n"/>
      <c r="CG36" s="159" t="n"/>
      <c r="CH36" s="159" t="n"/>
      <c r="CI36" s="159" t="n"/>
      <c r="CJ36" s="159" t="n"/>
      <c r="CK36" s="159" t="n"/>
      <c r="CL36" s="159" t="n"/>
      <c r="CM36" s="159" t="n"/>
      <c r="CN36" s="159" t="n"/>
      <c r="CO36" s="159" t="n"/>
      <c r="CP36" s="159" t="n"/>
      <c r="CQ36" s="159" t="inlineStr">
        <is>
          <t>IRIS2310</t>
        </is>
      </c>
      <c r="CR36" s="159" t="inlineStr">
        <is>
          <t>Employee</t>
        </is>
      </c>
      <c r="CS36" s="159" t="inlineStr">
        <is>
          <t>Serving Notice</t>
        </is>
      </c>
      <c r="CT36" s="159" t="inlineStr">
        <is>
          <t>Vivek Kumar</t>
        </is>
      </c>
      <c r="CU36" s="160" t="n">
        <v>45558</v>
      </c>
      <c r="CV36" s="159" t="inlineStr">
        <is>
          <t>Trainee Business Analyst</t>
        </is>
      </c>
      <c r="CW36" s="159" t="inlineStr">
        <is>
          <t>Business Analysis</t>
        </is>
      </c>
      <c r="CX36" s="159" t="inlineStr">
        <is>
          <t>Business / Functional Analysis</t>
        </is>
      </c>
      <c r="CY36" s="159" t="inlineStr">
        <is>
          <t>Trainee Business Analyst</t>
        </is>
      </c>
      <c r="CZ36" s="159" t="inlineStr">
        <is>
          <t>L2 – Trainee</t>
        </is>
      </c>
      <c r="DA36" s="159" t="inlineStr">
        <is>
          <t>BBA</t>
        </is>
      </c>
      <c r="DB36" s="159" t="inlineStr">
        <is>
          <t>Aroosa Ghole</t>
        </is>
      </c>
      <c r="DC36" s="159" t="inlineStr">
        <is>
          <t>N-4</t>
        </is>
      </c>
      <c r="DD36" s="159" t="inlineStr">
        <is>
          <t>Individual Contributor</t>
        </is>
      </c>
      <c r="DE36" s="159" t="inlineStr">
        <is>
          <t>1 years, 1 months, 0 days</t>
        </is>
      </c>
      <c r="DF36" s="159" t="inlineStr">
        <is>
          <t>1 years, 8 months, 28 days</t>
        </is>
      </c>
      <c r="DG36" s="159" t="inlineStr">
        <is>
          <t>2 years, 9 months, 28 days</t>
        </is>
      </c>
      <c r="DH36" s="159" t="n"/>
      <c r="DI36" s="159" t="inlineStr">
        <is>
          <t>Regtech</t>
        </is>
      </c>
      <c r="DJ36" s="159" t="inlineStr">
        <is>
          <t>iDEAL</t>
        </is>
      </c>
      <c r="DK36" s="159" t="inlineStr">
        <is>
          <t>Technology</t>
        </is>
      </c>
      <c r="DL36" s="159" t="inlineStr">
        <is>
          <t>Business Analysis</t>
        </is>
      </c>
      <c r="DM36" s="159" t="inlineStr">
        <is>
          <t>No</t>
        </is>
      </c>
      <c r="DN36" s="159" t="inlineStr">
        <is>
          <t>Product/Project</t>
        </is>
      </c>
      <c r="DO36" s="159" t="inlineStr">
        <is>
          <t>Business Analysis</t>
        </is>
      </c>
      <c r="DP36" s="159" t="inlineStr">
        <is>
          <t>Technical · BA, PM and QA</t>
        </is>
      </c>
      <c r="DQ36" s="159" t="inlineStr">
        <is>
          <t>Hybrid</t>
        </is>
      </c>
      <c r="DR36" s="159" t="inlineStr">
        <is>
          <t>1. Lead and Deliver the JPMorgan CIC Project: Drive the successful delivery of the JPMorgan CIC project within the agreed timelines by effectively managing and coordinating all project phases, including requirement gathering, documentation and sign-off, UAT support and sign-off, and go-live activities. Ensure seamless collaboration with the development team and stakeholders to achieve project objectives, maintain quality standards, and deliver a successful implementation.
2. Master the Technical Backend of iDEAL: I want to move beyond regular support and get a deep technical understanding of our platform. I will focus on learning exactly how iFILE templates are used for error handling, how taxonomies are mapped, and how the backend logic works for CIMS-ADF/RBR/EBR reports.
3. Handle the BNP Paribas EBR Implementation: Since BNP is taking the EBR module this year, I want to lead this implementation smoothly. My goal is to coordinate with them, set up the system, and make sure their onboarding goes without any issues.
4. Maintain My Zero-Escalation Track Record: I want to keep running day-to-day support, deployments, kit preparations, and error handling flawlessly. My objective is to maintain my streak of zero client escalations across all my assigned accounts.
5. Learn Key BA Tools · SQL &amp; Power BI: To grow as a Business Analyst, I want to bridge my technical gaps. I plan to learn intermediate SQL · so I can check data in the backend myself and get familiar with Power BI and standard project management tools.
6. ETL Implementation for MUTHOOT FINCORP: I want to get hands on experience on my first ETL project as a SPOC for Muthoot and we have already deployed our application on their server with Excel Based Reporting, Now once their Database/Source Systems are finalized and shared we will proceeding with the completion of their ETL Logic and Implementation as well.</t>
        </is>
      </c>
      <c r="DS36" s="159" t="inlineStr">
        <is>
          <t>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resolution/coordination on the same business day.
3.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4. Capture, analyse, and document client requirements and project scope accurately, ensuring 100% completion of the required documentation and obtaining client sign-off within two weeks of document submission.
5.Proactively take the initiative to support other team members beyond your assigned responsibilities by assisting with client support, deployments, testing, documentation, and issue resolution activities. Contribute to overall team productivity and timely project delivery by providing support to colleagues at least 3–4 times per week whenever required.
6. Proactively identify new business opportunities, enhancement requests, and client requirements through regular client interactions, and contribute at least one qualified business growth or product enhancement opportunity per quarter.</t>
        </is>
      </c>
      <c r="DT36" s="159" t="inlineStr">
        <is>
          <t>1. Acquire in-depth knowledge of EBR SDMX reports, validations, and implementation processes to independently provide effective client support for assigned clients by Aug 2026.
2. Ensure 100% successful completion of CIC Reporting mandate requirement gathering, along with product development, testing, and implementation activities by Aug 2026
3. Effectively manage the assigned portfolio of banks independently  while maintaining 100% customer satisfaction with zero critical escalations.</t>
        </is>
      </c>
      <c r="DU36" s="159" t="n">
        <v>3</v>
      </c>
      <c r="DV36" s="160" t="n">
        <v>45931</v>
      </c>
      <c r="DW36" s="159" t="inlineStr">
        <is>
          <t>Same as current designation</t>
        </is>
      </c>
      <c r="DX36" s="159" t="inlineStr">
        <is>
          <t>No</t>
        </is>
      </c>
      <c r="DY36" s="159" t="n">
        <v>3</v>
      </c>
      <c r="DZ36" s="159" t="inlineStr">
        <is>
          <t>Medium</t>
        </is>
      </c>
      <c r="EA36" s="159" t="inlineStr">
        <is>
          <t>Emerging Talent</t>
        </is>
      </c>
      <c r="EB36" s="159" t="inlineStr">
        <is>
          <t>Not Ready</t>
        </is>
      </c>
      <c r="EC36" s="159" t="inlineStr">
        <is>
          <t>No</t>
        </is>
      </c>
      <c r="ED36" s="159" t="inlineStr">
        <is>
          <t>No</t>
        </is>
      </c>
      <c r="EE36" s="159" t="inlineStr">
        <is>
          <t>XBRL Training, Training on the effective utilization of AI tools.</t>
        </is>
      </c>
      <c r="EF36" s="159" t="n"/>
    </row>
    <row r="37" ht="64" customHeight="1">
      <c r="A37" s="109" t="inlineStr">
        <is>
          <t>IRIS2555</t>
        </is>
      </c>
      <c r="B37" s="111" t="inlineStr">
        <is>
          <t>Nidhi Kulkarni</t>
        </is>
      </c>
      <c r="C37" s="111" t="inlineStr">
        <is>
          <t>Technology</t>
        </is>
      </c>
      <c r="D37" s="114" t="inlineStr">
        <is>
          <t>Technical Support Analyst</t>
        </is>
      </c>
      <c r="E37" s="114" t="inlineStr">
        <is>
          <t>Senior Support Executive</t>
        </is>
      </c>
      <c r="F37" s="114" t="inlineStr">
        <is>
          <t>Not in current mapping files</t>
        </is>
      </c>
      <c r="G37" s="114" t="inlineStr">
        <is>
          <t>A3</t>
        </is>
      </c>
      <c r="H37" s="143" t="inlineStr">
        <is>
          <t>● Newly mapped</t>
        </is>
      </c>
      <c r="I37" s="111" t="inlineStr">
        <is>
          <t>Customer Success &amp; Support</t>
        </is>
      </c>
      <c r="J37" s="111" t="inlineStr">
        <is>
          <t>Application &amp; Product Support</t>
        </is>
      </c>
      <c r="K37" s="151" t="inlineStr">
        <is>
          <t>• Total experience · outside + at IRIS — HR — HRIS
• Confirm prior experience · provisional placement — HR</t>
        </is>
      </c>
      <c r="L37" s="111" t="n">
        <v>20</v>
      </c>
      <c r="M37" s="139" t="inlineStr">
        <is>
          <t>P2</t>
        </is>
      </c>
      <c r="N37" s="115" t="inlineStr">
        <is>
          <t>Developing</t>
        </is>
      </c>
      <c r="O37" s="115" t="inlineStr">
        <is>
          <t>3 Apply</t>
        </is>
      </c>
      <c r="P37" s="115" t="inlineStr">
        <is>
          <t>2–4 yrs</t>
        </is>
      </c>
      <c r="Q37" s="115" t="inlineStr">
        <is>
          <t>3–5 · 2–5</t>
        </is>
      </c>
      <c r="R37" s="115" t="inlineStr">
        <is>
          <t>Support / CS Executive</t>
        </is>
      </c>
      <c r="S37" s="115" t="inlineStr">
        <is>
          <t>IRIS Vs Competitor Benchmark — SaaS customer-success ladder: Associate CSM · Regnology: Product Support Specialist · Reg Reporting · IRIS Vs Competitor Benchmark — support tiers: L2 Application Support</t>
        </is>
      </c>
      <c r="T37" s="115" t="inlineStr">
        <is>
          <t>TSIA frameworks and benchmarks; ITIL 4 service desk; Gainsight customer-success practice</t>
        </is>
      </c>
      <c r="U37" s="115" t="inlineStr">
        <is>
          <t>Core 2 · Future 2 · Functional 3 · Leadership not scored</t>
        </is>
      </c>
      <c r="V37" s="158" t="n">
        <v>528</v>
      </c>
      <c r="W37" s="159" t="inlineStr">
        <is>
          <t>IRIS2555</t>
        </is>
      </c>
      <c r="X37" s="159" t="inlineStr">
        <is>
          <t>Employee</t>
        </is>
      </c>
      <c r="Y37" s="159" t="inlineStr">
        <is>
          <t>Active</t>
        </is>
      </c>
      <c r="Z37" s="159" t="inlineStr">
        <is>
          <t>Nidhi Kulkarni</t>
        </is>
      </c>
      <c r="AA37" s="244" t="n">
        <v>46252</v>
      </c>
      <c r="AB37" s="159" t="inlineStr">
        <is>
          <t>Technical Support Analyst</t>
        </is>
      </c>
      <c r="AC37" s="159" t="inlineStr">
        <is>
          <t>B.E</t>
        </is>
      </c>
      <c r="AD37" s="159" t="inlineStr">
        <is>
          <t>Aroosa Ghole</t>
        </is>
      </c>
      <c r="AE37" s="159" t="inlineStr">
        <is>
          <t>N-4</t>
        </is>
      </c>
      <c r="AF37" s="159" t="inlineStr">
        <is>
          <t>Individual Contributor</t>
        </is>
      </c>
      <c r="AG37" s="159" t="n"/>
      <c r="AH37" s="159" t="inlineStr">
        <is>
          <t>0 years, 0 months, 7 days</t>
        </is>
      </c>
      <c r="AI37" s="159" t="inlineStr">
        <is>
          <t>Regtech</t>
        </is>
      </c>
      <c r="AJ37" s="159" t="inlineStr">
        <is>
          <t>iDEAL</t>
        </is>
      </c>
      <c r="AK37" s="159" t="inlineStr">
        <is>
          <t>Technology</t>
        </is>
      </c>
      <c r="AL37" s="159" t="inlineStr">
        <is>
          <t>Development</t>
        </is>
      </c>
      <c r="AM37" s="159" t="inlineStr">
        <is>
          <t>Yes</t>
        </is>
      </c>
      <c r="AN37" s="159" t="inlineStr">
        <is>
          <t>Product/Project</t>
        </is>
      </c>
      <c r="AO37" s="159" t="inlineStr">
        <is>
          <t>Business Analysis</t>
        </is>
      </c>
      <c r="AP37" s="159" t="inlineStr">
        <is>
          <t>Technical · BA, PM and QA</t>
        </is>
      </c>
      <c r="AQ37" s="159" t="n">
        <v>20</v>
      </c>
      <c r="AR37" s="159" t="inlineStr">
        <is>
          <t>Covered</t>
        </is>
      </c>
      <c r="AS37" s="159" t="n"/>
      <c r="AT37" s="159" t="n"/>
      <c r="AU37" s="159" t="n"/>
      <c r="AV37" s="159" t="n"/>
      <c r="AW37" s="159" t="n"/>
      <c r="AX37" s="159" t="n"/>
      <c r="AY37" s="159" t="n"/>
      <c r="AZ37" s="159" t="n"/>
      <c r="BA37" s="159" t="n"/>
      <c r="BB37" s="159" t="n"/>
      <c r="BC37" s="159" t="n"/>
      <c r="BD37" s="159" t="n"/>
      <c r="BE37" s="159" t="n"/>
      <c r="BF37" s="159" t="n"/>
      <c r="BG37" s="159" t="n"/>
      <c r="BH37" s="159" t="n"/>
      <c r="BI37" s="159" t="n"/>
      <c r="BJ37" s="159" t="n"/>
      <c r="BK37" s="159" t="n"/>
      <c r="BL37" s="159" t="n"/>
      <c r="BM37" s="159" t="n"/>
      <c r="BN37" s="159" t="n"/>
      <c r="BO37" s="159" t="n"/>
      <c r="BP37" s="159" t="n"/>
      <c r="BQ37" s="159" t="n"/>
      <c r="BR37" s="159" t="n"/>
      <c r="BS37" s="159" t="n"/>
      <c r="BT37" s="159" t="n"/>
      <c r="BU37" s="159" t="n"/>
      <c r="BV37" s="159" t="n"/>
      <c r="BW37" s="159" t="n"/>
      <c r="BX37" s="159" t="n"/>
      <c r="BY37" s="159" t="n"/>
      <c r="BZ37" s="159" t="n"/>
      <c r="CA37" s="159" t="n"/>
      <c r="CB37" s="159" t="n"/>
      <c r="CC37" s="159" t="n"/>
      <c r="CD37" s="159" t="n"/>
      <c r="CE37" s="159" t="n"/>
      <c r="CF37" s="159" t="n"/>
      <c r="CG37" s="159" t="n"/>
      <c r="CH37" s="159" t="n"/>
      <c r="CI37" s="159" t="n"/>
      <c r="CJ37" s="159" t="n"/>
      <c r="CK37" s="159" t="n"/>
      <c r="CL37" s="159" t="n"/>
      <c r="CM37" s="159" t="n"/>
      <c r="CN37" s="159" t="n"/>
      <c r="CO37" s="159" t="n"/>
      <c r="CP37" s="159" t="n"/>
      <c r="CQ37" s="159" t="n"/>
      <c r="CR37" s="159" t="n"/>
      <c r="CS37" s="159" t="n"/>
      <c r="CT37" s="159" t="n"/>
      <c r="CU37" s="159" t="n"/>
      <c r="CV37" s="159" t="n"/>
      <c r="CW37" s="159" t="n"/>
      <c r="CX37" s="159" t="n"/>
      <c r="CY37" s="159" t="n"/>
      <c r="CZ37" s="159" t="n"/>
      <c r="DA37" s="159" t="n"/>
      <c r="DB37" s="159" t="n"/>
      <c r="DC37" s="159" t="n"/>
      <c r="DD37" s="159" t="n"/>
      <c r="DE37" s="159" t="n"/>
      <c r="DF37" s="159" t="n"/>
      <c r="DG37" s="159" t="n"/>
      <c r="DH37" s="159" t="n"/>
      <c r="DI37" s="159" t="n"/>
      <c r="DJ37" s="159" t="n"/>
      <c r="DK37" s="159" t="n"/>
      <c r="DL37" s="159" t="n"/>
      <c r="DM37" s="159" t="n"/>
      <c r="DN37" s="159" t="n"/>
      <c r="DO37" s="159" t="n"/>
      <c r="DP37" s="159" t="n"/>
      <c r="DQ37" s="159" t="n"/>
      <c r="DR37" s="159" t="n"/>
      <c r="DS37" s="159" t="n"/>
      <c r="DT37" s="159" t="n"/>
      <c r="DU37" s="159" t="n"/>
      <c r="DV37" s="159" t="n"/>
      <c r="DW37" s="159" t="n"/>
      <c r="DX37" s="159" t="n"/>
      <c r="DY37" s="159" t="n"/>
      <c r="DZ37" s="159" t="n"/>
      <c r="EA37" s="159" t="n"/>
      <c r="EB37" s="159" t="n"/>
      <c r="EC37" s="159" t="n"/>
      <c r="ED37" s="159" t="n"/>
      <c r="EE37" s="159" t="n"/>
      <c r="EF37" s="159" t="n"/>
    </row>
    <row r="38" ht="64" customHeight="1">
      <c r="A38" s="109" t="inlineStr">
        <is>
          <t>IRIS2552</t>
        </is>
      </c>
      <c r="B38" s="111" t="inlineStr">
        <is>
          <t>Shreekanth Samala</t>
        </is>
      </c>
      <c r="C38" s="111" t="inlineStr">
        <is>
          <t>Technology</t>
        </is>
      </c>
      <c r="D38" s="114" t="inlineStr">
        <is>
          <t>Technical Support Analyst</t>
        </is>
      </c>
      <c r="E38" s="114" t="inlineStr">
        <is>
          <t>Support Specialist</t>
        </is>
      </c>
      <c r="F38" s="114" t="inlineStr">
        <is>
          <t>Not in current mapping files</t>
        </is>
      </c>
      <c r="G38" s="114" t="inlineStr">
        <is>
          <t>A3</t>
        </is>
      </c>
      <c r="H38" s="143" t="inlineStr">
        <is>
          <t>● Newly mapped</t>
        </is>
      </c>
      <c r="I38" s="111" t="inlineStr">
        <is>
          <t>Customer Success &amp; Support</t>
        </is>
      </c>
      <c r="J38" s="111" t="inlineStr">
        <is>
          <t>Application &amp; Product Support</t>
        </is>
      </c>
      <c r="K38" s="111" t="inlineStr"/>
      <c r="L38" s="111" t="n">
        <v>20</v>
      </c>
      <c r="M38" s="139" t="inlineStr">
        <is>
          <t>P2</t>
        </is>
      </c>
      <c r="N38" s="115" t="inlineStr">
        <is>
          <t>Developing</t>
        </is>
      </c>
      <c r="O38" s="115" t="inlineStr">
        <is>
          <t>3 Apply</t>
        </is>
      </c>
      <c r="P38" s="115" t="inlineStr">
        <is>
          <t>2–4 yrs</t>
        </is>
      </c>
      <c r="Q38" s="115" t="inlineStr">
        <is>
          <t>3–5 · 2–5</t>
        </is>
      </c>
      <c r="R38" s="115" t="inlineStr">
        <is>
          <t>Senior Executive / CSM</t>
        </is>
      </c>
      <c r="S38" s="115" t="inlineStr">
        <is>
          <t>IRIS Vs Competitor Benchmark — SaaS customer-success ladder: Associate CSM · Regnology: Product Support Specialist · Reg Reporting · IRIS Vs Competitor Benchmark — support tiers: L2 Application Support</t>
        </is>
      </c>
      <c r="T38" s="115" t="inlineStr">
        <is>
          <t>TSIA frameworks and benchmarks; ITIL 4 service desk; Gainsight customer-success practice</t>
        </is>
      </c>
      <c r="U38" s="115" t="inlineStr">
        <is>
          <t>Core 2 · Future 2 · Functional 3 · Leadership not scored</t>
        </is>
      </c>
      <c r="V38" s="158" t="n">
        <v>525</v>
      </c>
      <c r="W38" s="159" t="inlineStr">
        <is>
          <t>IRIS2552</t>
        </is>
      </c>
      <c r="X38" s="159" t="inlineStr">
        <is>
          <t>Employee</t>
        </is>
      </c>
      <c r="Y38" s="159" t="inlineStr">
        <is>
          <t>Active</t>
        </is>
      </c>
      <c r="Z38" s="159" t="inlineStr">
        <is>
          <t>Shreekanth Samala</t>
        </is>
      </c>
      <c r="AA38" s="244" t="n">
        <v>46244</v>
      </c>
      <c r="AB38" s="159" t="inlineStr">
        <is>
          <t>Technical Support Analyst</t>
        </is>
      </c>
      <c r="AC38" s="159" t="inlineStr">
        <is>
          <t>MBA</t>
        </is>
      </c>
      <c r="AD38" s="159" t="inlineStr">
        <is>
          <t>Phuzel Siddiqui</t>
        </is>
      </c>
      <c r="AE38" s="159" t="inlineStr">
        <is>
          <t>N-5</t>
        </is>
      </c>
      <c r="AF38" s="159" t="inlineStr">
        <is>
          <t>Individual Contributor</t>
        </is>
      </c>
      <c r="AG38" s="159" t="inlineStr">
        <is>
          <t>13 years, 4 months, 0 days</t>
        </is>
      </c>
      <c r="AH38" s="159" t="inlineStr">
        <is>
          <t>0 years, 0 months, 15 days</t>
        </is>
      </c>
      <c r="AI38" s="159" t="inlineStr">
        <is>
          <t>Regtech</t>
        </is>
      </c>
      <c r="AJ38" s="159" t="inlineStr">
        <is>
          <t>iDEAL</t>
        </is>
      </c>
      <c r="AK38" s="159" t="inlineStr">
        <is>
          <t>Technology</t>
        </is>
      </c>
      <c r="AL38" s="159" t="inlineStr">
        <is>
          <t>Development</t>
        </is>
      </c>
      <c r="AM38" s="159" t="inlineStr">
        <is>
          <t>Yes</t>
        </is>
      </c>
      <c r="AN38" s="159" t="inlineStr">
        <is>
          <t>Product/Project</t>
        </is>
      </c>
      <c r="AO38" s="159" t="inlineStr">
        <is>
          <t>Business Analysis</t>
        </is>
      </c>
      <c r="AP38" s="159" t="inlineStr">
        <is>
          <t>Technical · BA, PM and QA</t>
        </is>
      </c>
      <c r="AQ38" s="159" t="n">
        <v>20</v>
      </c>
      <c r="AR38" s="159" t="inlineStr">
        <is>
          <t>Covered</t>
        </is>
      </c>
      <c r="AS38" s="159" t="n"/>
      <c r="AT38" s="159" t="n"/>
      <c r="AU38" s="159" t="n"/>
      <c r="AV38" s="159" t="n"/>
      <c r="AW38" s="159" t="n"/>
      <c r="AX38" s="159" t="n"/>
      <c r="AY38" s="159" t="n"/>
      <c r="AZ38" s="159" t="n"/>
      <c r="BA38" s="159" t="n"/>
      <c r="BB38" s="159" t="n"/>
      <c r="BC38" s="159" t="n"/>
      <c r="BD38" s="159" t="n"/>
      <c r="BE38" s="159" t="n"/>
      <c r="BF38" s="159" t="n"/>
      <c r="BG38" s="159" t="n"/>
      <c r="BH38" s="159" t="n"/>
      <c r="BI38" s="159" t="n"/>
      <c r="BJ38" s="159" t="n"/>
      <c r="BK38" s="159" t="n"/>
      <c r="BL38" s="159" t="n"/>
      <c r="BM38" s="159" t="n"/>
      <c r="BN38" s="159" t="n"/>
      <c r="BO38" s="159" t="n"/>
      <c r="BP38" s="159" t="n"/>
      <c r="BQ38" s="159" t="n"/>
      <c r="BR38" s="159" t="n"/>
      <c r="BS38" s="159" t="n"/>
      <c r="BT38" s="159" t="n"/>
      <c r="BU38" s="159" t="n"/>
      <c r="BV38" s="159" t="n"/>
      <c r="BW38" s="159" t="n"/>
      <c r="BX38" s="159" t="n"/>
      <c r="BY38" s="159" t="n"/>
      <c r="BZ38" s="159" t="n"/>
      <c r="CA38" s="159" t="n"/>
      <c r="CB38" s="159" t="n"/>
      <c r="CC38" s="159" t="n"/>
      <c r="CD38" s="159" t="n"/>
      <c r="CE38" s="159" t="n"/>
      <c r="CF38" s="159" t="n"/>
      <c r="CG38" s="159" t="n"/>
      <c r="CH38" s="159" t="n"/>
      <c r="CI38" s="159" t="n"/>
      <c r="CJ38" s="159" t="n"/>
      <c r="CK38" s="159" t="n"/>
      <c r="CL38" s="159" t="n"/>
      <c r="CM38" s="159" t="n"/>
      <c r="CN38" s="159" t="n"/>
      <c r="CO38" s="159" t="n"/>
      <c r="CP38" s="159" t="n"/>
      <c r="CQ38" s="159" t="n"/>
      <c r="CR38" s="159" t="n"/>
      <c r="CS38" s="159" t="n"/>
      <c r="CT38" s="159" t="n"/>
      <c r="CU38" s="159" t="n"/>
      <c r="CV38" s="159" t="n"/>
      <c r="CW38" s="159" t="n"/>
      <c r="CX38" s="159" t="n"/>
      <c r="CY38" s="159" t="n"/>
      <c r="CZ38" s="159" t="n"/>
      <c r="DA38" s="159" t="n"/>
      <c r="DB38" s="159" t="n"/>
      <c r="DC38" s="159" t="n"/>
      <c r="DD38" s="159" t="n"/>
      <c r="DE38" s="159" t="n"/>
      <c r="DF38" s="159" t="n"/>
      <c r="DG38" s="159" t="n"/>
      <c r="DH38" s="159" t="n"/>
      <c r="DI38" s="159" t="n"/>
      <c r="DJ38" s="159" t="n"/>
      <c r="DK38" s="159" t="n"/>
      <c r="DL38" s="159" t="n"/>
      <c r="DM38" s="159" t="n"/>
      <c r="DN38" s="159" t="n"/>
      <c r="DO38" s="159" t="n"/>
      <c r="DP38" s="159" t="n"/>
      <c r="DQ38" s="159" t="n"/>
      <c r="DR38" s="159" t="n"/>
      <c r="DS38" s="159" t="n"/>
      <c r="DT38" s="159" t="n"/>
      <c r="DU38" s="159" t="n"/>
      <c r="DV38" s="159" t="n"/>
      <c r="DW38" s="159" t="n"/>
      <c r="DX38" s="159" t="n"/>
      <c r="DY38" s="159" t="n"/>
      <c r="DZ38" s="159" t="n"/>
      <c r="EA38" s="159" t="n"/>
      <c r="EB38" s="159" t="n"/>
      <c r="EC38" s="159" t="n"/>
      <c r="ED38" s="159" t="n"/>
      <c r="EE38" s="159" t="n"/>
      <c r="EF38" s="159" t="n"/>
    </row>
    <row r="39" ht="64" customHeight="1">
      <c r="A39" s="109" t="inlineStr">
        <is>
          <t>IRIS2052</t>
        </is>
      </c>
      <c r="B39" s="111" t="inlineStr">
        <is>
          <t>Akshata Sabale</t>
        </is>
      </c>
      <c r="C39" s="111" t="inlineStr">
        <is>
          <t>Technology</t>
        </is>
      </c>
      <c r="D39" s="114" t="inlineStr">
        <is>
          <t>Software Engineer</t>
        </is>
      </c>
      <c r="E39" s="114" t="inlineStr">
        <is>
          <t>Senior Software Engineer</t>
        </is>
      </c>
      <c r="F39" s="114" t="inlineStr">
        <is>
          <t>L3 – Professional / Associate</t>
        </is>
      </c>
      <c r="G39" s="114" t="inlineStr">
        <is>
          <t>A3</t>
        </is>
      </c>
      <c r="H39" s="142" t="inlineStr">
        <is>
          <t>▲ Up</t>
        </is>
      </c>
      <c r="I39" s="111" t="inlineStr">
        <is>
          <t>Engineering &amp; Development</t>
        </is>
      </c>
      <c r="J39" s="111" t="inlineStr">
        <is>
          <t>Backend Development</t>
        </is>
      </c>
      <c r="K39" s="111" t="inlineStr"/>
      <c r="L39" s="111" t="n">
        <v>20</v>
      </c>
      <c r="M39" s="139" t="inlineStr">
        <is>
          <t>P2</t>
        </is>
      </c>
      <c r="N39" s="115" t="inlineStr">
        <is>
          <t>Developing</t>
        </is>
      </c>
      <c r="O39" s="115" t="inlineStr">
        <is>
          <t>3 Apply</t>
        </is>
      </c>
      <c r="P39" s="115" t="inlineStr">
        <is>
          <t>2–4 yrs</t>
        </is>
      </c>
      <c r="Q39" s="115" t="inlineStr">
        <is>
          <t>3–5 · 2–5</t>
        </is>
      </c>
      <c r="R39" s="115" t="inlineStr">
        <is>
          <t>Software Engineer</t>
        </is>
      </c>
      <c r="S39" s="115" t="inlineStr">
        <is>
          <r>
            <rPr>
              <rFont val="Calibri"/>
              <b val="1"/>
              <sz val="10"/>
            </rPr>
            <t>Workiva:</t>
          </r>
          <r>
            <rPr>
              <rFont val="Calibri"/>
              <sz val="10"/>
            </rPr>
            <t xml:space="preserve"> SE · Broadridge India: SE · Nasdaq / AxiomSL: SE · Salesforce: MTS · Atlassian: P40 · 3–7 yrs · Freshworks: Senior SE</t>
          </r>
        </is>
      </c>
      <c r="T39" s="115" t="inlineStr">
        <is>
          <t>SFIA 9 · software development, programming; OWASP secure coding; cloud vendor certifications</t>
        </is>
      </c>
      <c r="U39" s="115" t="inlineStr">
        <is>
          <t>Core 2 · Future 2 · Functional 3 · Leadership not scored</t>
        </is>
      </c>
      <c r="V39" s="158" t="n">
        <v>236</v>
      </c>
      <c r="W39" s="159" t="inlineStr">
        <is>
          <t>IRIS2052</t>
        </is>
      </c>
      <c r="X39" s="159" t="inlineStr">
        <is>
          <t>Employee</t>
        </is>
      </c>
      <c r="Y39" s="159" t="inlineStr">
        <is>
          <t>Active</t>
        </is>
      </c>
      <c r="Z39" s="159" t="inlineStr">
        <is>
          <t>Akshata Sabale</t>
        </is>
      </c>
      <c r="AA39" s="244" t="n">
        <v>44774</v>
      </c>
      <c r="AB39" s="159" t="inlineStr">
        <is>
          <t>Software Engineer</t>
        </is>
      </c>
      <c r="AC39" s="159" t="inlineStr">
        <is>
          <t>B.E</t>
        </is>
      </c>
      <c r="AD39" s="159" t="inlineStr">
        <is>
          <t>Jitendra Kumar</t>
        </is>
      </c>
      <c r="AE39" s="159" t="inlineStr">
        <is>
          <t>N-4</t>
        </is>
      </c>
      <c r="AF39" s="159" t="inlineStr">
        <is>
          <t>Individual Contributor</t>
        </is>
      </c>
      <c r="AG39" s="159" t="inlineStr">
        <is>
          <t>1 years, 0 months, 0 days</t>
        </is>
      </c>
      <c r="AH39" s="159" t="inlineStr">
        <is>
          <t>4 years, 0 months, 24 days</t>
        </is>
      </c>
      <c r="AI39" s="159" t="inlineStr">
        <is>
          <t>Regtech</t>
        </is>
      </c>
      <c r="AJ39" s="159" t="inlineStr">
        <is>
          <t>iDEAL</t>
        </is>
      </c>
      <c r="AK39" s="159" t="inlineStr">
        <is>
          <t>Technology</t>
        </is>
      </c>
      <c r="AL39" s="159" t="inlineStr">
        <is>
          <t>Development</t>
        </is>
      </c>
      <c r="AM39" s="159" t="inlineStr">
        <is>
          <t>Yes</t>
        </is>
      </c>
      <c r="AN39" s="159" t="inlineStr">
        <is>
          <t>Product/Project</t>
        </is>
      </c>
      <c r="AO39" s="159" t="inlineStr">
        <is>
          <t>.NET MVC</t>
        </is>
      </c>
      <c r="AP39" s="159" t="inlineStr">
        <is>
          <t>Technical - Developer</t>
        </is>
      </c>
      <c r="AQ39" s="159" t="n">
        <v>20</v>
      </c>
      <c r="AR39" s="159" t="inlineStr">
        <is>
          <t>Covered</t>
        </is>
      </c>
      <c r="AS39" s="159" t="n"/>
      <c r="AT39" s="159" t="n"/>
      <c r="AU39" s="159" t="n"/>
      <c r="AV39" s="159" t="n"/>
      <c r="AW39" s="159" t="n"/>
      <c r="AX39" s="159" t="n"/>
      <c r="AY39" s="159" t="n"/>
      <c r="AZ39" s="159" t="n"/>
      <c r="BA39" s="159" t="n"/>
      <c r="BB39" s="159" t="n"/>
      <c r="BC39" s="159" t="n"/>
      <c r="BD39" s="159" t="n"/>
      <c r="BE39" s="159" t="n"/>
      <c r="BF39" s="159" t="n"/>
      <c r="BG39" s="159" t="n"/>
      <c r="BH39" s="159" t="n"/>
      <c r="BI39" s="159" t="n"/>
      <c r="BJ39" s="159" t="n"/>
      <c r="BK39" s="159" t="n"/>
      <c r="BL39" s="159" t="n"/>
      <c r="BM39" s="159" t="n"/>
      <c r="BN39" s="159" t="n"/>
      <c r="BO39" s="159" t="n"/>
      <c r="BP39" s="159" t="n"/>
      <c r="BQ39" s="159" t="n"/>
      <c r="BR39" s="159" t="n"/>
      <c r="BS39" s="159" t="n"/>
      <c r="BT39" s="159" t="n"/>
      <c r="BU39" s="159" t="n"/>
      <c r="BV39" s="159" t="n"/>
      <c r="BW39" s="159" t="n"/>
      <c r="BX39" s="159" t="n"/>
      <c r="BY39" s="159" t="n"/>
      <c r="BZ39" s="159" t="n"/>
      <c r="CA39" s="159" t="n"/>
      <c r="CB39" s="159" t="n"/>
      <c r="CC39" s="159" t="n"/>
      <c r="CD39" s="159" t="n"/>
      <c r="CE39" s="159" t="n"/>
      <c r="CF39" s="159" t="n"/>
      <c r="CG39" s="159" t="n"/>
      <c r="CH39" s="159" t="n"/>
      <c r="CI39" s="159" t="n"/>
      <c r="CJ39" s="159" t="n"/>
      <c r="CK39" s="159" t="n"/>
      <c r="CL39" s="159" t="n"/>
      <c r="CM39" s="159" t="n"/>
      <c r="CN39" s="159" t="n"/>
      <c r="CO39" s="159" t="n"/>
      <c r="CP39" s="159" t="n"/>
      <c r="CQ39" s="159" t="inlineStr">
        <is>
          <t>IRIS2052</t>
        </is>
      </c>
      <c r="CR39" s="159" t="inlineStr">
        <is>
          <t>Employee</t>
        </is>
      </c>
      <c r="CS39" s="159" t="inlineStr">
        <is>
          <t>Active</t>
        </is>
      </c>
      <c r="CT39" s="159" t="inlineStr">
        <is>
          <t>Akshata Sabale</t>
        </is>
      </c>
      <c r="CU39" s="160" t="n">
        <v>44774</v>
      </c>
      <c r="CV39" s="159" t="inlineStr">
        <is>
          <t>Software Engineer</t>
        </is>
      </c>
      <c r="CW39" s="159" t="inlineStr">
        <is>
          <t>Engineering &amp; Development</t>
        </is>
      </c>
      <c r="CX39" s="159" t="inlineStr">
        <is>
          <t>Backend Engineering ·.NET</t>
        </is>
      </c>
      <c r="CY39" s="159" t="inlineStr">
        <is>
          <t>Software Engineer</t>
        </is>
      </c>
      <c r="CZ39" s="159" t="inlineStr">
        <is>
          <t>L3 – Professional / Associate</t>
        </is>
      </c>
      <c r="DA39" s="159" t="inlineStr">
        <is>
          <t>B.E</t>
        </is>
      </c>
      <c r="DB39" s="159" t="inlineStr">
        <is>
          <t>Jitendra Kumar</t>
        </is>
      </c>
      <c r="DC39" s="159" t="inlineStr">
        <is>
          <t>N-4</t>
        </is>
      </c>
      <c r="DD39" s="159" t="inlineStr">
        <is>
          <t>Individual Contributor</t>
        </is>
      </c>
      <c r="DE39" s="159" t="inlineStr">
        <is>
          <t>1 years, 0 months, 0 days</t>
        </is>
      </c>
      <c r="DF39" s="159" t="inlineStr">
        <is>
          <t>3 years, 10 months, 19 days</t>
        </is>
      </c>
      <c r="DG39" s="159" t="inlineStr">
        <is>
          <t>4 years, 10 months, 19 days</t>
        </is>
      </c>
      <c r="DH39" s="159" t="n"/>
      <c r="DI39" s="159" t="inlineStr">
        <is>
          <t>Regtech</t>
        </is>
      </c>
      <c r="DJ39" s="159" t="inlineStr">
        <is>
          <t>iDEAL</t>
        </is>
      </c>
      <c r="DK39" s="159" t="inlineStr">
        <is>
          <t>Technology</t>
        </is>
      </c>
      <c r="DL39" s="159" t="inlineStr">
        <is>
          <t>Development</t>
        </is>
      </c>
      <c r="DM39" s="159" t="inlineStr">
        <is>
          <t>Yes</t>
        </is>
      </c>
      <c r="DN39" s="159" t="inlineStr">
        <is>
          <t>Product/Project</t>
        </is>
      </c>
      <c r="DO39" s="159" t="inlineStr">
        <is>
          <t>.NET MVC</t>
        </is>
      </c>
      <c r="DP39" s="159" t="inlineStr">
        <is>
          <t>Technical - Developer</t>
        </is>
      </c>
      <c r="DQ39" s="159" t="inlineStr">
        <is>
          <t>Remote- Outside Mumbai</t>
        </is>
      </c>
      <c r="DR39" s="159" t="inlineStr">
        <is>
          <t>1	RPT Application Enhancement, Support &amp; Future Development
		1)Continuously enhance and maintain the RPT application by implementing future client requirements, new features, and business-driven enhancements to ensure the application evolves according to changing business needs. Provide ongoing support across all modules by resolving issues and fixing bugs on time to keep the application stable, reliable, and bug-free.
		2)Focus on improving system performance, usability, and maintainability through clean development practices, proper validations, testing, and workflow optimization to improve overall application quality and user experience.
		3)Strengthen the application architecture for future scalability by supporting continuous enhancements, maintaining system stability, and ensuring the RPT application remains an efficient, client-ready, and long-term sustainable solution.
2	Skill Enhancement &amp; End-to-End Development Contribution in WebIDEAL 6.0
	Build strong technical expertise while working on the new React-based WebIDEAL 6.0 application by learning and adapting to the new technology stack. Understand the business logic and functionality of the existing application and successfully implement it on the new platform. Actively contribute to both frontend and backend development, while participating in application development, enhancements, optimization, and future improvements to support successful project delivery and contribute to the long-term growth of the application.
3	Ownership and Handling of Mutual Fund &amp; FATCA Application	
Act as the primary development resource for the Mutual Fund &amp; FATCA Application, managing complete report development lifecycle, change request execution, client issue resolution, and ongoing system improvements. Ensure stable operations, accurate report generation, and efficient support delivery while maintaining overall application quality.
4	Technical Growth, Cross-Team Contribution &amp; Continuous Improvement
	Demonstrate flexibility in handling diverse project assignments by taking responsibility for successful task execution and delivering quality solutions within timelines. Continuously enhance technical expertise by learning new technologies, frameworks, and development practices to expand overall capability and adaptability. Contribute proactively to team success by supporting colleagues wherever needed and collaborating across multiple projects. Continuously improve work efficiency and delivery speed by effectively utilizing modern development tools such as GitHub Copilot, enabling faster development, better productivity, and continuous process improvement.
5	Building a Reusable Enterprise Data Comparison Framework for Long-Term Reporting Automation in WebIDEAL 5.5
	Strengthen and evolve the configurable Data Variation and Log framework in WebIDEAL 5.5 into a long-term reusable reporting solution capable of supporting diverse report structures through flexible configuration-based implementation. Establish a standardized architecture for report comparison by enabling dynamic table-level configuration, unique field-based matching logic, configurable column mapping, and consistent variance generation across reports. Drive continuous enhancement of the framework to improve scalability, reduce future development dependency, accelerate report onboarding, and create a sustainable automation-driven solution for efficient data validation and reporting consistency across the platform.</t>
        </is>
      </c>
      <c r="DS39" s="159" t="inlineStr">
        <is>
          <t>1. AI-Assisted Development Adoption: Use AI coding assistants for at least 60% of development tasks, with no increase in bug-escape rate.
2. ownership: Take complete ownership of the iDEAL RPT ensuring timely delivery of client requirements, production support, and continuous improvements.
3. Test Coverage: Achieve and maintain 80%+ unit test coverage on all new code contributions.
4. Code Reviews: Conduct at least 50 peer code reviews over the year with actionable feedback.
5.Secure Coding Mentorship: Conduct quarterly secure coding training/workshops for the team, with measurable reduction in recurring vulnerability classes found in audits · target: 25% YoY reduction.</t>
        </is>
      </c>
      <c r="DT39" s="159" t="inlineStr">
        <is>
          <t>1	RPT Application Enhancement, Development, and Stabilization
2	Learning, Skill Enhancement &amp; Development Contribution in WebIDEAL 6.0
3	Report Development, Validation &amp; Automated File Processing Enhancement
4	Mutual Fund &amp; FATCA Application Development, Change Management &amp; Client Support
5	Data Variation Report Configuration &amp; Standardization</t>
        </is>
      </c>
      <c r="DU39" s="159" t="n">
        <v>3</v>
      </c>
      <c r="DV39" s="159" t="n"/>
      <c r="DW39" s="159" t="inlineStr">
        <is>
          <t>Same as per records</t>
        </is>
      </c>
      <c r="DX39" s="159" t="n"/>
      <c r="DY39" s="159" t="n">
        <v>3</v>
      </c>
      <c r="DZ39" s="159" t="inlineStr">
        <is>
          <t>Medium</t>
        </is>
      </c>
      <c r="EA39" s="159" t="inlineStr">
        <is>
          <t>Core Contributor</t>
        </is>
      </c>
      <c r="EB39" s="159" t="inlineStr">
        <is>
          <t>Not Ready</t>
        </is>
      </c>
      <c r="EC39" s="159" t="inlineStr">
        <is>
          <t>No</t>
        </is>
      </c>
      <c r="ED39" s="159" t="inlineStr">
        <is>
          <t>No</t>
        </is>
      </c>
      <c r="EE39" s="159" t="inlineStr">
        <is>
          <t>XBRL Training, Training on the effective utilization of AI tools.</t>
        </is>
      </c>
      <c r="EF39" s="159" t="n"/>
    </row>
    <row r="40" ht="64" customHeight="1">
      <c r="A40" s="109" t="inlineStr">
        <is>
          <t>IRIS1922</t>
        </is>
      </c>
      <c r="B40" s="111" t="inlineStr">
        <is>
          <t>H Marenna</t>
        </is>
      </c>
      <c r="C40" s="111" t="inlineStr">
        <is>
          <t>Technology</t>
        </is>
      </c>
      <c r="D40" s="114" t="inlineStr">
        <is>
          <t>Senior Software Engineer</t>
        </is>
      </c>
      <c r="E40" s="114" t="inlineStr">
        <is>
          <t>Senior Database Engineer</t>
        </is>
      </c>
      <c r="F40" s="111" t="inlineStr">
        <is>
          <t>L4 – Senior</t>
        </is>
      </c>
      <c r="G40" s="24" t="inlineStr">
        <is>
          <t>A3</t>
        </is>
      </c>
      <c r="H40" s="118" t="inlineStr">
        <is>
          <t>• Same level</t>
        </is>
      </c>
      <c r="I40" s="111" t="inlineStr">
        <is>
          <t>Engineering &amp; Development</t>
        </is>
      </c>
      <c r="J40" s="111" t="inlineStr">
        <is>
          <t>Data Engineering &amp; Database Development</t>
        </is>
      </c>
      <c r="K40" s="111" t="inlineStr"/>
      <c r="L40" s="111" t="n">
        <v>20</v>
      </c>
      <c r="M40" s="139" t="inlineStr">
        <is>
          <t>P2</t>
        </is>
      </c>
      <c r="N40" s="115" t="inlineStr">
        <is>
          <t>Developing</t>
        </is>
      </c>
      <c r="O40" s="115" t="inlineStr">
        <is>
          <t>3 Apply</t>
        </is>
      </c>
      <c r="P40" s="115" t="inlineStr">
        <is>
          <t>2–4 yrs</t>
        </is>
      </c>
      <c r="Q40" s="115" t="inlineStr">
        <is>
          <t>3–5 · 2–5</t>
        </is>
      </c>
      <c r="R40" s="115" t="inlineStr">
        <is>
          <t>Software Engineer</t>
        </is>
      </c>
      <c r="S40" s="115" t="inlineStr">
        <is>
          <r>
            <rPr>
              <rFont val="Calibri"/>
              <b val="1"/>
              <sz val="10"/>
            </rPr>
            <t>Workiva:</t>
          </r>
          <r>
            <rPr>
              <rFont val="Calibri"/>
              <sz val="10"/>
            </rPr>
            <t xml:space="preserve"> SE · Broadridge India: SE · Nasdaq / AxiomSL: SE · Salesforce: MTS · Atlassian: P40 · 3–7 yrs · Freshworks: Senior SE</t>
          </r>
        </is>
      </c>
      <c r="T40" s="115" t="inlineStr">
        <is>
          <t>SFIA 9 · software development, programming; OWASP secure coding; cloud vendor certifications</t>
        </is>
      </c>
      <c r="U40" s="115" t="inlineStr">
        <is>
          <t>Core 2 · Future 2 · Functional 3 · Leadership not scored</t>
        </is>
      </c>
      <c r="V40" s="158" t="n">
        <v>185</v>
      </c>
      <c r="W40" s="159" t="inlineStr">
        <is>
          <t>IRIS1922</t>
        </is>
      </c>
      <c r="X40" s="159" t="inlineStr">
        <is>
          <t>Employee</t>
        </is>
      </c>
      <c r="Y40" s="159" t="inlineStr">
        <is>
          <t>Active</t>
        </is>
      </c>
      <c r="Z40" s="159" t="inlineStr">
        <is>
          <t>H Marenna</t>
        </is>
      </c>
      <c r="AA40" s="244" t="n">
        <v>44375</v>
      </c>
      <c r="AB40" s="159" t="inlineStr">
        <is>
          <t>Senior Software Engineer</t>
        </is>
      </c>
      <c r="AC40" s="159" t="inlineStr">
        <is>
          <t>B.Tech</t>
        </is>
      </c>
      <c r="AD40" s="159" t="inlineStr">
        <is>
          <t>Jitendra Kumar</t>
        </is>
      </c>
      <c r="AE40" s="159" t="inlineStr">
        <is>
          <t>N-4</t>
        </is>
      </c>
      <c r="AF40" s="159" t="inlineStr">
        <is>
          <t>Individual Contributor</t>
        </is>
      </c>
      <c r="AG40" s="159" t="inlineStr">
        <is>
          <t>4 years, 0 months, 0 days</t>
        </is>
      </c>
      <c r="AH40" s="159" t="inlineStr">
        <is>
          <t>5 years, 1 months, 28 days</t>
        </is>
      </c>
      <c r="AI40" s="159" t="inlineStr">
        <is>
          <t>Regtech</t>
        </is>
      </c>
      <c r="AJ40" s="159" t="inlineStr">
        <is>
          <t>iDEAL</t>
        </is>
      </c>
      <c r="AK40" s="159" t="inlineStr">
        <is>
          <t>Technology</t>
        </is>
      </c>
      <c r="AL40" s="159" t="inlineStr">
        <is>
          <t>Development</t>
        </is>
      </c>
      <c r="AM40" s="159" t="inlineStr">
        <is>
          <t>Yes</t>
        </is>
      </c>
      <c r="AN40" s="159" t="inlineStr">
        <is>
          <t>Product/Project</t>
        </is>
      </c>
      <c r="AO40" s="159" t="inlineStr">
        <is>
          <t>Talend</t>
        </is>
      </c>
      <c r="AP40" s="159" t="inlineStr">
        <is>
          <t>Technical - Developer</t>
        </is>
      </c>
      <c r="AQ40" s="159" t="n">
        <v>20</v>
      </c>
      <c r="AR40" s="159" t="inlineStr">
        <is>
          <t>Covered</t>
        </is>
      </c>
      <c r="AS40" s="159" t="n"/>
      <c r="AT40" s="159" t="n"/>
      <c r="AU40" s="159" t="n"/>
      <c r="AV40" s="159" t="n"/>
      <c r="AW40" s="159" t="n"/>
      <c r="AX40" s="159" t="n"/>
      <c r="AY40" s="159" t="n"/>
      <c r="AZ40" s="159" t="n"/>
      <c r="BA40" s="159" t="n"/>
      <c r="BB40" s="159" t="n"/>
      <c r="BC40" s="159" t="n"/>
      <c r="BD40" s="159" t="n"/>
      <c r="BE40" s="159" t="n"/>
      <c r="BF40" s="159" t="n"/>
      <c r="BG40" s="159" t="n"/>
      <c r="BH40" s="159" t="n"/>
      <c r="BI40" s="159" t="n"/>
      <c r="BJ40" s="159" t="n"/>
      <c r="BK40" s="159" t="n"/>
      <c r="BL40" s="159" t="n"/>
      <c r="BM40" s="159" t="n"/>
      <c r="BN40" s="159" t="n"/>
      <c r="BO40" s="159" t="n"/>
      <c r="BP40" s="159" t="n"/>
      <c r="BQ40" s="159" t="n"/>
      <c r="BR40" s="159" t="n"/>
      <c r="BS40" s="159" t="n"/>
      <c r="BT40" s="159" t="n"/>
      <c r="BU40" s="159" t="n"/>
      <c r="BV40" s="159" t="n"/>
      <c r="BW40" s="159" t="n"/>
      <c r="BX40" s="159" t="n"/>
      <c r="BY40" s="159" t="n"/>
      <c r="BZ40" s="159" t="n"/>
      <c r="CA40" s="159" t="n"/>
      <c r="CB40" s="159" t="n"/>
      <c r="CC40" s="159" t="n"/>
      <c r="CD40" s="159" t="n"/>
      <c r="CE40" s="159" t="n"/>
      <c r="CF40" s="159" t="n"/>
      <c r="CG40" s="159" t="n"/>
      <c r="CH40" s="159" t="n"/>
      <c r="CI40" s="159" t="n"/>
      <c r="CJ40" s="159" t="n"/>
      <c r="CK40" s="159" t="n"/>
      <c r="CL40" s="159" t="n"/>
      <c r="CM40" s="159" t="n"/>
      <c r="CN40" s="159" t="n"/>
      <c r="CO40" s="159" t="n"/>
      <c r="CP40" s="159" t="n"/>
      <c r="CQ40" s="159" t="inlineStr">
        <is>
          <t>IRIS1922</t>
        </is>
      </c>
      <c r="CR40" s="159" t="inlineStr">
        <is>
          <t>Employee</t>
        </is>
      </c>
      <c r="CS40" s="159" t="inlineStr">
        <is>
          <t>Active</t>
        </is>
      </c>
      <c r="CT40" s="159" t="inlineStr">
        <is>
          <t>H Marenna</t>
        </is>
      </c>
      <c r="CU40" s="160" t="n">
        <v>44375</v>
      </c>
      <c r="CV40" s="159" t="inlineStr">
        <is>
          <t>Senior Software Engineer</t>
        </is>
      </c>
      <c r="CW40" s="159" t="inlineStr">
        <is>
          <t>Engineering &amp; Development</t>
        </is>
      </c>
      <c r="CX40" s="159" t="inlineStr">
        <is>
          <t>Software Engineering</t>
        </is>
      </c>
      <c r="CY40" s="159" t="inlineStr">
        <is>
          <t>Senior Software Engineer</t>
        </is>
      </c>
      <c r="CZ40" s="159" t="inlineStr">
        <is>
          <t>L4 – Senior</t>
        </is>
      </c>
      <c r="DA40" s="159" t="inlineStr">
        <is>
          <t>B.Tech</t>
        </is>
      </c>
      <c r="DB40" s="159" t="inlineStr">
        <is>
          <t>Jignasha Sawla</t>
        </is>
      </c>
      <c r="DC40" s="159" t="inlineStr">
        <is>
          <t>N-5</t>
        </is>
      </c>
      <c r="DD40" s="159" t="inlineStr">
        <is>
          <t>Individual Contributor</t>
        </is>
      </c>
      <c r="DE40" s="159" t="inlineStr">
        <is>
          <t>4 years, 0 months, 0 days</t>
        </is>
      </c>
      <c r="DF40" s="159" t="inlineStr">
        <is>
          <t>4 years, 11 months, 23 days</t>
        </is>
      </c>
      <c r="DG40" s="159" t="inlineStr">
        <is>
          <t>8 years, 11 months, 23 days</t>
        </is>
      </c>
      <c r="DH40" s="159" t="n"/>
      <c r="DI40" s="159" t="inlineStr">
        <is>
          <t>Regtech</t>
        </is>
      </c>
      <c r="DJ40" s="159" t="inlineStr">
        <is>
          <t>iDEAL</t>
        </is>
      </c>
      <c r="DK40" s="159" t="inlineStr">
        <is>
          <t>Technology</t>
        </is>
      </c>
      <c r="DL40" s="159" t="inlineStr">
        <is>
          <t>Development</t>
        </is>
      </c>
      <c r="DM40" s="159" t="inlineStr">
        <is>
          <t>Yes</t>
        </is>
      </c>
      <c r="DN40" s="159" t="inlineStr">
        <is>
          <t>Product/Project</t>
        </is>
      </c>
      <c r="DO40" s="159" t="inlineStr">
        <is>
          <t>Talend</t>
        </is>
      </c>
      <c r="DP40" s="159" t="inlineStr">
        <is>
          <t>Technical - Developer</t>
        </is>
      </c>
      <c r="DQ40" s="159" t="inlineStr">
        <is>
          <t>Hybrid</t>
        </is>
      </c>
      <c r="DR40" s="159" t="inlineStr">
        <is>
          <t>1. Achieve SME-level proficiency in Oracle, PostgreSQL and MSSQL 
2.Proficiency in query optimization, performance tuning and database architecture.
2. Gain hands-on expertise in end-to-end data migration from Oracle to PostgreSQL 
   and MSSQL, ensuring data integrity and zero data loss.
3. Build strong skills in end-to-end testing and quality assurance for database migration projects, 
   ensuring accurate and validated data delivery.
4. Attain familiarity with AI tools to enhance database optimization, automated testing and overall 
   productivity.</t>
        </is>
      </c>
      <c r="DS40" s="159" t="inlineStr">
        <is>
          <t>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and use it in the project even for achieving basic ETL functions.
5.Take up more complex tasks and successfully deliver them</t>
        </is>
      </c>
      <c r="DT40" s="159" t="inlineStr">
        <is>
          <t>1.Translate business requirements into end-to-end database solutions, including schema design and development</t>
        </is>
      </c>
      <c r="DU40" s="159" t="n">
        <v>2</v>
      </c>
      <c r="DV40" s="159" t="n"/>
      <c r="DW40" s="159" t="inlineStr">
        <is>
          <t>Same as per records</t>
        </is>
      </c>
      <c r="DX40" s="159" t="n"/>
      <c r="DY40" s="159" t="n">
        <v>2</v>
      </c>
      <c r="DZ40" s="159" t="inlineStr">
        <is>
          <t>Low</t>
        </is>
      </c>
      <c r="EA40" s="159" t="inlineStr">
        <is>
          <t>Reliable Specialist</t>
        </is>
      </c>
      <c r="EB40" s="159" t="inlineStr">
        <is>
          <t>Not Ready</t>
        </is>
      </c>
      <c r="EC40" s="159" t="inlineStr">
        <is>
          <t>No</t>
        </is>
      </c>
      <c r="ED40" s="159" t="inlineStr">
        <is>
          <t>No</t>
        </is>
      </c>
      <c r="EE40" s="159" t="inlineStr">
        <is>
          <t>Training on the effective utilization of AI tools.</t>
        </is>
      </c>
      <c r="EF40" s="159" t="n"/>
    </row>
    <row r="41" ht="64" customHeight="1">
      <c r="A41" s="109" t="inlineStr">
        <is>
          <t>IRIS2530</t>
        </is>
      </c>
      <c r="B41" s="111" t="inlineStr">
        <is>
          <t>Jay Gudhka</t>
        </is>
      </c>
      <c r="C41" s="111" t="inlineStr">
        <is>
          <t>Technology</t>
        </is>
      </c>
      <c r="D41" s="114" t="inlineStr">
        <is>
          <t>Senior Software Engineer</t>
        </is>
      </c>
      <c r="E41" s="114" t="inlineStr">
        <is>
          <t>Technical Specialist</t>
        </is>
      </c>
      <c r="F41" s="114" t="inlineStr">
        <is>
          <t>L4 – Senior</t>
        </is>
      </c>
      <c r="G41" s="114" t="inlineStr">
        <is>
          <t>A3</t>
        </is>
      </c>
      <c r="H41" s="142" t="inlineStr">
        <is>
          <t>▲ Up</t>
        </is>
      </c>
      <c r="I41" s="111" t="inlineStr">
        <is>
          <t>Engineering &amp; Development</t>
        </is>
      </c>
      <c r="J41" s="111" t="inlineStr">
        <is>
          <t>Full-Stack Development</t>
        </is>
      </c>
      <c r="K41" s="111" t="inlineStr"/>
      <c r="L41" s="111" t="n">
        <v>20</v>
      </c>
      <c r="M41" s="139" t="inlineStr">
        <is>
          <t>P2</t>
        </is>
      </c>
      <c r="N41" s="115" t="inlineStr">
        <is>
          <t>Developing</t>
        </is>
      </c>
      <c r="O41" s="115" t="inlineStr">
        <is>
          <t>3 Apply</t>
        </is>
      </c>
      <c r="P41" s="115" t="inlineStr">
        <is>
          <t>2–4 yrs</t>
        </is>
      </c>
      <c r="Q41" s="115" t="inlineStr">
        <is>
          <t>3–5 · 2–5</t>
        </is>
      </c>
      <c r="R41" s="115" t="inlineStr">
        <is>
          <t>Senior Software Engineer</t>
        </is>
      </c>
      <c r="S41" s="115" t="inlineStr">
        <is>
          <r>
            <rPr>
              <rFont val="Calibri"/>
              <b val="1"/>
              <sz val="10"/>
            </rPr>
            <t>Workiva:</t>
          </r>
          <r>
            <rPr>
              <rFont val="Calibri"/>
              <sz val="10"/>
            </rPr>
            <t xml:space="preserve"> SE · Broadridge India: SE · Nasdaq / AxiomSL: SE · Salesforce: MTS · Atlassian: P40 · 3–7 yrs · Freshworks: Senior SE</t>
          </r>
        </is>
      </c>
      <c r="T41" s="115" t="inlineStr">
        <is>
          <t>SFIA 9 · software development, programming; OWASP secure coding; cloud vendor certifications</t>
        </is>
      </c>
      <c r="U41" s="115" t="inlineStr">
        <is>
          <t>Core 2 · Future 2 · Functional 3 · Leadership not scored</t>
        </is>
      </c>
      <c r="V41" s="158" t="n">
        <v>502</v>
      </c>
      <c r="W41" s="159" t="inlineStr">
        <is>
          <t>IRIS2530</t>
        </is>
      </c>
      <c r="X41" s="159" t="inlineStr">
        <is>
          <t>Employee</t>
        </is>
      </c>
      <c r="Y41" s="159" t="inlineStr">
        <is>
          <t>Active</t>
        </is>
      </c>
      <c r="Z41" s="159" t="inlineStr">
        <is>
          <t>Jay Gudhka</t>
        </is>
      </c>
      <c r="AA41" s="244" t="n">
        <v>46153</v>
      </c>
      <c r="AB41" s="159" t="inlineStr">
        <is>
          <t>Senior Software Engineer</t>
        </is>
      </c>
      <c r="AC41" s="159" t="inlineStr">
        <is>
          <t>B.E</t>
        </is>
      </c>
      <c r="AD41" s="159" t="inlineStr">
        <is>
          <t>Jitendra Kumar</t>
        </is>
      </c>
      <c r="AE41" s="159" t="inlineStr">
        <is>
          <t>N-4</t>
        </is>
      </c>
      <c r="AF41" s="159" t="inlineStr">
        <is>
          <t>Individual Contributor</t>
        </is>
      </c>
      <c r="AG41" s="159" t="inlineStr">
        <is>
          <t>6 years, 9 months, 0 days</t>
        </is>
      </c>
      <c r="AH41" s="159" t="inlineStr">
        <is>
          <t>0 years, 3 months, 14 days</t>
        </is>
      </c>
      <c r="AI41" s="159" t="inlineStr">
        <is>
          <t>Regtech</t>
        </is>
      </c>
      <c r="AJ41" s="159" t="inlineStr">
        <is>
          <t>iDEAL</t>
        </is>
      </c>
      <c r="AK41" s="159" t="inlineStr">
        <is>
          <t>Technology</t>
        </is>
      </c>
      <c r="AL41" s="159" t="inlineStr">
        <is>
          <t>Development</t>
        </is>
      </c>
      <c r="AM41" s="159" t="inlineStr">
        <is>
          <t>Yes</t>
        </is>
      </c>
      <c r="AN41" s="159" t="inlineStr">
        <is>
          <t>Product/Project</t>
        </is>
      </c>
      <c r="AO41" s="159" t="inlineStr">
        <is>
          <t>.NET MVC + Angular</t>
        </is>
      </c>
      <c r="AP41" s="159" t="inlineStr">
        <is>
          <t>Technical - Developer</t>
        </is>
      </c>
      <c r="AQ41" s="159" t="n">
        <v>20</v>
      </c>
      <c r="AR41" s="159" t="inlineStr">
        <is>
          <t>Covered</t>
        </is>
      </c>
      <c r="AS41" s="159" t="n"/>
      <c r="AT41" s="159" t="n"/>
      <c r="AU41" s="159" t="n"/>
      <c r="AV41" s="159" t="n"/>
      <c r="AW41" s="159" t="n"/>
      <c r="AX41" s="159" t="n"/>
      <c r="AY41" s="159" t="n"/>
      <c r="AZ41" s="159" t="n"/>
      <c r="BA41" s="159" t="n"/>
      <c r="BB41" s="159" t="n"/>
      <c r="BC41" s="159" t="n"/>
      <c r="BD41" s="159" t="n"/>
      <c r="BE41" s="159" t="n"/>
      <c r="BF41" s="159" t="n"/>
      <c r="BG41" s="159" t="n"/>
      <c r="BH41" s="159" t="n"/>
      <c r="BI41" s="159" t="n"/>
      <c r="BJ41" s="159" t="n"/>
      <c r="BK41" s="159" t="n"/>
      <c r="BL41" s="159" t="n"/>
      <c r="BM41" s="159" t="n"/>
      <c r="BN41" s="159" t="n"/>
      <c r="BO41" s="159" t="n"/>
      <c r="BP41" s="159" t="n"/>
      <c r="BQ41" s="159" t="n"/>
      <c r="BR41" s="159" t="n"/>
      <c r="BS41" s="159" t="n"/>
      <c r="BT41" s="159" t="n"/>
      <c r="BU41" s="159" t="n"/>
      <c r="BV41" s="159" t="n"/>
      <c r="BW41" s="159" t="n"/>
      <c r="BX41" s="159" t="n"/>
      <c r="BY41" s="159" t="n"/>
      <c r="BZ41" s="159" t="n"/>
      <c r="CA41" s="159" t="n"/>
      <c r="CB41" s="159" t="n"/>
      <c r="CC41" s="159" t="n"/>
      <c r="CD41" s="159" t="n"/>
      <c r="CE41" s="159" t="n"/>
      <c r="CF41" s="159" t="n"/>
      <c r="CG41" s="159" t="n"/>
      <c r="CH41" s="159" t="n"/>
      <c r="CI41" s="159" t="n"/>
      <c r="CJ41" s="159" t="n"/>
      <c r="CK41" s="159" t="n"/>
      <c r="CL41" s="159" t="n"/>
      <c r="CM41" s="159" t="n"/>
      <c r="CN41" s="159" t="n"/>
      <c r="CO41" s="159" t="n"/>
      <c r="CP41" s="159" t="n"/>
      <c r="CQ41" s="159" t="inlineStr">
        <is>
          <t>IRIS2530</t>
        </is>
      </c>
      <c r="CR41" s="159" t="inlineStr">
        <is>
          <t>Employee</t>
        </is>
      </c>
      <c r="CS41" s="159" t="inlineStr">
        <is>
          <t>Active</t>
        </is>
      </c>
      <c r="CT41" s="159" t="inlineStr">
        <is>
          <t>Jay Gudhka</t>
        </is>
      </c>
      <c r="CU41" s="160" t="n">
        <v>46153</v>
      </c>
      <c r="CV41" s="159" t="inlineStr">
        <is>
          <t>Senior Software Engineer</t>
        </is>
      </c>
      <c r="CW41" s="159" t="inlineStr">
        <is>
          <t>Engineering &amp; Development</t>
        </is>
      </c>
      <c r="CX41" s="159" t="inlineStr">
        <is>
          <t>Backend Engineering ·.NET</t>
        </is>
      </c>
      <c r="CY41" s="159" t="inlineStr">
        <is>
          <t>Senior Software Engineer</t>
        </is>
      </c>
      <c r="CZ41" s="159" t="inlineStr">
        <is>
          <t>L4 – Senior</t>
        </is>
      </c>
      <c r="DA41" s="159" t="inlineStr">
        <is>
          <t>B.E</t>
        </is>
      </c>
      <c r="DB41" s="159" t="inlineStr">
        <is>
          <t>Jitendra Kumar</t>
        </is>
      </c>
      <c r="DC41" s="159" t="inlineStr">
        <is>
          <t>N-4</t>
        </is>
      </c>
      <c r="DD41" s="159" t="inlineStr">
        <is>
          <t>Individual Contributor</t>
        </is>
      </c>
      <c r="DE41" s="159" t="inlineStr">
        <is>
          <t>6 years, 9 months, 0 days</t>
        </is>
      </c>
      <c r="DF41" s="159" t="inlineStr">
        <is>
          <t>0 years, 1 months, 9 days</t>
        </is>
      </c>
      <c r="DG41" s="159" t="inlineStr">
        <is>
          <t>6 years, 10 months, 9 days</t>
        </is>
      </c>
      <c r="DH41" s="159" t="n"/>
      <c r="DI41" s="159" t="inlineStr">
        <is>
          <t>Regtech</t>
        </is>
      </c>
      <c r="DJ41" s="159" t="inlineStr">
        <is>
          <t>iDEAL</t>
        </is>
      </c>
      <c r="DK41" s="159" t="inlineStr">
        <is>
          <t>Technology</t>
        </is>
      </c>
      <c r="DL41" s="159" t="inlineStr">
        <is>
          <t>Development</t>
        </is>
      </c>
      <c r="DM41" s="159" t="inlineStr">
        <is>
          <t>Yes</t>
        </is>
      </c>
      <c r="DN41" s="159" t="inlineStr">
        <is>
          <t>Product/Project</t>
        </is>
      </c>
      <c r="DO41" s="159" t="inlineStr">
        <is>
          <t>.Net + Angular</t>
        </is>
      </c>
      <c r="DP41" s="159" t="inlineStr">
        <is>
          <t>Technical - Developer</t>
        </is>
      </c>
      <c r="DQ41" s="159" t="inlineStr">
        <is>
          <t>Work From Office - Turbhe</t>
        </is>
      </c>
      <c r="DR41" s="159" t="inlineStr">
        <is>
          <t>1.Become a credible AI engineer through proven outcomes
2.Make a high-impact contribution to the React migration
3.Design and build the central team productivity app
4.Master XBRL taxonomy landscape across global regulators 
5.Build a general-purpose C# XBRL parser library</t>
        </is>
      </c>
      <c r="DS41" s="159" t="inlineStr">
        <is>
          <t>1.	AI Feature Architecture: Design and lead implementation of at least 1 AI-powered feature in the application, from architecture through production rollout.
2.	Mentorship in AI Practices: Train team members on effective AI-assisted coding practices, with measurable improvement in team's AI tool adoption rate.
3.	Delivery Ownership: Achieve 90%+ on-time delivery rate for committed sprint/project deliverables owned individually.
4.	System Upgrade: Enhance iDEAL 6.0 Taxonomy Loading, Mapping, and Rendering to Support All Global Taxonomies
5.	Code Quality: Maintain a personal code review turnaround of under 24 hours and conduct at least 50 code reviews over the year with constructive, documented feedback.</t>
        </is>
      </c>
      <c r="DT41" s="159" t="inlineStr">
        <is>
          <t>Guide and deliver the AI chatbot integration
Lead and deliver the RPT solution
Deliver XBRL TableLink for Europe &amp; Qatar taxonomies</t>
        </is>
      </c>
      <c r="DU41" s="159" t="n">
        <v>3</v>
      </c>
      <c r="DV41" s="159" t="n"/>
      <c r="DW41" s="159" t="inlineStr">
        <is>
          <t>Same as per records</t>
        </is>
      </c>
      <c r="DX41" s="159" t="n"/>
      <c r="DY41" s="159" t="n">
        <v>3</v>
      </c>
      <c r="DZ41" s="159" t="inlineStr">
        <is>
          <t>Medium</t>
        </is>
      </c>
      <c r="EA41" s="159" t="inlineStr">
        <is>
          <t>Emerging Talent</t>
        </is>
      </c>
      <c r="EB41" s="159" t="inlineStr">
        <is>
          <t>Ready in 12 Months</t>
        </is>
      </c>
      <c r="EC41" s="159" t="inlineStr">
        <is>
          <t>No</t>
        </is>
      </c>
      <c r="ED41" s="159" t="inlineStr">
        <is>
          <t>No</t>
        </is>
      </c>
      <c r="EE41" s="159" t="inlineStr">
        <is>
          <t>XBRL Training, Training on the effective utilization of AI tools.</t>
        </is>
      </c>
      <c r="EF41" s="159" t="n"/>
    </row>
    <row r="42" ht="64" customHeight="1">
      <c r="A42" s="109" t="inlineStr">
        <is>
          <t>IRIS1858</t>
        </is>
      </c>
      <c r="B42" s="111" t="inlineStr">
        <is>
          <t>Prasad Bhoite</t>
        </is>
      </c>
      <c r="C42" s="111" t="inlineStr">
        <is>
          <t>Technology</t>
        </is>
      </c>
      <c r="D42" s="114" t="inlineStr">
        <is>
          <t>Software Engineer</t>
        </is>
      </c>
      <c r="E42" s="114" t="inlineStr">
        <is>
          <t>Senior Database Engineer</t>
        </is>
      </c>
      <c r="F42" s="114" t="inlineStr">
        <is>
          <t>L3 – Professional / Associate</t>
        </is>
      </c>
      <c r="G42" s="114" t="inlineStr">
        <is>
          <t>A3</t>
        </is>
      </c>
      <c r="H42" s="142" t="inlineStr">
        <is>
          <t>▲ Up</t>
        </is>
      </c>
      <c r="I42" s="111" t="inlineStr">
        <is>
          <t>Engineering &amp; Development</t>
        </is>
      </c>
      <c r="J42" s="111" t="inlineStr">
        <is>
          <t>Data Engineering &amp; Database Development</t>
        </is>
      </c>
      <c r="K42" s="111" t="inlineStr"/>
      <c r="L42" s="111" t="n">
        <v>20</v>
      </c>
      <c r="M42" s="139" t="inlineStr">
        <is>
          <t>P2</t>
        </is>
      </c>
      <c r="N42" s="115" t="inlineStr">
        <is>
          <t>Developing</t>
        </is>
      </c>
      <c r="O42" s="115" t="inlineStr">
        <is>
          <t>3 Apply</t>
        </is>
      </c>
      <c r="P42" s="115" t="inlineStr">
        <is>
          <t>2–4 yrs</t>
        </is>
      </c>
      <c r="Q42" s="115" t="inlineStr">
        <is>
          <t>3–5 · 2–5</t>
        </is>
      </c>
      <c r="R42" s="115" t="inlineStr">
        <is>
          <t>Software Engineer</t>
        </is>
      </c>
      <c r="S42" s="115" t="inlineStr">
        <is>
          <r>
            <rPr>
              <rFont val="Calibri"/>
              <b val="1"/>
              <sz val="10"/>
            </rPr>
            <t>Workiva:</t>
          </r>
          <r>
            <rPr>
              <rFont val="Calibri"/>
              <sz val="10"/>
            </rPr>
            <t xml:space="preserve"> SE · Broadridge India: SE · Nasdaq / AxiomSL: SE · Salesforce: MTS · Atlassian: P40 · 3–7 yrs · Freshworks: Senior SE</t>
          </r>
        </is>
      </c>
      <c r="T42" s="115" t="inlineStr">
        <is>
          <t>SFIA 9 · software development, programming; OWASP secure coding; cloud vendor certifications</t>
        </is>
      </c>
      <c r="U42" s="115" t="inlineStr">
        <is>
          <t>Core 2 · Future 2 · Functional 3 · Leadership not scored</t>
        </is>
      </c>
      <c r="V42" s="158" t="n">
        <v>166</v>
      </c>
      <c r="W42" s="159" t="inlineStr">
        <is>
          <t>IRIS1858</t>
        </is>
      </c>
      <c r="X42" s="159" t="inlineStr">
        <is>
          <t>Employee</t>
        </is>
      </c>
      <c r="Y42" s="159" t="inlineStr">
        <is>
          <t>Active</t>
        </is>
      </c>
      <c r="Z42" s="159" t="inlineStr">
        <is>
          <t>Prasad Bhoite</t>
        </is>
      </c>
      <c r="AA42" s="244" t="n">
        <v>43983</v>
      </c>
      <c r="AB42" s="159" t="inlineStr">
        <is>
          <t>Software Engineer</t>
        </is>
      </c>
      <c r="AC42" s="159" t="inlineStr">
        <is>
          <t>BCA</t>
        </is>
      </c>
      <c r="AD42" s="159" t="inlineStr">
        <is>
          <t>Jignasha Sawla</t>
        </is>
      </c>
      <c r="AE42" s="159" t="inlineStr">
        <is>
          <t>N-5</t>
        </is>
      </c>
      <c r="AF42" s="159" t="inlineStr">
        <is>
          <t>Individual Contributor</t>
        </is>
      </c>
      <c r="AG42" s="159" t="inlineStr">
        <is>
          <t>0 years, 7 months, 4 days</t>
        </is>
      </c>
      <c r="AH42" s="159" t="inlineStr">
        <is>
          <t>6 years, 2 months, 24 days</t>
        </is>
      </c>
      <c r="AI42" s="159" t="inlineStr">
        <is>
          <t>Regtech</t>
        </is>
      </c>
      <c r="AJ42" s="159" t="inlineStr">
        <is>
          <t>iDEAL</t>
        </is>
      </c>
      <c r="AK42" s="159" t="inlineStr">
        <is>
          <t>Technology</t>
        </is>
      </c>
      <c r="AL42" s="159" t="inlineStr">
        <is>
          <t>Development</t>
        </is>
      </c>
      <c r="AM42" s="159" t="inlineStr">
        <is>
          <t>Yes</t>
        </is>
      </c>
      <c r="AN42" s="159" t="inlineStr">
        <is>
          <t>Product/Project</t>
        </is>
      </c>
      <c r="AO42" s="159" t="inlineStr">
        <is>
          <t>Java</t>
        </is>
      </c>
      <c r="AP42" s="159" t="inlineStr">
        <is>
          <t>Technical - Developer</t>
        </is>
      </c>
      <c r="AQ42" s="159" t="n">
        <v>20</v>
      </c>
      <c r="AR42" s="159" t="inlineStr">
        <is>
          <t>Covered</t>
        </is>
      </c>
      <c r="AS42" s="159" t="n"/>
      <c r="AT42" s="159" t="n"/>
      <c r="AU42" s="159" t="n"/>
      <c r="AV42" s="159" t="n"/>
      <c r="AW42" s="159" t="n"/>
      <c r="AX42" s="159" t="n"/>
      <c r="AY42" s="159" t="n"/>
      <c r="AZ42" s="159" t="n"/>
      <c r="BA42" s="159" t="n"/>
      <c r="BB42" s="159" t="n"/>
      <c r="BC42" s="159" t="n"/>
      <c r="BD42" s="159" t="n"/>
      <c r="BE42" s="159" t="n"/>
      <c r="BF42" s="159" t="n"/>
      <c r="BG42" s="159" t="n"/>
      <c r="BH42" s="159" t="n"/>
      <c r="BI42" s="159" t="n"/>
      <c r="BJ42" s="159" t="n"/>
      <c r="BK42" s="159" t="n"/>
      <c r="BL42" s="159" t="n"/>
      <c r="BM42" s="159" t="n"/>
      <c r="BN42" s="159" t="n"/>
      <c r="BO42" s="159" t="n"/>
      <c r="BP42" s="159" t="n"/>
      <c r="BQ42" s="159" t="n"/>
      <c r="BR42" s="159" t="n"/>
      <c r="BS42" s="159" t="n"/>
      <c r="BT42" s="159" t="n"/>
      <c r="BU42" s="159" t="n"/>
      <c r="BV42" s="159" t="n"/>
      <c r="BW42" s="159" t="n"/>
      <c r="BX42" s="159" t="n"/>
      <c r="BY42" s="159" t="n"/>
      <c r="BZ42" s="159" t="n"/>
      <c r="CA42" s="159" t="n"/>
      <c r="CB42" s="159" t="n"/>
      <c r="CC42" s="159" t="n"/>
      <c r="CD42" s="159" t="n"/>
      <c r="CE42" s="159" t="n"/>
      <c r="CF42" s="159" t="n"/>
      <c r="CG42" s="159" t="n"/>
      <c r="CH42" s="159" t="n"/>
      <c r="CI42" s="159" t="n"/>
      <c r="CJ42" s="159" t="n"/>
      <c r="CK42" s="159" t="n"/>
      <c r="CL42" s="159" t="n"/>
      <c r="CM42" s="159" t="n"/>
      <c r="CN42" s="159" t="n"/>
      <c r="CO42" s="159" t="n"/>
      <c r="CP42" s="159" t="n"/>
      <c r="CQ42" s="159" t="inlineStr">
        <is>
          <t>IRIS1858</t>
        </is>
      </c>
      <c r="CR42" s="159" t="inlineStr">
        <is>
          <t>Employee</t>
        </is>
      </c>
      <c r="CS42" s="159" t="inlineStr">
        <is>
          <t>Active</t>
        </is>
      </c>
      <c r="CT42" s="159" t="inlineStr">
        <is>
          <t>Prasad Bhoite</t>
        </is>
      </c>
      <c r="CU42" s="160" t="n">
        <v>43983</v>
      </c>
      <c r="CV42" s="159" t="inlineStr">
        <is>
          <t>Software Engineer</t>
        </is>
      </c>
      <c r="CW42" s="159" t="inlineStr">
        <is>
          <t>Engineering &amp; Development</t>
        </is>
      </c>
      <c r="CX42" s="159" t="inlineStr">
        <is>
          <t>Backend Engineering · Java</t>
        </is>
      </c>
      <c r="CY42" s="159" t="inlineStr">
        <is>
          <t>Software Engineer</t>
        </is>
      </c>
      <c r="CZ42" s="159" t="inlineStr">
        <is>
          <t>L3 – Professional / Associate</t>
        </is>
      </c>
      <c r="DA42" s="159" t="inlineStr">
        <is>
          <t>BCA</t>
        </is>
      </c>
      <c r="DB42" s="159" t="inlineStr">
        <is>
          <t>Jignasha Sawla</t>
        </is>
      </c>
      <c r="DC42" s="159" t="inlineStr">
        <is>
          <t>N-5</t>
        </is>
      </c>
      <c r="DD42" s="159" t="inlineStr">
        <is>
          <t>Individual Contributor</t>
        </is>
      </c>
      <c r="DE42" s="159" t="inlineStr">
        <is>
          <t>0 years, 7 months, 4 days</t>
        </is>
      </c>
      <c r="DF42" s="159" t="inlineStr">
        <is>
          <t>6 years, 0 months, 19 days</t>
        </is>
      </c>
      <c r="DG42" s="159" t="inlineStr">
        <is>
          <t>6 years, 7 months, 23 days</t>
        </is>
      </c>
      <c r="DH42" s="159" t="n"/>
      <c r="DI42" s="159" t="inlineStr">
        <is>
          <t>Regtech</t>
        </is>
      </c>
      <c r="DJ42" s="159" t="inlineStr">
        <is>
          <t>iDEAL</t>
        </is>
      </c>
      <c r="DK42" s="159" t="inlineStr">
        <is>
          <t>Technology</t>
        </is>
      </c>
      <c r="DL42" s="159" t="inlineStr">
        <is>
          <t>Development</t>
        </is>
      </c>
      <c r="DM42" s="159" t="inlineStr">
        <is>
          <t>Yes</t>
        </is>
      </c>
      <c r="DN42" s="159" t="inlineStr">
        <is>
          <t>Product/Project</t>
        </is>
      </c>
      <c r="DO42" s="159" t="inlineStr">
        <is>
          <t>Java</t>
        </is>
      </c>
      <c r="DP42" s="159" t="inlineStr">
        <is>
          <t>Technical - Developer</t>
        </is>
      </c>
      <c r="DQ42" s="159" t="inlineStr">
        <is>
          <t>Remote- Outside Mumbai</t>
        </is>
      </c>
      <c r="DR42" s="159" t="inlineStr">
        <is>
          <t>1.Improve expertise in advanced database development and performance optimization.
2.Strengthen skills in SQL, PL/SQL, stored procedures, triggers, and query tuning.
3.Learn advanced query optimization to enhance performance of complex queries.
4.Gain experience in Oracle, SQL Server, and PostgreSQL, focusing on clean and reusable code.
5.Explore AI integration for automation, analytics, and predictive reporting.
6.Understand ETL concepts · Extract, Transform, Load and data integration tools for data warehousing.</t>
        </is>
      </c>
      <c r="DS42" s="159" t="inlineStr">
        <is>
          <t>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Apache Hop and use it in the project even for achieving basic ETL functions.
5.Facilitate effective requirement gathering and ensure technical inputs improve solution design</t>
        </is>
      </c>
      <c r="DT42" s="159" t="inlineStr">
        <is>
          <t>1. Deliver database development tasks for Bharat Forge in Oracle and SQL Server aligned with business requirements.
2.Independently handle database activities with reduced dependency on senior team members.
3.Supported new modules and evolving client requirements effectively
4.Contributed to requirement discussions with actionable technical suggestions
5.Provided client support for database operations including procedures, data migration, and data updates
6.Manage backend operations for Reliance project · data uploads, master data, truncation, updates
Implemented change requests and ensured successful production deployments.</t>
        </is>
      </c>
      <c r="DU42" s="159" t="n">
        <v>3</v>
      </c>
      <c r="DV42" s="159" t="n"/>
      <c r="DW42" s="159" t="inlineStr">
        <is>
          <t>Same as per records</t>
        </is>
      </c>
      <c r="DX42" s="159" t="n"/>
      <c r="DY42" s="159" t="n">
        <v>3</v>
      </c>
      <c r="DZ42" s="159" t="inlineStr">
        <is>
          <t>Medium</t>
        </is>
      </c>
      <c r="EA42" s="159" t="inlineStr">
        <is>
          <t>Emerging Talent</t>
        </is>
      </c>
      <c r="EB42" s="159" t="inlineStr">
        <is>
          <t>Not Ready</t>
        </is>
      </c>
      <c r="EC42" s="159" t="inlineStr">
        <is>
          <t>No</t>
        </is>
      </c>
      <c r="ED42" s="159" t="inlineStr">
        <is>
          <t>Yes</t>
        </is>
      </c>
      <c r="EE42" s="159" t="inlineStr">
        <is>
          <t>Training on the effective utilization of AI tools.</t>
        </is>
      </c>
      <c r="EF42" s="159" t="n"/>
    </row>
    <row r="43" ht="64" customHeight="1">
      <c r="A43" s="109" t="inlineStr">
        <is>
          <t>IRIS2260</t>
        </is>
      </c>
      <c r="B43" s="111" t="inlineStr">
        <is>
          <t>Pratik Ekhande</t>
        </is>
      </c>
      <c r="C43" s="111" t="inlineStr">
        <is>
          <t>Technology</t>
        </is>
      </c>
      <c r="D43" s="114" t="inlineStr">
        <is>
          <t>Software Engineer</t>
        </is>
      </c>
      <c r="E43" s="114" t="inlineStr">
        <is>
          <t>Senior Software Engineer</t>
        </is>
      </c>
      <c r="F43" s="114" t="inlineStr">
        <is>
          <t>L3 – Professional / Associate</t>
        </is>
      </c>
      <c r="G43" s="114" t="inlineStr">
        <is>
          <t>A3</t>
        </is>
      </c>
      <c r="H43" s="142" t="inlineStr">
        <is>
          <t>▲ Up</t>
        </is>
      </c>
      <c r="I43" s="111" t="inlineStr">
        <is>
          <t>Engineering &amp; Development</t>
        </is>
      </c>
      <c r="J43" s="111" t="inlineStr">
        <is>
          <t>Backend Development</t>
        </is>
      </c>
      <c r="K43" s="111" t="inlineStr"/>
      <c r="L43" s="111" t="n">
        <v>20</v>
      </c>
      <c r="M43" s="139" t="inlineStr">
        <is>
          <t>P2</t>
        </is>
      </c>
      <c r="N43" s="115" t="inlineStr">
        <is>
          <t>Developing</t>
        </is>
      </c>
      <c r="O43" s="115" t="inlineStr">
        <is>
          <t>3 Apply</t>
        </is>
      </c>
      <c r="P43" s="115" t="inlineStr">
        <is>
          <t>2–4 yrs</t>
        </is>
      </c>
      <c r="Q43" s="115" t="inlineStr">
        <is>
          <t>3–5 · 2–5</t>
        </is>
      </c>
      <c r="R43" s="115" t="inlineStr">
        <is>
          <t>Software Engineer</t>
        </is>
      </c>
      <c r="S43" s="115" t="inlineStr">
        <is>
          <r>
            <rPr>
              <rFont val="Calibri"/>
              <b val="1"/>
              <sz val="10"/>
            </rPr>
            <t>Workiva:</t>
          </r>
          <r>
            <rPr>
              <rFont val="Calibri"/>
              <sz val="10"/>
            </rPr>
            <t xml:space="preserve"> SE · Broadridge India: SE · Nasdaq / AxiomSL: SE · Salesforce: MTS · Atlassian: P40 · 3–7 yrs · Freshworks: Senior SE</t>
          </r>
        </is>
      </c>
      <c r="T43" s="115" t="inlineStr">
        <is>
          <t>SFIA 9 · software development, programming; OWASP secure coding; cloud vendor certifications</t>
        </is>
      </c>
      <c r="U43" s="115" t="inlineStr">
        <is>
          <t>Core 2 · Future 2 · Functional 3 · Leadership not scored</t>
        </is>
      </c>
      <c r="V43" s="158" t="n">
        <v>323</v>
      </c>
      <c r="W43" s="159" t="inlineStr">
        <is>
          <t>IRIS2260</t>
        </is>
      </c>
      <c r="X43" s="159" t="inlineStr">
        <is>
          <t>Employee</t>
        </is>
      </c>
      <c r="Y43" s="159" t="inlineStr">
        <is>
          <t>Active</t>
        </is>
      </c>
      <c r="Z43" s="159" t="inlineStr">
        <is>
          <t>Pratik Ekhande</t>
        </is>
      </c>
      <c r="AA43" s="244" t="n">
        <v>45446</v>
      </c>
      <c r="AB43" s="159" t="inlineStr">
        <is>
          <t>Software Engineer</t>
        </is>
      </c>
      <c r="AC43" s="159" t="inlineStr">
        <is>
          <t>B.E</t>
        </is>
      </c>
      <c r="AD43" s="159" t="inlineStr">
        <is>
          <t>Jitendra Kumar</t>
        </is>
      </c>
      <c r="AE43" s="159" t="inlineStr">
        <is>
          <t>N-4</t>
        </is>
      </c>
      <c r="AF43" s="159" t="inlineStr">
        <is>
          <t>Individual Contributor</t>
        </is>
      </c>
      <c r="AG43" s="159" t="inlineStr">
        <is>
          <t>0 years, 0 months, 0 days</t>
        </is>
      </c>
      <c r="AH43" s="159" t="inlineStr">
        <is>
          <t>2 years, 2 months, 22 days</t>
        </is>
      </c>
      <c r="AI43" s="159" t="inlineStr">
        <is>
          <t>Regtech</t>
        </is>
      </c>
      <c r="AJ43" s="159" t="inlineStr">
        <is>
          <t>iDEAL</t>
        </is>
      </c>
      <c r="AK43" s="159" t="inlineStr">
        <is>
          <t>Technology</t>
        </is>
      </c>
      <c r="AL43" s="159" t="inlineStr">
        <is>
          <t>Development</t>
        </is>
      </c>
      <c r="AM43" s="159" t="inlineStr">
        <is>
          <t>Yes</t>
        </is>
      </c>
      <c r="AN43" s="159" t="inlineStr">
        <is>
          <t>Product/Project</t>
        </is>
      </c>
      <c r="AO43" s="159" t="inlineStr">
        <is>
          <t>.NET MVC</t>
        </is>
      </c>
      <c r="AP43" s="159" t="inlineStr">
        <is>
          <t>Technical - Developer</t>
        </is>
      </c>
      <c r="AQ43" s="159" t="n">
        <v>20</v>
      </c>
      <c r="AR43" s="159" t="inlineStr">
        <is>
          <t>Covered</t>
        </is>
      </c>
      <c r="AS43" s="159" t="n"/>
      <c r="AT43" s="159" t="n"/>
      <c r="AU43" s="159" t="n"/>
      <c r="AV43" s="159" t="n"/>
      <c r="AW43" s="159" t="n"/>
      <c r="AX43" s="159" t="n"/>
      <c r="AY43" s="159" t="n"/>
      <c r="AZ43" s="159" t="n"/>
      <c r="BA43" s="159" t="n"/>
      <c r="BB43" s="159" t="n"/>
      <c r="BC43" s="159" t="n"/>
      <c r="BD43" s="159" t="n"/>
      <c r="BE43" s="159" t="n"/>
      <c r="BF43" s="159" t="n"/>
      <c r="BG43" s="159" t="n"/>
      <c r="BH43" s="159" t="n"/>
      <c r="BI43" s="159" t="n"/>
      <c r="BJ43" s="159" t="n"/>
      <c r="BK43" s="159" t="n"/>
      <c r="BL43" s="159" t="n"/>
      <c r="BM43" s="159" t="n"/>
      <c r="BN43" s="159" t="n"/>
      <c r="BO43" s="159" t="n"/>
      <c r="BP43" s="159" t="n"/>
      <c r="BQ43" s="159" t="n"/>
      <c r="BR43" s="159" t="n"/>
      <c r="BS43" s="159" t="n"/>
      <c r="BT43" s="159" t="n"/>
      <c r="BU43" s="159" t="n"/>
      <c r="BV43" s="159" t="n"/>
      <c r="BW43" s="159" t="n"/>
      <c r="BX43" s="159" t="n"/>
      <c r="BY43" s="159" t="n"/>
      <c r="BZ43" s="159" t="n"/>
      <c r="CA43" s="159" t="n"/>
      <c r="CB43" s="159" t="n"/>
      <c r="CC43" s="159" t="n"/>
      <c r="CD43" s="159" t="n"/>
      <c r="CE43" s="159" t="n"/>
      <c r="CF43" s="159" t="n"/>
      <c r="CG43" s="159" t="n"/>
      <c r="CH43" s="159" t="n"/>
      <c r="CI43" s="159" t="n"/>
      <c r="CJ43" s="159" t="n"/>
      <c r="CK43" s="159" t="n"/>
      <c r="CL43" s="159" t="n"/>
      <c r="CM43" s="159" t="n"/>
      <c r="CN43" s="159" t="n"/>
      <c r="CO43" s="159" t="n"/>
      <c r="CP43" s="159" t="n"/>
      <c r="CQ43" s="159" t="inlineStr">
        <is>
          <t>IRIS2260</t>
        </is>
      </c>
      <c r="CR43" s="159" t="inlineStr">
        <is>
          <t>Employee</t>
        </is>
      </c>
      <c r="CS43" s="159" t="inlineStr">
        <is>
          <t>Active</t>
        </is>
      </c>
      <c r="CT43" s="159" t="inlineStr">
        <is>
          <t>Pratik Ekhande</t>
        </is>
      </c>
      <c r="CU43" s="160" t="n">
        <v>45446</v>
      </c>
      <c r="CV43" s="159" t="inlineStr">
        <is>
          <t>Software Engineer</t>
        </is>
      </c>
      <c r="CW43" s="159" t="inlineStr">
        <is>
          <t>Engineering &amp; Development</t>
        </is>
      </c>
      <c r="CX43" s="159" t="inlineStr">
        <is>
          <t>Backend Engineering ·.NET</t>
        </is>
      </c>
      <c r="CY43" s="159" t="inlineStr">
        <is>
          <t>Software Engineer</t>
        </is>
      </c>
      <c r="CZ43" s="159" t="inlineStr">
        <is>
          <t>L3 – Professional / Associate</t>
        </is>
      </c>
      <c r="DA43" s="159" t="inlineStr">
        <is>
          <t>B.E</t>
        </is>
      </c>
      <c r="DB43" s="159" t="inlineStr">
        <is>
          <t>Jitendra Kumar</t>
        </is>
      </c>
      <c r="DC43" s="159" t="inlineStr">
        <is>
          <t>N-4</t>
        </is>
      </c>
      <c r="DD43" s="159" t="inlineStr">
        <is>
          <t>Individual Contributor</t>
        </is>
      </c>
      <c r="DE43" s="159" t="inlineStr">
        <is>
          <t>0 years, 0 months, 0 days</t>
        </is>
      </c>
      <c r="DF43" s="159" t="inlineStr">
        <is>
          <t>2 years, 0 months, 17 days</t>
        </is>
      </c>
      <c r="DG43" s="159" t="inlineStr">
        <is>
          <t>2 years, 0 months, 17 days</t>
        </is>
      </c>
      <c r="DH43" s="159" t="n"/>
      <c r="DI43" s="159" t="inlineStr">
        <is>
          <t>Regtech</t>
        </is>
      </c>
      <c r="DJ43" s="159" t="inlineStr">
        <is>
          <t>iDEAL</t>
        </is>
      </c>
      <c r="DK43" s="159" t="inlineStr">
        <is>
          <t>Technology</t>
        </is>
      </c>
      <c r="DL43" s="159" t="inlineStr">
        <is>
          <t>Development</t>
        </is>
      </c>
      <c r="DM43" s="159" t="inlineStr">
        <is>
          <t>Yes</t>
        </is>
      </c>
      <c r="DN43" s="159" t="inlineStr">
        <is>
          <t>Product/Project</t>
        </is>
      </c>
      <c r="DO43" s="159" t="inlineStr">
        <is>
          <t>.NET MVC</t>
        </is>
      </c>
      <c r="DP43" s="159" t="inlineStr">
        <is>
          <t>Technical - Developer</t>
        </is>
      </c>
      <c r="DQ43" s="159" t="inlineStr">
        <is>
          <t>Work From Office - Turbhe</t>
        </is>
      </c>
      <c r="DR43" s="159" t="inlineStr">
        <is>
          <t>1) To make IRIS IDEAL a stable, robust, scalable, and trusted SDMX reporting solution for all banks by continuously improving application performance, security, reliability, user experience, and regulatory compliance.
2) To enhance my skill set in.NET 8/10, ASP.NET Core Web API, Entity Framework Core, C#, and the latest React ecosystem · React 19, Redux Toolkit, state based architecture etc
3) To learn modern security standards and application development architectures, multiple SSO standards, OpenID Connect · OIDC, JWT Authentication, Clean Architecture, Microservices, and SOLID principles, to build expertise in industry-standard software development.
4) To focus on upcoming changes in the Retch field related to Artificial Intelligence · AI and explore opportunities to integrate technologies such as GitHub Copilot, AI-assisted testing, and intelligent validation into WebIDEAL enhancements.
5)To enhance my skills in.NET Minimal APIs, Native OpenAPI support, Swagger/OpenAPI, ASP.NET Identity, JWT-based authentication, Role-Based Access Control · RBAC, and modern authorization standards.
6)To adapt to the latest features introduced in.NET 8 and.NET 10, including Native AOT, performance optimizations,and modern API development, to stay aligned with current industry practices.
7)To become a complete Full Stack Developer by strengthening my frontend skills using React, JavaScript/TypeScript,Tailwind CSS, and expanding my knowledge of multiple databases such as Oracle, SQL Server, PostgreSQL.</t>
        </is>
      </c>
      <c r="DS43" s="159" t="inlineStr">
        <is>
          <t>1. Feature Delivery: Complete assigned features/stories with 90%+ sprint commitment accuracy.
2. Code Quality: Maintain a bug-escape rate below 5% · bugs found in production vs. total bugs for code shipped to production.
3. Test Coverage: Achieve and maintain 80%+ unit test coverage on all new code contributions.
4. Ownership: Take complete ownership of the EBR/SDMX ensuring timely delivery of client requirements, production support, and continuous improvements.
5. Stack expertise:Learn and apply at least 1 new technology, framework, or language relevant to the product roadmap. Deliver at least 1 production feature using the new technology within the year.</t>
        </is>
      </c>
      <c r="DT43" s="159" t="inlineStr">
        <is>
          <t>1)Develop and deliver all newly released EBR reports as per RBI regulatory requirements within the stipulated timelines.
Implement comprehensive data-level validations across all EBR reports to ensure accurate, compliant, and error-free regulatory filing.
2)Enhance the SDMX end-to-end testing process by implementing comprehensive test cases, including AI-assisted and custom-designed test scenarios.
3)Provide deployment support during the initial rollout of EBR implementations at client locations and automate deployment activities to minimize manual intervention, reduce deployment errors, and improve efficiency.
4)Enhance the EBR workflow by implementing new features and usability improvements based on business requirements and client feedback, further strengthening IRIS IDEAL as a reliable and trusted solution.
5)Contribute to the development of WebIDEAL 6.0 by building modules using the .NET Core Web API architecture while leveraging the proven functionality of WebIDEAL 5.5.
6)Develop frontend modules using the React framework in WebIDEAL 6.0 to enhance technical expertise, improve user experience, and align the application with modern industry standards.
7)Automate the EBR CMS-to-Data Mapping process to reduce manual effort, improve accuracy, and streamline report preparation.
8)Migrate the metadata management component of the Data Preparation Module from static files to a database-driven approach to improve scalability, maintainability, and operational efficiency.</t>
        </is>
      </c>
      <c r="DU43" s="159" t="n">
        <v>4</v>
      </c>
      <c r="DV43" s="159" t="n"/>
      <c r="DW43" s="159" t="inlineStr">
        <is>
          <t>Same as per records</t>
        </is>
      </c>
      <c r="DX43" s="159" t="n"/>
      <c r="DY43" s="159" t="n">
        <v>4</v>
      </c>
      <c r="DZ43" s="159" t="inlineStr">
        <is>
          <t>High</t>
        </is>
      </c>
      <c r="EA43" s="159" t="inlineStr">
        <is>
          <t>Emerging Talent</t>
        </is>
      </c>
      <c r="EB43" s="159" t="inlineStr">
        <is>
          <t>Not Ready</t>
        </is>
      </c>
      <c r="EC43" s="159" t="inlineStr">
        <is>
          <t>No</t>
        </is>
      </c>
      <c r="ED43" s="159" t="inlineStr">
        <is>
          <t>Yes</t>
        </is>
      </c>
      <c r="EE43" s="159" t="inlineStr">
        <is>
          <t>XBRL Training, Training on the effective utilization of AI tools.</t>
        </is>
      </c>
      <c r="EF43" s="159" t="n"/>
    </row>
    <row r="44" ht="64" customHeight="1">
      <c r="A44" s="109" t="inlineStr">
        <is>
          <t>IRIS2038</t>
        </is>
      </c>
      <c r="B44" s="111" t="inlineStr">
        <is>
          <t>Swapnil Shirke</t>
        </is>
      </c>
      <c r="C44" s="111" t="inlineStr">
        <is>
          <t>Technology</t>
        </is>
      </c>
      <c r="D44" s="114" t="inlineStr">
        <is>
          <t>Software Engineer</t>
        </is>
      </c>
      <c r="E44" s="114" t="inlineStr">
        <is>
          <t>Senior Software Engineer</t>
        </is>
      </c>
      <c r="F44" s="114" t="inlineStr">
        <is>
          <t>L3 – Professional / Associate</t>
        </is>
      </c>
      <c r="G44" s="114" t="inlineStr">
        <is>
          <t>A3</t>
        </is>
      </c>
      <c r="H44" s="142" t="inlineStr">
        <is>
          <t>▲ Up</t>
        </is>
      </c>
      <c r="I44" s="111" t="inlineStr">
        <is>
          <t>Engineering &amp; Development</t>
        </is>
      </c>
      <c r="J44" s="111" t="inlineStr">
        <is>
          <t>Backend Development</t>
        </is>
      </c>
      <c r="K44" s="151" t="inlineStr">
        <is>
          <t>• Confirm the reporting line — Manager</t>
        </is>
      </c>
      <c r="L44" s="111" t="n">
        <v>20</v>
      </c>
      <c r="M44" s="139" t="inlineStr">
        <is>
          <t>P2</t>
        </is>
      </c>
      <c r="N44" s="115" t="inlineStr">
        <is>
          <t>Developing</t>
        </is>
      </c>
      <c r="O44" s="115" t="inlineStr">
        <is>
          <t>3 Apply</t>
        </is>
      </c>
      <c r="P44" s="115" t="inlineStr">
        <is>
          <t>2–4 yrs</t>
        </is>
      </c>
      <c r="Q44" s="115" t="inlineStr">
        <is>
          <t>3–5 · 2–5</t>
        </is>
      </c>
      <c r="R44" s="115" t="inlineStr">
        <is>
          <t>Software Engineer</t>
        </is>
      </c>
      <c r="S44" s="115" t="inlineStr">
        <is>
          <r>
            <rPr>
              <rFont val="Calibri"/>
              <b val="1"/>
              <sz val="10"/>
            </rPr>
            <t>Workiva:</t>
          </r>
          <r>
            <rPr>
              <rFont val="Calibri"/>
              <sz val="10"/>
            </rPr>
            <t xml:space="preserve"> SE · Broadridge India: SE · Nasdaq / AxiomSL: SE · Salesforce: MTS · Atlassian: P40 · 3–7 yrs · Freshworks: Senior SE</t>
          </r>
        </is>
      </c>
      <c r="T44" s="115" t="inlineStr">
        <is>
          <t>SFIA 9 · software development, programming; OWASP secure coding; cloud vendor certifications</t>
        </is>
      </c>
      <c r="U44" s="115" t="inlineStr">
        <is>
          <t>Core 2 · Future 2 · Functional 3 · Leadership not scored</t>
        </is>
      </c>
      <c r="V44" s="158" t="n">
        <v>228</v>
      </c>
      <c r="W44" s="159" t="inlineStr">
        <is>
          <t>IRIS2038</t>
        </is>
      </c>
      <c r="X44" s="159" t="inlineStr">
        <is>
          <t>Employee</t>
        </is>
      </c>
      <c r="Y44" s="159" t="inlineStr">
        <is>
          <t>Active</t>
        </is>
      </c>
      <c r="Z44" s="159" t="inlineStr">
        <is>
          <t>Swapnil Shirke</t>
        </is>
      </c>
      <c r="AA44" s="244" t="n">
        <v>44754</v>
      </c>
      <c r="AB44" s="159" t="inlineStr">
        <is>
          <t>Software Engineer</t>
        </is>
      </c>
      <c r="AC44" s="159" t="inlineStr">
        <is>
          <t>B.E</t>
        </is>
      </c>
      <c r="AD44" s="159" t="inlineStr">
        <is>
          <t>Jitendra Kumar</t>
        </is>
      </c>
      <c r="AE44" s="159" t="inlineStr">
        <is>
          <t>N-4</t>
        </is>
      </c>
      <c r="AF44" s="159" t="inlineStr">
        <is>
          <t>Manager</t>
        </is>
      </c>
      <c r="AG44" s="159" t="inlineStr">
        <is>
          <t>0 years, 0 months, 0 days</t>
        </is>
      </c>
      <c r="AH44" s="159" t="inlineStr">
        <is>
          <t>4 years, 1 months, 13 days</t>
        </is>
      </c>
      <c r="AI44" s="159" t="inlineStr">
        <is>
          <t>Regtech</t>
        </is>
      </c>
      <c r="AJ44" s="159" t="inlineStr">
        <is>
          <t>iDEAL</t>
        </is>
      </c>
      <c r="AK44" s="159" t="inlineStr">
        <is>
          <t>Technology</t>
        </is>
      </c>
      <c r="AL44" s="159" t="inlineStr">
        <is>
          <t>Development</t>
        </is>
      </c>
      <c r="AM44" s="159" t="inlineStr">
        <is>
          <t>Yes</t>
        </is>
      </c>
      <c r="AN44" s="159" t="inlineStr">
        <is>
          <t>Product/Project</t>
        </is>
      </c>
      <c r="AO44" s="159" t="inlineStr">
        <is>
          <t>.NET MVC</t>
        </is>
      </c>
      <c r="AP44" s="159" t="inlineStr">
        <is>
          <t>Technical - Developer</t>
        </is>
      </c>
      <c r="AQ44" s="159" t="n">
        <v>20</v>
      </c>
      <c r="AR44" s="159" t="inlineStr">
        <is>
          <t>Covered</t>
        </is>
      </c>
      <c r="AS44" s="159" t="n"/>
      <c r="AT44" s="159" t="n"/>
      <c r="AU44" s="159" t="n"/>
      <c r="AV44" s="159" t="n"/>
      <c r="AW44" s="159" t="n"/>
      <c r="AX44" s="159" t="n"/>
      <c r="AY44" s="159" t="n"/>
      <c r="AZ44" s="159" t="n"/>
      <c r="BA44" s="159" t="n"/>
      <c r="BB44" s="159" t="n"/>
      <c r="BC44" s="159" t="n"/>
      <c r="BD44" s="159" t="n"/>
      <c r="BE44" s="159" t="n"/>
      <c r="BF44" s="159" t="n"/>
      <c r="BG44" s="159" t="n"/>
      <c r="BH44" s="159" t="n"/>
      <c r="BI44" s="159" t="n"/>
      <c r="BJ44" s="159" t="n"/>
      <c r="BK44" s="159" t="n"/>
      <c r="BL44" s="159" t="n"/>
      <c r="BM44" s="159" t="n"/>
      <c r="BN44" s="159" t="n"/>
      <c r="BO44" s="159" t="n"/>
      <c r="BP44" s="159" t="n"/>
      <c r="BQ44" s="159" t="n"/>
      <c r="BR44" s="159" t="n"/>
      <c r="BS44" s="159" t="n"/>
      <c r="BT44" s="159" t="n"/>
      <c r="BU44" s="159" t="n"/>
      <c r="BV44" s="159" t="n"/>
      <c r="BW44" s="159" t="n"/>
      <c r="BX44" s="159" t="n"/>
      <c r="BY44" s="159" t="n"/>
      <c r="BZ44" s="159" t="n"/>
      <c r="CA44" s="159" t="n"/>
      <c r="CB44" s="159" t="n"/>
      <c r="CC44" s="159" t="n"/>
      <c r="CD44" s="159" t="n"/>
      <c r="CE44" s="159" t="n"/>
      <c r="CF44" s="159" t="n"/>
      <c r="CG44" s="159" t="n"/>
      <c r="CH44" s="159" t="n"/>
      <c r="CI44" s="159" t="n"/>
      <c r="CJ44" s="159" t="n"/>
      <c r="CK44" s="159" t="n"/>
      <c r="CL44" s="159" t="n"/>
      <c r="CM44" s="159" t="n"/>
      <c r="CN44" s="159" t="n"/>
      <c r="CO44" s="159" t="n"/>
      <c r="CP44" s="159" t="n"/>
      <c r="CQ44" s="159" t="inlineStr">
        <is>
          <t>IRIS2038</t>
        </is>
      </c>
      <c r="CR44" s="159" t="inlineStr">
        <is>
          <t>Employee</t>
        </is>
      </c>
      <c r="CS44" s="159" t="inlineStr">
        <is>
          <t>Active</t>
        </is>
      </c>
      <c r="CT44" s="159" t="inlineStr">
        <is>
          <t>Swapnil Shirke</t>
        </is>
      </c>
      <c r="CU44" s="160" t="n">
        <v>44754</v>
      </c>
      <c r="CV44" s="159" t="inlineStr">
        <is>
          <t>Software Engineer</t>
        </is>
      </c>
      <c r="CW44" s="159" t="inlineStr">
        <is>
          <t>Engineering &amp; Development</t>
        </is>
      </c>
      <c r="CX44" s="159" t="inlineStr">
        <is>
          <t>Backend Engineering ·.NET</t>
        </is>
      </c>
      <c r="CY44" s="159" t="inlineStr">
        <is>
          <t>Software Engineer</t>
        </is>
      </c>
      <c r="CZ44" s="159" t="inlineStr">
        <is>
          <t>L3 – Professional / Associate</t>
        </is>
      </c>
      <c r="DA44" s="159" t="inlineStr">
        <is>
          <t>B.E</t>
        </is>
      </c>
      <c r="DB44" s="159" t="inlineStr">
        <is>
          <t>Jitendra Kumar</t>
        </is>
      </c>
      <c r="DC44" s="159" t="inlineStr">
        <is>
          <t>N-4</t>
        </is>
      </c>
      <c r="DD44" s="159" t="inlineStr">
        <is>
          <t>Manager</t>
        </is>
      </c>
      <c r="DE44" s="159" t="inlineStr">
        <is>
          <t>0 years, 0 months, 0 days</t>
        </is>
      </c>
      <c r="DF44" s="159" t="inlineStr">
        <is>
          <t>3 years, 11 months, 8 days</t>
        </is>
      </c>
      <c r="DG44" s="159" t="inlineStr">
        <is>
          <t>3 years, 11 months, 8 days</t>
        </is>
      </c>
      <c r="DH44" s="159" t="n">
        <v>3.93858447488585</v>
      </c>
      <c r="DI44" s="159" t="inlineStr">
        <is>
          <t>Regtech</t>
        </is>
      </c>
      <c r="DJ44" s="159" t="inlineStr">
        <is>
          <t>iDEAL</t>
        </is>
      </c>
      <c r="DK44" s="159" t="inlineStr">
        <is>
          <t>Technology</t>
        </is>
      </c>
      <c r="DL44" s="159" t="inlineStr">
        <is>
          <t>Development</t>
        </is>
      </c>
      <c r="DM44" s="159" t="inlineStr">
        <is>
          <t>Yes</t>
        </is>
      </c>
      <c r="DN44" s="159" t="inlineStr">
        <is>
          <t>Product/Project</t>
        </is>
      </c>
      <c r="DO44" s="159" t="inlineStr">
        <is>
          <t>.NET MVC</t>
        </is>
      </c>
      <c r="DP44" s="159" t="inlineStr">
        <is>
          <t>Technical - Developer</t>
        </is>
      </c>
      <c r="DQ44" s="159" t="inlineStr">
        <is>
          <t>Remote- Outside Mumbai</t>
        </is>
      </c>
      <c r="DR44" s="159" t="inlineStr">
        <is>
          <t>1)Follow secure coding standards, development best practices, and continuous learning to build scalable, reliable, and secure applications.
2)Strengthen technical leadership by mentoring team members, supporting project delivery, and ensuring timely resolution of production issues with root cause analysis.
3)Explore and integrate AI technologies to enhance application functionality, automation, and user experience.
4)Continuously enhance technical skills by learning new technologies, frameworks, and industry best practices.
5)Continuously improve customer satisfaction by delivering high-quality, reliable, and maintainable software solutions.
6)Improve application performance, scalability, and maintainability.</t>
        </is>
      </c>
      <c r="DS44" s="159" t="inlineStr">
        <is>
          <t>1. AI-Assisted Development Adoption: Use AI coding assistants for at least 60% of development tasks, with no increase in bug-escape rate.
2. Test Coverage: Achieve and maintain 80%+ unit test coverage on all new code contributions.
3. Code Reviews: Conduct at least 50 peer code reviews over the year with actionable feedback.
4. Complete CIC Application development with end-to-end ownership and timely execution.
5.Secure Coding Mentorship: Conduct quarterly secure coding training/workshops for the team, with measurable reduction in recurring vulnerability classes found in audits · target: 25% YoY reduction.</t>
        </is>
      </c>
      <c r="DT44" s="159" t="inlineStr">
        <is>
          <t>1)Complete the  CIC project features by implementing all pending business requirements, ensuring timely delivery, quality, and successful user acceptance.
2)Deliver client-specific customization requests by developing, testing, and deploying requested enhancements while adhering to coding standards and committed project timelines.
3)Enhance application quality and stability by resolving reported defects, optimizing existing functionalities, performing unit testing, and minimizing production issues.
4)Improve application performance and user experience by optimizing existing modules, and implementing performance improvements based on client feedback.
5)Support project delivery and continuous improvement by participating in  code reviews, knowledge sharing, and implementing automation or process improvements to increase development efficiency.</t>
        </is>
      </c>
      <c r="DU44" s="159" t="n">
        <v>5</v>
      </c>
      <c r="DV44" s="159" t="n"/>
      <c r="DW44" s="159" t="inlineStr">
        <is>
          <t>Same as per records</t>
        </is>
      </c>
      <c r="DX44" s="159" t="inlineStr">
        <is>
          <t>Carries manager responsibility on a non-lead title – align title/grade to people-management scope</t>
        </is>
      </c>
      <c r="DY44" s="159" t="n">
        <v>5</v>
      </c>
      <c r="DZ44" s="159" t="inlineStr">
        <is>
          <t>High</t>
        </is>
      </c>
      <c r="EA44" s="159" t="inlineStr">
        <is>
          <t>High Impact / Growth Talent</t>
        </is>
      </c>
      <c r="EB44" s="159" t="inlineStr">
        <is>
          <t>Ready Now</t>
        </is>
      </c>
      <c r="EC44" s="159" t="inlineStr">
        <is>
          <t>No</t>
        </is>
      </c>
      <c r="ED44" s="159" t="inlineStr">
        <is>
          <t>Yes</t>
        </is>
      </c>
      <c r="EE44" s="159" t="inlineStr">
        <is>
          <t>XBRL Training, Training on the effective utilization of AI tools.</t>
        </is>
      </c>
      <c r="EF44" s="159" t="inlineStr">
        <is>
          <r>
            <rPr>
              <rFont val="Calibri"/>
              <b val="1"/>
              <sz val="10"/>
            </rPr>
            <t>Advanced System Design &amp; Software Architecture:</t>
          </r>
          <r>
            <rPr>
              <rFont val="Calibri"/>
              <sz val="10"/>
            </rPr>
            <t xml:space="preserve">
1 - Microservices Architecture
2 - Design Patterns and SOLID Principles
3 - Scalable Application Design
4 - Distributed Systems Fundamentals</t>
          </r>
        </is>
      </c>
    </row>
    <row r="45" ht="64" customHeight="1">
      <c r="A45" s="109" t="inlineStr">
        <is>
          <t>IRIS2259</t>
        </is>
      </c>
      <c r="B45" s="111" t="inlineStr">
        <is>
          <t>Tushar Kadu Nimbolkar</t>
        </is>
      </c>
      <c r="C45" s="111" t="inlineStr">
        <is>
          <t>Technology</t>
        </is>
      </c>
      <c r="D45" s="114" t="inlineStr">
        <is>
          <t>Software Engineer</t>
        </is>
      </c>
      <c r="E45" s="114" t="inlineStr">
        <is>
          <t>Senior Database Engineer</t>
        </is>
      </c>
      <c r="F45" s="114" t="inlineStr">
        <is>
          <t>L3 – Professional / Associate</t>
        </is>
      </c>
      <c r="G45" s="114" t="inlineStr">
        <is>
          <t>A3</t>
        </is>
      </c>
      <c r="H45" s="142" t="inlineStr">
        <is>
          <t>▲ Up</t>
        </is>
      </c>
      <c r="I45" s="111" t="inlineStr">
        <is>
          <t>Engineering &amp; Development</t>
        </is>
      </c>
      <c r="J45" s="111" t="inlineStr">
        <is>
          <t>Data Engineering &amp; Database Development</t>
        </is>
      </c>
      <c r="K45" s="111" t="inlineStr"/>
      <c r="L45" s="111" t="n">
        <v>20</v>
      </c>
      <c r="M45" s="139" t="inlineStr">
        <is>
          <t>P2</t>
        </is>
      </c>
      <c r="N45" s="115" t="inlineStr">
        <is>
          <t>Developing</t>
        </is>
      </c>
      <c r="O45" s="115" t="inlineStr">
        <is>
          <t>3 Apply</t>
        </is>
      </c>
      <c r="P45" s="115" t="inlineStr">
        <is>
          <t>2–4 yrs</t>
        </is>
      </c>
      <c r="Q45" s="115" t="inlineStr">
        <is>
          <t>3–5 · 2–5</t>
        </is>
      </c>
      <c r="R45" s="115" t="inlineStr">
        <is>
          <t>Software Engineer</t>
        </is>
      </c>
      <c r="S45" s="115" t="inlineStr">
        <is>
          <r>
            <rPr>
              <rFont val="Calibri"/>
              <b val="1"/>
              <sz val="10"/>
            </rPr>
            <t>Workiva:</t>
          </r>
          <r>
            <rPr>
              <rFont val="Calibri"/>
              <sz val="10"/>
            </rPr>
            <t xml:space="preserve"> SE · Broadridge India: SE · Nasdaq / AxiomSL: SE · Salesforce: MTS · Atlassian: P40 · 3–7 yrs · Freshworks: Senior SE</t>
          </r>
        </is>
      </c>
      <c r="T45" s="115" t="inlineStr">
        <is>
          <t>SFIA 9 · software development, programming; OWASP secure coding; cloud vendor certifications</t>
        </is>
      </c>
      <c r="U45" s="115" t="inlineStr">
        <is>
          <t>Core 2 · Future 2 · Functional 3 · Leadership not scored</t>
        </is>
      </c>
      <c r="V45" s="158" t="n">
        <v>322</v>
      </c>
      <c r="W45" s="159" t="inlineStr">
        <is>
          <t>IRIS2259</t>
        </is>
      </c>
      <c r="X45" s="159" t="inlineStr">
        <is>
          <t>Employee</t>
        </is>
      </c>
      <c r="Y45" s="159" t="inlineStr">
        <is>
          <t>Active</t>
        </is>
      </c>
      <c r="Z45" s="159" t="inlineStr">
        <is>
          <t>Tushar Kadu Nimbolkar</t>
        </is>
      </c>
      <c r="AA45" s="244" t="n">
        <v>45446</v>
      </c>
      <c r="AB45" s="159" t="inlineStr">
        <is>
          <t>Software Engineer</t>
        </is>
      </c>
      <c r="AC45" s="159" t="inlineStr">
        <is>
          <t>B.E</t>
        </is>
      </c>
      <c r="AD45" s="159" t="inlineStr">
        <is>
          <t>Jitendra Kumar</t>
        </is>
      </c>
      <c r="AE45" s="159" t="inlineStr">
        <is>
          <t>N-4</t>
        </is>
      </c>
      <c r="AF45" s="159" t="inlineStr">
        <is>
          <t>Individual Contributor</t>
        </is>
      </c>
      <c r="AG45" s="159" t="inlineStr">
        <is>
          <t>0 years, 0 months, 0 days</t>
        </is>
      </c>
      <c r="AH45" s="159" t="inlineStr">
        <is>
          <t>2 years, 2 months, 22 days</t>
        </is>
      </c>
      <c r="AI45" s="159" t="inlineStr">
        <is>
          <t>Regtech</t>
        </is>
      </c>
      <c r="AJ45" s="159" t="inlineStr">
        <is>
          <t>iDEAL</t>
        </is>
      </c>
      <c r="AK45" s="159" t="inlineStr">
        <is>
          <t>Technology</t>
        </is>
      </c>
      <c r="AL45" s="159" t="inlineStr">
        <is>
          <t>Development</t>
        </is>
      </c>
      <c r="AM45" s="159" t="inlineStr">
        <is>
          <t>Yes</t>
        </is>
      </c>
      <c r="AN45" s="159" t="inlineStr">
        <is>
          <t>Product/Project</t>
        </is>
      </c>
      <c r="AO45" s="159" t="inlineStr">
        <is>
          <t>.NET MVC</t>
        </is>
      </c>
      <c r="AP45" s="159" t="inlineStr">
        <is>
          <t>Technical - Developer</t>
        </is>
      </c>
      <c r="AQ45" s="159" t="n">
        <v>20</v>
      </c>
      <c r="AR45" s="159" t="inlineStr">
        <is>
          <t>Covered</t>
        </is>
      </c>
      <c r="AS45" s="159" t="n"/>
      <c r="AT45" s="159" t="n"/>
      <c r="AU45" s="159" t="n"/>
      <c r="AV45" s="159" t="n"/>
      <c r="AW45" s="159" t="n"/>
      <c r="AX45" s="159" t="n"/>
      <c r="AY45" s="159" t="n"/>
      <c r="AZ45" s="159" t="n"/>
      <c r="BA45" s="159" t="n"/>
      <c r="BB45" s="159" t="n"/>
      <c r="BC45" s="159" t="n"/>
      <c r="BD45" s="159" t="n"/>
      <c r="BE45" s="159" t="n"/>
      <c r="BF45" s="159" t="n"/>
      <c r="BG45" s="159" t="n"/>
      <c r="BH45" s="159" t="n"/>
      <c r="BI45" s="159" t="n"/>
      <c r="BJ45" s="159" t="n"/>
      <c r="BK45" s="159" t="n"/>
      <c r="BL45" s="159" t="n"/>
      <c r="BM45" s="159" t="n"/>
      <c r="BN45" s="159" t="n"/>
      <c r="BO45" s="159" t="n"/>
      <c r="BP45" s="159" t="n"/>
      <c r="BQ45" s="159" t="n"/>
      <c r="BR45" s="159" t="n"/>
      <c r="BS45" s="159" t="n"/>
      <c r="BT45" s="159" t="n"/>
      <c r="BU45" s="159" t="n"/>
      <c r="BV45" s="159" t="n"/>
      <c r="BW45" s="159" t="n"/>
      <c r="BX45" s="159" t="n"/>
      <c r="BY45" s="159" t="n"/>
      <c r="BZ45" s="159" t="n"/>
      <c r="CA45" s="159" t="n"/>
      <c r="CB45" s="159" t="n"/>
      <c r="CC45" s="159" t="n"/>
      <c r="CD45" s="159" t="n"/>
      <c r="CE45" s="159" t="n"/>
      <c r="CF45" s="159" t="n"/>
      <c r="CG45" s="159" t="n"/>
      <c r="CH45" s="159" t="n"/>
      <c r="CI45" s="159" t="n"/>
      <c r="CJ45" s="159" t="n"/>
      <c r="CK45" s="159" t="n"/>
      <c r="CL45" s="159" t="n"/>
      <c r="CM45" s="159" t="n"/>
      <c r="CN45" s="159" t="n"/>
      <c r="CO45" s="159" t="n"/>
      <c r="CP45" s="159" t="n"/>
      <c r="CQ45" s="159" t="inlineStr">
        <is>
          <t>IRIS2259</t>
        </is>
      </c>
      <c r="CR45" s="159" t="inlineStr">
        <is>
          <t>Employee</t>
        </is>
      </c>
      <c r="CS45" s="159" t="inlineStr">
        <is>
          <t>Active</t>
        </is>
      </c>
      <c r="CT45" s="159" t="inlineStr">
        <is>
          <t>Tushar Kadu Nimbolkar</t>
        </is>
      </c>
      <c r="CU45" s="160" t="n">
        <v>45446</v>
      </c>
      <c r="CV45" s="159" t="inlineStr">
        <is>
          <t>Software Engineer</t>
        </is>
      </c>
      <c r="CW45" s="159" t="inlineStr">
        <is>
          <t>Engineering &amp; Development</t>
        </is>
      </c>
      <c r="CX45" s="159" t="inlineStr">
        <is>
          <t>Backend Engineering ·.NET</t>
        </is>
      </c>
      <c r="CY45" s="159" t="inlineStr">
        <is>
          <t>Software Engineer</t>
        </is>
      </c>
      <c r="CZ45" s="159" t="inlineStr">
        <is>
          <t>L3 – Professional / Associate</t>
        </is>
      </c>
      <c r="DA45" s="159" t="inlineStr">
        <is>
          <t>B.E</t>
        </is>
      </c>
      <c r="DB45" s="159" t="inlineStr">
        <is>
          <t>Jitendra Kumar</t>
        </is>
      </c>
      <c r="DC45" s="159" t="inlineStr">
        <is>
          <t>N-4</t>
        </is>
      </c>
      <c r="DD45" s="159" t="inlineStr">
        <is>
          <t>Individual Contributor</t>
        </is>
      </c>
      <c r="DE45" s="159" t="inlineStr">
        <is>
          <t>0 years, 0 months, 0 days</t>
        </is>
      </c>
      <c r="DF45" s="159" t="inlineStr">
        <is>
          <t>2 years, 0 months, 17 days</t>
        </is>
      </c>
      <c r="DG45" s="159" t="inlineStr">
        <is>
          <t>2 years, 0 months, 17 days</t>
        </is>
      </c>
      <c r="DH45" s="159" t="n"/>
      <c r="DI45" s="159" t="inlineStr">
        <is>
          <t>Regtech</t>
        </is>
      </c>
      <c r="DJ45" s="159" t="inlineStr">
        <is>
          <t>iDEAL</t>
        </is>
      </c>
      <c r="DK45" s="159" t="inlineStr">
        <is>
          <t>Technology</t>
        </is>
      </c>
      <c r="DL45" s="159" t="inlineStr">
        <is>
          <t>Development</t>
        </is>
      </c>
      <c r="DM45" s="159" t="inlineStr">
        <is>
          <t>Yes</t>
        </is>
      </c>
      <c r="DN45" s="159" t="inlineStr">
        <is>
          <t>Product/Project</t>
        </is>
      </c>
      <c r="DO45" s="159" t="inlineStr">
        <is>
          <t>.NET MVC</t>
        </is>
      </c>
      <c r="DP45" s="159" t="inlineStr">
        <is>
          <t>Technical - Developer</t>
        </is>
      </c>
      <c r="DQ45" s="159" t="inlineStr">
        <is>
          <t>Work From Office - Turbhe</t>
        </is>
      </c>
      <c r="DR45" s="159" t="inlineStr">
        <is>
          <t>Become a Confident Full Stack Developer · React +.NET
Level Up.NET Skills — Architecture, Performance &amp; Testing
Gain Database Expertise — MongoDB or Snowflake
Embed AI into Daily Engineering &amp; Influence Team Adoption
Own BOM, iDEAL 5.5/6.0 &amp; ESAF End-to-End
Grow as a Technical Contributor &amp; Team Influencer
100% Client Satisfaction &amp; Carbon Team Collaboration</t>
        </is>
      </c>
      <c r="DS45" s="159" t="inlineStr">
        <is>
          <t>1. Feature Delivery: Complete assigned features/stories with 90%+ sprint commitment accuracy.
2. Code Quality: Maintain a bug-escape rate below 5% · bugs found in production vs. total bugs for code shipped to production.
3. Test Coverage: Achieve and maintain 80%+ unit test coverage on all new code contributions.
4. Ownership: Take complete ownership of the iDEAL BOM/ iDEAL RBI ensuring timely delivery of client requirements, production support, and continuous improvements.
5. Stack expertise:Learn and apply at least 1 new technology, framework, or language relevant to the product roadmap. Deliver at least 1 production feature using the new technology within the year.</t>
        </is>
      </c>
      <c r="DT45" s="159" t="inlineStr">
        <is>
          <t>Deliver First React Feature in iDEAL New Version
Complete BOM → iDEAL 5.5 Migration &amp; Stabilise
Learn MongoDB or Snowflake &amp; Apply in Project
Embed AI into Full Development Lifecycle
Lead ADR &amp; Conduct Knowledge-Sharing Session
Complete ESAF Feature Development &amp; QA Sign-Off
Zero Critical Bugs &amp; Improve .NET Code Quality
Sustain 100% Client Support Satisfaction</t>
        </is>
      </c>
      <c r="DU45" s="159" t="n">
        <v>3</v>
      </c>
      <c r="DV45" s="159" t="n"/>
      <c r="DW45" s="159" t="inlineStr">
        <is>
          <t>Same as per records</t>
        </is>
      </c>
      <c r="DX45" s="159" t="inlineStr">
        <is>
          <t>No</t>
        </is>
      </c>
      <c r="DY45" s="159" t="n">
        <v>3</v>
      </c>
      <c r="DZ45" s="159" t="inlineStr">
        <is>
          <t>Medium</t>
        </is>
      </c>
      <c r="EA45" s="159" t="inlineStr">
        <is>
          <t>Emerging Talent</t>
        </is>
      </c>
      <c r="EB45" s="159" t="inlineStr">
        <is>
          <t>Not Ready</t>
        </is>
      </c>
      <c r="EC45" s="159" t="inlineStr">
        <is>
          <t>No</t>
        </is>
      </c>
      <c r="ED45" s="159" t="inlineStr">
        <is>
          <t>Yes</t>
        </is>
      </c>
      <c r="EE45" s="159" t="inlineStr">
        <is>
          <t>XBRL Training, Training on the effective utilization of AI tools.</t>
        </is>
      </c>
      <c r="EF45" s="159" t="n"/>
    </row>
    <row r="46" ht="64" customHeight="1">
      <c r="A46" s="109" t="inlineStr">
        <is>
          <t>IRIS2258</t>
        </is>
      </c>
      <c r="B46" s="111" t="inlineStr">
        <is>
          <t>Vaibhav Govind Gahat</t>
        </is>
      </c>
      <c r="C46" s="111" t="inlineStr">
        <is>
          <t>Technology</t>
        </is>
      </c>
      <c r="D46" s="114" t="inlineStr">
        <is>
          <t>Software Engineer</t>
        </is>
      </c>
      <c r="E46" s="114" t="inlineStr">
        <is>
          <t>Senior Software Engineer</t>
        </is>
      </c>
      <c r="F46" s="114" t="inlineStr">
        <is>
          <t>L3 – Professional / Associate</t>
        </is>
      </c>
      <c r="G46" s="114" t="inlineStr">
        <is>
          <t>A3</t>
        </is>
      </c>
      <c r="H46" s="142" t="inlineStr">
        <is>
          <t>▲ Up</t>
        </is>
      </c>
      <c r="I46" s="111" t="inlineStr">
        <is>
          <t>Engineering &amp; Development</t>
        </is>
      </c>
      <c r="J46" s="111" t="inlineStr">
        <is>
          <t>Backend Development</t>
        </is>
      </c>
      <c r="K46" s="111" t="inlineStr"/>
      <c r="L46" s="111" t="n">
        <v>20</v>
      </c>
      <c r="M46" s="139" t="inlineStr">
        <is>
          <t>P2</t>
        </is>
      </c>
      <c r="N46" s="115" t="inlineStr">
        <is>
          <t>Developing</t>
        </is>
      </c>
      <c r="O46" s="115" t="inlineStr">
        <is>
          <t>3 Apply</t>
        </is>
      </c>
      <c r="P46" s="115" t="inlineStr">
        <is>
          <t>2–4 yrs</t>
        </is>
      </c>
      <c r="Q46" s="115" t="inlineStr">
        <is>
          <t>3–5 · 2–5</t>
        </is>
      </c>
      <c r="R46" s="115" t="inlineStr">
        <is>
          <t>Software Engineer</t>
        </is>
      </c>
      <c r="S46" s="115" t="inlineStr">
        <is>
          <r>
            <rPr>
              <rFont val="Calibri"/>
              <b val="1"/>
              <sz val="10"/>
            </rPr>
            <t>Workiva:</t>
          </r>
          <r>
            <rPr>
              <rFont val="Calibri"/>
              <sz val="10"/>
            </rPr>
            <t xml:space="preserve"> SE · Broadridge India: SE · Nasdaq / AxiomSL: SE · Salesforce: MTS · Atlassian: P40 · 3–7 yrs · Freshworks: Senior SE</t>
          </r>
        </is>
      </c>
      <c r="T46" s="115" t="inlineStr">
        <is>
          <t>SFIA 9 · software development, programming; OWASP secure coding; cloud vendor certifications</t>
        </is>
      </c>
      <c r="U46" s="115" t="inlineStr">
        <is>
          <t>Core 2 · Future 2 · Functional 3 · Leadership not scored</t>
        </is>
      </c>
      <c r="V46" s="158" t="n">
        <v>321</v>
      </c>
      <c r="W46" s="159" t="inlineStr">
        <is>
          <t>IRIS2258</t>
        </is>
      </c>
      <c r="X46" s="159" t="inlineStr">
        <is>
          <t>Employee</t>
        </is>
      </c>
      <c r="Y46" s="159" t="inlineStr">
        <is>
          <t>Active</t>
        </is>
      </c>
      <c r="Z46" s="159" t="inlineStr">
        <is>
          <t>Vaibhav Govind Gahat</t>
        </is>
      </c>
      <c r="AA46" s="244" t="n">
        <v>45446</v>
      </c>
      <c r="AB46" s="159" t="inlineStr">
        <is>
          <t>Software Engineer</t>
        </is>
      </c>
      <c r="AC46" s="159" t="inlineStr">
        <is>
          <t>B.E</t>
        </is>
      </c>
      <c r="AD46" s="159" t="inlineStr">
        <is>
          <t>Jitendra Kumar</t>
        </is>
      </c>
      <c r="AE46" s="159" t="inlineStr">
        <is>
          <t>N-4</t>
        </is>
      </c>
      <c r="AF46" s="159" t="inlineStr">
        <is>
          <t>Individual Contributor</t>
        </is>
      </c>
      <c r="AG46" s="159" t="inlineStr">
        <is>
          <t>0 years, 0 months, 0 days</t>
        </is>
      </c>
      <c r="AH46" s="159" t="inlineStr">
        <is>
          <t>2 years, 2 months, 22 days</t>
        </is>
      </c>
      <c r="AI46" s="159" t="inlineStr">
        <is>
          <t>Regtech</t>
        </is>
      </c>
      <c r="AJ46" s="159" t="inlineStr">
        <is>
          <t>iDEAL</t>
        </is>
      </c>
      <c r="AK46" s="159" t="inlineStr">
        <is>
          <t>Technology</t>
        </is>
      </c>
      <c r="AL46" s="159" t="inlineStr">
        <is>
          <t>Development</t>
        </is>
      </c>
      <c r="AM46" s="159" t="inlineStr">
        <is>
          <t>Yes</t>
        </is>
      </c>
      <c r="AN46" s="159" t="inlineStr">
        <is>
          <t>Product/Project</t>
        </is>
      </c>
      <c r="AO46" s="159" t="inlineStr">
        <is>
          <t>.NET MVC</t>
        </is>
      </c>
      <c r="AP46" s="159" t="inlineStr">
        <is>
          <t>Technical - Developer</t>
        </is>
      </c>
      <c r="AQ46" s="159" t="n">
        <v>20</v>
      </c>
      <c r="AR46" s="159" t="inlineStr">
        <is>
          <t>Covered</t>
        </is>
      </c>
      <c r="AS46" s="159" t="n"/>
      <c r="AT46" s="159" t="n"/>
      <c r="AU46" s="159" t="n"/>
      <c r="AV46" s="159" t="n"/>
      <c r="AW46" s="159" t="n"/>
      <c r="AX46" s="159" t="n"/>
      <c r="AY46" s="159" t="n"/>
      <c r="AZ46" s="159" t="n"/>
      <c r="BA46" s="159" t="n"/>
      <c r="BB46" s="159" t="n"/>
      <c r="BC46" s="159" t="n"/>
      <c r="BD46" s="159" t="n"/>
      <c r="BE46" s="159" t="n"/>
      <c r="BF46" s="159" t="n"/>
      <c r="BG46" s="159" t="n"/>
      <c r="BH46" s="159" t="n"/>
      <c r="BI46" s="159" t="n"/>
      <c r="BJ46" s="159" t="n"/>
      <c r="BK46" s="159" t="n"/>
      <c r="BL46" s="159" t="n"/>
      <c r="BM46" s="159" t="n"/>
      <c r="BN46" s="159" t="n"/>
      <c r="BO46" s="159" t="n"/>
      <c r="BP46" s="159" t="n"/>
      <c r="BQ46" s="159" t="n"/>
      <c r="BR46" s="159" t="n"/>
      <c r="BS46" s="159" t="n"/>
      <c r="BT46" s="159" t="n"/>
      <c r="BU46" s="159" t="n"/>
      <c r="BV46" s="159" t="n"/>
      <c r="BW46" s="159" t="n"/>
      <c r="BX46" s="159" t="n"/>
      <c r="BY46" s="159" t="n"/>
      <c r="BZ46" s="159" t="n"/>
      <c r="CA46" s="159" t="n"/>
      <c r="CB46" s="159" t="n"/>
      <c r="CC46" s="159" t="n"/>
      <c r="CD46" s="159" t="n"/>
      <c r="CE46" s="159" t="n"/>
      <c r="CF46" s="159" t="n"/>
      <c r="CG46" s="159" t="n"/>
      <c r="CH46" s="159" t="n"/>
      <c r="CI46" s="159" t="n"/>
      <c r="CJ46" s="159" t="n"/>
      <c r="CK46" s="159" t="n"/>
      <c r="CL46" s="159" t="n"/>
      <c r="CM46" s="159" t="n"/>
      <c r="CN46" s="159" t="n"/>
      <c r="CO46" s="159" t="n"/>
      <c r="CP46" s="159" t="n"/>
      <c r="CQ46" s="159" t="inlineStr">
        <is>
          <t>IRIS2258</t>
        </is>
      </c>
      <c r="CR46" s="159" t="inlineStr">
        <is>
          <t>Employee</t>
        </is>
      </c>
      <c r="CS46" s="159" t="inlineStr">
        <is>
          <t>Active</t>
        </is>
      </c>
      <c r="CT46" s="159" t="inlineStr">
        <is>
          <t>Vaibhav Govind Gahat</t>
        </is>
      </c>
      <c r="CU46" s="160" t="n">
        <v>45446</v>
      </c>
      <c r="CV46" s="159" t="inlineStr">
        <is>
          <t>Software Engineer</t>
        </is>
      </c>
      <c r="CW46" s="159" t="inlineStr">
        <is>
          <t>Engineering &amp; Development</t>
        </is>
      </c>
      <c r="CX46" s="159" t="inlineStr">
        <is>
          <t>Backend Engineering ·.NET</t>
        </is>
      </c>
      <c r="CY46" s="159" t="inlineStr">
        <is>
          <t>Software Engineer</t>
        </is>
      </c>
      <c r="CZ46" s="159" t="inlineStr">
        <is>
          <t>L3 – Professional / Associate</t>
        </is>
      </c>
      <c r="DA46" s="159" t="inlineStr">
        <is>
          <t>B.E</t>
        </is>
      </c>
      <c r="DB46" s="159" t="inlineStr">
        <is>
          <t>Jitendra Kumar</t>
        </is>
      </c>
      <c r="DC46" s="159" t="inlineStr">
        <is>
          <t>N-4</t>
        </is>
      </c>
      <c r="DD46" s="159" t="inlineStr">
        <is>
          <t>Individual Contributor</t>
        </is>
      </c>
      <c r="DE46" s="159" t="inlineStr">
        <is>
          <t>0 years, 0 months, 0 days</t>
        </is>
      </c>
      <c r="DF46" s="159" t="inlineStr">
        <is>
          <t>2 years, 0 months, 17 days</t>
        </is>
      </c>
      <c r="DG46" s="159" t="inlineStr">
        <is>
          <t>2 years, 0 months, 17 days</t>
        </is>
      </c>
      <c r="DH46" s="159" t="n"/>
      <c r="DI46" s="159" t="inlineStr">
        <is>
          <t>Regtech</t>
        </is>
      </c>
      <c r="DJ46" s="159" t="inlineStr">
        <is>
          <t>iDEAL</t>
        </is>
      </c>
      <c r="DK46" s="159" t="inlineStr">
        <is>
          <t>Technology</t>
        </is>
      </c>
      <c r="DL46" s="159" t="inlineStr">
        <is>
          <t>Development</t>
        </is>
      </c>
      <c r="DM46" s="159" t="inlineStr">
        <is>
          <t>Yes</t>
        </is>
      </c>
      <c r="DN46" s="159" t="inlineStr">
        <is>
          <t>Product/Project</t>
        </is>
      </c>
      <c r="DO46" s="159" t="inlineStr">
        <is>
          <t>.NET MVC</t>
        </is>
      </c>
      <c r="DP46" s="159" t="inlineStr">
        <is>
          <t>Technical - Developer</t>
        </is>
      </c>
      <c r="DQ46" s="159" t="inlineStr">
        <is>
          <t>Work From Office - Turbhe</t>
        </is>
      </c>
      <c r="DR46" s="159" t="inlineStr">
        <is>
          <t>1. Design and deliver scalable multi-tenant and multi-source application features, completing assigned deliverables within planned timelines while maintaining high code quality.
2. Optimize the Data Preparation module to efficiently process large datasets, improving performance, reducing processing time, and enhancing system reliability.
3. Develop and enhance API-based backend services and React frontend components to support product modernization and improve user experience.
4. Develop and maintain unit test cases for all newly developed modules to improve code quality and reduce production defects.
5. Develop reusable and configurable solutions that reduce manual effort and minimize dependency on developers for routine product configuration and maintenance.
6. Enhance technical expertise by learning and applying React and other relevant technologies to support modern application development.</t>
        </is>
      </c>
      <c r="DS46" s="159" t="inlineStr">
        <is>
          <t>1. Feature Delivery: Complete assigned features/stories with 90%+ sprint commitment accuracy.
2. Code Quality: Maintain a bug-escape rate below 5% · bugs found in production vs. total bugs for code shipped to production.
3. Test Coverage: Achieve and maintain 80%+ unit test coverage on all new code contributions.
4. Ownership: Take complete ownership of the iDEAL 6.0 APIs ensuring timely delivery of client requirements, production support, and continuous improvements.
5. Stack expertise:Learn and apply at least 1 new technology, framework, or language relevant to the product roadmap. Deliver at least 1 production feature using the new technology within the year.</t>
        </is>
      </c>
      <c r="DT46" s="159" t="inlineStr">
        <is>
          <t>1. Enhance the Data Preparation module by implementing robust error handling and user-friendly validation reports for uploaded data files.
2. Continue developing and enhancing the API-based architecture and React frontend to deliver scalable, maintainable, and high-quality application features.
3. Develop and optimize backend services for report generation in the new 6.0 application.
4. Design and implement unit test cases for newly developed modules to improve code quality and reduce production defects.
5. Build an alternative mapping framework that minimizes developer dependency by enabling Business Analysts to configure and maintain Excel mappings efficiently.</t>
        </is>
      </c>
      <c r="DU46" s="159" t="n">
        <v>4</v>
      </c>
      <c r="DV46" s="159" t="n"/>
      <c r="DW46" s="159" t="inlineStr">
        <is>
          <t>Same as per records</t>
        </is>
      </c>
      <c r="DX46" s="159" t="inlineStr">
        <is>
          <t>No</t>
        </is>
      </c>
      <c r="DY46" s="159" t="n">
        <v>4</v>
      </c>
      <c r="DZ46" s="159" t="inlineStr">
        <is>
          <t>High</t>
        </is>
      </c>
      <c r="EA46" s="159" t="inlineStr">
        <is>
          <t>Emerging Talent</t>
        </is>
      </c>
      <c r="EB46" s="159" t="inlineStr">
        <is>
          <t>Not Ready</t>
        </is>
      </c>
      <c r="EC46" s="159" t="inlineStr">
        <is>
          <t>No</t>
        </is>
      </c>
      <c r="ED46" s="159" t="inlineStr">
        <is>
          <t>Yes</t>
        </is>
      </c>
      <c r="EE46" s="159" t="inlineStr">
        <is>
          <t>XBRL Training, Training on the effective utilization of AI tools.</t>
        </is>
      </c>
      <c r="EF46" s="159" t="n"/>
    </row>
    <row r="47" ht="64" customHeight="1">
      <c r="A47" s="109" t="inlineStr">
        <is>
          <t>IRIS2018</t>
        </is>
      </c>
      <c r="B47" s="111" t="inlineStr">
        <is>
          <t>Varsha Patil</t>
        </is>
      </c>
      <c r="C47" s="111" t="inlineStr">
        <is>
          <t>Technology</t>
        </is>
      </c>
      <c r="D47" s="114" t="inlineStr">
        <is>
          <t>Software Engineer</t>
        </is>
      </c>
      <c r="E47" s="114" t="inlineStr">
        <is>
          <t>Senior Software Engineer</t>
        </is>
      </c>
      <c r="F47" s="114" t="inlineStr">
        <is>
          <t>L3 – Professional / Associate</t>
        </is>
      </c>
      <c r="G47" s="114" t="inlineStr">
        <is>
          <t>A3</t>
        </is>
      </c>
      <c r="H47" s="142" t="inlineStr">
        <is>
          <t>▲ Up</t>
        </is>
      </c>
      <c r="I47" s="111" t="inlineStr">
        <is>
          <t>Engineering &amp; Development</t>
        </is>
      </c>
      <c r="J47" s="111" t="inlineStr">
        <is>
          <t>Backend Development</t>
        </is>
      </c>
      <c r="K47" s="111" t="inlineStr"/>
      <c r="L47" s="111" t="n">
        <v>20</v>
      </c>
      <c r="M47" s="139" t="inlineStr">
        <is>
          <t>P2</t>
        </is>
      </c>
      <c r="N47" s="115" t="inlineStr">
        <is>
          <t>Developing</t>
        </is>
      </c>
      <c r="O47" s="115" t="inlineStr">
        <is>
          <t>3 Apply</t>
        </is>
      </c>
      <c r="P47" s="115" t="inlineStr">
        <is>
          <t>2–4 yrs</t>
        </is>
      </c>
      <c r="Q47" s="115" t="inlineStr">
        <is>
          <t>3–5 · 2–5</t>
        </is>
      </c>
      <c r="R47" s="115" t="inlineStr">
        <is>
          <t>Software Engineer</t>
        </is>
      </c>
      <c r="S47" s="115" t="inlineStr">
        <is>
          <r>
            <rPr>
              <rFont val="Calibri"/>
              <b val="1"/>
              <sz val="10"/>
            </rPr>
            <t>Workiva:</t>
          </r>
          <r>
            <rPr>
              <rFont val="Calibri"/>
              <sz val="10"/>
            </rPr>
            <t xml:space="preserve"> SE · Broadridge India: SE · Nasdaq / AxiomSL: SE · Salesforce: MTS · Atlassian: P40 · 3–7 yrs · Freshworks: Senior SE</t>
          </r>
        </is>
      </c>
      <c r="T47" s="115" t="inlineStr">
        <is>
          <t>SFIA 9 · software development, programming; OWASP secure coding; cloud vendor certifications</t>
        </is>
      </c>
      <c r="U47" s="115" t="inlineStr">
        <is>
          <t>Core 2 · Future 2 · Functional 3 · Leadership not scored</t>
        </is>
      </c>
      <c r="V47" s="158" t="n">
        <v>218</v>
      </c>
      <c r="W47" s="159" t="inlineStr">
        <is>
          <t>IRIS2018</t>
        </is>
      </c>
      <c r="X47" s="159" t="inlineStr">
        <is>
          <t>Employee</t>
        </is>
      </c>
      <c r="Y47" s="159" t="inlineStr">
        <is>
          <t>Active</t>
        </is>
      </c>
      <c r="Z47" s="159" t="inlineStr">
        <is>
          <t>Varsha Patil</t>
        </is>
      </c>
      <c r="AA47" s="244" t="n">
        <v>44706</v>
      </c>
      <c r="AB47" s="159" t="inlineStr">
        <is>
          <t>Software Engineer</t>
        </is>
      </c>
      <c r="AC47" s="159" t="inlineStr">
        <is>
          <t>B.E</t>
        </is>
      </c>
      <c r="AD47" s="159" t="inlineStr">
        <is>
          <t>Jitendra Kumar</t>
        </is>
      </c>
      <c r="AE47" s="159" t="inlineStr">
        <is>
          <t>N-4</t>
        </is>
      </c>
      <c r="AF47" s="159" t="inlineStr">
        <is>
          <t>Individual Contributor</t>
        </is>
      </c>
      <c r="AG47" s="159" t="inlineStr">
        <is>
          <t>1 years, 0 months, 0 days</t>
        </is>
      </c>
      <c r="AH47" s="159" t="inlineStr">
        <is>
          <t>4 years, 3 months, 0 days</t>
        </is>
      </c>
      <c r="AI47" s="159" t="inlineStr">
        <is>
          <t>Regtech</t>
        </is>
      </c>
      <c r="AJ47" s="159" t="inlineStr">
        <is>
          <t>iDEAL</t>
        </is>
      </c>
      <c r="AK47" s="159" t="inlineStr">
        <is>
          <t>Technology</t>
        </is>
      </c>
      <c r="AL47" s="159" t="inlineStr">
        <is>
          <t>Development</t>
        </is>
      </c>
      <c r="AM47" s="159" t="inlineStr">
        <is>
          <t>Yes</t>
        </is>
      </c>
      <c r="AN47" s="159" t="inlineStr">
        <is>
          <t>Product/Project</t>
        </is>
      </c>
      <c r="AO47" s="159" t="inlineStr">
        <is>
          <t>.NET MVC</t>
        </is>
      </c>
      <c r="AP47" s="159" t="inlineStr">
        <is>
          <t>Technical - Developer</t>
        </is>
      </c>
      <c r="AQ47" s="159" t="n">
        <v>20</v>
      </c>
      <c r="AR47" s="159" t="inlineStr">
        <is>
          <t>Covered</t>
        </is>
      </c>
      <c r="AS47" s="159" t="n"/>
      <c r="AT47" s="159" t="n"/>
      <c r="AU47" s="159" t="n"/>
      <c r="AV47" s="159" t="n"/>
      <c r="AW47" s="159" t="n"/>
      <c r="AX47" s="159" t="n"/>
      <c r="AY47" s="159" t="n"/>
      <c r="AZ47" s="159" t="n"/>
      <c r="BA47" s="159" t="n"/>
      <c r="BB47" s="159" t="n"/>
      <c r="BC47" s="159" t="n"/>
      <c r="BD47" s="159" t="n"/>
      <c r="BE47" s="159" t="n"/>
      <c r="BF47" s="159" t="n"/>
      <c r="BG47" s="159" t="n"/>
      <c r="BH47" s="159" t="n"/>
      <c r="BI47" s="159" t="n"/>
      <c r="BJ47" s="159" t="n"/>
      <c r="BK47" s="159" t="n"/>
      <c r="BL47" s="159" t="n"/>
      <c r="BM47" s="159" t="n"/>
      <c r="BN47" s="159" t="n"/>
      <c r="BO47" s="159" t="n"/>
      <c r="BP47" s="159" t="n"/>
      <c r="BQ47" s="159" t="n"/>
      <c r="BR47" s="159" t="n"/>
      <c r="BS47" s="159" t="n"/>
      <c r="BT47" s="159" t="n"/>
      <c r="BU47" s="159" t="n"/>
      <c r="BV47" s="159" t="n"/>
      <c r="BW47" s="159" t="n"/>
      <c r="BX47" s="159" t="n"/>
      <c r="BY47" s="159" t="n"/>
      <c r="BZ47" s="159" t="n"/>
      <c r="CA47" s="159" t="n"/>
      <c r="CB47" s="159" t="n"/>
      <c r="CC47" s="159" t="n"/>
      <c r="CD47" s="159" t="n"/>
      <c r="CE47" s="159" t="n"/>
      <c r="CF47" s="159" t="n"/>
      <c r="CG47" s="159" t="n"/>
      <c r="CH47" s="159" t="n"/>
      <c r="CI47" s="159" t="n"/>
      <c r="CJ47" s="159" t="n"/>
      <c r="CK47" s="159" t="n"/>
      <c r="CL47" s="159" t="n"/>
      <c r="CM47" s="159" t="n"/>
      <c r="CN47" s="159" t="n"/>
      <c r="CO47" s="159" t="n"/>
      <c r="CP47" s="159" t="n"/>
      <c r="CQ47" s="159" t="inlineStr">
        <is>
          <t>IRIS2018</t>
        </is>
      </c>
      <c r="CR47" s="159" t="inlineStr">
        <is>
          <t>Employee</t>
        </is>
      </c>
      <c r="CS47" s="159" t="inlineStr">
        <is>
          <t>Active</t>
        </is>
      </c>
      <c r="CT47" s="159" t="inlineStr">
        <is>
          <t>Varsha Patil</t>
        </is>
      </c>
      <c r="CU47" s="160" t="n">
        <v>44706</v>
      </c>
      <c r="CV47" s="159" t="inlineStr">
        <is>
          <t>Software Engineer</t>
        </is>
      </c>
      <c r="CW47" s="159" t="inlineStr">
        <is>
          <t>Engineering &amp; Development</t>
        </is>
      </c>
      <c r="CX47" s="159" t="inlineStr">
        <is>
          <t>Backend Engineering ·.NET</t>
        </is>
      </c>
      <c r="CY47" s="159" t="inlineStr">
        <is>
          <t>Software Engineer</t>
        </is>
      </c>
      <c r="CZ47" s="159" t="inlineStr">
        <is>
          <t>L3 – Professional / Associate</t>
        </is>
      </c>
      <c r="DA47" s="159" t="inlineStr">
        <is>
          <t>B.E</t>
        </is>
      </c>
      <c r="DB47" s="159" t="inlineStr">
        <is>
          <t>Jitendra Kumar</t>
        </is>
      </c>
      <c r="DC47" s="159" t="inlineStr">
        <is>
          <t>N-4</t>
        </is>
      </c>
      <c r="DD47" s="159" t="inlineStr">
        <is>
          <t>Individual Contributor</t>
        </is>
      </c>
      <c r="DE47" s="159" t="inlineStr">
        <is>
          <t>1 years, 0 months, 0 days</t>
        </is>
      </c>
      <c r="DF47" s="159" t="inlineStr">
        <is>
          <t>4 years, 0 months, 26 days</t>
        </is>
      </c>
      <c r="DG47" s="159" t="inlineStr">
        <is>
          <t>5 years, 0 months, 26 days</t>
        </is>
      </c>
      <c r="DH47" s="159" t="n"/>
      <c r="DI47" s="159" t="inlineStr">
        <is>
          <t>Regtech</t>
        </is>
      </c>
      <c r="DJ47" s="159" t="inlineStr">
        <is>
          <t>iDEAL</t>
        </is>
      </c>
      <c r="DK47" s="159" t="inlineStr">
        <is>
          <t>Technology</t>
        </is>
      </c>
      <c r="DL47" s="159" t="inlineStr">
        <is>
          <t>Development</t>
        </is>
      </c>
      <c r="DM47" s="159" t="inlineStr">
        <is>
          <t>Yes</t>
        </is>
      </c>
      <c r="DN47" s="159" t="inlineStr">
        <is>
          <t>Product/Project</t>
        </is>
      </c>
      <c r="DO47" s="159" t="inlineStr">
        <is>
          <t>.NET MVC</t>
        </is>
      </c>
      <c r="DP47" s="159" t="inlineStr">
        <is>
          <t>Technical - Developer</t>
        </is>
      </c>
      <c r="DQ47" s="159" t="inlineStr">
        <is>
          <t>Remote - Mumbai</t>
        </is>
      </c>
      <c r="DR47" s="159" t="inlineStr">
        <is>
          <t>1	Deliver assigned development tasks, enhancements, and bug fixes within committed timelines while maintaining high coding standards, application quality, and adherence to project commitments.
2	Take end-to-end ownership of the non-XBRL modules in the WebIDEAL application by driving enhancements, production support, defect resolution, and continuous improvements to ensure a stable, reliable, and scalable application.Take end-to-end ownership of
 the non-XBRL modules in the WebIDEAL application by managing enhancements, production support, defect resolution, and continuous improvements to ensure a stable and reliable application.
3	Ensure the stability and continuous improvement of the IDEAL REST API application by providing client support, resolving defects, implementing change requests, and maintaining reliable API services through effective collaboration with cross-functional teams.
4	Strengthen front-end development skills by learning React and applying the knowledge to .NET 6 projects to build modern, reusable, and responsive user interfaces.
5	Leverage AI tools to improve development productivity, code quality, debugging, documentation, and overall efficiency while following organizational best practices and security guidelines.</t>
        </is>
      </c>
      <c r="DS47" s="159" t="inlineStr">
        <is>
          <t>1. AI-Assisted Development Adoption: Use AI coding assistants for at least 60% of development tasks, with no increase in bug-escape rate.
2. Test Coverage: Achieve and maintain 80%+ unit test coverage on all new code contributions.
3. Ownership: Complete iDEAL6.0 Application development with end-to-end ownership and timely execution.
4. Vulnerability Resolution: Resolve assigned security vulnerabilities · from SAST/DAST scans or audit reports within SLA, achieving 90%+ on-time closure rate, with severity-based prioritization.
5.Secure Coding Mentorship: Conduct quarterly secure coding training/workshops for the team, with measurable reduction in recurring vulnerability classes found in audits · target: 25% YoY reduction.</t>
        </is>
      </c>
      <c r="DT47" s="159" t="inlineStr">
        <is>
          <t>1	Complete the remaining development, testing, and deployment of the EBR Rendering and Error Grid modules within the planned timeline.
2	Maintain the stability and reliability of the IDEAL REST API application by resolving client issues, implementing approved change requests, and supporting production deployments.
3	Continue building React expertise by applying learned concepts through reusable components or project enhancements in .NET 6, wherever applicable.
4	Strengthen application security by analysing, resolving, and validating assigned VAPT findings before release.
5	Leverage AI tools to improve development productivity, code quality, debugging, documentation, and testing efficiency while following organizational best practices.</t>
        </is>
      </c>
      <c r="DU47" s="159" t="n">
        <v>3</v>
      </c>
      <c r="DV47" s="159" t="n"/>
      <c r="DW47" s="159" t="inlineStr">
        <is>
          <t>Same as per records</t>
        </is>
      </c>
      <c r="DX47" s="159" t="inlineStr">
        <is>
          <t>No</t>
        </is>
      </c>
      <c r="DY47" s="159" t="n">
        <v>3</v>
      </c>
      <c r="DZ47" s="159" t="inlineStr">
        <is>
          <t>Medium</t>
        </is>
      </c>
      <c r="EA47" s="159" t="inlineStr">
        <is>
          <t>Core Contributor</t>
        </is>
      </c>
      <c r="EB47" s="159" t="inlineStr">
        <is>
          <t>Ready in 12 Months</t>
        </is>
      </c>
      <c r="EC47" s="159" t="inlineStr">
        <is>
          <t>No</t>
        </is>
      </c>
      <c r="ED47" s="159" t="inlineStr">
        <is>
          <t>No</t>
        </is>
      </c>
      <c r="EE47" s="159" t="inlineStr">
        <is>
          <t>XBRL Training, Training on the effective utilization of AI tools.</t>
        </is>
      </c>
      <c r="EF47" s="159" t="n"/>
    </row>
    <row r="48" ht="64" customHeight="1">
      <c r="A48" s="109" t="inlineStr">
        <is>
          <t>IRIS2527</t>
        </is>
      </c>
      <c r="B48" s="111" t="inlineStr">
        <is>
          <t>Hemand Thayil</t>
        </is>
      </c>
      <c r="C48" s="111" t="inlineStr">
        <is>
          <t>Technology</t>
        </is>
      </c>
      <c r="D48" s="114" t="inlineStr">
        <is>
          <t>Customer Solution Analyst</t>
        </is>
      </c>
      <c r="E48" s="114" t="inlineStr">
        <is>
          <t>Support Executive</t>
        </is>
      </c>
      <c r="F48" s="111" t="inlineStr">
        <is>
          <t>L3 – Professional / Associate</t>
        </is>
      </c>
      <c r="G48" s="24" t="inlineStr">
        <is>
          <t>A2</t>
        </is>
      </c>
      <c r="H48" s="118" t="inlineStr">
        <is>
          <t>• Same level</t>
        </is>
      </c>
      <c r="I48" s="111" t="inlineStr">
        <is>
          <t>Customer Success &amp; Support</t>
        </is>
      </c>
      <c r="J48" s="111" t="inlineStr">
        <is>
          <t>Application &amp; Product Support</t>
        </is>
      </c>
      <c r="K48" s="111" t="inlineStr"/>
      <c r="L48" s="111" t="n">
        <v>17</v>
      </c>
      <c r="M48" s="139" t="inlineStr">
        <is>
          <t>P1–P2</t>
        </is>
      </c>
      <c r="N48" s="115" t="inlineStr">
        <is>
          <t>Entry / Developing</t>
        </is>
      </c>
      <c r="O48" s="115" t="inlineStr">
        <is>
          <t>2 Assist</t>
        </is>
      </c>
      <c r="P48" s="115" t="inlineStr">
        <is>
          <t>0–2 yrs</t>
        </is>
      </c>
      <c r="Q48" s="115" t="inlineStr">
        <is>
          <t>1–3 · 0–3</t>
        </is>
      </c>
      <c r="R48" s="115" t="inlineStr">
        <is>
          <t>Support Associate / Support / CS Executive</t>
        </is>
      </c>
      <c r="S48" s="115" t="inlineStr">
        <is>
          <t>IRIS Vs Competitor Benchmark — SaaS customer-success ladder: Support Associate · IRIS Vs Competitor Benchmark — support tiers: L1 Service Desk</t>
        </is>
      </c>
      <c r="T48" s="115" t="inlineStr">
        <is>
          <t>TSIA frameworks and benchmarks; ITIL 4 service desk; Gainsight customer-success practice</t>
        </is>
      </c>
      <c r="U48" s="115" t="inlineStr">
        <is>
          <t>Core 2 · Future 2 · Functional 2 · Leadership not scored</t>
        </is>
      </c>
      <c r="V48" s="158" t="n">
        <v>497</v>
      </c>
      <c r="W48" s="159" t="inlineStr">
        <is>
          <t>IRIS2527</t>
        </is>
      </c>
      <c r="X48" s="159" t="inlineStr">
        <is>
          <t>Employee</t>
        </is>
      </c>
      <c r="Y48" s="159" t="inlineStr">
        <is>
          <t>Active</t>
        </is>
      </c>
      <c r="Z48" s="159" t="inlineStr">
        <is>
          <t>Hemand Thayil</t>
        </is>
      </c>
      <c r="AA48" s="244" t="n">
        <v>46146</v>
      </c>
      <c r="AB48" s="159" t="inlineStr">
        <is>
          <t>Customer Solution Analyst</t>
        </is>
      </c>
      <c r="AC48" s="159" t="inlineStr">
        <is>
          <t>MCA</t>
        </is>
      </c>
      <c r="AD48" s="159" t="inlineStr">
        <is>
          <t>Aroosa Ghole</t>
        </is>
      </c>
      <c r="AE48" s="159" t="inlineStr">
        <is>
          <t>N-4</t>
        </is>
      </c>
      <c r="AF48" s="159" t="inlineStr">
        <is>
          <t>Individual Contributor</t>
        </is>
      </c>
      <c r="AG48" s="159" t="inlineStr">
        <is>
          <t>1 years, 6 months, 0 days</t>
        </is>
      </c>
      <c r="AH48" s="159" t="inlineStr">
        <is>
          <t>0 years, 3 months, 21 days</t>
        </is>
      </c>
      <c r="AI48" s="159" t="inlineStr">
        <is>
          <t>Regtech</t>
        </is>
      </c>
      <c r="AJ48" s="159" t="inlineStr">
        <is>
          <t>iDEAL</t>
        </is>
      </c>
      <c r="AK48" s="159" t="inlineStr">
        <is>
          <t>Technology</t>
        </is>
      </c>
      <c r="AL48" s="159" t="inlineStr">
        <is>
          <t>Business Analysis</t>
        </is>
      </c>
      <c r="AM48" s="159" t="inlineStr">
        <is>
          <t>Yes</t>
        </is>
      </c>
      <c r="AN48" s="159" t="inlineStr">
        <is>
          <t>Product/Project</t>
        </is>
      </c>
      <c r="AO48" s="159" t="inlineStr">
        <is>
          <t>Business Analysis</t>
        </is>
      </c>
      <c r="AP48" s="159" t="inlineStr">
        <is>
          <t>Technical · BA, PM and QA</t>
        </is>
      </c>
      <c r="AQ48" s="159" t="n">
        <v>20</v>
      </c>
      <c r="AR48" s="159" t="inlineStr">
        <is>
          <t>Covered</t>
        </is>
      </c>
      <c r="AS48" s="159" t="n"/>
      <c r="AT48" s="159" t="n"/>
      <c r="AU48" s="159" t="n"/>
      <c r="AV48" s="159" t="n"/>
      <c r="AW48" s="159" t="n"/>
      <c r="AX48" s="159" t="n"/>
      <c r="AY48" s="159" t="n"/>
      <c r="AZ48" s="159" t="n"/>
      <c r="BA48" s="159" t="n"/>
      <c r="BB48" s="159" t="n"/>
      <c r="BC48" s="159" t="n"/>
      <c r="BD48" s="159" t="n"/>
      <c r="BE48" s="159" t="n"/>
      <c r="BF48" s="159" t="n"/>
      <c r="BG48" s="159" t="n"/>
      <c r="BH48" s="159" t="n"/>
      <c r="BI48" s="159" t="n"/>
      <c r="BJ48" s="159" t="n"/>
      <c r="BK48" s="159" t="n"/>
      <c r="BL48" s="159" t="n"/>
      <c r="BM48" s="159" t="n"/>
      <c r="BN48" s="159" t="n"/>
      <c r="BO48" s="159" t="n"/>
      <c r="BP48" s="159" t="n"/>
      <c r="BQ48" s="159" t="n"/>
      <c r="BR48" s="159" t="n"/>
      <c r="BS48" s="159" t="n"/>
      <c r="BT48" s="159" t="n"/>
      <c r="BU48" s="159" t="n"/>
      <c r="BV48" s="159" t="n"/>
      <c r="BW48" s="159" t="n"/>
      <c r="BX48" s="159" t="n"/>
      <c r="BY48" s="159" t="n"/>
      <c r="BZ48" s="159" t="n"/>
      <c r="CA48" s="159" t="n"/>
      <c r="CB48" s="159" t="n"/>
      <c r="CC48" s="159" t="n"/>
      <c r="CD48" s="159" t="n"/>
      <c r="CE48" s="159" t="n"/>
      <c r="CF48" s="159" t="n"/>
      <c r="CG48" s="159" t="n"/>
      <c r="CH48" s="159" t="n"/>
      <c r="CI48" s="159" t="n"/>
      <c r="CJ48" s="159" t="n"/>
      <c r="CK48" s="159" t="n"/>
      <c r="CL48" s="159" t="n"/>
      <c r="CM48" s="159" t="n"/>
      <c r="CN48" s="159" t="n"/>
      <c r="CO48" s="159" t="n"/>
      <c r="CP48" s="159" t="n"/>
      <c r="CQ48" s="159" t="inlineStr">
        <is>
          <t>IRIS2527</t>
        </is>
      </c>
      <c r="CR48" s="159" t="inlineStr">
        <is>
          <t>Employee</t>
        </is>
      </c>
      <c r="CS48" s="159" t="inlineStr">
        <is>
          <t>Active</t>
        </is>
      </c>
      <c r="CT48" s="159" t="inlineStr">
        <is>
          <t>Hemand Thayil</t>
        </is>
      </c>
      <c r="CU48" s="160" t="n">
        <v>46146</v>
      </c>
      <c r="CV48" s="159" t="inlineStr">
        <is>
          <t>Customer Solution Analyst</t>
        </is>
      </c>
      <c r="CW48" s="159" t="inlineStr">
        <is>
          <t>Engineering &amp; Development</t>
        </is>
      </c>
      <c r="CX48" s="159" t="inlineStr">
        <is>
          <t>Software Engineering</t>
        </is>
      </c>
      <c r="CY48" s="159" t="inlineStr">
        <is>
          <t>Customer Solution Analyst</t>
        </is>
      </c>
      <c r="CZ48" s="159" t="inlineStr">
        <is>
          <t>L3 – Professional / Associate</t>
        </is>
      </c>
      <c r="DA48" s="159" t="inlineStr">
        <is>
          <t>MCA</t>
        </is>
      </c>
      <c r="DB48" s="159" t="inlineStr">
        <is>
          <t>Aroosa Ghole</t>
        </is>
      </c>
      <c r="DC48" s="159" t="inlineStr">
        <is>
          <t>N-4</t>
        </is>
      </c>
      <c r="DD48" s="159" t="inlineStr">
        <is>
          <t>Individual Contributor</t>
        </is>
      </c>
      <c r="DE48" s="159" t="inlineStr">
        <is>
          <t>1 years, 6 months, 0 days</t>
        </is>
      </c>
      <c r="DF48" s="159" t="inlineStr">
        <is>
          <t>0 years, 1 months, 16 days</t>
        </is>
      </c>
      <c r="DG48" s="159" t="inlineStr">
        <is>
          <t>1 years, 7 months, 16 days</t>
        </is>
      </c>
      <c r="DH48" s="159" t="n"/>
      <c r="DI48" s="159" t="inlineStr">
        <is>
          <t>Regtech</t>
        </is>
      </c>
      <c r="DJ48" s="159" t="inlineStr">
        <is>
          <t>iDEAL</t>
        </is>
      </c>
      <c r="DK48" s="159" t="inlineStr">
        <is>
          <t>Technology</t>
        </is>
      </c>
      <c r="DL48" s="159" t="inlineStr">
        <is>
          <t>Development</t>
        </is>
      </c>
      <c r="DM48" s="159" t="inlineStr">
        <is>
          <t>Yes</t>
        </is>
      </c>
      <c r="DN48" s="159" t="inlineStr">
        <is>
          <t>Product/Project</t>
        </is>
      </c>
      <c r="DO48" s="159" t="inlineStr">
        <is>
          <t>Business Analysis</t>
        </is>
      </c>
      <c r="DP48" s="159" t="inlineStr">
        <is>
          <t>Technical · BA, PM and QA</t>
        </is>
      </c>
      <c r="DQ48" s="159" t="inlineStr">
        <is>
          <t>Work From Office - Turbhe</t>
        </is>
      </c>
      <c r="DR48" s="159" t="inlineStr">
        <is>
          <t>1.Complete end-to-end understanding of the XBRL and Non-XBRL report generation process and apply it to independently resolve standard to medium-complexity support issues by year-end.
2. Reduce dependency on seniors/mentors for issue resolution progress from shadowing to independently handling the majority of assigned issues with minimal escalation.
3. Maintain strong adherence · target: 95%+ on all assigned issues once handling independently, through better prioritization and proactive communication.
4. Build and contribute to a knowledge base of recurring XBRL/Non-XBRL issues, root causes, and fixes reducing repeat investigation time for self and team.
5. Strengthen domain and technical expertise in regulatory/XBRL reporting through continuous learning, enabling handling of more complex issues and contributing to process improvements over time.</t>
        </is>
      </c>
      <c r="DS48" s="159"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DT48" s="159"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DU48" s="159" t="n">
        <v>2</v>
      </c>
      <c r="DV48" s="160" t="n">
        <v>45931</v>
      </c>
      <c r="DW48" s="159" t="inlineStr">
        <is>
          <t>Same as current designation</t>
        </is>
      </c>
      <c r="DX48" s="159" t="inlineStr">
        <is>
          <t>No</t>
        </is>
      </c>
      <c r="DY48" s="159" t="n">
        <v>3</v>
      </c>
      <c r="DZ48" s="159" t="inlineStr">
        <is>
          <t>Medium</t>
        </is>
      </c>
      <c r="EA48" s="159" t="inlineStr">
        <is>
          <t>Core Contributor</t>
        </is>
      </c>
      <c r="EB48" s="159" t="inlineStr">
        <is>
          <t>Not Ready</t>
        </is>
      </c>
      <c r="EC48" s="159" t="inlineStr">
        <is>
          <t>No</t>
        </is>
      </c>
      <c r="ED48" s="159" t="inlineStr">
        <is>
          <t>No</t>
        </is>
      </c>
      <c r="EE48" s="159" t="inlineStr">
        <is>
          <t>XBRL Training, Training on the effective utilization of AI tools.</t>
        </is>
      </c>
      <c r="EF48" s="159" t="n"/>
    </row>
    <row r="49" ht="64" customHeight="1">
      <c r="A49" s="109" t="inlineStr">
        <is>
          <t>IRIS2426</t>
        </is>
      </c>
      <c r="B49" s="111" t="inlineStr">
        <is>
          <t>Abhay Pandey</t>
        </is>
      </c>
      <c r="C49" s="111" t="inlineStr">
        <is>
          <t>Technology</t>
        </is>
      </c>
      <c r="D49" s="114" t="inlineStr">
        <is>
          <t>Trainee Software Engineer</t>
        </is>
      </c>
      <c r="E49" s="114" t="inlineStr">
        <is>
          <t>Software Engineer</t>
        </is>
      </c>
      <c r="F49" s="114" t="inlineStr">
        <is>
          <t>L2 – Trainee</t>
        </is>
      </c>
      <c r="G49" s="114" t="inlineStr">
        <is>
          <t>A2</t>
        </is>
      </c>
      <c r="H49" s="142" t="inlineStr">
        <is>
          <t>▲ Up</t>
        </is>
      </c>
      <c r="I49" s="111" t="inlineStr">
        <is>
          <t>Engineering &amp; Development</t>
        </is>
      </c>
      <c r="J49" s="111" t="inlineStr">
        <is>
          <t>Backend Development</t>
        </is>
      </c>
      <c r="K49" s="111" t="inlineStr"/>
      <c r="L49" s="111" t="n">
        <v>20</v>
      </c>
      <c r="M49" s="139" t="inlineStr">
        <is>
          <t>P1–P2</t>
        </is>
      </c>
      <c r="N49" s="115" t="inlineStr">
        <is>
          <t>Entry / Developing</t>
        </is>
      </c>
      <c r="O49" s="115" t="inlineStr">
        <is>
          <t>2 Assist</t>
        </is>
      </c>
      <c r="P49" s="115" t="inlineStr">
        <is>
          <t>0–2 yrs</t>
        </is>
      </c>
      <c r="Q49" s="115" t="inlineStr">
        <is>
          <t>1–3 · 0–3</t>
        </is>
      </c>
      <c r="R49" s="115" t="inlineStr">
        <is>
          <t>Associate Software Engineer / Software Engineer</t>
        </is>
      </c>
      <c r="S49" s="115" t="inlineStr">
        <is>
          <r>
            <rPr>
              <rFont val="Calibri"/>
              <b val="1"/>
              <sz val="10"/>
            </rPr>
            <t>Workiva:</t>
          </r>
          <r>
            <rPr>
              <rFont val="Calibri"/>
              <sz val="10"/>
            </rPr>
            <t xml:space="preserve"> Associate SE · Broadridge India: SE · Nasdaq / AxiomSL: SE · Salesforce: AMTS · Atlassian: P30 Junior · 0–2 yrs · Freshworks: SE</t>
          </r>
        </is>
      </c>
      <c r="T49" s="115" t="inlineStr">
        <is>
          <t>SFIA 9 · software development, programming; OWASP secure coding; cloud vendor certifications</t>
        </is>
      </c>
      <c r="U49" s="115" t="inlineStr">
        <is>
          <t>Core 2 · Future 2 · Functional 2 · Leadership not scored</t>
        </is>
      </c>
      <c r="V49" s="158" t="n">
        <v>395</v>
      </c>
      <c r="W49" s="159" t="inlineStr">
        <is>
          <t>IRIS2426</t>
        </is>
      </c>
      <c r="X49" s="159" t="inlineStr">
        <is>
          <t>Employee</t>
        </is>
      </c>
      <c r="Y49" s="159" t="inlineStr">
        <is>
          <t>Active</t>
        </is>
      </c>
      <c r="Z49" s="159" t="inlineStr">
        <is>
          <t>Abhay Pandey</t>
        </is>
      </c>
      <c r="AA49" s="244" t="n">
        <v>45894</v>
      </c>
      <c r="AB49" s="159" t="inlineStr">
        <is>
          <t>Trainee Software Engineer</t>
        </is>
      </c>
      <c r="AC49" s="159" t="inlineStr">
        <is>
          <t>B.E</t>
        </is>
      </c>
      <c r="AD49" s="159" t="inlineStr">
        <is>
          <t>Swapnil Shirke</t>
        </is>
      </c>
      <c r="AE49" s="159" t="inlineStr">
        <is>
          <t>N-5</t>
        </is>
      </c>
      <c r="AF49" s="159" t="inlineStr">
        <is>
          <t>Individual Contributor</t>
        </is>
      </c>
      <c r="AG49" s="159" t="inlineStr">
        <is>
          <t>0 years, 0 months, 0 days</t>
        </is>
      </c>
      <c r="AH49" s="159" t="inlineStr">
        <is>
          <t>1 years, 0 months, 0 days</t>
        </is>
      </c>
      <c r="AI49" s="159" t="inlineStr">
        <is>
          <t>Regtech</t>
        </is>
      </c>
      <c r="AJ49" s="159" t="inlineStr">
        <is>
          <t>iDEAL</t>
        </is>
      </c>
      <c r="AK49" s="159" t="inlineStr">
        <is>
          <t>Technology</t>
        </is>
      </c>
      <c r="AL49" s="159" t="inlineStr">
        <is>
          <t>Development</t>
        </is>
      </c>
      <c r="AM49" s="159" t="inlineStr">
        <is>
          <t>Yes</t>
        </is>
      </c>
      <c r="AN49" s="159" t="inlineStr">
        <is>
          <t>Product/Project</t>
        </is>
      </c>
      <c r="AO49" s="159" t="inlineStr">
        <is>
          <t>.NET MVC</t>
        </is>
      </c>
      <c r="AP49" s="159" t="inlineStr">
        <is>
          <t>Technical - Developer</t>
        </is>
      </c>
      <c r="AQ49" s="159" t="n">
        <v>20</v>
      </c>
      <c r="AR49" s="159" t="inlineStr">
        <is>
          <t>Covered</t>
        </is>
      </c>
      <c r="AS49" s="159" t="n"/>
      <c r="AT49" s="159" t="n"/>
      <c r="AU49" s="159" t="n"/>
      <c r="AV49" s="159" t="n"/>
      <c r="AW49" s="159" t="n"/>
      <c r="AX49" s="159" t="n"/>
      <c r="AY49" s="159" t="n"/>
      <c r="AZ49" s="159" t="n"/>
      <c r="BA49" s="159" t="n"/>
      <c r="BB49" s="159" t="n"/>
      <c r="BC49" s="159" t="n"/>
      <c r="BD49" s="159" t="n"/>
      <c r="BE49" s="159" t="n"/>
      <c r="BF49" s="159" t="n"/>
      <c r="BG49" s="159" t="n"/>
      <c r="BH49" s="159" t="n"/>
      <c r="BI49" s="159" t="n"/>
      <c r="BJ49" s="159" t="n"/>
      <c r="BK49" s="159" t="n"/>
      <c r="BL49" s="159" t="n"/>
      <c r="BM49" s="159" t="n"/>
      <c r="BN49" s="159" t="n"/>
      <c r="BO49" s="159" t="n"/>
      <c r="BP49" s="159" t="n"/>
      <c r="BQ49" s="159" t="n"/>
      <c r="BR49" s="159" t="n"/>
      <c r="BS49" s="159" t="n"/>
      <c r="BT49" s="159" t="n"/>
      <c r="BU49" s="159" t="n"/>
      <c r="BV49" s="159" t="n"/>
      <c r="BW49" s="159" t="n"/>
      <c r="BX49" s="159" t="n"/>
      <c r="BY49" s="159" t="n"/>
      <c r="BZ49" s="159" t="n"/>
      <c r="CA49" s="159" t="n"/>
      <c r="CB49" s="159" t="n"/>
      <c r="CC49" s="159" t="n"/>
      <c r="CD49" s="159" t="n"/>
      <c r="CE49" s="159" t="n"/>
      <c r="CF49" s="159" t="n"/>
      <c r="CG49" s="159" t="n"/>
      <c r="CH49" s="159" t="n"/>
      <c r="CI49" s="159" t="n"/>
      <c r="CJ49" s="159" t="n"/>
      <c r="CK49" s="159" t="n"/>
      <c r="CL49" s="159" t="n"/>
      <c r="CM49" s="159" t="n"/>
      <c r="CN49" s="159" t="n"/>
      <c r="CO49" s="159" t="n"/>
      <c r="CP49" s="159" t="n"/>
      <c r="CQ49" s="159" t="inlineStr">
        <is>
          <t>IRIS2426</t>
        </is>
      </c>
      <c r="CR49" s="159" t="inlineStr">
        <is>
          <t>Employee</t>
        </is>
      </c>
      <c r="CS49" s="159" t="inlineStr">
        <is>
          <t>Active</t>
        </is>
      </c>
      <c r="CT49" s="159" t="inlineStr">
        <is>
          <t>Abhay Pandey</t>
        </is>
      </c>
      <c r="CU49" s="160" t="n">
        <v>45894</v>
      </c>
      <c r="CV49" s="159" t="inlineStr">
        <is>
          <t>Trainee Software Engineer</t>
        </is>
      </c>
      <c r="CW49" s="159" t="inlineStr">
        <is>
          <t>Engineering &amp; Development</t>
        </is>
      </c>
      <c r="CX49" s="159" t="inlineStr">
        <is>
          <t>Backend Engineering ·.NET</t>
        </is>
      </c>
      <c r="CY49" s="159" t="inlineStr">
        <is>
          <t>Trainee Software Engineer</t>
        </is>
      </c>
      <c r="CZ49" s="159" t="inlineStr">
        <is>
          <t>L2 – Trainee</t>
        </is>
      </c>
      <c r="DA49" s="159" t="inlineStr">
        <is>
          <t>B.E</t>
        </is>
      </c>
      <c r="DB49" s="159" t="inlineStr">
        <is>
          <t>Swapnil Shirke</t>
        </is>
      </c>
      <c r="DC49" s="159" t="inlineStr">
        <is>
          <t>N-5</t>
        </is>
      </c>
      <c r="DD49" s="159" t="inlineStr">
        <is>
          <t>Individual Contributor</t>
        </is>
      </c>
      <c r="DE49" s="159" t="inlineStr">
        <is>
          <t>0 years, 0 months, 0 days</t>
        </is>
      </c>
      <c r="DF49" s="159" t="inlineStr">
        <is>
          <t>0 years, 9 months, 26 days</t>
        </is>
      </c>
      <c r="DG49" s="159" t="inlineStr">
        <is>
          <t>0 years, 9 months, 26 days</t>
        </is>
      </c>
      <c r="DH49" s="159" t="n"/>
      <c r="DI49" s="159" t="inlineStr">
        <is>
          <t>Regtech</t>
        </is>
      </c>
      <c r="DJ49" s="159" t="inlineStr">
        <is>
          <t>iDEAL</t>
        </is>
      </c>
      <c r="DK49" s="159" t="inlineStr">
        <is>
          <t>Technology</t>
        </is>
      </c>
      <c r="DL49" s="159" t="inlineStr">
        <is>
          <t>Development</t>
        </is>
      </c>
      <c r="DM49" s="159" t="inlineStr">
        <is>
          <t>Yes</t>
        </is>
      </c>
      <c r="DN49" s="159" t="inlineStr">
        <is>
          <t>Product/Project</t>
        </is>
      </c>
      <c r="DO49" s="159" t="inlineStr">
        <is>
          <t>.NET MVC</t>
        </is>
      </c>
      <c r="DP49" s="159" t="inlineStr">
        <is>
          <t>Technical - Developer</t>
        </is>
      </c>
      <c r="DQ49" s="159" t="inlineStr">
        <is>
          <t>Work From Office - Turbhe</t>
        </is>
      </c>
      <c r="DR49" s="159" t="inlineStr">
        <is>
          <t>1.	Build audit and activity logs to record system changes and improve security.
2.	Simplify data querying for users by building easy-to-use search and preparation tools.
3.	Improve file upload validation to ensure reporting accuracy and faster error resolution.
4.	Enhance dashboard interfaces to support compliance tracking and deadline monitoring.
5.	Adopt React.js and modern development tools to build user interface screens for the new version.</t>
        </is>
      </c>
      <c r="DS49" s="159" t="inlineStr">
        <is>
          <t>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reporting and file generation solutions to ensure accurate, compliant, and efficient data processing. 
4.	Build expertise in React.js and modern development technologies to contribute to the development of responsive, next-generation application interfaces. 
5.	Drive continuous improvement by resolving defects, implementing automation, and delivering high-quality solutions that enhance application reliability and security.</t>
        </is>
      </c>
      <c r="DT49" s="159" t="inlineStr">
        <is>
          <t>1.	Design a new logging framework to support automated security alerts and secure history downloads.
2.	Re-engineer the backend query engines to process large volumes of data with lower latency.
3.	Build interactive error logs that provide users with step-by-step resolution suggestions.
4.	Build a file generation engine to compile database records and export them into standardized xml and csv reporting formats.
5.	Adopt React.js to build interactive and responsive user interface screens across the core application modules.</t>
        </is>
      </c>
      <c r="DU49" s="159" t="n">
        <v>3</v>
      </c>
      <c r="DV49" s="159" t="n"/>
      <c r="DW49" s="159" t="inlineStr">
        <is>
          <t>Same as per records</t>
        </is>
      </c>
      <c r="DX49" s="159" t="n"/>
      <c r="DY49" s="159" t="n">
        <v>3</v>
      </c>
      <c r="DZ49" s="159" t="inlineStr">
        <is>
          <t>Medium</t>
        </is>
      </c>
      <c r="EA49" s="159" t="inlineStr">
        <is>
          <t>Core Contributor</t>
        </is>
      </c>
      <c r="EB49" s="159" t="inlineStr">
        <is>
          <t>Not Ready</t>
        </is>
      </c>
      <c r="EC49" s="159" t="inlineStr">
        <is>
          <t>No</t>
        </is>
      </c>
      <c r="ED49" s="159" t="inlineStr">
        <is>
          <t>No</t>
        </is>
      </c>
      <c r="EE49" s="159" t="inlineStr">
        <is>
          <t>XBRL Training, Training on the effective utilization of AI tools.</t>
        </is>
      </c>
      <c r="EF49" s="159" t="n"/>
    </row>
    <row r="50" ht="64" customHeight="1">
      <c r="A50" s="109" t="inlineStr">
        <is>
          <t>IRIS2427</t>
        </is>
      </c>
      <c r="B50" s="111" t="inlineStr">
        <is>
          <t>Sumeet Laxman Kurdia</t>
        </is>
      </c>
      <c r="C50" s="111" t="inlineStr">
        <is>
          <t>Technology</t>
        </is>
      </c>
      <c r="D50" s="114" t="inlineStr">
        <is>
          <t>Trainee Software Engineer</t>
        </is>
      </c>
      <c r="E50" s="114" t="inlineStr">
        <is>
          <t>Software Engineer</t>
        </is>
      </c>
      <c r="F50" s="114" t="inlineStr">
        <is>
          <t>L2 – Trainee</t>
        </is>
      </c>
      <c r="G50" s="114" t="inlineStr">
        <is>
          <t>A2</t>
        </is>
      </c>
      <c r="H50" s="142" t="inlineStr">
        <is>
          <t>▲ Up</t>
        </is>
      </c>
      <c r="I50" s="111" t="inlineStr">
        <is>
          <t>Engineering &amp; Development</t>
        </is>
      </c>
      <c r="J50" s="111" t="inlineStr">
        <is>
          <t>Backend Development</t>
        </is>
      </c>
      <c r="K50" s="111" t="inlineStr"/>
      <c r="L50" s="111" t="n">
        <v>20</v>
      </c>
      <c r="M50" s="139" t="inlineStr">
        <is>
          <t>P1–P2</t>
        </is>
      </c>
      <c r="N50" s="115" t="inlineStr">
        <is>
          <t>Entry / Developing</t>
        </is>
      </c>
      <c r="O50" s="115" t="inlineStr">
        <is>
          <t>2 Assist</t>
        </is>
      </c>
      <c r="P50" s="115" t="inlineStr">
        <is>
          <t>0–2 yrs</t>
        </is>
      </c>
      <c r="Q50" s="115" t="inlineStr">
        <is>
          <t>1–3 · 0–3</t>
        </is>
      </c>
      <c r="R50" s="115" t="inlineStr">
        <is>
          <t>Associate Software Engineer / Software Engineer</t>
        </is>
      </c>
      <c r="S50" s="115" t="inlineStr">
        <is>
          <r>
            <rPr>
              <rFont val="Calibri"/>
              <b val="1"/>
              <sz val="10"/>
            </rPr>
            <t>Workiva:</t>
          </r>
          <r>
            <rPr>
              <rFont val="Calibri"/>
              <sz val="10"/>
            </rPr>
            <t xml:space="preserve"> Associate SE · Broadridge India: SE · Nasdaq / AxiomSL: SE · Salesforce: AMTS · Atlassian: P30 Junior · 0–2 yrs · Freshworks: SE</t>
          </r>
        </is>
      </c>
      <c r="T50" s="115" t="inlineStr">
        <is>
          <t>SFIA 9 · software development, programming; OWASP secure coding; cloud vendor certifications</t>
        </is>
      </c>
      <c r="U50" s="115" t="inlineStr">
        <is>
          <t>Core 2 · Future 2 · Functional 2 · Leadership not scored</t>
        </is>
      </c>
      <c r="V50" s="158" t="n">
        <v>396</v>
      </c>
      <c r="W50" s="159" t="inlineStr">
        <is>
          <t>IRIS2427</t>
        </is>
      </c>
      <c r="X50" s="159" t="inlineStr">
        <is>
          <t>Employee</t>
        </is>
      </c>
      <c r="Y50" s="159" t="inlineStr">
        <is>
          <t>Active</t>
        </is>
      </c>
      <c r="Z50" s="159" t="inlineStr">
        <is>
          <t>Sumeet Laxman Kurdia</t>
        </is>
      </c>
      <c r="AA50" s="244" t="n">
        <v>45894</v>
      </c>
      <c r="AB50" s="159" t="inlineStr">
        <is>
          <t>Trainee Software Engineer</t>
        </is>
      </c>
      <c r="AC50" s="159" t="inlineStr">
        <is>
          <t>B.Sc</t>
        </is>
      </c>
      <c r="AD50" s="159" t="inlineStr">
        <is>
          <t>Swapnil Shirke</t>
        </is>
      </c>
      <c r="AE50" s="159" t="inlineStr">
        <is>
          <t>N-5</t>
        </is>
      </c>
      <c r="AF50" s="159" t="inlineStr">
        <is>
          <t>Individual Contributor</t>
        </is>
      </c>
      <c r="AG50" s="159" t="inlineStr">
        <is>
          <t>0 years, 9 months, 0 days</t>
        </is>
      </c>
      <c r="AH50" s="159" t="inlineStr">
        <is>
          <t>1 years, 0 months, 0 days</t>
        </is>
      </c>
      <c r="AI50" s="159" t="inlineStr">
        <is>
          <t>Regtech</t>
        </is>
      </c>
      <c r="AJ50" s="159" t="inlineStr">
        <is>
          <t>iDEAL</t>
        </is>
      </c>
      <c r="AK50" s="159" t="inlineStr">
        <is>
          <t>Technology</t>
        </is>
      </c>
      <c r="AL50" s="159" t="inlineStr">
        <is>
          <t>Development</t>
        </is>
      </c>
      <c r="AM50" s="159" t="inlineStr">
        <is>
          <t>Yes</t>
        </is>
      </c>
      <c r="AN50" s="159" t="inlineStr">
        <is>
          <t>Product/Project</t>
        </is>
      </c>
      <c r="AO50" s="159" t="inlineStr">
        <is>
          <t>.NET MVC</t>
        </is>
      </c>
      <c r="AP50" s="159" t="inlineStr">
        <is>
          <t>Technical - Developer</t>
        </is>
      </c>
      <c r="AQ50" s="159" t="n">
        <v>20</v>
      </c>
      <c r="AR50" s="159" t="inlineStr">
        <is>
          <t>Covered</t>
        </is>
      </c>
      <c r="AS50" s="159" t="n"/>
      <c r="AT50" s="159" t="n"/>
      <c r="AU50" s="159" t="n"/>
      <c r="AV50" s="159" t="n"/>
      <c r="AW50" s="159" t="n"/>
      <c r="AX50" s="159" t="n"/>
      <c r="AY50" s="159" t="n"/>
      <c r="AZ50" s="159" t="n"/>
      <c r="BA50" s="159" t="n"/>
      <c r="BB50" s="159" t="n"/>
      <c r="BC50" s="159" t="n"/>
      <c r="BD50" s="159" t="n"/>
      <c r="BE50" s="159" t="n"/>
      <c r="BF50" s="159" t="n"/>
      <c r="BG50" s="159" t="n"/>
      <c r="BH50" s="159" t="n"/>
      <c r="BI50" s="159" t="n"/>
      <c r="BJ50" s="159" t="n"/>
      <c r="BK50" s="159" t="n"/>
      <c r="BL50" s="159" t="n"/>
      <c r="BM50" s="159" t="n"/>
      <c r="BN50" s="159" t="n"/>
      <c r="BO50" s="159" t="n"/>
      <c r="BP50" s="159" t="n"/>
      <c r="BQ50" s="159" t="n"/>
      <c r="BR50" s="159" t="n"/>
      <c r="BS50" s="159" t="n"/>
      <c r="BT50" s="159" t="n"/>
      <c r="BU50" s="159" t="n"/>
      <c r="BV50" s="159" t="n"/>
      <c r="BW50" s="159" t="n"/>
      <c r="BX50" s="159" t="n"/>
      <c r="BY50" s="159" t="n"/>
      <c r="BZ50" s="159" t="n"/>
      <c r="CA50" s="159" t="n"/>
      <c r="CB50" s="159" t="n"/>
      <c r="CC50" s="159" t="n"/>
      <c r="CD50" s="159" t="n"/>
      <c r="CE50" s="159" t="n"/>
      <c r="CF50" s="159" t="n"/>
      <c r="CG50" s="159" t="n"/>
      <c r="CH50" s="159" t="n"/>
      <c r="CI50" s="159" t="n"/>
      <c r="CJ50" s="159" t="n"/>
      <c r="CK50" s="159" t="n"/>
      <c r="CL50" s="159" t="n"/>
      <c r="CM50" s="159" t="n"/>
      <c r="CN50" s="159" t="n"/>
      <c r="CO50" s="159" t="n"/>
      <c r="CP50" s="159" t="n"/>
      <c r="CQ50" s="159" t="inlineStr">
        <is>
          <t>IRIS2427</t>
        </is>
      </c>
      <c r="CR50" s="159" t="inlineStr">
        <is>
          <t>Employee</t>
        </is>
      </c>
      <c r="CS50" s="159" t="inlineStr">
        <is>
          <t>Active</t>
        </is>
      </c>
      <c r="CT50" s="159" t="inlineStr">
        <is>
          <t>Sumeet Laxman Kurdia</t>
        </is>
      </c>
      <c r="CU50" s="160" t="n">
        <v>45894</v>
      </c>
      <c r="CV50" s="159" t="inlineStr">
        <is>
          <t>Trainee Software Engineer</t>
        </is>
      </c>
      <c r="CW50" s="159" t="inlineStr">
        <is>
          <t>Engineering &amp; Development</t>
        </is>
      </c>
      <c r="CX50" s="159" t="inlineStr">
        <is>
          <t>Backend Engineering ·.NET</t>
        </is>
      </c>
      <c r="CY50" s="159" t="inlineStr">
        <is>
          <t>Trainee Software Engineer</t>
        </is>
      </c>
      <c r="CZ50" s="159" t="inlineStr">
        <is>
          <t>L2 – Trainee</t>
        </is>
      </c>
      <c r="DA50" s="159" t="inlineStr">
        <is>
          <t>B.Sc</t>
        </is>
      </c>
      <c r="DB50" s="159" t="inlineStr">
        <is>
          <t>Swapnil Shirke</t>
        </is>
      </c>
      <c r="DC50" s="159" t="inlineStr">
        <is>
          <t>N-5</t>
        </is>
      </c>
      <c r="DD50" s="159" t="inlineStr">
        <is>
          <t>Individual Contributor</t>
        </is>
      </c>
      <c r="DE50" s="159" t="inlineStr">
        <is>
          <t>0 years, 9 months, 0 days</t>
        </is>
      </c>
      <c r="DF50" s="159" t="inlineStr">
        <is>
          <t>0 years, 9 months, 26 days</t>
        </is>
      </c>
      <c r="DG50" s="159" t="inlineStr">
        <is>
          <t>1 years, 6 months, 26 days</t>
        </is>
      </c>
      <c r="DH50" s="159" t="n"/>
      <c r="DI50" s="159" t="inlineStr">
        <is>
          <t>Regtech</t>
        </is>
      </c>
      <c r="DJ50" s="159" t="inlineStr">
        <is>
          <t>iDEAL</t>
        </is>
      </c>
      <c r="DK50" s="159" t="inlineStr">
        <is>
          <t>Technology</t>
        </is>
      </c>
      <c r="DL50" s="159" t="inlineStr">
        <is>
          <t>Development</t>
        </is>
      </c>
      <c r="DM50" s="159" t="inlineStr">
        <is>
          <t>Yes</t>
        </is>
      </c>
      <c r="DN50" s="159" t="inlineStr">
        <is>
          <t>Product/Project</t>
        </is>
      </c>
      <c r="DO50" s="159" t="inlineStr">
        <is>
          <t>.NET MVC</t>
        </is>
      </c>
      <c r="DP50" s="159" t="inlineStr">
        <is>
          <t>Technical - Developer</t>
        </is>
      </c>
      <c r="DQ50" s="159" t="inlineStr">
        <is>
          <t>Work From Office - Turbhe</t>
        </is>
      </c>
      <c r="DR50" s="159" t="inlineStr">
        <is>
          <t>Build scalable and reusable application components.
Improve application performance and reporting efficiency.
Adopt modern technologies and engineering best practices.
Increase development productivity through automation.
Drive continuous innovation and product quality improvements.</t>
        </is>
      </c>
      <c r="DS50" s="159" t="inlineStr">
        <is>
          <t>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Improve application performance, reporting capabilities, data validation, and overall user experience through continuous optimization.
4. Enhance technical expertise in ASP.NET Core, Angular, REST APIs, and modern development frameworks to support current and future business requirements.
5. Drive continuous improvement through automation, process optimization, and innovation to increase development productivity and software quality.</t>
        </is>
      </c>
      <c r="DT50" s="159" t="inlineStr">
        <is>
          <t>Deliver the SADP Dashboard with high quality and within project timelines.
Enhance the Instance Generation Module by implementing new business requirements.
Design and deliver new Return Development to improve business operations.
Deliver assigned development activities while maintaining quality and timely execution.
Support application stability through timely issue resolution and continuous improvements.</t>
        </is>
      </c>
      <c r="DU50" s="159" t="n">
        <v>3</v>
      </c>
      <c r="DV50" s="159" t="n"/>
      <c r="DW50" s="159" t="inlineStr">
        <is>
          <t>Same as per records</t>
        </is>
      </c>
      <c r="DX50" s="159" t="n"/>
      <c r="DY50" s="159" t="n">
        <v>3</v>
      </c>
      <c r="DZ50" s="159" t="inlineStr">
        <is>
          <t>Medium</t>
        </is>
      </c>
      <c r="EA50" s="159" t="inlineStr">
        <is>
          <t>Core Contributor</t>
        </is>
      </c>
      <c r="EB50" s="159" t="inlineStr">
        <is>
          <t>Not Ready</t>
        </is>
      </c>
      <c r="EC50" s="159" t="inlineStr">
        <is>
          <t>No</t>
        </is>
      </c>
      <c r="ED50" s="159" t="inlineStr">
        <is>
          <t>No</t>
        </is>
      </c>
      <c r="EE50" s="159" t="inlineStr">
        <is>
          <t>XBRL Training, Training on the effective utilization of AI tools.</t>
        </is>
      </c>
      <c r="EF50" s="159" t="n"/>
    </row>
    <row r="51" ht="64" customHeight="1">
      <c r="A51" s="109" t="inlineStr">
        <is>
          <t>IRIS2538</t>
        </is>
      </c>
      <c r="B51" s="111" t="inlineStr">
        <is>
          <t>Atharv Sameer Shevade</t>
        </is>
      </c>
      <c r="C51" s="111" t="inlineStr">
        <is>
          <t>Technology</t>
        </is>
      </c>
      <c r="D51" s="111" t="inlineStr">
        <is>
          <t>Trainee Software Engineer</t>
        </is>
      </c>
      <c r="E51" s="111" t="inlineStr">
        <is>
          <t>Trainee Software Engineer</t>
        </is>
      </c>
      <c r="F51" s="111" t="inlineStr">
        <is>
          <t>L1 – Intern</t>
        </is>
      </c>
      <c r="G51" s="24" t="inlineStr">
        <is>
          <t>A1</t>
        </is>
      </c>
      <c r="H51" s="118" t="inlineStr">
        <is>
          <t>• Same level</t>
        </is>
      </c>
      <c r="I51" s="111" t="inlineStr">
        <is>
          <t>Engineering &amp; Development</t>
        </is>
      </c>
      <c r="J51" s="111" t="inlineStr">
        <is>
          <t>Full-Stack Development</t>
        </is>
      </c>
      <c r="K51" s="111" t="inlineStr"/>
      <c r="L51" s="111" t="n">
        <v>20</v>
      </c>
      <c r="M51" s="139" t="inlineStr">
        <is>
          <t>Entry / P1 · intern</t>
        </is>
      </c>
      <c r="N51" s="115" t="inlineStr">
        <is>
          <t>Entry</t>
        </is>
      </c>
      <c r="O51" s="115" t="inlineStr">
        <is>
          <t>1 Follow</t>
        </is>
      </c>
      <c r="P51" s="115" t="inlineStr">
        <is>
          <t>0 yrs · fresher / intern</t>
        </is>
      </c>
      <c r="Q51" s="115" t="inlineStr">
        <is>
          <t>—</t>
        </is>
      </c>
      <c r="R51" s="115" t="inlineStr">
        <is>
          <t>Associate Software Engineer</t>
        </is>
      </c>
      <c r="S51" s="115" t="inlineStr">
        <is>
          <t>—</t>
        </is>
      </c>
      <c r="T51" s="115" t="inlineStr">
        <is>
          <t>SFIA 9 · software development, programming; OWASP secure coding; cloud vendor certifications</t>
        </is>
      </c>
      <c r="U51" s="115" t="inlineStr">
        <is>
          <t>Core 1 · Future 1 · Functional 1 · Leadership not scored</t>
        </is>
      </c>
      <c r="V51" s="158" t="n">
        <v>511</v>
      </c>
      <c r="W51" s="159" t="inlineStr">
        <is>
          <t>IRIS2538</t>
        </is>
      </c>
      <c r="X51" s="159" t="inlineStr">
        <is>
          <t>Employee</t>
        </is>
      </c>
      <c r="Y51" s="159" t="inlineStr">
        <is>
          <t>Active</t>
        </is>
      </c>
      <c r="Z51" s="159" t="inlineStr">
        <is>
          <t>Atharv Sameer Shevade</t>
        </is>
      </c>
      <c r="AA51" s="244" t="n">
        <v>46189</v>
      </c>
      <c r="AB51" s="159" t="inlineStr">
        <is>
          <t>Trainee Software Engineer</t>
        </is>
      </c>
      <c r="AC51" s="159" t="inlineStr">
        <is>
          <t>B.Tech</t>
        </is>
      </c>
      <c r="AD51" s="159" t="inlineStr">
        <is>
          <t>Swapnil Shirke</t>
        </is>
      </c>
      <c r="AE51" s="159" t="inlineStr">
        <is>
          <t>N-5</t>
        </is>
      </c>
      <c r="AF51" s="159" t="inlineStr">
        <is>
          <t>Individual Contributor</t>
        </is>
      </c>
      <c r="AG51" s="159" t="inlineStr">
        <is>
          <t>0 years, 0 months, 0 days</t>
        </is>
      </c>
      <c r="AH51" s="159" t="inlineStr">
        <is>
          <t>0 years, 2 months, 9 days</t>
        </is>
      </c>
      <c r="AI51" s="159" t="inlineStr">
        <is>
          <t>Regtech</t>
        </is>
      </c>
      <c r="AJ51" s="159" t="inlineStr">
        <is>
          <t>iDEAL</t>
        </is>
      </c>
      <c r="AK51" s="159" t="inlineStr">
        <is>
          <t>Technology</t>
        </is>
      </c>
      <c r="AL51" s="159" t="inlineStr">
        <is>
          <t>Development</t>
        </is>
      </c>
      <c r="AM51" s="159" t="inlineStr">
        <is>
          <t>Yes</t>
        </is>
      </c>
      <c r="AN51" s="159" t="inlineStr">
        <is>
          <t>Product/Project</t>
        </is>
      </c>
      <c r="AO51" s="159" t="inlineStr">
        <is>
          <t>.NET MVC</t>
        </is>
      </c>
      <c r="AP51" s="159" t="inlineStr">
        <is>
          <t>Technical - Developer</t>
        </is>
      </c>
      <c r="AQ51" s="159" t="n">
        <v>20</v>
      </c>
      <c r="AR51" s="159" t="inlineStr">
        <is>
          <t>Covered</t>
        </is>
      </c>
      <c r="AS51" s="159" t="n"/>
      <c r="AT51" s="159" t="n"/>
      <c r="AU51" s="159" t="n"/>
      <c r="AV51" s="159" t="n"/>
      <c r="AW51" s="159" t="n"/>
      <c r="AX51" s="159" t="n"/>
      <c r="AY51" s="159" t="n"/>
      <c r="AZ51" s="159" t="n"/>
      <c r="BA51" s="159" t="n"/>
      <c r="BB51" s="159" t="n"/>
      <c r="BC51" s="159" t="n"/>
      <c r="BD51" s="159" t="n"/>
      <c r="BE51" s="159" t="n"/>
      <c r="BF51" s="159" t="n"/>
      <c r="BG51" s="159" t="n"/>
      <c r="BH51" s="159" t="n"/>
      <c r="BI51" s="159" t="n"/>
      <c r="BJ51" s="159" t="n"/>
      <c r="BK51" s="159" t="n"/>
      <c r="BL51" s="159" t="n"/>
      <c r="BM51" s="159" t="n"/>
      <c r="BN51" s="159" t="n"/>
      <c r="BO51" s="159" t="n"/>
      <c r="BP51" s="159" t="n"/>
      <c r="BQ51" s="159" t="n"/>
      <c r="BR51" s="159" t="n"/>
      <c r="BS51" s="159" t="n"/>
      <c r="BT51" s="159" t="n"/>
      <c r="BU51" s="159" t="n"/>
      <c r="BV51" s="159" t="n"/>
      <c r="BW51" s="159" t="n"/>
      <c r="BX51" s="159" t="n"/>
      <c r="BY51" s="159" t="n"/>
      <c r="BZ51" s="159" t="n"/>
      <c r="CA51" s="159" t="n"/>
      <c r="CB51" s="159" t="n"/>
      <c r="CC51" s="159" t="n"/>
      <c r="CD51" s="159" t="n"/>
      <c r="CE51" s="159" t="n"/>
      <c r="CF51" s="159" t="n"/>
      <c r="CG51" s="159" t="n"/>
      <c r="CH51" s="159" t="n"/>
      <c r="CI51" s="159" t="n"/>
      <c r="CJ51" s="159" t="n"/>
      <c r="CK51" s="159" t="n"/>
      <c r="CL51" s="159" t="n"/>
      <c r="CM51" s="159" t="n"/>
      <c r="CN51" s="159" t="n"/>
      <c r="CO51" s="159" t="n"/>
      <c r="CP51" s="159" t="n"/>
      <c r="CQ51" s="159" t="inlineStr">
        <is>
          <t>INTN0299</t>
        </is>
      </c>
      <c r="CR51" s="159" t="inlineStr">
        <is>
          <t>Intern</t>
        </is>
      </c>
      <c r="CS51" s="159" t="inlineStr">
        <is>
          <t>Active</t>
        </is>
      </c>
      <c r="CT51" s="159" t="inlineStr">
        <is>
          <t>Atharv Sameer Shevade</t>
        </is>
      </c>
      <c r="CU51" s="160" t="n">
        <v>46097</v>
      </c>
      <c r="CV51" s="159" t="inlineStr">
        <is>
          <t>Intern</t>
        </is>
      </c>
      <c r="CW51" s="159" t="inlineStr">
        <is>
          <t>Engineering &amp; Development</t>
        </is>
      </c>
      <c r="CX51" s="159" t="inlineStr">
        <is>
          <t>Backend Engineering ·.NET</t>
        </is>
      </c>
      <c r="CY51" s="159" t="inlineStr">
        <is>
          <t>Intern</t>
        </is>
      </c>
      <c r="CZ51" s="159" t="inlineStr">
        <is>
          <t>L1 – Intern</t>
        </is>
      </c>
      <c r="DA51" s="159" t="inlineStr">
        <is>
          <t>B.Tech</t>
        </is>
      </c>
      <c r="DB51" s="159" t="inlineStr">
        <is>
          <t>Swapnil Shirke</t>
        </is>
      </c>
      <c r="DC51" s="159" t="inlineStr">
        <is>
          <t>N-5</t>
        </is>
      </c>
      <c r="DD51" s="159" t="inlineStr">
        <is>
          <t>Individual Contributor</t>
        </is>
      </c>
      <c r="DE51" s="159" t="inlineStr">
        <is>
          <t>0 years, 0 months, 0 days</t>
        </is>
      </c>
      <c r="DF51" s="159" t="inlineStr">
        <is>
          <t>0 years, 3 months, 4 days</t>
        </is>
      </c>
      <c r="DG51" s="159" t="inlineStr">
        <is>
          <t>0 years, 3 months, 4 days</t>
        </is>
      </c>
      <c r="DH51" s="159" t="n"/>
      <c r="DI51" s="159" t="inlineStr">
        <is>
          <t>Regtech</t>
        </is>
      </c>
      <c r="DJ51" s="159" t="inlineStr">
        <is>
          <t>iDEAL</t>
        </is>
      </c>
      <c r="DK51" s="159" t="inlineStr">
        <is>
          <t>Technology</t>
        </is>
      </c>
      <c r="DL51" s="159" t="inlineStr">
        <is>
          <t>Development</t>
        </is>
      </c>
      <c r="DM51" s="159" t="inlineStr">
        <is>
          <t>Yes</t>
        </is>
      </c>
      <c r="DN51" s="159" t="inlineStr">
        <is>
          <t>Product/Project</t>
        </is>
      </c>
      <c r="DO51" s="159" t="inlineStr">
        <is>
          <t>.Net</t>
        </is>
      </c>
      <c r="DP51" s="159" t="inlineStr">
        <is>
          <t>Technical - Developer</t>
        </is>
      </c>
      <c r="DQ51" s="159" t="inlineStr">
        <is>
          <t>Work From Office - Turbhe</t>
        </is>
      </c>
      <c r="DR51" s="159" t="inlineStr">
        <is>
          <t>1. Build strong proficiency in existing React and .NET applications and successfully complete assigned enhancements, bug fixes, and support requests within the committed timelines.
2. Ensure at least 90% timely completion of assigned development, enhancement, and support activities while following organizational coding guidelines and quality standards.
3. Develop and implement at least one AI-based or automation solution that improves operational efficiency, data accessibility, or the overall user experience. 
4. Propose and implement at least two process, performance, or automation improvements that enhance productivity, application performance, or user experience. 
5. Complete a minimum of three technical trainings or certifications in technologies such as React, .NET, Python, SQL, AI/ML, or Cloud, and effectively utilize the acquired knowledge in project execution.</t>
        </is>
      </c>
      <c r="DS51" s="159" t="inlineStr">
        <is>
          <t>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modernization.
3.Develop and implement AI-driven solutions and automation initiatives to improve operational efficiency, productivity, and user experience.
4.Drive continuous improvement by optimizing application performance, resolving defects, and implementing process or automation enhancements.
5.Continuously enhance technical capabilities through training, certifications, and knowledge sharing to support business and project objectives.</t>
        </is>
      </c>
      <c r="DT51" s="159" t="inlineStr">
        <is>
          <t>1. Further improve the SQL Agent and AI Chatbot by increasing query accuracy, optimizing system performance, and implementing new business-driven features.
2. Support the enhancement and maintenance of existing React and .NET applications by delivering assigned functionalities and resolving defects within planned schedules. 
3. Continue enhancing the Data Variance Module by adding new capabilities, optimizing performance, and addressing reported issues efficiently.
4. Complete at least one professional training or certification in React, .NET, AI/ML, Cloud, or backend technologies and apply the learned concepts to ongoing projects. 
5. Achieve 90% or higher on-time completion of sprint assignments while ensuring prompt resolution of code review feedback and reported defects.</t>
        </is>
      </c>
      <c r="DU51" s="159" t="n">
        <v>3</v>
      </c>
      <c r="DV51" s="159" t="n"/>
      <c r="DW51" s="159" t="inlineStr">
        <is>
          <t>Same as per records</t>
        </is>
      </c>
      <c r="DX51" s="159" t="n"/>
      <c r="DY51" s="159" t="n">
        <v>3</v>
      </c>
      <c r="DZ51" s="159" t="inlineStr">
        <is>
          <t>Medium</t>
        </is>
      </c>
      <c r="EA51" s="159" t="inlineStr">
        <is>
          <t>Core Contributor</t>
        </is>
      </c>
      <c r="EB51" s="159" t="inlineStr">
        <is>
          <t>Not Ready</t>
        </is>
      </c>
      <c r="EC51" s="159" t="inlineStr">
        <is>
          <t>No</t>
        </is>
      </c>
      <c r="ED51" s="159" t="inlineStr">
        <is>
          <t>No</t>
        </is>
      </c>
      <c r="EE51" s="159" t="inlineStr">
        <is>
          <t>XBRL Training, Training on the effective utilization of AI tools.</t>
        </is>
      </c>
      <c r="EF51" s="159" t="n"/>
    </row>
    <row r="52" ht="64" customHeight="1">
      <c r="A52" s="109" t="inlineStr">
        <is>
          <t>IRIS2539</t>
        </is>
      </c>
      <c r="B52" s="111" t="inlineStr">
        <is>
          <t>Vinayak Dadasaheb Suryawanshi</t>
        </is>
      </c>
      <c r="C52" s="111" t="inlineStr">
        <is>
          <t>Technology</t>
        </is>
      </c>
      <c r="D52" s="111" t="inlineStr">
        <is>
          <t>Trainee Software Engineer</t>
        </is>
      </c>
      <c r="E52" s="111" t="inlineStr">
        <is>
          <t>Trainee Software Engineer</t>
        </is>
      </c>
      <c r="F52" s="111" t="inlineStr">
        <is>
          <t>L1 – Intern</t>
        </is>
      </c>
      <c r="G52" s="24" t="inlineStr">
        <is>
          <t>A1</t>
        </is>
      </c>
      <c r="H52" s="118" t="inlineStr">
        <is>
          <t>• Same level</t>
        </is>
      </c>
      <c r="I52" s="111" t="inlineStr">
        <is>
          <t>Engineering &amp; Development</t>
        </is>
      </c>
      <c r="J52" s="111" t="inlineStr">
        <is>
          <t>Backend Development</t>
        </is>
      </c>
      <c r="K52" s="111" t="inlineStr"/>
      <c r="L52" s="111" t="n">
        <v>20</v>
      </c>
      <c r="M52" s="139" t="inlineStr">
        <is>
          <t>Entry / P1 · intern</t>
        </is>
      </c>
      <c r="N52" s="115" t="inlineStr">
        <is>
          <t>Entry</t>
        </is>
      </c>
      <c r="O52" s="115" t="inlineStr">
        <is>
          <t>1 Follow</t>
        </is>
      </c>
      <c r="P52" s="115" t="inlineStr">
        <is>
          <t>0 yrs · fresher / intern</t>
        </is>
      </c>
      <c r="Q52" s="115" t="inlineStr">
        <is>
          <t>—</t>
        </is>
      </c>
      <c r="R52" s="115" t="inlineStr">
        <is>
          <t>Associate Software Engineer</t>
        </is>
      </c>
      <c r="S52" s="115" t="inlineStr">
        <is>
          <t>—</t>
        </is>
      </c>
      <c r="T52" s="115" t="inlineStr">
        <is>
          <t>SFIA 9 · software development, programming; OWASP secure coding; cloud vendor certifications</t>
        </is>
      </c>
      <c r="U52" s="115" t="inlineStr">
        <is>
          <t>Core 1 · Future 1 · Functional 1 · Leadership not scored</t>
        </is>
      </c>
      <c r="V52" s="158" t="n">
        <v>512</v>
      </c>
      <c r="W52" s="159" t="inlineStr">
        <is>
          <t>IRIS2539</t>
        </is>
      </c>
      <c r="X52" s="159" t="inlineStr">
        <is>
          <t>Employee</t>
        </is>
      </c>
      <c r="Y52" s="159" t="inlineStr">
        <is>
          <t>Active</t>
        </is>
      </c>
      <c r="Z52" s="159" t="inlineStr">
        <is>
          <t>Vinayak Dadasaheb Suryawanshi</t>
        </is>
      </c>
      <c r="AA52" s="244" t="n">
        <v>46189</v>
      </c>
      <c r="AB52" s="159" t="inlineStr">
        <is>
          <t>Trainee Software Engineer</t>
        </is>
      </c>
      <c r="AC52" s="159" t="inlineStr">
        <is>
          <t>B.Tech</t>
        </is>
      </c>
      <c r="AD52" s="159" t="inlineStr">
        <is>
          <t>Swapnil Shirke</t>
        </is>
      </c>
      <c r="AE52" s="159" t="inlineStr">
        <is>
          <t>N-5</t>
        </is>
      </c>
      <c r="AF52" s="159" t="inlineStr">
        <is>
          <t>Individual Contributor</t>
        </is>
      </c>
      <c r="AG52" s="159" t="inlineStr">
        <is>
          <t>0 years, 0 months, 0 days</t>
        </is>
      </c>
      <c r="AH52" s="159" t="inlineStr">
        <is>
          <t>0 years, 2 months, 9 days</t>
        </is>
      </c>
      <c r="AI52" s="159" t="inlineStr">
        <is>
          <t>Regtech</t>
        </is>
      </c>
      <c r="AJ52" s="159" t="inlineStr">
        <is>
          <t>iDEAL</t>
        </is>
      </c>
      <c r="AK52" s="159" t="inlineStr">
        <is>
          <t>Technology</t>
        </is>
      </c>
      <c r="AL52" s="159" t="inlineStr">
        <is>
          <t>Development</t>
        </is>
      </c>
      <c r="AM52" s="159" t="inlineStr">
        <is>
          <t>Yes</t>
        </is>
      </c>
      <c r="AN52" s="159" t="inlineStr">
        <is>
          <t>Product/Project</t>
        </is>
      </c>
      <c r="AO52" s="159" t="inlineStr">
        <is>
          <t>.NET MVC</t>
        </is>
      </c>
      <c r="AP52" s="159" t="inlineStr">
        <is>
          <t>Technical - Developer</t>
        </is>
      </c>
      <c r="AQ52" s="159" t="n">
        <v>20</v>
      </c>
      <c r="AR52" s="159" t="inlineStr">
        <is>
          <t>Covered</t>
        </is>
      </c>
      <c r="AS52" s="159" t="n"/>
      <c r="AT52" s="159" t="n"/>
      <c r="AU52" s="159" t="n"/>
      <c r="AV52" s="159" t="n"/>
      <c r="AW52" s="159" t="n"/>
      <c r="AX52" s="159" t="n"/>
      <c r="AY52" s="159" t="n"/>
      <c r="AZ52" s="159" t="n"/>
      <c r="BA52" s="159" t="n"/>
      <c r="BB52" s="159" t="n"/>
      <c r="BC52" s="159" t="n"/>
      <c r="BD52" s="159" t="n"/>
      <c r="BE52" s="159" t="n"/>
      <c r="BF52" s="159" t="n"/>
      <c r="BG52" s="159" t="n"/>
      <c r="BH52" s="159" t="n"/>
      <c r="BI52" s="159" t="n"/>
      <c r="BJ52" s="159" t="n"/>
      <c r="BK52" s="159" t="n"/>
      <c r="BL52" s="159" t="n"/>
      <c r="BM52" s="159" t="n"/>
      <c r="BN52" s="159" t="n"/>
      <c r="BO52" s="159" t="n"/>
      <c r="BP52" s="159" t="n"/>
      <c r="BQ52" s="159" t="n"/>
      <c r="BR52" s="159" t="n"/>
      <c r="BS52" s="159" t="n"/>
      <c r="BT52" s="159" t="n"/>
      <c r="BU52" s="159" t="n"/>
      <c r="BV52" s="159" t="n"/>
      <c r="BW52" s="159" t="n"/>
      <c r="BX52" s="159" t="n"/>
      <c r="BY52" s="159" t="n"/>
      <c r="BZ52" s="159" t="n"/>
      <c r="CA52" s="159" t="n"/>
      <c r="CB52" s="159" t="n"/>
      <c r="CC52" s="159" t="n"/>
      <c r="CD52" s="159" t="n"/>
      <c r="CE52" s="159" t="n"/>
      <c r="CF52" s="159" t="n"/>
      <c r="CG52" s="159" t="n"/>
      <c r="CH52" s="159" t="n"/>
      <c r="CI52" s="159" t="n"/>
      <c r="CJ52" s="159" t="n"/>
      <c r="CK52" s="159" t="n"/>
      <c r="CL52" s="159" t="n"/>
      <c r="CM52" s="159" t="n"/>
      <c r="CN52" s="159" t="n"/>
      <c r="CO52" s="159" t="n"/>
      <c r="CP52" s="159" t="n"/>
      <c r="CQ52" s="159" t="inlineStr">
        <is>
          <t>INTN0298</t>
        </is>
      </c>
      <c r="CR52" s="159" t="inlineStr">
        <is>
          <t>Intern</t>
        </is>
      </c>
      <c r="CS52" s="159" t="inlineStr">
        <is>
          <t>Active</t>
        </is>
      </c>
      <c r="CT52" s="159" t="inlineStr">
        <is>
          <t>Vinayak Dadasaheb Suryawanshi</t>
        </is>
      </c>
      <c r="CU52" s="160" t="n">
        <v>46097</v>
      </c>
      <c r="CV52" s="159" t="inlineStr">
        <is>
          <t>Intern</t>
        </is>
      </c>
      <c r="CW52" s="159" t="inlineStr">
        <is>
          <t>Engineering &amp; Development</t>
        </is>
      </c>
      <c r="CX52" s="159" t="inlineStr">
        <is>
          <t>Backend Engineering ·.NET</t>
        </is>
      </c>
      <c r="CY52" s="159" t="inlineStr">
        <is>
          <t>Intern</t>
        </is>
      </c>
      <c r="CZ52" s="159" t="inlineStr">
        <is>
          <t>L1 – Intern</t>
        </is>
      </c>
      <c r="DA52" s="159" t="inlineStr">
        <is>
          <t>B.Tech</t>
        </is>
      </c>
      <c r="DB52" s="159" t="inlineStr">
        <is>
          <t>Swapnil Shirke</t>
        </is>
      </c>
      <c r="DC52" s="159" t="inlineStr">
        <is>
          <t>N-5</t>
        </is>
      </c>
      <c r="DD52" s="159" t="inlineStr">
        <is>
          <t>Individual Contributor</t>
        </is>
      </c>
      <c r="DE52" s="159" t="inlineStr">
        <is>
          <t>0 years, 0 months, 0 days</t>
        </is>
      </c>
      <c r="DF52" s="159" t="inlineStr">
        <is>
          <t>0 years, 3 months, 4 days</t>
        </is>
      </c>
      <c r="DG52" s="159" t="inlineStr">
        <is>
          <t>0 years, 3 months, 4 days</t>
        </is>
      </c>
      <c r="DH52" s="159" t="n"/>
      <c r="DI52" s="159" t="inlineStr">
        <is>
          <t>Regtech</t>
        </is>
      </c>
      <c r="DJ52" s="159" t="inlineStr">
        <is>
          <t>iDEAL</t>
        </is>
      </c>
      <c r="DK52" s="159" t="inlineStr">
        <is>
          <t>Technology</t>
        </is>
      </c>
      <c r="DL52" s="159" t="inlineStr">
        <is>
          <t>Development</t>
        </is>
      </c>
      <c r="DM52" s="159" t="inlineStr">
        <is>
          <t>Yes</t>
        </is>
      </c>
      <c r="DN52" s="159" t="inlineStr">
        <is>
          <t>Product/Project</t>
        </is>
      </c>
      <c r="DO52" s="159" t="inlineStr">
        <is>
          <t>.Net</t>
        </is>
      </c>
      <c r="DP52" s="159" t="inlineStr">
        <is>
          <t>Technical - Developer</t>
        </is>
      </c>
      <c r="DQ52" s="159" t="inlineStr">
        <is>
          <t>Work From Office - Turbhe</t>
        </is>
      </c>
      <c r="DR52" s="159" t="inlineStr">
        <is>
          <t>1. Achieve at least 90% on-time completion of assigned development, enhancement, and support tasks while adhering to organizational coding and quality standards.
2. Develop expertise in existing React and .NET applications and successfully resolve at least 90% of assigned enhancement, bug-fixing, and support tasks within agreed timelines.
3. Design and deliver at least one AI-driven or automation solution to improve operational efficiency, data accessibility, or user experience within the organization.
4. Complete a minimum of three technical trainings/certifications in React, .NET, Python, SQL, AI/ML, or Cloud technologies and apply the acquired knowledge in project deliverables.
5. Identify and implement at least two process improvements, performance optimizations, or automation initiatives to improve efficiency and user experience.</t>
        </is>
      </c>
      <c r="DS52" s="159" t="inlineStr">
        <is>
          <t>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modernization initiatives.
3. Design and implement AI-driven solutions and automation initiatives that improve operational efficiency, application functionality, and user experience.
4. Drive continuous improvement by enhancing application performance, resolving defects, optimizing existing modules, and ensuring application stability and reliability.
5. Continuously enhance technical capabilities through learning, collaboration, and adoption of modern development practices to improve individual and team productivity.</t>
        </is>
      </c>
      <c r="DT52" s="159" t="inlineStr">
        <is>
          <t>1. Enhance the SQL Agent and AI Chatbot by improving query accuracy, optimizing performance, and implementing additional capabilities based on business requirements.
2. Contribute to the enhancement, maintenance, and stabilization of existing React and .NET applications by delivering assigned features and resolving defects within agreed timelines.
3. Enhance the Data Variance Module by implementing new functionalities, improving performance, and resolving reported issues.
4. Complete at least one technical training or certification related to React, .NET, AI/ML, Cloud, or backend technologies and apply the acquired knowledge in project work.
5. Maintain at least 90% on-time delivery of assigned sprint tasks and ensure timely resolution of code review comments and defects.</t>
        </is>
      </c>
      <c r="DU52" s="159" t="n">
        <v>3</v>
      </c>
      <c r="DV52" s="159" t="n"/>
      <c r="DW52" s="159" t="inlineStr">
        <is>
          <t>Same as per records</t>
        </is>
      </c>
      <c r="DX52" s="159" t="inlineStr">
        <is>
          <t>No</t>
        </is>
      </c>
      <c r="DY52" s="159" t="n">
        <v>3</v>
      </c>
      <c r="DZ52" s="159" t="inlineStr">
        <is>
          <t>Medium</t>
        </is>
      </c>
      <c r="EA52" s="159" t="inlineStr">
        <is>
          <t>Emerging Talent</t>
        </is>
      </c>
      <c r="EB52" s="159" t="inlineStr">
        <is>
          <t>Not Ready</t>
        </is>
      </c>
      <c r="EC52" s="159" t="inlineStr">
        <is>
          <t>No</t>
        </is>
      </c>
      <c r="ED52" s="159" t="inlineStr">
        <is>
          <t>No</t>
        </is>
      </c>
      <c r="EE52" s="159" t="inlineStr">
        <is>
          <t>XBRL Training, Training on the effective utilization of AI tools.</t>
        </is>
      </c>
      <c r="EF52" s="159" t="n"/>
    </row>
    <row r="53" ht="64" customHeight="1">
      <c r="A53" s="109" t="inlineStr">
        <is>
          <t>IRIS1224</t>
        </is>
      </c>
      <c r="B53" s="111" t="inlineStr">
        <is>
          <t>Hemant Karale</t>
        </is>
      </c>
      <c r="C53" s="111" t="inlineStr">
        <is>
          <t>iDEAL Business Head</t>
        </is>
      </c>
      <c r="D53" s="114" t="inlineStr">
        <is>
          <t>Business Head IRIS iDEAL</t>
        </is>
      </c>
      <c r="E53" s="114" t="inlineStr">
        <is>
          <t>Business Head – iDEAL</t>
        </is>
      </c>
      <c r="F53" s="114" t="inlineStr">
        <is>
          <t>L7 – Head / Sr Director</t>
        </is>
      </c>
      <c r="G53" s="114" t="inlineStr">
        <is>
          <t>D1</t>
        </is>
      </c>
      <c r="H53" s="142" t="inlineStr">
        <is>
          <t>▲ Up</t>
        </is>
      </c>
      <c r="I53" s="111" t="inlineStr">
        <is>
          <t>Executive Leadership</t>
        </is>
      </c>
      <c r="J53" s="111" t="inlineStr">
        <is>
          <t>Business &amp; Functional Leadership</t>
        </is>
      </c>
      <c r="K53" s="111" t="inlineStr"/>
      <c r="L53" s="111" t="n">
        <v>0</v>
      </c>
      <c r="M53" s="139" t="inlineStr">
        <is>
          <t>E1–E2</t>
        </is>
      </c>
      <c r="N53" s="115" t="inlineStr">
        <is>
          <t>VP</t>
        </is>
      </c>
      <c r="O53" s="115" t="inlineStr">
        <is>
          <t>6–7</t>
        </is>
      </c>
      <c r="P53" s="115" t="inlineStr">
        <is>
          <t>15–20 yrs</t>
        </is>
      </c>
      <c r="Q53" s="115" t="inlineStr">
        <is>
          <t>—</t>
        </is>
      </c>
      <c r="R53" s="115" t="inlineStr">
        <is>
          <t>Associate Vice President / Business Head</t>
        </is>
      </c>
      <c r="S53" s="115" t="inlineStr">
        <is>
          <t>IRIS Vs Market Benchmark — Aon Radford / Mercer executive codes: E1–E2 VP / Business Head · IRIS Vs Competitor Benchmark — regtech / SaaS executive titles: General Manager / VP</t>
        </is>
      </c>
      <c r="T53" s="115" t="inlineStr">
        <is>
          <t>Aon Radford executive levels E1–E6; Mercer ET1–ET3; Korn Ferry Leadership Architect</t>
        </is>
      </c>
      <c r="U53" s="115" t="inlineStr">
        <is>
          <t>Core 5 · Future 4 · Functional 4 · Leadership 5</t>
        </is>
      </c>
      <c r="V53" s="158" t="n">
        <v>112</v>
      </c>
      <c r="W53" s="159" t="inlineStr">
        <is>
          <t>IRIS1224</t>
        </is>
      </c>
      <c r="X53" s="159" t="inlineStr">
        <is>
          <t>Employee</t>
        </is>
      </c>
      <c r="Y53" s="159" t="inlineStr">
        <is>
          <t>Active</t>
        </is>
      </c>
      <c r="Z53" s="159" t="inlineStr">
        <is>
          <t>Hemant Karale</t>
        </is>
      </c>
      <c r="AA53" s="244" t="n">
        <v>41106</v>
      </c>
      <c r="AB53" s="159" t="inlineStr">
        <is>
          <t>Business Head IRIS iDEAL</t>
        </is>
      </c>
      <c r="AC53" s="159" t="inlineStr">
        <is>
          <t>MBA</t>
        </is>
      </c>
      <c r="AD53" s="159" t="inlineStr">
        <is>
          <t>Shailesh Gupta</t>
        </is>
      </c>
      <c r="AE53" s="159" t="inlineStr">
        <is>
          <t>N-2</t>
        </is>
      </c>
      <c r="AF53" s="159" t="inlineStr">
        <is>
          <t>Manager</t>
        </is>
      </c>
      <c r="AG53" s="159" t="inlineStr">
        <is>
          <t>3 years, 5 months, 0 days</t>
        </is>
      </c>
      <c r="AH53" s="159" t="inlineStr">
        <is>
          <t>14 years, 1 months, 9 days</t>
        </is>
      </c>
      <c r="AI53" s="159" t="inlineStr">
        <is>
          <t>Regtech</t>
        </is>
      </c>
      <c r="AJ53" s="159" t="inlineStr">
        <is>
          <t>iDEAL</t>
        </is>
      </c>
      <c r="AK53" s="159" t="inlineStr">
        <is>
          <t>iDEAL Business Head</t>
        </is>
      </c>
      <c r="AL53" s="159" t="inlineStr">
        <is>
          <t>Client Engagement</t>
        </is>
      </c>
      <c r="AM53" s="159" t="inlineStr">
        <is>
          <t>No</t>
        </is>
      </c>
      <c r="AN53" s="159" t="inlineStr">
        <is>
          <t>Client Engagement</t>
        </is>
      </c>
      <c r="AO53" s="159" t="inlineStr">
        <is>
          <t>Product Management</t>
        </is>
      </c>
      <c r="AP53" s="159" t="inlineStr">
        <is>
          <t>Technical · BA, PM and QA</t>
        </is>
      </c>
      <c r="AQ53" s="159" t="n">
        <v>0</v>
      </c>
      <c r="AR53" s="159" t="inlineStr">
        <is>
          <t>E-Top management</t>
        </is>
      </c>
      <c r="AS53" s="159" t="n"/>
      <c r="AT53" s="159" t="n"/>
      <c r="AU53" s="159" t="n"/>
      <c r="AV53" s="159" t="n"/>
      <c r="AW53" s="159" t="n"/>
      <c r="AX53" s="159" t="n"/>
      <c r="AY53" s="159" t="n"/>
      <c r="AZ53" s="159" t="n"/>
      <c r="BA53" s="159" t="n"/>
      <c r="BB53" s="159" t="n"/>
      <c r="BC53" s="159" t="n"/>
      <c r="BD53" s="159" t="n"/>
      <c r="BE53" s="159" t="n"/>
      <c r="BF53" s="159" t="n"/>
      <c r="BG53" s="159" t="n"/>
      <c r="BH53" s="159" t="n"/>
      <c r="BI53" s="159" t="n"/>
      <c r="BJ53" s="159" t="n"/>
      <c r="BK53" s="159" t="n"/>
      <c r="BL53" s="159" t="n"/>
      <c r="BM53" s="159" t="n"/>
      <c r="BN53" s="159" t="n"/>
      <c r="BO53" s="159" t="n"/>
      <c r="BP53" s="159" t="n"/>
      <c r="BQ53" s="159" t="n"/>
      <c r="BR53" s="159" t="n"/>
      <c r="BS53" s="159" t="n"/>
      <c r="BT53" s="159" t="n"/>
      <c r="BU53" s="159" t="n"/>
      <c r="BV53" s="159" t="n"/>
      <c r="BW53" s="159" t="n"/>
      <c r="BX53" s="159" t="n"/>
      <c r="BY53" s="159" t="n"/>
      <c r="BZ53" s="159" t="n"/>
      <c r="CA53" s="159" t="n"/>
      <c r="CB53" s="159" t="n"/>
      <c r="CC53" s="159" t="n"/>
      <c r="CD53" s="159" t="n"/>
      <c r="CE53" s="159" t="n"/>
      <c r="CF53" s="159" t="n"/>
      <c r="CG53" s="159" t="n"/>
      <c r="CH53" s="159" t="n"/>
      <c r="CI53" s="159" t="n"/>
      <c r="CJ53" s="159" t="n"/>
      <c r="CK53" s="159" t="n"/>
      <c r="CL53" s="159" t="n"/>
      <c r="CM53" s="159" t="n"/>
      <c r="CN53" s="159" t="n"/>
      <c r="CO53" s="159" t="n"/>
      <c r="CP53" s="159" t="n"/>
      <c r="CQ53" s="159" t="inlineStr">
        <is>
          <t>IRIS1224</t>
        </is>
      </c>
      <c r="CR53" s="159" t="inlineStr">
        <is>
          <t>Employee</t>
        </is>
      </c>
      <c r="CS53" s="159" t="inlineStr">
        <is>
          <t>Active</t>
        </is>
      </c>
      <c r="CT53" s="159" t="inlineStr">
        <is>
          <t>Hemant Karale</t>
        </is>
      </c>
      <c r="CU53" s="160" t="n">
        <v>41106</v>
      </c>
      <c r="CV53" s="159" t="inlineStr">
        <is>
          <t>Business Head IRIS iDEAL</t>
        </is>
      </c>
      <c r="CW53" s="159" t="inlineStr">
        <is>
          <t>Executive Leadership</t>
        </is>
      </c>
      <c r="CX53" s="159" t="inlineStr">
        <is>
          <t>Business / Functional Leadership</t>
        </is>
      </c>
      <c r="CY53" s="159" t="inlineStr">
        <is>
          <t>Business Head IRIS iDEAL</t>
        </is>
      </c>
      <c r="CZ53" s="159" t="inlineStr">
        <is>
          <t>L7 – Head / Sr Director</t>
        </is>
      </c>
      <c r="DA53" s="159" t="inlineStr">
        <is>
          <t>MBA</t>
        </is>
      </c>
      <c r="DB53" s="159" t="inlineStr">
        <is>
          <t>Dixit Jasani</t>
        </is>
      </c>
      <c r="DC53" s="159" t="inlineStr">
        <is>
          <t>N-2</t>
        </is>
      </c>
      <c r="DD53" s="159" t="inlineStr">
        <is>
          <t>Manager</t>
        </is>
      </c>
      <c r="DE53" s="159" t="inlineStr">
        <is>
          <t>3 years, 5 months, 0 days</t>
        </is>
      </c>
      <c r="DF53" s="159" t="inlineStr">
        <is>
          <t>13 years, 11 months, 4 days</t>
        </is>
      </c>
      <c r="DG53" s="159" t="inlineStr">
        <is>
          <t>17 years, 4 months, 4 days</t>
        </is>
      </c>
      <c r="DH53" s="159" t="n">
        <v>13.9276255707763</v>
      </c>
      <c r="DI53" s="159" t="inlineStr">
        <is>
          <t>Regtech</t>
        </is>
      </c>
      <c r="DJ53" s="159" t="inlineStr">
        <is>
          <t>iDEAL</t>
        </is>
      </c>
      <c r="DK53" s="159" t="inlineStr">
        <is>
          <t>iDEAL Business Head</t>
        </is>
      </c>
      <c r="DL53" s="159" t="inlineStr">
        <is>
          <t>Client Engagement</t>
        </is>
      </c>
      <c r="DM53" s="159" t="inlineStr">
        <is>
          <t>No</t>
        </is>
      </c>
      <c r="DN53" s="159" t="inlineStr">
        <is>
          <t>Client Engagement</t>
        </is>
      </c>
      <c r="DO53" s="159" t="inlineStr">
        <is>
          <t>Product Management</t>
        </is>
      </c>
      <c r="DP53" s="159" t="inlineStr">
        <is>
          <t>Technical · BA, PM and QA</t>
        </is>
      </c>
      <c r="DQ53" s="159" t="inlineStr">
        <is>
          <t>Remote- Outside Mumbai</t>
        </is>
      </c>
      <c r="DR53" s="159" t="inlineStr">
        <is>
          <t>1. Deliver FY27 Revenue &amp; Growth Commitments of Rs 19Cr &amp; Generate New ARR · 4Cr 
2. Meet 100% FY27 revenue recognition plan as per finance forecast
3. Onboard 1 New qualified sales + domain partner per foreign market &amp; Generate New ARR of 1Cr from foreign markets with partner
4. Increase AI adoption in the team, Launch at least 1 Major AI-powered features/products to market &amp; Reduce production defect by 20%
5. Conduct quarterly knowledge sessions with product, sales &amp; delivery leaders</t>
        </is>
      </c>
      <c r="DS53" s="159" t="n"/>
      <c r="DT53" s="159" t="n"/>
      <c r="DU53" s="159" t="n"/>
      <c r="DV53" s="159" t="n"/>
      <c r="DW53" s="159" t="inlineStr">
        <is>
          <t>Same as per records</t>
        </is>
      </c>
      <c r="DX53" s="159" t="n"/>
      <c r="DY53" s="159" t="n"/>
      <c r="DZ53" s="159" t="n"/>
      <c r="EA53" s="159" t="n"/>
      <c r="EB53" s="159" t="n"/>
      <c r="EC53" s="159" t="n"/>
      <c r="ED53" s="159" t="n"/>
      <c r="EE53" s="159" t="inlineStr">
        <is>
          <t>Training on the effective utilization of AI tools.</t>
        </is>
      </c>
      <c r="EF53" s="159" t="n"/>
    </row>
  </sheetData>
  <mergeCells count="13">
    <mergeCell ref="A3:R3"/>
    <mergeCell ref="E4:F4"/>
    <mergeCell ref="G4:H4"/>
    <mergeCell ref="I4:J4"/>
    <mergeCell ref="L4:M4"/>
    <mergeCell ref="A2:R2"/>
    <mergeCell ref="V5:EF5"/>
    <mergeCell ref="A4:D4"/>
    <mergeCell ref="A5:L5"/>
    <mergeCell ref="M5:U5"/>
    <mergeCell ref="N4:Q4"/>
    <mergeCell ref="A1:R1"/>
    <mergeCell ref="R4:S4"/>
  </mergeCells>
  <hyperlinks>
    <hyperlink xmlns:r="http://schemas.openxmlformats.org/officeDocument/2006/relationships" ref="S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0.xml><?xml version="1.0" encoding="utf-8"?>
<worksheet xmlns="http://schemas.openxmlformats.org/spreadsheetml/2006/main">
  <sheetPr>
    <tabColor rgb="007030A0"/>
    <outlinePr summaryBelow="1" summaryRight="1"/>
    <pageSetUpPr fitToPage="1"/>
  </sheetPr>
  <dimension ref="A1:Z39"/>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 customWidth="1" min="2" max="2"/>
    <col width="14" customWidth="1" min="3" max="3"/>
    <col width="24" customWidth="1" min="4" max="4"/>
    <col width="22" customWidth="1" min="5" max="5"/>
    <col width="17" customWidth="1" min="6" max="6"/>
    <col width="16" customWidth="1" min="7" max="7"/>
    <col width="10" customWidth="1" min="8" max="8"/>
    <col width="6" customWidth="1" min="9" max="9"/>
    <col width="6" customWidth="1" min="10" max="10"/>
    <col width="7" customWidth="1" min="11" max="11"/>
    <col width="7" customWidth="1" min="12" max="12"/>
    <col width="7" customWidth="1" min="13" max="13"/>
    <col width="10" customWidth="1" min="14" max="14"/>
    <col width="46" customWidth="1" min="15" max="15"/>
    <col width="40" customWidth="1" min="16" max="16"/>
    <col width="40" customWidth="1" min="17" max="17"/>
    <col width="46" customWidth="1" min="18" max="18"/>
    <col width="44" customWidth="1" min="19" max="19"/>
    <col width="40" customWidth="1" min="20" max="20"/>
    <col width="26" customWidth="1" min="21" max="21"/>
    <col width="24" customWidth="1" min="22" max="22"/>
    <col width="24" customWidth="1" min="23" max="23"/>
    <col width="12" customWidth="1" min="24" max="24"/>
    <col width="22" customWidth="1" min="25" max="25"/>
    <col width="26" customWidth="1" min="26" max="26"/>
  </cols>
  <sheetData>
    <row r="1" ht="34" customHeight="1">
      <c r="A1" s="1" t="inlineStr">
        <is>
          <t>Role Competency Framework — by band, role and sub-family · bottom to top</t>
        </is>
      </c>
      <c r="U1" s="241" t="inlineStr">
        <is>
          <t>◂ Contents</t>
        </is>
      </c>
    </row>
    <row r="2" ht="30" customHeight="1">
      <c r="A2" s="3" t="inlineStr">
        <is>
          <t>Sheet 4 · For every role · designation × level × track and the sub-family it sits in: the proficiency required in each cluster and exactly what that proficiency looks like — the six core and four future-ready competencies, the leadership expected, the family's must-have and other functional competencies, the department's technical competencies, how to assess them, the credentials, and where today's role-holders stand.</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F4" s="68" t="inlineStr">
        <is>
          <t>Player-Coach · B+ · C+</t>
        </is>
      </c>
      <c r="H4" s="69" t="inlineStr">
        <is>
          <t>RED = critical input needed · could change or confirm the level</t>
        </is>
      </c>
    </row>
    <row r="5" ht="32" customHeight="1">
      <c r="A5" s="73" t="inlineStr">
        <is>
          <t>ROLE — band → level → role → sub-family</t>
        </is>
      </c>
      <c r="J5" s="74" t="inlineStr">
        <is>
          <t>REQUIRED PROFICIENCY · 1–5, SFIA-aligned</t>
        </is>
      </c>
      <c r="O5" s="76" t="inlineStr">
        <is>
          <t>WHAT IT LOOKS LIKE AT THIS LEVEL — behavioural indicators</t>
        </is>
      </c>
      <c r="R5" s="77" t="inlineStr">
        <is>
          <t>FUNCTIONAL &amp; TECHNICAL — for this role's family and department</t>
        </is>
      </c>
      <c r="U5" s="79" t="inlineStr">
        <is>
          <t>ASSESS, CERTIFY &amp; DEVELOP</t>
        </is>
      </c>
    </row>
    <row r="6" ht="58" customHeight="1">
      <c r="A6" s="91" t="inlineStr">
        <is>
          <t>Band</t>
        </is>
      </c>
      <c r="B6" s="92" t="inlineStr">
        <is>
          <t>Level</t>
        </is>
      </c>
      <c r="C6" s="92" t="inlineStr">
        <is>
          <t>Level title</t>
        </is>
      </c>
      <c r="D6" s="92" t="inlineStr">
        <is>
          <t>Role · designation</t>
        </is>
      </c>
      <c r="E6" s="92" t="inlineStr">
        <is>
          <t>Sub-family</t>
        </is>
      </c>
      <c r="F6" s="92" t="inlineStr">
        <is>
          <t>Job family</t>
        </is>
      </c>
      <c r="G6" s="92" t="inlineStr">
        <is>
          <t>Department · s</t>
        </is>
      </c>
      <c r="H6" s="92" t="inlineStr">
        <is>
          <t>Track</t>
        </is>
      </c>
      <c r="I6" s="92" t="inlineStr">
        <is>
          <t>People</t>
        </is>
      </c>
      <c r="J6" s="93" t="inlineStr">
        <is>
          <t>Core</t>
        </is>
      </c>
      <c r="K6" s="12" t="inlineStr">
        <is>
          <t>Future-ready</t>
        </is>
      </c>
      <c r="L6" s="12" t="inlineStr">
        <is>
          <t>Functional</t>
        </is>
      </c>
      <c r="M6" s="12" t="inlineStr">
        <is>
          <t>Leadership</t>
        </is>
      </c>
      <c r="N6" s="12" t="inlineStr">
        <is>
          <t>Fit needed</t>
        </is>
      </c>
      <c r="O6" s="94" t="inlineStr">
        <is>
          <t>Core</t>
        </is>
      </c>
      <c r="P6" s="157" t="inlineStr">
        <is>
          <t>Future-ready</t>
        </is>
      </c>
      <c r="Q6" s="157" t="inlineStr">
        <is>
          <t>Leadership</t>
        </is>
      </c>
      <c r="R6" s="95" t="inlineStr">
        <is>
          <t>★ Must-have functional competencies</t>
        </is>
      </c>
      <c r="S6" s="96" t="inlineStr">
        <is>
          <t>Other functional competencies</t>
        </is>
      </c>
      <c r="T6" s="96" t="inlineStr">
        <is>
          <t>Department technical competencies · new</t>
        </is>
      </c>
      <c r="U6" s="97" t="inlineStr">
        <is>
          <t>How to assess</t>
        </is>
      </c>
      <c r="V6" s="98" t="inlineStr">
        <is>
          <t>Credentials / certifications</t>
        </is>
      </c>
      <c r="W6" s="98" t="inlineStr">
        <is>
          <t>Mandatory &amp; gate requirements</t>
        </is>
      </c>
      <c r="X6" s="98" t="inlineStr">
        <is>
          <t>Role-holders today · avg index · meet level</t>
        </is>
      </c>
      <c r="Y6" s="98" t="inlineStr">
        <is>
          <t>Most common gaps</t>
        </is>
      </c>
      <c r="Z6" s="98" t="inlineStr">
        <is>
          <t>Learning priorities for this role</t>
        </is>
      </c>
    </row>
    <row r="7" ht="20" customHeight="1">
      <c r="A7" s="161" t="inlineStr">
        <is>
          <t>Band A — Practitioner</t>
        </is>
      </c>
    </row>
    <row r="8" ht="158" customHeight="1">
      <c r="A8" s="162" t="inlineStr">
        <is>
          <t>A</t>
        </is>
      </c>
      <c r="B8" s="26" t="inlineStr">
        <is>
          <t>A1</t>
        </is>
      </c>
      <c r="C8" s="117" t="inlineStr">
        <is>
          <t>Intern / Trainee</t>
        </is>
      </c>
      <c r="D8" s="110" t="inlineStr">
        <is>
          <t>Intern – Application &amp; Product Support</t>
        </is>
      </c>
      <c r="E8" s="111" t="inlineStr">
        <is>
          <t>Application &amp; Product Support</t>
        </is>
      </c>
      <c r="F8" s="111" t="inlineStr">
        <is>
          <t>Customer Success &amp; Support</t>
        </is>
      </c>
      <c r="G8" s="111" t="inlineStr">
        <is>
          <t>Sales</t>
        </is>
      </c>
      <c r="H8" s="111" t="inlineStr">
        <is>
          <t>IC</t>
        </is>
      </c>
      <c r="I8" s="112" t="n">
        <v>1</v>
      </c>
      <c r="J8" s="163" t="n">
        <v>1</v>
      </c>
      <c r="K8" s="164" t="n">
        <v>1</v>
      </c>
      <c r="L8" s="164" t="n">
        <v>1</v>
      </c>
      <c r="M8" s="164" t="inlineStr">
        <is>
          <t>—</t>
        </is>
      </c>
      <c r="N8" s="115" t="inlineStr">
        <is>
          <t>Index ≥ 90% · meets; must-haves at required level</t>
        </is>
      </c>
      <c r="O8" s="119"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8" s="165"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8" s="165" t="inlineStr">
        <is>
          <t>Not required at this level · Band A has one common path; leadership is not scored.</t>
        </is>
      </c>
      <c r="R8" s="120" t="inlineStr">
        <is>
          <t>• ★ Product, Platform &amp; Domain Knowledge: Knows the concepts; does defined tasks with close guidance; all work reviewed.
• ★ Stakeholder &amp; Client Management: Knows the concepts; does defined tasks with close guidance; all work reviewed.</t>
        </is>
      </c>
      <c r="S8" s="166" t="inlineStr">
        <is>
          <r>
            <rPr>
              <rFont val="Calibri"/>
              <sz val="10"/>
            </rPr>
            <t xml:space="preserve">• </t>
          </r>
          <r>
            <rPr>
              <rFont val="Calibri"/>
              <b val="1"/>
              <sz val="10"/>
            </rPr>
            <t>Communication &amp; Presentation:</t>
          </r>
          <r>
            <rPr>
              <rFont val="Calibri"/>
              <sz val="10"/>
            </rPr>
            <t xml:space="preserve"> Knows the concepts; does defined tasks with close guidance; all work reviewed.
• </t>
          </r>
          <r>
            <rPr>
              <rFont val="Calibri"/>
              <b val="1"/>
              <sz val="10"/>
            </rPr>
            <t>Database, SQL &amp; Data Engineering:</t>
          </r>
          <r>
            <rPr>
              <rFont val="Calibri"/>
              <sz val="10"/>
            </rPr>
            <t xml:space="preserve"> Knows the concepts; does defined tasks with close guidance; all work reviewed.
• </t>
          </r>
          <r>
            <rPr>
              <rFont val="Calibri"/>
              <b val="1"/>
              <sz val="10"/>
            </rPr>
            <t>Regulatory &amp; BFSI Domain:</t>
          </r>
          <r>
            <rPr>
              <rFont val="Calibri"/>
              <sz val="10"/>
            </rPr>
            <t xml:space="preserve"> Knows the concepts; does defined tasks with close guidance; all work reviewed.
• </t>
          </r>
          <r>
            <rPr>
              <rFont val="Calibri"/>
              <b val="1"/>
              <sz val="10"/>
            </rPr>
            <t>Process Improvement &amp; Quality Mindset:</t>
          </r>
          <r>
            <rPr>
              <rFont val="Calibri"/>
              <sz val="10"/>
            </rPr>
            <t xml:space="preserve"> Knows the concepts; does defined tasks with close guidance; all work reviewed.</t>
          </r>
        </is>
      </c>
      <c r="T8" s="166" t="inlineStr">
        <is>
          <t>—</t>
        </is>
      </c>
      <c r="U8" s="122" t="inlineStr">
        <is>
          <t>Scenario interview; Role play / behavioural interview; Presentation / writing test; SQL test / case; Domain interview; Work sample / case</t>
        </is>
      </c>
      <c r="V8" s="123" t="inlineStr">
        <is>
          <t>Internal product certification; Database certifications · optional; Domain certifications · optional; Lean / Six Sigma · optional</t>
        </is>
      </c>
      <c r="W8" s="123" t="inlineStr">
        <is>
          <t>ITIL / service-desk practice; SLA management; mandatory: POSH, Code of Conduct, InfoSec &amp; Privacy</t>
        </is>
      </c>
      <c r="X8" s="123" t="inlineStr">
        <is>
          <t>100% · 1 of 1</t>
        </is>
      </c>
      <c r="Y8" s="123" t="inlineStr">
        <is>
          <t>—</t>
        </is>
      </c>
      <c r="Z8" s="123" t="inlineStr">
        <is>
          <t>AI, GenAI &amp; Prompt Engineering · Advanced Excel &amp; Productivity Tools · Communication &amp; Presentation</t>
        </is>
      </c>
    </row>
    <row r="9" ht="158" customHeight="1">
      <c r="A9" s="162" t="inlineStr">
        <is>
          <t>A</t>
        </is>
      </c>
      <c r="B9" s="26" t="inlineStr">
        <is>
          <t>A1</t>
        </is>
      </c>
      <c r="C9" s="117" t="inlineStr">
        <is>
          <t>Intern / Trainee</t>
        </is>
      </c>
      <c r="D9" s="110" t="inlineStr">
        <is>
          <t>Trainee Software Engineer</t>
        </is>
      </c>
      <c r="E9" s="111" t="inlineStr">
        <is>
          <t>Backend Development</t>
        </is>
      </c>
      <c r="F9" s="111" t="inlineStr">
        <is>
          <t>Engineering &amp; Development</t>
        </is>
      </c>
      <c r="G9" s="111" t="inlineStr">
        <is>
          <t>Technology</t>
        </is>
      </c>
      <c r="H9" s="111" t="inlineStr">
        <is>
          <t>IC</t>
        </is>
      </c>
      <c r="I9" s="112" t="n">
        <v>1</v>
      </c>
      <c r="J9" s="163" t="n">
        <v>1</v>
      </c>
      <c r="K9" s="164" t="n">
        <v>1</v>
      </c>
      <c r="L9" s="164" t="n">
        <v>1</v>
      </c>
      <c r="M9" s="164" t="inlineStr">
        <is>
          <t>—</t>
        </is>
      </c>
      <c r="N9" s="115" t="inlineStr">
        <is>
          <t>Index ≥ 90% · meets; must-haves at required level</t>
        </is>
      </c>
      <c r="O9" s="119"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9" s="165"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9" s="165" t="inlineStr">
        <is>
          <t>Not required at this level · Band A has one common path; leadership is not scored.</t>
        </is>
      </c>
      <c r="R9" s="120" t="inlineStr">
        <is>
          <t>• ★ Programming &amp; Tech-Stack Depth: Knows the concepts; does defined tasks with close guidance; all work reviewed.
• ★ System Design &amp; Architecture: Knows the concepts; does defined tasks with close guidance; all work reviewed.</t>
        </is>
      </c>
      <c r="S9" s="166" t="inlineStr">
        <is>
          <r>
            <rPr>
              <rFont val="Calibri"/>
              <sz val="10"/>
            </rPr>
            <t xml:space="preserve">• </t>
          </r>
          <r>
            <rPr>
              <rFont val="Calibri"/>
              <b val="1"/>
              <sz val="10"/>
            </rPr>
            <t>Database, SQL &amp; Data Engineering:</t>
          </r>
          <r>
            <rPr>
              <rFont val="Calibri"/>
              <sz val="10"/>
            </rPr>
            <t xml:space="preserve"> Knows the concepts; does defined tasks with close guidance; all work reviewed.
• </t>
          </r>
          <r>
            <rPr>
              <rFont val="Calibri"/>
              <b val="1"/>
              <sz val="10"/>
            </rPr>
            <t>Cloud, DevOps &amp; CI/CD:</t>
          </r>
          <r>
            <rPr>
              <rFont val="Calibri"/>
              <sz val="10"/>
            </rPr>
            <t xml:space="preserve"> Knows the concepts; does defined tasks with close guidance; all work reviewed.
• </t>
          </r>
          <r>
            <rPr>
              <rFont val="Calibri"/>
              <b val="1"/>
              <sz val="10"/>
            </rPr>
            <t>AI, GenAI &amp; Prompt Engineering:</t>
          </r>
          <r>
            <rPr>
              <rFont val="Calibri"/>
              <sz val="10"/>
            </rPr>
            <t xml:space="preserve"> Knows the concepts; does defined tasks with close guidance; all work reviewed.
• </t>
          </r>
          <r>
            <rPr>
              <rFont val="Calibri"/>
              <b val="1"/>
              <sz val="10"/>
            </rPr>
            <t>Product, Platform &amp; Domain Knowledge:</t>
          </r>
          <r>
            <rPr>
              <rFont val="Calibri"/>
              <sz val="10"/>
            </rPr>
            <t xml:space="preserve"> Knows the concepts; does defined tasks with close guidance; all work reviewed.</t>
          </r>
        </is>
      </c>
      <c r="T9" s="166" t="inlineStr">
        <is>
          <t>—</t>
        </is>
      </c>
      <c r="U9" s="122" t="inlineStr">
        <is>
          <t>Coding test + code review; System-design interview / design review; SQL test / case; Practical task; Work sample / portfolio; Scenario interview</t>
        </is>
      </c>
      <c r="V9" s="123" t="inlineStr">
        <is>
          <t>Cloud / language certifications · optional; AWS / Azure architect · optional; Database certifications · optional; AWS / Azure / Kubernetes certifications; Vendor AI certifications · optional; Internal product certification</t>
        </is>
      </c>
      <c r="W9" s="123" t="inlineStr">
        <is>
          <t>Secure coding · OWASP, code review, unit testing; mandatory: POSH, Code of Conduct, InfoSec &amp; Privacy</t>
        </is>
      </c>
      <c r="X9" s="123" t="inlineStr">
        <is>
          <t>107% · 1 of 1</t>
        </is>
      </c>
      <c r="Y9" s="123" t="inlineStr">
        <is>
          <t>—</t>
        </is>
      </c>
      <c r="Z9" s="123" t="inlineStr">
        <is>
          <t>AI, GenAI &amp; Prompt Engineering · Programming &amp; Tech-Stack Depth · Database, SQL &amp; Data Engineering</t>
        </is>
      </c>
    </row>
    <row r="10" ht="158" customHeight="1">
      <c r="A10" s="162" t="inlineStr">
        <is>
          <t>A</t>
        </is>
      </c>
      <c r="B10" s="26" t="inlineStr">
        <is>
          <t>A1</t>
        </is>
      </c>
      <c r="C10" s="117" t="inlineStr">
        <is>
          <t>Intern / Trainee</t>
        </is>
      </c>
      <c r="D10" s="110" t="inlineStr">
        <is>
          <t>Trainee Software Engineer</t>
        </is>
      </c>
      <c r="E10" s="111" t="inlineStr">
        <is>
          <t>Full-Stack Development</t>
        </is>
      </c>
      <c r="F10" s="111" t="inlineStr">
        <is>
          <t>Engineering &amp; Development</t>
        </is>
      </c>
      <c r="G10" s="111" t="inlineStr">
        <is>
          <t>Technology</t>
        </is>
      </c>
      <c r="H10" s="111" t="inlineStr">
        <is>
          <t>IC</t>
        </is>
      </c>
      <c r="I10" s="112" t="n">
        <v>1</v>
      </c>
      <c r="J10" s="163" t="n">
        <v>1</v>
      </c>
      <c r="K10" s="164" t="n">
        <v>1</v>
      </c>
      <c r="L10" s="164" t="n">
        <v>1</v>
      </c>
      <c r="M10" s="164" t="inlineStr">
        <is>
          <t>—</t>
        </is>
      </c>
      <c r="N10" s="115" t="inlineStr">
        <is>
          <t>Index ≥ 90% · meets; must-haves at required level</t>
        </is>
      </c>
      <c r="O10" s="119"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10" s="165"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10" s="165" t="inlineStr">
        <is>
          <t>Not required at this level · Band A has one common path; leadership is not scored.</t>
        </is>
      </c>
      <c r="R10" s="120" t="inlineStr">
        <is>
          <t>• ★ Programming &amp; Tech-Stack Depth: Knows the concepts; does defined tasks with close guidance; all work reviewed.
• ★ System Design &amp; Architecture: Knows the concepts; does defined tasks with close guidance; all work reviewed.</t>
        </is>
      </c>
      <c r="S10" s="166" t="inlineStr">
        <is>
          <r>
            <rPr>
              <rFont val="Calibri"/>
              <sz val="10"/>
            </rPr>
            <t xml:space="preserve">• </t>
          </r>
          <r>
            <rPr>
              <rFont val="Calibri"/>
              <b val="1"/>
              <sz val="10"/>
            </rPr>
            <t>Database, SQL &amp; Data Engineering:</t>
          </r>
          <r>
            <rPr>
              <rFont val="Calibri"/>
              <sz val="10"/>
            </rPr>
            <t xml:space="preserve"> Knows the concepts; does defined tasks with close guidance; all work reviewed.
• </t>
          </r>
          <r>
            <rPr>
              <rFont val="Calibri"/>
              <b val="1"/>
              <sz val="10"/>
            </rPr>
            <t>Cloud, DevOps &amp; CI/CD:</t>
          </r>
          <r>
            <rPr>
              <rFont val="Calibri"/>
              <sz val="10"/>
            </rPr>
            <t xml:space="preserve"> Knows the concepts; does defined tasks with close guidance; all work reviewed.
• </t>
          </r>
          <r>
            <rPr>
              <rFont val="Calibri"/>
              <b val="1"/>
              <sz val="10"/>
            </rPr>
            <t>AI, GenAI &amp; Prompt Engineering:</t>
          </r>
          <r>
            <rPr>
              <rFont val="Calibri"/>
              <sz val="10"/>
            </rPr>
            <t xml:space="preserve"> Knows the concepts; does defined tasks with close guidance; all work reviewed.
• </t>
          </r>
          <r>
            <rPr>
              <rFont val="Calibri"/>
              <b val="1"/>
              <sz val="10"/>
            </rPr>
            <t>Product, Platform &amp; Domain Knowledge:</t>
          </r>
          <r>
            <rPr>
              <rFont val="Calibri"/>
              <sz val="10"/>
            </rPr>
            <t xml:space="preserve"> Knows the concepts; does defined tasks with close guidance; all work reviewed.</t>
          </r>
        </is>
      </c>
      <c r="T10" s="166" t="inlineStr">
        <is>
          <t>—</t>
        </is>
      </c>
      <c r="U10" s="122" t="inlineStr">
        <is>
          <t>Coding test + code review; System-design interview / design review; SQL test / case; Practical task; Work sample / portfolio; Scenario interview</t>
        </is>
      </c>
      <c r="V10" s="123" t="inlineStr">
        <is>
          <t>Cloud / language certifications · optional; AWS / Azure architect · optional; Database certifications · optional; AWS / Azure / Kubernetes certifications; Vendor AI certifications · optional; Internal product certification</t>
        </is>
      </c>
      <c r="W10" s="123" t="inlineStr">
        <is>
          <t>Secure coding · OWASP, code review, unit testing; mandatory: POSH, Code of Conduct, InfoSec &amp; Privacy</t>
        </is>
      </c>
      <c r="X10" s="123" t="inlineStr">
        <is>
          <t>108% · 1 of 1</t>
        </is>
      </c>
      <c r="Y10" s="123" t="inlineStr">
        <is>
          <t>—</t>
        </is>
      </c>
      <c r="Z10" s="123" t="inlineStr">
        <is>
          <t>Programming &amp; Tech-Stack Depth · Database, SQL &amp; Data Engineering · Broader Ownership &amp; Cross-functional Exposure</t>
        </is>
      </c>
    </row>
    <row r="11" ht="158" customHeight="1">
      <c r="A11" s="162" t="inlineStr">
        <is>
          <t>A</t>
        </is>
      </c>
      <c r="B11" s="26" t="inlineStr">
        <is>
          <t>A2</t>
        </is>
      </c>
      <c r="C11" s="117" t="inlineStr">
        <is>
          <t>Associate</t>
        </is>
      </c>
      <c r="D11" s="110" t="inlineStr">
        <is>
          <t>Support Executive</t>
        </is>
      </c>
      <c r="E11" s="111" t="inlineStr">
        <is>
          <t>Application &amp; Product Support</t>
        </is>
      </c>
      <c r="F11" s="111" t="inlineStr">
        <is>
          <t>Customer Success &amp; Support</t>
        </is>
      </c>
      <c r="G11" s="111" t="inlineStr">
        <is>
          <t>Technology</t>
        </is>
      </c>
      <c r="H11" s="111" t="inlineStr">
        <is>
          <t>IC</t>
        </is>
      </c>
      <c r="I11" s="112" t="n">
        <v>1</v>
      </c>
      <c r="J11" s="163" t="n">
        <v>2</v>
      </c>
      <c r="K11" s="164" t="n">
        <v>2</v>
      </c>
      <c r="L11" s="164" t="n">
        <v>2</v>
      </c>
      <c r="M11" s="164" t="inlineStr">
        <is>
          <t>—</t>
        </is>
      </c>
      <c r="N11" s="115" t="inlineStr">
        <is>
          <t>Index ≥ 90% · meets; must-haves at required level</t>
        </is>
      </c>
      <c r="O11"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1" s="165"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1" s="165" t="inlineStr">
        <is>
          <t>Not required at this level · Band A has one common path; leadership is not scored.</t>
        </is>
      </c>
      <c r="R11" s="120" t="inlineStr">
        <is>
          <t>• ★ Product, Platform &amp; Domain Knowledge: Applies the skill to standard work with routine guidance; work spot-checked.
• ★ Stakeholder &amp; Client Management: Applies the skill to standard work with routine guidance; work spot-checked.</t>
        </is>
      </c>
      <c r="S11" s="166" t="inlineStr">
        <is>
          <r>
            <rPr>
              <rFont val="Calibri"/>
              <sz val="10"/>
            </rPr>
            <t xml:space="preserve">• </t>
          </r>
          <r>
            <rPr>
              <rFont val="Calibri"/>
              <b val="1"/>
              <sz val="10"/>
            </rPr>
            <t>Communication &amp; Presentation:</t>
          </r>
          <r>
            <rPr>
              <rFont val="Calibri"/>
              <sz val="10"/>
            </rPr>
            <t xml:space="preserve"> Applies the skill to standard work with routine guidance; work spot-checked.
• </t>
          </r>
          <r>
            <rPr>
              <rFont val="Calibri"/>
              <b val="1"/>
              <sz val="10"/>
            </rPr>
            <t>Database, SQL &amp; Data Engineering:</t>
          </r>
          <r>
            <rPr>
              <rFont val="Calibri"/>
              <sz val="10"/>
            </rPr>
            <t xml:space="preserve"> Applies the skill to standard work with routine guidance; work spot-checked.
• </t>
          </r>
          <r>
            <rPr>
              <rFont val="Calibri"/>
              <b val="1"/>
              <sz val="10"/>
            </rPr>
            <t>Regulatory &amp; BFSI Domain:</t>
          </r>
          <r>
            <rPr>
              <rFont val="Calibri"/>
              <sz val="10"/>
            </rPr>
            <t xml:space="preserve"> Applies the skill to standard work with routine guidance; work spot-checked.
• </t>
          </r>
          <r>
            <rPr>
              <rFont val="Calibri"/>
              <b val="1"/>
              <sz val="10"/>
            </rPr>
            <t>Process Improvement &amp; Quality Mindset:</t>
          </r>
          <r>
            <rPr>
              <rFont val="Calibri"/>
              <sz val="10"/>
            </rPr>
            <t xml:space="preserve"> Applies the skill to standard work with routine guidance; work spot-checked.</t>
          </r>
        </is>
      </c>
      <c r="T11" s="166" t="inlineStr">
        <is>
          <t>—</t>
        </is>
      </c>
      <c r="U11" s="122" t="inlineStr">
        <is>
          <t>Scenario interview; Role play / behavioural interview; Presentation / writing test; SQL test / case; Domain interview; Work sample / case</t>
        </is>
      </c>
      <c r="V11" s="123" t="inlineStr">
        <is>
          <t>Internal product certification; Database certifications · optional; Domain certifications · optional; Lean / Six Sigma · optional</t>
        </is>
      </c>
      <c r="W11" s="123" t="inlineStr">
        <is>
          <t>ITIL / service-desk practice; SLA management; mandatory: POSH, Code of Conduct, InfoSec &amp; Privacy</t>
        </is>
      </c>
      <c r="X11" s="123" t="inlineStr">
        <is>
          <t>99% · 1 of 1</t>
        </is>
      </c>
      <c r="Y11" s="123" t="inlineStr">
        <is>
          <t>AI literacy · Digital fluency</t>
        </is>
      </c>
      <c r="Z11" s="123" t="inlineStr">
        <is>
          <t>Communication &amp; Presentation · Sales, Negotiation &amp; Account Growth</t>
        </is>
      </c>
    </row>
    <row r="12" ht="158" customHeight="1">
      <c r="A12" s="162" t="inlineStr">
        <is>
          <t>A</t>
        </is>
      </c>
      <c r="B12" s="26" t="inlineStr">
        <is>
          <t>A2</t>
        </is>
      </c>
      <c r="C12" s="117" t="inlineStr">
        <is>
          <t>Associate</t>
        </is>
      </c>
      <c r="D12" s="110" t="inlineStr">
        <is>
          <t>Software Engineer</t>
        </is>
      </c>
      <c r="E12" s="111" t="inlineStr">
        <is>
          <t>Backend Development</t>
        </is>
      </c>
      <c r="F12" s="111" t="inlineStr">
        <is>
          <t>Engineering &amp; Development</t>
        </is>
      </c>
      <c r="G12" s="111" t="inlineStr">
        <is>
          <t>Technology</t>
        </is>
      </c>
      <c r="H12" s="111" t="inlineStr">
        <is>
          <t>IC</t>
        </is>
      </c>
      <c r="I12" s="112" t="n">
        <v>2</v>
      </c>
      <c r="J12" s="163" t="n">
        <v>2</v>
      </c>
      <c r="K12" s="164" t="n">
        <v>2</v>
      </c>
      <c r="L12" s="164" t="n">
        <v>2</v>
      </c>
      <c r="M12" s="164" t="inlineStr">
        <is>
          <t>—</t>
        </is>
      </c>
      <c r="N12" s="115" t="inlineStr">
        <is>
          <t>Index ≥ 90% · meets; must-haves at required level</t>
        </is>
      </c>
      <c r="O12"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2" s="165"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2" s="165" t="inlineStr">
        <is>
          <t>Not required at this level · Band A has one common path; leadership is not scored.</t>
        </is>
      </c>
      <c r="R12" s="120" t="inlineStr">
        <is>
          <t>• ★ Programming &amp; Tech-Stack Depth: Applies the skill to standard work with routine guidance; work spot-checked.
• ★ System Design &amp; Architecture: Applies the skill to standard work with routine guidance; work spot-checked.</t>
        </is>
      </c>
      <c r="S12" s="166" t="inlineStr">
        <is>
          <r>
            <rPr>
              <rFont val="Calibri"/>
              <sz val="10"/>
            </rPr>
            <t xml:space="preserve">• </t>
          </r>
          <r>
            <rPr>
              <rFont val="Calibri"/>
              <b val="1"/>
              <sz val="10"/>
            </rPr>
            <t>Database, SQL &amp; Data Engineering:</t>
          </r>
          <r>
            <rPr>
              <rFont val="Calibri"/>
              <sz val="10"/>
            </rPr>
            <t xml:space="preserve"> Applies the skill to standard work with routine guidance; work spot-checked.
• </t>
          </r>
          <r>
            <rPr>
              <rFont val="Calibri"/>
              <b val="1"/>
              <sz val="10"/>
            </rPr>
            <t>Cloud, DevOps &amp; CI/CD:</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t>
          </r>
        </is>
      </c>
      <c r="T12" s="166" t="inlineStr">
        <is>
          <t>—</t>
        </is>
      </c>
      <c r="U12" s="122" t="inlineStr">
        <is>
          <t>Coding test + code review; System-design interview / design review; SQL test / case; Practical task; Work sample / portfolio; Scenario interview</t>
        </is>
      </c>
      <c r="V12" s="123" t="inlineStr">
        <is>
          <t>Cloud / language certifications · optional; AWS / Azure architect · optional; Database certifications · optional; AWS / Azure / Kubernetes certifications; Vendor AI certifications · optional; Internal product certification</t>
        </is>
      </c>
      <c r="W12" s="123" t="inlineStr">
        <is>
          <t>Secure coding · OWASP, code review, unit testing; mandatory: POSH, Code of Conduct, InfoSec &amp; Privacy</t>
        </is>
      </c>
      <c r="X12" s="123" t="inlineStr">
        <is>
          <t>90% · 1 of 2</t>
        </is>
      </c>
      <c r="Y12" s="123" t="inlineStr">
        <is>
          <t>Cloud &amp; DevOps · AI / GenAI · Learning agility · Communication &amp; collaboration</t>
        </is>
      </c>
      <c r="Z12" s="123" t="inlineStr">
        <is>
          <t>Stakeholder &amp; Client Management · Project, Program &amp; Agile Management · Broader Ownership &amp; Cross-functional Exposure · Product, Platform &amp; Domain Knowledge</t>
        </is>
      </c>
    </row>
    <row r="13" ht="158" customHeight="1">
      <c r="A13" s="162" t="inlineStr">
        <is>
          <t>A</t>
        </is>
      </c>
      <c r="B13" s="26" t="inlineStr">
        <is>
          <t>A2</t>
        </is>
      </c>
      <c r="C13" s="117" t="inlineStr">
        <is>
          <t>Associate</t>
        </is>
      </c>
      <c r="D13" s="110" t="inlineStr">
        <is>
          <t>Content Marketing Associate</t>
        </is>
      </c>
      <c r="E13" s="111" t="inlineStr">
        <is>
          <t>Content Marketing</t>
        </is>
      </c>
      <c r="F13" s="111" t="inlineStr">
        <is>
          <t>Marketing &amp; Communications</t>
        </is>
      </c>
      <c r="G13" s="111" t="inlineStr">
        <is>
          <t>Marketing</t>
        </is>
      </c>
      <c r="H13" s="111" t="inlineStr">
        <is>
          <t>IC</t>
        </is>
      </c>
      <c r="I13" s="112" t="n">
        <v>1</v>
      </c>
      <c r="J13" s="163" t="n">
        <v>2</v>
      </c>
      <c r="K13" s="164" t="n">
        <v>2</v>
      </c>
      <c r="L13" s="164" t="n">
        <v>2</v>
      </c>
      <c r="M13" s="164" t="inlineStr">
        <is>
          <t>—</t>
        </is>
      </c>
      <c r="N13" s="115" t="inlineStr">
        <is>
          <t>Index ≥ 90% · meets; must-haves at required level</t>
        </is>
      </c>
      <c r="O13"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3" s="165"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3" s="165" t="inlineStr">
        <is>
          <t>Not required at this level · Band A has one common path; leadership is not scored.</t>
        </is>
      </c>
      <c r="R13" s="120" t="inlineStr">
        <is>
          <t>• ★ Marketing Tech &amp; Digital Marketing: Applies the skill to standard work with routine guidance; work spot-checked.
• ★ Communication &amp; Presentation: Applies the skill to standard work with routine guidance; work spot-checked.</t>
        </is>
      </c>
      <c r="S13" s="166" t="inlineStr">
        <is>
          <r>
            <rPr>
              <rFont val="Calibri"/>
              <sz val="10"/>
            </rPr>
            <t xml:space="preserve">• </t>
          </r>
          <r>
            <rPr>
              <rFont val="Calibri"/>
              <b val="1"/>
              <sz val="10"/>
            </rPr>
            <t>Data Analytics, BI &amp; Visualisation:</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
• </t>
          </r>
          <r>
            <rPr>
              <rFont val="Calibri"/>
              <b val="1"/>
              <sz val="10"/>
            </rPr>
            <t>Strategic Thinking &amp; Business Acumen:</t>
          </r>
          <r>
            <rPr>
              <rFont val="Calibri"/>
              <sz val="10"/>
            </rPr>
            <t xml:space="preserve"> Applies the skill to standard work with routine guidance; work spot-checked.</t>
          </r>
        </is>
      </c>
      <c r="T13" s="166" t="inlineStr">
        <is>
          <t>—</t>
        </is>
      </c>
      <c r="U13" s="122" t="inlineStr">
        <is>
          <t>Portfolio / case; Presentation / writing test; Data case / practical; Work sample / portfolio; Scenario interview; Case interview</t>
        </is>
      </c>
      <c r="V13" s="123" t="inlineStr">
        <is>
          <t>Google / HubSpot certifications; Power BI / Tableau · optional; Vendor AI certifications · optional; Internal product certification; MBA / PGDM · preferred at C+</t>
        </is>
      </c>
      <c r="W13" s="123" t="inlineStr">
        <is>
          <t>Brand and data-privacy rules for campaigns; mandatory: POSH, Code of Conduct, InfoSec &amp; Privacy</t>
        </is>
      </c>
      <c r="X13" s="123" t="inlineStr">
        <is>
          <t>79% · 0 of 1</t>
        </is>
      </c>
      <c r="Y13" s="123" t="inlineStr">
        <is>
          <t>Analytics &amp; BI · AI / GenAI · Product &amp; domain</t>
        </is>
      </c>
      <c r="Z13" s="123" t="inlineStr">
        <is>
          <t>Broader Ownership &amp; Cross-functional Exposure</t>
        </is>
      </c>
    </row>
    <row r="14" ht="158" customHeight="1">
      <c r="A14" s="162" t="inlineStr">
        <is>
          <t>A</t>
        </is>
      </c>
      <c r="B14" s="26" t="inlineStr">
        <is>
          <t>A3</t>
        </is>
      </c>
      <c r="C14" s="117" t="inlineStr">
        <is>
          <t>Senior Associate</t>
        </is>
      </c>
      <c r="D14" s="110" t="inlineStr">
        <is>
          <t>Senior Business Analyst</t>
        </is>
      </c>
      <c r="E14" s="111" t="inlineStr">
        <is>
          <t>Business Analysis</t>
        </is>
      </c>
      <c r="F14" s="111" t="inlineStr">
        <is>
          <t>Business Analysis</t>
        </is>
      </c>
      <c r="G14" s="111" t="inlineStr">
        <is>
          <t>Technology</t>
        </is>
      </c>
      <c r="H14" s="111" t="inlineStr">
        <is>
          <t>IC</t>
        </is>
      </c>
      <c r="I14" s="112" t="n">
        <v>8</v>
      </c>
      <c r="J14" s="163" t="n">
        <v>2</v>
      </c>
      <c r="K14" s="164" t="n">
        <v>2</v>
      </c>
      <c r="L14" s="164" t="n">
        <v>3</v>
      </c>
      <c r="M14" s="164" t="inlineStr">
        <is>
          <t>—</t>
        </is>
      </c>
      <c r="N14" s="115" t="inlineStr">
        <is>
          <t>Index ≥ 90% · meets; must-haves at required level</t>
        </is>
      </c>
      <c r="O14"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4" s="165"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4" s="165" t="inlineStr">
        <is>
          <t>Not required at this level · Band A has one common path; leadership is not scored.</t>
        </is>
      </c>
      <c r="R14" s="120" t="inlineStr">
        <is>
          <t>• ★ Business Analysis &amp; Requirements Engineering: Writes BRD / FSD / user stories and validates them
• ★ Regulatory &amp; BFSI Domain: Knows the relevant regulators, returns and rules</t>
        </is>
      </c>
      <c r="S14" s="166" t="inlineStr">
        <is>
          <r>
            <rPr>
              <rFont val="Calibri"/>
              <sz val="10"/>
            </rPr>
            <t xml:space="preserve">•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t>
          </r>
        </is>
      </c>
      <c r="T14" s="166" t="inlineStr">
        <is>
          <t>—</t>
        </is>
      </c>
      <c r="U14" s="122" t="inlineStr">
        <is>
          <t>Case study; Domain interview; Scenario interview; SQL test / case; Role play / behavioural interview; Presentation / writing test</t>
        </is>
      </c>
      <c r="V14" s="123" t="inlineStr">
        <is>
          <t>CBAP / CCBA · optional; Domain certifications · optional; Internal product certification; Database certifications · optional</t>
        </is>
      </c>
      <c r="W14" s="123" t="inlineStr">
        <is>
          <t>Regulatory reporting domain · RBI / SEBI / IRDAI / SEC; mandatory: POSH, Code of Conduct, InfoSec &amp; Privacy</t>
        </is>
      </c>
      <c r="X14" s="123" t="inlineStr">
        <is>
          <t>101% · 8 of 8</t>
        </is>
      </c>
      <c r="Y14" s="123" t="inlineStr">
        <is>
          <t>Learning agility · AI literacy · Digital fluency</t>
        </is>
      </c>
      <c r="Z14" s="123" t="inlineStr">
        <is>
          <t>AI, GenAI &amp; Prompt Engineering · Process Improvement &amp; Quality Mindset · Broader Ownership &amp; Cross-functional Exposure · PD.BA-F: elicitation</t>
        </is>
      </c>
    </row>
    <row r="15" ht="158" customHeight="1">
      <c r="A15" s="162" t="inlineStr">
        <is>
          <t>A</t>
        </is>
      </c>
      <c r="B15" s="26" t="inlineStr">
        <is>
          <t>A3</t>
        </is>
      </c>
      <c r="C15" s="117" t="inlineStr">
        <is>
          <t>Senior Associate</t>
        </is>
      </c>
      <c r="D15" s="110" t="inlineStr">
        <is>
          <t>Senior Support Executive</t>
        </is>
      </c>
      <c r="E15" s="111" t="inlineStr">
        <is>
          <t>Application &amp; Product Support</t>
        </is>
      </c>
      <c r="F15" s="111" t="inlineStr">
        <is>
          <t>Customer Success &amp; Support</t>
        </is>
      </c>
      <c r="G15" s="111" t="inlineStr">
        <is>
          <t>Technology</t>
        </is>
      </c>
      <c r="H15" s="111" t="inlineStr">
        <is>
          <t>IC</t>
        </is>
      </c>
      <c r="I15" s="112" t="n">
        <v>1</v>
      </c>
      <c r="J15" s="163" t="n">
        <v>2</v>
      </c>
      <c r="K15" s="164" t="n">
        <v>2</v>
      </c>
      <c r="L15" s="164" t="n">
        <v>3</v>
      </c>
      <c r="M15" s="164" t="inlineStr">
        <is>
          <t>—</t>
        </is>
      </c>
      <c r="N15" s="115" t="inlineStr">
        <is>
          <t>Index ≥ 90% · meets; must-haves at required level</t>
        </is>
      </c>
      <c r="O15"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5" s="165"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5" s="165" t="inlineStr">
        <is>
          <t>Not required at this level · Band A has one common path; leadership is not scored.</t>
        </is>
      </c>
      <c r="R15" s="120" t="inlineStr">
        <is>
          <t>• ★ Product, Platform &amp; Domain Knowledge: Handles most product and domain scenarios
• ★ Stakeholder &amp; Client Management: Manages client communication and expectations for own work</t>
        </is>
      </c>
      <c r="S15" s="166"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t>
          </r>
        </is>
      </c>
      <c r="T15" s="166" t="inlineStr">
        <is>
          <t>—</t>
        </is>
      </c>
      <c r="U15" s="122" t="inlineStr">
        <is>
          <t>Scenario interview; Role play / behavioural interview; Presentation / writing test; SQL test / case; Domain interview; Work sample / case</t>
        </is>
      </c>
      <c r="V15" s="123" t="inlineStr">
        <is>
          <t>Internal product certification; Database certifications · optional; Domain certifications · optional; Lean / Six Sigma · optional</t>
        </is>
      </c>
      <c r="W15" s="123" t="inlineStr">
        <is>
          <t>ITIL / service-desk practice; SLA management; mandatory: POSH, Code of Conduct, InfoSec &amp; Privacy</t>
        </is>
      </c>
      <c r="X15" s="123" t="inlineStr">
        <is>
          <t>92% · 1 of 1</t>
        </is>
      </c>
      <c r="Y15" s="123" t="inlineStr">
        <is>
          <t>Product &amp; domain · SQL &amp; data · Quality &amp; process</t>
        </is>
      </c>
      <c r="Z15" s="123" t="inlineStr">
        <is>
          <t>Project, Program &amp; Agile Management · AI, GenAI &amp; Prompt Engineering · Advanced Excel &amp; Productivity Tools</t>
        </is>
      </c>
    </row>
    <row r="16" ht="158" customHeight="1">
      <c r="A16" s="162" t="inlineStr">
        <is>
          <t>A</t>
        </is>
      </c>
      <c r="B16" s="26" t="inlineStr">
        <is>
          <t>A3</t>
        </is>
      </c>
      <c r="C16" s="117" t="inlineStr">
        <is>
          <t>Senior Associate</t>
        </is>
      </c>
      <c r="D16" s="110" t="inlineStr">
        <is>
          <t>Support Specialist</t>
        </is>
      </c>
      <c r="E16" s="111" t="inlineStr">
        <is>
          <t>Application &amp; Product Support</t>
        </is>
      </c>
      <c r="F16" s="111" t="inlineStr">
        <is>
          <t>Customer Success &amp; Support</t>
        </is>
      </c>
      <c r="G16" s="111" t="inlineStr">
        <is>
          <t>Technology</t>
        </is>
      </c>
      <c r="H16" s="111" t="inlineStr">
        <is>
          <t>IC</t>
        </is>
      </c>
      <c r="I16" s="112" t="n">
        <v>1</v>
      </c>
      <c r="J16" s="163" t="n">
        <v>2</v>
      </c>
      <c r="K16" s="164" t="n">
        <v>2</v>
      </c>
      <c r="L16" s="164" t="n">
        <v>3</v>
      </c>
      <c r="M16" s="164" t="inlineStr">
        <is>
          <t>—</t>
        </is>
      </c>
      <c r="N16" s="115" t="inlineStr">
        <is>
          <t>Index ≥ 90% · meets; must-haves at required level</t>
        </is>
      </c>
      <c r="O16"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6" s="165"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6" s="165" t="inlineStr">
        <is>
          <t>Not required at this level · Band A has one common path; leadership is not scored.</t>
        </is>
      </c>
      <c r="R16" s="120" t="inlineStr">
        <is>
          <t>• ★ Product, Platform &amp; Domain Knowledge: Handles most product and domain scenarios
• ★ Stakeholder &amp; Client Management: Manages client communication and expectations for own work</t>
        </is>
      </c>
      <c r="S16" s="166"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t>
          </r>
        </is>
      </c>
      <c r="T16" s="166" t="inlineStr">
        <is>
          <t>—</t>
        </is>
      </c>
      <c r="U16" s="122" t="inlineStr">
        <is>
          <t>Scenario interview; Role play / behavioural interview; Presentation / writing test; SQL test / case; Domain interview; Work sample / case</t>
        </is>
      </c>
      <c r="V16" s="123" t="inlineStr">
        <is>
          <t>Internal product certification; Database certifications · optional; Domain certifications · optional; Lean / Six Sigma · optional</t>
        </is>
      </c>
      <c r="W16" s="123" t="inlineStr">
        <is>
          <t>ITIL / service-desk practice; SLA management; mandatory: POSH, Code of Conduct, InfoSec &amp; Privacy</t>
        </is>
      </c>
      <c r="X16" s="123" t="inlineStr">
        <is>
          <t>104% · 1 of 1</t>
        </is>
      </c>
      <c r="Y16" s="123" t="inlineStr">
        <is>
          <t>SQL &amp; data · Learning agility · AI literacy</t>
        </is>
      </c>
      <c r="Z16" s="123" t="inlineStr">
        <is>
          <t>Business Analysis &amp; Requirements Engineering · Stakeholder &amp; Client Management · Advanced Excel &amp; Productivity Tools</t>
        </is>
      </c>
    </row>
    <row r="17" ht="158" customHeight="1">
      <c r="A17" s="162" t="inlineStr">
        <is>
          <t>A</t>
        </is>
      </c>
      <c r="B17" s="26" t="inlineStr">
        <is>
          <t>A3</t>
        </is>
      </c>
      <c r="C17" s="117" t="inlineStr">
        <is>
          <t>Senior Associate</t>
        </is>
      </c>
      <c r="D17" s="110" t="inlineStr">
        <is>
          <t>Senior Software Engineer</t>
        </is>
      </c>
      <c r="E17" s="111" t="inlineStr">
        <is>
          <t>Backend Development</t>
        </is>
      </c>
      <c r="F17" s="111" t="inlineStr">
        <is>
          <t>Engineering &amp; Development</t>
        </is>
      </c>
      <c r="G17" s="111" t="inlineStr">
        <is>
          <t>Technology</t>
        </is>
      </c>
      <c r="H17" s="111" t="inlineStr">
        <is>
          <t>IC</t>
        </is>
      </c>
      <c r="I17" s="112" t="n">
        <v>5</v>
      </c>
      <c r="J17" s="163" t="n">
        <v>2</v>
      </c>
      <c r="K17" s="164" t="n">
        <v>2</v>
      </c>
      <c r="L17" s="164" t="n">
        <v>3</v>
      </c>
      <c r="M17" s="164" t="inlineStr">
        <is>
          <t>—</t>
        </is>
      </c>
      <c r="N17" s="115" t="inlineStr">
        <is>
          <t>Index ≥ 90% · meets; must-haves at required level</t>
        </is>
      </c>
      <c r="O17"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7" s="165"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7" s="165" t="inlineStr">
        <is>
          <t>Not required at this level · Band A has one common path; leadership is not scored.</t>
        </is>
      </c>
      <c r="R17" s="120" t="inlineStr">
        <is>
          <t>• ★ Programming &amp; Tech-Stack Depth: Builds features with clean, tested code
• ★ System Design &amp; Architecture: Designs components and integrations for a module</t>
        </is>
      </c>
      <c r="S17" s="166"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17" s="166" t="inlineStr">
        <is>
          <t>—</t>
        </is>
      </c>
      <c r="U17" s="122" t="inlineStr">
        <is>
          <t>Coding test + code review; System-design interview / design review; SQL test / case; Practical task; Work sample / portfolio; Scenario interview</t>
        </is>
      </c>
      <c r="V17" s="123" t="inlineStr">
        <is>
          <t>Cloud / language certifications · optional; AWS / Azure architect · optional; Database certifications · optional; AWS / Azure / Kubernetes certifications; Vendor AI certifications · optional; Internal product certification</t>
        </is>
      </c>
      <c r="W17" s="123" t="inlineStr">
        <is>
          <t>Secure coding · OWASP, code review, unit testing; mandatory: POSH, Code of Conduct, InfoSec &amp; Privacy</t>
        </is>
      </c>
      <c r="X17" s="123" t="inlineStr">
        <is>
          <t>104% · 5 of 5</t>
        </is>
      </c>
      <c r="Y17" s="123" t="inlineStr">
        <is>
          <t>Cloud &amp; DevOps · SQL &amp; data</t>
        </is>
      </c>
      <c r="Z17" s="123" t="inlineStr">
        <is>
          <t>AI, GenAI &amp; Prompt Engineering · Product, Platform &amp; Domain Knowledge · Stakeholder &amp; Client Management · Process Improvement &amp; Quality Mindset</t>
        </is>
      </c>
    </row>
    <row r="18" ht="158" customHeight="1">
      <c r="A18" s="162" t="inlineStr">
        <is>
          <t>A</t>
        </is>
      </c>
      <c r="B18" s="26" t="inlineStr">
        <is>
          <t>A3</t>
        </is>
      </c>
      <c r="C18" s="117" t="inlineStr">
        <is>
          <t>Senior Associate</t>
        </is>
      </c>
      <c r="D18" s="110" t="inlineStr">
        <is>
          <t>Senior Database Engineer</t>
        </is>
      </c>
      <c r="E18" s="111" t="inlineStr">
        <is>
          <t>Data Engineering &amp; Database Development</t>
        </is>
      </c>
      <c r="F18" s="111" t="inlineStr">
        <is>
          <t>Engineering &amp; Development</t>
        </is>
      </c>
      <c r="G18" s="111" t="inlineStr">
        <is>
          <t>Technology</t>
        </is>
      </c>
      <c r="H18" s="111" t="inlineStr">
        <is>
          <t>IC</t>
        </is>
      </c>
      <c r="I18" s="112" t="n">
        <v>3</v>
      </c>
      <c r="J18" s="163" t="n">
        <v>2</v>
      </c>
      <c r="K18" s="164" t="n">
        <v>2</v>
      </c>
      <c r="L18" s="164" t="n">
        <v>3</v>
      </c>
      <c r="M18" s="164" t="inlineStr">
        <is>
          <t>—</t>
        </is>
      </c>
      <c r="N18" s="115" t="inlineStr">
        <is>
          <t>Index ≥ 90% · meets; must-haves at required level</t>
        </is>
      </c>
      <c r="O18"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8" s="165"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8" s="165" t="inlineStr">
        <is>
          <t>Not required at this level · Band A has one common path; leadership is not scored.</t>
        </is>
      </c>
      <c r="R18" s="120" t="inlineStr">
        <is>
          <t>• ★ Programming &amp; Tech-Stack Depth: Builds features with clean, tested code
• ★ System Design &amp; Architecture: Designs components and integrations for a module</t>
        </is>
      </c>
      <c r="S18" s="166"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18" s="166" t="inlineStr">
        <is>
          <t>—</t>
        </is>
      </c>
      <c r="U18" s="122" t="inlineStr">
        <is>
          <t>Coding test + code review; System-design interview / design review; SQL test / case; Practical task; Work sample / portfolio; Scenario interview</t>
        </is>
      </c>
      <c r="V18" s="123" t="inlineStr">
        <is>
          <t>Cloud / language certifications · optional; AWS / Azure architect · optional; Database certifications · optional; AWS / Azure / Kubernetes certifications; Vendor AI certifications · optional; Internal product certification</t>
        </is>
      </c>
      <c r="W18" s="123" t="inlineStr">
        <is>
          <t>Secure coding · OWASP, code review, unit testing; mandatory: POSH, Code of Conduct, InfoSec &amp; Privacy</t>
        </is>
      </c>
      <c r="X18" s="123" t="inlineStr">
        <is>
          <t>100% · 3 of 3</t>
        </is>
      </c>
      <c r="Y18" s="123" t="inlineStr">
        <is>
          <t>Programming &amp; stack · Cloud &amp; DevOps · Client &amp; quality focus</t>
        </is>
      </c>
      <c r="Z18" s="123" t="inlineStr">
        <is>
          <t>Database, SQL &amp; Data Engineering · AI, GenAI &amp; Prompt Engineering · Stakeholder &amp; Client Management · Cloud, DevOps &amp; CI/CD</t>
        </is>
      </c>
    </row>
    <row r="19" ht="158" customHeight="1">
      <c r="A19" s="162" t="inlineStr">
        <is>
          <t>A</t>
        </is>
      </c>
      <c r="B19" s="26" t="inlineStr">
        <is>
          <t>A3</t>
        </is>
      </c>
      <c r="C19" s="117" t="inlineStr">
        <is>
          <t>Senior Associate</t>
        </is>
      </c>
      <c r="D19" s="110" t="inlineStr">
        <is>
          <t>Technical Specialist</t>
        </is>
      </c>
      <c r="E19" s="111" t="inlineStr">
        <is>
          <t>Full-Stack Development</t>
        </is>
      </c>
      <c r="F19" s="111" t="inlineStr">
        <is>
          <t>Engineering &amp; Development</t>
        </is>
      </c>
      <c r="G19" s="111" t="inlineStr">
        <is>
          <t>Technology</t>
        </is>
      </c>
      <c r="H19" s="111" t="inlineStr">
        <is>
          <t>IC</t>
        </is>
      </c>
      <c r="I19" s="112" t="n">
        <v>1</v>
      </c>
      <c r="J19" s="163" t="n">
        <v>2</v>
      </c>
      <c r="K19" s="164" t="n">
        <v>2</v>
      </c>
      <c r="L19" s="164" t="n">
        <v>3</v>
      </c>
      <c r="M19" s="164" t="inlineStr">
        <is>
          <t>—</t>
        </is>
      </c>
      <c r="N19" s="115" t="inlineStr">
        <is>
          <t>Index ≥ 90% · meets; must-haves at required level</t>
        </is>
      </c>
      <c r="O19"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9" s="165"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9" s="165" t="inlineStr">
        <is>
          <t>Not required at this level · Band A has one common path; leadership is not scored.</t>
        </is>
      </c>
      <c r="R19" s="120" t="inlineStr">
        <is>
          <t>• ★ Programming &amp; Tech-Stack Depth: Builds features with clean, tested code
• ★ System Design &amp; Architecture: Designs components and integrations for a module</t>
        </is>
      </c>
      <c r="S19" s="166"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19" s="166" t="inlineStr">
        <is>
          <t>—</t>
        </is>
      </c>
      <c r="U19" s="122" t="inlineStr">
        <is>
          <t>Coding test + code review; System-design interview / design review; SQL test / case; Practical task; Work sample / portfolio; Scenario interview</t>
        </is>
      </c>
      <c r="V19" s="123" t="inlineStr">
        <is>
          <t>Cloud / language certifications · optional; AWS / Azure architect · optional; Database certifications · optional; AWS / Azure / Kubernetes certifications; Vendor AI certifications · optional; Internal product certification</t>
        </is>
      </c>
      <c r="W19" s="123" t="inlineStr">
        <is>
          <t>Secure coding · OWASP, code review, unit testing; mandatory: POSH, Code of Conduct, InfoSec &amp; Privacy</t>
        </is>
      </c>
      <c r="X19" s="123" t="inlineStr">
        <is>
          <t>101% · 1 of 1</t>
        </is>
      </c>
      <c r="Y19" s="123" t="inlineStr">
        <is>
          <t>Cloud &amp; DevOps · Problem solving</t>
        </is>
      </c>
      <c r="Z19" s="123" t="inlineStr">
        <is>
          <t>System Design &amp; Architecture · AI, GenAI &amp; Prompt Engineering · Programming &amp; Tech-Stack Depth</t>
        </is>
      </c>
    </row>
    <row r="20" ht="158" customHeight="1">
      <c r="A20" s="162" t="inlineStr">
        <is>
          <t>A</t>
        </is>
      </c>
      <c r="B20" s="26" t="inlineStr">
        <is>
          <t>A3</t>
        </is>
      </c>
      <c r="C20" s="117" t="inlineStr">
        <is>
          <t>Senior Associate</t>
        </is>
      </c>
      <c r="D20" s="110" t="inlineStr">
        <is>
          <t>Senior Product Analyst</t>
        </is>
      </c>
      <c r="E20" s="111" t="inlineStr">
        <is>
          <t>Product Operations &amp; Research</t>
        </is>
      </c>
      <c r="F20" s="111" t="inlineStr">
        <is>
          <t>Product Management</t>
        </is>
      </c>
      <c r="G20" s="111" t="inlineStr">
        <is>
          <t>Product Management</t>
        </is>
      </c>
      <c r="H20" s="111" t="inlineStr">
        <is>
          <t>IC</t>
        </is>
      </c>
      <c r="I20" s="112" t="n">
        <v>1</v>
      </c>
      <c r="J20" s="163" t="n">
        <v>2</v>
      </c>
      <c r="K20" s="164" t="n">
        <v>2</v>
      </c>
      <c r="L20" s="164" t="n">
        <v>3</v>
      </c>
      <c r="M20" s="164" t="inlineStr">
        <is>
          <t>—</t>
        </is>
      </c>
      <c r="N20" s="115" t="inlineStr">
        <is>
          <t>Index ≥ 90% · meets; must-haves at required level</t>
        </is>
      </c>
      <c r="O20"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0" s="165"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0" s="165" t="inlineStr">
        <is>
          <t>Not required at this level · Band A has one common path; leadership is not scored.</t>
        </is>
      </c>
      <c r="R20" s="120" t="inlineStr">
        <is>
          <t>• ★ Product, Platform &amp; Domain Knowledge: Handles most product and domain scenarios
• ★ Business Analysis &amp; Requirements Engineering: Writes BRD / FSD / user stories and validates them</t>
        </is>
      </c>
      <c r="S20" s="166"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Strategic Thinking &amp; Business Acumen:</t>
          </r>
          <r>
            <rPr>
              <rFont val="Calibri"/>
              <sz val="10"/>
            </rPr>
            <t xml:space="preserve"> Connects work to business goals and budgets
• </t>
          </r>
          <r>
            <rPr>
              <rFont val="Calibri"/>
              <b val="1"/>
              <sz val="10"/>
            </rPr>
            <t>Stakeholder &amp; Client Management:</t>
          </r>
          <r>
            <rPr>
              <rFont val="Calibri"/>
              <sz val="10"/>
            </rPr>
            <t xml:space="preserve"> Manages client communication and expectations for own work
• </t>
          </r>
          <r>
            <rPr>
              <rFont val="Calibri"/>
              <b val="1"/>
              <sz val="10"/>
            </rPr>
            <t>AI, GenAI &amp; Prompt Engineering:</t>
          </r>
          <r>
            <rPr>
              <rFont val="Calibri"/>
              <sz val="10"/>
            </rPr>
            <t xml:space="preserve"> Uses AI / LLM tools in own work and validates output</t>
          </r>
        </is>
      </c>
      <c r="T20" s="166" t="inlineStr">
        <is>
          <t>—</t>
        </is>
      </c>
      <c r="U20" s="122" t="inlineStr">
        <is>
          <t>Scenario interview; Case study; Data case / practical; Case interview; Role play / behavioural interview; Work sample / portfolio</t>
        </is>
      </c>
      <c r="V20" s="123" t="inlineStr">
        <is>
          <t>Internal product certification; CBAP / CCBA · optional; Power BI / Tableau · optional; MBA / PGDM · preferred at C+; Vendor AI certifications · optional</t>
        </is>
      </c>
      <c r="W20" s="123" t="inlineStr">
        <is>
          <t>Product discovery, roadmap and P&amp;L basics; mandatory: POSH, Code of Conduct, InfoSec &amp; Privacy</t>
        </is>
      </c>
      <c r="X20" s="123" t="inlineStr">
        <is>
          <t>97% · 1 of 1</t>
        </is>
      </c>
      <c r="Y20" s="123" t="inlineStr">
        <is>
          <t>Analytics &amp; BI · AI / GenAI</t>
        </is>
      </c>
      <c r="Z20" s="123" t="inlineStr">
        <is>
          <t>Project, Program &amp; Agile Management · Broader Ownership &amp; Cross-functional Exposure · AI, GenAI &amp; Prompt Engineering</t>
        </is>
      </c>
    </row>
    <row r="21" ht="158" customHeight="1">
      <c r="A21" s="162" t="inlineStr">
        <is>
          <t>A</t>
        </is>
      </c>
      <c r="B21" s="26" t="inlineStr">
        <is>
          <t>A3</t>
        </is>
      </c>
      <c r="C21" s="117" t="inlineStr">
        <is>
          <t>Senior Associate</t>
        </is>
      </c>
      <c r="D21" s="110" t="inlineStr">
        <is>
          <t>Senior QA Engineer</t>
        </is>
      </c>
      <c r="E21" s="111" t="inlineStr">
        <is>
          <t>Functional &amp; Domain Testing</t>
        </is>
      </c>
      <c r="F21" s="111" t="inlineStr">
        <is>
          <t>Quality Assurance</t>
        </is>
      </c>
      <c r="G21" s="111" t="inlineStr">
        <is>
          <t>Quality Assurance</t>
        </is>
      </c>
      <c r="H21" s="111" t="inlineStr">
        <is>
          <t>IC</t>
        </is>
      </c>
      <c r="I21" s="112" t="n">
        <v>1</v>
      </c>
      <c r="J21" s="163" t="n">
        <v>2</v>
      </c>
      <c r="K21" s="164" t="n">
        <v>2</v>
      </c>
      <c r="L21" s="164" t="n">
        <v>3</v>
      </c>
      <c r="M21" s="164" t="inlineStr">
        <is>
          <t>—</t>
        </is>
      </c>
      <c r="N21" s="115" t="inlineStr">
        <is>
          <t>Index ≥ 90% · meets; must-haves at required level</t>
        </is>
      </c>
      <c r="O21"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1" s="165"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1" s="165" t="inlineStr">
        <is>
          <t>Not required at this level · Band A has one common path; leadership is not scored.</t>
        </is>
      </c>
      <c r="R21" s="120" t="inlineStr">
        <is>
          <t>• ★ Test Automation &amp; QA Engineering: Designs test cases; automates regression / API tests
• ★ Product, Platform &amp; Domain Knowledge: Handles most product and domain scenarios</t>
        </is>
      </c>
      <c r="S21" s="166"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t>
          </r>
        </is>
      </c>
      <c r="T21" s="166" t="inlineStr">
        <is>
          <t>—</t>
        </is>
      </c>
      <c r="U21" s="122" t="inlineStr">
        <is>
          <t>Testing practical; Scenario interview; SQL test / case; Work sample / portfolio; Work sample / case; Presentation / writing test</t>
        </is>
      </c>
      <c r="V21" s="123" t="inlineStr">
        <is>
          <t>ISTQB Foundation / Advanced; Internal product certification; Database certifications · optional; Vendor AI certifications · optional; Lean / Six Sigma · optional</t>
        </is>
      </c>
      <c r="W21" s="123" t="inlineStr">
        <is>
          <t>ISTQB or equivalent preferred from B1; mandatory: POSH, Code of Conduct, InfoSec &amp; Privacy</t>
        </is>
      </c>
      <c r="X21" s="123" t="inlineStr">
        <is>
          <t>108% · 1 of 1</t>
        </is>
      </c>
      <c r="Y21" s="123" t="inlineStr">
        <is>
          <t>—</t>
        </is>
      </c>
      <c r="Z21" s="123" t="inlineStr">
        <is>
          <t>Programming &amp; Tech-Stack Depth · Product, Platform &amp; Domain Knowledge · AI, GenAI &amp; Prompt Engineering</t>
        </is>
      </c>
    </row>
    <row r="22" ht="158" customHeight="1">
      <c r="A22" s="162" t="inlineStr">
        <is>
          <t>A</t>
        </is>
      </c>
      <c r="B22" s="26" t="inlineStr">
        <is>
          <t>A3</t>
        </is>
      </c>
      <c r="C22" s="117" t="inlineStr">
        <is>
          <t>Senior Associate</t>
        </is>
      </c>
      <c r="D22" s="110" t="inlineStr">
        <is>
          <t>Senior QA Automation Engineer</t>
        </is>
      </c>
      <c r="E22" s="111" t="inlineStr">
        <is>
          <t>Test Automation</t>
        </is>
      </c>
      <c r="F22" s="111" t="inlineStr">
        <is>
          <t>Quality Assurance</t>
        </is>
      </c>
      <c r="G22" s="111" t="inlineStr">
        <is>
          <t>Quality Assurance</t>
        </is>
      </c>
      <c r="H22" s="111" t="inlineStr">
        <is>
          <t>IC</t>
        </is>
      </c>
      <c r="I22" s="112" t="n">
        <v>3</v>
      </c>
      <c r="J22" s="163" t="n">
        <v>2</v>
      </c>
      <c r="K22" s="164" t="n">
        <v>2</v>
      </c>
      <c r="L22" s="164" t="n">
        <v>3</v>
      </c>
      <c r="M22" s="164" t="inlineStr">
        <is>
          <t>—</t>
        </is>
      </c>
      <c r="N22" s="115" t="inlineStr">
        <is>
          <t>Index ≥ 90% · meets; must-haves at required level</t>
        </is>
      </c>
      <c r="O22"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2" s="165"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2" s="165" t="inlineStr">
        <is>
          <t>Not required at this level · Band A has one common path; leadership is not scored.</t>
        </is>
      </c>
      <c r="R22" s="120" t="inlineStr">
        <is>
          <t>• ★ Test Automation &amp; QA Engineering: Designs test cases; automates regression / API tests
• ★ Product, Platform &amp; Domain Knowledge: Handles most product and domain scenarios</t>
        </is>
      </c>
      <c r="S22" s="166"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t>
          </r>
        </is>
      </c>
      <c r="T22" s="166" t="inlineStr">
        <is>
          <t>—</t>
        </is>
      </c>
      <c r="U22" s="122" t="inlineStr">
        <is>
          <t>Testing practical; Scenario interview; SQL test / case; Work sample / portfolio; Work sample / case; Presentation / writing test</t>
        </is>
      </c>
      <c r="V22" s="123" t="inlineStr">
        <is>
          <t>ISTQB Foundation / Advanced; Internal product certification; Database certifications · optional; Vendor AI certifications · optional; Lean / Six Sigma · optional</t>
        </is>
      </c>
      <c r="W22" s="123" t="inlineStr">
        <is>
          <t>ISTQB or equivalent preferred from B1; mandatory: POSH, Code of Conduct, InfoSec &amp; Privacy</t>
        </is>
      </c>
      <c r="X22" s="123" t="inlineStr">
        <is>
          <t>106% · 3 of 3</t>
        </is>
      </c>
      <c r="Y22" s="123" t="inlineStr">
        <is>
          <t>—</t>
        </is>
      </c>
      <c r="Z22" s="123" t="inlineStr">
        <is>
          <t>Test Automation &amp; QA Engineering · Cybersecurity &amp; Infrastructure · Programming &amp; Tech-Stack Depth · AI, GenAI &amp; Prompt Engineering</t>
        </is>
      </c>
    </row>
    <row r="23" ht="158" customHeight="1">
      <c r="A23" s="162" t="inlineStr">
        <is>
          <t>A</t>
        </is>
      </c>
      <c r="B23" s="26" t="inlineStr">
        <is>
          <t>A3</t>
        </is>
      </c>
      <c r="C23" s="117" t="inlineStr">
        <is>
          <t>Senior Associate</t>
        </is>
      </c>
      <c r="D23" s="110" t="inlineStr">
        <is>
          <t>Senior Alliances Executive</t>
        </is>
      </c>
      <c r="E23" s="111" t="inlineStr">
        <is>
          <t>Partnerships &amp; Alliances</t>
        </is>
      </c>
      <c r="F23" s="111" t="inlineStr">
        <is>
          <t>Sales &amp; Business Development</t>
        </is>
      </c>
      <c r="G23" s="111" t="inlineStr">
        <is>
          <t>Sales</t>
        </is>
      </c>
      <c r="H23" s="111" t="inlineStr">
        <is>
          <t>IC</t>
        </is>
      </c>
      <c r="I23" s="112" t="n">
        <v>1</v>
      </c>
      <c r="J23" s="163" t="n">
        <v>2</v>
      </c>
      <c r="K23" s="164" t="n">
        <v>2</v>
      </c>
      <c r="L23" s="164" t="n">
        <v>3</v>
      </c>
      <c r="M23" s="164" t="inlineStr">
        <is>
          <t>—</t>
        </is>
      </c>
      <c r="N23" s="115" t="inlineStr">
        <is>
          <t>Index ≥ 90% · meets; must-haves at required level</t>
        </is>
      </c>
      <c r="O23"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3" s="165"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3" s="165" t="inlineStr">
        <is>
          <t>Not required at this level · Band A has one common path; leadership is not scored.</t>
        </is>
      </c>
      <c r="R23" s="120" t="inlineStr">
        <is>
          <t>• ★ Sales, Negotiation &amp; Account Growth: Builds pipeline and closes deals
• ★ Marketing Tech &amp; Digital Marketing: Runs campaigns, CRM, SEO and social channels</t>
        </is>
      </c>
      <c r="S23" s="166" t="inlineStr">
        <is>
          <r>
            <rPr>
              <rFont val="Calibri"/>
              <sz val="10"/>
            </rPr>
            <t xml:space="preserve">•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23" s="166" t="inlineStr">
        <is>
          <t>—</t>
        </is>
      </c>
      <c r="U23" s="122" t="inlineStr">
        <is>
          <t>Sales role play; Portfolio / case; Role play / behavioural interview; Presentation / writing test; Scenario interview; Case interview</t>
        </is>
      </c>
      <c r="V23" s="123" t="inlineStr">
        <is>
          <t>Google / HubSpot certifications; Internal product certification; MBA / PGDM · preferred at C+</t>
        </is>
      </c>
      <c r="W23" s="123" t="inlineStr">
        <is>
          <t>CRM hygiene; contract basics; mandatory: POSH, Code of Conduct, InfoSec &amp; Privacy</t>
        </is>
      </c>
      <c r="X23" s="123" t="inlineStr">
        <is>
          <t>94% · 1 of 1</t>
        </is>
      </c>
      <c r="Y23" s="123" t="inlineStr">
        <is>
          <t>Ownership · Problem solving · Learning agility</t>
        </is>
      </c>
      <c r="Z23" s="123" t="inlineStr">
        <is>
          <t>Database, SQL &amp; Data Engineering · Advanced Excel &amp; Productivity Tools · Product, Platform &amp; Domain Knowledge</t>
        </is>
      </c>
    </row>
    <row r="24" ht="20" customHeight="1">
      <c r="A24" s="161" t="inlineStr">
        <is>
          <t>Band B — Specialist / Manager</t>
        </is>
      </c>
    </row>
    <row r="25" ht="184" customHeight="1">
      <c r="A25" s="167" t="inlineStr">
        <is>
          <t>B</t>
        </is>
      </c>
      <c r="B25" s="20" t="inlineStr">
        <is>
          <t>B1</t>
        </is>
      </c>
      <c r="C25" s="18" t="inlineStr">
        <is>
          <t>Specialist</t>
        </is>
      </c>
      <c r="D25" s="110" t="inlineStr">
        <is>
          <t>Business Analysis Specialist</t>
        </is>
      </c>
      <c r="E25" s="111" t="inlineStr">
        <is>
          <t>Business Analysis</t>
        </is>
      </c>
      <c r="F25" s="111" t="inlineStr">
        <is>
          <t>Business Analysis</t>
        </is>
      </c>
      <c r="G25" s="111" t="inlineStr">
        <is>
          <t>Technology</t>
        </is>
      </c>
      <c r="H25" s="111" t="inlineStr">
        <is>
          <t>IC</t>
        </is>
      </c>
      <c r="I25" s="112" t="n">
        <v>2</v>
      </c>
      <c r="J25" s="163" t="n">
        <v>3</v>
      </c>
      <c r="K25" s="164" t="n">
        <v>3</v>
      </c>
      <c r="L25" s="164" t="n">
        <v>3</v>
      </c>
      <c r="M25" s="164" t="n">
        <v>1</v>
      </c>
      <c r="N25" s="115" t="inlineStr">
        <is>
          <t>Index ≥ 90% · meets; must-haves at required level</t>
        </is>
      </c>
      <c r="O25"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5" s="165"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5" s="165"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25" s="120" t="inlineStr">
        <is>
          <t>• ★ Business Analysis &amp; Requirements Engineering: Writes BRD / FSD / user stories and validates them
• ★ Regulatory &amp; BFSI Domain: Knows the relevant regulators, returns and rules</t>
        </is>
      </c>
      <c r="S25" s="166" t="inlineStr">
        <is>
          <r>
            <rPr>
              <rFont val="Calibri"/>
              <sz val="10"/>
            </rPr>
            <t xml:space="preserve">•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t>
          </r>
        </is>
      </c>
      <c r="T25" s="166" t="inlineStr">
        <is>
          <t>—</t>
        </is>
      </c>
      <c r="U25" s="122" t="inlineStr">
        <is>
          <t>Case study; Domain interview; Scenario interview; SQL test / case; Role play / behavioural interview; Presentation / writing test</t>
        </is>
      </c>
      <c r="V25" s="123" t="inlineStr">
        <is>
          <t>CBAP / CCBA · optional; Domain certifications · optional; Internal product certification; Database certifications · optional</t>
        </is>
      </c>
      <c r="W25" s="123" t="inlineStr">
        <is>
          <t>Regulatory reporting domain · RBI / SEBI / IRDAI / SEC; mandatory: POSH, Code of Conduct, InfoSec &amp; Privacy</t>
        </is>
      </c>
      <c r="X25" s="123" t="inlineStr">
        <is>
          <t>94% · 1 of 2</t>
        </is>
      </c>
      <c r="Y25" s="123" t="inlineStr">
        <is>
          <t>AI literacy · Digital fluency · Product &amp; domain · SQL &amp; data</t>
        </is>
      </c>
      <c r="Z25" s="123" t="inlineStr">
        <is>
          <t>Process Improvement &amp; Quality Mindset · Business Analysis &amp; Requirements Engineering · AI, GenAI &amp; Prompt Engineering · Product, Platform &amp; Domain Knowledge</t>
        </is>
      </c>
    </row>
    <row r="26" ht="184" customHeight="1">
      <c r="A26" s="167" t="inlineStr">
        <is>
          <t>B</t>
        </is>
      </c>
      <c r="B26" s="20" t="inlineStr">
        <is>
          <t>B1</t>
        </is>
      </c>
      <c r="C26" s="18" t="inlineStr">
        <is>
          <t>Specialist</t>
        </is>
      </c>
      <c r="D26" s="110" t="inlineStr">
        <is>
          <t>Senior Business Analysis Specialist</t>
        </is>
      </c>
      <c r="E26" s="111" t="inlineStr">
        <is>
          <t>Business Analysis</t>
        </is>
      </c>
      <c r="F26" s="111" t="inlineStr">
        <is>
          <t>Business Analysis</t>
        </is>
      </c>
      <c r="G26" s="111" t="inlineStr">
        <is>
          <t>Technology</t>
        </is>
      </c>
      <c r="H26" s="111" t="inlineStr">
        <is>
          <t>IC</t>
        </is>
      </c>
      <c r="I26" s="112" t="n">
        <v>1</v>
      </c>
      <c r="J26" s="163" t="n">
        <v>3</v>
      </c>
      <c r="K26" s="164" t="n">
        <v>3</v>
      </c>
      <c r="L26" s="164" t="n">
        <v>3</v>
      </c>
      <c r="M26" s="164" t="n">
        <v>1</v>
      </c>
      <c r="N26" s="115" t="inlineStr">
        <is>
          <t>Index ≥ 90% · meets; must-haves at required level</t>
        </is>
      </c>
      <c r="O26"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6" s="165"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6" s="165"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26" s="120" t="inlineStr">
        <is>
          <t>• ★ Business Analysis &amp; Requirements Engineering: Writes BRD / FSD / user stories and validates them
• ★ Regulatory &amp; BFSI Domain: Knows the relevant regulators, returns and rules</t>
        </is>
      </c>
      <c r="S26" s="166" t="inlineStr">
        <is>
          <r>
            <rPr>
              <rFont val="Calibri"/>
              <sz val="10"/>
            </rPr>
            <t xml:space="preserve">•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t>
          </r>
        </is>
      </c>
      <c r="T26" s="166" t="inlineStr">
        <is>
          <t>—</t>
        </is>
      </c>
      <c r="U26" s="122" t="inlineStr">
        <is>
          <t>Case study; Domain interview; Scenario interview; SQL test / case; Role play / behavioural interview; Presentation / writing test</t>
        </is>
      </c>
      <c r="V26" s="123" t="inlineStr">
        <is>
          <t>CBAP / CCBA · optional; Domain certifications · optional; Internal product certification; Database certifications · optional</t>
        </is>
      </c>
      <c r="W26" s="123" t="inlineStr">
        <is>
          <t>Regulatory reporting domain · RBI / SEBI / IRDAI / SEC; mandatory: POSH, Code of Conduct, InfoSec &amp; Privacy</t>
        </is>
      </c>
      <c r="X26" s="123" t="inlineStr">
        <is>
          <t>109% · 1 of 1</t>
        </is>
      </c>
      <c r="Y26" s="123" t="inlineStr">
        <is>
          <t>AI literacy</t>
        </is>
      </c>
      <c r="Z26" s="123" t="inlineStr">
        <is>
          <t>Project, Program &amp; Agile Management · AI, GenAI &amp; Prompt Engineering · Business Analysis &amp; Requirements Engineering</t>
        </is>
      </c>
    </row>
    <row r="27" ht="184" customHeight="1">
      <c r="A27" s="167" t="inlineStr">
        <is>
          <t>B</t>
        </is>
      </c>
      <c r="B27" s="20" t="inlineStr">
        <is>
          <t>B1</t>
        </is>
      </c>
      <c r="C27" s="18" t="inlineStr">
        <is>
          <t>Specialist</t>
        </is>
      </c>
      <c r="D27" s="110" t="inlineStr">
        <is>
          <t>Associate Project Manager</t>
        </is>
      </c>
      <c r="E27" s="111" t="inlineStr">
        <is>
          <t>Project &amp; Program Delivery</t>
        </is>
      </c>
      <c r="F27" s="111" t="inlineStr">
        <is>
          <t>Project &amp; Program Management</t>
        </is>
      </c>
      <c r="G27" s="111" t="inlineStr">
        <is>
          <t>Technology</t>
        </is>
      </c>
      <c r="H27" s="111" t="inlineStr">
        <is>
          <t>IC</t>
        </is>
      </c>
      <c r="I27" s="112" t="n">
        <v>1</v>
      </c>
      <c r="J27" s="163" t="n">
        <v>3</v>
      </c>
      <c r="K27" s="164" t="n">
        <v>3</v>
      </c>
      <c r="L27" s="164" t="n">
        <v>3</v>
      </c>
      <c r="M27" s="164" t="n">
        <v>1</v>
      </c>
      <c r="N27" s="115" t="inlineStr">
        <is>
          <t>Index ≥ 90% · meets; must-haves at required level</t>
        </is>
      </c>
      <c r="O27"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7" s="165"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7" s="165"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27" s="120" t="inlineStr">
        <is>
          <t>• ★ Project, Program &amp; Agile Management: Plans and tracks delivery; manages risk and scope
• ★ Stakeholder &amp; Client Management: Manages client communication and expectations for own work</t>
        </is>
      </c>
      <c r="S27" s="166"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 </t>
          </r>
          <r>
            <rPr>
              <rFont val="Calibri"/>
              <b val="1"/>
              <sz val="10"/>
            </rPr>
            <t>Product, Platform &amp; Domain Knowledge:</t>
          </r>
          <r>
            <rPr>
              <rFont val="Calibri"/>
              <sz val="10"/>
            </rPr>
            <t xml:space="preserve"> Handles most product and domain scenarios</t>
          </r>
        </is>
      </c>
      <c r="T27" s="166" t="inlineStr">
        <is>
          <t>—</t>
        </is>
      </c>
      <c r="U27" s="122" t="inlineStr">
        <is>
          <t>Case interview; Role play / behavioural interview; Presentation / writing test; Work sample / case; Scenario interview</t>
        </is>
      </c>
      <c r="V27" s="123" t="inlineStr">
        <is>
          <t>PMP / PRINCE2 / CSM / SAFe; Lean / Six Sigma · optional; MBA / PGDM · preferred at C+; Internal product certification</t>
        </is>
      </c>
      <c r="W27" s="123" t="inlineStr">
        <is>
          <t>Hybrid delivery governance; mandatory: POSH, Code of Conduct, InfoSec &amp; Privacy</t>
        </is>
      </c>
      <c r="X27" s="123" t="inlineStr">
        <is>
          <t>96% · 1 of 1</t>
        </is>
      </c>
      <c r="Y27" s="123" t="inlineStr">
        <is>
          <t>Project &amp; agile · Business acumen · Learning agility</t>
        </is>
      </c>
      <c r="Z27" s="123" t="inlineStr">
        <is>
          <t>People Leadership &amp; Mentoring · Project, Program &amp; Agile Management · AI, GenAI &amp; Prompt Engineering</t>
        </is>
      </c>
    </row>
    <row r="28" ht="184" customHeight="1">
      <c r="A28" s="167" t="inlineStr">
        <is>
          <t>B</t>
        </is>
      </c>
      <c r="B28" s="20" t="inlineStr">
        <is>
          <t>B1</t>
        </is>
      </c>
      <c r="C28" s="18" t="inlineStr">
        <is>
          <t>Specialist</t>
        </is>
      </c>
      <c r="D28" s="110" t="inlineStr">
        <is>
          <t>Account Executive</t>
        </is>
      </c>
      <c r="E28" s="111" t="inlineStr">
        <is>
          <t>Enterprise Sales &amp; Account Management</t>
        </is>
      </c>
      <c r="F28" s="111" t="inlineStr">
        <is>
          <t>Sales &amp; Business Development</t>
        </is>
      </c>
      <c r="G28" s="111" t="inlineStr">
        <is>
          <t>Sales</t>
        </is>
      </c>
      <c r="H28" s="111" t="inlineStr">
        <is>
          <t>IC</t>
        </is>
      </c>
      <c r="I28" s="112" t="n">
        <v>1</v>
      </c>
      <c r="J28" s="163" t="n">
        <v>3</v>
      </c>
      <c r="K28" s="164" t="n">
        <v>3</v>
      </c>
      <c r="L28" s="164" t="n">
        <v>3</v>
      </c>
      <c r="M28" s="164" t="n">
        <v>1</v>
      </c>
      <c r="N28" s="115" t="inlineStr">
        <is>
          <t>Index ≥ 90% · meets; must-haves at required level</t>
        </is>
      </c>
      <c r="O28"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8" s="165"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8" s="165"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28" s="120" t="inlineStr">
        <is>
          <t>• ★ Sales, Negotiation &amp; Account Growth: Builds pipeline and closes deals
• ★ Marketing Tech &amp; Digital Marketing: Runs campaigns, CRM, SEO and social channels</t>
        </is>
      </c>
      <c r="S28" s="166" t="inlineStr">
        <is>
          <r>
            <rPr>
              <rFont val="Calibri"/>
              <sz val="10"/>
            </rPr>
            <t xml:space="preserve">•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28" s="166" t="inlineStr">
        <is>
          <t>—</t>
        </is>
      </c>
      <c r="U28" s="122" t="inlineStr">
        <is>
          <t>Sales role play; Portfolio / case; Role play / behavioural interview; Presentation / writing test; Scenario interview; Case interview</t>
        </is>
      </c>
      <c r="V28" s="123" t="inlineStr">
        <is>
          <t>Google / HubSpot certifications; Internal product certification; MBA / PGDM · preferred at C+</t>
        </is>
      </c>
      <c r="W28" s="123" t="inlineStr">
        <is>
          <t>CRM hygiene; contract basics; mandatory: POSH, Code of Conduct, InfoSec &amp; Privacy</t>
        </is>
      </c>
      <c r="X28" s="123" t="inlineStr">
        <is>
          <t>96% · 1 of 1</t>
        </is>
      </c>
      <c r="Y28" s="123" t="inlineStr">
        <is>
          <t>Digital marketing · Ownership · Problem solving</t>
        </is>
      </c>
      <c r="Z28" s="123" t="inlineStr">
        <is>
          <t>AI, GenAI &amp; Prompt Engineering · Advanced Excel &amp; Productivity Tools · Product, Platform &amp; Domain Knowledge</t>
        </is>
      </c>
    </row>
    <row r="29" ht="184" customHeight="1">
      <c r="A29" s="167" t="inlineStr">
        <is>
          <t>B</t>
        </is>
      </c>
      <c r="B29" s="20" t="inlineStr">
        <is>
          <t>B1</t>
        </is>
      </c>
      <c r="C29" s="18" t="inlineStr">
        <is>
          <t>Specialist</t>
        </is>
      </c>
      <c r="D29" s="110" t="inlineStr">
        <is>
          <t>Business Analysis Specialist – POD Lead</t>
        </is>
      </c>
      <c r="E29" s="111" t="inlineStr">
        <is>
          <t>Business Analysis</t>
        </is>
      </c>
      <c r="F29" s="111" t="inlineStr">
        <is>
          <t>Business Analysis</t>
        </is>
      </c>
      <c r="G29" s="111" t="inlineStr">
        <is>
          <t>Technology</t>
        </is>
      </c>
      <c r="H29" s="111" t="inlineStr">
        <is>
          <t>POD Lead</t>
        </is>
      </c>
      <c r="I29" s="112" t="n">
        <v>1</v>
      </c>
      <c r="J29" s="163" t="n">
        <v>3</v>
      </c>
      <c r="K29" s="164" t="n">
        <v>3</v>
      </c>
      <c r="L29" s="164" t="n">
        <v>3</v>
      </c>
      <c r="M29" s="164" t="n">
        <v>2</v>
      </c>
      <c r="N29" s="115" t="inlineStr">
        <is>
          <t>Index ≥ 90% · meets; must-haves at required level</t>
        </is>
      </c>
      <c r="O29"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9" s="165"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9" s="165"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29" s="120" t="inlineStr">
        <is>
          <t>• ★ Business Analysis &amp; Requirements Engineering: Writes BRD / FSD / user stories and validates them
• ★ Regulatory &amp; BFSI Domain: Knows the relevant regulators, returns and rules</t>
        </is>
      </c>
      <c r="S29" s="166" t="inlineStr">
        <is>
          <r>
            <rPr>
              <rFont val="Calibri"/>
              <sz val="10"/>
            </rPr>
            <t xml:space="preserve">•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t>
          </r>
        </is>
      </c>
      <c r="T29" s="166" t="inlineStr">
        <is>
          <t>—</t>
        </is>
      </c>
      <c r="U29" s="122" t="inlineStr">
        <is>
          <t>Case study; Domain interview; Scenario interview; SQL test / case; Role play / behavioural interview; Presentation / writing test</t>
        </is>
      </c>
      <c r="V29" s="123" t="inlineStr">
        <is>
          <t>CBAP / CCBA · optional; Domain certifications · optional; Internal product certification; Database certifications · optional</t>
        </is>
      </c>
      <c r="W29" s="123" t="inlineStr">
        <is>
          <t>Regulatory reporting domain · RBI / SEBI / IRDAI / SEC; mandatory: POSH, Code of Conduct, InfoSec &amp; Privacy</t>
        </is>
      </c>
      <c r="X29" s="123" t="inlineStr">
        <is>
          <t>105% · 1 of 1</t>
        </is>
      </c>
      <c r="Y29" s="123" t="inlineStr">
        <is>
          <t>—</t>
        </is>
      </c>
      <c r="Z29" s="123" t="inlineStr">
        <is>
          <t>Project, Program &amp; Agile Management · AI, GenAI &amp; Prompt Engineering · Database, SQL &amp; Data Engineering</t>
        </is>
      </c>
    </row>
    <row r="30" ht="184" customHeight="1">
      <c r="A30" s="167" t="inlineStr">
        <is>
          <t>B</t>
        </is>
      </c>
      <c r="B30" s="20" t="inlineStr">
        <is>
          <t>B1</t>
        </is>
      </c>
      <c r="C30" s="18" t="inlineStr">
        <is>
          <t>Specialist</t>
        </is>
      </c>
      <c r="D30" s="110" t="inlineStr">
        <is>
          <t>Database Specialist – POD Lead</t>
        </is>
      </c>
      <c r="E30" s="111" t="inlineStr">
        <is>
          <t>Data Engineering &amp; Database Development</t>
        </is>
      </c>
      <c r="F30" s="111" t="inlineStr">
        <is>
          <t>Engineering &amp; Development</t>
        </is>
      </c>
      <c r="G30" s="111" t="inlineStr">
        <is>
          <t>Technology</t>
        </is>
      </c>
      <c r="H30" s="111" t="inlineStr">
        <is>
          <t>POD Lead</t>
        </is>
      </c>
      <c r="I30" s="112" t="n">
        <v>1</v>
      </c>
      <c r="J30" s="163" t="n">
        <v>3</v>
      </c>
      <c r="K30" s="164" t="n">
        <v>3</v>
      </c>
      <c r="L30" s="164" t="n">
        <v>3</v>
      </c>
      <c r="M30" s="164" t="n">
        <v>2</v>
      </c>
      <c r="N30" s="115" t="inlineStr">
        <is>
          <t>Index ≥ 90% · meets; must-haves at required level</t>
        </is>
      </c>
      <c r="O30"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30" s="165"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30" s="165"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30" s="120" t="inlineStr">
        <is>
          <t>• ★ Programming &amp; Tech-Stack Depth: Builds features with clean, tested code
• ★ System Design &amp; Architecture: Designs components and integrations for a module</t>
        </is>
      </c>
      <c r="S30" s="166"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0" s="166" t="inlineStr">
        <is>
          <t>—</t>
        </is>
      </c>
      <c r="U30" s="122" t="inlineStr">
        <is>
          <t>Coding test + code review; System-design interview / design review; SQL test / case; Practical task; Work sample / portfolio; Scenario interview</t>
        </is>
      </c>
      <c r="V30" s="123" t="inlineStr">
        <is>
          <t>Cloud / language certifications · optional; AWS / Azure architect · optional; Database certifications · optional; AWS / Azure / Kubernetes certifications; Vendor AI certifications · optional; Internal product certification</t>
        </is>
      </c>
      <c r="W30" s="123" t="inlineStr">
        <is>
          <t>Secure coding · OWASP, code review, unit testing; mandatory: POSH, Code of Conduct, InfoSec &amp; Privacy</t>
        </is>
      </c>
      <c r="X30" s="123" t="inlineStr">
        <is>
          <t>95% · 1 of 1</t>
        </is>
      </c>
      <c r="Y30" s="123" t="inlineStr">
        <is>
          <t>Programming &amp; stack · Ownership · Client &amp; quality focus</t>
        </is>
      </c>
      <c r="Z30" s="123" t="inlineStr">
        <is>
          <t>People Leadership &amp; Mentoring · Project, Program &amp; Agile Management</t>
        </is>
      </c>
    </row>
    <row r="31" ht="184" customHeight="1">
      <c r="A31" s="167" t="inlineStr">
        <is>
          <t>B</t>
        </is>
      </c>
      <c r="B31" s="20" t="inlineStr">
        <is>
          <t>B1</t>
        </is>
      </c>
      <c r="C31" s="18" t="inlineStr">
        <is>
          <t>Team Lead</t>
        </is>
      </c>
      <c r="D31" s="110" t="inlineStr">
        <is>
          <t>Team Lead – Business Analysis</t>
        </is>
      </c>
      <c r="E31" s="111" t="inlineStr">
        <is>
          <t>Business Analysis</t>
        </is>
      </c>
      <c r="F31" s="111" t="inlineStr">
        <is>
          <t>Business Analysis</t>
        </is>
      </c>
      <c r="G31" s="111" t="inlineStr">
        <is>
          <t>Technology</t>
        </is>
      </c>
      <c r="H31" s="111" t="inlineStr">
        <is>
          <t>People Manager</t>
        </is>
      </c>
      <c r="I31" s="112" t="n">
        <v>1</v>
      </c>
      <c r="J31" s="163" t="n">
        <v>3</v>
      </c>
      <c r="K31" s="164" t="n">
        <v>3</v>
      </c>
      <c r="L31" s="164" t="n">
        <v>3</v>
      </c>
      <c r="M31" s="164" t="n">
        <v>2</v>
      </c>
      <c r="N31" s="115" t="inlineStr">
        <is>
          <t>Index ≥ 90% · meets; must-haves at required level</t>
        </is>
      </c>
      <c r="O31"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31" s="165"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31" s="165"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31" s="120" t="inlineStr">
        <is>
          <t>• ★ Business Analysis &amp; Requirements Engineering: Writes BRD / FSD / user stories and validates them
• ★ Regulatory &amp; BFSI Domain: Knows the relevant regulators, returns and rules</t>
        </is>
      </c>
      <c r="S31" s="166" t="inlineStr">
        <is>
          <r>
            <rPr>
              <rFont val="Calibri"/>
              <sz val="10"/>
            </rPr>
            <t xml:space="preserve">•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t>
          </r>
        </is>
      </c>
      <c r="T31" s="166" t="inlineStr">
        <is>
          <t>—</t>
        </is>
      </c>
      <c r="U31" s="122" t="inlineStr">
        <is>
          <t>Case study; Domain interview; Scenario interview; SQL test / case; Role play / behavioural interview; Presentation / writing test</t>
        </is>
      </c>
      <c r="V31" s="123" t="inlineStr">
        <is>
          <t>CBAP / CCBA · optional; Domain certifications · optional; Internal product certification; Database certifications · optional</t>
        </is>
      </c>
      <c r="W31" s="123" t="inlineStr">
        <is>
          <t>Regulatory reporting domain · RBI / SEBI / IRDAI / SEC; mandatory: POSH, Code of Conduct, InfoSec &amp; Privacy</t>
        </is>
      </c>
      <c r="X31" s="123" t="inlineStr">
        <is>
          <t>110% · 1 of 1</t>
        </is>
      </c>
      <c r="Y31" s="123" t="inlineStr">
        <is>
          <t>AI literacy</t>
        </is>
      </c>
      <c r="Z31" s="123" t="inlineStr">
        <is>
          <t>Business Analysis &amp; Requirements Engineering · Project, Program &amp; Agile Management · AI, GenAI &amp; Prompt Engineering</t>
        </is>
      </c>
    </row>
    <row r="32" ht="184" customHeight="1">
      <c r="A32" s="167" t="inlineStr">
        <is>
          <t>B</t>
        </is>
      </c>
      <c r="B32" s="20" t="inlineStr">
        <is>
          <t>B1</t>
        </is>
      </c>
      <c r="C32" s="18" t="inlineStr">
        <is>
          <t>Team Lead</t>
        </is>
      </c>
      <c r="D32" s="110" t="inlineStr">
        <is>
          <t>QA Manager</t>
        </is>
      </c>
      <c r="E32" s="111" t="inlineStr">
        <is>
          <t>Functional &amp; Domain Testing</t>
        </is>
      </c>
      <c r="F32" s="111" t="inlineStr">
        <is>
          <t>Quality Assurance</t>
        </is>
      </c>
      <c r="G32" s="111" t="inlineStr">
        <is>
          <t>Quality Assurance</t>
        </is>
      </c>
      <c r="H32" s="111" t="inlineStr">
        <is>
          <t>People Manager</t>
        </is>
      </c>
      <c r="I32" s="112" t="n">
        <v>1</v>
      </c>
      <c r="J32" s="163" t="n">
        <v>3</v>
      </c>
      <c r="K32" s="164" t="n">
        <v>3</v>
      </c>
      <c r="L32" s="164" t="n">
        <v>3</v>
      </c>
      <c r="M32" s="164" t="n">
        <v>2</v>
      </c>
      <c r="N32" s="115" t="inlineStr">
        <is>
          <t>Index ≥ 90% · meets; must-haves at required level</t>
        </is>
      </c>
      <c r="O32"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32" s="165"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32" s="165"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32" s="120" t="inlineStr">
        <is>
          <t>• ★ Test Automation &amp; QA Engineering: Designs test cases; automates regression / API tests
• ★ Product, Platform &amp; Domain Knowledge: Handles most product and domain scenarios</t>
        </is>
      </c>
      <c r="S32" s="166"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t>
          </r>
        </is>
      </c>
      <c r="T32" s="166" t="inlineStr">
        <is>
          <t>—</t>
        </is>
      </c>
      <c r="U32" s="122" t="inlineStr">
        <is>
          <t>Testing practical; Scenario interview; SQL test / case; Work sample / portfolio; Work sample / case; Presentation / writing test</t>
        </is>
      </c>
      <c r="V32" s="123" t="inlineStr">
        <is>
          <t>ISTQB Foundation / Advanced; Internal product certification; Database certifications · optional; Vendor AI certifications · optional; Lean / Six Sigma · optional</t>
        </is>
      </c>
      <c r="W32" s="123" t="inlineStr">
        <is>
          <t>ISTQB or equivalent preferred from B1; mandatory: POSH, Code of Conduct, InfoSec &amp; Privacy</t>
        </is>
      </c>
      <c r="X32" s="123" t="inlineStr">
        <is>
          <t>102% · 1 of 1</t>
        </is>
      </c>
      <c r="Y32" s="123" t="inlineStr">
        <is>
          <t>Product &amp; domain · Problem solving · Strategic acumen</t>
        </is>
      </c>
      <c r="Z32" s="123" t="inlineStr">
        <is>
          <t>Stakeholder &amp; Client Management · AI, GenAI &amp; Prompt Engineering · Project, Program &amp; Agile Management</t>
        </is>
      </c>
    </row>
    <row r="33" ht="184" customHeight="1">
      <c r="A33" s="167" t="inlineStr">
        <is>
          <t>B</t>
        </is>
      </c>
      <c r="B33" s="20" t="inlineStr">
        <is>
          <t>B2</t>
        </is>
      </c>
      <c r="C33" s="18" t="inlineStr">
        <is>
          <t>Senior Specialist</t>
        </is>
      </c>
      <c r="D33" s="110" t="inlineStr">
        <is>
          <t>Senior Account Executive</t>
        </is>
      </c>
      <c r="E33" s="111" t="inlineStr">
        <is>
          <t>Enterprise Sales &amp; Account Management</t>
        </is>
      </c>
      <c r="F33" s="111" t="inlineStr">
        <is>
          <t>Sales &amp; Business Development</t>
        </is>
      </c>
      <c r="G33" s="111" t="inlineStr">
        <is>
          <t>Sales</t>
        </is>
      </c>
      <c r="H33" s="111" t="inlineStr">
        <is>
          <t>IC</t>
        </is>
      </c>
      <c r="I33" s="112" t="n">
        <v>1</v>
      </c>
      <c r="J33" s="163" t="n">
        <v>3</v>
      </c>
      <c r="K33" s="164" t="n">
        <v>3</v>
      </c>
      <c r="L33" s="164" t="n">
        <v>4</v>
      </c>
      <c r="M33" s="164" t="n">
        <v>2</v>
      </c>
      <c r="N33" s="115" t="inlineStr">
        <is>
          <t>Index ≥ 90% · meets; must-haves at required level</t>
        </is>
      </c>
      <c r="O33"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33" s="165"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33" s="165"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33" s="120" t="inlineStr">
        <is>
          <t>• ★ Sales, Negotiation &amp; Account Growth: Owns key accounts; negotiates complex deals; grows revenue
• ★ Marketing Tech &amp; Digital Marketing: Owns digital strategy, funnel and marketing analytics</t>
        </is>
      </c>
      <c r="S33" s="166"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33" s="166" t="inlineStr">
        <is>
          <t>—</t>
        </is>
      </c>
      <c r="U33" s="122" t="inlineStr">
        <is>
          <t>Sales role play; Portfolio / case; Role play / behavioural interview; Presentation / writing test; Scenario interview; Case interview</t>
        </is>
      </c>
      <c r="V33" s="123" t="inlineStr">
        <is>
          <t>Google / HubSpot certifications; Internal product certification; MBA / PGDM · preferred at C+</t>
        </is>
      </c>
      <c r="W33" s="123" t="inlineStr">
        <is>
          <t>CRM hygiene; contract basics; mandatory: POSH, Code of Conduct, InfoSec &amp; Privacy</t>
        </is>
      </c>
      <c r="X33" s="123" t="inlineStr">
        <is>
          <t>92% · 1 of 1</t>
        </is>
      </c>
      <c r="Y33" s="123" t="inlineStr">
        <is>
          <t>Ownership · Digital marketing · Communication</t>
        </is>
      </c>
      <c r="Z33" s="123" t="inlineStr">
        <is>
          <t>AI, GenAI &amp; Prompt Engineering · Sales, Negotiation &amp; Account Growth · Advanced Excel &amp; Productivity Tools</t>
        </is>
      </c>
    </row>
    <row r="34" ht="184" customHeight="1">
      <c r="A34" s="167" t="inlineStr">
        <is>
          <t>B</t>
        </is>
      </c>
      <c r="B34" s="20" t="inlineStr">
        <is>
          <t>B2</t>
        </is>
      </c>
      <c r="C34" s="18" t="inlineStr">
        <is>
          <t>Manager</t>
        </is>
      </c>
      <c r="D34" s="110" t="inlineStr">
        <is>
          <t>Product Manager</t>
        </is>
      </c>
      <c r="E34" s="111" t="inlineStr">
        <is>
          <t>Product Management</t>
        </is>
      </c>
      <c r="F34" s="111" t="inlineStr">
        <is>
          <t>Product Management</t>
        </is>
      </c>
      <c r="G34" s="111" t="inlineStr">
        <is>
          <t>Product Management</t>
        </is>
      </c>
      <c r="H34" s="111" t="inlineStr">
        <is>
          <t>People Manager</t>
        </is>
      </c>
      <c r="I34" s="112" t="n">
        <v>2</v>
      </c>
      <c r="J34" s="163" t="n">
        <v>3</v>
      </c>
      <c r="K34" s="164" t="n">
        <v>3</v>
      </c>
      <c r="L34" s="164" t="n">
        <v>4</v>
      </c>
      <c r="M34" s="164" t="n">
        <v>3</v>
      </c>
      <c r="N34" s="115" t="inlineStr">
        <is>
          <t>Index ≥ 90% · meets; must-haves at required level</t>
        </is>
      </c>
      <c r="O34"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34" s="165"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34" s="165"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34" s="120" t="inlineStr">
        <is>
          <t>• ★ Product, Platform &amp; Domain Knowledge: Recognised product / domain expert; trains others
• ★ Business Analysis &amp; Requirements Engineering: Leads complex requirement programmes; sets BA standards</t>
        </is>
      </c>
      <c r="S34" s="166" t="inlineStr">
        <is>
          <r>
            <rPr>
              <rFont val="Calibri"/>
              <sz val="10"/>
            </rPr>
            <t xml:space="preserve">• </t>
          </r>
          <r>
            <rPr>
              <rFont val="Calibri"/>
              <b val="1"/>
              <sz val="10"/>
            </rPr>
            <t>Data Analytics, BI &amp; Visualisation:</t>
          </r>
          <r>
            <rPr>
              <rFont val="Calibri"/>
              <sz val="10"/>
            </rPr>
            <t xml:space="preserve"> Defines metrics and analytics approach for a business
• </t>
          </r>
          <r>
            <rPr>
              <rFont val="Calibri"/>
              <b val="1"/>
              <sz val="10"/>
            </rPr>
            <t>Strategic Thinking &amp; Business Acumen:</t>
          </r>
          <r>
            <rPr>
              <rFont val="Calibri"/>
              <sz val="10"/>
            </rPr>
            <t xml:space="preserve"> Shapes strategy, pricing or investment choices
• </t>
          </r>
          <r>
            <rPr>
              <rFont val="Calibri"/>
              <b val="1"/>
              <sz val="10"/>
            </rPr>
            <t>Stakeholder &amp; Client Management:</t>
          </r>
          <r>
            <rPr>
              <rFont val="Calibri"/>
              <sz val="10"/>
            </rPr>
            <t xml:space="preserve"> Owns key relationships; resolves escalations
• </t>
          </r>
          <r>
            <rPr>
              <rFont val="Calibri"/>
              <b val="1"/>
              <sz val="10"/>
            </rPr>
            <t>AI, GenAI &amp; Prompt Engineering:</t>
          </r>
          <r>
            <rPr>
              <rFont val="Calibri"/>
              <sz val="10"/>
            </rPr>
            <t xml:space="preserve"> Builds AI features or AI-enabled processes; sets safe-use practice</t>
          </r>
        </is>
      </c>
      <c r="T34" s="166" t="inlineStr">
        <is>
          <t>—</t>
        </is>
      </c>
      <c r="U34" s="122" t="inlineStr">
        <is>
          <t>Scenario interview; Case study; Data case / practical; Case interview; Role play / behavioural interview; Work sample / portfolio</t>
        </is>
      </c>
      <c r="V34" s="123" t="inlineStr">
        <is>
          <t>Internal product certification; CBAP / CCBA · optional; Power BI / Tableau · optional; MBA / PGDM · preferred at C+; Vendor AI certifications · optional</t>
        </is>
      </c>
      <c r="W34" s="123" t="inlineStr">
        <is>
          <t>Product discovery, roadmap and P&amp;L basics; mandatory: POSH, Code of Conduct, InfoSec &amp; Privacy</t>
        </is>
      </c>
      <c r="X34" s="123" t="inlineStr">
        <is>
          <t>106% · 2 of 2</t>
        </is>
      </c>
      <c r="Y34" s="123" t="inlineStr">
        <is>
          <t>Analytics &amp; BI</t>
        </is>
      </c>
      <c r="Z34" s="123" t="inlineStr">
        <is>
          <t>Strategic Thinking &amp; Business Acumen · Project, Program &amp; Agile Management · Broader Ownership &amp; Cross-functional Exposure · People Leadership &amp; Mentoring</t>
        </is>
      </c>
    </row>
    <row r="35" ht="184" customHeight="1">
      <c r="A35" s="167" t="inlineStr">
        <is>
          <t>B</t>
        </is>
      </c>
      <c r="B35" s="20" t="inlineStr">
        <is>
          <t>B3</t>
        </is>
      </c>
      <c r="C35" s="18" t="inlineStr">
        <is>
          <t>Lead Specialist</t>
        </is>
      </c>
      <c r="D35" s="110" t="inlineStr">
        <is>
          <t>Lead Software Engineer</t>
        </is>
      </c>
      <c r="E35" s="111" t="inlineStr">
        <is>
          <t>Backend Development</t>
        </is>
      </c>
      <c r="F35" s="111" t="inlineStr">
        <is>
          <t>Engineering &amp; Development</t>
        </is>
      </c>
      <c r="G35" s="111" t="inlineStr">
        <is>
          <t>Technology</t>
        </is>
      </c>
      <c r="H35" s="111" t="inlineStr">
        <is>
          <t>IC</t>
        </is>
      </c>
      <c r="I35" s="112" t="n">
        <v>1</v>
      </c>
      <c r="J35" s="163" t="n">
        <v>4</v>
      </c>
      <c r="K35" s="164" t="n">
        <v>3</v>
      </c>
      <c r="L35" s="164" t="n">
        <v>4</v>
      </c>
      <c r="M35" s="164" t="n">
        <v>3</v>
      </c>
      <c r="N35" s="115" t="inlineStr">
        <is>
          <t>Index ≥ 90% · meets; must-haves at required level</t>
        </is>
      </c>
      <c r="O35" s="119"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35" s="165"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35" s="165"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35" s="120" t="inlineStr">
        <is>
          <t>• ★ Programming &amp; Tech-Stack Depth: Sets coding standards; solves performance and design issues across modules
• ★ System Design &amp; Architecture: Designs scalable, secure solutions across products; reviews designs</t>
        </is>
      </c>
      <c r="S35" s="166"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35" s="166" t="inlineStr">
        <is>
          <t>—</t>
        </is>
      </c>
      <c r="U35" s="122" t="inlineStr">
        <is>
          <t>Coding test + code review; System-design interview / design review; SQL test / case; Practical task; Work sample / portfolio; Scenario interview</t>
        </is>
      </c>
      <c r="V35" s="123" t="inlineStr">
        <is>
          <t>Cloud / language certifications · optional; AWS / Azure architect · optional; Database certifications · optional; AWS / Azure / Kubernetes certifications; Vendor AI certifications · optional; Internal product certification</t>
        </is>
      </c>
      <c r="W35" s="123" t="inlineStr">
        <is>
          <t>Secure coding · OWASP, code review, unit testing; mandatory: POSH, Code of Conduct, InfoSec &amp; Privacy</t>
        </is>
      </c>
      <c r="X35" s="123" t="inlineStr">
        <is>
          <t>102% · 1 of 1</t>
        </is>
      </c>
      <c r="Y35" s="123" t="inlineStr">
        <is>
          <t>Decision making</t>
        </is>
      </c>
      <c r="Z35" s="123" t="inlineStr">
        <is>
          <t>AI, GenAI &amp; Prompt Engineering · People Leadership &amp; Mentoring · Project, Program &amp; Agile Management</t>
        </is>
      </c>
    </row>
    <row r="36" ht="20" customHeight="1">
      <c r="A36" s="161" t="inlineStr">
        <is>
          <t>B+ — Player-Coach transition step</t>
        </is>
      </c>
    </row>
    <row r="37" ht="184" customHeight="1">
      <c r="A37" s="168" t="inlineStr">
        <is>
          <t>B+</t>
        </is>
      </c>
      <c r="B37" s="30" t="inlineStr">
        <is>
          <t>B+</t>
        </is>
      </c>
      <c r="C37" s="145" t="inlineStr">
        <is>
          <t>Practice Lead · Player-Coach</t>
        </is>
      </c>
      <c r="D37" s="110" t="inlineStr">
        <is>
          <t>Practice Lead – Solution &amp; Technical Architecture · Player-Coach</t>
        </is>
      </c>
      <c r="E37" s="111" t="inlineStr">
        <is>
          <t>Solution &amp; Technical Architecture</t>
        </is>
      </c>
      <c r="F37" s="111" t="inlineStr">
        <is>
          <t>Engineering &amp; Architecture</t>
        </is>
      </c>
      <c r="G37" s="111" t="inlineStr">
        <is>
          <t>Technology</t>
        </is>
      </c>
      <c r="H37" s="111" t="inlineStr">
        <is>
          <t>Player-Coach</t>
        </is>
      </c>
      <c r="I37" s="112" t="n">
        <v>1</v>
      </c>
      <c r="J37" s="163" t="n">
        <v>4</v>
      </c>
      <c r="K37" s="164" t="n">
        <v>4</v>
      </c>
      <c r="L37" s="164" t="n">
        <v>4</v>
      </c>
      <c r="M37" s="164" t="n">
        <v>4</v>
      </c>
      <c r="N37" s="115" t="inlineStr">
        <is>
          <t>Index ≥ 90% · meets; must-haves at required level</t>
        </is>
      </c>
      <c r="O37" s="119"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37" s="165"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37" s="165"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37" s="120" t="inlineStr">
        <is>
          <t>• ★ System Design &amp; Architecture: Designs scalable, secure solutions across products; reviews designs
• ★ Programming &amp; Tech-Stack Depth: Sets coding standards; solves performance and design issues across modules</t>
        </is>
      </c>
      <c r="S37" s="166" t="inlineStr">
        <is>
          <r>
            <rPr>
              <rFont val="Calibri"/>
              <sz val="10"/>
            </rPr>
            <t xml:space="preserve">•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t>
          </r>
        </is>
      </c>
      <c r="T37" s="166" t="inlineStr">
        <is>
          <t>—</t>
        </is>
      </c>
      <c r="U37" s="122" t="inlineStr">
        <is>
          <t>System-design interview / design review; Coding test + code review; Practical task; Role play / behavioural interview; Case interview</t>
        </is>
      </c>
      <c r="V37" s="123" t="inlineStr">
        <is>
          <t>AWS / Azure architect · optional; Cloud / language certifications · optional; AWS / Azure / Kubernetes certifications; Microsoft / CCNA / ISO 27001 / ITIL; MBA / PGDM · preferred at C+</t>
        </is>
      </c>
      <c r="W37" s="123" t="inlineStr">
        <is>
          <t>Architecture governance, security by design; mandatory: POSH, Code of Conduct, InfoSec &amp; Privacy</t>
        </is>
      </c>
      <c r="X37" s="123" t="inlineStr">
        <is>
          <t>98% · 1 of 1</t>
        </is>
      </c>
      <c r="Y37" s="123" t="inlineStr">
        <is>
          <t>Programming &amp; stack · Business acumen · Learning agility</t>
        </is>
      </c>
      <c r="Z37" s="123" t="inlineStr">
        <is>
          <t>People Leadership &amp; Mentoring · AI, GenAI &amp; Prompt Engineering · Stakeholder &amp; Client Management</t>
        </is>
      </c>
    </row>
    <row r="38" ht="20" customHeight="1">
      <c r="A38" s="161" t="inlineStr">
        <is>
          <t>Band D — Business leadership</t>
        </is>
      </c>
    </row>
    <row r="39" ht="197" customHeight="1">
      <c r="A39" s="169" t="inlineStr">
        <is>
          <t>D</t>
        </is>
      </c>
      <c r="B39" s="39" t="inlineStr">
        <is>
          <t>D1</t>
        </is>
      </c>
      <c r="C39" s="152" t="inlineStr">
        <is>
          <t>Associate Vice President / Business Head</t>
        </is>
      </c>
      <c r="D39" s="110" t="inlineStr">
        <is>
          <t>Business Head – iDEAL</t>
        </is>
      </c>
      <c r="E39" s="111" t="inlineStr">
        <is>
          <t>Business &amp; Functional Leadership</t>
        </is>
      </c>
      <c r="F39" s="111" t="inlineStr">
        <is>
          <t>Executive Leadership</t>
        </is>
      </c>
      <c r="G39" s="111" t="inlineStr">
        <is>
          <t>iDEAL Business Head</t>
        </is>
      </c>
      <c r="H39" s="111" t="inlineStr">
        <is>
          <t>People Manager</t>
        </is>
      </c>
      <c r="I39" s="112" t="n">
        <v>1</v>
      </c>
      <c r="J39" s="163" t="n">
        <v>5</v>
      </c>
      <c r="K39" s="164" t="n">
        <v>4</v>
      </c>
      <c r="L39" s="164" t="n">
        <v>4</v>
      </c>
      <c r="M39" s="164" t="n">
        <v>5</v>
      </c>
      <c r="N39" s="115" t="inlineStr">
        <is>
          <t>Index ≥ 90% · meets; must-haves at required level</t>
        </is>
      </c>
      <c r="O39" s="119" t="inlineStr">
        <is>
          <r>
            <rPr>
              <rFont val="Calibri"/>
              <sz val="10"/>
            </rPr>
            <t xml:space="preserve">•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t>
          </r>
        </is>
      </c>
      <c r="P39" s="165"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39" s="165" t="inlineStr">
        <is>
          <r>
            <rPr>
              <rFont val="Calibri"/>
              <sz val="10"/>
            </rPr>
            <t xml:space="preserve">•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t>
          </r>
        </is>
      </c>
      <c r="R39" s="120" t="inlineStr">
        <is>
          <t>• ★ Strategic Thinking &amp; Business Acumen: Shapes strategy, pricing or investment choices
• ★ People Leadership &amp; Mentoring: Leads leaders; builds succession</t>
        </is>
      </c>
      <c r="S39" s="166"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t>
          </r>
        </is>
      </c>
      <c r="T39" s="166" t="inlineStr">
        <is>
          <t>—</t>
        </is>
      </c>
      <c r="U39" s="122" t="inlineStr">
        <is>
          <t>Case interview; Behavioural interview; Role play / behavioural interview; Scenario interview; Domain interview; Presentation / writing test</t>
        </is>
      </c>
      <c r="V39" s="123" t="inlineStr">
        <is>
          <t>MBA / PGDM · preferred at C+; Internal product certification; Domain certifications · optional</t>
        </is>
      </c>
      <c r="W39" s="123" t="inlineStr">
        <is>
          <t>Governance, risk and regulatory accountability; mandatory: POSH, Code of Conduct, InfoSec &amp; Privacy</t>
        </is>
      </c>
      <c r="X39" s="123" t="inlineStr">
        <is>
          <t>89% · 0 of 1</t>
        </is>
      </c>
      <c r="Y39" s="123" t="inlineStr">
        <is>
          <t>People leadership · Stakeholder mgmt · Regulatory domain</t>
        </is>
      </c>
      <c r="Z39" s="123" t="inlineStr">
        <is>
          <t>Strategic Thinking &amp; Business Acumen</t>
        </is>
      </c>
    </row>
  </sheetData>
  <mergeCells count="15">
    <mergeCell ref="A1:T1"/>
    <mergeCell ref="F4:G4"/>
    <mergeCell ref="O5:Q5"/>
    <mergeCell ref="U5:Z5"/>
    <mergeCell ref="A36:Z36"/>
    <mergeCell ref="A4:E4"/>
    <mergeCell ref="A5:I5"/>
    <mergeCell ref="J5:N5"/>
    <mergeCell ref="A3:T3"/>
    <mergeCell ref="R5:T5"/>
    <mergeCell ref="H4:M4"/>
    <mergeCell ref="A2:T2"/>
    <mergeCell ref="A24:Z24"/>
    <mergeCell ref="A38:Z38"/>
    <mergeCell ref="A7:Z7"/>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1.xml><?xml version="1.0" encoding="utf-8"?>
<worksheet xmlns="http://schemas.openxmlformats.org/spreadsheetml/2006/main">
  <sheetPr>
    <tabColor rgb="007030A0"/>
    <outlinePr summaryBelow="1" summaryRight="1"/>
    <pageSetUpPr fitToPage="1"/>
  </sheetPr>
  <dimension ref="A1:U227"/>
  <sheetViews>
    <sheetView showGridLines="0" workbookViewId="0">
      <pane ySplit="4" topLeftCell="A5" activePane="bottomLeft" state="frozen"/>
      <selection pane="bottomLeft" activeCell="A1" sqref="A1"/>
    </sheetView>
  </sheetViews>
  <sheetFormatPr baseColWidth="8" defaultRowHeight="15"/>
  <cols>
    <col width="20" customWidth="1" min="1" max="1"/>
    <col width="26" customWidth="1" min="2" max="2"/>
    <col width="30" customWidth="1" min="3" max="3"/>
    <col width="1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30" customWidth="1" min="16" max="16"/>
    <col width="30" customWidth="1" min="17" max="17"/>
    <col width="18" customWidth="1" min="18" max="18"/>
    <col width="20" customWidth="1" min="19" max="19"/>
    <col width="22" customWidth="1" min="20" max="20"/>
    <col width="13" customWidth="1" min="21" max="21"/>
  </cols>
  <sheetData>
    <row r="1" ht="34" customHeight="1">
      <c r="A1" s="1" t="inlineStr">
        <is>
          <t>Capability Framework — by department · Master M11, Steps 10–11</t>
        </is>
      </c>
      <c r="U1" s="241" t="inlineStr">
        <is>
          <t>◂ Contents</t>
        </is>
      </c>
    </row>
    <row r="2" ht="32" customHeight="1">
      <c r="A2" s="3" t="inlineStr">
        <is>
          <t>Sheet 5 · The level sizes the role; the capability framework defines what a person in it must be able to do, and how well · proficiency 1–5, aligned to SFIA 9. Company-wide clusters first, then each department: its families, capability health, technical competencies by level, learning focus and career paths.</t>
        </is>
      </c>
    </row>
    <row r="3">
      <c r="A3" s="4" t="inlineStr">
        <is>
          <t>IRIS · Job Architecture &amp; Job Design · Final v1.12 · October 2026 · Internal — Confidential</t>
        </is>
      </c>
    </row>
    <row r="4" ht="15" customHeight="1"/>
    <row r="5" ht="20" customHeight="1">
      <c r="A5" s="6" t="inlineStr">
        <is>
          <t>A. Rules and scale</t>
        </is>
      </c>
    </row>
    <row r="6" ht="15" customHeight="1">
      <c r="A6" s="12" t="inlineStr">
        <is>
          <t>ID</t>
        </is>
      </c>
      <c r="B6" s="12" t="inlineStr">
        <is>
          <t>Rule</t>
        </is>
      </c>
      <c r="C6" s="210" t="n"/>
      <c r="D6" s="210" t="n"/>
      <c r="E6" s="210" t="n"/>
      <c r="F6" s="210" t="n"/>
      <c r="G6" s="210" t="n"/>
      <c r="H6" s="210" t="n"/>
      <c r="I6" s="210" t="n"/>
      <c r="J6" s="210" t="n"/>
      <c r="K6" s="210" t="n"/>
      <c r="L6" s="210" t="n"/>
      <c r="M6" s="210" t="n"/>
      <c r="N6" s="210" t="n"/>
      <c r="O6" s="210" t="n"/>
      <c r="P6" s="209" t="n"/>
      <c r="Q6" s="12" t="inlineStr">
        <is>
          <t>Sources</t>
        </is>
      </c>
      <c r="R6" s="209" t="n"/>
    </row>
    <row r="7" ht="28" customHeight="1">
      <c r="A7" s="13" t="inlineStr">
        <is>
          <t>C1</t>
        </is>
      </c>
      <c r="B7" s="16" t="inlineStr">
        <is>
          <r>
            <rPr>
              <rFont val="Calibri"/>
              <b val="1"/>
              <sz val="10"/>
            </rPr>
            <t>Four clusters:</t>
          </r>
          <r>
            <rPr>
              <rFont val="Calibri"/>
              <sz val="10"/>
            </rPr>
            <t xml:space="preserve"> Core, Future-ready, Functional · 6 per family plus department technical competencies, Leadership. Additional requirements are gates, not scores.</t>
          </r>
        </is>
      </c>
      <c r="C7" s="210" t="n"/>
      <c r="D7" s="210" t="n"/>
      <c r="E7" s="210" t="n"/>
      <c r="F7" s="210" t="n"/>
      <c r="G7" s="210" t="n"/>
      <c r="H7" s="210" t="n"/>
      <c r="I7" s="210" t="n"/>
      <c r="J7" s="210" t="n"/>
      <c r="K7" s="210" t="n"/>
      <c r="L7" s="210" t="n"/>
      <c r="M7" s="210" t="n"/>
      <c r="N7" s="210" t="n"/>
      <c r="O7" s="210" t="n"/>
      <c r="P7" s="209" t="n"/>
      <c r="Q7" s="16" t="inlineStr">
        <is>
          <t>S14, S15, S12, S08</t>
        </is>
      </c>
      <c r="R7" s="209" t="n"/>
    </row>
    <row r="8" ht="15" customHeight="1">
      <c r="A8" s="13" t="inlineStr">
        <is>
          <t>C2</t>
        </is>
      </c>
      <c r="B8" s="16" t="inlineStr">
        <is>
          <t>Proficiency is rated 1–5 on a scale aligned to SFIA levels; the required proficiency is set by level.</t>
        </is>
      </c>
      <c r="C8" s="210" t="n"/>
      <c r="D8" s="210" t="n"/>
      <c r="E8" s="210" t="n"/>
      <c r="F8" s="210" t="n"/>
      <c r="G8" s="210" t="n"/>
      <c r="H8" s="210" t="n"/>
      <c r="I8" s="210" t="n"/>
      <c r="J8" s="210" t="n"/>
      <c r="K8" s="210" t="n"/>
      <c r="L8" s="210" t="n"/>
      <c r="M8" s="210" t="n"/>
      <c r="N8" s="210" t="n"/>
      <c r="O8" s="210" t="n"/>
      <c r="P8" s="209" t="n"/>
      <c r="Q8" s="16" t="inlineStr">
        <is>
          <t>S08</t>
        </is>
      </c>
      <c r="R8" s="209" t="n"/>
    </row>
    <row r="9" ht="15" customHeight="1">
      <c r="A9" s="13" t="inlineStr">
        <is>
          <t>C+</t>
        </is>
      </c>
      <c r="B9" s="16" t="inlineStr">
        <is>
          <t>Score per competency = rating ÷ required · capped at 120%. Cluster weights by level and track build the competency index.</t>
        </is>
      </c>
      <c r="C9" s="210" t="n"/>
      <c r="D9" s="210" t="n"/>
      <c r="E9" s="210" t="n"/>
      <c r="F9" s="210" t="n"/>
      <c r="G9" s="210" t="n"/>
      <c r="H9" s="210" t="n"/>
      <c r="I9" s="210" t="n"/>
      <c r="J9" s="210" t="n"/>
      <c r="K9" s="210" t="n"/>
      <c r="L9" s="210" t="n"/>
      <c r="M9" s="210" t="n"/>
      <c r="N9" s="210" t="n"/>
      <c r="O9" s="210" t="n"/>
      <c r="P9" s="209" t="n"/>
      <c r="Q9" s="16" t="inlineStr">
        <is>
          <t>—</t>
        </is>
      </c>
      <c r="R9" s="209" t="n"/>
    </row>
    <row r="10" ht="15" customHeight="1">
      <c r="A10" s="13" t="inlineStr">
        <is>
          <t>C4</t>
        </is>
      </c>
      <c r="B10" s="16" t="inlineStr">
        <is>
          <r>
            <rPr>
              <rFont val="Calibri"/>
              <b val="1"/>
              <sz val="10"/>
            </rPr>
            <t>Fit:</t>
          </r>
          <r>
            <rPr>
              <rFont val="Calibri"/>
              <sz val="10"/>
            </rPr>
            <t xml:space="preserve"> ≥ 105% exceeds · 90–104% meets · 75–89% developing · &lt; 75% gap.</t>
          </r>
        </is>
      </c>
      <c r="C10" s="210" t="n"/>
      <c r="D10" s="210" t="n"/>
      <c r="E10" s="210" t="n"/>
      <c r="F10" s="210" t="n"/>
      <c r="G10" s="210" t="n"/>
      <c r="H10" s="210" t="n"/>
      <c r="I10" s="210" t="n"/>
      <c r="J10" s="210" t="n"/>
      <c r="K10" s="210" t="n"/>
      <c r="L10" s="210" t="n"/>
      <c r="M10" s="210" t="n"/>
      <c r="N10" s="210" t="n"/>
      <c r="O10" s="210" t="n"/>
      <c r="P10" s="209" t="n"/>
      <c r="Q10" s="16" t="inlineStr">
        <is>
          <t>—</t>
        </is>
      </c>
      <c r="R10" s="209" t="n"/>
    </row>
    <row r="11" ht="15" customHeight="1">
      <c r="A11" s="13" t="inlineStr">
        <is>
          <t>C5</t>
        </is>
      </c>
      <c r="B11" s="16" t="inlineStr">
        <is>
          <t>Must-have · ★ competencies must be at the required proficiency for hiring and lateral moves.</t>
        </is>
      </c>
      <c r="C11" s="210" t="n"/>
      <c r="D11" s="210" t="n"/>
      <c r="E11" s="210" t="n"/>
      <c r="F11" s="210" t="n"/>
      <c r="G11" s="210" t="n"/>
      <c r="H11" s="210" t="n"/>
      <c r="I11" s="210" t="n"/>
      <c r="J11" s="210" t="n"/>
      <c r="K11" s="210" t="n"/>
      <c r="L11" s="210" t="n"/>
      <c r="M11" s="210" t="n"/>
      <c r="N11" s="210" t="n"/>
      <c r="O11" s="210" t="n"/>
      <c r="P11" s="209" t="n"/>
      <c r="Q11" s="16" t="inlineStr">
        <is>
          <t>S38</t>
        </is>
      </c>
      <c r="R11" s="209" t="n"/>
    </row>
    <row r="12" ht="15" customHeight="1"/>
    <row r="13" ht="15" customHeight="1">
      <c r="A13" s="12" t="inlineStr">
        <is>
          <t>Rating</t>
        </is>
      </c>
      <c r="B13" s="12" t="inlineStr">
        <is>
          <t>Label</t>
        </is>
      </c>
      <c r="C13" s="210" t="n"/>
      <c r="D13" s="209" t="n"/>
      <c r="E13" s="12" t="inlineStr">
        <is>
          <t>SFIA alignment</t>
        </is>
      </c>
      <c r="F13" s="210" t="n"/>
      <c r="G13" s="210" t="n"/>
      <c r="H13" s="209" t="n"/>
      <c r="I13" s="12" t="inlineStr">
        <is>
          <t>What it looks like</t>
        </is>
      </c>
      <c r="J13" s="210" t="n"/>
      <c r="K13" s="210" t="n"/>
      <c r="L13" s="210" t="n"/>
      <c r="M13" s="210" t="n"/>
      <c r="N13" s="210" t="n"/>
      <c r="O13" s="210" t="n"/>
      <c r="P13" s="210" t="n"/>
      <c r="Q13" s="210" t="n"/>
      <c r="R13" s="209" t="n"/>
    </row>
    <row r="14" ht="28" customHeight="1">
      <c r="A14" s="170" t="n">
        <v>1</v>
      </c>
      <c r="B14" s="16" t="inlineStr">
        <is>
          <t>Awareness</t>
        </is>
      </c>
      <c r="C14" s="210" t="n"/>
      <c r="D14" s="209" t="n"/>
      <c r="E14" s="16" t="inlineStr">
        <is>
          <t>SFIA 1–2 · Follow / Assist</t>
        </is>
      </c>
      <c r="F14" s="210" t="n"/>
      <c r="G14" s="210" t="n"/>
      <c r="H14" s="209" t="n"/>
      <c r="I14" s="16" t="inlineStr">
        <is>
          <t>Knows the concepts; does defined tasks with close guidance; all work reviewed.</t>
        </is>
      </c>
      <c r="J14" s="210" t="n"/>
      <c r="K14" s="210" t="n"/>
      <c r="L14" s="210" t="n"/>
      <c r="M14" s="210" t="n"/>
      <c r="N14" s="210" t="n"/>
      <c r="O14" s="210" t="n"/>
      <c r="P14" s="210" t="n"/>
      <c r="Q14" s="210" t="n"/>
      <c r="R14" s="209" t="n"/>
    </row>
    <row r="15" ht="28" customHeight="1">
      <c r="A15" s="170" t="n">
        <v>2</v>
      </c>
      <c r="B15" s="16" t="inlineStr">
        <is>
          <t>Working</t>
        </is>
      </c>
      <c r="C15" s="210" t="n"/>
      <c r="D15" s="209" t="n"/>
      <c r="E15" s="16" t="inlineStr">
        <is>
          <t>SFIA 2–3 · Assist / Apply</t>
        </is>
      </c>
      <c r="F15" s="210" t="n"/>
      <c r="G15" s="210" t="n"/>
      <c r="H15" s="209" t="n"/>
      <c r="I15" s="16" t="inlineStr">
        <is>
          <t>Applies the skill to standard work with routine guidance; work spot-checked.</t>
        </is>
      </c>
      <c r="J15" s="210" t="n"/>
      <c r="K15" s="210" t="n"/>
      <c r="L15" s="210" t="n"/>
      <c r="M15" s="210" t="n"/>
      <c r="N15" s="210" t="n"/>
      <c r="O15" s="210" t="n"/>
      <c r="P15" s="210" t="n"/>
      <c r="Q15" s="210" t="n"/>
      <c r="R15" s="209" t="n"/>
    </row>
    <row r="16" ht="28" customHeight="1">
      <c r="A16" s="170" t="n">
        <v>3</v>
      </c>
      <c r="B16" s="16" t="inlineStr">
        <is>
          <t>Practitioner</t>
        </is>
      </c>
      <c r="C16" s="210" t="n"/>
      <c r="D16" s="209" t="n"/>
      <c r="E16" s="16" t="inlineStr">
        <is>
          <t>SFIA 3–4 · Apply / Enable</t>
        </is>
      </c>
      <c r="F16" s="210" t="n"/>
      <c r="G16" s="210" t="n"/>
      <c r="H16" s="209" t="n"/>
      <c r="I16" s="16" t="inlineStr">
        <is>
          <t>Applies independently to varied, non-routine work; reviews and helps others.</t>
        </is>
      </c>
      <c r="J16" s="210" t="n"/>
      <c r="K16" s="210" t="n"/>
      <c r="L16" s="210" t="n"/>
      <c r="M16" s="210" t="n"/>
      <c r="N16" s="210" t="n"/>
      <c r="O16" s="210" t="n"/>
      <c r="P16" s="210" t="n"/>
      <c r="Q16" s="210" t="n"/>
      <c r="R16" s="209" t="n"/>
    </row>
    <row r="17" ht="28" customHeight="1">
      <c r="A17" s="170" t="n">
        <v>4</v>
      </c>
      <c r="B17" s="16" t="inlineStr">
        <is>
          <t>Advanced</t>
        </is>
      </c>
      <c r="C17" s="210" t="n"/>
      <c r="D17" s="209" t="n"/>
      <c r="E17" s="16" t="inlineStr">
        <is>
          <t>SFIA 4–5 · Enable / Ensure</t>
        </is>
      </c>
      <c r="F17" s="210" t="n"/>
      <c r="G17" s="210" t="n"/>
      <c r="H17" s="209" t="n"/>
      <c r="I17" s="16" t="inlineStr">
        <is>
          <t>Solves the hardest problems; sets standards; coaches others; the recognised go-to.</t>
        </is>
      </c>
      <c r="J17" s="210" t="n"/>
      <c r="K17" s="210" t="n"/>
      <c r="L17" s="210" t="n"/>
      <c r="M17" s="210" t="n"/>
      <c r="N17" s="210" t="n"/>
      <c r="O17" s="210" t="n"/>
      <c r="P17" s="210" t="n"/>
      <c r="Q17" s="210" t="n"/>
      <c r="R17" s="209" t="n"/>
    </row>
    <row r="18" ht="28" customHeight="1">
      <c r="A18" s="170" t="n">
        <v>5</v>
      </c>
      <c r="B18" s="16" t="inlineStr">
        <is>
          <t>Expert / Strategic</t>
        </is>
      </c>
      <c r="C18" s="210" t="n"/>
      <c r="D18" s="209" t="n"/>
      <c r="E18" s="16" t="inlineStr">
        <is>
          <t>SFIA 6–7 · Initiate / Set strategy</t>
        </is>
      </c>
      <c r="F18" s="210" t="n"/>
      <c r="G18" s="210" t="n"/>
      <c r="H18" s="209" t="n"/>
      <c r="I18" s="16" t="inlineStr">
        <is>
          <t>Shapes direction across IRIS or the industry; creates new methods; external authority.</t>
        </is>
      </c>
      <c r="J18" s="210" t="n"/>
      <c r="K18" s="210" t="n"/>
      <c r="L18" s="210" t="n"/>
      <c r="M18" s="210" t="n"/>
      <c r="N18" s="210" t="n"/>
      <c r="O18" s="210" t="n"/>
      <c r="P18" s="210" t="n"/>
      <c r="Q18" s="210" t="n"/>
      <c r="R18" s="209" t="n"/>
    </row>
    <row r="19" ht="15" customHeight="1"/>
    <row r="20" ht="15" customHeight="1">
      <c r="A20" s="12" t="inlineStr">
        <is>
          <t>Use</t>
        </is>
      </c>
      <c r="B20" s="209" t="n"/>
      <c r="C20" s="12" t="inlineStr">
        <is>
          <t>How</t>
        </is>
      </c>
      <c r="D20" s="210" t="n"/>
      <c r="E20" s="210" t="n"/>
      <c r="F20" s="210" t="n"/>
      <c r="G20" s="210" t="n"/>
      <c r="H20" s="209" t="n"/>
      <c r="I20" s="12" t="inlineStr">
        <is>
          <t>Decision rule</t>
        </is>
      </c>
      <c r="J20" s="210" t="n"/>
      <c r="K20" s="210" t="n"/>
      <c r="L20" s="210" t="n"/>
      <c r="M20" s="210" t="n"/>
      <c r="N20" s="210" t="n"/>
      <c r="O20" s="210" t="n"/>
      <c r="P20" s="210" t="n"/>
      <c r="Q20" s="210" t="n"/>
      <c r="R20" s="209" t="n"/>
    </row>
    <row r="21" ht="28" customHeight="1">
      <c r="A21" s="13" t="inlineStr">
        <is>
          <t>Internal placement</t>
        </is>
      </c>
      <c r="B21" s="209" t="n"/>
      <c r="C21" s="16" t="inlineStr">
        <is>
          <t>Rate the person against the required profile of the role's level.</t>
        </is>
      </c>
      <c r="D21" s="210" t="n"/>
      <c r="E21" s="210" t="n"/>
      <c r="F21" s="210" t="n"/>
      <c r="G21" s="210" t="n"/>
      <c r="H21" s="209" t="n"/>
      <c r="I21" s="16" t="inlineStr">
        <is>
          <t>Competency index ≥ 90% = meets the level; 75–89% = developing · placement confirmed with a plan; &lt; 75% = gap · placement reviewed.</t>
        </is>
      </c>
      <c r="J21" s="210" t="n"/>
      <c r="K21" s="210" t="n"/>
      <c r="L21" s="210" t="n"/>
      <c r="M21" s="210" t="n"/>
      <c r="N21" s="210" t="n"/>
      <c r="O21" s="210" t="n"/>
      <c r="P21" s="210" t="n"/>
      <c r="Q21" s="210" t="n"/>
      <c r="R21" s="209" t="n"/>
    </row>
    <row r="22" ht="28" customHeight="1">
      <c r="A22" s="13" t="inlineStr">
        <is>
          <t>Promotion</t>
        </is>
      </c>
      <c r="B22" s="209" t="n"/>
      <c r="C22" s="16" t="inlineStr">
        <is>
          <t>Rate against the NEXT level's profile; combine with the level framework rules and performance.</t>
        </is>
      </c>
      <c r="D22" s="210" t="n"/>
      <c r="E22" s="210" t="n"/>
      <c r="F22" s="210" t="n"/>
      <c r="G22" s="210" t="n"/>
      <c r="H22" s="209" t="n"/>
      <c r="I22" s="16" t="inlineStr">
        <is>
          <t>Next-level index ≥ 90% + rating ≥ 4 in the last 2 cycles + a role of that scope exists.</t>
        </is>
      </c>
      <c r="J22" s="210" t="n"/>
      <c r="K22" s="210" t="n"/>
      <c r="L22" s="210" t="n"/>
      <c r="M22" s="210" t="n"/>
      <c r="N22" s="210" t="n"/>
      <c r="O22" s="210" t="n"/>
      <c r="P22" s="210" t="n"/>
      <c r="Q22" s="210" t="n"/>
      <c r="R22" s="209" t="n"/>
    </row>
    <row r="23" ht="28" customHeight="1">
      <c r="A23" s="13" t="inlineStr">
        <is>
          <t>Lateral move</t>
        </is>
      </c>
      <c r="B23" s="209" t="n"/>
      <c r="C23" s="16" t="inlineStr">
        <is>
          <t>Rate against the target family's functional competencies at the current level.</t>
        </is>
      </c>
      <c r="D23" s="210" t="n"/>
      <c r="E23" s="210" t="n"/>
      <c r="F23" s="210" t="n"/>
      <c r="G23" s="210" t="n"/>
      <c r="H23" s="209" t="n"/>
      <c r="I23" s="16" t="inlineStr">
        <is>
          <t>Both must-have competencies of the target family evidenced, ≥ 67% of its functional set, index ≥ 75% — move with a 3–6 month plan.</t>
        </is>
      </c>
      <c r="J23" s="210" t="n"/>
      <c r="K23" s="210" t="n"/>
      <c r="L23" s="210" t="n"/>
      <c r="M23" s="210" t="n"/>
      <c r="N23" s="210" t="n"/>
      <c r="O23" s="210" t="n"/>
      <c r="P23" s="210" t="n"/>
      <c r="Q23" s="210" t="n"/>
      <c r="R23" s="209" t="n"/>
    </row>
    <row r="24" ht="28" customHeight="1">
      <c r="A24" s="13" t="inlineStr">
        <is>
          <t>Hiring · campus / lateral</t>
        </is>
      </c>
      <c r="B24" s="209" t="n"/>
      <c r="C24" s="16" t="inlineStr">
        <is>
          <r>
            <rPr>
              <rFont val="Calibri"/>
              <b val="1"/>
              <sz val="10"/>
            </rPr>
            <t>Interview scorecard:</t>
          </r>
          <r>
            <rPr>
              <rFont val="Calibri"/>
              <sz val="10"/>
            </rPr>
            <t xml:space="preserve"> assess each must-have and the cluster profile for the hiring level.</t>
          </r>
        </is>
      </c>
      <c r="D24" s="210" t="n"/>
      <c r="E24" s="210" t="n"/>
      <c r="F24" s="210" t="n"/>
      <c r="G24" s="210" t="n"/>
      <c r="H24" s="209" t="n"/>
      <c r="I24" s="16" t="inlineStr">
        <is>
          <t>All must-haves at required proficiency, no cluster below 75%, overall index ≥ 90%; else hire one level lower.</t>
        </is>
      </c>
      <c r="J24" s="210" t="n"/>
      <c r="K24" s="210" t="n"/>
      <c r="L24" s="210" t="n"/>
      <c r="M24" s="210" t="n"/>
      <c r="N24" s="210" t="n"/>
      <c r="O24" s="210" t="n"/>
      <c r="P24" s="210" t="n"/>
      <c r="Q24" s="210" t="n"/>
      <c r="R24" s="209" t="n"/>
    </row>
    <row r="25" ht="28" customHeight="1">
      <c r="A25" s="13" t="inlineStr">
        <is>
          <t>Development</t>
        </is>
      </c>
      <c r="B25" s="209" t="n"/>
      <c r="C25" s="16" t="inlineStr">
        <is>
          <t>Gaps · rating below required become the individual development plan; link to learning paths.</t>
        </is>
      </c>
      <c r="D25" s="210" t="n"/>
      <c r="E25" s="210" t="n"/>
      <c r="F25" s="210" t="n"/>
      <c r="G25" s="210" t="n"/>
      <c r="H25" s="209" t="n"/>
      <c r="I25" s="16" t="inlineStr">
        <is>
          <t>Top 3 gaps per person shown on sheet 8; reviewed twice a year.</t>
        </is>
      </c>
      <c r="J25" s="210" t="n"/>
      <c r="K25" s="210" t="n"/>
      <c r="L25" s="210" t="n"/>
      <c r="M25" s="210" t="n"/>
      <c r="N25" s="210" t="n"/>
      <c r="O25" s="210" t="n"/>
      <c r="P25" s="210" t="n"/>
      <c r="Q25" s="210" t="n"/>
      <c r="R25" s="209" t="n"/>
    </row>
    <row r="26" ht="15" customHeight="1"/>
    <row r="27" ht="20" customHeight="1">
      <c r="A27" s="6" t="inlineStr">
        <is>
          <t>B. Required proficiency by level and cluster weights · bottom to top</t>
        </is>
      </c>
    </row>
    <row r="28" ht="28" customHeight="1">
      <c r="A28" s="12" t="inlineStr">
        <is>
          <t>Level</t>
        </is>
      </c>
      <c r="B28" s="12" t="inlineStr">
        <is>
          <t>Core</t>
        </is>
      </c>
      <c r="C28" s="209" t="n"/>
      <c r="D28" s="12" t="inlineStr">
        <is>
          <t>Future-ready</t>
        </is>
      </c>
      <c r="E28" s="209" t="n"/>
      <c r="F28" s="12" t="inlineStr">
        <is>
          <t>Functional</t>
        </is>
      </c>
      <c r="G28" s="209" t="n"/>
      <c r="H28" s="12" t="inlineStr">
        <is>
          <t>Leadership — IC</t>
        </is>
      </c>
      <c r="I28" s="209" t="n"/>
      <c r="J28" s="12" t="inlineStr">
        <is>
          <t>Leadership — POD / Mgr</t>
        </is>
      </c>
      <c r="K28" s="209" t="n"/>
      <c r="L28" s="12" t="inlineStr">
        <is>
          <t>Weights IC</t>
        </is>
      </c>
      <c r="M28" s="210" t="n"/>
      <c r="N28" s="209" t="n"/>
      <c r="O28" s="12" t="inlineStr">
        <is>
          <t>Weights POD Lead</t>
        </is>
      </c>
      <c r="P28" s="209" t="n"/>
      <c r="Q28" s="12" t="inlineStr">
        <is>
          <t>Weights Manager</t>
        </is>
      </c>
      <c r="R28" s="209" t="n"/>
    </row>
    <row r="29" ht="28" customHeight="1">
      <c r="A29" s="26" t="inlineStr">
        <is>
          <t>A1</t>
        </is>
      </c>
      <c r="B29" s="26" t="n">
        <v>1</v>
      </c>
      <c r="C29" s="209" t="n"/>
      <c r="D29" s="26" t="n">
        <v>1</v>
      </c>
      <c r="E29" s="209" t="n"/>
      <c r="F29" s="26" t="n">
        <v>1</v>
      </c>
      <c r="G29" s="209" t="n"/>
      <c r="H29" s="26" t="inlineStr">
        <is>
          <t>not scored</t>
        </is>
      </c>
      <c r="I29" s="209" t="n"/>
      <c r="J29" s="26" t="inlineStr">
        <is>
          <t>not scored</t>
        </is>
      </c>
      <c r="K29" s="209" t="n"/>
      <c r="L29" s="26" t="inlineStr">
        <is>
          <t>30% / 20% / 50% / 0%</t>
        </is>
      </c>
      <c r="M29" s="210" t="n"/>
      <c r="N29" s="209" t="n"/>
      <c r="O29" s="26" t="inlineStr">
        <is>
          <t>—</t>
        </is>
      </c>
      <c r="P29" s="209" t="n"/>
      <c r="Q29" s="26" t="inlineStr">
        <is>
          <t>30% / 20% / 50% / 0%</t>
        </is>
      </c>
      <c r="R29" s="209" t="n"/>
    </row>
    <row r="30" ht="28" customHeight="1">
      <c r="A30" s="26" t="inlineStr">
        <is>
          <t>A2</t>
        </is>
      </c>
      <c r="B30" s="26" t="n">
        <v>2</v>
      </c>
      <c r="C30" s="209" t="n"/>
      <c r="D30" s="26" t="n">
        <v>2</v>
      </c>
      <c r="E30" s="209" t="n"/>
      <c r="F30" s="26" t="n">
        <v>2</v>
      </c>
      <c r="G30" s="209" t="n"/>
      <c r="H30" s="26" t="inlineStr">
        <is>
          <t>not scored</t>
        </is>
      </c>
      <c r="I30" s="209" t="n"/>
      <c r="J30" s="26" t="inlineStr">
        <is>
          <t>not scored</t>
        </is>
      </c>
      <c r="K30" s="209" t="n"/>
      <c r="L30" s="26" t="inlineStr">
        <is>
          <t>30% / 20% / 50% / 0%</t>
        </is>
      </c>
      <c r="M30" s="210" t="n"/>
      <c r="N30" s="209" t="n"/>
      <c r="O30" s="26" t="inlineStr">
        <is>
          <t>—</t>
        </is>
      </c>
      <c r="P30" s="209" t="n"/>
      <c r="Q30" s="26" t="inlineStr">
        <is>
          <t>30% / 20% / 50% / 0%</t>
        </is>
      </c>
      <c r="R30" s="209" t="n"/>
    </row>
    <row r="31" ht="28" customHeight="1">
      <c r="A31" s="26" t="inlineStr">
        <is>
          <t>A3</t>
        </is>
      </c>
      <c r="B31" s="26" t="n">
        <v>2</v>
      </c>
      <c r="C31" s="209" t="n"/>
      <c r="D31" s="26" t="n">
        <v>2</v>
      </c>
      <c r="E31" s="209" t="n"/>
      <c r="F31" s="26" t="n">
        <v>3</v>
      </c>
      <c r="G31" s="209" t="n"/>
      <c r="H31" s="26" t="inlineStr">
        <is>
          <t>not scored</t>
        </is>
      </c>
      <c r="I31" s="209" t="n"/>
      <c r="J31" s="26" t="inlineStr">
        <is>
          <t>not scored</t>
        </is>
      </c>
      <c r="K31" s="209" t="n"/>
      <c r="L31" s="26" t="inlineStr">
        <is>
          <t>30% / 20% / 50% / 0%</t>
        </is>
      </c>
      <c r="M31" s="210" t="n"/>
      <c r="N31" s="209" t="n"/>
      <c r="O31" s="26" t="inlineStr">
        <is>
          <t>—</t>
        </is>
      </c>
      <c r="P31" s="209" t="n"/>
      <c r="Q31" s="26" t="inlineStr">
        <is>
          <t>30% / 20% / 50% / 0%</t>
        </is>
      </c>
      <c r="R31" s="209" t="n"/>
    </row>
    <row r="32" ht="28" customHeight="1">
      <c r="A32" s="20" t="inlineStr">
        <is>
          <t>B1</t>
        </is>
      </c>
      <c r="B32" s="20" t="n">
        <v>3</v>
      </c>
      <c r="C32" s="209" t="n"/>
      <c r="D32" s="20" t="n">
        <v>3</v>
      </c>
      <c r="E32" s="209" t="n"/>
      <c r="F32" s="20" t="n">
        <v>3</v>
      </c>
      <c r="G32" s="209" t="n"/>
      <c r="H32" s="20" t="n">
        <v>1</v>
      </c>
      <c r="I32" s="209" t="n"/>
      <c r="J32" s="20" t="n">
        <v>2</v>
      </c>
      <c r="K32" s="209" t="n"/>
      <c r="L32" s="20" t="inlineStr">
        <is>
          <t>25% / 20% / 45% / 10%</t>
        </is>
      </c>
      <c r="M32" s="210" t="n"/>
      <c r="N32" s="209" t="n"/>
      <c r="O32" s="20" t="inlineStr">
        <is>
          <t>25% / 15% / 40% / 20%</t>
        </is>
      </c>
      <c r="P32" s="209" t="n"/>
      <c r="Q32" s="20" t="inlineStr">
        <is>
          <t>25% / 15% / 30% / 30%</t>
        </is>
      </c>
      <c r="R32" s="209" t="n"/>
    </row>
    <row r="33" ht="28" customHeight="1">
      <c r="A33" s="20" t="inlineStr">
        <is>
          <t>B2</t>
        </is>
      </c>
      <c r="B33" s="20" t="n">
        <v>3</v>
      </c>
      <c r="C33" s="209" t="n"/>
      <c r="D33" s="20" t="n">
        <v>3</v>
      </c>
      <c r="E33" s="209" t="n"/>
      <c r="F33" s="20" t="n">
        <v>4</v>
      </c>
      <c r="G33" s="209" t="n"/>
      <c r="H33" s="20" t="n">
        <v>2</v>
      </c>
      <c r="I33" s="209" t="n"/>
      <c r="J33" s="20" t="n">
        <v>3</v>
      </c>
      <c r="K33" s="209" t="n"/>
      <c r="L33" s="20" t="inlineStr">
        <is>
          <t>25% / 20% / 45% / 10%</t>
        </is>
      </c>
      <c r="M33" s="210" t="n"/>
      <c r="N33" s="209" t="n"/>
      <c r="O33" s="20" t="inlineStr">
        <is>
          <t>25% / 15% / 40% / 20%</t>
        </is>
      </c>
      <c r="P33" s="209" t="n"/>
      <c r="Q33" s="20" t="inlineStr">
        <is>
          <t>25% / 15% / 30% / 30%</t>
        </is>
      </c>
      <c r="R33" s="209" t="n"/>
    </row>
    <row r="34" ht="28" customHeight="1">
      <c r="A34" s="20" t="inlineStr">
        <is>
          <t>B3</t>
        </is>
      </c>
      <c r="B34" s="20" t="n">
        <v>4</v>
      </c>
      <c r="C34" s="209" t="n"/>
      <c r="D34" s="20" t="n">
        <v>3</v>
      </c>
      <c r="E34" s="209" t="n"/>
      <c r="F34" s="20" t="n">
        <v>4</v>
      </c>
      <c r="G34" s="209" t="n"/>
      <c r="H34" s="20" t="n">
        <v>3</v>
      </c>
      <c r="I34" s="209" t="n"/>
      <c r="J34" s="20" t="n">
        <v>4</v>
      </c>
      <c r="K34" s="209" t="n"/>
      <c r="L34" s="20" t="inlineStr">
        <is>
          <t>25% / 20% / 45% / 10%</t>
        </is>
      </c>
      <c r="M34" s="210" t="n"/>
      <c r="N34" s="209" t="n"/>
      <c r="O34" s="20" t="inlineStr">
        <is>
          <t>25% / 15% / 40% / 20%</t>
        </is>
      </c>
      <c r="P34" s="209" t="n"/>
      <c r="Q34" s="20" t="inlineStr">
        <is>
          <t>25% / 15% / 30% / 30%</t>
        </is>
      </c>
      <c r="R34" s="209" t="n"/>
    </row>
    <row r="35" ht="28" customHeight="1">
      <c r="A35" s="30" t="inlineStr">
        <is>
          <t>B+</t>
        </is>
      </c>
      <c r="B35" s="30" t="n">
        <v>4</v>
      </c>
      <c r="C35" s="209" t="n"/>
      <c r="D35" s="30" t="n">
        <v>4</v>
      </c>
      <c r="E35" s="209" t="n"/>
      <c r="F35" s="30" t="n">
        <v>4</v>
      </c>
      <c r="G35" s="209" t="n"/>
      <c r="H35" s="30" t="n">
        <v>4</v>
      </c>
      <c r="I35" s="209" t="n"/>
      <c r="J35" s="30" t="n">
        <v>4</v>
      </c>
      <c r="K35" s="209" t="n"/>
      <c r="L35" s="30" t="inlineStr">
        <is>
          <t>25% / 15% / 35% / 25%</t>
        </is>
      </c>
      <c r="M35" s="210" t="n"/>
      <c r="N35" s="209" t="n"/>
      <c r="O35" s="30" t="inlineStr">
        <is>
          <t>25% / 15% / 35% / 25%</t>
        </is>
      </c>
      <c r="P35" s="209" t="n"/>
      <c r="Q35" s="30" t="inlineStr">
        <is>
          <t>25% / 15% / 35% / 25%</t>
        </is>
      </c>
      <c r="R35" s="209" t="n"/>
    </row>
    <row r="36" ht="28" customHeight="1">
      <c r="A36" s="33" t="inlineStr">
        <is>
          <t>C1</t>
        </is>
      </c>
      <c r="B36" s="33" t="n">
        <v>4</v>
      </c>
      <c r="C36" s="209" t="n"/>
      <c r="D36" s="33" t="n">
        <v>4</v>
      </c>
      <c r="E36" s="209" t="n"/>
      <c r="F36" s="33" t="n">
        <v>4</v>
      </c>
      <c r="G36" s="209" t="n"/>
      <c r="H36" s="33" t="n">
        <v>4</v>
      </c>
      <c r="I36" s="209" t="n"/>
      <c r="J36" s="33" t="n">
        <v>4</v>
      </c>
      <c r="K36" s="209" t="n"/>
      <c r="L36" s="33" t="inlineStr">
        <is>
          <t>20% / 15% / 30% / 35%</t>
        </is>
      </c>
      <c r="M36" s="210" t="n"/>
      <c r="N36" s="209" t="n"/>
      <c r="O36" s="33" t="inlineStr">
        <is>
          <t>20% / 15% / 30% / 35%</t>
        </is>
      </c>
      <c r="P36" s="209" t="n"/>
      <c r="Q36" s="33" t="inlineStr">
        <is>
          <t>20% / 15% / 30% / 35%</t>
        </is>
      </c>
      <c r="R36" s="209" t="n"/>
    </row>
    <row r="37" ht="28" customHeight="1">
      <c r="A37" s="33" t="inlineStr">
        <is>
          <t>C2</t>
        </is>
      </c>
      <c r="B37" s="33" t="n">
        <v>4</v>
      </c>
      <c r="C37" s="209" t="n"/>
      <c r="D37" s="33" t="n">
        <v>4</v>
      </c>
      <c r="E37" s="209" t="n"/>
      <c r="F37" s="33" t="n">
        <v>5</v>
      </c>
      <c r="G37" s="209" t="n"/>
      <c r="H37" s="33" t="n">
        <v>4</v>
      </c>
      <c r="I37" s="209" t="n"/>
      <c r="J37" s="33" t="n">
        <v>4</v>
      </c>
      <c r="K37" s="209" t="n"/>
      <c r="L37" s="33" t="inlineStr">
        <is>
          <t>20% / 15% / 30% / 35%</t>
        </is>
      </c>
      <c r="M37" s="210" t="n"/>
      <c r="N37" s="209" t="n"/>
      <c r="O37" s="33" t="inlineStr">
        <is>
          <t>20% / 15% / 30% / 35%</t>
        </is>
      </c>
      <c r="P37" s="209" t="n"/>
      <c r="Q37" s="33" t="inlineStr">
        <is>
          <t>20% / 15% / 30% / 35%</t>
        </is>
      </c>
      <c r="R37" s="209" t="n"/>
    </row>
    <row r="38" ht="28" customHeight="1">
      <c r="A38" s="36" t="inlineStr">
        <is>
          <t>C+</t>
        </is>
      </c>
      <c r="B38" s="36" t="n">
        <v>5</v>
      </c>
      <c r="C38" s="209" t="n"/>
      <c r="D38" s="36" t="n">
        <v>4</v>
      </c>
      <c r="E38" s="209" t="n"/>
      <c r="F38" s="36" t="n">
        <v>5</v>
      </c>
      <c r="G38" s="209" t="n"/>
      <c r="H38" s="36" t="n">
        <v>5</v>
      </c>
      <c r="I38" s="209" t="n"/>
      <c r="J38" s="36" t="n">
        <v>5</v>
      </c>
      <c r="K38" s="209" t="n"/>
      <c r="L38" s="36" t="inlineStr">
        <is>
          <t>25% / 15% / 25% / 35%</t>
        </is>
      </c>
      <c r="M38" s="210" t="n"/>
      <c r="N38" s="209" t="n"/>
      <c r="O38" s="36" t="inlineStr">
        <is>
          <t>25% / 15% / 25% / 35%</t>
        </is>
      </c>
      <c r="P38" s="209" t="n"/>
      <c r="Q38" s="36" t="inlineStr">
        <is>
          <t>25% / 15% / 25% / 35%</t>
        </is>
      </c>
      <c r="R38" s="209" t="n"/>
    </row>
    <row r="39" ht="28" customHeight="1">
      <c r="A39" s="39" t="inlineStr">
        <is>
          <t>D1</t>
        </is>
      </c>
      <c r="B39" s="39" t="n">
        <v>5</v>
      </c>
      <c r="C39" s="209" t="n"/>
      <c r="D39" s="39" t="n">
        <v>4</v>
      </c>
      <c r="E39" s="209" t="n"/>
      <c r="F39" s="39" t="n">
        <v>4</v>
      </c>
      <c r="G39" s="209" t="n"/>
      <c r="H39" s="39" t="n">
        <v>5</v>
      </c>
      <c r="I39" s="209" t="n"/>
      <c r="J39" s="39" t="n">
        <v>5</v>
      </c>
      <c r="K39" s="209" t="n"/>
      <c r="L39" s="39" t="inlineStr">
        <is>
          <t>25% / 15% / 15% / 45%</t>
        </is>
      </c>
      <c r="M39" s="210" t="n"/>
      <c r="N39" s="209" t="n"/>
      <c r="O39" s="39" t="inlineStr">
        <is>
          <t>—</t>
        </is>
      </c>
      <c r="P39" s="209" t="n"/>
      <c r="Q39" s="39" t="inlineStr">
        <is>
          <t>25% / 15% / 15% / 45%</t>
        </is>
      </c>
      <c r="R39" s="209" t="n"/>
    </row>
    <row r="40" ht="28" customHeight="1">
      <c r="A40" s="39" t="inlineStr">
        <is>
          <t>D2</t>
        </is>
      </c>
      <c r="B40" s="39" t="n">
        <v>5</v>
      </c>
      <c r="C40" s="209" t="n"/>
      <c r="D40" s="39" t="n">
        <v>4</v>
      </c>
      <c r="E40" s="209" t="n"/>
      <c r="F40" s="39" t="n">
        <v>4</v>
      </c>
      <c r="G40" s="209" t="n"/>
      <c r="H40" s="39" t="n">
        <v>5</v>
      </c>
      <c r="I40" s="209" t="n"/>
      <c r="J40" s="39" t="n">
        <v>5</v>
      </c>
      <c r="K40" s="209" t="n"/>
      <c r="L40" s="39" t="inlineStr">
        <is>
          <t>25% / 15% / 15% / 45%</t>
        </is>
      </c>
      <c r="M40" s="210" t="n"/>
      <c r="N40" s="209" t="n"/>
      <c r="O40" s="39" t="inlineStr">
        <is>
          <t>—</t>
        </is>
      </c>
      <c r="P40" s="209" t="n"/>
      <c r="Q40" s="39" t="inlineStr">
        <is>
          <t>25% / 15% / 15% / 45%</t>
        </is>
      </c>
      <c r="R40" s="209" t="n"/>
    </row>
    <row r="41" ht="28" customHeight="1">
      <c r="A41" s="42" t="inlineStr">
        <is>
          <t>E1</t>
        </is>
      </c>
      <c r="B41" s="42" t="n">
        <v>5</v>
      </c>
      <c r="C41" s="209" t="n"/>
      <c r="D41" s="42" t="n">
        <v>5</v>
      </c>
      <c r="E41" s="209" t="n"/>
      <c r="F41" s="42" t="n">
        <v>4</v>
      </c>
      <c r="G41" s="209" t="n"/>
      <c r="H41" s="42" t="n">
        <v>5</v>
      </c>
      <c r="I41" s="209" t="n"/>
      <c r="J41" s="42" t="n">
        <v>5</v>
      </c>
      <c r="K41" s="209" t="n"/>
      <c r="L41" s="42" t="inlineStr">
        <is>
          <t>25% / 15% / 15% / 45%</t>
        </is>
      </c>
      <c r="M41" s="210" t="n"/>
      <c r="N41" s="209" t="n"/>
      <c r="O41" s="42" t="inlineStr">
        <is>
          <t>—</t>
        </is>
      </c>
      <c r="P41" s="209" t="n"/>
      <c r="Q41" s="42" t="inlineStr">
        <is>
          <t>25% / 15% / 15% / 45%</t>
        </is>
      </c>
      <c r="R41" s="209" t="n"/>
    </row>
    <row r="42" ht="28" customHeight="1">
      <c r="A42" s="42" t="inlineStr">
        <is>
          <t>E2</t>
        </is>
      </c>
      <c r="B42" s="42" t="n">
        <v>5</v>
      </c>
      <c r="C42" s="209" t="n"/>
      <c r="D42" s="42" t="n">
        <v>5</v>
      </c>
      <c r="E42" s="209" t="n"/>
      <c r="F42" s="42" t="n">
        <v>4</v>
      </c>
      <c r="G42" s="209" t="n"/>
      <c r="H42" s="42" t="n">
        <v>5</v>
      </c>
      <c r="I42" s="209" t="n"/>
      <c r="J42" s="42" t="n">
        <v>5</v>
      </c>
      <c r="K42" s="209" t="n"/>
      <c r="L42" s="42" t="inlineStr">
        <is>
          <t>25% / 15% / 15% / 45%</t>
        </is>
      </c>
      <c r="M42" s="210" t="n"/>
      <c r="N42" s="209" t="n"/>
      <c r="O42" s="42" t="inlineStr">
        <is>
          <t>—</t>
        </is>
      </c>
      <c r="P42" s="209" t="n"/>
      <c r="Q42" s="42" t="inlineStr">
        <is>
          <t>25% / 15% / 15% / 45%</t>
        </is>
      </c>
      <c r="R42" s="209" t="n"/>
    </row>
    <row r="43" ht="15" customHeight="1"/>
    <row r="44" ht="20" customHeight="1">
      <c r="A44" s="6" t="inlineStr">
        <is>
          <t>C. Company-wide competencies — Core, Future-ready, Leadership · with source mapping</t>
        </is>
      </c>
    </row>
    <row r="45" ht="28" customHeight="1">
      <c r="A45" s="12" t="inlineStr">
        <is>
          <t>Cluster</t>
        </is>
      </c>
      <c r="B45" s="12" t="inlineStr">
        <is>
          <t>Competency</t>
        </is>
      </c>
      <c r="C45" s="209" t="n"/>
      <c r="D45" s="12" t="inlineStr">
        <is>
          <t>Definition</t>
        </is>
      </c>
      <c r="E45" s="210" t="n"/>
      <c r="F45" s="209" t="n"/>
      <c r="G45" s="12" t="inlineStr">
        <is>
          <t>1 · Awareness</t>
        </is>
      </c>
      <c r="H45" s="209" t="n"/>
      <c r="I45" s="12" t="inlineStr">
        <is>
          <t>2 · Working</t>
        </is>
      </c>
      <c r="J45" s="209" t="n"/>
      <c r="K45" s="12" t="inlineStr">
        <is>
          <t>3 · Practitioner</t>
        </is>
      </c>
      <c r="L45" s="209" t="n"/>
      <c r="M45" s="12" t="inlineStr">
        <is>
          <t>4 · Advanced</t>
        </is>
      </c>
      <c r="N45" s="209" t="n"/>
      <c r="O45" s="12" t="inlineStr">
        <is>
          <t>5 · Expert / Strategic</t>
        </is>
      </c>
      <c r="P45" s="209" t="n"/>
      <c r="Q45" s="12" t="inlineStr">
        <is>
          <t>SHL Great Eight · KF Leadership Architect · Project Oxygen</t>
        </is>
      </c>
      <c r="R45" s="209" t="n"/>
    </row>
    <row r="46" ht="80" customHeight="1">
      <c r="A46" s="13" t="inlineStr">
        <is>
          <t>Core</t>
        </is>
      </c>
      <c r="B46" s="16" t="inlineStr">
        <is>
          <t>Ownership &amp; Accountability</t>
        </is>
      </c>
      <c r="C46" s="209" t="n"/>
      <c r="D46" s="16" t="inlineStr">
        <is>
          <t>Owns outcomes end to end — quality, deadlines and follow-through.</t>
        </is>
      </c>
      <c r="E46" s="210" t="n"/>
      <c r="F46" s="209" t="n"/>
      <c r="G46" s="16" t="inlineStr">
        <is>
          <t>Completes assigned tasks on time with help</t>
        </is>
      </c>
      <c r="H46" s="209" t="n"/>
      <c r="I46" s="16" t="inlineStr">
        <is>
          <t>Owns own deliverables; flags issues early</t>
        </is>
      </c>
      <c r="J46" s="209" t="n"/>
      <c r="K46" s="16" t="inlineStr">
        <is>
          <t>Owns a module, client or process end to end; fixes root causes</t>
        </is>
      </c>
      <c r="L46" s="209" t="n"/>
      <c r="M46" s="16" t="inlineStr">
        <is>
          <t>Owns team / practice outcomes; holds others to standards</t>
        </is>
      </c>
      <c r="N46" s="209" t="n"/>
      <c r="O46" s="16" t="inlineStr">
        <is>
          <t>Owns business outcomes; builds a culture of accountability</t>
        </is>
      </c>
      <c r="P46" s="209" t="n"/>
      <c r="Q46" s="16" t="inlineStr">
        <is>
          <t>Organising &amp; Executing; Enterprising &amp; Performing · Results — Ensures accountability</t>
        </is>
      </c>
      <c r="R46" s="209" t="n"/>
    </row>
    <row r="47" ht="67" customHeight="1">
      <c r="A47" s="13" t="inlineStr">
        <is>
          <t>Core</t>
        </is>
      </c>
      <c r="B47" s="16" t="inlineStr">
        <is>
          <t>Problem Solving &amp; Critical Thinking</t>
        </is>
      </c>
      <c r="C47" s="209" t="n"/>
      <c r="D47" s="16" t="inlineStr">
        <is>
          <t>Breaks problems down, finds root causes and makes sound judgements.</t>
        </is>
      </c>
      <c r="E47" s="210" t="n"/>
      <c r="F47" s="209" t="n"/>
      <c r="G47" s="16" t="inlineStr">
        <is>
          <t>Solves simple, familiar problems with guidance</t>
        </is>
      </c>
      <c r="H47" s="209" t="n"/>
      <c r="I47" s="16" t="inlineStr">
        <is>
          <t>Solves routine problems with known methods</t>
        </is>
      </c>
      <c r="J47" s="209" t="n"/>
      <c r="K47" s="16" t="inlineStr">
        <is>
          <t>Analyses non-routine problems; finds root causes</t>
        </is>
      </c>
      <c r="L47" s="209" t="n"/>
      <c r="M47" s="16" t="inlineStr">
        <is>
          <t>Solves complex, ambiguous problems; designs new approaches</t>
        </is>
      </c>
      <c r="N47" s="209" t="n"/>
      <c r="O47" s="16" t="inlineStr">
        <is>
          <t>Frames enterprise-level problems; sets the approach for others</t>
        </is>
      </c>
      <c r="P47" s="209" t="n"/>
      <c r="Q47" s="16" t="inlineStr">
        <is>
          <t>Analysing &amp; Interpreting · Thought — Manages complexity; Decision quality</t>
        </is>
      </c>
      <c r="R47" s="209" t="n"/>
    </row>
    <row r="48" ht="80" customHeight="1">
      <c r="A48" s="13" t="inlineStr">
        <is>
          <t>Core</t>
        </is>
      </c>
      <c r="B48" s="16" t="inlineStr">
        <is>
          <t>Communication &amp; Collaboration</t>
        </is>
      </c>
      <c r="C48" s="209" t="n"/>
      <c r="D48" s="16" t="inlineStr">
        <is>
          <t>Shares information clearly; works effectively within and across teams.</t>
        </is>
      </c>
      <c r="E48" s="210" t="n"/>
      <c r="F48" s="209" t="n"/>
      <c r="G48" s="16" t="inlineStr">
        <is>
          <t>Communicates clearly within the team</t>
        </is>
      </c>
      <c r="H48" s="209" t="n"/>
      <c r="I48" s="16" t="inlineStr">
        <is>
          <t>Explains own work clearly; cooperates across the team</t>
        </is>
      </c>
      <c r="J48" s="209" t="n"/>
      <c r="K48" s="16" t="inlineStr">
        <is>
          <t>Communicates with clients / stakeholders; collaborates across teams</t>
        </is>
      </c>
      <c r="L48" s="209" t="n"/>
      <c r="M48" s="16" t="inlineStr">
        <is>
          <t>Influences through communication; resolves conflict</t>
        </is>
      </c>
      <c r="N48" s="209" t="n"/>
      <c r="O48" s="16" t="inlineStr">
        <is>
          <t>Represents IRIS externally; builds cross-business partnerships</t>
        </is>
      </c>
      <c r="P48" s="209" t="n"/>
      <c r="Q48" s="16" t="inlineStr">
        <is>
          <t>Interacting &amp; Presenting; Supporting &amp; Co-operating · People — Communicates effectively; Collaborates · Good communicator; collaborates across the company</t>
        </is>
      </c>
      <c r="R48" s="209" t="n"/>
    </row>
    <row r="49" ht="80" customHeight="1">
      <c r="A49" s="13" t="inlineStr">
        <is>
          <t>Core</t>
        </is>
      </c>
      <c r="B49" s="16" t="inlineStr">
        <is>
          <t>Client &amp; Quality Focus</t>
        </is>
      </c>
      <c r="C49" s="209" t="n"/>
      <c r="D49" s="16" t="inlineStr">
        <is>
          <t>Understands client needs; gets it right first time; meets SLAs.</t>
        </is>
      </c>
      <c r="E49" s="210" t="n"/>
      <c r="F49" s="209" t="n"/>
      <c r="G49" s="16" t="inlineStr">
        <is>
          <t>Follows quality checklists</t>
        </is>
      </c>
      <c r="H49" s="209" t="n"/>
      <c r="I49" s="16" t="inlineStr">
        <is>
          <t>Delivers accurate work to standard and SLA</t>
        </is>
      </c>
      <c r="J49" s="209" t="n"/>
      <c r="K49" s="16" t="inlineStr">
        <is>
          <t>Anticipates client needs; prevents errors in own area</t>
        </is>
      </c>
      <c r="L49" s="209" t="n"/>
      <c r="M49" s="16" t="inlineStr">
        <is>
          <t>Sets quality standards; improves client experience for a team</t>
        </is>
      </c>
      <c r="N49" s="209" t="n"/>
      <c r="O49" s="16" t="inlineStr">
        <is>
          <t>Defines client and quality strategy for a business</t>
        </is>
      </c>
      <c r="P49" s="209" t="n"/>
      <c r="Q49" s="16" t="inlineStr">
        <is>
          <t>Organising &amp; Executing · Thought — Customer focus</t>
        </is>
      </c>
      <c r="R49" s="209" t="n"/>
    </row>
    <row r="50" ht="67" customHeight="1">
      <c r="A50" s="13" t="inlineStr">
        <is>
          <t>Core</t>
        </is>
      </c>
      <c r="B50" s="16" t="inlineStr">
        <is>
          <t>Learning Agility &amp; Adaptability</t>
        </is>
      </c>
      <c r="C50" s="209" t="n"/>
      <c r="D50" s="16" t="inlineStr">
        <is>
          <t>Learns fast, adapts to change and stays resilient under pressure.</t>
        </is>
      </c>
      <c r="E50" s="210" t="n"/>
      <c r="F50" s="209" t="n"/>
      <c r="G50" s="16" t="inlineStr">
        <is>
          <t>Learns new tasks with structured support</t>
        </is>
      </c>
      <c r="H50" s="209" t="n"/>
      <c r="I50" s="16" t="inlineStr">
        <is>
          <t>Picks up new tools and processes quickly</t>
        </is>
      </c>
      <c r="J50" s="209" t="n"/>
      <c r="K50" s="16" t="inlineStr">
        <is>
          <t>Adapts to changing priorities; learns independently</t>
        </is>
      </c>
      <c r="L50" s="209" t="n"/>
      <c r="M50" s="16" t="inlineStr">
        <is>
          <t>Leads others through change; builds team capability</t>
        </is>
      </c>
      <c r="N50" s="209" t="n"/>
      <c r="O50" s="16" t="inlineStr">
        <is>
          <t>Anticipates change; builds a learning organisation</t>
        </is>
      </c>
      <c r="P50" s="209" t="n"/>
      <c r="Q50" s="16" t="inlineStr">
        <is>
          <t>Adapting &amp; Coping · Self — Nimble learning; Situational adaptability</t>
        </is>
      </c>
      <c r="R50" s="209" t="n"/>
    </row>
    <row r="51" ht="67" customHeight="1">
      <c r="A51" s="13" t="inlineStr">
        <is>
          <t>Core</t>
        </is>
      </c>
      <c r="B51" s="16" t="inlineStr">
        <is>
          <t>Integrity, Compliance &amp; Information Security</t>
        </is>
      </c>
      <c r="C51" s="209" t="n"/>
      <c r="D51" s="16" t="inlineStr">
        <is>
          <t>Acts ethically; follows Code of Conduct, POSH, data-privacy and information-security rules.</t>
        </is>
      </c>
      <c r="E51" s="210" t="n"/>
      <c r="F51" s="209" t="n"/>
      <c r="G51" s="16" t="inlineStr">
        <is>
          <t>Knows and follows the policies</t>
        </is>
      </c>
      <c r="H51" s="209" t="n"/>
      <c r="I51" s="16" t="inlineStr">
        <is>
          <t>Applies policies consistently in own work</t>
        </is>
      </c>
      <c r="J51" s="209" t="n"/>
      <c r="K51" s="16" t="inlineStr">
        <is>
          <t>Spots and escalates compliance / security risks</t>
        </is>
      </c>
      <c r="L51" s="209" t="n"/>
      <c r="M51" s="16" t="inlineStr">
        <is>
          <t>Embeds compliance and security in team processes</t>
        </is>
      </c>
      <c r="N51" s="209" t="n"/>
      <c r="O51" s="16" t="inlineStr">
        <is>
          <t>Sets ethical and compliance standards for the business</t>
        </is>
      </c>
      <c r="P51" s="209" t="n"/>
      <c r="Q51" s="16" t="inlineStr">
        <is>
          <t>Supporting &amp; Co-operating · adhering to principles · People — Instils trust</t>
        </is>
      </c>
      <c r="R51" s="209" t="n"/>
    </row>
    <row r="52" ht="80" customHeight="1">
      <c r="A52" s="13" t="inlineStr">
        <is>
          <t>Future-ready</t>
        </is>
      </c>
      <c r="B52" s="16" t="inlineStr">
        <is>
          <t>AI Literacy &amp; Augmentation</t>
        </is>
      </c>
      <c r="C52" s="209" t="n"/>
      <c r="D52" s="16" t="inlineStr">
        <is>
          <t>Uses AI tools productively, checks their output critically and uses them responsibly.</t>
        </is>
      </c>
      <c r="E52" s="210" t="n"/>
      <c r="F52" s="209" t="n"/>
      <c r="G52" s="16" t="inlineStr">
        <is>
          <t>Aware of AI tools, their uses and risks</t>
        </is>
      </c>
      <c r="H52" s="209" t="n"/>
      <c r="I52" s="16" t="inlineStr">
        <is>
          <t>Uses approved AI tools for routine tasks and checks the output</t>
        </is>
      </c>
      <c r="J52" s="209" t="n"/>
      <c r="K52" s="16" t="inlineStr">
        <is>
          <t>Builds AI into own workflow; evaluates accuracy and bias</t>
        </is>
      </c>
      <c r="L52" s="209" t="n"/>
      <c r="M52" s="16" t="inlineStr">
        <is>
          <t>Designs AI-enabled processes for a team; sets safe-use practices</t>
        </is>
      </c>
      <c r="N52" s="209" t="n"/>
      <c r="O52" s="16" t="inlineStr">
        <is>
          <t>Leads AI strategy and governance for a function or IRIS</t>
        </is>
      </c>
      <c r="P52" s="209" t="n"/>
      <c r="Q52" s="16" t="inlineStr">
        <is>
          <t>Analysing &amp; Interpreting · Thought — Tech savvy</t>
        </is>
      </c>
      <c r="R52" s="209" t="n"/>
    </row>
    <row r="53" ht="67" customHeight="1">
      <c r="A53" s="13" t="inlineStr">
        <is>
          <t>Future-ready</t>
        </is>
      </c>
      <c r="B53" s="16" t="inlineStr">
        <is>
          <t>Data Literacy &amp; Analytics</t>
        </is>
      </c>
      <c r="C53" s="209" t="n"/>
      <c r="D53" s="16" t="inlineStr">
        <is>
          <t>Reads, questions and uses data to make decisions.</t>
        </is>
      </c>
      <c r="E53" s="210" t="n"/>
      <c r="F53" s="209" t="n"/>
      <c r="G53" s="16" t="inlineStr">
        <is>
          <t>Reads basic reports and numbers</t>
        </is>
      </c>
      <c r="H53" s="209" t="n"/>
      <c r="I53" s="16" t="inlineStr">
        <is>
          <t>Uses Excel / reports to check and present data</t>
        </is>
      </c>
      <c r="J53" s="209" t="n"/>
      <c r="K53" s="16" t="inlineStr">
        <is>
          <t>Analyses data · SQL, BI, advanced Excel to find insight</t>
        </is>
      </c>
      <c r="L53" s="209" t="n"/>
      <c r="M53" s="16" t="inlineStr">
        <is>
          <t>Defines metrics and dashboards for a team</t>
        </is>
      </c>
      <c r="N53" s="209" t="n"/>
      <c r="O53" s="16" t="inlineStr">
        <is>
          <t>Sets data strategy and data-driven decisions for a business</t>
        </is>
      </c>
      <c r="P53" s="209" t="n"/>
      <c r="Q53" s="16" t="inlineStr">
        <is>
          <t>Analysing &amp; Interpreting · Thought — Manages complexity</t>
        </is>
      </c>
      <c r="R53" s="209" t="n"/>
    </row>
    <row r="54" ht="67" customHeight="1">
      <c r="A54" s="13" t="inlineStr">
        <is>
          <t>Future-ready</t>
        </is>
      </c>
      <c r="B54" s="16" t="inlineStr">
        <is>
          <t>Digital Fluency &amp; Automation</t>
        </is>
      </c>
      <c r="C54" s="209" t="n"/>
      <c r="D54" s="16" t="inlineStr">
        <is>
          <t>Masters the digital tools of the role and automates repetitive work.</t>
        </is>
      </c>
      <c r="E54" s="210" t="n"/>
      <c r="F54" s="209" t="n"/>
      <c r="G54" s="16" t="inlineStr">
        <is>
          <t>Uses standard office and role tools</t>
        </is>
      </c>
      <c r="H54" s="209" t="n"/>
      <c r="I54" s="16" t="inlineStr">
        <is>
          <t>Uses role tools efficiently; follows digital workflows</t>
        </is>
      </c>
      <c r="J54" s="209" t="n"/>
      <c r="K54" s="16" t="inlineStr">
        <is>
          <t>Automates own repetitive work · macros, scripts, workflows</t>
        </is>
      </c>
      <c r="L54" s="209" t="n"/>
      <c r="M54" s="16" t="inlineStr">
        <is>
          <t>Automates team processes; selects tools</t>
        </is>
      </c>
      <c r="N54" s="209" t="n"/>
      <c r="O54" s="16" t="inlineStr">
        <is>
          <t>Drives digital transformation across a business</t>
        </is>
      </c>
      <c r="P54" s="209" t="n"/>
      <c r="Q54" s="16" t="inlineStr">
        <is>
          <t>Creating &amp; Conceptualising · Thought — Tech savvy</t>
        </is>
      </c>
      <c r="R54" s="209" t="n"/>
    </row>
    <row r="55" ht="54" customHeight="1">
      <c r="A55" s="13" t="inlineStr">
        <is>
          <t>Future-ready</t>
        </is>
      </c>
      <c r="B55" s="16" t="inlineStr">
        <is>
          <t>Innovation &amp; Continuous Improvement</t>
        </is>
      </c>
      <c r="C55" s="209" t="n"/>
      <c r="D55" s="16" t="inlineStr">
        <is>
          <t>Finds better ways of working and turns ideas into measurable improvements.</t>
        </is>
      </c>
      <c r="E55" s="210" t="n"/>
      <c r="F55" s="209" t="n"/>
      <c r="G55" s="16" t="inlineStr">
        <is>
          <t>Suggests small improvements</t>
        </is>
      </c>
      <c r="H55" s="209" t="n"/>
      <c r="I55" s="16" t="inlineStr">
        <is>
          <t>Improves own work methods</t>
        </is>
      </c>
      <c r="J55" s="209" t="n"/>
      <c r="K55" s="16" t="inlineStr">
        <is>
          <t>Delivers measurable improvements in own area</t>
        </is>
      </c>
      <c r="L55" s="209" t="n"/>
      <c r="M55" s="16" t="inlineStr">
        <is>
          <t>Leads improvement initiatives for a team</t>
        </is>
      </c>
      <c r="N55" s="209" t="n"/>
      <c r="O55" s="16" t="inlineStr">
        <is>
          <t>Creates new products, methods or business models</t>
        </is>
      </c>
      <c r="P55" s="209" t="n"/>
      <c r="Q55" s="16" t="inlineStr">
        <is>
          <t>Creating &amp; Conceptualising · Thought — Cultivates innovation</t>
        </is>
      </c>
      <c r="R55" s="209" t="n"/>
    </row>
    <row r="56" ht="54" customHeight="1">
      <c r="A56" s="13" t="inlineStr">
        <is>
          <t>Leadership</t>
        </is>
      </c>
      <c r="B56" s="16" t="inlineStr">
        <is>
          <t>Leading &amp; Developing People</t>
        </is>
      </c>
      <c r="C56" s="209" t="n"/>
      <c r="D56" s="16" t="inlineStr">
        <is>
          <t>Sets direction, coaches and grows people; builds capability.</t>
        </is>
      </c>
      <c r="E56" s="210" t="n"/>
      <c r="F56" s="209" t="n"/>
      <c r="G56" s="16" t="inlineStr">
        <is>
          <t>Not required</t>
        </is>
      </c>
      <c r="H56" s="209" t="n"/>
      <c r="I56" s="16" t="inlineStr">
        <is>
          <t>Guides and reviews 1–3 people · POD Lead</t>
        </is>
      </c>
      <c r="J56" s="209" t="n"/>
      <c r="K56" s="16" t="inlineStr">
        <is>
          <t>Leads a team; coaches and gives feedback</t>
        </is>
      </c>
      <c r="L56" s="209" t="n"/>
      <c r="M56" s="16" t="inlineStr">
        <is>
          <t>Leads leaders; builds bench strength</t>
        </is>
      </c>
      <c r="N56" s="209" t="n"/>
      <c r="O56" s="16" t="inlineStr">
        <is>
          <t>Builds the leadership pipeline and culture</t>
        </is>
      </c>
      <c r="P56" s="209" t="n"/>
      <c r="Q56" s="16" t="inlineStr">
        <is>
          <t>Leading &amp; Deciding · People — Develops talent; Builds effective teams · Is a good coach; supports career development; inclusive team</t>
        </is>
      </c>
      <c r="R56" s="209" t="n"/>
    </row>
    <row r="57" ht="67" customHeight="1">
      <c r="A57" s="13" t="inlineStr">
        <is>
          <t>Leadership</t>
        </is>
      </c>
      <c r="B57" s="16" t="inlineStr">
        <is>
          <t>Decision Making &amp; Delegation</t>
        </is>
      </c>
      <c r="C57" s="209" t="n"/>
      <c r="D57" s="16" t="inlineStr">
        <is>
          <t>Makes timely decisions with the right information; delegates well.</t>
        </is>
      </c>
      <c r="E57" s="210" t="n"/>
      <c r="F57" s="209" t="n"/>
      <c r="G57" s="16" t="inlineStr">
        <is>
          <t>Not required</t>
        </is>
      </c>
      <c r="H57" s="209" t="n"/>
      <c r="I57" s="16" t="inlineStr">
        <is>
          <t>Decides allocation within a pod</t>
        </is>
      </c>
      <c r="J57" s="209" t="n"/>
      <c r="K57" s="16" t="inlineStr">
        <is>
          <t>Decides team priorities and resourcing</t>
        </is>
      </c>
      <c r="L57" s="209" t="n"/>
      <c r="M57" s="16" t="inlineStr">
        <is>
          <t>Makes cross-team trade-offs; delegates authority</t>
        </is>
      </c>
      <c r="N57" s="209" t="n"/>
      <c r="O57" s="16" t="inlineStr">
        <is>
          <t>Makes enterprise / business-line decisions</t>
        </is>
      </c>
      <c r="P57" s="209" t="n"/>
      <c r="Q57" s="16" t="inlineStr">
        <is>
          <t>Leading &amp; Deciding · Results — Decision quality; Directs work · Empowers, does not micromanage; strong decision maker</t>
        </is>
      </c>
      <c r="R57" s="209" t="n"/>
    </row>
    <row r="58" ht="80" customHeight="1">
      <c r="A58" s="13" t="inlineStr">
        <is>
          <t>Leadership</t>
        </is>
      </c>
      <c r="B58" s="16" t="inlineStr">
        <is>
          <t>Strategic &amp; Business Acumen</t>
        </is>
      </c>
      <c r="C58" s="209" t="n"/>
      <c r="D58" s="16" t="inlineStr">
        <is>
          <t>Links work to business goals, finances, markets and regulation.</t>
        </is>
      </c>
      <c r="E58" s="210" t="n"/>
      <c r="F58" s="209" t="n"/>
      <c r="G58" s="16" t="inlineStr">
        <is>
          <t>Not required</t>
        </is>
      </c>
      <c r="H58" s="209" t="n"/>
      <c r="I58" s="16" t="inlineStr">
        <is>
          <t>Understands how own work drives client and business results</t>
        </is>
      </c>
      <c r="J58" s="209" t="n"/>
      <c r="K58" s="16" t="inlineStr">
        <is>
          <t>Plans team work against business goals and budgets</t>
        </is>
      </c>
      <c r="L58" s="209" t="n"/>
      <c r="M58" s="16" t="inlineStr">
        <is>
          <t>Shapes functional strategy, budget and market approach</t>
        </is>
      </c>
      <c r="N58" s="209" t="n"/>
      <c r="O58" s="16" t="inlineStr">
        <is>
          <t>Sets business strategy and P&amp;L direction</t>
        </is>
      </c>
      <c r="P58" s="209" t="n"/>
      <c r="Q58" s="16" t="inlineStr">
        <is>
          <t>Enterprising &amp; Performing · Thought — Business insight; Strategic mindset · Clear vision and strategy</t>
        </is>
      </c>
      <c r="R58" s="209" t="n"/>
    </row>
    <row r="59" ht="67" customHeight="1">
      <c r="A59" s="13" t="inlineStr">
        <is>
          <t>Leadership</t>
        </is>
      </c>
      <c r="B59" s="16" t="inlineStr">
        <is>
          <t>Influence &amp; Change Leadership</t>
        </is>
      </c>
      <c r="C59" s="209" t="n"/>
      <c r="D59" s="16" t="inlineStr">
        <is>
          <t>Builds support across stakeholders and leads change.</t>
        </is>
      </c>
      <c r="E59" s="210" t="n"/>
      <c r="F59" s="209" t="n"/>
      <c r="G59" s="16" t="inlineStr">
        <is>
          <t>Not required</t>
        </is>
      </c>
      <c r="H59" s="209" t="n"/>
      <c r="I59" s="16" t="inlineStr">
        <is>
          <t>Influences peers in own area</t>
        </is>
      </c>
      <c r="J59" s="209" t="n"/>
      <c r="K59" s="16" t="inlineStr">
        <is>
          <t>Influences across teams; leads local change</t>
        </is>
      </c>
      <c r="L59" s="209" t="n"/>
      <c r="M59" s="16" t="inlineStr">
        <is>
          <t>Influences senior stakeholders; leads function-wide change</t>
        </is>
      </c>
      <c r="N59" s="209" t="n"/>
      <c r="O59" s="16" t="inlineStr">
        <is>
          <t>Leads enterprise change; influences clients, regulators and partners</t>
        </is>
      </c>
      <c r="P59" s="209" t="n"/>
      <c r="Q59" s="16" t="inlineStr">
        <is>
          <t>Interacting &amp; Presenting · People — Persuades; Drives vision &amp; purpose · Collaborates across the company; results-oriented</t>
        </is>
      </c>
      <c r="R59" s="209" t="n"/>
    </row>
    <row r="60" ht="15" customHeight="1"/>
    <row r="61" ht="15" customHeight="1">
      <c r="A61" s="171" t="inlineStr">
        <is>
          <r>
            <rPr>
              <rFont val="Calibri"/>
              <b val="1"/>
              <i val="1"/>
              <sz val="10"/>
            </rPr>
            <t>All employees:</t>
          </r>
          <r>
            <rPr>
              <rFont val="Calibri"/>
              <i val="1"/>
              <sz val="10"/>
            </rPr>
            <t xml:space="preserve"> mandatory learning path POSH → Code of Conduct → Information Security &amp; Privacy before confirmation. Statutory roles require the qualification.</t>
          </r>
        </is>
      </c>
    </row>
    <row r="62" ht="15" customHeight="1"/>
    <row r="63" ht="20" customHeight="1">
      <c r="A63" s="6" t="inlineStr">
        <is>
          <t>D. Department capability frameworks</t>
        </is>
      </c>
    </row>
    <row r="64" ht="20" customHeight="1">
      <c r="A64" s="172" t="inlineStr">
        <is>
          <t>Technology — 33 people · Technology &amp; engineering · levels A1–B+</t>
        </is>
      </c>
    </row>
    <row r="65" ht="15" customHeight="1">
      <c r="A65" s="17" t="inlineStr">
        <is>
          <t>Job families: Engineering &amp; Development · Business Analysis · Customer Success &amp; Support · Engineering &amp; Architecture · Project &amp; Program Management</t>
        </is>
      </c>
    </row>
    <row r="66" ht="15" customHeight="1">
      <c r="A66" s="12" t="inlineStr">
        <is>
          <t>Capability health today · indicative, from survey + KRAs</t>
        </is>
      </c>
      <c r="B66" s="210" t="n"/>
      <c r="C66" s="210" t="n"/>
      <c r="D66" s="210" t="n"/>
      <c r="E66" s="209" t="n"/>
      <c r="F66" s="12" t="inlineStr">
        <is>
          <t>Result</t>
        </is>
      </c>
      <c r="G66" s="210" t="n"/>
      <c r="H66" s="210" t="n"/>
      <c r="I66" s="210" t="n"/>
      <c r="J66" s="210" t="n"/>
      <c r="K66" s="210" t="n"/>
      <c r="L66" s="210" t="n"/>
      <c r="M66" s="210" t="n"/>
      <c r="N66" s="210" t="n"/>
      <c r="O66" s="210" t="n"/>
      <c r="P66" s="210" t="n"/>
      <c r="Q66" s="210" t="n"/>
      <c r="R66" s="209" t="n"/>
    </row>
    <row r="67" ht="15" customHeight="1">
      <c r="A67" s="13" t="inlineStr">
        <is>
          <t>People assessed · meet or exceed their level</t>
        </is>
      </c>
      <c r="B67" s="210" t="n"/>
      <c r="C67" s="210" t="n"/>
      <c r="D67" s="210" t="n"/>
      <c r="E67" s="209" t="n"/>
      <c r="F67" s="16" t="inlineStr">
        <is>
          <t>33 · 31</t>
        </is>
      </c>
      <c r="G67" s="210" t="n"/>
      <c r="H67" s="210" t="n"/>
      <c r="I67" s="210" t="n"/>
      <c r="J67" s="210" t="n"/>
      <c r="K67" s="210" t="n"/>
      <c r="L67" s="210" t="n"/>
      <c r="M67" s="210" t="n"/>
      <c r="N67" s="210" t="n"/>
      <c r="O67" s="210" t="n"/>
      <c r="P67" s="210" t="n"/>
      <c r="Q67" s="210" t="n"/>
      <c r="R67" s="209" t="n"/>
    </row>
    <row r="68" ht="15" customHeight="1">
      <c r="A68" s="13" t="inlineStr">
        <is>
          <t>Average index · Core · Future-ready · Functional · Leadership · % of required</t>
        </is>
      </c>
      <c r="B68" s="210" t="n"/>
      <c r="C68" s="210" t="n"/>
      <c r="D68" s="210" t="n"/>
      <c r="E68" s="209" t="n"/>
      <c r="F68" s="16" t="inlineStr">
        <is>
          <t>101% · 105% · 94% · 101% · 101%</t>
        </is>
      </c>
      <c r="G68" s="210" t="n"/>
      <c r="H68" s="210" t="n"/>
      <c r="I68" s="210" t="n"/>
      <c r="J68" s="210" t="n"/>
      <c r="K68" s="210" t="n"/>
      <c r="L68" s="210" t="n"/>
      <c r="M68" s="210" t="n"/>
      <c r="N68" s="210" t="n"/>
      <c r="O68" s="210" t="n"/>
      <c r="P68" s="210" t="n"/>
      <c r="Q68" s="210" t="n"/>
      <c r="R68" s="209" t="n"/>
    </row>
    <row r="69" ht="15" customHeight="1">
      <c r="A69" s="13" t="inlineStr">
        <is>
          <t>Most common competency gaps · people</t>
        </is>
      </c>
      <c r="B69" s="210" t="n"/>
      <c r="C69" s="210" t="n"/>
      <c r="D69" s="210" t="n"/>
      <c r="E69" s="209" t="n"/>
      <c r="F69" s="16" t="inlineStr">
        <is>
          <t>Learning agility · AI literacy · Digital fluency · Cloud &amp; DevOps · Programming &amp; stack · SQL &amp; data</t>
        </is>
      </c>
      <c r="G69" s="210" t="n"/>
      <c r="H69" s="210" t="n"/>
      <c r="I69" s="210" t="n"/>
      <c r="J69" s="210" t="n"/>
      <c r="K69" s="210" t="n"/>
      <c r="L69" s="210" t="n"/>
      <c r="M69" s="210" t="n"/>
      <c r="N69" s="210" t="n"/>
      <c r="O69" s="210" t="n"/>
      <c r="P69" s="210" t="n"/>
      <c r="Q69" s="210" t="n"/>
      <c r="R69" s="209" t="n"/>
    </row>
    <row r="70" ht="28" customHeight="1">
      <c r="A70" s="13" t="inlineStr">
        <is>
          <t>Role-based development priorities · people</t>
        </is>
      </c>
      <c r="B70" s="210" t="n"/>
      <c r="C70" s="210" t="n"/>
      <c r="D70" s="210" t="n"/>
      <c r="E70" s="209" t="n"/>
      <c r="F70" s="16" t="inlineStr">
        <is>
          <t>AI, GenAI &amp; Prompt Engineering · Project, Program &amp; Agile Management · Stakeholder &amp; Client Management · Product, Platform &amp; Domain Knowledge · Process Improvement &amp; Quality Mindset · Database, SQL &amp; Data Engineering</t>
        </is>
      </c>
      <c r="G70" s="210" t="n"/>
      <c r="H70" s="210" t="n"/>
      <c r="I70" s="210" t="n"/>
      <c r="J70" s="210" t="n"/>
      <c r="K70" s="210" t="n"/>
      <c r="L70" s="210" t="n"/>
      <c r="M70" s="210" t="n"/>
      <c r="N70" s="210" t="n"/>
      <c r="O70" s="210" t="n"/>
      <c r="P70" s="210" t="n"/>
      <c r="Q70" s="210" t="n"/>
      <c r="R70" s="209" t="n"/>
    </row>
    <row r="71" ht="15" customHeight="1">
      <c r="A71" s="13" t="inlineStr">
        <is>
          <t>Manager-identified training themes</t>
        </is>
      </c>
      <c r="B71" s="210" t="n"/>
      <c r="C71" s="210" t="n"/>
      <c r="D71" s="210" t="n"/>
      <c r="E71" s="209" t="n"/>
      <c r="F71" s="16" t="inlineStr">
        <is>
          <t>training effective · utilization · ai tools · training training · xbrl training</t>
        </is>
      </c>
      <c r="G71" s="210" t="n"/>
      <c r="H71" s="210" t="n"/>
      <c r="I71" s="210" t="n"/>
      <c r="J71" s="210" t="n"/>
      <c r="K71" s="210" t="n"/>
      <c r="L71" s="210" t="n"/>
      <c r="M71" s="210" t="n"/>
      <c r="N71" s="210" t="n"/>
      <c r="O71" s="210" t="n"/>
      <c r="P71" s="210" t="n"/>
      <c r="Q71" s="210" t="n"/>
      <c r="R71" s="209" t="n"/>
    </row>
    <row r="72" ht="28" customHeight="1">
      <c r="A72" s="13" t="inlineStr">
        <is>
          <t>What helped people learn · survey</t>
        </is>
      </c>
      <c r="B72" s="210" t="n"/>
      <c r="C72" s="210" t="n"/>
      <c r="D72" s="210" t="n"/>
      <c r="E72" s="209" t="n"/>
      <c r="F72" s="16" t="inlineStr">
        <is>
          <t>Mentoring / guidance from seniors · On-the-job / hands-on · Formal / classroom training · Online courses / self-learning</t>
        </is>
      </c>
      <c r="G72" s="210" t="n"/>
      <c r="H72" s="210" t="n"/>
      <c r="I72" s="210" t="n"/>
      <c r="J72" s="210" t="n"/>
      <c r="K72" s="210" t="n"/>
      <c r="L72" s="210" t="n"/>
      <c r="M72" s="210" t="n"/>
      <c r="N72" s="210" t="n"/>
      <c r="O72" s="210" t="n"/>
      <c r="P72" s="210" t="n"/>
      <c r="Q72" s="210" t="n"/>
      <c r="R72" s="209" t="n"/>
    </row>
    <row r="73" ht="15" customHeight="1">
      <c r="A73" s="13" t="inlineStr">
        <is>
          <t>How the work is changing</t>
        </is>
      </c>
      <c r="B73" s="210" t="n"/>
      <c r="C73" s="210" t="n"/>
      <c r="D73" s="210" t="n"/>
      <c r="E73" s="209" t="n"/>
      <c r="F73" s="16" t="inlineStr">
        <is>
          <t>20 of 30 say the role is changing because of AI / automation</t>
        </is>
      </c>
      <c r="G73" s="210" t="n"/>
      <c r="H73" s="210" t="n"/>
      <c r="I73" s="210" t="n"/>
      <c r="J73" s="210" t="n"/>
      <c r="K73" s="210" t="n"/>
      <c r="L73" s="210" t="n"/>
      <c r="M73" s="210" t="n"/>
      <c r="N73" s="210" t="n"/>
      <c r="O73" s="210" t="n"/>
      <c r="P73" s="210" t="n"/>
      <c r="Q73" s="210" t="n"/>
      <c r="R73" s="209" t="n"/>
    </row>
    <row r="74" ht="15" customHeight="1">
      <c r="A74" s="13" t="inlineStr">
        <is>
          <t>Lateral moves the evidence supports · people</t>
        </is>
      </c>
      <c r="B74" s="210" t="n"/>
      <c r="C74" s="210" t="n"/>
      <c r="D74" s="210" t="n"/>
      <c r="E74" s="209" t="n"/>
      <c r="F74" s="16" t="inlineStr">
        <is>
          <t>Quality Assurance · Customer Success &amp; Support · Business Analysis</t>
        </is>
      </c>
      <c r="G74" s="210" t="n"/>
      <c r="H74" s="210" t="n"/>
      <c r="I74" s="210" t="n"/>
      <c r="J74" s="210" t="n"/>
      <c r="K74" s="210" t="n"/>
      <c r="L74" s="210" t="n"/>
      <c r="M74" s="210" t="n"/>
      <c r="N74" s="210" t="n"/>
      <c r="O74" s="210" t="n"/>
      <c r="P74" s="210" t="n"/>
      <c r="Q74" s="210" t="n"/>
      <c r="R74" s="209" t="n"/>
    </row>
    <row r="75" ht="15" customHeight="1"/>
    <row r="76" ht="28" customHeight="1">
      <c r="A76" s="12" t="inlineStr">
        <is>
          <t>Cluster</t>
        </is>
      </c>
      <c r="B76" s="12" t="inlineStr">
        <is>
          <t>Competency · ★ = must-have</t>
        </is>
      </c>
      <c r="C76" s="12" t="inlineStr">
        <is>
          <t>Definition</t>
        </is>
      </c>
      <c r="D76" s="12" t="inlineStr">
        <is>
          <t>Must-have for</t>
        </is>
      </c>
      <c r="E76" s="12" t="inlineStr">
        <is>
          <t>A1</t>
        </is>
      </c>
      <c r="F76" s="12" t="inlineStr">
        <is>
          <t>A2</t>
        </is>
      </c>
      <c r="G76" s="12" t="inlineStr">
        <is>
          <t>A3</t>
        </is>
      </c>
      <c r="H76" s="12" t="inlineStr">
        <is>
          <t>B1</t>
        </is>
      </c>
      <c r="I76" s="12" t="inlineStr">
        <is>
          <t>B2</t>
        </is>
      </c>
      <c r="J76" s="12" t="inlineStr">
        <is>
          <t>B3</t>
        </is>
      </c>
      <c r="K76" s="12" t="inlineStr">
        <is>
          <t>B+</t>
        </is>
      </c>
      <c r="L76" s="12" t="inlineStr">
        <is>
          <t>C1</t>
        </is>
      </c>
      <c r="M76" s="12" t="inlineStr">
        <is>
          <t>C2</t>
        </is>
      </c>
      <c r="N76" s="12" t="inlineStr">
        <is>
          <t>C+</t>
        </is>
      </c>
      <c r="O76" s="12" t="inlineStr">
        <is>
          <t>D1</t>
        </is>
      </c>
      <c r="P76" s="12" t="inlineStr">
        <is>
          <t>What good looks like · by proficiency</t>
        </is>
      </c>
      <c r="Q76" s="12" t="inlineStr">
        <is>
          <t>What IRIS top performers do · survey</t>
        </is>
      </c>
      <c r="R76" s="12" t="inlineStr">
        <is>
          <t>How to assess</t>
        </is>
      </c>
      <c r="S76" s="12" t="inlineStr">
        <is>
          <t>Credentials</t>
        </is>
      </c>
      <c r="T76" s="12" t="inlineStr">
        <is>
          <t>Reference</t>
        </is>
      </c>
    </row>
    <row r="77" ht="67" customHeight="1">
      <c r="A77" s="173" t="inlineStr">
        <is>
          <t>Functional</t>
        </is>
      </c>
      <c r="B77" s="173" t="inlineStr">
        <is>
          <t>★ Programming &amp; Tech-Stack Depth</t>
        </is>
      </c>
      <c r="C77" s="173" t="inlineStr">
        <is>
          <t>Builds and maintains quality code in the team's stack ·.NET, Java, Python, Angular / React.</t>
        </is>
      </c>
      <c r="D77" s="173" t="inlineStr">
        <is>
          <t>Engineering &amp; Development, Engineering &amp; Architecture</t>
        </is>
      </c>
      <c r="E77" s="174" t="n">
        <v>1</v>
      </c>
      <c r="F77" s="174" t="n">
        <v>2</v>
      </c>
      <c r="G77" s="174" t="n">
        <v>3</v>
      </c>
      <c r="H77" s="174" t="n">
        <v>3</v>
      </c>
      <c r="I77" s="174" t="n">
        <v>4</v>
      </c>
      <c r="J77" s="174" t="n">
        <v>4</v>
      </c>
      <c r="K77" s="174" t="n">
        <v>4</v>
      </c>
      <c r="L77" s="174" t="n">
        <v>4</v>
      </c>
      <c r="M77" s="174" t="n">
        <v>5</v>
      </c>
      <c r="N77" s="174" t="n">
        <v>5</v>
      </c>
      <c r="O77" s="174" t="n">
        <v>4</v>
      </c>
      <c r="P77" s="173" t="inlineStr">
        <is>
          <t>3 · Builds features with clean, tested code
4 · Sets coding standards; solves performance and design issues across modules</t>
        </is>
      </c>
      <c r="Q77" s="173" t="inlineStr">
        <is>
          <t>angular, coding, java, .net, spring</t>
        </is>
      </c>
      <c r="R77" s="173" t="inlineStr">
        <is>
          <t>Coding test + code review</t>
        </is>
      </c>
      <c r="S77" s="173" t="inlineStr">
        <is>
          <t>Cloud / language certifications · optional</t>
        </is>
      </c>
      <c r="T77" s="173" t="inlineStr">
        <is>
          <t>Family set</t>
        </is>
      </c>
    </row>
    <row r="78" ht="67" customHeight="1">
      <c r="A78" s="173" t="inlineStr">
        <is>
          <t>Functional</t>
        </is>
      </c>
      <c r="B78" s="173" t="inlineStr">
        <is>
          <t>★ System Design &amp; Architecture</t>
        </is>
      </c>
      <c r="C78" s="173" t="inlineStr">
        <is>
          <t>Designs components, integrations and scalable, secure solutions.</t>
        </is>
      </c>
      <c r="D78" s="173" t="inlineStr">
        <is>
          <t>Engineering &amp; Development, Engineering &amp; Architecture</t>
        </is>
      </c>
      <c r="E78" s="174" t="n">
        <v>1</v>
      </c>
      <c r="F78" s="174" t="n">
        <v>2</v>
      </c>
      <c r="G78" s="174" t="n">
        <v>3</v>
      </c>
      <c r="H78" s="174" t="n">
        <v>3</v>
      </c>
      <c r="I78" s="174" t="n">
        <v>4</v>
      </c>
      <c r="J78" s="174" t="n">
        <v>4</v>
      </c>
      <c r="K78" s="174" t="n">
        <v>4</v>
      </c>
      <c r="L78" s="174" t="n">
        <v>4</v>
      </c>
      <c r="M78" s="174" t="n">
        <v>5</v>
      </c>
      <c r="N78" s="174" t="n">
        <v>5</v>
      </c>
      <c r="O78" s="174" t="n">
        <v>4</v>
      </c>
      <c r="P78" s="173" t="inlineStr">
        <is>
          <t>3 · Designs components and integrations for a module
4 · Designs scalable, secure solutions across products; reviews designs</t>
        </is>
      </c>
      <c r="Q78" s="173" t="inlineStr">
        <is>
          <t>architect, scalability, solution design, system design</t>
        </is>
      </c>
      <c r="R78" s="173" t="inlineStr">
        <is>
          <t>System-design interview / design review</t>
        </is>
      </c>
      <c r="S78" s="173" t="inlineStr">
        <is>
          <t>AWS / Azure architect · optional</t>
        </is>
      </c>
      <c r="T78" s="173" t="inlineStr">
        <is>
          <t>Family set</t>
        </is>
      </c>
    </row>
    <row r="79" ht="54" customHeight="1">
      <c r="A79" s="173" t="inlineStr">
        <is>
          <t>Functional</t>
        </is>
      </c>
      <c r="B79" s="173" t="inlineStr">
        <is>
          <t>Database, SQL &amp; Data Engineering</t>
        </is>
      </c>
      <c r="C79" s="173" t="inlineStr">
        <is>
          <t>Writes and tunes SQL, data models and ETL.</t>
        </is>
      </c>
      <c r="D79" s="173" t="inlineStr">
        <is>
          <t>—</t>
        </is>
      </c>
      <c r="E79" s="174" t="n">
        <v>1</v>
      </c>
      <c r="F79" s="174" t="n">
        <v>2</v>
      </c>
      <c r="G79" s="174" t="n">
        <v>3</v>
      </c>
      <c r="H79" s="174" t="n">
        <v>3</v>
      </c>
      <c r="I79" s="174" t="n">
        <v>4</v>
      </c>
      <c r="J79" s="174" t="n">
        <v>4</v>
      </c>
      <c r="K79" s="174" t="n">
        <v>4</v>
      </c>
      <c r="L79" s="174" t="n">
        <v>4</v>
      </c>
      <c r="M79" s="174" t="n">
        <v>5</v>
      </c>
      <c r="N79" s="174" t="n">
        <v>5</v>
      </c>
      <c r="O79" s="174" t="n">
        <v>4</v>
      </c>
      <c r="P79" s="173" t="inlineStr">
        <is>
          <t>3 · Writes and tunes queries, procedures and ETL
4 · Designs data models and pipelines; optimises at scale</t>
        </is>
      </c>
      <c r="Q79" s="173" t="inlineStr">
        <is>
          <t>database, SQL, ssis, oracle, query</t>
        </is>
      </c>
      <c r="R79" s="173" t="inlineStr">
        <is>
          <t>SQL test / case</t>
        </is>
      </c>
      <c r="S79" s="173" t="inlineStr">
        <is>
          <t>Database certifications · optional</t>
        </is>
      </c>
      <c r="T79" s="173" t="inlineStr">
        <is>
          <t>Family set</t>
        </is>
      </c>
    </row>
    <row r="80" ht="54" customHeight="1">
      <c r="A80" s="173" t="inlineStr">
        <is>
          <t>Functional</t>
        </is>
      </c>
      <c r="B80" s="173" t="inlineStr">
        <is>
          <t>Cloud, DevOps &amp; CI/CD</t>
        </is>
      </c>
      <c r="C80" s="173" t="inlineStr">
        <is>
          <t>Builds, deploys and runs software through pipelines and cloud platforms.</t>
        </is>
      </c>
      <c r="D80" s="173" t="inlineStr">
        <is>
          <t>—</t>
        </is>
      </c>
      <c r="E80" s="174" t="n">
        <v>1</v>
      </c>
      <c r="F80" s="174" t="n">
        <v>2</v>
      </c>
      <c r="G80" s="174" t="n">
        <v>3</v>
      </c>
      <c r="H80" s="174" t="n">
        <v>3</v>
      </c>
      <c r="I80" s="174" t="n">
        <v>4</v>
      </c>
      <c r="J80" s="174" t="n">
        <v>4</v>
      </c>
      <c r="K80" s="174" t="n">
        <v>4</v>
      </c>
      <c r="L80" s="174" t="n">
        <v>4</v>
      </c>
      <c r="M80" s="174" t="n">
        <v>5</v>
      </c>
      <c r="N80" s="174" t="n">
        <v>5</v>
      </c>
      <c r="O80" s="174" t="n">
        <v>4</v>
      </c>
      <c r="P80" s="173" t="inlineStr">
        <is>
          <t>3 · Builds and runs CI/CD pipelines and environments
4 · Designs platform, monitoring and release strategy</t>
        </is>
      </c>
      <c r="Q80" s="173" t="inlineStr">
        <is>
          <t>release, deploy, cloud, devops, AWS</t>
        </is>
      </c>
      <c r="R80" s="173" t="inlineStr">
        <is>
          <t>Practical task</t>
        </is>
      </c>
      <c r="S80" s="173" t="inlineStr">
        <is>
          <t>AWS / Azure / Kubernetes certifications</t>
        </is>
      </c>
      <c r="T80" s="173" t="inlineStr">
        <is>
          <t>Family set</t>
        </is>
      </c>
    </row>
    <row r="81" ht="67" customHeight="1">
      <c r="A81" s="173" t="inlineStr">
        <is>
          <t>Functional</t>
        </is>
      </c>
      <c r="B81" s="173" t="inlineStr">
        <is>
          <t>AI, GenAI &amp; Prompt Engineering</t>
        </is>
      </c>
      <c r="C81" s="173" t="inlineStr">
        <is>
          <t>Uses or builds AI and LLM solutions to improve products and work.</t>
        </is>
      </c>
      <c r="D81" s="173" t="inlineStr">
        <is>
          <t>—</t>
        </is>
      </c>
      <c r="E81" s="174" t="n">
        <v>1</v>
      </c>
      <c r="F81" s="174" t="n">
        <v>2</v>
      </c>
      <c r="G81" s="174" t="n">
        <v>3</v>
      </c>
      <c r="H81" s="174" t="n">
        <v>3</v>
      </c>
      <c r="I81" s="174" t="n">
        <v>4</v>
      </c>
      <c r="J81" s="174" t="n">
        <v>4</v>
      </c>
      <c r="K81" s="174" t="n">
        <v>4</v>
      </c>
      <c r="L81" s="174" t="n">
        <v>4</v>
      </c>
      <c r="M81" s="174" t="n">
        <v>5</v>
      </c>
      <c r="N81" s="174" t="n">
        <v>5</v>
      </c>
      <c r="O81" s="174" t="n">
        <v>4</v>
      </c>
      <c r="P81" s="173" t="inlineStr">
        <is>
          <t>3 · Uses AI / LLM tools in own work and validates output
4 · Builds AI features or AI-enabled processes; sets safe-use practice</t>
        </is>
      </c>
      <c r="Q81" s="173" t="inlineStr">
        <is>
          <t>AI, prompt, claude, copilot</t>
        </is>
      </c>
      <c r="R81" s="173" t="inlineStr">
        <is>
          <t>Work sample / portfolio</t>
        </is>
      </c>
      <c r="S81" s="173" t="inlineStr">
        <is>
          <t>Vendor AI certifications · optional</t>
        </is>
      </c>
      <c r="T81" s="173" t="inlineStr">
        <is>
          <t>Family set</t>
        </is>
      </c>
    </row>
    <row r="82" ht="54" customHeight="1">
      <c r="A82" s="173" t="inlineStr">
        <is>
          <t>Functional</t>
        </is>
      </c>
      <c r="B82" s="173" t="inlineStr">
        <is>
          <t>★ Product, Platform &amp; Domain Knowledge</t>
        </is>
      </c>
      <c r="C82" s="173" t="inlineStr">
        <is>
          <t>Knows IRIS products, platforms and the client's domain.</t>
        </is>
      </c>
      <c r="D82" s="173" t="inlineStr">
        <is>
          <t>Customer Success &amp; Support</t>
        </is>
      </c>
      <c r="E82" s="174" t="n">
        <v>1</v>
      </c>
      <c r="F82" s="174" t="n">
        <v>2</v>
      </c>
      <c r="G82" s="174" t="n">
        <v>3</v>
      </c>
      <c r="H82" s="174" t="n">
        <v>3</v>
      </c>
      <c r="I82" s="174" t="n">
        <v>4</v>
      </c>
      <c r="J82" s="174" t="n">
        <v>4</v>
      </c>
      <c r="K82" s="174" t="n">
        <v>4</v>
      </c>
      <c r="L82" s="174" t="n">
        <v>4</v>
      </c>
      <c r="M82" s="174" t="n">
        <v>5</v>
      </c>
      <c r="N82" s="174" t="n">
        <v>5</v>
      </c>
      <c r="O82" s="174" t="n">
        <v>4</v>
      </c>
      <c r="P82" s="173" t="inlineStr">
        <is>
          <t>3 · Handles most product and domain scenarios
4 · Recognised product / domain expert; trains others</t>
        </is>
      </c>
      <c r="Q82" s="173" t="inlineStr">
        <is>
          <t>product, module, functional knowledge</t>
        </is>
      </c>
      <c r="R82" s="173" t="inlineStr">
        <is>
          <t>Scenario interview</t>
        </is>
      </c>
      <c r="S82" s="173" t="inlineStr">
        <is>
          <t>Internal product certification</t>
        </is>
      </c>
      <c r="T82" s="173" t="inlineStr">
        <is>
          <t>Family set</t>
        </is>
      </c>
    </row>
    <row r="83" ht="67" customHeight="1">
      <c r="A83" s="173" t="inlineStr">
        <is>
          <t>Functional</t>
        </is>
      </c>
      <c r="B83" s="173" t="inlineStr">
        <is>
          <t>★ Business Analysis &amp; Requirements Engineering</t>
        </is>
      </c>
      <c r="C83" s="173" t="inlineStr">
        <is>
          <t>Captures, documents and validates requirements.</t>
        </is>
      </c>
      <c r="D83" s="173" t="inlineStr">
        <is>
          <t>Business Analysis</t>
        </is>
      </c>
      <c r="E83" s="174" t="n">
        <v>1</v>
      </c>
      <c r="F83" s="174" t="n">
        <v>2</v>
      </c>
      <c r="G83" s="174" t="n">
        <v>3</v>
      </c>
      <c r="H83" s="174" t="n">
        <v>3</v>
      </c>
      <c r="I83" s="174" t="n">
        <v>4</v>
      </c>
      <c r="J83" s="174" t="n">
        <v>4</v>
      </c>
      <c r="K83" s="174" t="n">
        <v>4</v>
      </c>
      <c r="L83" s="174" t="n">
        <v>4</v>
      </c>
      <c r="M83" s="174" t="n">
        <v>5</v>
      </c>
      <c r="N83" s="174" t="n">
        <v>5</v>
      </c>
      <c r="O83" s="174" t="n">
        <v>4</v>
      </c>
      <c r="P83" s="173" t="inlineStr">
        <is>
          <t>3 · Writes BRD / FSD / user stories and validates them
4 · Leads complex requirement programmes; sets BA standards</t>
        </is>
      </c>
      <c r="Q83" s="173" t="inlineStr">
        <is>
          <t>requirement, business analysis, BRD, user stories, fsd</t>
        </is>
      </c>
      <c r="R83" s="173" t="inlineStr">
        <is>
          <t>Case study</t>
        </is>
      </c>
      <c r="S83" s="173" t="inlineStr">
        <is>
          <t>CBAP / CCBA · optional</t>
        </is>
      </c>
      <c r="T83" s="173" t="inlineStr">
        <is>
          <t>Family set</t>
        </is>
      </c>
    </row>
    <row r="84" ht="54" customHeight="1">
      <c r="A84" s="173" t="inlineStr">
        <is>
          <t>Functional</t>
        </is>
      </c>
      <c r="B84" s="173" t="inlineStr">
        <is>
          <t>★ Regulatory &amp; BFSI Domain</t>
        </is>
      </c>
      <c r="C84" s="173" t="inlineStr">
        <is>
          <t>Understands regulators, returns, filings and BFSI rules.</t>
        </is>
      </c>
      <c r="D84" s="173" t="inlineStr">
        <is>
          <t>Business Analysis</t>
        </is>
      </c>
      <c r="E84" s="174" t="n">
        <v>1</v>
      </c>
      <c r="F84" s="174" t="n">
        <v>2</v>
      </c>
      <c r="G84" s="174" t="n">
        <v>3</v>
      </c>
      <c r="H84" s="174" t="n">
        <v>3</v>
      </c>
      <c r="I84" s="174" t="n">
        <v>4</v>
      </c>
      <c r="J84" s="174" t="n">
        <v>4</v>
      </c>
      <c r="K84" s="174" t="n">
        <v>4</v>
      </c>
      <c r="L84" s="174" t="n">
        <v>4</v>
      </c>
      <c r="M84" s="174" t="n">
        <v>5</v>
      </c>
      <c r="N84" s="174" t="n">
        <v>5</v>
      </c>
      <c r="O84" s="174" t="n">
        <v>4</v>
      </c>
      <c r="P84" s="173" t="inlineStr">
        <is>
          <t>3 · Knows the relevant regulators, returns and rules
4 · Interprets new regulation; advises clients and product</t>
        </is>
      </c>
      <c r="Q84" s="173" t="inlineStr">
        <is>
          <t>regulation, RBI, returns, compliance, filing</t>
        </is>
      </c>
      <c r="R84" s="173" t="inlineStr">
        <is>
          <t>Domain interview</t>
        </is>
      </c>
      <c r="S84" s="173" t="inlineStr">
        <is>
          <t>Domain certifications · optional</t>
        </is>
      </c>
      <c r="T84" s="173" t="inlineStr">
        <is>
          <t>Family set</t>
        </is>
      </c>
    </row>
    <row r="85" ht="67" customHeight="1">
      <c r="A85" s="173" t="inlineStr">
        <is>
          <t>Functional</t>
        </is>
      </c>
      <c r="B85" s="173" t="inlineStr">
        <is>
          <t>★ Stakeholder &amp; Client Management</t>
        </is>
      </c>
      <c r="C85" s="173" t="inlineStr">
        <is>
          <t>Manages clients and stakeholders; handles changing requests.</t>
        </is>
      </c>
      <c r="D85" s="173" t="inlineStr">
        <is>
          <t>Customer Success &amp; Support, Project &amp; Program Management</t>
        </is>
      </c>
      <c r="E85" s="174" t="n">
        <v>1</v>
      </c>
      <c r="F85" s="174" t="n">
        <v>2</v>
      </c>
      <c r="G85" s="174" t="n">
        <v>3</v>
      </c>
      <c r="H85" s="174" t="n">
        <v>3</v>
      </c>
      <c r="I85" s="174" t="n">
        <v>4</v>
      </c>
      <c r="J85" s="174" t="n">
        <v>4</v>
      </c>
      <c r="K85" s="174" t="n">
        <v>4</v>
      </c>
      <c r="L85" s="174" t="n">
        <v>4</v>
      </c>
      <c r="M85" s="174" t="n">
        <v>5</v>
      </c>
      <c r="N85" s="174" t="n">
        <v>5</v>
      </c>
      <c r="O85" s="174" t="n">
        <v>4</v>
      </c>
      <c r="P85" s="173" t="inlineStr">
        <is>
          <t>3 · Manages client communication and expectations for own work
4 · Owns key relationships; resolves escalations</t>
        </is>
      </c>
      <c r="Q85" s="173" t="inlineStr">
        <is>
          <t>client, stakeholder, escalat, coordinat, customer</t>
        </is>
      </c>
      <c r="R85" s="173" t="inlineStr">
        <is>
          <t>Role play / behavioural interview</t>
        </is>
      </c>
      <c r="S85" s="173" t="inlineStr">
        <is>
          <t>—</t>
        </is>
      </c>
      <c r="T85" s="173" t="inlineStr">
        <is>
          <t>Family set</t>
        </is>
      </c>
    </row>
    <row r="86" ht="54" customHeight="1">
      <c r="A86" s="173" t="inlineStr">
        <is>
          <t>Functional</t>
        </is>
      </c>
      <c r="B86" s="173" t="inlineStr">
        <is>
          <t>Communication &amp; Presentation</t>
        </is>
      </c>
      <c r="C86" s="173" t="inlineStr">
        <is>
          <t>Writes and presents clearly to clients and teams.</t>
        </is>
      </c>
      <c r="D86" s="173" t="inlineStr">
        <is>
          <t>—</t>
        </is>
      </c>
      <c r="E86" s="174" t="n">
        <v>1</v>
      </c>
      <c r="F86" s="174" t="n">
        <v>2</v>
      </c>
      <c r="G86" s="174" t="n">
        <v>3</v>
      </c>
      <c r="H86" s="174" t="n">
        <v>3</v>
      </c>
      <c r="I86" s="174" t="n">
        <v>4</v>
      </c>
      <c r="J86" s="174" t="n">
        <v>4</v>
      </c>
      <c r="K86" s="174" t="n">
        <v>4</v>
      </c>
      <c r="L86" s="174" t="n">
        <v>4</v>
      </c>
      <c r="M86" s="174" t="n">
        <v>5</v>
      </c>
      <c r="N86" s="174" t="n">
        <v>5</v>
      </c>
      <c r="O86" s="174" t="n">
        <v>4</v>
      </c>
      <c r="P86" s="173" t="inlineStr">
        <is>
          <t>3 · Writes and presents clearly to clients and teams
4 · Presents to senior stakeholders; shapes messaging</t>
        </is>
      </c>
      <c r="Q86" s="173" t="inlineStr">
        <is>
          <t>communication, documentation, present, email</t>
        </is>
      </c>
      <c r="R86" s="173" t="inlineStr">
        <is>
          <t>Presentation / writing test</t>
        </is>
      </c>
      <c r="S86" s="173" t="inlineStr">
        <is>
          <t>—</t>
        </is>
      </c>
      <c r="T86" s="173" t="inlineStr">
        <is>
          <t>Family set</t>
        </is>
      </c>
    </row>
    <row r="87" ht="67" customHeight="1">
      <c r="A87" s="173" t="inlineStr">
        <is>
          <t>Functional</t>
        </is>
      </c>
      <c r="B87" s="173" t="inlineStr">
        <is>
          <t>Process Improvement &amp; Quality Mindset</t>
        </is>
      </c>
      <c r="C87" s="173" t="inlineStr">
        <is>
          <t>Gets it right first time; improves processes and checklists.</t>
        </is>
      </c>
      <c r="D87" s="173" t="inlineStr">
        <is>
          <t>—</t>
        </is>
      </c>
      <c r="E87" s="174" t="n">
        <v>1</v>
      </c>
      <c r="F87" s="174" t="n">
        <v>2</v>
      </c>
      <c r="G87" s="174" t="n">
        <v>3</v>
      </c>
      <c r="H87" s="174" t="n">
        <v>3</v>
      </c>
      <c r="I87" s="174" t="n">
        <v>4</v>
      </c>
      <c r="J87" s="174" t="n">
        <v>4</v>
      </c>
      <c r="K87" s="174" t="n">
        <v>4</v>
      </c>
      <c r="L87" s="174" t="n">
        <v>4</v>
      </c>
      <c r="M87" s="174" t="n">
        <v>5</v>
      </c>
      <c r="N87" s="174" t="n">
        <v>5</v>
      </c>
      <c r="O87" s="174" t="n">
        <v>4</v>
      </c>
      <c r="P87" s="173" t="inlineStr">
        <is>
          <t>3 · Delivers right-first-time; improves own checklists
4 · Redesigns team processes; reduces error rates measurably</t>
        </is>
      </c>
      <c r="Q87" s="173" t="inlineStr">
        <is>
          <t>sla, accura, review, quality</t>
        </is>
      </c>
      <c r="R87" s="173" t="inlineStr">
        <is>
          <t>Work sample / case</t>
        </is>
      </c>
      <c r="S87" s="173" t="inlineStr">
        <is>
          <t>Lean / Six Sigma · optional</t>
        </is>
      </c>
      <c r="T87" s="173" t="inlineStr">
        <is>
          <t>Family set</t>
        </is>
      </c>
    </row>
    <row r="88" ht="67" customHeight="1">
      <c r="A88" s="173" t="inlineStr">
        <is>
          <t>Functional</t>
        </is>
      </c>
      <c r="B88" s="173" t="inlineStr">
        <is>
          <t>Cybersecurity &amp; Infrastructure</t>
        </is>
      </c>
      <c r="C88" s="173" t="inlineStr">
        <is>
          <t>Runs secure servers, networks, endpoints and access.</t>
        </is>
      </c>
      <c r="D88" s="173" t="inlineStr">
        <is>
          <t>—</t>
        </is>
      </c>
      <c r="E88" s="174" t="n">
        <v>1</v>
      </c>
      <c r="F88" s="174" t="n">
        <v>2</v>
      </c>
      <c r="G88" s="174" t="n">
        <v>3</v>
      </c>
      <c r="H88" s="174" t="n">
        <v>3</v>
      </c>
      <c r="I88" s="174" t="n">
        <v>4</v>
      </c>
      <c r="J88" s="174" t="n">
        <v>4</v>
      </c>
      <c r="K88" s="174" t="n">
        <v>4</v>
      </c>
      <c r="L88" s="174" t="n">
        <v>4</v>
      </c>
      <c r="M88" s="174" t="n">
        <v>5</v>
      </c>
      <c r="N88" s="174" t="n">
        <v>5</v>
      </c>
      <c r="O88" s="174" t="n">
        <v>4</v>
      </c>
      <c r="P88" s="173" t="inlineStr">
        <is>
          <t>3 · Administers secure servers, networks and access
4 · Designs secure infrastructure; leads audits and incident response</t>
        </is>
      </c>
      <c r="Q88" s="173" t="inlineStr">
        <is>
          <t>—</t>
        </is>
      </c>
      <c r="R88" s="173" t="inlineStr">
        <is>
          <t>Practical task</t>
        </is>
      </c>
      <c r="S88" s="173" t="inlineStr">
        <is>
          <t>Microsoft / CCNA / ISO 27001 / ITIL</t>
        </is>
      </c>
      <c r="T88" s="173" t="inlineStr">
        <is>
          <t>Family set</t>
        </is>
      </c>
    </row>
    <row r="89" ht="54" customHeight="1">
      <c r="A89" s="173" t="inlineStr">
        <is>
          <t>Functional</t>
        </is>
      </c>
      <c r="B89" s="173" t="inlineStr">
        <is>
          <t>Strategic Thinking &amp; Business Acumen</t>
        </is>
      </c>
      <c r="C89" s="173" t="inlineStr">
        <is>
          <t>Links work to business outcomes, budgets and strategy.</t>
        </is>
      </c>
      <c r="D89" s="173" t="inlineStr">
        <is>
          <t>—</t>
        </is>
      </c>
      <c r="E89" s="174" t="n">
        <v>1</v>
      </c>
      <c r="F89" s="174" t="n">
        <v>2</v>
      </c>
      <c r="G89" s="174" t="n">
        <v>3</v>
      </c>
      <c r="H89" s="174" t="n">
        <v>3</v>
      </c>
      <c r="I89" s="174" t="n">
        <v>4</v>
      </c>
      <c r="J89" s="174" t="n">
        <v>4</v>
      </c>
      <c r="K89" s="174" t="n">
        <v>4</v>
      </c>
      <c r="L89" s="174" t="n">
        <v>4</v>
      </c>
      <c r="M89" s="174" t="n">
        <v>5</v>
      </c>
      <c r="N89" s="174" t="n">
        <v>5</v>
      </c>
      <c r="O89" s="174" t="n">
        <v>4</v>
      </c>
      <c r="P89" s="173" t="inlineStr">
        <is>
          <t>3 · Connects work to business goals and budgets
4 · Shapes strategy, pricing or investment choices</t>
        </is>
      </c>
      <c r="Q89" s="173" t="inlineStr">
        <is>
          <t>strategy, growth</t>
        </is>
      </c>
      <c r="R89" s="173" t="inlineStr">
        <is>
          <t>Case interview</t>
        </is>
      </c>
      <c r="S89" s="173" t="inlineStr">
        <is>
          <t>MBA / PGDM · preferred at C+</t>
        </is>
      </c>
      <c r="T89" s="173" t="inlineStr">
        <is>
          <t>Family set</t>
        </is>
      </c>
    </row>
    <row r="90" ht="67" customHeight="1">
      <c r="A90" s="173" t="inlineStr">
        <is>
          <t>Functional</t>
        </is>
      </c>
      <c r="B90" s="173" t="inlineStr">
        <is>
          <t>★ Project, Program &amp; Agile Management</t>
        </is>
      </c>
      <c r="C90" s="173" t="inlineStr">
        <is>
          <t>Plans, tracks and delivers on time using agile / hybrid practice.</t>
        </is>
      </c>
      <c r="D90" s="173" t="inlineStr">
        <is>
          <t>Project &amp; Program Management</t>
        </is>
      </c>
      <c r="E90" s="174" t="n">
        <v>1</v>
      </c>
      <c r="F90" s="174" t="n">
        <v>2</v>
      </c>
      <c r="G90" s="174" t="n">
        <v>3</v>
      </c>
      <c r="H90" s="174" t="n">
        <v>3</v>
      </c>
      <c r="I90" s="174" t="n">
        <v>4</v>
      </c>
      <c r="J90" s="174" t="n">
        <v>4</v>
      </c>
      <c r="K90" s="174" t="n">
        <v>4</v>
      </c>
      <c r="L90" s="174" t="n">
        <v>4</v>
      </c>
      <c r="M90" s="174" t="n">
        <v>5</v>
      </c>
      <c r="N90" s="174" t="n">
        <v>5</v>
      </c>
      <c r="O90" s="174" t="n">
        <v>4</v>
      </c>
      <c r="P90" s="173" t="inlineStr">
        <is>
          <t>3 · Plans and tracks delivery; manages risk and scope
4 · Runs programmes across teams; improves delivery methods</t>
        </is>
      </c>
      <c r="Q90" s="173" t="inlineStr">
        <is>
          <t>scrum, milestone, project management, Jira, timeline</t>
        </is>
      </c>
      <c r="R90" s="173" t="inlineStr">
        <is>
          <t>Case interview</t>
        </is>
      </c>
      <c r="S90" s="173" t="inlineStr">
        <is>
          <t>PMP / PRINCE2 / CSM / SAFe</t>
        </is>
      </c>
      <c r="T90" s="173" t="inlineStr">
        <is>
          <t>Family set</t>
        </is>
      </c>
    </row>
    <row r="91" ht="28" customHeight="1">
      <c r="A91" s="135" t="inlineStr">
        <is>
          <t>Leadership</t>
        </is>
      </c>
      <c r="B91" s="135" t="inlineStr">
        <is>
          <t>Leadership cluster · 4 competencies, part C</t>
        </is>
      </c>
      <c r="C91" s="135" t="inlineStr">
        <is>
          <t>Leading people, decisions, strategy and change</t>
        </is>
      </c>
      <c r="D91" s="135" t="inlineStr">
        <is>
          <t>POD Leads and People Managers</t>
        </is>
      </c>
      <c r="E91" s="47" t="inlineStr">
        <is>
          <t>—</t>
        </is>
      </c>
      <c r="F91" s="47" t="inlineStr">
        <is>
          <t>—</t>
        </is>
      </c>
      <c r="G91" s="47" t="inlineStr">
        <is>
          <t>—</t>
        </is>
      </c>
      <c r="H91" s="47" t="inlineStr">
        <is>
          <t>1/2</t>
        </is>
      </c>
      <c r="I91" s="47" t="inlineStr">
        <is>
          <t>2/3</t>
        </is>
      </c>
      <c r="J91" s="47" t="inlineStr">
        <is>
          <t>3/4</t>
        </is>
      </c>
      <c r="K91" s="47" t="inlineStr">
        <is>
          <t>4/4</t>
        </is>
      </c>
      <c r="L91" s="47" t="inlineStr">
        <is>
          <t>4/4</t>
        </is>
      </c>
      <c r="M91" s="47" t="inlineStr">
        <is>
          <t>4/4</t>
        </is>
      </c>
      <c r="N91" s="47" t="inlineStr">
        <is>
          <t>5/5</t>
        </is>
      </c>
      <c r="O91" s="47" t="inlineStr">
        <is>
          <t>5/5</t>
        </is>
      </c>
      <c r="P91" s="135" t="inlineStr">
        <is>
          <t>Required level shown as IC / Manager</t>
        </is>
      </c>
      <c r="Q91" s="135" t="inlineStr">
        <is>
          <t>—</t>
        </is>
      </c>
      <c r="R91" s="135" t="inlineStr">
        <is>
          <t>Behavioural interview; 360 feedback</t>
        </is>
      </c>
      <c r="S91" s="135" t="inlineStr">
        <is>
          <t>—</t>
        </is>
      </c>
      <c r="T91" s="135" t="inlineStr">
        <is>
          <t>S14, S15, S16</t>
        </is>
      </c>
    </row>
    <row r="92" ht="15" customHeight="1"/>
    <row r="93" ht="15" customHeight="1">
      <c r="A93" s="12" t="inlineStr">
        <is>
          <t>Job family</t>
        </is>
      </c>
      <c r="B93" s="12" t="inlineStr">
        <is>
          <t>Education / credentials</t>
        </is>
      </c>
      <c r="C93" s="209" t="n"/>
      <c r="D93" s="12" t="inlineStr">
        <is>
          <t>Gate requirements</t>
        </is>
      </c>
      <c r="E93" s="209" t="n"/>
      <c r="F93" s="12" t="inlineStr">
        <is>
          <t>Learning focus — Band A</t>
        </is>
      </c>
      <c r="G93" s="210" t="n"/>
      <c r="H93" s="210" t="n"/>
      <c r="I93" s="210" t="n"/>
      <c r="J93" s="210" t="n"/>
      <c r="K93" s="209" t="n"/>
      <c r="L93" s="12" t="inlineStr">
        <is>
          <t>Learning focus — Band B</t>
        </is>
      </c>
      <c r="M93" s="210" t="n"/>
      <c r="N93" s="210" t="n"/>
      <c r="O93" s="210" t="n"/>
      <c r="P93" s="209" t="n"/>
      <c r="Q93" s="12" t="inlineStr">
        <is>
          <t>Learning focus — Band C+</t>
        </is>
      </c>
      <c r="R93" s="209" t="n"/>
      <c r="S93" s="12" t="inlineStr">
        <is>
          <t>Future skills</t>
        </is>
      </c>
      <c r="T93" s="209" t="n"/>
    </row>
    <row r="94" ht="80" customHeight="1">
      <c r="A94" s="13" t="inlineStr">
        <is>
          <t>Engineering &amp; Development</t>
        </is>
      </c>
      <c r="B94" s="16" t="inlineStr">
        <is>
          <t>BE / B.Tech / MCA / M.Tech / B.Sc · CS</t>
        </is>
      </c>
      <c r="C94" s="209" t="n"/>
      <c r="D94" s="16" t="inlineStr">
        <is>
          <t>Secure coding · OWASP, code review, unit testing</t>
        </is>
      </c>
      <c r="E94" s="209" t="n"/>
      <c r="F94" s="16" t="inlineStr">
        <is>
          <t>Mandatory path · POSH, Code of Conduct, InfoSec; Programming &amp; Tech-Stack Depth, System Design &amp; Architecture to Working → Practitioner; AI literacy to 2; learn by mentoring and KT.</t>
        </is>
      </c>
      <c r="G94" s="210" t="n"/>
      <c r="H94" s="210" t="n"/>
      <c r="I94" s="210" t="n"/>
      <c r="J94" s="210" t="n"/>
      <c r="K94" s="209" t="n"/>
      <c r="L94" s="16" t="inlineStr">
        <is>
          <t>Programming &amp; Tech-Stack Depth, System Design &amp; Architecture to Advanced; Database, SQL &amp; Data Engineering, Cloud, DevOps &amp; CI/CD, AI, GenAI &amp; Prompt Engineering to Practitioner; POD Leads / Managers: leading people, delegation, feedback.</t>
        </is>
      </c>
      <c r="M94" s="210" t="n"/>
      <c r="N94" s="210" t="n"/>
      <c r="O94" s="210" t="n"/>
      <c r="P94" s="209" t="n"/>
      <c r="Q94" s="16" t="inlineStr">
        <is>
          <t>Expert in one must-have; strategy &amp; business acumen; building the bench; AI-enabled processes for the function.</t>
        </is>
      </c>
      <c r="R94" s="209" t="n"/>
      <c r="S94" s="16" t="inlineStr">
        <is>
          <t>AI-assisted coding, cloud-native &amp; API-first design, LLM integration</t>
        </is>
      </c>
      <c r="T94" s="209" t="n"/>
    </row>
    <row r="95" ht="80" customHeight="1">
      <c r="A95" s="13" t="inlineStr">
        <is>
          <t>Business Analysis</t>
        </is>
      </c>
      <c r="B95" s="16" t="inlineStr">
        <is>
          <t>Commerce or engineering graduate; MBA a plus</t>
        </is>
      </c>
      <c r="C95" s="209" t="n"/>
      <c r="D95" s="16" t="inlineStr">
        <is>
          <t>Regulatory reporting domain · RBI / SEBI / IRDAI / SEC</t>
        </is>
      </c>
      <c r="E95" s="209" t="n"/>
      <c r="F95" s="16" t="inlineStr">
        <is>
          <t>Mandatory path · POSH, Code of Conduct, InfoSec; Business Analysis &amp; Requirements Engineering, Regulatory &amp; BFSI Domain to Working → Practitioner; AI literacy to 2; learn by mentoring and KT.</t>
        </is>
      </c>
      <c r="G95" s="210" t="n"/>
      <c r="H95" s="210" t="n"/>
      <c r="I95" s="210" t="n"/>
      <c r="J95" s="210" t="n"/>
      <c r="K95" s="209" t="n"/>
      <c r="L95" s="16" t="inlineStr">
        <is>
          <t>Business Analysis &amp; Requirements Engineering, Regulatory &amp; BFSI Domain to Advanced; Product, Platform &amp; Domain Knowledge, Database, SQL &amp; Data Engineering, Stakeholder &amp; Client Management to Practitioner; POD Leads / Managers: leading people, delegation, feedback.</t>
        </is>
      </c>
      <c r="M95" s="210" t="n"/>
      <c r="N95" s="210" t="n"/>
      <c r="O95" s="210" t="n"/>
      <c r="P95" s="209" t="n"/>
      <c r="Q95" s="16" t="inlineStr">
        <is>
          <t>Expert in one must-have; strategy &amp; business acumen; building the bench; AI-enabled processes for the function.</t>
        </is>
      </c>
      <c r="R95" s="209" t="n"/>
      <c r="S95" s="16" t="inlineStr">
        <is>
          <t>AI-assisted requirement analysis, data-driven product decisions</t>
        </is>
      </c>
      <c r="T95" s="209" t="n"/>
    </row>
    <row r="96" ht="80" customHeight="1">
      <c r="A96" s="13" t="inlineStr">
        <is>
          <t>Customer Success &amp; Support</t>
        </is>
      </c>
      <c r="B96" s="16" t="inlineStr">
        <is>
          <t>Graduate</t>
        </is>
      </c>
      <c r="C96" s="209" t="n"/>
      <c r="D96" s="16" t="inlineStr">
        <is>
          <t>ITIL / service-desk practice; SLA management</t>
        </is>
      </c>
      <c r="E96" s="209" t="n"/>
      <c r="F96" s="16" t="inlineStr">
        <is>
          <t>Mandatory path · POSH, Code of Conduct, InfoSec; Product, Platform &amp; Domain Knowledge, Stakeholder &amp; Client Management to Working → Practitioner; AI literacy to 2; learn by mentoring and KT.</t>
        </is>
      </c>
      <c r="G96" s="210" t="n"/>
      <c r="H96" s="210" t="n"/>
      <c r="I96" s="210" t="n"/>
      <c r="J96" s="210" t="n"/>
      <c r="K96" s="209" t="n"/>
      <c r="L96" s="16" t="inlineStr">
        <is>
          <t>Product, Platform &amp; Domain Knowledge, Stakeholder &amp; Client Management to Advanced; Communication &amp; Presentation, Database, SQL &amp; Data Engineering, Regulatory &amp; BFSI Domain to Practitioner; POD Leads / Managers: leading people, delegation, feedback.</t>
        </is>
      </c>
      <c r="M96" s="210" t="n"/>
      <c r="N96" s="210" t="n"/>
      <c r="O96" s="210" t="n"/>
      <c r="P96" s="209" t="n"/>
      <c r="Q96" s="16" t="inlineStr">
        <is>
          <t>Expert in one must-have; strategy &amp; business acumen; building the bench; AI-enabled processes for the function.</t>
        </is>
      </c>
      <c r="R96" s="209" t="n"/>
      <c r="S96" s="16" t="inlineStr">
        <is>
          <t>AI chat / knowledge-base support, customer-health analytics</t>
        </is>
      </c>
      <c r="T96" s="209" t="n"/>
    </row>
    <row r="97" ht="80" customHeight="1">
      <c r="A97" s="13" t="inlineStr">
        <is>
          <t>Engineering &amp; Architecture</t>
        </is>
      </c>
      <c r="B97" s="16" t="inlineStr">
        <is>
          <t>BE / B.Tech / MCA / M.Tech</t>
        </is>
      </c>
      <c r="C97" s="209" t="n"/>
      <c r="D97" s="16" t="inlineStr">
        <is>
          <t>Architecture governance, security by design</t>
        </is>
      </c>
      <c r="E97" s="209" t="n"/>
      <c r="F97" s="16" t="inlineStr">
        <is>
          <t>Mandatory path · POSH, Code of Conduct, InfoSec; System Design &amp; Architecture, Programming &amp; Tech-Stack Depth to Working → Practitioner; AI literacy to 2; learn by mentoring and KT.</t>
        </is>
      </c>
      <c r="G97" s="210" t="n"/>
      <c r="H97" s="210" t="n"/>
      <c r="I97" s="210" t="n"/>
      <c r="J97" s="210" t="n"/>
      <c r="K97" s="209" t="n"/>
      <c r="L97" s="16" t="inlineStr">
        <is>
          <t>System Design &amp; Architecture, Programming &amp; Tech-Stack Depth to Advanced; Cloud, DevOps &amp; CI/CD, Cybersecurity &amp; Infrastructure, Stakeholder &amp; Client Management to Practitioner; POD Leads / Managers: leading people, delegation, feedback.</t>
        </is>
      </c>
      <c r="M97" s="210" t="n"/>
      <c r="N97" s="210" t="n"/>
      <c r="O97" s="210" t="n"/>
      <c r="P97" s="209" t="n"/>
      <c r="Q97" s="16" t="inlineStr">
        <is>
          <t>Expert in one must-have; strategy &amp; business acumen; building the bench; AI-enabled processes for the function.</t>
        </is>
      </c>
      <c r="R97" s="209" t="n"/>
      <c r="S97" s="16" t="inlineStr">
        <is>
          <t>AI / LLM platform architecture, xBRL-CSV &amp; open-data APIs, cost-optimised cloud</t>
        </is>
      </c>
      <c r="T97" s="209" t="n"/>
    </row>
    <row r="98" ht="80" customHeight="1">
      <c r="A98" s="13" t="inlineStr">
        <is>
          <t>Project &amp; Program Management</t>
        </is>
      </c>
      <c r="B98" s="16" t="inlineStr">
        <is>
          <t>Graduate; PMP / PRINCE2 / CSM preferred from B2</t>
        </is>
      </c>
      <c r="C98" s="209" t="n"/>
      <c r="D98" s="16" t="inlineStr">
        <is>
          <t>Hybrid delivery governance</t>
        </is>
      </c>
      <c r="E98" s="209" t="n"/>
      <c r="F98" s="16" t="inlineStr">
        <is>
          <t>Mandatory path · POSH, Code of Conduct, InfoSec; Project, Program &amp; Agile Management, Stakeholder &amp; Client Management to Working → Practitioner; AI literacy to 2; learn by mentoring and KT.</t>
        </is>
      </c>
      <c r="G98" s="210" t="n"/>
      <c r="H98" s="210" t="n"/>
      <c r="I98" s="210" t="n"/>
      <c r="J98" s="210" t="n"/>
      <c r="K98" s="209" t="n"/>
      <c r="L98" s="16" t="inlineStr">
        <is>
          <t>Project, Program &amp; Agile Management, Stakeholder &amp; Client Management to Advanced; Communication &amp; Presentation, Process Improvement &amp; Quality Mindset, Strategic Thinking &amp; Business Acumen to Practitioner; POD Leads / Managers: leading people, delegation, feedback.</t>
        </is>
      </c>
      <c r="M98" s="210" t="n"/>
      <c r="N98" s="210" t="n"/>
      <c r="O98" s="210" t="n"/>
      <c r="P98" s="209" t="n"/>
      <c r="Q98" s="16" t="inlineStr">
        <is>
          <t>Expert in one must-have; strategy &amp; business acumen; building the bench; AI-enabled processes for the function.</t>
        </is>
      </c>
      <c r="R98" s="209" t="n"/>
      <c r="S98" s="16" t="inlineStr">
        <is>
          <t>AI-assisted planning, value / outcome-based delivery</t>
        </is>
      </c>
      <c r="T98" s="209" t="n"/>
    </row>
    <row r="99" ht="15" customHeight="1"/>
    <row r="100" ht="15" customHeight="1"/>
    <row r="101" ht="20" customHeight="1">
      <c r="A101" s="172" t="inlineStr">
        <is>
          <t>Quality Assurance — 5 people · Technology &amp; engineering · levels A3–B1</t>
        </is>
      </c>
    </row>
    <row r="102" ht="15" customHeight="1">
      <c r="A102" s="17" t="inlineStr">
        <is>
          <t>Job families: Quality Assurance</t>
        </is>
      </c>
    </row>
    <row r="103" ht="15" customHeight="1">
      <c r="A103" s="12" t="inlineStr">
        <is>
          <t>Capability health today · indicative, from survey + KRAs</t>
        </is>
      </c>
      <c r="B103" s="210" t="n"/>
      <c r="C103" s="210" t="n"/>
      <c r="D103" s="210" t="n"/>
      <c r="E103" s="209" t="n"/>
      <c r="F103" s="12" t="inlineStr">
        <is>
          <t>Result</t>
        </is>
      </c>
      <c r="G103" s="210" t="n"/>
      <c r="H103" s="210" t="n"/>
      <c r="I103" s="210" t="n"/>
      <c r="J103" s="210" t="n"/>
      <c r="K103" s="210" t="n"/>
      <c r="L103" s="210" t="n"/>
      <c r="M103" s="210" t="n"/>
      <c r="N103" s="210" t="n"/>
      <c r="O103" s="210" t="n"/>
      <c r="P103" s="210" t="n"/>
      <c r="Q103" s="210" t="n"/>
      <c r="R103" s="209" t="n"/>
    </row>
    <row r="104" ht="15" customHeight="1">
      <c r="A104" s="13" t="inlineStr">
        <is>
          <t>People assessed · meet or exceed their level</t>
        </is>
      </c>
      <c r="B104" s="210" t="n"/>
      <c r="C104" s="210" t="n"/>
      <c r="D104" s="210" t="n"/>
      <c r="E104" s="209" t="n"/>
      <c r="F104" s="16" t="inlineStr">
        <is>
          <t>5 · 5</t>
        </is>
      </c>
      <c r="G104" s="210" t="n"/>
      <c r="H104" s="210" t="n"/>
      <c r="I104" s="210" t="n"/>
      <c r="J104" s="210" t="n"/>
      <c r="K104" s="210" t="n"/>
      <c r="L104" s="210" t="n"/>
      <c r="M104" s="210" t="n"/>
      <c r="N104" s="210" t="n"/>
      <c r="O104" s="210" t="n"/>
      <c r="P104" s="210" t="n"/>
      <c r="Q104" s="210" t="n"/>
      <c r="R104" s="209" t="n"/>
    </row>
    <row r="105" ht="15" customHeight="1">
      <c r="A105" s="13" t="inlineStr">
        <is>
          <t>Average index · Core · Future-ready · Functional · Leadership · % of required</t>
        </is>
      </c>
      <c r="B105" s="210" t="n"/>
      <c r="C105" s="210" t="n"/>
      <c r="D105" s="210" t="n"/>
      <c r="E105" s="209" t="n"/>
      <c r="F105" s="16" t="inlineStr">
        <is>
          <t>106% · 107% · 106% · 107% · 92%</t>
        </is>
      </c>
      <c r="G105" s="210" t="n"/>
      <c r="H105" s="210" t="n"/>
      <c r="I105" s="210" t="n"/>
      <c r="J105" s="210" t="n"/>
      <c r="K105" s="210" t="n"/>
      <c r="L105" s="210" t="n"/>
      <c r="M105" s="210" t="n"/>
      <c r="N105" s="210" t="n"/>
      <c r="O105" s="210" t="n"/>
      <c r="P105" s="210" t="n"/>
      <c r="Q105" s="210" t="n"/>
      <c r="R105" s="209" t="n"/>
    </row>
    <row r="106" ht="15" customHeight="1">
      <c r="A106" s="13" t="inlineStr">
        <is>
          <t>Most common competency gaps · people</t>
        </is>
      </c>
      <c r="B106" s="210" t="n"/>
      <c r="C106" s="210" t="n"/>
      <c r="D106" s="210" t="n"/>
      <c r="E106" s="209" t="n"/>
      <c r="F106" s="16" t="inlineStr">
        <is>
          <t>Product &amp; domain · Problem solving · Strategic acumen</t>
        </is>
      </c>
      <c r="G106" s="210" t="n"/>
      <c r="H106" s="210" t="n"/>
      <c r="I106" s="210" t="n"/>
      <c r="J106" s="210" t="n"/>
      <c r="K106" s="210" t="n"/>
      <c r="L106" s="210" t="n"/>
      <c r="M106" s="210" t="n"/>
      <c r="N106" s="210" t="n"/>
      <c r="O106" s="210" t="n"/>
      <c r="P106" s="210" t="n"/>
      <c r="Q106" s="210" t="n"/>
      <c r="R106" s="209" t="n"/>
    </row>
    <row r="107" ht="28" customHeight="1">
      <c r="A107" s="13" t="inlineStr">
        <is>
          <t>Role-based development priorities · people</t>
        </is>
      </c>
      <c r="B107" s="210" t="n"/>
      <c r="C107" s="210" t="n"/>
      <c r="D107" s="210" t="n"/>
      <c r="E107" s="209" t="n"/>
      <c r="F107" s="16" t="inlineStr">
        <is>
          <t>AI, GenAI &amp; Prompt Engineering · Test Automation &amp; QA Engineering · Programming &amp; Tech-Stack Depth · Cybersecurity &amp; Infrastructure · Stakeholder &amp; Client Management · Project, Program &amp; Agile Management</t>
        </is>
      </c>
      <c r="G107" s="210" t="n"/>
      <c r="H107" s="210" t="n"/>
      <c r="I107" s="210" t="n"/>
      <c r="J107" s="210" t="n"/>
      <c r="K107" s="210" t="n"/>
      <c r="L107" s="210" t="n"/>
      <c r="M107" s="210" t="n"/>
      <c r="N107" s="210" t="n"/>
      <c r="O107" s="210" t="n"/>
      <c r="P107" s="210" t="n"/>
      <c r="Q107" s="210" t="n"/>
      <c r="R107" s="209" t="n"/>
    </row>
    <row r="108" ht="15" customHeight="1">
      <c r="A108" s="13" t="inlineStr">
        <is>
          <t>Manager-identified training themes</t>
        </is>
      </c>
      <c r="B108" s="210" t="n"/>
      <c r="C108" s="210" t="n"/>
      <c r="D108" s="210" t="n"/>
      <c r="E108" s="209" t="n"/>
      <c r="F108" s="16" t="inlineStr">
        <is>
          <t>training effective · utilization · ai tools · training training · xbrl training</t>
        </is>
      </c>
      <c r="G108" s="210" t="n"/>
      <c r="H108" s="210" t="n"/>
      <c r="I108" s="210" t="n"/>
      <c r="J108" s="210" t="n"/>
      <c r="K108" s="210" t="n"/>
      <c r="L108" s="210" t="n"/>
      <c r="M108" s="210" t="n"/>
      <c r="N108" s="210" t="n"/>
      <c r="O108" s="210" t="n"/>
      <c r="P108" s="210" t="n"/>
      <c r="Q108" s="210" t="n"/>
      <c r="R108" s="209" t="n"/>
    </row>
    <row r="109" ht="28" customHeight="1">
      <c r="A109" s="13" t="inlineStr">
        <is>
          <t>What helped people learn · survey</t>
        </is>
      </c>
      <c r="B109" s="210" t="n"/>
      <c r="C109" s="210" t="n"/>
      <c r="D109" s="210" t="n"/>
      <c r="E109" s="209" t="n"/>
      <c r="F109" s="16" t="inlineStr">
        <is>
          <t>Mentoring / guidance from seniors · Online courses / self-learning · Formal / classroom training · On-the-job / hands-on</t>
        </is>
      </c>
      <c r="G109" s="210" t="n"/>
      <c r="H109" s="210" t="n"/>
      <c r="I109" s="210" t="n"/>
      <c r="J109" s="210" t="n"/>
      <c r="K109" s="210" t="n"/>
      <c r="L109" s="210" t="n"/>
      <c r="M109" s="210" t="n"/>
      <c r="N109" s="210" t="n"/>
      <c r="O109" s="210" t="n"/>
      <c r="P109" s="210" t="n"/>
      <c r="Q109" s="210" t="n"/>
      <c r="R109" s="209" t="n"/>
    </row>
    <row r="110" ht="15" customHeight="1">
      <c r="A110" s="13" t="inlineStr">
        <is>
          <t>How the work is changing</t>
        </is>
      </c>
      <c r="B110" s="210" t="n"/>
      <c r="C110" s="210" t="n"/>
      <c r="D110" s="210" t="n"/>
      <c r="E110" s="209" t="n"/>
      <c r="F110" s="16" t="inlineStr">
        <is>
          <t>3 of 5 say the role is changing because of AI / automation</t>
        </is>
      </c>
      <c r="G110" s="210" t="n"/>
      <c r="H110" s="210" t="n"/>
      <c r="I110" s="210" t="n"/>
      <c r="J110" s="210" t="n"/>
      <c r="K110" s="210" t="n"/>
      <c r="L110" s="210" t="n"/>
      <c r="M110" s="210" t="n"/>
      <c r="N110" s="210" t="n"/>
      <c r="O110" s="210" t="n"/>
      <c r="P110" s="210" t="n"/>
      <c r="Q110" s="210" t="n"/>
      <c r="R110" s="209" t="n"/>
    </row>
    <row r="111" ht="15" customHeight="1">
      <c r="A111" s="13" t="inlineStr">
        <is>
          <t>Lateral moves the evidence supports · people</t>
        </is>
      </c>
      <c r="B111" s="210" t="n"/>
      <c r="C111" s="210" t="n"/>
      <c r="D111" s="210" t="n"/>
      <c r="E111" s="209" t="n"/>
      <c r="F111" s="16" t="inlineStr">
        <is>
          <t>No strong match yet</t>
        </is>
      </c>
      <c r="G111" s="210" t="n"/>
      <c r="H111" s="210" t="n"/>
      <c r="I111" s="210" t="n"/>
      <c r="J111" s="210" t="n"/>
      <c r="K111" s="210" t="n"/>
      <c r="L111" s="210" t="n"/>
      <c r="M111" s="210" t="n"/>
      <c r="N111" s="210" t="n"/>
      <c r="O111" s="210" t="n"/>
      <c r="P111" s="210" t="n"/>
      <c r="Q111" s="210" t="n"/>
      <c r="R111" s="209" t="n"/>
    </row>
    <row r="112" ht="15" customHeight="1"/>
    <row r="113" ht="28" customHeight="1">
      <c r="A113" s="12" t="inlineStr">
        <is>
          <t>Cluster</t>
        </is>
      </c>
      <c r="B113" s="12" t="inlineStr">
        <is>
          <t>Competency · ★ = must-have</t>
        </is>
      </c>
      <c r="C113" s="12" t="inlineStr">
        <is>
          <t>Definition</t>
        </is>
      </c>
      <c r="D113" s="12" t="inlineStr">
        <is>
          <t>Must-have for</t>
        </is>
      </c>
      <c r="E113" s="12" t="inlineStr">
        <is>
          <t>A1</t>
        </is>
      </c>
      <c r="F113" s="12" t="inlineStr">
        <is>
          <t>A2</t>
        </is>
      </c>
      <c r="G113" s="12" t="inlineStr">
        <is>
          <t>A3</t>
        </is>
      </c>
      <c r="H113" s="12" t="inlineStr">
        <is>
          <t>B1</t>
        </is>
      </c>
      <c r="I113" s="12" t="inlineStr">
        <is>
          <t>B2</t>
        </is>
      </c>
      <c r="J113" s="12" t="inlineStr">
        <is>
          <t>B3</t>
        </is>
      </c>
      <c r="K113" s="12" t="inlineStr">
        <is>
          <t>B+</t>
        </is>
      </c>
      <c r="L113" s="12" t="inlineStr">
        <is>
          <t>C1</t>
        </is>
      </c>
      <c r="M113" s="12" t="inlineStr">
        <is>
          <t>C2</t>
        </is>
      </c>
      <c r="N113" s="12" t="inlineStr">
        <is>
          <t>C+</t>
        </is>
      </c>
      <c r="O113" s="12" t="inlineStr">
        <is>
          <t>D1</t>
        </is>
      </c>
      <c r="P113" s="12" t="inlineStr">
        <is>
          <t>What good looks like · by proficiency</t>
        </is>
      </c>
      <c r="Q113" s="12" t="inlineStr">
        <is>
          <t>What IRIS top performers do · survey</t>
        </is>
      </c>
      <c r="R113" s="12" t="inlineStr">
        <is>
          <t>How to assess</t>
        </is>
      </c>
      <c r="S113" s="12" t="inlineStr">
        <is>
          <t>Credentials</t>
        </is>
      </c>
      <c r="T113" s="12" t="inlineStr">
        <is>
          <t>Reference</t>
        </is>
      </c>
    </row>
    <row r="114" ht="54" customHeight="1">
      <c r="A114" s="173" t="inlineStr">
        <is>
          <t>Functional</t>
        </is>
      </c>
      <c r="B114" s="173" t="inlineStr">
        <is>
          <t>★ Test Automation &amp; QA Engineering</t>
        </is>
      </c>
      <c r="C114" s="173" t="inlineStr">
        <is>
          <t>Designs tests; automates regression and API testing.</t>
        </is>
      </c>
      <c r="D114" s="173" t="inlineStr">
        <is>
          <t>Quality Assurance</t>
        </is>
      </c>
      <c r="E114" s="174" t="n">
        <v>1</v>
      </c>
      <c r="F114" s="174" t="n">
        <v>2</v>
      </c>
      <c r="G114" s="174" t="n">
        <v>3</v>
      </c>
      <c r="H114" s="174" t="n">
        <v>3</v>
      </c>
      <c r="I114" s="174" t="n">
        <v>4</v>
      </c>
      <c r="J114" s="174" t="n">
        <v>4</v>
      </c>
      <c r="K114" s="174" t="n">
        <v>4</v>
      </c>
      <c r="L114" s="174" t="n">
        <v>4</v>
      </c>
      <c r="M114" s="174" t="n">
        <v>5</v>
      </c>
      <c r="N114" s="174" t="n">
        <v>5</v>
      </c>
      <c r="O114" s="174" t="n">
        <v>4</v>
      </c>
      <c r="P114" s="173" t="inlineStr">
        <is>
          <t>3 · Designs test cases; automates regression / API tests
4 · Sets test strategy and automation frameworks</t>
        </is>
      </c>
      <c r="Q114" s="173" t="inlineStr">
        <is>
          <t>testing, defect, qa, regression, automation</t>
        </is>
      </c>
      <c r="R114" s="173" t="inlineStr">
        <is>
          <t>Testing practical</t>
        </is>
      </c>
      <c r="S114" s="173" t="inlineStr">
        <is>
          <t>ISTQB Foundation / Advanced</t>
        </is>
      </c>
      <c r="T114" s="173" t="inlineStr">
        <is>
          <t>Family set</t>
        </is>
      </c>
    </row>
    <row r="115" ht="54" customHeight="1">
      <c r="A115" s="173" t="inlineStr">
        <is>
          <t>Functional</t>
        </is>
      </c>
      <c r="B115" s="173" t="inlineStr">
        <is>
          <t>★ Product, Platform &amp; Domain Knowledge</t>
        </is>
      </c>
      <c r="C115" s="173" t="inlineStr">
        <is>
          <t>Knows IRIS products, platforms and the client's domain.</t>
        </is>
      </c>
      <c r="D115" s="173" t="inlineStr">
        <is>
          <t>Quality Assurance</t>
        </is>
      </c>
      <c r="E115" s="174" t="n">
        <v>1</v>
      </c>
      <c r="F115" s="174" t="n">
        <v>2</v>
      </c>
      <c r="G115" s="174" t="n">
        <v>3</v>
      </c>
      <c r="H115" s="174" t="n">
        <v>3</v>
      </c>
      <c r="I115" s="174" t="n">
        <v>4</v>
      </c>
      <c r="J115" s="174" t="n">
        <v>4</v>
      </c>
      <c r="K115" s="174" t="n">
        <v>4</v>
      </c>
      <c r="L115" s="174" t="n">
        <v>4</v>
      </c>
      <c r="M115" s="174" t="n">
        <v>5</v>
      </c>
      <c r="N115" s="174" t="n">
        <v>5</v>
      </c>
      <c r="O115" s="174" t="n">
        <v>4</v>
      </c>
      <c r="P115" s="173" t="inlineStr">
        <is>
          <t>3 · Handles most product and domain scenarios
4 · Recognised product / domain expert; trains others</t>
        </is>
      </c>
      <c r="Q115" s="173" t="inlineStr">
        <is>
          <t>product, module, product knowledge</t>
        </is>
      </c>
      <c r="R115" s="173" t="inlineStr">
        <is>
          <t>Scenario interview</t>
        </is>
      </c>
      <c r="S115" s="173" t="inlineStr">
        <is>
          <t>Internal product certification</t>
        </is>
      </c>
      <c r="T115" s="173" t="inlineStr">
        <is>
          <t>Family set</t>
        </is>
      </c>
    </row>
    <row r="116" ht="54" customHeight="1">
      <c r="A116" s="173" t="inlineStr">
        <is>
          <t>Functional</t>
        </is>
      </c>
      <c r="B116" s="173" t="inlineStr">
        <is>
          <t>Database, SQL &amp; Data Engineering</t>
        </is>
      </c>
      <c r="C116" s="173" t="inlineStr">
        <is>
          <t>Writes and tunes SQL, data models and ETL.</t>
        </is>
      </c>
      <c r="D116" s="173" t="inlineStr">
        <is>
          <t>—</t>
        </is>
      </c>
      <c r="E116" s="174" t="n">
        <v>1</v>
      </c>
      <c r="F116" s="174" t="n">
        <v>2</v>
      </c>
      <c r="G116" s="174" t="n">
        <v>3</v>
      </c>
      <c r="H116" s="174" t="n">
        <v>3</v>
      </c>
      <c r="I116" s="174" t="n">
        <v>4</v>
      </c>
      <c r="J116" s="174" t="n">
        <v>4</v>
      </c>
      <c r="K116" s="174" t="n">
        <v>4</v>
      </c>
      <c r="L116" s="174" t="n">
        <v>4</v>
      </c>
      <c r="M116" s="174" t="n">
        <v>5</v>
      </c>
      <c r="N116" s="174" t="n">
        <v>5</v>
      </c>
      <c r="O116" s="174" t="n">
        <v>4</v>
      </c>
      <c r="P116" s="173" t="inlineStr">
        <is>
          <t>3 · Writes and tunes queries, procedures and ETL
4 · Designs data models and pipelines; optimises at scale</t>
        </is>
      </c>
      <c r="Q116" s="173" t="inlineStr">
        <is>
          <t>queries, database, query, mysql, ssis</t>
        </is>
      </c>
      <c r="R116" s="173" t="inlineStr">
        <is>
          <t>SQL test / case</t>
        </is>
      </c>
      <c r="S116" s="173" t="inlineStr">
        <is>
          <t>Database certifications · optional</t>
        </is>
      </c>
      <c r="T116" s="173" t="inlineStr">
        <is>
          <t>Family set</t>
        </is>
      </c>
    </row>
    <row r="117" ht="67" customHeight="1">
      <c r="A117" s="173" t="inlineStr">
        <is>
          <t>Functional</t>
        </is>
      </c>
      <c r="B117" s="173" t="inlineStr">
        <is>
          <t>AI, GenAI &amp; Prompt Engineering</t>
        </is>
      </c>
      <c r="C117" s="173" t="inlineStr">
        <is>
          <t>Uses or builds AI and LLM solutions to improve products and work.</t>
        </is>
      </c>
      <c r="D117" s="173" t="inlineStr">
        <is>
          <t>—</t>
        </is>
      </c>
      <c r="E117" s="174" t="n">
        <v>1</v>
      </c>
      <c r="F117" s="174" t="n">
        <v>2</v>
      </c>
      <c r="G117" s="174" t="n">
        <v>3</v>
      </c>
      <c r="H117" s="174" t="n">
        <v>3</v>
      </c>
      <c r="I117" s="174" t="n">
        <v>4</v>
      </c>
      <c r="J117" s="174" t="n">
        <v>4</v>
      </c>
      <c r="K117" s="174" t="n">
        <v>4</v>
      </c>
      <c r="L117" s="174" t="n">
        <v>4</v>
      </c>
      <c r="M117" s="174" t="n">
        <v>5</v>
      </c>
      <c r="N117" s="174" t="n">
        <v>5</v>
      </c>
      <c r="O117" s="174" t="n">
        <v>4</v>
      </c>
      <c r="P117" s="173" t="inlineStr">
        <is>
          <t>3 · Uses AI / LLM tools in own work and validates output
4 · Builds AI features or AI-enabled processes; sets safe-use practice</t>
        </is>
      </c>
      <c r="Q117" s="173" t="inlineStr">
        <is>
          <t>AI</t>
        </is>
      </c>
      <c r="R117" s="173" t="inlineStr">
        <is>
          <t>Work sample / portfolio</t>
        </is>
      </c>
      <c r="S117" s="173" t="inlineStr">
        <is>
          <t>Vendor AI certifications · optional</t>
        </is>
      </c>
      <c r="T117" s="173" t="inlineStr">
        <is>
          <t>Family set</t>
        </is>
      </c>
    </row>
    <row r="118" ht="67" customHeight="1">
      <c r="A118" s="173" t="inlineStr">
        <is>
          <t>Functional</t>
        </is>
      </c>
      <c r="B118" s="173" t="inlineStr">
        <is>
          <t>Process Improvement &amp; Quality Mindset</t>
        </is>
      </c>
      <c r="C118" s="173" t="inlineStr">
        <is>
          <t>Gets it right first time; improves processes and checklists.</t>
        </is>
      </c>
      <c r="D118" s="173" t="inlineStr">
        <is>
          <t>—</t>
        </is>
      </c>
      <c r="E118" s="174" t="n">
        <v>1</v>
      </c>
      <c r="F118" s="174" t="n">
        <v>2</v>
      </c>
      <c r="G118" s="174" t="n">
        <v>3</v>
      </c>
      <c r="H118" s="174" t="n">
        <v>3</v>
      </c>
      <c r="I118" s="174" t="n">
        <v>4</v>
      </c>
      <c r="J118" s="174" t="n">
        <v>4</v>
      </c>
      <c r="K118" s="174" t="n">
        <v>4</v>
      </c>
      <c r="L118" s="174" t="n">
        <v>4</v>
      </c>
      <c r="M118" s="174" t="n">
        <v>5</v>
      </c>
      <c r="N118" s="174" t="n">
        <v>5</v>
      </c>
      <c r="O118" s="174" t="n">
        <v>4</v>
      </c>
      <c r="P118" s="173" t="inlineStr">
        <is>
          <t>3 · Delivers right-first-time; improves own checklists
4 · Redesigns team processes; reduces error rates measurably</t>
        </is>
      </c>
      <c r="Q118" s="173" t="inlineStr">
        <is>
          <t>quality, validation, accura</t>
        </is>
      </c>
      <c r="R118" s="173" t="inlineStr">
        <is>
          <t>Work sample / case</t>
        </is>
      </c>
      <c r="S118" s="173" t="inlineStr">
        <is>
          <t>Lean / Six Sigma · optional</t>
        </is>
      </c>
      <c r="T118" s="173" t="inlineStr">
        <is>
          <t>Family set</t>
        </is>
      </c>
    </row>
    <row r="119" ht="54" customHeight="1">
      <c r="A119" s="173" t="inlineStr">
        <is>
          <t>Functional</t>
        </is>
      </c>
      <c r="B119" s="173" t="inlineStr">
        <is>
          <t>Communication &amp; Presentation</t>
        </is>
      </c>
      <c r="C119" s="173" t="inlineStr">
        <is>
          <t>Writes and presents clearly to clients and teams.</t>
        </is>
      </c>
      <c r="D119" s="173" t="inlineStr">
        <is>
          <t>—</t>
        </is>
      </c>
      <c r="E119" s="174" t="n">
        <v>1</v>
      </c>
      <c r="F119" s="174" t="n">
        <v>2</v>
      </c>
      <c r="G119" s="174" t="n">
        <v>3</v>
      </c>
      <c r="H119" s="174" t="n">
        <v>3</v>
      </c>
      <c r="I119" s="174" t="n">
        <v>4</v>
      </c>
      <c r="J119" s="174" t="n">
        <v>4</v>
      </c>
      <c r="K119" s="174" t="n">
        <v>4</v>
      </c>
      <c r="L119" s="174" t="n">
        <v>4</v>
      </c>
      <c r="M119" s="174" t="n">
        <v>5</v>
      </c>
      <c r="N119" s="174" t="n">
        <v>5</v>
      </c>
      <c r="O119" s="174" t="n">
        <v>4</v>
      </c>
      <c r="P119" s="173" t="inlineStr">
        <is>
          <t>3 · Writes and presents clearly to clients and teams
4 · Presents to senior stakeholders; shapes messaging</t>
        </is>
      </c>
      <c r="Q119" s="173" t="inlineStr">
        <is>
          <t>communication, writing, explain, documentation</t>
        </is>
      </c>
      <c r="R119" s="173" t="inlineStr">
        <is>
          <t>Presentation / writing test</t>
        </is>
      </c>
      <c r="S119" s="173" t="inlineStr">
        <is>
          <t>—</t>
        </is>
      </c>
      <c r="T119" s="173" t="inlineStr">
        <is>
          <t>Family set</t>
        </is>
      </c>
    </row>
    <row r="120" ht="28" customHeight="1">
      <c r="A120" s="135" t="inlineStr">
        <is>
          <t>Leadership</t>
        </is>
      </c>
      <c r="B120" s="135" t="inlineStr">
        <is>
          <t>Leadership cluster · 4 competencies, part C</t>
        </is>
      </c>
      <c r="C120" s="135" t="inlineStr">
        <is>
          <t>Leading people, decisions, strategy and change</t>
        </is>
      </c>
      <c r="D120" s="135" t="inlineStr">
        <is>
          <t>POD Leads and People Managers</t>
        </is>
      </c>
      <c r="E120" s="47" t="inlineStr">
        <is>
          <t>—</t>
        </is>
      </c>
      <c r="F120" s="47" t="inlineStr">
        <is>
          <t>—</t>
        </is>
      </c>
      <c r="G120" s="47" t="inlineStr">
        <is>
          <t>—</t>
        </is>
      </c>
      <c r="H120" s="47" t="inlineStr">
        <is>
          <t>1/2</t>
        </is>
      </c>
      <c r="I120" s="47" t="inlineStr">
        <is>
          <t>2/3</t>
        </is>
      </c>
      <c r="J120" s="47" t="inlineStr">
        <is>
          <t>3/4</t>
        </is>
      </c>
      <c r="K120" s="47" t="inlineStr">
        <is>
          <t>4/4</t>
        </is>
      </c>
      <c r="L120" s="47" t="inlineStr">
        <is>
          <t>4/4</t>
        </is>
      </c>
      <c r="M120" s="47" t="inlineStr">
        <is>
          <t>4/4</t>
        </is>
      </c>
      <c r="N120" s="47" t="inlineStr">
        <is>
          <t>5/5</t>
        </is>
      </c>
      <c r="O120" s="47" t="inlineStr">
        <is>
          <t>5/5</t>
        </is>
      </c>
      <c r="P120" s="135" t="inlineStr">
        <is>
          <t>Required level shown as IC / Manager</t>
        </is>
      </c>
      <c r="Q120" s="135" t="inlineStr">
        <is>
          <t>—</t>
        </is>
      </c>
      <c r="R120" s="135" t="inlineStr">
        <is>
          <t>Behavioural interview; 360 feedback</t>
        </is>
      </c>
      <c r="S120" s="135" t="inlineStr">
        <is>
          <t>—</t>
        </is>
      </c>
      <c r="T120" s="135" t="inlineStr">
        <is>
          <t>S14, S15, S16</t>
        </is>
      </c>
    </row>
    <row r="121" ht="15" customHeight="1"/>
    <row r="122" ht="15" customHeight="1">
      <c r="A122" s="12" t="inlineStr">
        <is>
          <t>Job family</t>
        </is>
      </c>
      <c r="B122" s="12" t="inlineStr">
        <is>
          <t>Education / credentials</t>
        </is>
      </c>
      <c r="C122" s="209" t="n"/>
      <c r="D122" s="12" t="inlineStr">
        <is>
          <t>Gate requirements</t>
        </is>
      </c>
      <c r="E122" s="209" t="n"/>
      <c r="F122" s="12" t="inlineStr">
        <is>
          <t>Learning focus — Band A</t>
        </is>
      </c>
      <c r="G122" s="210" t="n"/>
      <c r="H122" s="210" t="n"/>
      <c r="I122" s="210" t="n"/>
      <c r="J122" s="210" t="n"/>
      <c r="K122" s="209" t="n"/>
      <c r="L122" s="12" t="inlineStr">
        <is>
          <t>Learning focus — Band B</t>
        </is>
      </c>
      <c r="M122" s="210" t="n"/>
      <c r="N122" s="210" t="n"/>
      <c r="O122" s="210" t="n"/>
      <c r="P122" s="209" t="n"/>
      <c r="Q122" s="12" t="inlineStr">
        <is>
          <t>Learning focus — Band C+</t>
        </is>
      </c>
      <c r="R122" s="209" t="n"/>
      <c r="S122" s="12" t="inlineStr">
        <is>
          <t>Future skills</t>
        </is>
      </c>
      <c r="T122" s="209" t="n"/>
    </row>
    <row r="123" ht="80" customHeight="1">
      <c r="A123" s="13" t="inlineStr">
        <is>
          <t>Quality Assurance</t>
        </is>
      </c>
      <c r="B123" s="16" t="inlineStr">
        <is>
          <t>BE / B.Tech / MCA / B.Sc</t>
        </is>
      </c>
      <c r="C123" s="209" t="n"/>
      <c r="D123" s="16" t="inlineStr">
        <is>
          <t>ISTQB or equivalent preferred from B1</t>
        </is>
      </c>
      <c r="E123" s="209" t="n"/>
      <c r="F123" s="16" t="inlineStr">
        <is>
          <t>Mandatory path · POSH, Code of Conduct, InfoSec; Test Automation &amp; QA Engineering, Product, Platform &amp; Domain Knowledge to Working → Practitioner; AI literacy to 2; learn by mentoring and KT.</t>
        </is>
      </c>
      <c r="G123" s="210" t="n"/>
      <c r="H123" s="210" t="n"/>
      <c r="I123" s="210" t="n"/>
      <c r="J123" s="210" t="n"/>
      <c r="K123" s="209" t="n"/>
      <c r="L123" s="16" t="inlineStr">
        <is>
          <t>Test Automation &amp; QA Engineering, Product, Platform &amp; Domain Knowledge to Advanced; Database, SQL &amp; Data Engineering, AI, GenAI &amp; Prompt Engineering, Process Improvement &amp; Quality Mindset to Practitioner; POD Leads / Managers: leading people, delegation, feedback.</t>
        </is>
      </c>
      <c r="M123" s="210" t="n"/>
      <c r="N123" s="210" t="n"/>
      <c r="O123" s="210" t="n"/>
      <c r="P123" s="209" t="n"/>
      <c r="Q123" s="16" t="inlineStr">
        <is>
          <t>Expert in one must-have; strategy &amp; business acumen; building the bench; AI-enabled processes for the function.</t>
        </is>
      </c>
      <c r="R123" s="209" t="n"/>
      <c r="S123" s="16" t="inlineStr">
        <is>
          <t>AI-assisted test generation, API &amp; performance testing, test-data privacy</t>
        </is>
      </c>
      <c r="T123" s="209" t="n"/>
    </row>
    <row r="124" ht="15" customHeight="1"/>
    <row r="125" ht="15" customHeight="1"/>
    <row r="126" ht="20" customHeight="1">
      <c r="A126" s="172" t="inlineStr">
        <is>
          <t>Sales — 4 people · Sales &amp; marketing · levels A1–B2</t>
        </is>
      </c>
    </row>
    <row r="127" ht="15" customHeight="1">
      <c r="A127" s="17" t="inlineStr">
        <is>
          <t>Job families: Sales &amp; Business Development · Customer Success &amp; Support</t>
        </is>
      </c>
    </row>
    <row r="128" ht="15" customHeight="1">
      <c r="A128" s="12" t="inlineStr">
        <is>
          <t>Capability health today · indicative, from survey + KRAs</t>
        </is>
      </c>
      <c r="B128" s="210" t="n"/>
      <c r="C128" s="210" t="n"/>
      <c r="D128" s="210" t="n"/>
      <c r="E128" s="209" t="n"/>
      <c r="F128" s="12" t="inlineStr">
        <is>
          <t>Result</t>
        </is>
      </c>
      <c r="G128" s="210" t="n"/>
      <c r="H128" s="210" t="n"/>
      <c r="I128" s="210" t="n"/>
      <c r="J128" s="210" t="n"/>
      <c r="K128" s="210" t="n"/>
      <c r="L128" s="210" t="n"/>
      <c r="M128" s="210" t="n"/>
      <c r="N128" s="210" t="n"/>
      <c r="O128" s="210" t="n"/>
      <c r="P128" s="210" t="n"/>
      <c r="Q128" s="210" t="n"/>
      <c r="R128" s="209" t="n"/>
    </row>
    <row r="129" ht="15" customHeight="1">
      <c r="A129" s="13" t="inlineStr">
        <is>
          <t>People assessed · meet or exceed their level</t>
        </is>
      </c>
      <c r="B129" s="210" t="n"/>
      <c r="C129" s="210" t="n"/>
      <c r="D129" s="210" t="n"/>
      <c r="E129" s="209" t="n"/>
      <c r="F129" s="16" t="inlineStr">
        <is>
          <t>4 · 4</t>
        </is>
      </c>
      <c r="G129" s="210" t="n"/>
      <c r="H129" s="210" t="n"/>
      <c r="I129" s="210" t="n"/>
      <c r="J129" s="210" t="n"/>
      <c r="K129" s="210" t="n"/>
      <c r="L129" s="210" t="n"/>
      <c r="M129" s="210" t="n"/>
      <c r="N129" s="210" t="n"/>
      <c r="O129" s="210" t="n"/>
      <c r="P129" s="210" t="n"/>
      <c r="Q129" s="210" t="n"/>
      <c r="R129" s="209" t="n"/>
    </row>
    <row r="130" ht="15" customHeight="1">
      <c r="A130" s="13" t="inlineStr">
        <is>
          <t>Average index · Core · Future-ready · Functional · Leadership · % of required</t>
        </is>
      </c>
      <c r="B130" s="210" t="n"/>
      <c r="C130" s="210" t="n"/>
      <c r="D130" s="210" t="n"/>
      <c r="E130" s="209" t="n"/>
      <c r="F130" s="16" t="inlineStr">
        <is>
          <t>96% · 90% · 82% · 104% · 95%</t>
        </is>
      </c>
      <c r="G130" s="210" t="n"/>
      <c r="H130" s="210" t="n"/>
      <c r="I130" s="210" t="n"/>
      <c r="J130" s="210" t="n"/>
      <c r="K130" s="210" t="n"/>
      <c r="L130" s="210" t="n"/>
      <c r="M130" s="210" t="n"/>
      <c r="N130" s="210" t="n"/>
      <c r="O130" s="210" t="n"/>
      <c r="P130" s="210" t="n"/>
      <c r="Q130" s="210" t="n"/>
      <c r="R130" s="209" t="n"/>
    </row>
    <row r="131" ht="15" customHeight="1">
      <c r="A131" s="13" t="inlineStr">
        <is>
          <t>Most common competency gaps · people</t>
        </is>
      </c>
      <c r="B131" s="210" t="n"/>
      <c r="C131" s="210" t="n"/>
      <c r="D131" s="210" t="n"/>
      <c r="E131" s="209" t="n"/>
      <c r="F131" s="16" t="inlineStr">
        <is>
          <t>Ownership · Digital marketing · Problem solving · Communication · Learning agility</t>
        </is>
      </c>
      <c r="G131" s="210" t="n"/>
      <c r="H131" s="210" t="n"/>
      <c r="I131" s="210" t="n"/>
      <c r="J131" s="210" t="n"/>
      <c r="K131" s="210" t="n"/>
      <c r="L131" s="210" t="n"/>
      <c r="M131" s="210" t="n"/>
      <c r="N131" s="210" t="n"/>
      <c r="O131" s="210" t="n"/>
      <c r="P131" s="210" t="n"/>
      <c r="Q131" s="210" t="n"/>
      <c r="R131" s="209" t="n"/>
    </row>
    <row r="132" ht="28" customHeight="1">
      <c r="A132" s="13" t="inlineStr">
        <is>
          <t>Role-based development priorities · people</t>
        </is>
      </c>
      <c r="B132" s="210" t="n"/>
      <c r="C132" s="210" t="n"/>
      <c r="D132" s="210" t="n"/>
      <c r="E132" s="209" t="n"/>
      <c r="F132" s="16" t="inlineStr">
        <is>
          <t>Advanced Excel &amp; Productivity Tools · AI, GenAI &amp; Prompt Engineering · Product, Platform &amp; Domain Knowledge · Sales, Negotiation &amp; Account Growth · Database, SQL &amp; Data Engineering · Communication &amp; Presentation</t>
        </is>
      </c>
      <c r="G132" s="210" t="n"/>
      <c r="H132" s="210" t="n"/>
      <c r="I132" s="210" t="n"/>
      <c r="J132" s="210" t="n"/>
      <c r="K132" s="210" t="n"/>
      <c r="L132" s="210" t="n"/>
      <c r="M132" s="210" t="n"/>
      <c r="N132" s="210" t="n"/>
      <c r="O132" s="210" t="n"/>
      <c r="P132" s="210" t="n"/>
      <c r="Q132" s="210" t="n"/>
      <c r="R132" s="209" t="n"/>
    </row>
    <row r="133" ht="15" customHeight="1">
      <c r="A133" s="13" t="inlineStr">
        <is>
          <t>Manager-identified training themes</t>
        </is>
      </c>
      <c r="B133" s="210" t="n"/>
      <c r="C133" s="210" t="n"/>
      <c r="D133" s="210" t="n"/>
      <c r="E133" s="209" t="n"/>
      <c r="F133" s="16" t="inlineStr">
        <is>
          <t>training effective · utilization · ai tools · xbrl</t>
        </is>
      </c>
      <c r="G133" s="210" t="n"/>
      <c r="H133" s="210" t="n"/>
      <c r="I133" s="210" t="n"/>
      <c r="J133" s="210" t="n"/>
      <c r="K133" s="210" t="n"/>
      <c r="L133" s="210" t="n"/>
      <c r="M133" s="210" t="n"/>
      <c r="N133" s="210" t="n"/>
      <c r="O133" s="210" t="n"/>
      <c r="P133" s="210" t="n"/>
      <c r="Q133" s="210" t="n"/>
      <c r="R133" s="209" t="n"/>
    </row>
    <row r="134" ht="15" customHeight="1">
      <c r="A134" s="13" t="inlineStr">
        <is>
          <t>What helped people learn · survey</t>
        </is>
      </c>
      <c r="B134" s="210" t="n"/>
      <c r="C134" s="210" t="n"/>
      <c r="D134" s="210" t="n"/>
      <c r="E134" s="209" t="n"/>
      <c r="F134" s="16" t="inlineStr">
        <is>
          <t>Formal / classroom training · Knowledge transfer · KT · Mentoring / guidance from seniors</t>
        </is>
      </c>
      <c r="G134" s="210" t="n"/>
      <c r="H134" s="210" t="n"/>
      <c r="I134" s="210" t="n"/>
      <c r="J134" s="210" t="n"/>
      <c r="K134" s="210" t="n"/>
      <c r="L134" s="210" t="n"/>
      <c r="M134" s="210" t="n"/>
      <c r="N134" s="210" t="n"/>
      <c r="O134" s="210" t="n"/>
      <c r="P134" s="210" t="n"/>
      <c r="Q134" s="210" t="n"/>
      <c r="R134" s="209" t="n"/>
    </row>
    <row r="135" ht="15" customHeight="1">
      <c r="A135" s="13" t="inlineStr">
        <is>
          <t>How the work is changing</t>
        </is>
      </c>
      <c r="B135" s="210" t="n"/>
      <c r="C135" s="210" t="n"/>
      <c r="D135" s="210" t="n"/>
      <c r="E135" s="209" t="n"/>
      <c r="F135" s="16" t="inlineStr">
        <is>
          <t>1 of 3 say the role is changing because of AI / automation</t>
        </is>
      </c>
      <c r="G135" s="210" t="n"/>
      <c r="H135" s="210" t="n"/>
      <c r="I135" s="210" t="n"/>
      <c r="J135" s="210" t="n"/>
      <c r="K135" s="210" t="n"/>
      <c r="L135" s="210" t="n"/>
      <c r="M135" s="210" t="n"/>
      <c r="N135" s="210" t="n"/>
      <c r="O135" s="210" t="n"/>
      <c r="P135" s="210" t="n"/>
      <c r="Q135" s="210" t="n"/>
      <c r="R135" s="209" t="n"/>
    </row>
    <row r="136" ht="15" customHeight="1">
      <c r="A136" s="13" t="inlineStr">
        <is>
          <t>Lateral moves the evidence supports · people</t>
        </is>
      </c>
      <c r="B136" s="210" t="n"/>
      <c r="C136" s="210" t="n"/>
      <c r="D136" s="210" t="n"/>
      <c r="E136" s="209" t="n"/>
      <c r="F136" s="16" t="inlineStr">
        <is>
          <t>No strong match yet</t>
        </is>
      </c>
      <c r="G136" s="210" t="n"/>
      <c r="H136" s="210" t="n"/>
      <c r="I136" s="210" t="n"/>
      <c r="J136" s="210" t="n"/>
      <c r="K136" s="210" t="n"/>
      <c r="L136" s="210" t="n"/>
      <c r="M136" s="210" t="n"/>
      <c r="N136" s="210" t="n"/>
      <c r="O136" s="210" t="n"/>
      <c r="P136" s="210" t="n"/>
      <c r="Q136" s="210" t="n"/>
      <c r="R136" s="209" t="n"/>
    </row>
    <row r="137" ht="15" customHeight="1"/>
    <row r="138" ht="28" customHeight="1">
      <c r="A138" s="12" t="inlineStr">
        <is>
          <t>Cluster</t>
        </is>
      </c>
      <c r="B138" s="12" t="inlineStr">
        <is>
          <t>Competency · ★ = must-have</t>
        </is>
      </c>
      <c r="C138" s="12" t="inlineStr">
        <is>
          <t>Definition</t>
        </is>
      </c>
      <c r="D138" s="12" t="inlineStr">
        <is>
          <t>Must-have for</t>
        </is>
      </c>
      <c r="E138" s="12" t="inlineStr">
        <is>
          <t>A1</t>
        </is>
      </c>
      <c r="F138" s="12" t="inlineStr">
        <is>
          <t>A2</t>
        </is>
      </c>
      <c r="G138" s="12" t="inlineStr">
        <is>
          <t>A3</t>
        </is>
      </c>
      <c r="H138" s="12" t="inlineStr">
        <is>
          <t>B1</t>
        </is>
      </c>
      <c r="I138" s="12" t="inlineStr">
        <is>
          <t>B2</t>
        </is>
      </c>
      <c r="J138" s="12" t="inlineStr">
        <is>
          <t>B3</t>
        </is>
      </c>
      <c r="K138" s="12" t="inlineStr">
        <is>
          <t>B+</t>
        </is>
      </c>
      <c r="L138" s="12" t="inlineStr">
        <is>
          <t>C1</t>
        </is>
      </c>
      <c r="M138" s="12" t="inlineStr">
        <is>
          <t>C2</t>
        </is>
      </c>
      <c r="N138" s="12" t="inlineStr">
        <is>
          <t>C+</t>
        </is>
      </c>
      <c r="O138" s="12" t="inlineStr">
        <is>
          <t>D1</t>
        </is>
      </c>
      <c r="P138" s="12" t="inlineStr">
        <is>
          <t>What good looks like · by proficiency</t>
        </is>
      </c>
      <c r="Q138" s="12" t="inlineStr">
        <is>
          <t>What IRIS top performers do · survey</t>
        </is>
      </c>
      <c r="R138" s="12" t="inlineStr">
        <is>
          <t>How to assess</t>
        </is>
      </c>
      <c r="S138" s="12" t="inlineStr">
        <is>
          <t>Credentials</t>
        </is>
      </c>
      <c r="T138" s="12" t="inlineStr">
        <is>
          <t>Reference</t>
        </is>
      </c>
    </row>
    <row r="139" ht="67" customHeight="1">
      <c r="A139" s="173" t="inlineStr">
        <is>
          <t>Functional</t>
        </is>
      </c>
      <c r="B139" s="173" t="inlineStr">
        <is>
          <t>★ Sales, Negotiation &amp; Account Growth</t>
        </is>
      </c>
      <c r="C139" s="173" t="inlineStr">
        <is>
          <t>Builds pipeline, negotiates and grows accounts.</t>
        </is>
      </c>
      <c r="D139" s="173" t="inlineStr">
        <is>
          <t>Sales &amp; Business Development</t>
        </is>
      </c>
      <c r="E139" s="174" t="n">
        <v>1</v>
      </c>
      <c r="F139" s="174" t="n">
        <v>2</v>
      </c>
      <c r="G139" s="174" t="n">
        <v>3</v>
      </c>
      <c r="H139" s="174" t="n">
        <v>3</v>
      </c>
      <c r="I139" s="174" t="n">
        <v>4</v>
      </c>
      <c r="J139" s="174" t="n">
        <v>4</v>
      </c>
      <c r="K139" s="174" t="n">
        <v>4</v>
      </c>
      <c r="L139" s="174" t="n">
        <v>4</v>
      </c>
      <c r="M139" s="174" t="n">
        <v>5</v>
      </c>
      <c r="N139" s="174" t="n">
        <v>5</v>
      </c>
      <c r="O139" s="174" t="n">
        <v>4</v>
      </c>
      <c r="P139" s="173" t="inlineStr">
        <is>
          <t>3 · Builds pipeline and closes deals
4 · Owns key accounts; negotiates complex deals; grows revenue</t>
        </is>
      </c>
      <c r="Q139" s="173" t="inlineStr">
        <is>
          <t>pipeline, lead, deal, negotiation, sales</t>
        </is>
      </c>
      <c r="R139" s="173" t="inlineStr">
        <is>
          <t>Sales role play</t>
        </is>
      </c>
      <c r="S139" s="173" t="inlineStr">
        <is>
          <t>—</t>
        </is>
      </c>
      <c r="T139" s="173" t="inlineStr">
        <is>
          <t>Family set</t>
        </is>
      </c>
    </row>
    <row r="140" ht="54" customHeight="1">
      <c r="A140" s="173" t="inlineStr">
        <is>
          <t>Functional</t>
        </is>
      </c>
      <c r="B140" s="173" t="inlineStr">
        <is>
          <t>★ Marketing Tech &amp; Digital Marketing</t>
        </is>
      </c>
      <c r="C140" s="173" t="inlineStr">
        <is>
          <t>Runs CRM, campaigns, SEO and digital channels.</t>
        </is>
      </c>
      <c r="D140" s="173" t="inlineStr">
        <is>
          <t>Sales &amp; Business Development</t>
        </is>
      </c>
      <c r="E140" s="174" t="n">
        <v>1</v>
      </c>
      <c r="F140" s="174" t="n">
        <v>2</v>
      </c>
      <c r="G140" s="174" t="n">
        <v>3</v>
      </c>
      <c r="H140" s="174" t="n">
        <v>3</v>
      </c>
      <c r="I140" s="174" t="n">
        <v>4</v>
      </c>
      <c r="J140" s="174" t="n">
        <v>4</v>
      </c>
      <c r="K140" s="174" t="n">
        <v>4</v>
      </c>
      <c r="L140" s="174" t="n">
        <v>4</v>
      </c>
      <c r="M140" s="174" t="n">
        <v>5</v>
      </c>
      <c r="N140" s="174" t="n">
        <v>5</v>
      </c>
      <c r="O140" s="174" t="n">
        <v>4</v>
      </c>
      <c r="P140" s="173" t="inlineStr">
        <is>
          <t>3 · Runs campaigns, CRM, SEO and social channels
4 · Owns digital strategy, funnel and marketing analytics</t>
        </is>
      </c>
      <c r="Q140" s="173" t="inlineStr">
        <is>
          <t>CRM</t>
        </is>
      </c>
      <c r="R140" s="173" t="inlineStr">
        <is>
          <t>Portfolio / case</t>
        </is>
      </c>
      <c r="S140" s="173" t="inlineStr">
        <is>
          <t>Google / HubSpot certifications</t>
        </is>
      </c>
      <c r="T140" s="173" t="inlineStr">
        <is>
          <t>Family set</t>
        </is>
      </c>
    </row>
    <row r="141" ht="67" customHeight="1">
      <c r="A141" s="173" t="inlineStr">
        <is>
          <t>Functional</t>
        </is>
      </c>
      <c r="B141" s="173" t="inlineStr">
        <is>
          <t>★ Stakeholder &amp; Client Management</t>
        </is>
      </c>
      <c r="C141" s="173" t="inlineStr">
        <is>
          <t>Manages clients and stakeholders; handles changing requests.</t>
        </is>
      </c>
      <c r="D141" s="173" t="inlineStr">
        <is>
          <t>Customer Success &amp; Support</t>
        </is>
      </c>
      <c r="E141" s="174" t="n">
        <v>1</v>
      </c>
      <c r="F141" s="174" t="n">
        <v>2</v>
      </c>
      <c r="G141" s="174" t="n">
        <v>3</v>
      </c>
      <c r="H141" s="174" t="n">
        <v>3</v>
      </c>
      <c r="I141" s="174" t="n">
        <v>4</v>
      </c>
      <c r="J141" s="174" t="n">
        <v>4</v>
      </c>
      <c r="K141" s="174" t="n">
        <v>4</v>
      </c>
      <c r="L141" s="174" t="n">
        <v>4</v>
      </c>
      <c r="M141" s="174" t="n">
        <v>5</v>
      </c>
      <c r="N141" s="174" t="n">
        <v>5</v>
      </c>
      <c r="O141" s="174" t="n">
        <v>4</v>
      </c>
      <c r="P141" s="173" t="inlineStr">
        <is>
          <t>3 · Manages client communication and expectations for own work
4 · Owns key relationships; resolves escalations</t>
        </is>
      </c>
      <c r="Q141" s="173" t="inlineStr">
        <is>
          <t>client, relationship, stakeholder, coordinat, customer</t>
        </is>
      </c>
      <c r="R141" s="173" t="inlineStr">
        <is>
          <t>Role play / behavioural interview</t>
        </is>
      </c>
      <c r="S141" s="173" t="inlineStr">
        <is>
          <t>—</t>
        </is>
      </c>
      <c r="T141" s="173" t="inlineStr">
        <is>
          <t>Family set</t>
        </is>
      </c>
    </row>
    <row r="142" ht="54" customHeight="1">
      <c r="A142" s="173" t="inlineStr">
        <is>
          <t>Functional</t>
        </is>
      </c>
      <c r="B142" s="173" t="inlineStr">
        <is>
          <t>Communication &amp; Presentation</t>
        </is>
      </c>
      <c r="C142" s="173" t="inlineStr">
        <is>
          <t>Writes and presents clearly to clients and teams.</t>
        </is>
      </c>
      <c r="D142" s="173" t="inlineStr">
        <is>
          <t>—</t>
        </is>
      </c>
      <c r="E142" s="174" t="n">
        <v>1</v>
      </c>
      <c r="F142" s="174" t="n">
        <v>2</v>
      </c>
      <c r="G142" s="174" t="n">
        <v>3</v>
      </c>
      <c r="H142" s="174" t="n">
        <v>3</v>
      </c>
      <c r="I142" s="174" t="n">
        <v>4</v>
      </c>
      <c r="J142" s="174" t="n">
        <v>4</v>
      </c>
      <c r="K142" s="174" t="n">
        <v>4</v>
      </c>
      <c r="L142" s="174" t="n">
        <v>4</v>
      </c>
      <c r="M142" s="174" t="n">
        <v>5</v>
      </c>
      <c r="N142" s="174" t="n">
        <v>5</v>
      </c>
      <c r="O142" s="174" t="n">
        <v>4</v>
      </c>
      <c r="P142" s="173" t="inlineStr">
        <is>
          <t>3 · Writes and presents clearly to clients and teams
4 · Presents to senior stakeholders; shapes messaging</t>
        </is>
      </c>
      <c r="Q142" s="173" t="inlineStr">
        <is>
          <t>communication, present</t>
        </is>
      </c>
      <c r="R142" s="173" t="inlineStr">
        <is>
          <t>Presentation / writing test</t>
        </is>
      </c>
      <c r="S142" s="173" t="inlineStr">
        <is>
          <t>—</t>
        </is>
      </c>
      <c r="T142" s="173" t="inlineStr">
        <is>
          <t>Family set</t>
        </is>
      </c>
    </row>
    <row r="143" ht="54" customHeight="1">
      <c r="A143" s="173" t="inlineStr">
        <is>
          <t>Functional</t>
        </is>
      </c>
      <c r="B143" s="173" t="inlineStr">
        <is>
          <t>★ Product, Platform &amp; Domain Knowledge</t>
        </is>
      </c>
      <c r="C143" s="173" t="inlineStr">
        <is>
          <t>Knows IRIS products, platforms and the client's domain.</t>
        </is>
      </c>
      <c r="D143" s="173" t="inlineStr">
        <is>
          <t>Customer Success &amp; Support</t>
        </is>
      </c>
      <c r="E143" s="174" t="n">
        <v>1</v>
      </c>
      <c r="F143" s="174" t="n">
        <v>2</v>
      </c>
      <c r="G143" s="174" t="n">
        <v>3</v>
      </c>
      <c r="H143" s="174" t="n">
        <v>3</v>
      </c>
      <c r="I143" s="174" t="n">
        <v>4</v>
      </c>
      <c r="J143" s="174" t="n">
        <v>4</v>
      </c>
      <c r="K143" s="174" t="n">
        <v>4</v>
      </c>
      <c r="L143" s="174" t="n">
        <v>4</v>
      </c>
      <c r="M143" s="174" t="n">
        <v>5</v>
      </c>
      <c r="N143" s="174" t="n">
        <v>5</v>
      </c>
      <c r="O143" s="174" t="n">
        <v>4</v>
      </c>
      <c r="P143" s="173" t="inlineStr">
        <is>
          <t>3 · Handles most product and domain scenarios
4 · Recognised product / domain expert; trains others</t>
        </is>
      </c>
      <c r="Q143" s="173" t="inlineStr">
        <is>
          <t>product, domain</t>
        </is>
      </c>
      <c r="R143" s="173" t="inlineStr">
        <is>
          <t>Scenario interview</t>
        </is>
      </c>
      <c r="S143" s="173" t="inlineStr">
        <is>
          <t>Internal product certification</t>
        </is>
      </c>
      <c r="T143" s="173" t="inlineStr">
        <is>
          <t>Family set</t>
        </is>
      </c>
    </row>
    <row r="144" ht="54" customHeight="1">
      <c r="A144" s="173" t="inlineStr">
        <is>
          <t>Functional</t>
        </is>
      </c>
      <c r="B144" s="173" t="inlineStr">
        <is>
          <t>Strategic Thinking &amp; Business Acumen</t>
        </is>
      </c>
      <c r="C144" s="173" t="inlineStr">
        <is>
          <t>Links work to business outcomes, budgets and strategy.</t>
        </is>
      </c>
      <c r="D144" s="173" t="inlineStr">
        <is>
          <t>—</t>
        </is>
      </c>
      <c r="E144" s="174" t="n">
        <v>1</v>
      </c>
      <c r="F144" s="174" t="n">
        <v>2</v>
      </c>
      <c r="G144" s="174" t="n">
        <v>3</v>
      </c>
      <c r="H144" s="174" t="n">
        <v>3</v>
      </c>
      <c r="I144" s="174" t="n">
        <v>4</v>
      </c>
      <c r="J144" s="174" t="n">
        <v>4</v>
      </c>
      <c r="K144" s="174" t="n">
        <v>4</v>
      </c>
      <c r="L144" s="174" t="n">
        <v>4</v>
      </c>
      <c r="M144" s="174" t="n">
        <v>5</v>
      </c>
      <c r="N144" s="174" t="n">
        <v>5</v>
      </c>
      <c r="O144" s="174" t="n">
        <v>4</v>
      </c>
      <c r="P144" s="173" t="inlineStr">
        <is>
          <t>3 · Connects work to business goals and budgets
4 · Shapes strategy, pricing or investment choices</t>
        </is>
      </c>
      <c r="Q144" s="173" t="inlineStr">
        <is>
          <t>revenue, strategy, market, pricing</t>
        </is>
      </c>
      <c r="R144" s="173" t="inlineStr">
        <is>
          <t>Case interview</t>
        </is>
      </c>
      <c r="S144" s="173" t="inlineStr">
        <is>
          <t>MBA / PGDM · preferred at C+</t>
        </is>
      </c>
      <c r="T144" s="173" t="inlineStr">
        <is>
          <t>Family set</t>
        </is>
      </c>
    </row>
    <row r="145" ht="54" customHeight="1">
      <c r="A145" s="173" t="inlineStr">
        <is>
          <t>Functional</t>
        </is>
      </c>
      <c r="B145" s="173" t="inlineStr">
        <is>
          <t>Database, SQL &amp; Data Engineering</t>
        </is>
      </c>
      <c r="C145" s="173" t="inlineStr">
        <is>
          <t>Writes and tunes SQL, data models and ETL.</t>
        </is>
      </c>
      <c r="D145" s="173" t="inlineStr">
        <is>
          <t>—</t>
        </is>
      </c>
      <c r="E145" s="174" t="n">
        <v>1</v>
      </c>
      <c r="F145" s="174" t="n">
        <v>2</v>
      </c>
      <c r="G145" s="174" t="n">
        <v>3</v>
      </c>
      <c r="H145" s="174" t="n">
        <v>3</v>
      </c>
      <c r="I145" s="174" t="n">
        <v>4</v>
      </c>
      <c r="J145" s="174" t="n">
        <v>4</v>
      </c>
      <c r="K145" s="174" t="n">
        <v>4</v>
      </c>
      <c r="L145" s="174" t="n">
        <v>4</v>
      </c>
      <c r="M145" s="174" t="n">
        <v>5</v>
      </c>
      <c r="N145" s="174" t="n">
        <v>5</v>
      </c>
      <c r="O145" s="174" t="n">
        <v>4</v>
      </c>
      <c r="P145" s="173" t="inlineStr">
        <is>
          <t>3 · Writes and tunes queries, procedures and ETL
4 · Designs data models and pipelines; optimises at scale</t>
        </is>
      </c>
      <c r="Q145" s="173" t="inlineStr">
        <is>
          <t>queries</t>
        </is>
      </c>
      <c r="R145" s="173" t="inlineStr">
        <is>
          <t>SQL test / case</t>
        </is>
      </c>
      <c r="S145" s="173" t="inlineStr">
        <is>
          <t>Database certifications · optional</t>
        </is>
      </c>
      <c r="T145" s="173" t="inlineStr">
        <is>
          <t>Family set</t>
        </is>
      </c>
    </row>
    <row r="146" ht="54" customHeight="1">
      <c r="A146" s="173" t="inlineStr">
        <is>
          <t>Functional</t>
        </is>
      </c>
      <c r="B146" s="173" t="inlineStr">
        <is>
          <t>Regulatory &amp; BFSI Domain</t>
        </is>
      </c>
      <c r="C146" s="173" t="inlineStr">
        <is>
          <t>Understands regulators, returns, filings and BFSI rules.</t>
        </is>
      </c>
      <c r="D146" s="173" t="inlineStr">
        <is>
          <t>—</t>
        </is>
      </c>
      <c r="E146" s="174" t="n">
        <v>1</v>
      </c>
      <c r="F146" s="174" t="n">
        <v>2</v>
      </c>
      <c r="G146" s="174" t="n">
        <v>3</v>
      </c>
      <c r="H146" s="174" t="n">
        <v>3</v>
      </c>
      <c r="I146" s="174" t="n">
        <v>4</v>
      </c>
      <c r="J146" s="174" t="n">
        <v>4</v>
      </c>
      <c r="K146" s="174" t="n">
        <v>4</v>
      </c>
      <c r="L146" s="174" t="n">
        <v>4</v>
      </c>
      <c r="M146" s="174" t="n">
        <v>5</v>
      </c>
      <c r="N146" s="174" t="n">
        <v>5</v>
      </c>
      <c r="O146" s="174" t="n">
        <v>4</v>
      </c>
      <c r="P146" s="173" t="inlineStr">
        <is>
          <t>3 · Knows the relevant regulators, returns and rules
4 · Interprets new regulation; advises clients and product</t>
        </is>
      </c>
      <c r="Q146" s="173" t="inlineStr">
        <is>
          <t>regulation, filing, sec, esma, cipc</t>
        </is>
      </c>
      <c r="R146" s="173" t="inlineStr">
        <is>
          <t>Domain interview</t>
        </is>
      </c>
      <c r="S146" s="173" t="inlineStr">
        <is>
          <t>Domain certifications · optional</t>
        </is>
      </c>
      <c r="T146" s="173" t="inlineStr">
        <is>
          <t>Family set</t>
        </is>
      </c>
    </row>
    <row r="147" ht="67" customHeight="1">
      <c r="A147" s="173" t="inlineStr">
        <is>
          <t>Functional</t>
        </is>
      </c>
      <c r="B147" s="173" t="inlineStr">
        <is>
          <t>Process Improvement &amp; Quality Mindset</t>
        </is>
      </c>
      <c r="C147" s="173" t="inlineStr">
        <is>
          <t>Gets it right first time; improves processes and checklists.</t>
        </is>
      </c>
      <c r="D147" s="173" t="inlineStr">
        <is>
          <t>—</t>
        </is>
      </c>
      <c r="E147" s="174" t="n">
        <v>1</v>
      </c>
      <c r="F147" s="174" t="n">
        <v>2</v>
      </c>
      <c r="G147" s="174" t="n">
        <v>3</v>
      </c>
      <c r="H147" s="174" t="n">
        <v>3</v>
      </c>
      <c r="I147" s="174" t="n">
        <v>4</v>
      </c>
      <c r="J147" s="174" t="n">
        <v>4</v>
      </c>
      <c r="K147" s="174" t="n">
        <v>4</v>
      </c>
      <c r="L147" s="174" t="n">
        <v>4</v>
      </c>
      <c r="M147" s="174" t="n">
        <v>5</v>
      </c>
      <c r="N147" s="174" t="n">
        <v>5</v>
      </c>
      <c r="O147" s="174" t="n">
        <v>4</v>
      </c>
      <c r="P147" s="173" t="inlineStr">
        <is>
          <t>3 · Delivers right-first-time; improves own checklists
4 · Redesigns team processes; reduces error rates measurably</t>
        </is>
      </c>
      <c r="Q147" s="173" t="inlineStr">
        <is>
          <t>sla, accura, review, quality</t>
        </is>
      </c>
      <c r="R147" s="173" t="inlineStr">
        <is>
          <t>Work sample / case</t>
        </is>
      </c>
      <c r="S147" s="173" t="inlineStr">
        <is>
          <t>Lean / Six Sigma · optional</t>
        </is>
      </c>
      <c r="T147" s="173" t="inlineStr">
        <is>
          <t>Family set</t>
        </is>
      </c>
    </row>
    <row r="148" ht="28" customHeight="1">
      <c r="A148" s="135" t="inlineStr">
        <is>
          <t>Leadership</t>
        </is>
      </c>
      <c r="B148" s="135" t="inlineStr">
        <is>
          <t>Leadership cluster · 4 competencies, part C</t>
        </is>
      </c>
      <c r="C148" s="135" t="inlineStr">
        <is>
          <t>Leading people, decisions, strategy and change</t>
        </is>
      </c>
      <c r="D148" s="135" t="inlineStr">
        <is>
          <t>POD Leads and People Managers</t>
        </is>
      </c>
      <c r="E148" s="47" t="inlineStr">
        <is>
          <t>—</t>
        </is>
      </c>
      <c r="F148" s="47" t="inlineStr">
        <is>
          <t>—</t>
        </is>
      </c>
      <c r="G148" s="47" t="inlineStr">
        <is>
          <t>—</t>
        </is>
      </c>
      <c r="H148" s="47" t="inlineStr">
        <is>
          <t>1/2</t>
        </is>
      </c>
      <c r="I148" s="47" t="inlineStr">
        <is>
          <t>2/3</t>
        </is>
      </c>
      <c r="J148" s="47" t="inlineStr">
        <is>
          <t>3/4</t>
        </is>
      </c>
      <c r="K148" s="47" t="inlineStr">
        <is>
          <t>4/4</t>
        </is>
      </c>
      <c r="L148" s="47" t="inlineStr">
        <is>
          <t>4/4</t>
        </is>
      </c>
      <c r="M148" s="47" t="inlineStr">
        <is>
          <t>4/4</t>
        </is>
      </c>
      <c r="N148" s="47" t="inlineStr">
        <is>
          <t>5/5</t>
        </is>
      </c>
      <c r="O148" s="47" t="inlineStr">
        <is>
          <t>5/5</t>
        </is>
      </c>
      <c r="P148" s="135" t="inlineStr">
        <is>
          <t>Required level shown as IC / Manager</t>
        </is>
      </c>
      <c r="Q148" s="135" t="inlineStr">
        <is>
          <t>—</t>
        </is>
      </c>
      <c r="R148" s="135" t="inlineStr">
        <is>
          <t>Behavioural interview; 360 feedback</t>
        </is>
      </c>
      <c r="S148" s="135" t="inlineStr">
        <is>
          <t>—</t>
        </is>
      </c>
      <c r="T148" s="135" t="inlineStr">
        <is>
          <t>S14, S15, S16</t>
        </is>
      </c>
    </row>
    <row r="149" ht="15" customHeight="1"/>
    <row r="150" ht="15" customHeight="1">
      <c r="A150" s="12" t="inlineStr">
        <is>
          <t>Job family</t>
        </is>
      </c>
      <c r="B150" s="12" t="inlineStr">
        <is>
          <t>Education / credentials</t>
        </is>
      </c>
      <c r="C150" s="209" t="n"/>
      <c r="D150" s="12" t="inlineStr">
        <is>
          <t>Gate requirements</t>
        </is>
      </c>
      <c r="E150" s="209" t="n"/>
      <c r="F150" s="12" t="inlineStr">
        <is>
          <t>Learning focus — Band A</t>
        </is>
      </c>
      <c r="G150" s="210" t="n"/>
      <c r="H150" s="210" t="n"/>
      <c r="I150" s="210" t="n"/>
      <c r="J150" s="210" t="n"/>
      <c r="K150" s="209" t="n"/>
      <c r="L150" s="12" t="inlineStr">
        <is>
          <t>Learning focus — Band B</t>
        </is>
      </c>
      <c r="M150" s="210" t="n"/>
      <c r="N150" s="210" t="n"/>
      <c r="O150" s="210" t="n"/>
      <c r="P150" s="209" t="n"/>
      <c r="Q150" s="12" t="inlineStr">
        <is>
          <t>Learning focus — Band C+</t>
        </is>
      </c>
      <c r="R150" s="209" t="n"/>
      <c r="S150" s="12" t="inlineStr">
        <is>
          <t>Future skills</t>
        </is>
      </c>
      <c r="T150" s="209" t="n"/>
    </row>
    <row r="151" ht="80" customHeight="1">
      <c r="A151" s="13" t="inlineStr">
        <is>
          <t>Sales &amp; Business Development</t>
        </is>
      </c>
      <c r="B151" s="16" t="inlineStr">
        <is>
          <t>Graduate; MBA preferred from B2</t>
        </is>
      </c>
      <c r="C151" s="209" t="n"/>
      <c r="D151" s="16" t="inlineStr">
        <is>
          <t>CRM hygiene; contract basics</t>
        </is>
      </c>
      <c r="E151" s="209" t="n"/>
      <c r="F151" s="16" t="inlineStr">
        <is>
          <t>Mandatory path · POSH, Code of Conduct, InfoSec; Sales, Negotiation &amp; Account Growth, Marketing Tech &amp; Digital Marketing to Working → Practitioner; AI literacy to 2; learn by mentoring and KT.</t>
        </is>
      </c>
      <c r="G151" s="210" t="n"/>
      <c r="H151" s="210" t="n"/>
      <c r="I151" s="210" t="n"/>
      <c r="J151" s="210" t="n"/>
      <c r="K151" s="209" t="n"/>
      <c r="L151" s="16" t="inlineStr">
        <is>
          <t>Sales, Negotiation &amp; Account Growth, Marketing Tech &amp; Digital Marketing to Advanced; Stakeholder &amp; Client Management, Communication &amp; Presentation, Product, Platform &amp; Domain Knowledge to Practitioner; POD Leads / Managers: leading people, delegation, feedback.</t>
        </is>
      </c>
      <c r="M151" s="210" t="n"/>
      <c r="N151" s="210" t="n"/>
      <c r="O151" s="210" t="n"/>
      <c r="P151" s="209" t="n"/>
      <c r="Q151" s="16" t="inlineStr">
        <is>
          <t>Expert in one must-have; strategy &amp; business acumen; building the bench; AI-enabled processes for the function.</t>
        </is>
      </c>
      <c r="R151" s="209" t="n"/>
      <c r="S151" s="16" t="inlineStr">
        <is>
          <t>Data-driven selling, AI prospecting, ESG / regtech market knowledge</t>
        </is>
      </c>
      <c r="T151" s="209" t="n"/>
    </row>
    <row r="152" ht="80" customHeight="1">
      <c r="A152" s="13" t="inlineStr">
        <is>
          <t>Customer Success &amp; Support</t>
        </is>
      </c>
      <c r="B152" s="16" t="inlineStr">
        <is>
          <t>Graduate</t>
        </is>
      </c>
      <c r="C152" s="209" t="n"/>
      <c r="D152" s="16" t="inlineStr">
        <is>
          <t>ITIL / service-desk practice; SLA management</t>
        </is>
      </c>
      <c r="E152" s="209" t="n"/>
      <c r="F152" s="16" t="inlineStr">
        <is>
          <t>Mandatory path · POSH, Code of Conduct, InfoSec; Product, Platform &amp; Domain Knowledge, Stakeholder &amp; Client Management to Working → Practitioner; AI literacy to 2; learn by mentoring and KT.</t>
        </is>
      </c>
      <c r="G152" s="210" t="n"/>
      <c r="H152" s="210" t="n"/>
      <c r="I152" s="210" t="n"/>
      <c r="J152" s="210" t="n"/>
      <c r="K152" s="209" t="n"/>
      <c r="L152" s="16" t="inlineStr">
        <is>
          <t>Product, Platform &amp; Domain Knowledge, Stakeholder &amp; Client Management to Advanced; Communication &amp; Presentation, Database, SQL &amp; Data Engineering, Regulatory &amp; BFSI Domain to Practitioner; POD Leads / Managers: leading people, delegation, feedback.</t>
        </is>
      </c>
      <c r="M152" s="210" t="n"/>
      <c r="N152" s="210" t="n"/>
      <c r="O152" s="210" t="n"/>
      <c r="P152" s="209" t="n"/>
      <c r="Q152" s="16" t="inlineStr">
        <is>
          <t>Expert in one must-have; strategy &amp; business acumen; building the bench; AI-enabled processes for the function.</t>
        </is>
      </c>
      <c r="R152" s="209" t="n"/>
      <c r="S152" s="16" t="inlineStr">
        <is>
          <t>AI chat / knowledge-base support, customer-health analytics</t>
        </is>
      </c>
      <c r="T152" s="209" t="n"/>
    </row>
    <row r="153" ht="15" customHeight="1"/>
    <row r="154" ht="15" customHeight="1"/>
    <row r="155" ht="20" customHeight="1">
      <c r="A155" s="172" t="inlineStr">
        <is>
          <t>Product Management — 3 people · Product &amp; programme · levels A3–B2</t>
        </is>
      </c>
    </row>
    <row r="156" ht="15" customHeight="1">
      <c r="A156" s="17" t="inlineStr">
        <is>
          <t>Job families: Product Management</t>
        </is>
      </c>
    </row>
    <row r="157" ht="15" customHeight="1">
      <c r="A157" s="12" t="inlineStr">
        <is>
          <t>Capability health today · indicative, from survey + KRAs</t>
        </is>
      </c>
      <c r="B157" s="210" t="n"/>
      <c r="C157" s="210" t="n"/>
      <c r="D157" s="210" t="n"/>
      <c r="E157" s="209" t="n"/>
      <c r="F157" s="12" t="inlineStr">
        <is>
          <t>Result</t>
        </is>
      </c>
      <c r="G157" s="210" t="n"/>
      <c r="H157" s="210" t="n"/>
      <c r="I157" s="210" t="n"/>
      <c r="J157" s="210" t="n"/>
      <c r="K157" s="210" t="n"/>
      <c r="L157" s="210" t="n"/>
      <c r="M157" s="210" t="n"/>
      <c r="N157" s="210" t="n"/>
      <c r="O157" s="210" t="n"/>
      <c r="P157" s="210" t="n"/>
      <c r="Q157" s="210" t="n"/>
      <c r="R157" s="209" t="n"/>
    </row>
    <row r="158" ht="15" customHeight="1">
      <c r="A158" s="13" t="inlineStr">
        <is>
          <t>People assessed · meet or exceed their level</t>
        </is>
      </c>
      <c r="B158" s="210" t="n"/>
      <c r="C158" s="210" t="n"/>
      <c r="D158" s="210" t="n"/>
      <c r="E158" s="209" t="n"/>
      <c r="F158" s="16" t="inlineStr">
        <is>
          <t>3 · 3</t>
        </is>
      </c>
      <c r="G158" s="210" t="n"/>
      <c r="H158" s="210" t="n"/>
      <c r="I158" s="210" t="n"/>
      <c r="J158" s="210" t="n"/>
      <c r="K158" s="210" t="n"/>
      <c r="L158" s="210" t="n"/>
      <c r="M158" s="210" t="n"/>
      <c r="N158" s="210" t="n"/>
      <c r="O158" s="210" t="n"/>
      <c r="P158" s="210" t="n"/>
      <c r="Q158" s="210" t="n"/>
      <c r="R158" s="209" t="n"/>
    </row>
    <row r="159" ht="15" customHeight="1">
      <c r="A159" s="13" t="inlineStr">
        <is>
          <t>Average index · Core · Future-ready · Functional · Leadership · % of required</t>
        </is>
      </c>
      <c r="B159" s="210" t="n"/>
      <c r="C159" s="210" t="n"/>
      <c r="D159" s="210" t="n"/>
      <c r="E159" s="209" t="n"/>
      <c r="F159" s="16" t="inlineStr">
        <is>
          <t>103% · 109% · 97% · 101% · 108%</t>
        </is>
      </c>
      <c r="G159" s="210" t="n"/>
      <c r="H159" s="210" t="n"/>
      <c r="I159" s="210" t="n"/>
      <c r="J159" s="210" t="n"/>
      <c r="K159" s="210" t="n"/>
      <c r="L159" s="210" t="n"/>
      <c r="M159" s="210" t="n"/>
      <c r="N159" s="210" t="n"/>
      <c r="O159" s="210" t="n"/>
      <c r="P159" s="210" t="n"/>
      <c r="Q159" s="210" t="n"/>
      <c r="R159" s="209" t="n"/>
    </row>
    <row r="160" ht="15" customHeight="1">
      <c r="A160" s="13" t="inlineStr">
        <is>
          <t>Most common competency gaps · people</t>
        </is>
      </c>
      <c r="B160" s="210" t="n"/>
      <c r="C160" s="210" t="n"/>
      <c r="D160" s="210" t="n"/>
      <c r="E160" s="209" t="n"/>
      <c r="F160" s="16" t="inlineStr">
        <is>
          <t>Analytics &amp; BI · AI / GenAI</t>
        </is>
      </c>
      <c r="G160" s="210" t="n"/>
      <c r="H160" s="210" t="n"/>
      <c r="I160" s="210" t="n"/>
      <c r="J160" s="210" t="n"/>
      <c r="K160" s="210" t="n"/>
      <c r="L160" s="210" t="n"/>
      <c r="M160" s="210" t="n"/>
      <c r="N160" s="210" t="n"/>
      <c r="O160" s="210" t="n"/>
      <c r="P160" s="210" t="n"/>
      <c r="Q160" s="210" t="n"/>
      <c r="R160" s="209" t="n"/>
    </row>
    <row r="161" ht="28" customHeight="1">
      <c r="A161" s="13" t="inlineStr">
        <is>
          <t>Role-based development priorities · people</t>
        </is>
      </c>
      <c r="B161" s="210" t="n"/>
      <c r="C161" s="210" t="n"/>
      <c r="D161" s="210" t="n"/>
      <c r="E161" s="209" t="n"/>
      <c r="F161" s="16" t="inlineStr">
        <is>
          <t>Project, Program &amp; Agile Management · Strategic Thinking &amp; Business Acumen · Broader Ownership &amp; Cross-functional Exposure · People Leadership &amp; Mentoring · Sales, Negotiation &amp; Account Growth · AI, GenAI &amp; Prompt Engineering</t>
        </is>
      </c>
      <c r="G161" s="210" t="n"/>
      <c r="H161" s="210" t="n"/>
      <c r="I161" s="210" t="n"/>
      <c r="J161" s="210" t="n"/>
      <c r="K161" s="210" t="n"/>
      <c r="L161" s="210" t="n"/>
      <c r="M161" s="210" t="n"/>
      <c r="N161" s="210" t="n"/>
      <c r="O161" s="210" t="n"/>
      <c r="P161" s="210" t="n"/>
      <c r="Q161" s="210" t="n"/>
      <c r="R161" s="209" t="n"/>
    </row>
    <row r="162" ht="15" customHeight="1">
      <c r="A162" s="13" t="inlineStr">
        <is>
          <t>Manager-identified training themes</t>
        </is>
      </c>
      <c r="B162" s="210" t="n"/>
      <c r="C162" s="210" t="n"/>
      <c r="D162" s="210" t="n"/>
      <c r="E162" s="209" t="n"/>
      <c r="F162" s="16" t="inlineStr">
        <is>
          <t>training effective · utilization · ai tools</t>
        </is>
      </c>
      <c r="G162" s="210" t="n"/>
      <c r="H162" s="210" t="n"/>
      <c r="I162" s="210" t="n"/>
      <c r="J162" s="210" t="n"/>
      <c r="K162" s="210" t="n"/>
      <c r="L162" s="210" t="n"/>
      <c r="M162" s="210" t="n"/>
      <c r="N162" s="210" t="n"/>
      <c r="O162" s="210" t="n"/>
      <c r="P162" s="210" t="n"/>
      <c r="Q162" s="210" t="n"/>
      <c r="R162" s="209" t="n"/>
    </row>
    <row r="163" ht="15" customHeight="1">
      <c r="A163" s="13" t="inlineStr">
        <is>
          <t>What helped people learn · survey</t>
        </is>
      </c>
      <c r="B163" s="210" t="n"/>
      <c r="C163" s="210" t="n"/>
      <c r="D163" s="210" t="n"/>
      <c r="E163" s="209" t="n"/>
      <c r="F163" s="16" t="inlineStr">
        <is>
          <t>Mentoring / guidance from seniors · On-the-job / hands-on</t>
        </is>
      </c>
      <c r="G163" s="210" t="n"/>
      <c r="H163" s="210" t="n"/>
      <c r="I163" s="210" t="n"/>
      <c r="J163" s="210" t="n"/>
      <c r="K163" s="210" t="n"/>
      <c r="L163" s="210" t="n"/>
      <c r="M163" s="210" t="n"/>
      <c r="N163" s="210" t="n"/>
      <c r="O163" s="210" t="n"/>
      <c r="P163" s="210" t="n"/>
      <c r="Q163" s="210" t="n"/>
      <c r="R163" s="209" t="n"/>
    </row>
    <row r="164" ht="15" customHeight="1">
      <c r="A164" s="13" t="inlineStr">
        <is>
          <t>How the work is changing</t>
        </is>
      </c>
      <c r="B164" s="210" t="n"/>
      <c r="C164" s="210" t="n"/>
      <c r="D164" s="210" t="n"/>
      <c r="E164" s="209" t="n"/>
      <c r="F164" s="16" t="inlineStr">
        <is>
          <t>0 of 3 say the role is changing because of AI / automation</t>
        </is>
      </c>
      <c r="G164" s="210" t="n"/>
      <c r="H164" s="210" t="n"/>
      <c r="I164" s="210" t="n"/>
      <c r="J164" s="210" t="n"/>
      <c r="K164" s="210" t="n"/>
      <c r="L164" s="210" t="n"/>
      <c r="M164" s="210" t="n"/>
      <c r="N164" s="210" t="n"/>
      <c r="O164" s="210" t="n"/>
      <c r="P164" s="210" t="n"/>
      <c r="Q164" s="210" t="n"/>
      <c r="R164" s="209" t="n"/>
    </row>
    <row r="165" ht="15" customHeight="1">
      <c r="A165" s="13" t="inlineStr">
        <is>
          <t>Lateral moves the evidence supports · people</t>
        </is>
      </c>
      <c r="B165" s="210" t="n"/>
      <c r="C165" s="210" t="n"/>
      <c r="D165" s="210" t="n"/>
      <c r="E165" s="209" t="n"/>
      <c r="F165" s="16" t="inlineStr">
        <is>
          <t>No strong match yet</t>
        </is>
      </c>
      <c r="G165" s="210" t="n"/>
      <c r="H165" s="210" t="n"/>
      <c r="I165" s="210" t="n"/>
      <c r="J165" s="210" t="n"/>
      <c r="K165" s="210" t="n"/>
      <c r="L165" s="210" t="n"/>
      <c r="M165" s="210" t="n"/>
      <c r="N165" s="210" t="n"/>
      <c r="O165" s="210" t="n"/>
      <c r="P165" s="210" t="n"/>
      <c r="Q165" s="210" t="n"/>
      <c r="R165" s="209" t="n"/>
    </row>
    <row r="166" ht="15" customHeight="1"/>
    <row r="167" ht="28" customHeight="1">
      <c r="A167" s="12" t="inlineStr">
        <is>
          <t>Cluster</t>
        </is>
      </c>
      <c r="B167" s="12" t="inlineStr">
        <is>
          <t>Competency · ★ = must-have</t>
        </is>
      </c>
      <c r="C167" s="12" t="inlineStr">
        <is>
          <t>Definition</t>
        </is>
      </c>
      <c r="D167" s="12" t="inlineStr">
        <is>
          <t>Must-have for</t>
        </is>
      </c>
      <c r="E167" s="12" t="inlineStr">
        <is>
          <t>A1</t>
        </is>
      </c>
      <c r="F167" s="12" t="inlineStr">
        <is>
          <t>A2</t>
        </is>
      </c>
      <c r="G167" s="12" t="inlineStr">
        <is>
          <t>A3</t>
        </is>
      </c>
      <c r="H167" s="12" t="inlineStr">
        <is>
          <t>B1</t>
        </is>
      </c>
      <c r="I167" s="12" t="inlineStr">
        <is>
          <t>B2</t>
        </is>
      </c>
      <c r="J167" s="12" t="inlineStr">
        <is>
          <t>B3</t>
        </is>
      </c>
      <c r="K167" s="12" t="inlineStr">
        <is>
          <t>B+</t>
        </is>
      </c>
      <c r="L167" s="12" t="inlineStr">
        <is>
          <t>C1</t>
        </is>
      </c>
      <c r="M167" s="12" t="inlineStr">
        <is>
          <t>C2</t>
        </is>
      </c>
      <c r="N167" s="12" t="inlineStr">
        <is>
          <t>C+</t>
        </is>
      </c>
      <c r="O167" s="12" t="inlineStr">
        <is>
          <t>D1</t>
        </is>
      </c>
      <c r="P167" s="12" t="inlineStr">
        <is>
          <t>What good looks like · by proficiency</t>
        </is>
      </c>
      <c r="Q167" s="12" t="inlineStr">
        <is>
          <t>What IRIS top performers do · survey</t>
        </is>
      </c>
      <c r="R167" s="12" t="inlineStr">
        <is>
          <t>How to assess</t>
        </is>
      </c>
      <c r="S167" s="12" t="inlineStr">
        <is>
          <t>Credentials</t>
        </is>
      </c>
      <c r="T167" s="12" t="inlineStr">
        <is>
          <t>Reference</t>
        </is>
      </c>
    </row>
    <row r="168" ht="54" customHeight="1">
      <c r="A168" s="173" t="inlineStr">
        <is>
          <t>Functional</t>
        </is>
      </c>
      <c r="B168" s="173" t="inlineStr">
        <is>
          <t>★ Product, Platform &amp; Domain Knowledge</t>
        </is>
      </c>
      <c r="C168" s="173" t="inlineStr">
        <is>
          <t>Knows IRIS products, platforms and the client's domain.</t>
        </is>
      </c>
      <c r="D168" s="173" t="inlineStr">
        <is>
          <t>Product Management</t>
        </is>
      </c>
      <c r="E168" s="174" t="n">
        <v>1</v>
      </c>
      <c r="F168" s="174" t="n">
        <v>2</v>
      </c>
      <c r="G168" s="174" t="n">
        <v>3</v>
      </c>
      <c r="H168" s="174" t="n">
        <v>3</v>
      </c>
      <c r="I168" s="174" t="n">
        <v>4</v>
      </c>
      <c r="J168" s="174" t="n">
        <v>4</v>
      </c>
      <c r="K168" s="174" t="n">
        <v>4</v>
      </c>
      <c r="L168" s="174" t="n">
        <v>4</v>
      </c>
      <c r="M168" s="174" t="n">
        <v>5</v>
      </c>
      <c r="N168" s="174" t="n">
        <v>5</v>
      </c>
      <c r="O168" s="174" t="n">
        <v>4</v>
      </c>
      <c r="P168" s="173" t="inlineStr">
        <is>
          <t>3 · Handles most product and domain scenarios
4 · Recognised product / domain expert; trains others</t>
        </is>
      </c>
      <c r="Q168" s="173" t="inlineStr">
        <is>
          <t>product, domain, platform</t>
        </is>
      </c>
      <c r="R168" s="173" t="inlineStr">
        <is>
          <t>Scenario interview</t>
        </is>
      </c>
      <c r="S168" s="173" t="inlineStr">
        <is>
          <t>Internal product certification</t>
        </is>
      </c>
      <c r="T168" s="173" t="inlineStr">
        <is>
          <t>Family set</t>
        </is>
      </c>
    </row>
    <row r="169" ht="67" customHeight="1">
      <c r="A169" s="173" t="inlineStr">
        <is>
          <t>Functional</t>
        </is>
      </c>
      <c r="B169" s="173" t="inlineStr">
        <is>
          <t>★ Business Analysis &amp; Requirements Engineering</t>
        </is>
      </c>
      <c r="C169" s="173" t="inlineStr">
        <is>
          <t>Captures, documents and validates requirements.</t>
        </is>
      </c>
      <c r="D169" s="173" t="inlineStr">
        <is>
          <t>Product Management</t>
        </is>
      </c>
      <c r="E169" s="174" t="n">
        <v>1</v>
      </c>
      <c r="F169" s="174" t="n">
        <v>2</v>
      </c>
      <c r="G169" s="174" t="n">
        <v>3</v>
      </c>
      <c r="H169" s="174" t="n">
        <v>3</v>
      </c>
      <c r="I169" s="174" t="n">
        <v>4</v>
      </c>
      <c r="J169" s="174" t="n">
        <v>4</v>
      </c>
      <c r="K169" s="174" t="n">
        <v>4</v>
      </c>
      <c r="L169" s="174" t="n">
        <v>4</v>
      </c>
      <c r="M169" s="174" t="n">
        <v>5</v>
      </c>
      <c r="N169" s="174" t="n">
        <v>5</v>
      </c>
      <c r="O169" s="174" t="n">
        <v>4</v>
      </c>
      <c r="P169" s="173" t="inlineStr">
        <is>
          <t>3 · Writes BRD / FSD / user stories and validates them
4 · Leads complex requirement programmes; sets BA standards</t>
        </is>
      </c>
      <c r="Q169" s="173" t="inlineStr">
        <is>
          <t>requirement, business analysis, use case</t>
        </is>
      </c>
      <c r="R169" s="173" t="inlineStr">
        <is>
          <t>Case study</t>
        </is>
      </c>
      <c r="S169" s="173" t="inlineStr">
        <is>
          <t>CBAP / CCBA · optional</t>
        </is>
      </c>
      <c r="T169" s="173" t="inlineStr">
        <is>
          <t>Family set</t>
        </is>
      </c>
    </row>
    <row r="170" ht="54" customHeight="1">
      <c r="A170" s="173" t="inlineStr">
        <is>
          <t>Functional</t>
        </is>
      </c>
      <c r="B170" s="173" t="inlineStr">
        <is>
          <t>Data Analytics, BI &amp; Visualisation</t>
        </is>
      </c>
      <c r="C170" s="173" t="inlineStr">
        <is>
          <t>Turns data into MIS, dashboards and insight.</t>
        </is>
      </c>
      <c r="D170" s="173" t="inlineStr">
        <is>
          <t>—</t>
        </is>
      </c>
      <c r="E170" s="174" t="n">
        <v>1</v>
      </c>
      <c r="F170" s="174" t="n">
        <v>2</v>
      </c>
      <c r="G170" s="174" t="n">
        <v>3</v>
      </c>
      <c r="H170" s="174" t="n">
        <v>3</v>
      </c>
      <c r="I170" s="174" t="n">
        <v>4</v>
      </c>
      <c r="J170" s="174" t="n">
        <v>4</v>
      </c>
      <c r="K170" s="174" t="n">
        <v>4</v>
      </c>
      <c r="L170" s="174" t="n">
        <v>4</v>
      </c>
      <c r="M170" s="174" t="n">
        <v>5</v>
      </c>
      <c r="N170" s="174" t="n">
        <v>5</v>
      </c>
      <c r="O170" s="174" t="n">
        <v>4</v>
      </c>
      <c r="P170" s="173" t="inlineStr">
        <is>
          <t>3 · Builds MIS, dashboards and analysis
4 · Defines metrics and analytics approach for a business</t>
        </is>
      </c>
      <c r="Q170" s="173" t="inlineStr">
        <is>
          <t>analytic</t>
        </is>
      </c>
      <c r="R170" s="173" t="inlineStr">
        <is>
          <t>Data case / practical</t>
        </is>
      </c>
      <c r="S170" s="173" t="inlineStr">
        <is>
          <t>Power BI / Tableau · optional</t>
        </is>
      </c>
      <c r="T170" s="173" t="inlineStr">
        <is>
          <t>Family set</t>
        </is>
      </c>
    </row>
    <row r="171" ht="54" customHeight="1">
      <c r="A171" s="173" t="inlineStr">
        <is>
          <t>Functional</t>
        </is>
      </c>
      <c r="B171" s="173" t="inlineStr">
        <is>
          <t>Strategic Thinking &amp; Business Acumen</t>
        </is>
      </c>
      <c r="C171" s="173" t="inlineStr">
        <is>
          <t>Links work to business outcomes, budgets and strategy.</t>
        </is>
      </c>
      <c r="D171" s="173" t="inlineStr">
        <is>
          <t>—</t>
        </is>
      </c>
      <c r="E171" s="174" t="n">
        <v>1</v>
      </c>
      <c r="F171" s="174" t="n">
        <v>2</v>
      </c>
      <c r="G171" s="174" t="n">
        <v>3</v>
      </c>
      <c r="H171" s="174" t="n">
        <v>3</v>
      </c>
      <c r="I171" s="174" t="n">
        <v>4</v>
      </c>
      <c r="J171" s="174" t="n">
        <v>4</v>
      </c>
      <c r="K171" s="174" t="n">
        <v>4</v>
      </c>
      <c r="L171" s="174" t="n">
        <v>4</v>
      </c>
      <c r="M171" s="174" t="n">
        <v>5</v>
      </c>
      <c r="N171" s="174" t="n">
        <v>5</v>
      </c>
      <c r="O171" s="174" t="n">
        <v>4</v>
      </c>
      <c r="P171" s="173" t="inlineStr">
        <is>
          <t>3 · Connects work to business goals and budgets
4 · Shapes strategy, pricing or investment choices</t>
        </is>
      </c>
      <c r="Q171" s="173" t="inlineStr">
        <is>
          <t>market, growth, revenue, roadmap, strategy</t>
        </is>
      </c>
      <c r="R171" s="173" t="inlineStr">
        <is>
          <t>Case interview</t>
        </is>
      </c>
      <c r="S171" s="173" t="inlineStr">
        <is>
          <t>MBA / PGDM · preferred at C+</t>
        </is>
      </c>
      <c r="T171" s="173" t="inlineStr">
        <is>
          <t>Family set</t>
        </is>
      </c>
    </row>
    <row r="172" ht="67" customHeight="1">
      <c r="A172" s="173" t="inlineStr">
        <is>
          <t>Functional</t>
        </is>
      </c>
      <c r="B172" s="173" t="inlineStr">
        <is>
          <t>Stakeholder &amp; Client Management</t>
        </is>
      </c>
      <c r="C172" s="173" t="inlineStr">
        <is>
          <t>Manages clients and stakeholders; handles changing requests.</t>
        </is>
      </c>
      <c r="D172" s="173" t="inlineStr">
        <is>
          <t>—</t>
        </is>
      </c>
      <c r="E172" s="174" t="n">
        <v>1</v>
      </c>
      <c r="F172" s="174" t="n">
        <v>2</v>
      </c>
      <c r="G172" s="174" t="n">
        <v>3</v>
      </c>
      <c r="H172" s="174" t="n">
        <v>3</v>
      </c>
      <c r="I172" s="174" t="n">
        <v>4</v>
      </c>
      <c r="J172" s="174" t="n">
        <v>4</v>
      </c>
      <c r="K172" s="174" t="n">
        <v>4</v>
      </c>
      <c r="L172" s="174" t="n">
        <v>4</v>
      </c>
      <c r="M172" s="174" t="n">
        <v>5</v>
      </c>
      <c r="N172" s="174" t="n">
        <v>5</v>
      </c>
      <c r="O172" s="174" t="n">
        <v>4</v>
      </c>
      <c r="P172" s="173" t="inlineStr">
        <is>
          <t>3 · Manages client communication and expectations for own work
4 · Owns key relationships; resolves escalations</t>
        </is>
      </c>
      <c r="Q172" s="173" t="inlineStr">
        <is>
          <t>client, customer, escalat, stakeholder, coordinat</t>
        </is>
      </c>
      <c r="R172" s="173" t="inlineStr">
        <is>
          <t>Role play / behavioural interview</t>
        </is>
      </c>
      <c r="S172" s="173" t="inlineStr">
        <is>
          <t>—</t>
        </is>
      </c>
      <c r="T172" s="173" t="inlineStr">
        <is>
          <t>Family set</t>
        </is>
      </c>
    </row>
    <row r="173" ht="67" customHeight="1">
      <c r="A173" s="173" t="inlineStr">
        <is>
          <t>Functional</t>
        </is>
      </c>
      <c r="B173" s="173" t="inlineStr">
        <is>
          <t>AI, GenAI &amp; Prompt Engineering</t>
        </is>
      </c>
      <c r="C173" s="173" t="inlineStr">
        <is>
          <t>Uses or builds AI and LLM solutions to improve products and work.</t>
        </is>
      </c>
      <c r="D173" s="173" t="inlineStr">
        <is>
          <t>—</t>
        </is>
      </c>
      <c r="E173" s="174" t="n">
        <v>1</v>
      </c>
      <c r="F173" s="174" t="n">
        <v>2</v>
      </c>
      <c r="G173" s="174" t="n">
        <v>3</v>
      </c>
      <c r="H173" s="174" t="n">
        <v>3</v>
      </c>
      <c r="I173" s="174" t="n">
        <v>4</v>
      </c>
      <c r="J173" s="174" t="n">
        <v>4</v>
      </c>
      <c r="K173" s="174" t="n">
        <v>4</v>
      </c>
      <c r="L173" s="174" t="n">
        <v>4</v>
      </c>
      <c r="M173" s="174" t="n">
        <v>5</v>
      </c>
      <c r="N173" s="174" t="n">
        <v>5</v>
      </c>
      <c r="O173" s="174" t="n">
        <v>4</v>
      </c>
      <c r="P173" s="173" t="inlineStr">
        <is>
          <t>3 · Uses AI / LLM tools in own work and validates output
4 · Builds AI features or AI-enabled processes; sets safe-use practice</t>
        </is>
      </c>
      <c r="Q173" s="173" t="inlineStr">
        <is>
          <t>AI, claude</t>
        </is>
      </c>
      <c r="R173" s="173" t="inlineStr">
        <is>
          <t>Work sample / portfolio</t>
        </is>
      </c>
      <c r="S173" s="173" t="inlineStr">
        <is>
          <t>Vendor AI certifications · optional</t>
        </is>
      </c>
      <c r="T173" s="173" t="inlineStr">
        <is>
          <t>Family set</t>
        </is>
      </c>
    </row>
    <row r="174" ht="28" customHeight="1">
      <c r="A174" s="135" t="inlineStr">
        <is>
          <t>Leadership</t>
        </is>
      </c>
      <c r="B174" s="135" t="inlineStr">
        <is>
          <t>Leadership cluster · 4 competencies, part C</t>
        </is>
      </c>
      <c r="C174" s="135" t="inlineStr">
        <is>
          <t>Leading people, decisions, strategy and change</t>
        </is>
      </c>
      <c r="D174" s="135" t="inlineStr">
        <is>
          <t>POD Leads and People Managers</t>
        </is>
      </c>
      <c r="E174" s="47" t="inlineStr">
        <is>
          <t>—</t>
        </is>
      </c>
      <c r="F174" s="47" t="inlineStr">
        <is>
          <t>—</t>
        </is>
      </c>
      <c r="G174" s="47" t="inlineStr">
        <is>
          <t>—</t>
        </is>
      </c>
      <c r="H174" s="47" t="inlineStr">
        <is>
          <t>1/2</t>
        </is>
      </c>
      <c r="I174" s="47" t="inlineStr">
        <is>
          <t>2/3</t>
        </is>
      </c>
      <c r="J174" s="47" t="inlineStr">
        <is>
          <t>3/4</t>
        </is>
      </c>
      <c r="K174" s="47" t="inlineStr">
        <is>
          <t>4/4</t>
        </is>
      </c>
      <c r="L174" s="47" t="inlineStr">
        <is>
          <t>4/4</t>
        </is>
      </c>
      <c r="M174" s="47" t="inlineStr">
        <is>
          <t>4/4</t>
        </is>
      </c>
      <c r="N174" s="47" t="inlineStr">
        <is>
          <t>5/5</t>
        </is>
      </c>
      <c r="O174" s="47" t="inlineStr">
        <is>
          <t>5/5</t>
        </is>
      </c>
      <c r="P174" s="135" t="inlineStr">
        <is>
          <t>Required level shown as IC / Manager</t>
        </is>
      </c>
      <c r="Q174" s="135" t="inlineStr">
        <is>
          <t>—</t>
        </is>
      </c>
      <c r="R174" s="135" t="inlineStr">
        <is>
          <t>Behavioural interview; 360 feedback</t>
        </is>
      </c>
      <c r="S174" s="135" t="inlineStr">
        <is>
          <t>—</t>
        </is>
      </c>
      <c r="T174" s="135" t="inlineStr">
        <is>
          <t>S14, S15, S16</t>
        </is>
      </c>
    </row>
    <row r="175" ht="15" customHeight="1"/>
    <row r="176" ht="15" customHeight="1">
      <c r="A176" s="12" t="inlineStr">
        <is>
          <t>Job family</t>
        </is>
      </c>
      <c r="B176" s="12" t="inlineStr">
        <is>
          <t>Education / credentials</t>
        </is>
      </c>
      <c r="C176" s="209" t="n"/>
      <c r="D176" s="12" t="inlineStr">
        <is>
          <t>Gate requirements</t>
        </is>
      </c>
      <c r="E176" s="209" t="n"/>
      <c r="F176" s="12" t="inlineStr">
        <is>
          <t>Learning focus — Band A</t>
        </is>
      </c>
      <c r="G176" s="210" t="n"/>
      <c r="H176" s="210" t="n"/>
      <c r="I176" s="210" t="n"/>
      <c r="J176" s="210" t="n"/>
      <c r="K176" s="209" t="n"/>
      <c r="L176" s="12" t="inlineStr">
        <is>
          <t>Learning focus — Band B</t>
        </is>
      </c>
      <c r="M176" s="210" t="n"/>
      <c r="N176" s="210" t="n"/>
      <c r="O176" s="210" t="n"/>
      <c r="P176" s="209" t="n"/>
      <c r="Q176" s="12" t="inlineStr">
        <is>
          <t>Learning focus — Band C+</t>
        </is>
      </c>
      <c r="R176" s="209" t="n"/>
      <c r="S176" s="12" t="inlineStr">
        <is>
          <t>Future skills</t>
        </is>
      </c>
      <c r="T176" s="209" t="n"/>
    </row>
    <row r="177" ht="80" customHeight="1">
      <c r="A177" s="13" t="inlineStr">
        <is>
          <t>Product Management</t>
        </is>
      </c>
      <c r="B177" s="16" t="inlineStr">
        <is>
          <t>Graduate; MBA / PGDM preferred</t>
        </is>
      </c>
      <c r="C177" s="209" t="n"/>
      <c r="D177" s="16" t="inlineStr">
        <is>
          <t>Product discovery, roadmap and P&amp;L basics</t>
        </is>
      </c>
      <c r="E177" s="209" t="n"/>
      <c r="F177" s="16" t="inlineStr">
        <is>
          <t>Mandatory path · POSH, Code of Conduct, InfoSec; Product, Platform &amp; Domain Knowledge, Business Analysis &amp; Requirements Engineering to Working → Practitioner; AI literacy to 2; learn by mentoring and KT.</t>
        </is>
      </c>
      <c r="G177" s="210" t="n"/>
      <c r="H177" s="210" t="n"/>
      <c r="I177" s="210" t="n"/>
      <c r="J177" s="210" t="n"/>
      <c r="K177" s="209" t="n"/>
      <c r="L177" s="16" t="inlineStr">
        <is>
          <t>Product, Platform &amp; Domain Knowledge, Business Analysis &amp; Requirements Engineering to Advanced; Data Analytics, BI &amp; Visualisation, Strategic Thinking &amp; Business Acumen, Stakeholder &amp; Client Management to Practitioner; POD Leads / Managers: leading people, delegation, feedback.</t>
        </is>
      </c>
      <c r="M177" s="210" t="n"/>
      <c r="N177" s="210" t="n"/>
      <c r="O177" s="210" t="n"/>
      <c r="P177" s="209" t="n"/>
      <c r="Q177" s="16" t="inlineStr">
        <is>
          <t>Expert in one must-have; strategy &amp; business acumen; building the bench; AI-enabled processes for the function.</t>
        </is>
      </c>
      <c r="R177" s="209" t="n"/>
      <c r="S177" s="16" t="inlineStr">
        <is>
          <t>AI product strategy, platform &amp; API products, ESG / digital-reporting markets</t>
        </is>
      </c>
      <c r="T177" s="209" t="n"/>
    </row>
    <row r="178" ht="15" customHeight="1"/>
    <row r="179" ht="15" customHeight="1"/>
    <row r="180" ht="20" customHeight="1">
      <c r="A180" s="172" t="inlineStr">
        <is>
          <t>Marketing — 1 person · Sales &amp; marketing · levels A2</t>
        </is>
      </c>
    </row>
    <row r="181" ht="15" customHeight="1">
      <c r="A181" s="17" t="inlineStr">
        <is>
          <t>Job families: Marketing &amp; Communications</t>
        </is>
      </c>
    </row>
    <row r="182" ht="15" customHeight="1">
      <c r="A182" s="12" t="inlineStr">
        <is>
          <t>Capability health today · indicative, from survey + KRAs</t>
        </is>
      </c>
      <c r="B182" s="210" t="n"/>
      <c r="C182" s="210" t="n"/>
      <c r="D182" s="210" t="n"/>
      <c r="E182" s="209" t="n"/>
      <c r="F182" s="12" t="inlineStr">
        <is>
          <t>Result</t>
        </is>
      </c>
      <c r="G182" s="210" t="n"/>
      <c r="H182" s="210" t="n"/>
      <c r="I182" s="210" t="n"/>
      <c r="J182" s="210" t="n"/>
      <c r="K182" s="210" t="n"/>
      <c r="L182" s="210" t="n"/>
      <c r="M182" s="210" t="n"/>
      <c r="N182" s="210" t="n"/>
      <c r="O182" s="210" t="n"/>
      <c r="P182" s="210" t="n"/>
      <c r="Q182" s="210" t="n"/>
      <c r="R182" s="209" t="n"/>
    </row>
    <row r="183" ht="15" customHeight="1">
      <c r="A183" s="13" t="inlineStr">
        <is>
          <t>People assessed · meet or exceed their level</t>
        </is>
      </c>
      <c r="B183" s="210" t="n"/>
      <c r="C183" s="210" t="n"/>
      <c r="D183" s="210" t="n"/>
      <c r="E183" s="209" t="n"/>
      <c r="F183" s="16" t="inlineStr">
        <is>
          <t>1 · 0</t>
        </is>
      </c>
      <c r="G183" s="210" t="n"/>
      <c r="H183" s="210" t="n"/>
      <c r="I183" s="210" t="n"/>
      <c r="J183" s="210" t="n"/>
      <c r="K183" s="210" t="n"/>
      <c r="L183" s="210" t="n"/>
      <c r="M183" s="210" t="n"/>
      <c r="N183" s="210" t="n"/>
      <c r="O183" s="210" t="n"/>
      <c r="P183" s="210" t="n"/>
      <c r="Q183" s="210" t="n"/>
      <c r="R183" s="209" t="n"/>
    </row>
    <row r="184" ht="15" customHeight="1">
      <c r="A184" s="13" t="inlineStr">
        <is>
          <t>Average index · Core · Future-ready · Functional · Leadership · % of required</t>
        </is>
      </c>
      <c r="B184" s="210" t="n"/>
      <c r="C184" s="210" t="n"/>
      <c r="D184" s="210" t="n"/>
      <c r="E184" s="209" t="n"/>
      <c r="F184" s="16" t="inlineStr">
        <is>
          <t>79% · 87% · 62% · 82% · —%</t>
        </is>
      </c>
      <c r="G184" s="210" t="n"/>
      <c r="H184" s="210" t="n"/>
      <c r="I184" s="210" t="n"/>
      <c r="J184" s="210" t="n"/>
      <c r="K184" s="210" t="n"/>
      <c r="L184" s="210" t="n"/>
      <c r="M184" s="210" t="n"/>
      <c r="N184" s="210" t="n"/>
      <c r="O184" s="210" t="n"/>
      <c r="P184" s="210" t="n"/>
      <c r="Q184" s="210" t="n"/>
      <c r="R184" s="209" t="n"/>
    </row>
    <row r="185" ht="15" customHeight="1">
      <c r="A185" s="13" t="inlineStr">
        <is>
          <t>Most common competency gaps · people</t>
        </is>
      </c>
      <c r="B185" s="210" t="n"/>
      <c r="C185" s="210" t="n"/>
      <c r="D185" s="210" t="n"/>
      <c r="E185" s="209" t="n"/>
      <c r="F185" s="16" t="inlineStr">
        <is>
          <t>Analytics &amp; BI · AI / GenAI · Product &amp; domain</t>
        </is>
      </c>
      <c r="G185" s="210" t="n"/>
      <c r="H185" s="210" t="n"/>
      <c r="I185" s="210" t="n"/>
      <c r="J185" s="210" t="n"/>
      <c r="K185" s="210" t="n"/>
      <c r="L185" s="210" t="n"/>
      <c r="M185" s="210" t="n"/>
      <c r="N185" s="210" t="n"/>
      <c r="O185" s="210" t="n"/>
      <c r="P185" s="210" t="n"/>
      <c r="Q185" s="210" t="n"/>
      <c r="R185" s="209" t="n"/>
    </row>
    <row r="186" ht="15" customHeight="1">
      <c r="A186" s="13" t="inlineStr">
        <is>
          <t>Role-based development priorities · people</t>
        </is>
      </c>
      <c r="B186" s="210" t="n"/>
      <c r="C186" s="210" t="n"/>
      <c r="D186" s="210" t="n"/>
      <c r="E186" s="209" t="n"/>
      <c r="F186" s="16" t="inlineStr">
        <is>
          <t>Broader Ownership &amp; Cross-functional Exposure</t>
        </is>
      </c>
      <c r="G186" s="210" t="n"/>
      <c r="H186" s="210" t="n"/>
      <c r="I186" s="210" t="n"/>
      <c r="J186" s="210" t="n"/>
      <c r="K186" s="210" t="n"/>
      <c r="L186" s="210" t="n"/>
      <c r="M186" s="210" t="n"/>
      <c r="N186" s="210" t="n"/>
      <c r="O186" s="210" t="n"/>
      <c r="P186" s="210" t="n"/>
      <c r="Q186" s="210" t="n"/>
      <c r="R186" s="209" t="n"/>
    </row>
    <row r="187" ht="15" customHeight="1">
      <c r="A187" s="13" t="inlineStr">
        <is>
          <t>Manager-identified training themes</t>
        </is>
      </c>
      <c r="B187" s="210" t="n"/>
      <c r="C187" s="210" t="n"/>
      <c r="D187" s="210" t="n"/>
      <c r="E187" s="209" t="n"/>
      <c r="F187" s="16" t="inlineStr">
        <is>
          <t>Needs to learn the fundamentals of content marketing</t>
        </is>
      </c>
      <c r="G187" s="210" t="n"/>
      <c r="H187" s="210" t="n"/>
      <c r="I187" s="210" t="n"/>
      <c r="J187" s="210" t="n"/>
      <c r="K187" s="210" t="n"/>
      <c r="L187" s="210" t="n"/>
      <c r="M187" s="210" t="n"/>
      <c r="N187" s="210" t="n"/>
      <c r="O187" s="210" t="n"/>
      <c r="P187" s="210" t="n"/>
      <c r="Q187" s="210" t="n"/>
      <c r="R187" s="209" t="n"/>
    </row>
    <row r="188" ht="15" customHeight="1">
      <c r="A188" s="13" t="inlineStr">
        <is>
          <t>What helped people learn · survey</t>
        </is>
      </c>
      <c r="B188" s="210" t="n"/>
      <c r="C188" s="210" t="n"/>
      <c r="D188" s="210" t="n"/>
      <c r="E188" s="209" t="n"/>
      <c r="F188" s="16" t="inlineStr">
        <is>
          <r>
            <rPr>
              <rFont val="Calibri"/>
              <b val="1"/>
              <sz val="10"/>
            </rPr>
            <t>Withheld:</t>
          </r>
          <r>
            <rPr>
              <rFont val="Calibri"/>
              <sz val="10"/>
            </rPr>
            <t xml:space="preserve"> fewer than 3 role-holders answered the survey, so answers would identify a person · IRIS role catalogue entry to follow</t>
          </r>
        </is>
      </c>
      <c r="G188" s="210" t="n"/>
      <c r="H188" s="210" t="n"/>
      <c r="I188" s="210" t="n"/>
      <c r="J188" s="210" t="n"/>
      <c r="K188" s="210" t="n"/>
      <c r="L188" s="210" t="n"/>
      <c r="M188" s="210" t="n"/>
      <c r="N188" s="210" t="n"/>
      <c r="O188" s="210" t="n"/>
      <c r="P188" s="210" t="n"/>
      <c r="Q188" s="210" t="n"/>
      <c r="R188" s="209" t="n"/>
    </row>
    <row r="189" ht="15" customHeight="1">
      <c r="A189" s="13" t="inlineStr">
        <is>
          <t>How the work is changing</t>
        </is>
      </c>
      <c r="B189" s="210" t="n"/>
      <c r="C189" s="210" t="n"/>
      <c r="D189" s="210" t="n"/>
      <c r="E189" s="209" t="n"/>
      <c r="F189" s="16" t="inlineStr">
        <is>
          <t>—</t>
        </is>
      </c>
      <c r="G189" s="210" t="n"/>
      <c r="H189" s="210" t="n"/>
      <c r="I189" s="210" t="n"/>
      <c r="J189" s="210" t="n"/>
      <c r="K189" s="210" t="n"/>
      <c r="L189" s="210" t="n"/>
      <c r="M189" s="210" t="n"/>
      <c r="N189" s="210" t="n"/>
      <c r="O189" s="210" t="n"/>
      <c r="P189" s="210" t="n"/>
      <c r="Q189" s="210" t="n"/>
      <c r="R189" s="209" t="n"/>
    </row>
    <row r="190" ht="15" customHeight="1">
      <c r="A190" s="13" t="inlineStr">
        <is>
          <t>Lateral moves the evidence supports · people</t>
        </is>
      </c>
      <c r="B190" s="210" t="n"/>
      <c r="C190" s="210" t="n"/>
      <c r="D190" s="210" t="n"/>
      <c r="E190" s="209" t="n"/>
      <c r="F190" s="16" t="inlineStr">
        <is>
          <t>No strong match yet</t>
        </is>
      </c>
      <c r="G190" s="210" t="n"/>
      <c r="H190" s="210" t="n"/>
      <c r="I190" s="210" t="n"/>
      <c r="J190" s="210" t="n"/>
      <c r="K190" s="210" t="n"/>
      <c r="L190" s="210" t="n"/>
      <c r="M190" s="210" t="n"/>
      <c r="N190" s="210" t="n"/>
      <c r="O190" s="210" t="n"/>
      <c r="P190" s="210" t="n"/>
      <c r="Q190" s="210" t="n"/>
      <c r="R190" s="209" t="n"/>
    </row>
    <row r="191" ht="15" customHeight="1"/>
    <row r="192" ht="28" customHeight="1">
      <c r="A192" s="12" t="inlineStr">
        <is>
          <t>Cluster</t>
        </is>
      </c>
      <c r="B192" s="12" t="inlineStr">
        <is>
          <t>Competency · ★ = must-have</t>
        </is>
      </c>
      <c r="C192" s="12" t="inlineStr">
        <is>
          <t>Definition</t>
        </is>
      </c>
      <c r="D192" s="12" t="inlineStr">
        <is>
          <t>Must-have for</t>
        </is>
      </c>
      <c r="E192" s="12" t="inlineStr">
        <is>
          <t>A1</t>
        </is>
      </c>
      <c r="F192" s="12" t="inlineStr">
        <is>
          <t>A2</t>
        </is>
      </c>
      <c r="G192" s="12" t="inlineStr">
        <is>
          <t>A3</t>
        </is>
      </c>
      <c r="H192" s="12" t="inlineStr">
        <is>
          <t>B1</t>
        </is>
      </c>
      <c r="I192" s="12" t="inlineStr">
        <is>
          <t>B2</t>
        </is>
      </c>
      <c r="J192" s="12" t="inlineStr">
        <is>
          <t>B3</t>
        </is>
      </c>
      <c r="K192" s="12" t="inlineStr">
        <is>
          <t>B+</t>
        </is>
      </c>
      <c r="L192" s="12" t="inlineStr">
        <is>
          <t>C1</t>
        </is>
      </c>
      <c r="M192" s="12" t="inlineStr">
        <is>
          <t>C2</t>
        </is>
      </c>
      <c r="N192" s="12" t="inlineStr">
        <is>
          <t>C+</t>
        </is>
      </c>
      <c r="O192" s="12" t="inlineStr">
        <is>
          <t>D1</t>
        </is>
      </c>
      <c r="P192" s="12" t="inlineStr">
        <is>
          <t>What good looks like · by proficiency</t>
        </is>
      </c>
      <c r="Q192" s="12" t="inlineStr">
        <is>
          <t>What IRIS top performers do · survey</t>
        </is>
      </c>
      <c r="R192" s="12" t="inlineStr">
        <is>
          <t>How to assess</t>
        </is>
      </c>
      <c r="S192" s="12" t="inlineStr">
        <is>
          <t>Credentials</t>
        </is>
      </c>
      <c r="T192" s="12" t="inlineStr">
        <is>
          <t>Reference</t>
        </is>
      </c>
    </row>
    <row r="193" ht="54" customHeight="1">
      <c r="A193" s="173" t="inlineStr">
        <is>
          <t>Functional</t>
        </is>
      </c>
      <c r="B193" s="173" t="inlineStr">
        <is>
          <t>★ Marketing Tech &amp; Digital Marketing</t>
        </is>
      </c>
      <c r="C193" s="173" t="inlineStr">
        <is>
          <t>Runs CRM, campaigns, SEO and digital channels.</t>
        </is>
      </c>
      <c r="D193" s="173" t="inlineStr">
        <is>
          <t>Marketing &amp; Communications</t>
        </is>
      </c>
      <c r="E193" s="174" t="n">
        <v>1</v>
      </c>
      <c r="F193" s="174" t="n">
        <v>2</v>
      </c>
      <c r="G193" s="174" t="n">
        <v>3</v>
      </c>
      <c r="H193" s="174" t="n">
        <v>3</v>
      </c>
      <c r="I193" s="174" t="n">
        <v>4</v>
      </c>
      <c r="J193" s="174" t="n">
        <v>4</v>
      </c>
      <c r="K193" s="174" t="n">
        <v>4</v>
      </c>
      <c r="L193" s="174" t="n">
        <v>4</v>
      </c>
      <c r="M193" s="174" t="n">
        <v>5</v>
      </c>
      <c r="N193" s="174" t="n">
        <v>5</v>
      </c>
      <c r="O193" s="174" t="n">
        <v>4</v>
      </c>
      <c r="P193" s="173" t="inlineStr">
        <is>
          <t>3 · Runs campaigns, CRM, SEO and social channels
4 · Owns digital strategy, funnel and marketing analytics</t>
        </is>
      </c>
      <c r="Q193" s="173" t="inlineStr">
        <is>
          <t>content, SEO, social media</t>
        </is>
      </c>
      <c r="R193" s="173" t="inlineStr">
        <is>
          <t>Portfolio / case</t>
        </is>
      </c>
      <c r="S193" s="173" t="inlineStr">
        <is>
          <t>Google / HubSpot certifications</t>
        </is>
      </c>
      <c r="T193" s="173" t="inlineStr">
        <is>
          <t>Family set</t>
        </is>
      </c>
    </row>
    <row r="194" ht="54" customHeight="1">
      <c r="A194" s="173" t="inlineStr">
        <is>
          <t>Functional</t>
        </is>
      </c>
      <c r="B194" s="173" t="inlineStr">
        <is>
          <t>★ Communication &amp; Presentation</t>
        </is>
      </c>
      <c r="C194" s="173" t="inlineStr">
        <is>
          <t>Writes and presents clearly to clients and teams.</t>
        </is>
      </c>
      <c r="D194" s="173" t="inlineStr">
        <is>
          <t>Marketing &amp; Communications</t>
        </is>
      </c>
      <c r="E194" s="174" t="n">
        <v>1</v>
      </c>
      <c r="F194" s="174" t="n">
        <v>2</v>
      </c>
      <c r="G194" s="174" t="n">
        <v>3</v>
      </c>
      <c r="H194" s="174" t="n">
        <v>3</v>
      </c>
      <c r="I194" s="174" t="n">
        <v>4</v>
      </c>
      <c r="J194" s="174" t="n">
        <v>4</v>
      </c>
      <c r="K194" s="174" t="n">
        <v>4</v>
      </c>
      <c r="L194" s="174" t="n">
        <v>4</v>
      </c>
      <c r="M194" s="174" t="n">
        <v>5</v>
      </c>
      <c r="N194" s="174" t="n">
        <v>5</v>
      </c>
      <c r="O194" s="174" t="n">
        <v>4</v>
      </c>
      <c r="P194" s="173" t="inlineStr">
        <is>
          <t>3 · Writes and presents clearly to clients and teams
4 · Presents to senior stakeholders; shapes messaging</t>
        </is>
      </c>
      <c r="Q194" s="173" t="inlineStr">
        <is>
          <t>writing, email</t>
        </is>
      </c>
      <c r="R194" s="173" t="inlineStr">
        <is>
          <t>Presentation / writing test</t>
        </is>
      </c>
      <c r="S194" s="173" t="inlineStr">
        <is>
          <t>—</t>
        </is>
      </c>
      <c r="T194" s="173" t="inlineStr">
        <is>
          <t>Family set</t>
        </is>
      </c>
    </row>
    <row r="195" ht="54" customHeight="1">
      <c r="A195" s="173" t="inlineStr">
        <is>
          <t>Functional</t>
        </is>
      </c>
      <c r="B195" s="173" t="inlineStr">
        <is>
          <t>Data Analytics, BI &amp; Visualisation</t>
        </is>
      </c>
      <c r="C195" s="173" t="inlineStr">
        <is>
          <t>Turns data into MIS, dashboards and insight.</t>
        </is>
      </c>
      <c r="D195" s="173" t="inlineStr">
        <is>
          <t>—</t>
        </is>
      </c>
      <c r="E195" s="174" t="n">
        <v>1</v>
      </c>
      <c r="F195" s="174" t="n">
        <v>2</v>
      </c>
      <c r="G195" s="174" t="n">
        <v>3</v>
      </c>
      <c r="H195" s="174" t="n">
        <v>3</v>
      </c>
      <c r="I195" s="174" t="n">
        <v>4</v>
      </c>
      <c r="J195" s="174" t="n">
        <v>4</v>
      </c>
      <c r="K195" s="174" t="n">
        <v>4</v>
      </c>
      <c r="L195" s="174" t="n">
        <v>4</v>
      </c>
      <c r="M195" s="174" t="n">
        <v>5</v>
      </c>
      <c r="N195" s="174" t="n">
        <v>5</v>
      </c>
      <c r="O195" s="174" t="n">
        <v>4</v>
      </c>
      <c r="P195" s="173" t="inlineStr">
        <is>
          <t>3 · Builds MIS, dashboards and analysis
4 · Defines metrics and analytics approach for a business</t>
        </is>
      </c>
      <c r="Q195" s="173" t="inlineStr">
        <is>
          <t>—</t>
        </is>
      </c>
      <c r="R195" s="173" t="inlineStr">
        <is>
          <t>Data case / practical</t>
        </is>
      </c>
      <c r="S195" s="173" t="inlineStr">
        <is>
          <t>Power BI / Tableau · optional</t>
        </is>
      </c>
      <c r="T195" s="173" t="inlineStr">
        <is>
          <t>Family set</t>
        </is>
      </c>
    </row>
    <row r="196" ht="67" customHeight="1">
      <c r="A196" s="173" t="inlineStr">
        <is>
          <t>Functional</t>
        </is>
      </c>
      <c r="B196" s="173" t="inlineStr">
        <is>
          <t>AI, GenAI &amp; Prompt Engineering</t>
        </is>
      </c>
      <c r="C196" s="173" t="inlineStr">
        <is>
          <t>Uses or builds AI and LLM solutions to improve products and work.</t>
        </is>
      </c>
      <c r="D196" s="173" t="inlineStr">
        <is>
          <t>—</t>
        </is>
      </c>
      <c r="E196" s="174" t="n">
        <v>1</v>
      </c>
      <c r="F196" s="174" t="n">
        <v>2</v>
      </c>
      <c r="G196" s="174" t="n">
        <v>3</v>
      </c>
      <c r="H196" s="174" t="n">
        <v>3</v>
      </c>
      <c r="I196" s="174" t="n">
        <v>4</v>
      </c>
      <c r="J196" s="174" t="n">
        <v>4</v>
      </c>
      <c r="K196" s="174" t="n">
        <v>4</v>
      </c>
      <c r="L196" s="174" t="n">
        <v>4</v>
      </c>
      <c r="M196" s="174" t="n">
        <v>5</v>
      </c>
      <c r="N196" s="174" t="n">
        <v>5</v>
      </c>
      <c r="O196" s="174" t="n">
        <v>4</v>
      </c>
      <c r="P196" s="173" t="inlineStr">
        <is>
          <t>3 · Uses AI / LLM tools in own work and validates output
4 · Builds AI features or AI-enabled processes; sets safe-use practice</t>
        </is>
      </c>
      <c r="Q196" s="173" t="inlineStr">
        <is>
          <t>claude, gemini</t>
        </is>
      </c>
      <c r="R196" s="173" t="inlineStr">
        <is>
          <t>Work sample / portfolio</t>
        </is>
      </c>
      <c r="S196" s="173" t="inlineStr">
        <is>
          <t>Vendor AI certifications · optional</t>
        </is>
      </c>
      <c r="T196" s="173" t="inlineStr">
        <is>
          <t>Family set</t>
        </is>
      </c>
    </row>
    <row r="197" ht="54" customHeight="1">
      <c r="A197" s="173" t="inlineStr">
        <is>
          <t>Functional</t>
        </is>
      </c>
      <c r="B197" s="173" t="inlineStr">
        <is>
          <t>Product, Platform &amp; Domain Knowledge</t>
        </is>
      </c>
      <c r="C197" s="173" t="inlineStr">
        <is>
          <t>Knows IRIS products, platforms and the client's domain.</t>
        </is>
      </c>
      <c r="D197" s="173" t="inlineStr">
        <is>
          <t>—</t>
        </is>
      </c>
      <c r="E197" s="174" t="n">
        <v>1</v>
      </c>
      <c r="F197" s="174" t="n">
        <v>2</v>
      </c>
      <c r="G197" s="174" t="n">
        <v>3</v>
      </c>
      <c r="H197" s="174" t="n">
        <v>3</v>
      </c>
      <c r="I197" s="174" t="n">
        <v>4</v>
      </c>
      <c r="J197" s="174" t="n">
        <v>4</v>
      </c>
      <c r="K197" s="174" t="n">
        <v>4</v>
      </c>
      <c r="L197" s="174" t="n">
        <v>4</v>
      </c>
      <c r="M197" s="174" t="n">
        <v>5</v>
      </c>
      <c r="N197" s="174" t="n">
        <v>5</v>
      </c>
      <c r="O197" s="174" t="n">
        <v>4</v>
      </c>
      <c r="P197" s="173" t="inlineStr">
        <is>
          <t>3 · Handles most product and domain scenarios
4 · Recognised product / domain expert; trains others</t>
        </is>
      </c>
      <c r="Q197" s="173" t="inlineStr">
        <is>
          <t>—</t>
        </is>
      </c>
      <c r="R197" s="173" t="inlineStr">
        <is>
          <t>Scenario interview</t>
        </is>
      </c>
      <c r="S197" s="173" t="inlineStr">
        <is>
          <t>Internal product certification</t>
        </is>
      </c>
      <c r="T197" s="173" t="inlineStr">
        <is>
          <t>Family set</t>
        </is>
      </c>
    </row>
    <row r="198" ht="54" customHeight="1">
      <c r="A198" s="173" t="inlineStr">
        <is>
          <t>Functional</t>
        </is>
      </c>
      <c r="B198" s="173" t="inlineStr">
        <is>
          <t>Strategic Thinking &amp; Business Acumen</t>
        </is>
      </c>
      <c r="C198" s="173" t="inlineStr">
        <is>
          <t>Links work to business outcomes, budgets and strategy.</t>
        </is>
      </c>
      <c r="D198" s="173" t="inlineStr">
        <is>
          <t>—</t>
        </is>
      </c>
      <c r="E198" s="174" t="n">
        <v>1</v>
      </c>
      <c r="F198" s="174" t="n">
        <v>2</v>
      </c>
      <c r="G198" s="174" t="n">
        <v>3</v>
      </c>
      <c r="H198" s="174" t="n">
        <v>3</v>
      </c>
      <c r="I198" s="174" t="n">
        <v>4</v>
      </c>
      <c r="J198" s="174" t="n">
        <v>4</v>
      </c>
      <c r="K198" s="174" t="n">
        <v>4</v>
      </c>
      <c r="L198" s="174" t="n">
        <v>4</v>
      </c>
      <c r="M198" s="174" t="n">
        <v>5</v>
      </c>
      <c r="N198" s="174" t="n">
        <v>5</v>
      </c>
      <c r="O198" s="174" t="n">
        <v>4</v>
      </c>
      <c r="P198" s="173" t="inlineStr">
        <is>
          <t>3 · Connects work to business goals and budgets
4 · Shapes strategy, pricing or investment choices</t>
        </is>
      </c>
      <c r="Q198" s="173" t="inlineStr">
        <is>
          <t>market</t>
        </is>
      </c>
      <c r="R198" s="173" t="inlineStr">
        <is>
          <t>Case interview</t>
        </is>
      </c>
      <c r="S198" s="173" t="inlineStr">
        <is>
          <t>MBA / PGDM · preferred at C+</t>
        </is>
      </c>
      <c r="T198" s="173" t="inlineStr">
        <is>
          <t>Family set</t>
        </is>
      </c>
    </row>
    <row r="199" ht="28" customHeight="1">
      <c r="A199" s="135" t="inlineStr">
        <is>
          <t>Leadership</t>
        </is>
      </c>
      <c r="B199" s="135" t="inlineStr">
        <is>
          <t>Leadership cluster · 4 competencies, part C</t>
        </is>
      </c>
      <c r="C199" s="135" t="inlineStr">
        <is>
          <t>Leading people, decisions, strategy and change</t>
        </is>
      </c>
      <c r="D199" s="135" t="inlineStr">
        <is>
          <t>POD Leads and People Managers</t>
        </is>
      </c>
      <c r="E199" s="47" t="inlineStr">
        <is>
          <t>—</t>
        </is>
      </c>
      <c r="F199" s="47" t="inlineStr">
        <is>
          <t>—</t>
        </is>
      </c>
      <c r="G199" s="47" t="inlineStr">
        <is>
          <t>—</t>
        </is>
      </c>
      <c r="H199" s="47" t="inlineStr">
        <is>
          <t>1/2</t>
        </is>
      </c>
      <c r="I199" s="47" t="inlineStr">
        <is>
          <t>2/3</t>
        </is>
      </c>
      <c r="J199" s="47" t="inlineStr">
        <is>
          <t>3/4</t>
        </is>
      </c>
      <c r="K199" s="47" t="inlineStr">
        <is>
          <t>4/4</t>
        </is>
      </c>
      <c r="L199" s="47" t="inlineStr">
        <is>
          <t>4/4</t>
        </is>
      </c>
      <c r="M199" s="47" t="inlineStr">
        <is>
          <t>4/4</t>
        </is>
      </c>
      <c r="N199" s="47" t="inlineStr">
        <is>
          <t>5/5</t>
        </is>
      </c>
      <c r="O199" s="47" t="inlineStr">
        <is>
          <t>5/5</t>
        </is>
      </c>
      <c r="P199" s="135" t="inlineStr">
        <is>
          <t>Required level shown as IC / Manager</t>
        </is>
      </c>
      <c r="Q199" s="135" t="inlineStr">
        <is>
          <t>—</t>
        </is>
      </c>
      <c r="R199" s="135" t="inlineStr">
        <is>
          <t>Behavioural interview; 360 feedback</t>
        </is>
      </c>
      <c r="S199" s="135" t="inlineStr">
        <is>
          <t>—</t>
        </is>
      </c>
      <c r="T199" s="135" t="inlineStr">
        <is>
          <t>S14, S15, S16</t>
        </is>
      </c>
    </row>
    <row r="200" ht="15" customHeight="1"/>
    <row r="201" ht="15" customHeight="1">
      <c r="A201" s="12" t="inlineStr">
        <is>
          <t>Job family</t>
        </is>
      </c>
      <c r="B201" s="12" t="inlineStr">
        <is>
          <t>Education / credentials</t>
        </is>
      </c>
      <c r="C201" s="209" t="n"/>
      <c r="D201" s="12" t="inlineStr">
        <is>
          <t>Gate requirements</t>
        </is>
      </c>
      <c r="E201" s="209" t="n"/>
      <c r="F201" s="12" t="inlineStr">
        <is>
          <t>Learning focus — Band A</t>
        </is>
      </c>
      <c r="G201" s="210" t="n"/>
      <c r="H201" s="210" t="n"/>
      <c r="I201" s="210" t="n"/>
      <c r="J201" s="210" t="n"/>
      <c r="K201" s="209" t="n"/>
      <c r="L201" s="12" t="inlineStr">
        <is>
          <t>Learning focus — Band B</t>
        </is>
      </c>
      <c r="M201" s="210" t="n"/>
      <c r="N201" s="210" t="n"/>
      <c r="O201" s="210" t="n"/>
      <c r="P201" s="209" t="n"/>
      <c r="Q201" s="12" t="inlineStr">
        <is>
          <t>Learning focus — Band C+</t>
        </is>
      </c>
      <c r="R201" s="209" t="n"/>
      <c r="S201" s="12" t="inlineStr">
        <is>
          <t>Future skills</t>
        </is>
      </c>
      <c r="T201" s="209" t="n"/>
    </row>
    <row r="202" ht="80" customHeight="1">
      <c r="A202" s="13" t="inlineStr">
        <is>
          <t>Marketing &amp; Communications</t>
        </is>
      </c>
      <c r="B202" s="16" t="inlineStr">
        <is>
          <t>Graduate / MBA · marketing</t>
        </is>
      </c>
      <c r="C202" s="209" t="n"/>
      <c r="D202" s="16" t="inlineStr">
        <is>
          <t>Brand and data-privacy rules for campaigns</t>
        </is>
      </c>
      <c r="E202" s="209" t="n"/>
      <c r="F202" s="16" t="inlineStr">
        <is>
          <t>Mandatory path · POSH, Code of Conduct, InfoSec; Marketing Tech &amp; Digital Marketing, Communication &amp; Presentation to Working → Practitioner; AI literacy to 2; learn by mentoring and KT.</t>
        </is>
      </c>
      <c r="G202" s="210" t="n"/>
      <c r="H202" s="210" t="n"/>
      <c r="I202" s="210" t="n"/>
      <c r="J202" s="210" t="n"/>
      <c r="K202" s="209" t="n"/>
      <c r="L202" s="16" t="inlineStr">
        <is>
          <t>Marketing Tech &amp; Digital Marketing, Communication &amp; Presentation to Advanced; Data Analytics, BI &amp; Visualisation, AI, GenAI &amp; Prompt Engineering, Product, Platform &amp; Domain Knowledge to Practitioner; POD Leads / Managers: leading people, delegation, feedback.</t>
        </is>
      </c>
      <c r="M202" s="210" t="n"/>
      <c r="N202" s="210" t="n"/>
      <c r="O202" s="210" t="n"/>
      <c r="P202" s="209" t="n"/>
      <c r="Q202" s="16" t="inlineStr">
        <is>
          <t>Expert in one must-have; strategy &amp; business acumen; building the bench; AI-enabled processes for the function.</t>
        </is>
      </c>
      <c r="R202" s="209" t="n"/>
      <c r="S202" s="16" t="inlineStr">
        <is>
          <t>AI content &amp; marketing automation, marketing analytics</t>
        </is>
      </c>
      <c r="T202" s="209" t="n"/>
    </row>
    <row r="203" ht="15" customHeight="1"/>
    <row r="204" ht="15" customHeight="1"/>
    <row r="205" ht="20" customHeight="1">
      <c r="A205" s="172" t="inlineStr">
        <is>
          <t>iDEAL Business Head — 1 person · General management · levels D1</t>
        </is>
      </c>
    </row>
    <row r="206" ht="15" customHeight="1">
      <c r="A206" s="17" t="inlineStr">
        <is>
          <t>Job families: Executive Leadership</t>
        </is>
      </c>
    </row>
    <row r="207" ht="15" customHeight="1">
      <c r="A207" s="12" t="inlineStr">
        <is>
          <t>Capability health today · indicative, from survey + KRAs</t>
        </is>
      </c>
      <c r="B207" s="210" t="n"/>
      <c r="C207" s="210" t="n"/>
      <c r="D207" s="210" t="n"/>
      <c r="E207" s="209" t="n"/>
      <c r="F207" s="12" t="inlineStr">
        <is>
          <t>Result</t>
        </is>
      </c>
      <c r="G207" s="210" t="n"/>
      <c r="H207" s="210" t="n"/>
      <c r="I207" s="210" t="n"/>
      <c r="J207" s="210" t="n"/>
      <c r="K207" s="210" t="n"/>
      <c r="L207" s="210" t="n"/>
      <c r="M207" s="210" t="n"/>
      <c r="N207" s="210" t="n"/>
      <c r="O207" s="210" t="n"/>
      <c r="P207" s="210" t="n"/>
      <c r="Q207" s="210" t="n"/>
      <c r="R207" s="209" t="n"/>
    </row>
    <row r="208" ht="15" customHeight="1">
      <c r="A208" s="13" t="inlineStr">
        <is>
          <t>People assessed · meet or exceed their level</t>
        </is>
      </c>
      <c r="B208" s="210" t="n"/>
      <c r="C208" s="210" t="n"/>
      <c r="D208" s="210" t="n"/>
      <c r="E208" s="209" t="n"/>
      <c r="F208" s="16" t="inlineStr">
        <is>
          <t>1 · 0</t>
        </is>
      </c>
      <c r="G208" s="210" t="n"/>
      <c r="H208" s="210" t="n"/>
      <c r="I208" s="210" t="n"/>
      <c r="J208" s="210" t="n"/>
      <c r="K208" s="210" t="n"/>
      <c r="L208" s="210" t="n"/>
      <c r="M208" s="210" t="n"/>
      <c r="N208" s="210" t="n"/>
      <c r="O208" s="210" t="n"/>
      <c r="P208" s="210" t="n"/>
      <c r="Q208" s="210" t="n"/>
      <c r="R208" s="209" t="n"/>
    </row>
    <row r="209" ht="15" customHeight="1">
      <c r="A209" s="13" t="inlineStr">
        <is>
          <t>Average index · Core · Future-ready · Functional · Leadership · % of required</t>
        </is>
      </c>
      <c r="B209" s="210" t="n"/>
      <c r="C209" s="210" t="n"/>
      <c r="D209" s="210" t="n"/>
      <c r="E209" s="209" t="n"/>
      <c r="F209" s="16" t="inlineStr">
        <is>
          <t>89% · 90% · 88% · 83% · 90%</t>
        </is>
      </c>
      <c r="G209" s="210" t="n"/>
      <c r="H209" s="210" t="n"/>
      <c r="I209" s="210" t="n"/>
      <c r="J209" s="210" t="n"/>
      <c r="K209" s="210" t="n"/>
      <c r="L209" s="210" t="n"/>
      <c r="M209" s="210" t="n"/>
      <c r="N209" s="210" t="n"/>
      <c r="O209" s="210" t="n"/>
      <c r="P209" s="210" t="n"/>
      <c r="Q209" s="210" t="n"/>
      <c r="R209" s="209" t="n"/>
    </row>
    <row r="210" ht="15" customHeight="1">
      <c r="A210" s="13" t="inlineStr">
        <is>
          <t>Most common competency gaps · people</t>
        </is>
      </c>
      <c r="B210" s="210" t="n"/>
      <c r="C210" s="210" t="n"/>
      <c r="D210" s="210" t="n"/>
      <c r="E210" s="209" t="n"/>
      <c r="F210" s="16" t="inlineStr">
        <is>
          <t>People leadership · Stakeholder mgmt · Regulatory domain</t>
        </is>
      </c>
      <c r="G210" s="210" t="n"/>
      <c r="H210" s="210" t="n"/>
      <c r="I210" s="210" t="n"/>
      <c r="J210" s="210" t="n"/>
      <c r="K210" s="210" t="n"/>
      <c r="L210" s="210" t="n"/>
      <c r="M210" s="210" t="n"/>
      <c r="N210" s="210" t="n"/>
      <c r="O210" s="210" t="n"/>
      <c r="P210" s="210" t="n"/>
      <c r="Q210" s="210" t="n"/>
      <c r="R210" s="209" t="n"/>
    </row>
    <row r="211" ht="15" customHeight="1">
      <c r="A211" s="13" t="inlineStr">
        <is>
          <t>Role-based development priorities · people</t>
        </is>
      </c>
      <c r="B211" s="210" t="n"/>
      <c r="C211" s="210" t="n"/>
      <c r="D211" s="210" t="n"/>
      <c r="E211" s="209" t="n"/>
      <c r="F211" s="16" t="inlineStr">
        <is>
          <t>Strategic Thinking &amp; Business Acumen</t>
        </is>
      </c>
      <c r="G211" s="210" t="n"/>
      <c r="H211" s="210" t="n"/>
      <c r="I211" s="210" t="n"/>
      <c r="J211" s="210" t="n"/>
      <c r="K211" s="210" t="n"/>
      <c r="L211" s="210" t="n"/>
      <c r="M211" s="210" t="n"/>
      <c r="N211" s="210" t="n"/>
      <c r="O211" s="210" t="n"/>
      <c r="P211" s="210" t="n"/>
      <c r="Q211" s="210" t="n"/>
      <c r="R211" s="209" t="n"/>
    </row>
    <row r="212" ht="15" customHeight="1">
      <c r="A212" s="13" t="inlineStr">
        <is>
          <t>Manager-identified training themes</t>
        </is>
      </c>
      <c r="B212" s="210" t="n"/>
      <c r="C212" s="210" t="n"/>
      <c r="D212" s="210" t="n"/>
      <c r="E212" s="209" t="n"/>
      <c r="F212" s="16" t="inlineStr">
        <is>
          <t>Training on the effective utilization of AI tools.</t>
        </is>
      </c>
      <c r="G212" s="210" t="n"/>
      <c r="H212" s="210" t="n"/>
      <c r="I212" s="210" t="n"/>
      <c r="J212" s="210" t="n"/>
      <c r="K212" s="210" t="n"/>
      <c r="L212" s="210" t="n"/>
      <c r="M212" s="210" t="n"/>
      <c r="N212" s="210" t="n"/>
      <c r="O212" s="210" t="n"/>
      <c r="P212" s="210" t="n"/>
      <c r="Q212" s="210" t="n"/>
      <c r="R212" s="209" t="n"/>
    </row>
    <row r="213" ht="15" customHeight="1">
      <c r="A213" s="13" t="inlineStr">
        <is>
          <t>What helped people learn · survey</t>
        </is>
      </c>
      <c r="B213" s="210" t="n"/>
      <c r="C213" s="210" t="n"/>
      <c r="D213" s="210" t="n"/>
      <c r="E213" s="209" t="n"/>
      <c r="F213" s="16" t="inlineStr">
        <is>
          <r>
            <rPr>
              <rFont val="Calibri"/>
              <b val="1"/>
              <sz val="10"/>
            </rPr>
            <t>Withheld:</t>
          </r>
          <r>
            <rPr>
              <rFont val="Calibri"/>
              <sz val="10"/>
            </rPr>
            <t xml:space="preserve"> fewer than 3 role-holders answered the survey, so answers would identify a person · IRIS role catalogue entry to follow</t>
          </r>
        </is>
      </c>
      <c r="G213" s="210" t="n"/>
      <c r="H213" s="210" t="n"/>
      <c r="I213" s="210" t="n"/>
      <c r="J213" s="210" t="n"/>
      <c r="K213" s="210" t="n"/>
      <c r="L213" s="210" t="n"/>
      <c r="M213" s="210" t="n"/>
      <c r="N213" s="210" t="n"/>
      <c r="O213" s="210" t="n"/>
      <c r="P213" s="210" t="n"/>
      <c r="Q213" s="210" t="n"/>
      <c r="R213" s="209" t="n"/>
    </row>
    <row r="214" ht="15" customHeight="1">
      <c r="A214" s="13" t="inlineStr">
        <is>
          <t>How the work is changing</t>
        </is>
      </c>
      <c r="B214" s="210" t="n"/>
      <c r="C214" s="210" t="n"/>
      <c r="D214" s="210" t="n"/>
      <c r="E214" s="209" t="n"/>
      <c r="F214" s="16" t="inlineStr">
        <is>
          <t>—</t>
        </is>
      </c>
      <c r="G214" s="210" t="n"/>
      <c r="H214" s="210" t="n"/>
      <c r="I214" s="210" t="n"/>
      <c r="J214" s="210" t="n"/>
      <c r="K214" s="210" t="n"/>
      <c r="L214" s="210" t="n"/>
      <c r="M214" s="210" t="n"/>
      <c r="N214" s="210" t="n"/>
      <c r="O214" s="210" t="n"/>
      <c r="P214" s="210" t="n"/>
      <c r="Q214" s="210" t="n"/>
      <c r="R214" s="209" t="n"/>
    </row>
    <row r="215" ht="15" customHeight="1">
      <c r="A215" s="13" t="inlineStr">
        <is>
          <t>Lateral moves the evidence supports · people</t>
        </is>
      </c>
      <c r="B215" s="210" t="n"/>
      <c r="C215" s="210" t="n"/>
      <c r="D215" s="210" t="n"/>
      <c r="E215" s="209" t="n"/>
      <c r="F215" s="16" t="inlineStr">
        <is>
          <t>No strong match yet</t>
        </is>
      </c>
      <c r="G215" s="210" t="n"/>
      <c r="H215" s="210" t="n"/>
      <c r="I215" s="210" t="n"/>
      <c r="J215" s="210" t="n"/>
      <c r="K215" s="210" t="n"/>
      <c r="L215" s="210" t="n"/>
      <c r="M215" s="210" t="n"/>
      <c r="N215" s="210" t="n"/>
      <c r="O215" s="210" t="n"/>
      <c r="P215" s="210" t="n"/>
      <c r="Q215" s="210" t="n"/>
      <c r="R215" s="209" t="n"/>
    </row>
    <row r="216" ht="15" customHeight="1"/>
    <row r="217" ht="28" customHeight="1">
      <c r="A217" s="12" t="inlineStr">
        <is>
          <t>Cluster</t>
        </is>
      </c>
      <c r="B217" s="12" t="inlineStr">
        <is>
          <t>Competency · ★ = must-have</t>
        </is>
      </c>
      <c r="C217" s="12" t="inlineStr">
        <is>
          <t>Definition</t>
        </is>
      </c>
      <c r="D217" s="12" t="inlineStr">
        <is>
          <t>Must-have for</t>
        </is>
      </c>
      <c r="E217" s="12" t="inlineStr">
        <is>
          <t>A1</t>
        </is>
      </c>
      <c r="F217" s="12" t="inlineStr">
        <is>
          <t>A2</t>
        </is>
      </c>
      <c r="G217" s="12" t="inlineStr">
        <is>
          <t>A3</t>
        </is>
      </c>
      <c r="H217" s="12" t="inlineStr">
        <is>
          <t>B1</t>
        </is>
      </c>
      <c r="I217" s="12" t="inlineStr">
        <is>
          <t>B2</t>
        </is>
      </c>
      <c r="J217" s="12" t="inlineStr">
        <is>
          <t>B3</t>
        </is>
      </c>
      <c r="K217" s="12" t="inlineStr">
        <is>
          <t>B+</t>
        </is>
      </c>
      <c r="L217" s="12" t="inlineStr">
        <is>
          <t>C1</t>
        </is>
      </c>
      <c r="M217" s="12" t="inlineStr">
        <is>
          <t>C2</t>
        </is>
      </c>
      <c r="N217" s="12" t="inlineStr">
        <is>
          <t>C+</t>
        </is>
      </c>
      <c r="O217" s="12" t="inlineStr">
        <is>
          <t>D1</t>
        </is>
      </c>
      <c r="P217" s="12" t="inlineStr">
        <is>
          <t>What good looks like · by proficiency</t>
        </is>
      </c>
      <c r="Q217" s="12" t="inlineStr">
        <is>
          <t>What IRIS top performers do · survey</t>
        </is>
      </c>
      <c r="R217" s="12" t="inlineStr">
        <is>
          <t>How to assess</t>
        </is>
      </c>
      <c r="S217" s="12" t="inlineStr">
        <is>
          <t>Credentials</t>
        </is>
      </c>
      <c r="T217" s="12" t="inlineStr">
        <is>
          <t>Reference</t>
        </is>
      </c>
    </row>
    <row r="218" ht="54" customHeight="1">
      <c r="A218" s="173" t="inlineStr">
        <is>
          <t>Functional</t>
        </is>
      </c>
      <c r="B218" s="173" t="inlineStr">
        <is>
          <t>★ Strategic Thinking &amp; Business Acumen</t>
        </is>
      </c>
      <c r="C218" s="173" t="inlineStr">
        <is>
          <t>Links work to business outcomes, budgets and strategy.</t>
        </is>
      </c>
      <c r="D218" s="173" t="inlineStr">
        <is>
          <t>Executive Leadership</t>
        </is>
      </c>
      <c r="E218" s="174" t="n">
        <v>1</v>
      </c>
      <c r="F218" s="174" t="n">
        <v>2</v>
      </c>
      <c r="G218" s="174" t="n">
        <v>3</v>
      </c>
      <c r="H218" s="174" t="n">
        <v>3</v>
      </c>
      <c r="I218" s="174" t="n">
        <v>4</v>
      </c>
      <c r="J218" s="174" t="n">
        <v>4</v>
      </c>
      <c r="K218" s="174" t="n">
        <v>4</v>
      </c>
      <c r="L218" s="174" t="n">
        <v>4</v>
      </c>
      <c r="M218" s="174" t="n">
        <v>5</v>
      </c>
      <c r="N218" s="174" t="n">
        <v>5</v>
      </c>
      <c r="O218" s="174" t="n">
        <v>4</v>
      </c>
      <c r="P218" s="173" t="inlineStr">
        <is>
          <t>3 · Connects work to business goals and budgets
4 · Shapes strategy, pricing or investment choices</t>
        </is>
      </c>
      <c r="Q218" s="173" t="inlineStr">
        <is>
          <t>—</t>
        </is>
      </c>
      <c r="R218" s="173" t="inlineStr">
        <is>
          <t>Case interview</t>
        </is>
      </c>
      <c r="S218" s="173" t="inlineStr">
        <is>
          <t>MBA / PGDM · preferred at C+</t>
        </is>
      </c>
      <c r="T218" s="173" t="inlineStr">
        <is>
          <t>Family set</t>
        </is>
      </c>
    </row>
    <row r="219" ht="54" customHeight="1">
      <c r="A219" s="173" t="inlineStr">
        <is>
          <t>Functional</t>
        </is>
      </c>
      <c r="B219" s="173" t="inlineStr">
        <is>
          <t>★ People Leadership &amp; Mentoring</t>
        </is>
      </c>
      <c r="C219" s="173" t="inlineStr">
        <is>
          <t>Allocates, coaches and develops people.</t>
        </is>
      </c>
      <c r="D219" s="173" t="inlineStr">
        <is>
          <t>Executive Leadership</t>
        </is>
      </c>
      <c r="E219" s="174" t="n">
        <v>1</v>
      </c>
      <c r="F219" s="174" t="n">
        <v>2</v>
      </c>
      <c r="G219" s="174" t="n">
        <v>3</v>
      </c>
      <c r="H219" s="174" t="n">
        <v>3</v>
      </c>
      <c r="I219" s="174" t="n">
        <v>4</v>
      </c>
      <c r="J219" s="174" t="n">
        <v>4</v>
      </c>
      <c r="K219" s="174" t="n">
        <v>4</v>
      </c>
      <c r="L219" s="174" t="n">
        <v>4</v>
      </c>
      <c r="M219" s="174" t="n">
        <v>5</v>
      </c>
      <c r="N219" s="174" t="n">
        <v>5</v>
      </c>
      <c r="O219" s="174" t="n">
        <v>4</v>
      </c>
      <c r="P219" s="173" t="inlineStr">
        <is>
          <t>3 · Coaches and allocates work
4 · Leads leaders; builds succession</t>
        </is>
      </c>
      <c r="Q219" s="173" t="inlineStr">
        <is>
          <t>—</t>
        </is>
      </c>
      <c r="R219" s="173" t="inlineStr">
        <is>
          <t>Behavioural interview</t>
        </is>
      </c>
      <c r="S219" s="173" t="inlineStr">
        <is>
          <t>—</t>
        </is>
      </c>
      <c r="T219" s="173" t="inlineStr">
        <is>
          <t>Family set</t>
        </is>
      </c>
    </row>
    <row r="220" ht="67" customHeight="1">
      <c r="A220" s="173" t="inlineStr">
        <is>
          <t>Functional</t>
        </is>
      </c>
      <c r="B220" s="173" t="inlineStr">
        <is>
          <t>Stakeholder &amp; Client Management</t>
        </is>
      </c>
      <c r="C220" s="173" t="inlineStr">
        <is>
          <t>Manages clients and stakeholders; handles changing requests.</t>
        </is>
      </c>
      <c r="D220" s="173" t="inlineStr">
        <is>
          <t>—</t>
        </is>
      </c>
      <c r="E220" s="174" t="n">
        <v>1</v>
      </c>
      <c r="F220" s="174" t="n">
        <v>2</v>
      </c>
      <c r="G220" s="174" t="n">
        <v>3</v>
      </c>
      <c r="H220" s="174" t="n">
        <v>3</v>
      </c>
      <c r="I220" s="174" t="n">
        <v>4</v>
      </c>
      <c r="J220" s="174" t="n">
        <v>4</v>
      </c>
      <c r="K220" s="174" t="n">
        <v>4</v>
      </c>
      <c r="L220" s="174" t="n">
        <v>4</v>
      </c>
      <c r="M220" s="174" t="n">
        <v>5</v>
      </c>
      <c r="N220" s="174" t="n">
        <v>5</v>
      </c>
      <c r="O220" s="174" t="n">
        <v>4</v>
      </c>
      <c r="P220" s="173" t="inlineStr">
        <is>
          <t>3 · Manages client communication and expectations for own work
4 · Owns key relationships; resolves escalations</t>
        </is>
      </c>
      <c r="Q220" s="173" t="inlineStr">
        <is>
          <t>—</t>
        </is>
      </c>
      <c r="R220" s="173" t="inlineStr">
        <is>
          <t>Role play / behavioural interview</t>
        </is>
      </c>
      <c r="S220" s="173" t="inlineStr">
        <is>
          <t>—</t>
        </is>
      </c>
      <c r="T220" s="173" t="inlineStr">
        <is>
          <t>Family set</t>
        </is>
      </c>
    </row>
    <row r="221" ht="54" customHeight="1">
      <c r="A221" s="173" t="inlineStr">
        <is>
          <t>Functional</t>
        </is>
      </c>
      <c r="B221" s="173" t="inlineStr">
        <is>
          <t>Product, Platform &amp; Domain Knowledge</t>
        </is>
      </c>
      <c r="C221" s="173" t="inlineStr">
        <is>
          <t>Knows IRIS products, platforms and the client's domain.</t>
        </is>
      </c>
      <c r="D221" s="173" t="inlineStr">
        <is>
          <t>—</t>
        </is>
      </c>
      <c r="E221" s="174" t="n">
        <v>1</v>
      </c>
      <c r="F221" s="174" t="n">
        <v>2</v>
      </c>
      <c r="G221" s="174" t="n">
        <v>3</v>
      </c>
      <c r="H221" s="174" t="n">
        <v>3</v>
      </c>
      <c r="I221" s="174" t="n">
        <v>4</v>
      </c>
      <c r="J221" s="174" t="n">
        <v>4</v>
      </c>
      <c r="K221" s="174" t="n">
        <v>4</v>
      </c>
      <c r="L221" s="174" t="n">
        <v>4</v>
      </c>
      <c r="M221" s="174" t="n">
        <v>5</v>
      </c>
      <c r="N221" s="174" t="n">
        <v>5</v>
      </c>
      <c r="O221" s="174" t="n">
        <v>4</v>
      </c>
      <c r="P221" s="173" t="inlineStr">
        <is>
          <t>3 · Handles most product and domain scenarios
4 · Recognised product / domain expert; trains others</t>
        </is>
      </c>
      <c r="Q221" s="173" t="inlineStr">
        <is>
          <t>—</t>
        </is>
      </c>
      <c r="R221" s="173" t="inlineStr">
        <is>
          <t>Scenario interview</t>
        </is>
      </c>
      <c r="S221" s="173" t="inlineStr">
        <is>
          <t>Internal product certification</t>
        </is>
      </c>
      <c r="T221" s="173" t="inlineStr">
        <is>
          <t>Family set</t>
        </is>
      </c>
    </row>
    <row r="222" ht="54" customHeight="1">
      <c r="A222" s="173" t="inlineStr">
        <is>
          <t>Functional</t>
        </is>
      </c>
      <c r="B222" s="173" t="inlineStr">
        <is>
          <t>Regulatory &amp; BFSI Domain</t>
        </is>
      </c>
      <c r="C222" s="173" t="inlineStr">
        <is>
          <t>Understands regulators, returns, filings and BFSI rules.</t>
        </is>
      </c>
      <c r="D222" s="173" t="inlineStr">
        <is>
          <t>—</t>
        </is>
      </c>
      <c r="E222" s="174" t="n">
        <v>1</v>
      </c>
      <c r="F222" s="174" t="n">
        <v>2</v>
      </c>
      <c r="G222" s="174" t="n">
        <v>3</v>
      </c>
      <c r="H222" s="174" t="n">
        <v>3</v>
      </c>
      <c r="I222" s="174" t="n">
        <v>4</v>
      </c>
      <c r="J222" s="174" t="n">
        <v>4</v>
      </c>
      <c r="K222" s="174" t="n">
        <v>4</v>
      </c>
      <c r="L222" s="174" t="n">
        <v>4</v>
      </c>
      <c r="M222" s="174" t="n">
        <v>5</v>
      </c>
      <c r="N222" s="174" t="n">
        <v>5</v>
      </c>
      <c r="O222" s="174" t="n">
        <v>4</v>
      </c>
      <c r="P222" s="173" t="inlineStr">
        <is>
          <t>3 · Knows the relevant regulators, returns and rules
4 · Interprets new regulation; advises clients and product</t>
        </is>
      </c>
      <c r="Q222" s="173" t="inlineStr">
        <is>
          <t>—</t>
        </is>
      </c>
      <c r="R222" s="173" t="inlineStr">
        <is>
          <t>Domain interview</t>
        </is>
      </c>
      <c r="S222" s="173" t="inlineStr">
        <is>
          <t>Domain certifications · optional</t>
        </is>
      </c>
      <c r="T222" s="173" t="inlineStr">
        <is>
          <t>Family set</t>
        </is>
      </c>
    </row>
    <row r="223" ht="54" customHeight="1">
      <c r="A223" s="173" t="inlineStr">
        <is>
          <t>Functional</t>
        </is>
      </c>
      <c r="B223" s="173" t="inlineStr">
        <is>
          <t>Communication &amp; Presentation</t>
        </is>
      </c>
      <c r="C223" s="173" t="inlineStr">
        <is>
          <t>Writes and presents clearly to clients and teams.</t>
        </is>
      </c>
      <c r="D223" s="173" t="inlineStr">
        <is>
          <t>—</t>
        </is>
      </c>
      <c r="E223" s="174" t="n">
        <v>1</v>
      </c>
      <c r="F223" s="174" t="n">
        <v>2</v>
      </c>
      <c r="G223" s="174" t="n">
        <v>3</v>
      </c>
      <c r="H223" s="174" t="n">
        <v>3</v>
      </c>
      <c r="I223" s="174" t="n">
        <v>4</v>
      </c>
      <c r="J223" s="174" t="n">
        <v>4</v>
      </c>
      <c r="K223" s="174" t="n">
        <v>4</v>
      </c>
      <c r="L223" s="174" t="n">
        <v>4</v>
      </c>
      <c r="M223" s="174" t="n">
        <v>5</v>
      </c>
      <c r="N223" s="174" t="n">
        <v>5</v>
      </c>
      <c r="O223" s="174" t="n">
        <v>4</v>
      </c>
      <c r="P223" s="173" t="inlineStr">
        <is>
          <t>3 · Writes and presents clearly to clients and teams
4 · Presents to senior stakeholders; shapes messaging</t>
        </is>
      </c>
      <c r="Q223" s="173" t="inlineStr">
        <is>
          <t>—</t>
        </is>
      </c>
      <c r="R223" s="173" t="inlineStr">
        <is>
          <t>Presentation / writing test</t>
        </is>
      </c>
      <c r="S223" s="173" t="inlineStr">
        <is>
          <t>—</t>
        </is>
      </c>
      <c r="T223" s="173" t="inlineStr">
        <is>
          <t>Family set</t>
        </is>
      </c>
    </row>
    <row r="224" ht="28" customHeight="1">
      <c r="A224" s="135" t="inlineStr">
        <is>
          <t>Leadership</t>
        </is>
      </c>
      <c r="B224" s="135" t="inlineStr">
        <is>
          <t>Leadership cluster · 4 competencies, part C</t>
        </is>
      </c>
      <c r="C224" s="135" t="inlineStr">
        <is>
          <t>Leading people, decisions, strategy and change</t>
        </is>
      </c>
      <c r="D224" s="135" t="inlineStr">
        <is>
          <t>POD Leads and People Managers</t>
        </is>
      </c>
      <c r="E224" s="47" t="inlineStr">
        <is>
          <t>—</t>
        </is>
      </c>
      <c r="F224" s="47" t="inlineStr">
        <is>
          <t>—</t>
        </is>
      </c>
      <c r="G224" s="47" t="inlineStr">
        <is>
          <t>—</t>
        </is>
      </c>
      <c r="H224" s="47" t="inlineStr">
        <is>
          <t>1/2</t>
        </is>
      </c>
      <c r="I224" s="47" t="inlineStr">
        <is>
          <t>2/3</t>
        </is>
      </c>
      <c r="J224" s="47" t="inlineStr">
        <is>
          <t>3/4</t>
        </is>
      </c>
      <c r="K224" s="47" t="inlineStr">
        <is>
          <t>4/4</t>
        </is>
      </c>
      <c r="L224" s="47" t="inlineStr">
        <is>
          <t>4/4</t>
        </is>
      </c>
      <c r="M224" s="47" t="inlineStr">
        <is>
          <t>4/4</t>
        </is>
      </c>
      <c r="N224" s="47" t="inlineStr">
        <is>
          <t>5/5</t>
        </is>
      </c>
      <c r="O224" s="47" t="inlineStr">
        <is>
          <t>5/5</t>
        </is>
      </c>
      <c r="P224" s="135" t="inlineStr">
        <is>
          <t>Required level shown as IC / Manager</t>
        </is>
      </c>
      <c r="Q224" s="135" t="inlineStr">
        <is>
          <t>—</t>
        </is>
      </c>
      <c r="R224" s="135" t="inlineStr">
        <is>
          <t>Behavioural interview; 360 feedback</t>
        </is>
      </c>
      <c r="S224" s="135" t="inlineStr">
        <is>
          <t>—</t>
        </is>
      </c>
      <c r="T224" s="135" t="inlineStr">
        <is>
          <t>S14, S15, S16</t>
        </is>
      </c>
    </row>
    <row r="225" ht="15" customHeight="1"/>
    <row r="226" ht="15" customHeight="1">
      <c r="A226" s="12" t="inlineStr">
        <is>
          <t>Job family</t>
        </is>
      </c>
      <c r="B226" s="12" t="inlineStr">
        <is>
          <t>Education / credentials</t>
        </is>
      </c>
      <c r="C226" s="209" t="n"/>
      <c r="D226" s="12" t="inlineStr">
        <is>
          <t>Gate requirements</t>
        </is>
      </c>
      <c r="E226" s="209" t="n"/>
      <c r="F226" s="12" t="inlineStr">
        <is>
          <t>Learning focus — Band A</t>
        </is>
      </c>
      <c r="G226" s="210" t="n"/>
      <c r="H226" s="210" t="n"/>
      <c r="I226" s="210" t="n"/>
      <c r="J226" s="210" t="n"/>
      <c r="K226" s="209" t="n"/>
      <c r="L226" s="12" t="inlineStr">
        <is>
          <t>Learning focus — Band B</t>
        </is>
      </c>
      <c r="M226" s="210" t="n"/>
      <c r="N226" s="210" t="n"/>
      <c r="O226" s="210" t="n"/>
      <c r="P226" s="209" t="n"/>
      <c r="Q226" s="12" t="inlineStr">
        <is>
          <t>Learning focus — Band C+</t>
        </is>
      </c>
      <c r="R226" s="209" t="n"/>
      <c r="S226" s="12" t="inlineStr">
        <is>
          <t>Future skills</t>
        </is>
      </c>
      <c r="T226" s="209" t="n"/>
    </row>
    <row r="227" ht="80" customHeight="1">
      <c r="A227" s="13" t="inlineStr">
        <is>
          <t>Executive Leadership</t>
        </is>
      </c>
      <c r="B227" s="16" t="inlineStr">
        <is>
          <t>Postgraduate / professional qualification</t>
        </is>
      </c>
      <c r="C227" s="209" t="n"/>
      <c r="D227" s="16" t="inlineStr">
        <is>
          <t>Governance, risk and regulatory accountability</t>
        </is>
      </c>
      <c r="E227" s="209" t="n"/>
      <c r="F227" s="16" t="inlineStr">
        <is>
          <t>Mandatory path · POSH, Code of Conduct, InfoSec; Strategic Thinking &amp; Business Acumen, People Leadership &amp; Mentoring to Working → Practitioner; AI literacy to 2; learn by mentoring and KT.</t>
        </is>
      </c>
      <c r="G227" s="210" t="n"/>
      <c r="H227" s="210" t="n"/>
      <c r="I227" s="210" t="n"/>
      <c r="J227" s="210" t="n"/>
      <c r="K227" s="209" t="n"/>
      <c r="L227" s="16" t="inlineStr">
        <is>
          <t>Strategic Thinking &amp; Business Acumen, People Leadership &amp; Mentoring to Advanced; Stakeholder &amp; Client Management, Product, Platform &amp; Domain Knowledge, Regulatory &amp; BFSI Domain to Practitioner; POD Leads / Managers: leading people, delegation, feedback.</t>
        </is>
      </c>
      <c r="M227" s="210" t="n"/>
      <c r="N227" s="210" t="n"/>
      <c r="O227" s="210" t="n"/>
      <c r="P227" s="209" t="n"/>
      <c r="Q227" s="16" t="inlineStr">
        <is>
          <t>Expert in one must-have; strategy &amp; business acumen; building the bench; AI-enabled processes for the function.</t>
        </is>
      </c>
      <c r="R227" s="209" t="n"/>
      <c r="S227" s="16" t="inlineStr">
        <is>
          <t>AI strategy &amp; governance, sustainability, digital business models</t>
        </is>
      </c>
      <c r="T227" s="209" t="n"/>
    </row>
  </sheetData>
  <mergeCells count="518">
    <mergeCell ref="C25:H25"/>
    <mergeCell ref="L42:N42"/>
    <mergeCell ref="S177:T177"/>
    <mergeCell ref="L98:P98"/>
    <mergeCell ref="S226:T226"/>
    <mergeCell ref="A64:T64"/>
    <mergeCell ref="F130:R130"/>
    <mergeCell ref="D53:F53"/>
    <mergeCell ref="D47:F47"/>
    <mergeCell ref="F132:R132"/>
    <mergeCell ref="L93:P93"/>
    <mergeCell ref="O32:P32"/>
    <mergeCell ref="A208:E208"/>
    <mergeCell ref="F69:R69"/>
    <mergeCell ref="F183:R183"/>
    <mergeCell ref="Q201:R201"/>
    <mergeCell ref="A210:E210"/>
    <mergeCell ref="O55:P55"/>
    <mergeCell ref="F123:K123"/>
    <mergeCell ref="O40:P40"/>
    <mergeCell ref="A185:E185"/>
    <mergeCell ref="J31:K31"/>
    <mergeCell ref="B55:C55"/>
    <mergeCell ref="I22:R22"/>
    <mergeCell ref="L32:N32"/>
    <mergeCell ref="A206:T206"/>
    <mergeCell ref="D98:E98"/>
    <mergeCell ref="M50:N50"/>
    <mergeCell ref="F185:R185"/>
    <mergeCell ref="A130:E130"/>
    <mergeCell ref="G59:H59"/>
    <mergeCell ref="I46:J46"/>
    <mergeCell ref="Q37:R37"/>
    <mergeCell ref="F105:R105"/>
    <mergeCell ref="A132:E132"/>
    <mergeCell ref="O45:P45"/>
    <mergeCell ref="G48:H48"/>
    <mergeCell ref="F186:R186"/>
    <mergeCell ref="A69:E69"/>
    <mergeCell ref="F107:R107"/>
    <mergeCell ref="A61:T61"/>
    <mergeCell ref="I54:J54"/>
    <mergeCell ref="A183:E183"/>
    <mergeCell ref="Q38:R38"/>
    <mergeCell ref="F42:G42"/>
    <mergeCell ref="A133:E133"/>
    <mergeCell ref="Q122:R122"/>
    <mergeCell ref="B53:C53"/>
    <mergeCell ref="I56:J56"/>
    <mergeCell ref="D55:F55"/>
    <mergeCell ref="K56:L56"/>
    <mergeCell ref="E14:H14"/>
    <mergeCell ref="Q40:R40"/>
    <mergeCell ref="O51:P51"/>
    <mergeCell ref="O58:P58"/>
    <mergeCell ref="F133:R133"/>
    <mergeCell ref="A181:T181"/>
    <mergeCell ref="A209:E209"/>
    <mergeCell ref="F135:R135"/>
    <mergeCell ref="I59:J59"/>
    <mergeCell ref="A211:E211"/>
    <mergeCell ref="A67:E67"/>
    <mergeCell ref="A186:E186"/>
    <mergeCell ref="S93:T93"/>
    <mergeCell ref="K54:L54"/>
    <mergeCell ref="A1:T1"/>
    <mergeCell ref="S122:T122"/>
    <mergeCell ref="L40:N40"/>
    <mergeCell ref="A65:T65"/>
    <mergeCell ref="A66:E66"/>
    <mergeCell ref="A158:E158"/>
    <mergeCell ref="D51:F51"/>
    <mergeCell ref="O59:P59"/>
    <mergeCell ref="Q59:R59"/>
    <mergeCell ref="B34:C34"/>
    <mergeCell ref="O46:P46"/>
    <mergeCell ref="B28:C28"/>
    <mergeCell ref="L227:P227"/>
    <mergeCell ref="Q46:R46"/>
    <mergeCell ref="D28:E28"/>
    <mergeCell ref="A160:E160"/>
    <mergeCell ref="A135:E135"/>
    <mergeCell ref="I16:R16"/>
    <mergeCell ref="E13:H13"/>
    <mergeCell ref="O48:P48"/>
    <mergeCell ref="B30:C30"/>
    <mergeCell ref="G51:H51"/>
    <mergeCell ref="Q48:R48"/>
    <mergeCell ref="D30:E30"/>
    <mergeCell ref="I51:J51"/>
    <mergeCell ref="A72:E72"/>
    <mergeCell ref="F110:R110"/>
    <mergeCell ref="I18:R18"/>
    <mergeCell ref="K57:L57"/>
    <mergeCell ref="E15:H15"/>
    <mergeCell ref="A156:T156"/>
    <mergeCell ref="Q41:R41"/>
    <mergeCell ref="B94:C94"/>
    <mergeCell ref="D94:E94"/>
    <mergeCell ref="F201:K201"/>
    <mergeCell ref="A155:T155"/>
    <mergeCell ref="A24:B24"/>
    <mergeCell ref="Q56:R56"/>
    <mergeCell ref="B150:C150"/>
    <mergeCell ref="B152:C152"/>
    <mergeCell ref="F136:R136"/>
    <mergeCell ref="F207:R207"/>
    <mergeCell ref="A212:E212"/>
    <mergeCell ref="Q34:R34"/>
    <mergeCell ref="A214:E214"/>
    <mergeCell ref="F38:G38"/>
    <mergeCell ref="D122:E122"/>
    <mergeCell ref="Q36:R36"/>
    <mergeCell ref="M57:N57"/>
    <mergeCell ref="L226:P226"/>
    <mergeCell ref="S94:T94"/>
    <mergeCell ref="H33:I33"/>
    <mergeCell ref="J33:K33"/>
    <mergeCell ref="B36:C36"/>
    <mergeCell ref="F129:R129"/>
    <mergeCell ref="S202:T202"/>
    <mergeCell ref="I24:R24"/>
    <mergeCell ref="H35:I35"/>
    <mergeCell ref="F131:R131"/>
    <mergeCell ref="F29:G29"/>
    <mergeCell ref="I17:R17"/>
    <mergeCell ref="A207:E207"/>
    <mergeCell ref="A182:E182"/>
    <mergeCell ref="J28:K28"/>
    <mergeCell ref="B31:C31"/>
    <mergeCell ref="D31:E31"/>
    <mergeCell ref="S176:T176"/>
    <mergeCell ref="H39:I39"/>
    <mergeCell ref="Q51:R51"/>
    <mergeCell ref="K50:L50"/>
    <mergeCell ref="B9:P9"/>
    <mergeCell ref="I58:J58"/>
    <mergeCell ref="Q93:R93"/>
    <mergeCell ref="K58:L58"/>
    <mergeCell ref="K52:L52"/>
    <mergeCell ref="A101:T101"/>
    <mergeCell ref="S151:T151"/>
    <mergeCell ref="A2:T2"/>
    <mergeCell ref="Q9:R9"/>
    <mergeCell ref="M45:N45"/>
    <mergeCell ref="L177:P177"/>
    <mergeCell ref="B49:C49"/>
    <mergeCell ref="K53:L53"/>
    <mergeCell ref="L176:P176"/>
    <mergeCell ref="Q11:R11"/>
    <mergeCell ref="M47:N47"/>
    <mergeCell ref="B32:C32"/>
    <mergeCell ref="I14:R14"/>
    <mergeCell ref="F95:K95"/>
    <mergeCell ref="A157:E157"/>
    <mergeCell ref="A127:T127"/>
    <mergeCell ref="H41:I41"/>
    <mergeCell ref="F210:R210"/>
    <mergeCell ref="Q52:R52"/>
    <mergeCell ref="F97:K97"/>
    <mergeCell ref="K55:L55"/>
    <mergeCell ref="Q39:R39"/>
    <mergeCell ref="H34:I34"/>
    <mergeCell ref="J34:K34"/>
    <mergeCell ref="F157:R157"/>
    <mergeCell ref="H36:I36"/>
    <mergeCell ref="J36:K36"/>
    <mergeCell ref="A104:E104"/>
    <mergeCell ref="B37:C37"/>
    <mergeCell ref="Q226:R226"/>
    <mergeCell ref="D37:E37"/>
    <mergeCell ref="I25:R25"/>
    <mergeCell ref="A106:E106"/>
    <mergeCell ref="D46:F46"/>
    <mergeCell ref="L37:N37"/>
    <mergeCell ref="D38:E38"/>
    <mergeCell ref="S123:T123"/>
    <mergeCell ref="M53:N53"/>
    <mergeCell ref="A102:T102"/>
    <mergeCell ref="J29:K29"/>
    <mergeCell ref="M55:N55"/>
    <mergeCell ref="I20:R20"/>
    <mergeCell ref="L150:P150"/>
    <mergeCell ref="H31:I31"/>
    <mergeCell ref="B96:C96"/>
    <mergeCell ref="D96:E96"/>
    <mergeCell ref="M48:N48"/>
    <mergeCell ref="B58:C58"/>
    <mergeCell ref="I13:R13"/>
    <mergeCell ref="B52:C52"/>
    <mergeCell ref="B98:C98"/>
    <mergeCell ref="I15:R15"/>
    <mergeCell ref="F96:K96"/>
    <mergeCell ref="Q177:R177"/>
    <mergeCell ref="A21:B21"/>
    <mergeCell ref="Q176:R176"/>
    <mergeCell ref="F98:K98"/>
    <mergeCell ref="D93:E93"/>
    <mergeCell ref="D59:F59"/>
    <mergeCell ref="A23:B23"/>
    <mergeCell ref="O47:P47"/>
    <mergeCell ref="B7:P7"/>
    <mergeCell ref="F227:K227"/>
    <mergeCell ref="F163:R163"/>
    <mergeCell ref="G54:H54"/>
    <mergeCell ref="F202:K202"/>
    <mergeCell ref="H42:I42"/>
    <mergeCell ref="B45:C45"/>
    <mergeCell ref="O38:P38"/>
    <mergeCell ref="J42:K42"/>
    <mergeCell ref="F165:R165"/>
    <mergeCell ref="G56:H56"/>
    <mergeCell ref="J39:K39"/>
    <mergeCell ref="B47:C47"/>
    <mergeCell ref="B59:C59"/>
    <mergeCell ref="B46:C46"/>
    <mergeCell ref="I49:J49"/>
    <mergeCell ref="D48:F48"/>
    <mergeCell ref="O33:P33"/>
    <mergeCell ref="J37:K37"/>
    <mergeCell ref="A107:E107"/>
    <mergeCell ref="Q33:R33"/>
    <mergeCell ref="D40:E40"/>
    <mergeCell ref="F40:G40"/>
    <mergeCell ref="C21:H21"/>
    <mergeCell ref="Q8:R8"/>
    <mergeCell ref="L38:N38"/>
    <mergeCell ref="B48:C48"/>
    <mergeCell ref="F93:K93"/>
    <mergeCell ref="C23:H23"/>
    <mergeCell ref="D56:F56"/>
    <mergeCell ref="Q10:R10"/>
    <mergeCell ref="A205:T205"/>
    <mergeCell ref="D41:E41"/>
    <mergeCell ref="F41:G41"/>
    <mergeCell ref="F35:G35"/>
    <mergeCell ref="F151:K151"/>
    <mergeCell ref="F128:R128"/>
    <mergeCell ref="H32:I32"/>
    <mergeCell ref="J32:K32"/>
    <mergeCell ref="L94:P94"/>
    <mergeCell ref="B16:D16"/>
    <mergeCell ref="L202:P202"/>
    <mergeCell ref="B201:C201"/>
    <mergeCell ref="D201:E201"/>
    <mergeCell ref="B18:D18"/>
    <mergeCell ref="S150:T150"/>
    <mergeCell ref="D49:F49"/>
    <mergeCell ref="A44:T44"/>
    <mergeCell ref="F177:K177"/>
    <mergeCell ref="K49:L49"/>
    <mergeCell ref="L33:N33"/>
    <mergeCell ref="M59:N59"/>
    <mergeCell ref="A103:E103"/>
    <mergeCell ref="B8:P8"/>
    <mergeCell ref="L35:N35"/>
    <mergeCell ref="D36:E36"/>
    <mergeCell ref="B10:P10"/>
    <mergeCell ref="M54:N54"/>
    <mergeCell ref="A128:E128"/>
    <mergeCell ref="O54:P54"/>
    <mergeCell ref="G57:H57"/>
    <mergeCell ref="L151:P151"/>
    <mergeCell ref="O41:P41"/>
    <mergeCell ref="O35:P35"/>
    <mergeCell ref="F187:R187"/>
    <mergeCell ref="Q35:R35"/>
    <mergeCell ref="F103:R103"/>
    <mergeCell ref="A136:E136"/>
    <mergeCell ref="A129:E129"/>
    <mergeCell ref="G58:H58"/>
    <mergeCell ref="Q49:R49"/>
    <mergeCell ref="I52:J52"/>
    <mergeCell ref="D176:E176"/>
    <mergeCell ref="Q30:R30"/>
    <mergeCell ref="C24:H24"/>
    <mergeCell ref="A126:T126"/>
    <mergeCell ref="A131:E131"/>
    <mergeCell ref="F70:R70"/>
    <mergeCell ref="B51:C51"/>
    <mergeCell ref="F134:R134"/>
    <mergeCell ref="D57:F57"/>
    <mergeCell ref="L95:P95"/>
    <mergeCell ref="F71:R71"/>
    <mergeCell ref="B17:D17"/>
    <mergeCell ref="L97:P97"/>
    <mergeCell ref="Q54:R54"/>
    <mergeCell ref="I57:J57"/>
    <mergeCell ref="L41:N41"/>
    <mergeCell ref="O29:P29"/>
    <mergeCell ref="Q29:R29"/>
    <mergeCell ref="F33:G33"/>
    <mergeCell ref="L34:N34"/>
    <mergeCell ref="F176:K176"/>
    <mergeCell ref="O31:P31"/>
    <mergeCell ref="Q31:R31"/>
    <mergeCell ref="Q202:R202"/>
    <mergeCell ref="F68:R68"/>
    <mergeCell ref="B29:C29"/>
    <mergeCell ref="L36:N36"/>
    <mergeCell ref="S97:T97"/>
    <mergeCell ref="F31:G31"/>
    <mergeCell ref="L123:P123"/>
    <mergeCell ref="F28:G28"/>
    <mergeCell ref="O56:P56"/>
    <mergeCell ref="H28:I28"/>
    <mergeCell ref="D39:E39"/>
    <mergeCell ref="F39:G39"/>
    <mergeCell ref="F213:R213"/>
    <mergeCell ref="L152:P152"/>
    <mergeCell ref="B95:C95"/>
    <mergeCell ref="F188:R188"/>
    <mergeCell ref="A63:T63"/>
    <mergeCell ref="O57:P57"/>
    <mergeCell ref="F215:R215"/>
    <mergeCell ref="Q57:R57"/>
    <mergeCell ref="B97:C97"/>
    <mergeCell ref="F190:R190"/>
    <mergeCell ref="B11:P11"/>
    <mergeCell ref="B14:D14"/>
    <mergeCell ref="A73:E73"/>
    <mergeCell ref="E16:H16"/>
    <mergeCell ref="B13:D13"/>
    <mergeCell ref="Q42:R42"/>
    <mergeCell ref="I45:J45"/>
    <mergeCell ref="Q151:R151"/>
    <mergeCell ref="K45:L45"/>
    <mergeCell ref="F122:K122"/>
    <mergeCell ref="E18:H18"/>
    <mergeCell ref="I47:J47"/>
    <mergeCell ref="K47:L47"/>
    <mergeCell ref="B42:C42"/>
    <mergeCell ref="D58:F58"/>
    <mergeCell ref="F73:R73"/>
    <mergeCell ref="K46:L46"/>
    <mergeCell ref="F208:R208"/>
    <mergeCell ref="A213:E213"/>
    <mergeCell ref="F74:R74"/>
    <mergeCell ref="A215:E215"/>
    <mergeCell ref="Q95:R95"/>
    <mergeCell ref="S95:T95"/>
    <mergeCell ref="Q45:R45"/>
    <mergeCell ref="Q32:R32"/>
    <mergeCell ref="C20:H20"/>
    <mergeCell ref="H30:I30"/>
    <mergeCell ref="Q47:R47"/>
    <mergeCell ref="Q96:R96"/>
    <mergeCell ref="H29:I29"/>
    <mergeCell ref="C22:H22"/>
    <mergeCell ref="L39:N39"/>
    <mergeCell ref="A70:E70"/>
    <mergeCell ref="Q58:R58"/>
    <mergeCell ref="G53:H53"/>
    <mergeCell ref="Q150:R150"/>
    <mergeCell ref="Q50:R50"/>
    <mergeCell ref="I53:J53"/>
    <mergeCell ref="B15:D15"/>
    <mergeCell ref="A74:E74"/>
    <mergeCell ref="K59:L59"/>
    <mergeCell ref="E17:H17"/>
    <mergeCell ref="A163:E163"/>
    <mergeCell ref="Q152:R152"/>
    <mergeCell ref="I55:J55"/>
    <mergeCell ref="S152:T152"/>
    <mergeCell ref="A3:T3"/>
    <mergeCell ref="M46:N46"/>
    <mergeCell ref="D227:E227"/>
    <mergeCell ref="D202:E202"/>
    <mergeCell ref="I48:J48"/>
    <mergeCell ref="K48:L48"/>
    <mergeCell ref="A5:T5"/>
    <mergeCell ref="F37:G37"/>
    <mergeCell ref="F209:R209"/>
    <mergeCell ref="M56:N56"/>
    <mergeCell ref="Q7:R7"/>
    <mergeCell ref="O53:P53"/>
    <mergeCell ref="F211:R211"/>
    <mergeCell ref="F67:R67"/>
    <mergeCell ref="B93:C93"/>
    <mergeCell ref="S96:T96"/>
    <mergeCell ref="Q55:R55"/>
    <mergeCell ref="B151:C151"/>
    <mergeCell ref="S98:T98"/>
    <mergeCell ref="D151:E151"/>
    <mergeCell ref="D150:E150"/>
    <mergeCell ref="A105:E105"/>
    <mergeCell ref="A27:T27"/>
    <mergeCell ref="B38:C38"/>
    <mergeCell ref="A71:E71"/>
    <mergeCell ref="F158:R158"/>
    <mergeCell ref="H37:I37"/>
    <mergeCell ref="B40:C40"/>
    <mergeCell ref="A22:B22"/>
    <mergeCell ref="A184:E184"/>
    <mergeCell ref="F160:R160"/>
    <mergeCell ref="B177:C177"/>
    <mergeCell ref="B33:C33"/>
    <mergeCell ref="D177:E177"/>
    <mergeCell ref="D33:E33"/>
    <mergeCell ref="A165:E165"/>
    <mergeCell ref="D226:E226"/>
    <mergeCell ref="F159:R159"/>
    <mergeCell ref="I21:R21"/>
    <mergeCell ref="B41:C41"/>
    <mergeCell ref="F72:R72"/>
    <mergeCell ref="B35:C35"/>
    <mergeCell ref="Q53:R53"/>
    <mergeCell ref="D35:E35"/>
    <mergeCell ref="I23:R23"/>
    <mergeCell ref="D34:E34"/>
    <mergeCell ref="F184:R184"/>
    <mergeCell ref="F34:G34"/>
    <mergeCell ref="Q97:R97"/>
    <mergeCell ref="K51:L51"/>
    <mergeCell ref="F30:G30"/>
    <mergeCell ref="M51:N51"/>
    <mergeCell ref="F212:R212"/>
    <mergeCell ref="G49:H49"/>
    <mergeCell ref="F226:K226"/>
    <mergeCell ref="F108:R108"/>
    <mergeCell ref="D54:F54"/>
    <mergeCell ref="F214:R214"/>
    <mergeCell ref="A159:E159"/>
    <mergeCell ref="Q123:R123"/>
    <mergeCell ref="D152:E152"/>
    <mergeCell ref="S201:T201"/>
    <mergeCell ref="L28:N28"/>
    <mergeCell ref="D29:E29"/>
    <mergeCell ref="A161:E161"/>
    <mergeCell ref="A180:T180"/>
    <mergeCell ref="Q227:R227"/>
    <mergeCell ref="B54:C54"/>
    <mergeCell ref="H38:I38"/>
    <mergeCell ref="O34:P34"/>
    <mergeCell ref="J38:K38"/>
    <mergeCell ref="O28:P28"/>
    <mergeCell ref="F94:K94"/>
    <mergeCell ref="Q28:R28"/>
    <mergeCell ref="M52:N52"/>
    <mergeCell ref="M49:N49"/>
    <mergeCell ref="F161:R161"/>
    <mergeCell ref="B122:C122"/>
    <mergeCell ref="B56:C56"/>
    <mergeCell ref="O39:P39"/>
    <mergeCell ref="H40:I40"/>
    <mergeCell ref="A110:E110"/>
    <mergeCell ref="O36:P36"/>
    <mergeCell ref="J40:K40"/>
    <mergeCell ref="B176:C176"/>
    <mergeCell ref="O30:P30"/>
    <mergeCell ref="F150:K150"/>
    <mergeCell ref="A187:E187"/>
    <mergeCell ref="A108:E108"/>
    <mergeCell ref="F36:G36"/>
    <mergeCell ref="Q94:R94"/>
    <mergeCell ref="F162:R162"/>
    <mergeCell ref="F152:K152"/>
    <mergeCell ref="B57:C57"/>
    <mergeCell ref="A189:E189"/>
    <mergeCell ref="J35:K35"/>
    <mergeCell ref="Q6:R6"/>
    <mergeCell ref="D50:F50"/>
    <mergeCell ref="Q98:R98"/>
    <mergeCell ref="L96:P96"/>
    <mergeCell ref="F189:R189"/>
    <mergeCell ref="L201:P201"/>
    <mergeCell ref="A134:E134"/>
    <mergeCell ref="S227:T227"/>
    <mergeCell ref="G50:H50"/>
    <mergeCell ref="F66:R66"/>
    <mergeCell ref="D45:F45"/>
    <mergeCell ref="I50:J50"/>
    <mergeCell ref="F109:R109"/>
    <mergeCell ref="M58:N58"/>
    <mergeCell ref="G52:H52"/>
    <mergeCell ref="B227:C227"/>
    <mergeCell ref="F111:R111"/>
    <mergeCell ref="B202:C202"/>
    <mergeCell ref="L30:N30"/>
    <mergeCell ref="L29:N29"/>
    <mergeCell ref="A162:E162"/>
    <mergeCell ref="B39:C39"/>
    <mergeCell ref="J30:K30"/>
    <mergeCell ref="D95:E95"/>
    <mergeCell ref="A25:B25"/>
    <mergeCell ref="O49:P49"/>
    <mergeCell ref="L31:N31"/>
    <mergeCell ref="D32:E32"/>
    <mergeCell ref="A164:E164"/>
    <mergeCell ref="F182:R182"/>
    <mergeCell ref="F32:G32"/>
    <mergeCell ref="D97:E97"/>
    <mergeCell ref="B6:P6"/>
    <mergeCell ref="O50:P50"/>
    <mergeCell ref="J41:K41"/>
    <mergeCell ref="B226:C226"/>
    <mergeCell ref="O42:P42"/>
    <mergeCell ref="G45:H45"/>
    <mergeCell ref="L122:P122"/>
    <mergeCell ref="F104:R104"/>
    <mergeCell ref="A188:E188"/>
    <mergeCell ref="F164:R164"/>
    <mergeCell ref="O52:P52"/>
    <mergeCell ref="G55:H55"/>
    <mergeCell ref="A20:B20"/>
    <mergeCell ref="A109:E109"/>
    <mergeCell ref="D42:E42"/>
    <mergeCell ref="G47:H47"/>
    <mergeCell ref="A68:E68"/>
    <mergeCell ref="F106:R106"/>
    <mergeCell ref="B123:C123"/>
    <mergeCell ref="A190:E190"/>
    <mergeCell ref="D123:E123"/>
    <mergeCell ref="G46:H46"/>
    <mergeCell ref="B50:C50"/>
    <mergeCell ref="D52:F52"/>
    <mergeCell ref="O37:P37"/>
    <mergeCell ref="A111:E111"/>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2.xml><?xml version="1.0" encoding="utf-8"?>
<worksheet xmlns="http://schemas.openxmlformats.org/spreadsheetml/2006/main">
  <sheetPr>
    <tabColor rgb="00C55A11"/>
    <outlinePr summaryBelow="1" summaryRight="1"/>
    <pageSetUpPr fitToPage="1"/>
  </sheetPr>
  <dimension ref="A1:AZ42"/>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8" customWidth="1" min="2" max="2"/>
    <col width="22" customWidth="1" min="3" max="3"/>
    <col width="6" customWidth="1" min="4" max="4"/>
    <col width="14" customWidth="1" min="5" max="5"/>
    <col width="9" customWidth="1" min="6" max="6"/>
    <col width="28" customWidth="1" min="7" max="7"/>
    <col width="7" customWidth="1" min="8" max="8"/>
    <col width="18" customWidth="1" min="9" max="9"/>
    <col width="7" customWidth="1" min="10" max="10"/>
    <col width="24" customWidth="1" min="11" max="11"/>
    <col width="18" customWidth="1" min="12" max="12"/>
    <col width="44" customWidth="1" min="13" max="13"/>
    <col width="40" customWidth="1" min="14" max="14"/>
    <col width="32" customWidth="1" min="15" max="15"/>
    <col width="30" customWidth="1" min="16" max="16"/>
    <col width="30" customWidth="1" min="17" max="17"/>
    <col width="34" customWidth="1" min="18" max="18"/>
    <col width="28" customWidth="1" min="19" max="19"/>
    <col width="26" customWidth="1" min="20" max="20"/>
    <col width="26" customWidth="1" min="21" max="21"/>
    <col width="24" customWidth="1" min="22" max="22"/>
    <col width="22" customWidth="1" min="23" max="23"/>
    <col width="22" customWidth="1" min="24" max="24"/>
    <col width="22" customWidth="1" min="25" max="25"/>
    <col width="10" customWidth="1" min="26" max="26"/>
    <col width="22" customWidth="1" min="27" max="27"/>
    <col width="20" customWidth="1" min="28" max="28"/>
    <col width="18" customWidth="1" min="29" max="29"/>
    <col width="22" customWidth="1" min="30" max="30"/>
    <col width="30" customWidth="1" min="31" max="31"/>
    <col width="30" customWidth="1" min="32" max="32"/>
    <col width="9" customWidth="1" min="33" max="33"/>
    <col width="8" customWidth="1" min="34" max="34"/>
    <col width="34" customWidth="1" min="35" max="35"/>
    <col width="26" customWidth="1" min="36" max="36"/>
    <col width="26" customWidth="1" min="37" max="37"/>
    <col width="28" customWidth="1" min="38" max="38"/>
    <col width="26" customWidth="1" min="39" max="39"/>
    <col width="24" customWidth="1" min="40" max="40"/>
    <col width="26" customWidth="1" min="41" max="41"/>
    <col width="26" customWidth="1" min="42" max="42"/>
    <col width="24" customWidth="1" min="43" max="43"/>
    <col width="34" customWidth="1" min="44" max="44"/>
    <col width="22" customWidth="1" min="45" max="45"/>
    <col width="32" customWidth="1" min="46" max="46"/>
    <col width="28" customWidth="1" min="47" max="47"/>
    <col width="28" customWidth="1" min="48" max="48"/>
    <col width="30" customWidth="1" min="49" max="49"/>
    <col width="22" customWidth="1" min="50" max="50"/>
    <col width="22" customWidth="1" min="51" max="51"/>
    <col width="13" customWidth="1" min="52" max="52"/>
  </cols>
  <sheetData>
    <row r="1" ht="34" customHeight="1">
      <c r="A1" s="1" t="inlineStr">
        <is>
          <t>Role Catalogue — the roles held in this workbook, as defined once for all of IRIS</t>
        </is>
      </c>
      <c r="AZ1" s="241" t="inlineStr">
        <is>
          <t>◂ Contents</t>
        </is>
      </c>
    </row>
    <row r="2" ht="30" customHeight="1">
      <c r="A2" s="3" t="inlineStr">
        <is>
          <t>Sheet 6 · One row per catalogue role · job family × sub-family × level × track that someone here holds. The entry is the same IRIS-wide in every workbook: purpose and responsibilities are written in catalogue language · the sub-family definition and the level standard, followed by the common themes in the role-holders' own answers · 3+ answered — the role itself, else its sub-family across levels; the 'Evidence basis' column says which. Views of the role are counted themes, never quoted. The full catalogue is in IRIS_JA_3_Framework_and_Model_Master.xlsx.</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row>
    <row r="5" ht="32" customHeight="1">
      <c r="A5" s="73" t="inlineStr">
        <is>
          <t>ROLE</t>
        </is>
      </c>
      <c r="J5" s="74" t="inlineStr">
        <is>
          <t>IN THIS WORKBOOK</t>
        </is>
      </c>
      <c r="M5" s="76" t="inlineStr">
        <is>
          <t>PURPOSE &amp; RESPONSIBILITIES · catalogue text + common themes from role-holders' own answers</t>
        </is>
      </c>
      <c r="U5" s="77" t="inlineStr">
        <is>
          <t>WHAT THE LEVEL REQUIRES · framework standard</t>
        </is>
      </c>
      <c r="AD5" s="79" t="inlineStr">
        <is>
          <t>CAPABILITY</t>
        </is>
      </c>
      <c r="AG5" s="81" t="inlineStr">
        <is>
          <t>MARKET &amp; CAREER</t>
        </is>
      </c>
      <c r="AL5" s="83" t="inlineStr">
        <is>
          <t>LEARNING &amp; VOICE OF THE ROLE · counted themes — never quoted</t>
        </is>
      </c>
      <c r="AR5" s="85" t="inlineStr">
        <is>
          <t>DISCIPLINE DETAIL — from IRIS Career Architecture V2 · HR research, adopted 7 Oct 2026; comparable stage by scope, not a grade</t>
        </is>
      </c>
      <c r="AX5" s="87" t="inlineStr">
        <is>
          <t>EVIDENCE</t>
        </is>
      </c>
    </row>
    <row r="6" ht="46" customHeight="1">
      <c r="A6" s="91" t="inlineStr">
        <is>
          <t>Catalogue ID</t>
        </is>
      </c>
      <c r="B6" s="92" t="inlineStr">
        <is>
          <t>Job family</t>
        </is>
      </c>
      <c r="C6" s="92" t="inlineStr">
        <is>
          <t>Sub-family</t>
        </is>
      </c>
      <c r="D6" s="92" t="inlineStr">
        <is>
          <t>Level</t>
        </is>
      </c>
      <c r="E6" s="92" t="inlineStr">
        <is>
          <t>Level title</t>
        </is>
      </c>
      <c r="F6" s="92" t="inlineStr">
        <is>
          <t>Track</t>
        </is>
      </c>
      <c r="G6" s="92" t="inlineStr">
        <is>
          <t>Designations used at IRIS</t>
        </is>
      </c>
      <c r="H6" s="92" t="inlineStr">
        <is>
          <t>Holders</t>
        </is>
      </c>
      <c r="I6" s="92" t="inlineStr">
        <is>
          <t>Holders by business</t>
        </is>
      </c>
      <c r="J6" s="93" t="inlineStr">
        <is>
          <t>Holders here</t>
        </is>
      </c>
      <c r="K6" s="12" t="inlineStr">
        <is>
          <t>Who</t>
        </is>
      </c>
      <c r="L6" s="12" t="inlineStr">
        <is>
          <t>Department · s here</t>
        </is>
      </c>
      <c r="M6" s="94" t="inlineStr">
        <is>
          <t>Purpose</t>
        </is>
      </c>
      <c r="N6" s="157" t="inlineStr">
        <is>
          <t>Key responsibilities</t>
        </is>
      </c>
      <c r="O6" s="157" t="inlineStr">
        <is>
          <t>Deliverables</t>
        </is>
      </c>
      <c r="P6" s="157" t="inlineStr">
        <is>
          <t>Accountable for</t>
        </is>
      </c>
      <c r="Q6" s="157" t="inlineStr">
        <is>
          <t>Decision rights</t>
        </is>
      </c>
      <c r="R6" s="157" t="inlineStr">
        <is>
          <t>Manager-set KRAs · common themes</t>
        </is>
      </c>
      <c r="S6" s="157" t="inlineStr">
        <is>
          <t>Skills &amp; knowledge · counts</t>
        </is>
      </c>
      <c r="T6" s="157" t="inlineStr">
        <is>
          <t>Tools &amp; platforms · counts</t>
        </is>
      </c>
      <c r="U6" s="95" t="inlineStr">
        <is>
          <t>What the role owns</t>
        </is>
      </c>
      <c r="V6" s="96" t="inlineStr">
        <is>
          <t>Complexity &amp; expertise</t>
        </is>
      </c>
      <c r="W6" s="96" t="inlineStr">
        <is>
          <t>Autonomy &amp; decisions</t>
        </is>
      </c>
      <c r="X6" s="96" t="inlineStr">
        <is>
          <t>Accountability &amp; impact</t>
        </is>
      </c>
      <c r="Y6" s="96" t="inlineStr">
        <is>
          <t>Leadership</t>
        </is>
      </c>
      <c r="Z6" s="96" t="inlineStr">
        <is>
          <t>Experience · guide</t>
        </is>
      </c>
      <c r="AA6" s="96" t="inlineStr">
        <is>
          <t>Education</t>
        </is>
      </c>
      <c r="AB6" s="96" t="inlineStr">
        <is>
          <t>Credentials</t>
        </is>
      </c>
      <c r="AC6" s="96" t="inlineStr">
        <is>
          <t>Span of control</t>
        </is>
      </c>
      <c r="AD6" s="97" t="inlineStr">
        <is>
          <t>Proficiency by cluster</t>
        </is>
      </c>
      <c r="AE6" s="98" t="inlineStr">
        <is>
          <t>★ Must-have competencies</t>
        </is>
      </c>
      <c r="AF6" s="98" t="inlineStr">
        <is>
          <t>Other functional competencies</t>
        </is>
      </c>
      <c r="AG6" s="99" t="inlineStr">
        <is>
          <t>Radford / Mercer</t>
        </is>
      </c>
      <c r="AH6" s="100" t="inlineStr">
        <is>
          <t>SFIA 9</t>
        </is>
      </c>
      <c r="AI6" s="100" t="inlineStr">
        <is>
          <t>Peer equivalents</t>
        </is>
      </c>
      <c r="AJ6" s="100" t="inlineStr">
        <is>
          <t>Professional standard</t>
        </is>
      </c>
      <c r="AK6" s="100" t="inlineStr">
        <is>
          <t>Next step</t>
        </is>
      </c>
      <c r="AL6" s="101" t="inlineStr">
        <is>
          <t>Learning needs · topics, people</t>
        </is>
      </c>
      <c r="AM6" s="102" t="inlineStr">
        <is>
          <t>Manager-identified training</t>
        </is>
      </c>
      <c r="AN6" s="102" t="inlineStr">
        <is>
          <t>What helped people learn</t>
        </is>
      </c>
      <c r="AO6" s="102" t="inlineStr">
        <is>
          <t>What slows the role down · themes</t>
        </is>
      </c>
      <c r="AP6" s="102" t="inlineStr">
        <is>
          <t>If one thing could change · themes</t>
        </is>
      </c>
      <c r="AQ6" s="102" t="inlineStr">
        <is>
          <t>How the role is changing</t>
        </is>
      </c>
      <c r="AR6" s="103" t="inlineStr">
        <is>
          <t>Family boundary · purpose · includes · excludes</t>
        </is>
      </c>
      <c r="AS6" s="104" t="inlineStr">
        <is>
          <t>Comparable V2 stage · external research label</t>
        </is>
      </c>
      <c r="AT6" s="104" t="inlineStr">
        <is>
          <t>Discipline work expectation</t>
        </is>
      </c>
      <c r="AU6" s="104" t="inlineStr">
        <is>
          <t>Readiness evidence</t>
        </is>
      </c>
      <c r="AV6" s="104" t="inlineStr">
        <is>
          <t>Typical work sample</t>
        </is>
      </c>
      <c r="AW6" s="104" t="inlineStr">
        <is>
          <t>Peer evidence · observed titles</t>
        </is>
      </c>
      <c r="AX6" s="105" t="inlineStr">
        <is>
          <t>Evidence basis for purpose and responsibilities</t>
        </is>
      </c>
      <c r="AY6" s="106" t="inlineStr">
        <is>
          <t>Respondents</t>
        </is>
      </c>
    </row>
    <row r="7">
      <c r="A7" s="161" t="inlineStr">
        <is>
          <t>Business Analysis</t>
        </is>
      </c>
    </row>
    <row r="8" ht="132" customHeight="1">
      <c r="A8" s="175" t="inlineStr">
        <is>
          <t>RC-009</t>
        </is>
      </c>
      <c r="B8" s="111" t="inlineStr">
        <is>
          <t>Business Analysis</t>
        </is>
      </c>
      <c r="C8" s="111" t="inlineStr">
        <is>
          <t>Business Analysis</t>
        </is>
      </c>
      <c r="D8" s="116" t="inlineStr">
        <is>
          <t>A3</t>
        </is>
      </c>
      <c r="E8" s="117" t="inlineStr">
        <is>
          <t>Senior Associate</t>
        </is>
      </c>
      <c r="F8" s="111" t="inlineStr">
        <is>
          <t>IC</t>
        </is>
      </c>
      <c r="G8" s="111" t="inlineStr">
        <is>
          <t>Senior Business Analyst · Business Analysis Specialist</t>
        </is>
      </c>
      <c r="H8" s="112" t="n">
        <v>16</v>
      </c>
      <c r="I8" s="111" t="inlineStr">
        <is>
          <t>iFile 8 · iDEAL 8</t>
        </is>
      </c>
      <c r="J8" s="163" t="n">
        <v>8</v>
      </c>
      <c r="K8" s="115" t="inlineStr">
        <is>
          <t>Anishaa Mahesh Kukreja, Mohin Patel, Neetu Rani Paul, Nilam Anandrao Kadam, Shivani Mishra, Silky Agarwal, Vidyasagar Reddy, Vivek Kumar</t>
        </is>
      </c>
      <c r="L8" s="115" t="inlineStr">
        <is>
          <t>Technology</t>
        </is>
      </c>
      <c r="M8" s="119" t="inlineStr">
        <is>
          <r>
            <rPr>
              <rFont val="Calibri"/>
              <sz val="10"/>
            </rPr>
            <t xml:space="preserve">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t>
          </r>
        </is>
      </c>
      <c r="N8" s="165" t="inlineStr">
        <is>
          <r>
            <rPr>
              <rFont val="Calibri"/>
              <sz val="10"/>
            </rPr>
            <t xml:space="preserve">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t>
          </r>
        </is>
      </c>
      <c r="O8"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deliver · product · client · requirement · process · business</t>
          </r>
        </is>
      </c>
      <c r="P8"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requirements · accountable · delivery · quality · documentation · timely</t>
          </r>
        </is>
      </c>
      <c r="Q8" s="165" t="inlineStr">
        <is>
          <r>
            <rPr>
              <rFont val="Calibri"/>
              <sz val="10"/>
            </rPr>
            <t xml:space="preserve">Technical / QC / client calls on own work
</t>
          </r>
          <r>
            <rPr>
              <rFont val="Calibri"/>
              <b val="1"/>
              <sz val="10"/>
            </rPr>
            <t>Common themes in role-holders' answers:</t>
          </r>
          <r>
            <rPr>
              <rFont val="Calibri"/>
              <sz val="10"/>
            </rPr>
            <t xml:space="preserve"> documentation · prioritize · user stories · process · project</t>
          </r>
        </is>
      </c>
      <c r="R8" s="165" t="inlineStr">
        <is>
          <r>
            <rPr>
              <rFont val="Calibri"/>
              <b val="1"/>
              <sz val="10"/>
            </rPr>
            <t>Common themes in manager-set KRAs:</t>
          </r>
          <r>
            <rPr>
              <rFont val="Calibri"/>
              <sz val="10"/>
            </rPr>
            <t xml:space="preserve"> delivery · assigned · uat · project · requests · satisfaction</t>
          </r>
        </is>
      </c>
      <c r="S8" s="165" t="inlineStr">
        <is>
          <t>Business Analysis · Documentation · Stakeholder management · Requirement analysis · communication · Communication skills</t>
        </is>
      </c>
      <c r="T8" s="165" t="inlineStr">
        <is>
          <t>Excel · Figma · Claude · QuickScrum · Jira · Confluence · Word · Excel word</t>
        </is>
      </c>
      <c r="U8" s="120" t="inlineStr">
        <is>
          <t>Varied work; reviews juniors; go-to for a process</t>
        </is>
      </c>
      <c r="V8" s="166" t="inlineStr">
        <is>
          <t>Varied and non-standard work; handles exceptions</t>
        </is>
      </c>
      <c r="W8" s="166" t="inlineStr">
        <is>
          <t>Technical / QC / client calls on own work</t>
        </is>
      </c>
      <c r="X8" s="166" t="inlineStr">
        <is>
          <t>A module / process, or work with client or regulatory consequences</t>
        </is>
      </c>
      <c r="Y8" s="166" t="inlineStr">
        <is>
          <t>Not scored in Band A</t>
        </is>
      </c>
      <c r="Z8" s="166" t="inlineStr">
        <is>
          <t>2–4 yrs</t>
        </is>
      </c>
      <c r="AA8" s="166" t="inlineStr">
        <is>
          <t>Graduate; relevant certification preferred</t>
        </is>
      </c>
      <c r="AB8" s="166" t="inlineStr">
        <is>
          <t>CBAP / CCBA · optional; Domain certifications · optional</t>
        </is>
      </c>
      <c r="AC8" s="166" t="inlineStr">
        <is>
          <t>None · guides 1–3 juniors informally</t>
        </is>
      </c>
      <c r="AD8" s="122" t="inlineStr">
        <is>
          <t>Core 2 · Future-ready 2 · Functional 3 · Leadership —</t>
        </is>
      </c>
      <c r="AE8" s="123" t="inlineStr">
        <is>
          <t>Business Analysis &amp; Requirements Engineering · Regulatory &amp; BFSI Domain</t>
        </is>
      </c>
      <c r="AF8" s="123" t="inlineStr">
        <is>
          <t>Product, Platform &amp; Domain Knowledge · Database, SQL &amp; Data Engineering · Stakeholder &amp; Client Management · Communication &amp; Presentation</t>
        </is>
      </c>
      <c r="AG8" s="176" t="inlineStr">
        <is>
          <t>P2</t>
        </is>
      </c>
      <c r="AH8" s="129" t="inlineStr">
        <is>
          <t>3 Apply</t>
        </is>
      </c>
      <c r="AI8" s="177" t="inlineStr">
        <is>
          <t>Regnology — regulatory reporting: Junior BA · Reg Reporting · Big Four consulting: Consultant · IRIS Vs Market Benchmark — IIBA certification pathway: ECBA · Infosys / Accenture: JL3A · L10 Senior Analyst</t>
        </is>
      </c>
      <c r="AJ8" s="177" t="inlineStr">
        <is>
          <t>IIBA BABOK v3; certifications ECBA · entry → CCBA → CBAP · senior</t>
        </is>
      </c>
      <c r="AK8" s="177" t="inlineStr">
        <is>
          <t>B1 · Specialist</t>
        </is>
      </c>
      <c r="AL8" s="130" t="inlineStr">
        <is>
          <t>Project / programme management · AI / automation · Product &amp; tool knowledge · Broader exposure &amp; ownership · Leadership &amp; people management</t>
        </is>
      </c>
      <c r="AM8" s="131" t="inlineStr">
        <is>
          <t>stakeholder · training effective · utilization · ai tools · domain</t>
        </is>
      </c>
      <c r="AN8" s="131" t="inlineStr">
        <is>
          <t>Mentoring / guidance from seniors · On-the-job / hands-on · Formal / classroom training</t>
        </is>
      </c>
      <c r="AO8" s="131" t="inlineStr">
        <is>
          <t>dependencies · requirements · changing · priorities · multiple</t>
        </is>
      </c>
      <c r="AP8" s="131" t="inlineStr">
        <is>
          <t>ownership · process · coordination · clearer · delivery</t>
        </is>
      </c>
      <c r="AQ8" s="131" t="inlineStr">
        <is>
          <t>10 of 14 say the role is changing because of AI / automation</t>
        </is>
      </c>
      <c r="AR8" s="132" t="inlineStr">
        <is>
          <t>Define business needs and evaluate solutions. Includes: Elicitation, process analysis, traceability and solution evaluation. Excludes: Product investment authority; technical architecture.</t>
        </is>
      </c>
      <c r="AS8" s="133" t="inlineStr">
        <is>
          <t>BA01-2 · Business Analyst</t>
        </is>
      </c>
      <c r="AT8" s="133" t="inlineStr">
        <is>
          <t>Elicit requirements, model processes and trace acceptance criteria.</t>
        </is>
      </c>
      <c r="AU8" s="133" t="inlineStr">
        <is>
          <t>Demonstrate routine delivery plus judgement in bounded exceptions.</t>
        </is>
      </c>
      <c r="AV8" s="133" t="inlineStr">
        <is>
          <t>A requirements set traced to business needs, acceptance tests and realized outcomes</t>
        </is>
      </c>
      <c r="AW8" s="133" t="inlineStr">
        <is>
          <r>
            <rPr>
              <rFont val="Calibri"/>
              <b val="1"/>
              <sz val="10"/>
            </rPr>
            <t>Regnology:</t>
          </r>
          <r>
            <rPr>
              <rFont val="Calibri"/>
              <sz val="10"/>
            </rPr>
            <t xml:space="preserve"> Senior risk consultant · Related work. Gap: Consultant requirement work supports domain context; government BA path supplies role stages</t>
          </r>
        </is>
      </c>
      <c r="AX8" s="178" t="inlineStr">
        <is>
          <t>Framework + role-holders' themes · 3+ answered</t>
        </is>
      </c>
      <c r="AY8" s="135" t="inlineStr">
        <is>
          <t>16 holders, 14 answered the survey; sub-family 27 answered</t>
        </is>
      </c>
    </row>
    <row r="9" ht="119" customHeight="1">
      <c r="A9" s="175" t="inlineStr">
        <is>
          <t>RC-010</t>
        </is>
      </c>
      <c r="B9" s="111" t="inlineStr">
        <is>
          <t>Business Analysis</t>
        </is>
      </c>
      <c r="C9" s="111" t="inlineStr">
        <is>
          <t>Business Analysis</t>
        </is>
      </c>
      <c r="D9" s="140" t="inlineStr">
        <is>
          <t>B1</t>
        </is>
      </c>
      <c r="E9" s="18" t="inlineStr">
        <is>
          <t>Specialist</t>
        </is>
      </c>
      <c r="F9" s="111" t="inlineStr">
        <is>
          <t>IC</t>
        </is>
      </c>
      <c r="G9" s="111" t="inlineStr">
        <is>
          <t>Business Analysis Specialist · Business Analysis Specialist – POD Lead · Senior Business Analysis Specialist</t>
        </is>
      </c>
      <c r="H9" s="112" t="n">
        <v>7</v>
      </c>
      <c r="I9" s="111" t="inlineStr">
        <is>
          <t>iDEAL 4 · iFile 2 · CARBON 1</t>
        </is>
      </c>
      <c r="J9" s="163" t="n">
        <v>4</v>
      </c>
      <c r="K9" s="115" t="inlineStr">
        <is>
          <t>Anand Shinde, Kailash Sahu, Phuzel Siddiqui, Vishal Pingle</t>
        </is>
      </c>
      <c r="L9" s="115" t="inlineStr">
        <is>
          <t>Technology</t>
        </is>
      </c>
      <c r="M9" s="119" t="inlineStr">
        <is>
          <r>
            <rPr>
              <rFont val="Calibri"/>
              <sz val="10"/>
            </rPr>
            <t xml:space="preserve">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t>
          </r>
        </is>
      </c>
      <c r="N9" s="165" t="inlineStr">
        <is>
          <r>
            <rPr>
              <rFont val="Calibri"/>
              <sz val="10"/>
            </rPr>
            <t xml:space="preserve">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t>
          </r>
        </is>
      </c>
      <c r="O9" s="165" t="inlineStr">
        <is>
          <r>
            <rPr>
              <rFont val="Calibri"/>
              <sz val="10"/>
            </rPr>
            <t xml:space="preserve">A domain or a small team
</t>
          </r>
          <r>
            <rPr>
              <rFont val="Calibri"/>
              <b val="1"/>
              <sz val="10"/>
            </rPr>
            <t>Common themes in role-holders' answers:</t>
          </r>
          <r>
            <rPr>
              <rFont val="Calibri"/>
              <sz val="10"/>
            </rPr>
            <t xml:space="preserve"> product · regulator</t>
          </r>
        </is>
      </c>
      <c r="P9" s="165" t="inlineStr">
        <is>
          <r>
            <rPr>
              <rFont val="Calibri"/>
              <sz val="10"/>
            </rPr>
            <t xml:space="preserve">A domain or a small team
</t>
          </r>
          <r>
            <rPr>
              <rFont val="Calibri"/>
              <b val="1"/>
              <sz val="10"/>
            </rPr>
            <t>Common themes in role-holders' answers:</t>
          </r>
          <r>
            <rPr>
              <rFont val="Calibri"/>
              <sz val="10"/>
            </rPr>
            <t xml:space="preserve"> requirement · client · time · issue · assigned</t>
          </r>
        </is>
      </c>
      <c r="Q9" s="165" t="inlineStr">
        <is>
          <r>
            <rPr>
              <rFont val="Calibri"/>
              <sz val="10"/>
            </rPr>
            <t xml:space="preserve">Technical / QC / client calls for the domain
</t>
          </r>
          <r>
            <rPr>
              <rFont val="Calibri"/>
              <b val="1"/>
              <sz val="10"/>
            </rPr>
            <t>Common themes in role-holders' answers:</t>
          </r>
          <r>
            <rPr>
              <rFont val="Calibri"/>
              <sz val="10"/>
            </rPr>
            <t xml:space="preserve"> documentation</t>
          </r>
        </is>
      </c>
      <c r="R9" s="165" t="inlineStr">
        <is>
          <r>
            <rPr>
              <rFont val="Calibri"/>
              <b val="1"/>
              <sz val="10"/>
            </rPr>
            <t>Common themes in manager-set KRAs:</t>
          </r>
          <r>
            <rPr>
              <rFont val="Calibri"/>
              <sz val="10"/>
            </rPr>
            <t xml:space="preserve"> releases · satisfaction · delivery · assigned · uat · requirement</t>
          </r>
        </is>
      </c>
      <c r="S9" s="165" t="inlineStr">
        <is>
          <t>Business Analysis</t>
        </is>
      </c>
      <c r="T9" s="165" t="inlineStr">
        <is>
          <t>—</t>
        </is>
      </c>
      <c r="U9" s="120" t="inlineStr">
        <is>
          <t>A domain / module, or a small team</t>
        </is>
      </c>
      <c r="V9" s="166" t="inlineStr">
        <is>
          <t>Domain specialist work</t>
        </is>
      </c>
      <c r="W9" s="166" t="inlineStr">
        <is>
          <t>Technical / QC / client calls for the domain</t>
        </is>
      </c>
      <c r="X9" s="166" t="inlineStr">
        <is>
          <t>A domain or a small team</t>
        </is>
      </c>
      <c r="Y9" s="166" t="inlineStr">
        <is>
          <r>
            <rPr>
              <rFont val="Calibri"/>
              <b val="1"/>
              <sz val="10"/>
            </rPr>
            <t>IC:</t>
          </r>
          <r>
            <rPr>
              <rFont val="Calibri"/>
              <sz val="10"/>
            </rPr>
            <t xml:space="preserve"> mentors and reviews · People: hands-on team lead of 3–5</t>
          </r>
        </is>
      </c>
      <c r="Z9" s="166" t="inlineStr">
        <is>
          <t>4–7 yrs</t>
        </is>
      </c>
      <c r="AA9" s="166" t="inlineStr">
        <is>
          <t>Graduate + relevant qualification or certification preferred</t>
        </is>
      </c>
      <c r="AB9" s="166" t="inlineStr">
        <is>
          <t>CBAP / CCBA · optional; Domain certifications · optional</t>
        </is>
      </c>
      <c r="AC9" s="166" t="inlineStr">
        <is>
          <r>
            <rPr>
              <rFont val="Calibri"/>
              <b val="1"/>
              <sz val="10"/>
            </rPr>
            <t>IC:</t>
          </r>
          <r>
            <rPr>
              <rFont val="Calibri"/>
              <sz val="10"/>
            </rPr>
            <t xml:space="preserve"> none · Team Lead: 3–5</t>
          </r>
        </is>
      </c>
      <c r="AD9" s="122" t="inlineStr">
        <is>
          <t>Core 3 · Future-ready 3 · Functional 3 · Leadership 1</t>
        </is>
      </c>
      <c r="AE9" s="123" t="inlineStr">
        <is>
          <t>Business Analysis &amp; Requirements Engineering · Regulatory &amp; BFSI Domain</t>
        </is>
      </c>
      <c r="AF9" s="123" t="inlineStr">
        <is>
          <t>Product, Platform &amp; Domain Knowledge · Database, SQL &amp; Data Engineering · Stakeholder &amp; Client Management · Communication &amp; Presentation</t>
        </is>
      </c>
      <c r="AG9" s="176" t="inlineStr">
        <is>
          <t>P3 / M2</t>
        </is>
      </c>
      <c r="AH9" s="129" t="inlineStr">
        <is>
          <t>4 Enable</t>
        </is>
      </c>
      <c r="AI9" s="177" t="inlineStr">
        <is>
          <t>Regnology — regulatory reporting: BA · Reg Reporting · Big Four consulting: Senior Consultant · IRIS Vs Market Benchmark — IIBA certification pathway: CCBA · Infosys / Accenture: JL4 · L9 Consultant</t>
        </is>
      </c>
      <c r="AJ9" s="177" t="inlineStr">
        <is>
          <t>IIBA BABOK v3; certifications ECBA · entry → CCBA → CBAP · senior</t>
        </is>
      </c>
      <c r="AK9" s="177" t="inlineStr">
        <is>
          <t>B2 · Senior Specialist</t>
        </is>
      </c>
      <c r="AL9" s="130" t="inlineStr">
        <is>
          <t>Leadership &amp; people management · AI / automation · Project / programme management · Certification / formal course · Product &amp; tool knowledge</t>
        </is>
      </c>
      <c r="AM9" s="131" t="inlineStr">
        <is>
          <t>training effective · utilization · ai tools · stakeholder management · domain</t>
        </is>
      </c>
      <c r="AN9" s="131" t="inlineStr">
        <is>
          <t>Mentoring / guidance from seniors · Formal / classroom training · On-the-job / hands-on · Online courses / self-learning</t>
        </is>
      </c>
      <c r="AO9" s="131" t="inlineStr">
        <is>
          <t>No common theme</t>
        </is>
      </c>
      <c r="AP9" s="131" t="inlineStr">
        <is>
          <t>responsibilities</t>
        </is>
      </c>
      <c r="AQ9" s="131" t="inlineStr">
        <is>
          <t>5 of 6 say the role is changing because of AI / automation</t>
        </is>
      </c>
      <c r="AR9" s="132" t="inlineStr">
        <is>
          <t>Define business needs and evaluate solutions. Includes: Elicitation, process analysis, traceability and solution evaluation. Excludes: Product investment authority; technical architecture.</t>
        </is>
      </c>
      <c r="AS9" s="133" t="inlineStr">
        <is>
          <t>BA01-3 · Senior Business Analyst</t>
        </is>
      </c>
      <c r="AT9" s="133" t="inlineStr">
        <is>
          <t>Resolve conflicting needs and evaluate complex solution trade-offs.</t>
        </is>
      </c>
      <c r="AU9" s="133" t="inlineStr">
        <is>
          <t>Evidence of complex work, decisions and outcomes beyond routine delivery.</t>
        </is>
      </c>
      <c r="AV9" s="133" t="inlineStr">
        <is>
          <t>A requirements set traced to business needs, acceptance tests and realized outcomes</t>
        </is>
      </c>
      <c r="AW9" s="133" t="inlineStr">
        <is>
          <r>
            <rPr>
              <rFont val="Calibri"/>
              <b val="1"/>
              <sz val="10"/>
            </rPr>
            <t>Regnology:</t>
          </r>
          <r>
            <rPr>
              <rFont val="Calibri"/>
              <sz val="10"/>
            </rPr>
            <t xml:space="preserve"> Senior risk consultant · Related work. Gap: Consultant requirement work supports domain context; government BA path supplies role stages</t>
          </r>
        </is>
      </c>
      <c r="AX9" s="178" t="inlineStr">
        <is>
          <t>Framework + role-holders' themes · 3+ answered</t>
        </is>
      </c>
      <c r="AY9" s="135" t="inlineStr">
        <is>
          <t>7 holders, 7 answered the survey; sub-family 27 answered</t>
        </is>
      </c>
    </row>
    <row r="10" ht="132" customHeight="1">
      <c r="A10" s="175" t="inlineStr">
        <is>
          <t>RC-011</t>
        </is>
      </c>
      <c r="B10" s="111" t="inlineStr">
        <is>
          <t>Business Analysis</t>
        </is>
      </c>
      <c r="C10" s="111" t="inlineStr">
        <is>
          <t>Business Analysis</t>
        </is>
      </c>
      <c r="D10" s="140" t="inlineStr">
        <is>
          <t>B1</t>
        </is>
      </c>
      <c r="E10" s="18" t="inlineStr">
        <is>
          <t>Team Lead</t>
        </is>
      </c>
      <c r="F10" s="111" t="inlineStr">
        <is>
          <t>Manager</t>
        </is>
      </c>
      <c r="G10" s="111" t="inlineStr">
        <is>
          <t>Team Lead – Business Analysis</t>
        </is>
      </c>
      <c r="H10" s="112" t="n">
        <v>2</v>
      </c>
      <c r="I10" s="111" t="inlineStr">
        <is>
          <t>iFile 1 · iDEAL 1</t>
        </is>
      </c>
      <c r="J10" s="163" t="n">
        <v>1</v>
      </c>
      <c r="K10" s="115" t="inlineStr">
        <is>
          <t>Aroosa Ghole</t>
        </is>
      </c>
      <c r="L10" s="115" t="inlineStr">
        <is>
          <t>Technology</t>
        </is>
      </c>
      <c r="M10" s="119" t="inlineStr">
        <is>
          <r>
            <rPr>
              <rFont val="Calibri"/>
              <sz val="10"/>
            </rPr>
            <t xml:space="preserve">Gathers and documents requirements · BRD/FRD/SRS/user stories, configures solutions and supports UAT and releases. At B1: a domain / module, or a small team.
</t>
          </r>
          <r>
            <rPr>
              <rFont val="Calibri"/>
              <b val="1"/>
              <sz val="10"/>
            </rPr>
            <t>Common themes in sub-family holders, all levels' answers:</t>
          </r>
          <r>
            <rPr>
              <rFont val="Calibri"/>
              <sz val="10"/>
            </rPr>
            <t xml:space="preserve"> business · requirements · bridge · analyst · between · technical</t>
          </r>
        </is>
      </c>
      <c r="N10" s="165" t="inlineStr">
        <is>
          <r>
            <rPr>
              <rFont val="Calibri"/>
              <sz val="10"/>
            </rPr>
            <t xml:space="preserve">Gathers and documents requirements · BRD/FRD/SRS/user stories, configures solutions and supports UAT and releases; Domain specialist work; A domain or a small team
</t>
          </r>
          <r>
            <rPr>
              <rFont val="Calibri"/>
              <b val="1"/>
              <sz val="10"/>
            </rPr>
            <t>Common themes in sub-family holders, all levels' answers:</t>
          </r>
          <r>
            <rPr>
              <rFont val="Calibri"/>
              <sz val="10"/>
            </rPr>
            <t xml:space="preserve"> requirement · documentation · stakeholder · client · gathering · analysis</t>
          </r>
        </is>
      </c>
      <c r="O10" s="165" t="inlineStr">
        <is>
          <r>
            <rPr>
              <rFont val="Calibri"/>
              <sz val="10"/>
            </rPr>
            <t xml:space="preserve">A domain or a small team
</t>
          </r>
          <r>
            <rPr>
              <rFont val="Calibri"/>
              <b val="1"/>
              <sz val="10"/>
            </rPr>
            <t>Common themes in sub-family holders, all levels' answers:</t>
          </r>
          <r>
            <rPr>
              <rFont val="Calibri"/>
              <sz val="10"/>
            </rPr>
            <t xml:space="preserve"> product · user stories · requirements · process · client · deliver</t>
          </r>
        </is>
      </c>
      <c r="P10" s="165" t="inlineStr">
        <is>
          <r>
            <rPr>
              <rFont val="Calibri"/>
              <sz val="10"/>
            </rPr>
            <t xml:space="preserve">A domain or a small team
</t>
          </r>
          <r>
            <rPr>
              <rFont val="Calibri"/>
              <b val="1"/>
              <sz val="10"/>
            </rPr>
            <t>Common themes in sub-family holders, all levels' answers:</t>
          </r>
          <r>
            <rPr>
              <rFont val="Calibri"/>
              <sz val="10"/>
            </rPr>
            <t xml:space="preserve"> requirements · accountable · documentation · delivery · am · business</t>
          </r>
        </is>
      </c>
      <c r="Q10" s="165" t="inlineStr">
        <is>
          <r>
            <rPr>
              <rFont val="Calibri"/>
              <sz val="10"/>
            </rPr>
            <t xml:space="preserve">Technical / QC / client calls for the domain
</t>
          </r>
          <r>
            <rPr>
              <rFont val="Calibri"/>
              <b val="1"/>
              <sz val="10"/>
            </rPr>
            <t>Common themes in sub-family holders, all levels' answers:</t>
          </r>
          <r>
            <rPr>
              <rFont val="Calibri"/>
              <sz val="10"/>
            </rPr>
            <t xml:space="preserve"> requirements · user · documentation · process · stories · assign</t>
          </r>
        </is>
      </c>
      <c r="R10" s="165" t="inlineStr">
        <is>
          <r>
            <rPr>
              <rFont val="Calibri"/>
              <b val="1"/>
              <sz val="10"/>
            </rPr>
            <t>Common themes in manager-set KRAs:</t>
          </r>
          <r>
            <rPr>
              <rFont val="Calibri"/>
              <sz val="10"/>
            </rPr>
            <t xml:space="preserve"> client · first · quality · contribute · update · establish</t>
          </r>
        </is>
      </c>
      <c r="S10" s="165" t="inlineStr">
        <is>
          <t>Business Analysis · Documentation · Requirement analysis · Stakeholder Management · communication · XBRL · Requirement Elicitation · generative AI</t>
        </is>
      </c>
      <c r="T10" s="165" t="inlineStr">
        <is>
          <t>Excel · Figma · Quickscrum · Word · Jira · Claude · XBRL · Copilot</t>
        </is>
      </c>
      <c r="U10" s="120" t="inlineStr">
        <is>
          <t>A domain / module, or a small team</t>
        </is>
      </c>
      <c r="V10" s="166" t="inlineStr">
        <is>
          <t>Domain specialist work</t>
        </is>
      </c>
      <c r="W10" s="166" t="inlineStr">
        <is>
          <t>Technical / QC / client calls for the domain</t>
        </is>
      </c>
      <c r="X10" s="166" t="inlineStr">
        <is>
          <t>A domain or a small team</t>
        </is>
      </c>
      <c r="Y10" s="166" t="inlineStr">
        <is>
          <r>
            <rPr>
              <rFont val="Calibri"/>
              <b val="1"/>
              <sz val="10"/>
            </rPr>
            <t>IC:</t>
          </r>
          <r>
            <rPr>
              <rFont val="Calibri"/>
              <sz val="10"/>
            </rPr>
            <t xml:space="preserve"> mentors and reviews · People: hands-on team lead of 3–5</t>
          </r>
        </is>
      </c>
      <c r="Z10" s="166" t="inlineStr">
        <is>
          <t>4–7 yrs</t>
        </is>
      </c>
      <c r="AA10" s="166" t="inlineStr">
        <is>
          <t>Graduate + relevant qualification or certification preferred</t>
        </is>
      </c>
      <c r="AB10" s="166" t="inlineStr">
        <is>
          <t>CBAP / CCBA · optional; Domain certifications · optional</t>
        </is>
      </c>
      <c r="AC10" s="166" t="inlineStr">
        <is>
          <r>
            <rPr>
              <rFont val="Calibri"/>
              <b val="1"/>
              <sz val="10"/>
            </rPr>
            <t>IC:</t>
          </r>
          <r>
            <rPr>
              <rFont val="Calibri"/>
              <sz val="10"/>
            </rPr>
            <t xml:space="preserve"> none · Team Lead: 3–5</t>
          </r>
        </is>
      </c>
      <c r="AD10" s="122" t="inlineStr">
        <is>
          <t>Core 3 · Future-ready 3 · Functional 3 · Leadership 2</t>
        </is>
      </c>
      <c r="AE10" s="123" t="inlineStr">
        <is>
          <t>Business Analysis &amp; Requirements Engineering · Regulatory &amp; BFSI Domain</t>
        </is>
      </c>
      <c r="AF10" s="123" t="inlineStr">
        <is>
          <t>Product, Platform &amp; Domain Knowledge · Database, SQL &amp; Data Engineering · Stakeholder &amp; Client Management · Communication &amp; Presentation</t>
        </is>
      </c>
      <c r="AG10" s="176" t="inlineStr">
        <is>
          <t>P3 / M2</t>
        </is>
      </c>
      <c r="AH10" s="129" t="inlineStr">
        <is>
          <t>4 Enable</t>
        </is>
      </c>
      <c r="AI10" s="177" t="inlineStr">
        <is>
          <t>Regnology — regulatory reporting: BA · Reg Reporting · Big Four consulting: Senior Consultant · IRIS Vs Market Benchmark — IIBA certification pathway: CCBA · Infosys / Accenture: JL4 · L9 Consultant</t>
        </is>
      </c>
      <c r="AJ10" s="177" t="inlineStr">
        <is>
          <t>IIBA BABOK v3; certifications ECBA · entry → CCBA → CBAP · senior</t>
        </is>
      </c>
      <c r="AK10" s="177" t="inlineStr">
        <is>
          <t>B2 · Senior Specialist</t>
        </is>
      </c>
      <c r="AL10" s="130" t="inlineStr">
        <is>
          <t>Project / programme management · Product &amp; tool knowledge · Certification / formal course</t>
        </is>
      </c>
      <c r="AM10" s="131" t="inlineStr">
        <is>
          <t>Support process &amp; escalation management; CSAT/SLA analytics; client relationship management; team workload planning; Project Management | People management fundamentals, performance coaching &amp; delegation, formal team-lead onboarding, cross-functional stakeholder management</t>
        </is>
      </c>
      <c r="AN10" s="131" t="inlineStr">
        <is>
          <t>Mentoring / guidance from seniors · Formal / classroom training · On-the-job / hands-on · Online courses / self-learning</t>
        </is>
      </c>
      <c r="AO10" s="131" t="inlineStr">
        <is>
          <t>changing · requirements · dependencies · priorities · dependent</t>
        </is>
      </c>
      <c r="AP10" s="131" t="inlineStr">
        <is>
          <t>requirements · coordination · clearer · delivery · decisions</t>
        </is>
      </c>
      <c r="AQ10" s="131" t="inlineStr">
        <is>
          <t>19 of 26 say the role is changing because of AI / automation</t>
        </is>
      </c>
      <c r="AR10" s="132" t="inlineStr">
        <is>
          <t>Define business needs and evaluate solutions. Includes: Elicitation, process analysis, traceability and solution evaluation. Excludes: Product investment authority; technical architecture.</t>
        </is>
      </c>
      <c r="AS10" s="133" t="inlineStr">
        <is>
          <t>LD09-1 · Business Analysis Manager</t>
        </is>
      </c>
      <c r="AT10" s="133" t="inlineStr">
        <is>
          <t>Own staffing decisions, performance support, service quality and delegated team resources</t>
        </is>
      </c>
      <c r="AU10" s="133" t="inlineStr">
        <is>
          <t>Do not manufacture three reporting layers. Choose roles the organisation needs. A specialist may remain on an equally valued expert path.</t>
        </is>
      </c>
      <c r="AV10" s="133" t="inlineStr">
        <is>
          <t>—</t>
        </is>
      </c>
      <c r="AW10" s="133" t="inlineStr">
        <is>
          <t>—</t>
        </is>
      </c>
      <c r="AX10" s="179" t="inlineStr">
        <is>
          <t>Framework + sub-family themes · 3+ answered</t>
        </is>
      </c>
      <c r="AY10" s="135" t="inlineStr">
        <is>
          <t>2 holders, 2 answered the survey; sub-family 27 answered</t>
        </is>
      </c>
    </row>
    <row r="11">
      <c r="A11" s="161" t="inlineStr">
        <is>
          <t>Customer Success &amp; Support</t>
        </is>
      </c>
    </row>
    <row r="12" ht="106" customHeight="1">
      <c r="A12" s="175" t="inlineStr">
        <is>
          <t>RC-029</t>
        </is>
      </c>
      <c r="B12" s="111" t="inlineStr">
        <is>
          <t>Customer Success &amp; Support</t>
        </is>
      </c>
      <c r="C12" s="111" t="inlineStr">
        <is>
          <t>Application &amp; Product Support</t>
        </is>
      </c>
      <c r="D12" s="116" t="inlineStr">
        <is>
          <t>A1</t>
        </is>
      </c>
      <c r="E12" s="117" t="inlineStr">
        <is>
          <t>Intern / Trainee</t>
        </is>
      </c>
      <c r="F12" s="111" t="inlineStr">
        <is>
          <t>IC</t>
        </is>
      </c>
      <c r="G12" s="111" t="inlineStr">
        <is>
          <t>Intern – Application &amp; Product Support</t>
        </is>
      </c>
      <c r="H12" s="112" t="n">
        <v>2</v>
      </c>
      <c r="I12" s="111" t="inlineStr">
        <is>
          <t>iFile 1 · iDEAL 1</t>
        </is>
      </c>
      <c r="J12" s="163" t="n">
        <v>1</v>
      </c>
      <c r="K12" s="115" t="inlineStr">
        <is>
          <t>Nehal Bohra</t>
        </is>
      </c>
      <c r="L12" s="115" t="inlineStr">
        <is>
          <t>Sales</t>
        </is>
      </c>
      <c r="M12" s="119" t="inlineStr">
        <is>
          <r>
            <rPr>
              <rFont val="Calibri"/>
              <sz val="10"/>
            </rPr>
            <t xml:space="preserve">Resolves client product and filing issues, troubleshoots, handles UAT/change requests and escalates to engineering. At A1: learning the role; all work reviewed.
</t>
          </r>
          <r>
            <rPr>
              <rFont val="Calibri"/>
              <b val="1"/>
              <sz val="10"/>
            </rPr>
            <t>Common themes in sub-family holders, all levels' answers:</t>
          </r>
          <r>
            <rPr>
              <rFont val="Calibri"/>
              <sz val="10"/>
            </rPr>
            <t xml:space="preserve"> support · clients · queries · provide · issues · resolving</t>
          </r>
        </is>
      </c>
      <c r="N12" s="165" t="inlineStr">
        <is>
          <r>
            <rPr>
              <rFont val="Calibri"/>
              <sz val="10"/>
            </rPr>
            <t xml:space="preserve">Resolves client product and filing issues, troubleshoots, handles UAT/change requests and escalates to engineering; Learning; follows worked examples; Learning tasks
</t>
          </r>
          <r>
            <rPr>
              <rFont val="Calibri"/>
              <b val="1"/>
              <sz val="10"/>
            </rPr>
            <t>Common themes in sub-family holders, all levels' answers:</t>
          </r>
          <r>
            <rPr>
              <rFont val="Calibri"/>
              <sz val="10"/>
            </rPr>
            <t xml:space="preserve"> support · issue · testing · communication · customer · ticket</t>
          </r>
        </is>
      </c>
      <c r="O12" s="165" t="inlineStr">
        <is>
          <r>
            <rPr>
              <rFont val="Calibri"/>
              <sz val="10"/>
            </rPr>
            <t xml:space="preserve">Learning tasks
</t>
          </r>
          <r>
            <rPr>
              <rFont val="Calibri"/>
              <b val="1"/>
              <sz val="10"/>
            </rPr>
            <t>Common themes in sub-family holders, all levels' answers:</t>
          </r>
          <r>
            <rPr>
              <rFont val="Calibri"/>
              <sz val="10"/>
            </rPr>
            <t xml:space="preserve"> support · customer · product · provide · testing · deliver</t>
          </r>
        </is>
      </c>
      <c r="P12" s="165" t="inlineStr">
        <is>
          <r>
            <rPr>
              <rFont val="Calibri"/>
              <sz val="10"/>
            </rPr>
            <t xml:space="preserve">Learning tasks
</t>
          </r>
          <r>
            <rPr>
              <rFont val="Calibri"/>
              <b val="1"/>
              <sz val="10"/>
            </rPr>
            <t>Common themes in sub-family holders, all levels' answers:</t>
          </r>
          <r>
            <rPr>
              <rFont val="Calibri"/>
              <sz val="10"/>
            </rPr>
            <t xml:space="preserve"> client · resolution · am · accountable · timely · if</t>
          </r>
        </is>
      </c>
      <c r="Q12" s="165" t="inlineStr">
        <is>
          <r>
            <rPr>
              <rFont val="Calibri"/>
              <sz val="10"/>
            </rPr>
            <t xml:space="preserve">Needs approval / close guidance
</t>
          </r>
          <r>
            <rPr>
              <rFont val="Calibri"/>
              <b val="1"/>
              <sz val="10"/>
            </rPr>
            <t>Common themes in sub-family holders, all levels' answers:</t>
          </r>
          <r>
            <rPr>
              <rFont val="Calibri"/>
              <sz val="10"/>
            </rPr>
            <t xml:space="preserve"> issues · resolving · tickets · handle · erro · validation</t>
          </r>
        </is>
      </c>
      <c r="R12" s="165" t="inlineStr">
        <is>
          <t>—</t>
        </is>
      </c>
      <c r="S12" s="165" t="inlineStr">
        <is>
          <t>Tech Support · Domain Support · Communication · Domain Knowledge · Business Analysis · Platform knowledge · Sales</t>
        </is>
      </c>
      <c r="T12" s="165" t="inlineStr">
        <is>
          <t>MS Office · Faveo · Arelle · Excel · Claude · Copilot · Microsoft Excel · RBI cims portal</t>
        </is>
      </c>
      <c r="U12" s="120" t="inlineStr">
        <is>
          <t>Learning the role; all work reviewed</t>
        </is>
      </c>
      <c r="V12" s="166" t="inlineStr">
        <is>
          <t>Learning; follows worked examples</t>
        </is>
      </c>
      <c r="W12" s="166" t="inlineStr">
        <is>
          <t>Needs approval / close guidance</t>
        </is>
      </c>
      <c r="X12" s="166" t="inlineStr">
        <is>
          <t>Learning tasks</t>
        </is>
      </c>
      <c r="Y12" s="166" t="inlineStr">
        <is>
          <t>Not scored in Band A</t>
        </is>
      </c>
      <c r="Z12" s="166" t="inlineStr">
        <is>
          <t>0 yrs · fresher / intern</t>
        </is>
      </c>
      <c r="AA12" s="166" t="inlineStr">
        <is>
          <t>Pursuing or completed graduation / diploma</t>
        </is>
      </c>
      <c r="AB12" s="166" t="inlineStr">
        <is>
          <t>Internal product certification</t>
        </is>
      </c>
      <c r="AC12" s="166" t="inlineStr">
        <is>
          <t>No direct reports</t>
        </is>
      </c>
      <c r="AD12" s="122" t="inlineStr">
        <is>
          <t>Core 1 · Future-ready 1 · Functional 1 · Leadership —</t>
        </is>
      </c>
      <c r="AE12" s="123" t="inlineStr">
        <is>
          <t>Product, Platform &amp; Domain Knowledge · Stakeholder &amp; Client Management</t>
        </is>
      </c>
      <c r="AF12" s="123" t="inlineStr">
        <is>
          <t>Communication &amp; Presentation · Database, SQL &amp; Data Engineering · Regulatory &amp; BFSI Domain · Process Improvement &amp; Quality Mindset</t>
        </is>
      </c>
      <c r="AG12" s="176" t="inlineStr">
        <is>
          <t>Entry / P1 · intern</t>
        </is>
      </c>
      <c r="AH12" s="129" t="inlineStr">
        <is>
          <t>1 Follow</t>
        </is>
      </c>
      <c r="AI12" s="177" t="inlineStr">
        <is>
          <r>
            <rPr>
              <rFont val="Calibri"/>
              <b val="1"/>
              <sz val="10"/>
            </rPr>
            <t>Workiva:</t>
          </r>
          <r>
            <rPr>
              <rFont val="Calibri"/>
              <sz val="10"/>
            </rPr>
            <t xml:space="preserve"> Customer Success intern</t>
          </r>
        </is>
      </c>
      <c r="AJ12" s="177" t="inlineStr">
        <is>
          <t>TSIA frameworks and benchmarks; ITIL 4 service desk; Gainsight customer-success practice</t>
        </is>
      </c>
      <c r="AK12" s="177" t="inlineStr">
        <is>
          <t>A2 · Associate</t>
        </is>
      </c>
      <c r="AL12" s="130" t="inlineStr">
        <is>
          <t>Broader exposure &amp; ownership</t>
        </is>
      </c>
      <c r="AM12" s="131" t="inlineStr">
        <is>
          <t>Training on the effective utilization of AI tools.</t>
        </is>
      </c>
      <c r="AN12" s="131" t="inlineStr">
        <is>
          <t>Formal / classroom training · Mentoring / guidance from seniors · On-the-job / hands-on · Knowledge transfer · KT</t>
        </is>
      </c>
      <c r="AO12" s="131" t="inlineStr">
        <is>
          <t>issue · dependency · laptop · client · slow</t>
        </is>
      </c>
      <c r="AP12" s="131" t="inlineStr">
        <is>
          <t>dependency · better · training · client · pam</t>
        </is>
      </c>
      <c r="AQ12" s="131" t="inlineStr">
        <is>
          <t>8 of 24 say the role is changing because of AI / automation</t>
        </is>
      </c>
      <c r="AR12" s="132" t="inlineStr">
        <is>
          <t>Enable sustained customer value and issue resolution. Includes: Adoption, product support and customer education. Excludes: Employee IT support; initial client implementation.</t>
        </is>
      </c>
      <c r="AS12" s="133" t="inlineStr">
        <is>
          <t>CS01-0 · Product Support Intern</t>
        </is>
      </c>
      <c r="AT12" s="133" t="inlineStr">
        <is>
          <r>
            <rPr>
              <rFont val="Calibri"/>
              <b val="1"/>
              <sz val="10"/>
            </rPr>
            <t>Assist with a supervised work sample:</t>
          </r>
          <r>
            <rPr>
              <rFont val="Calibri"/>
              <sz val="10"/>
            </rPr>
            <t xml:space="preserve"> diagnose cases and publish verified knowledge articles.</t>
          </r>
        </is>
      </c>
      <c r="AU12" s="133" t="inlineStr">
        <is>
          <t>Reviewed learning assignment; no independent material sign-off.</t>
        </is>
      </c>
      <c r="AV12" s="133" t="inlineStr">
        <is>
          <t>A resolved complex case with diagnosis, customer explanation and reusable knowledge</t>
        </is>
      </c>
      <c r="AW12" s="133" t="inlineStr">
        <is>
          <r>
            <rPr>
              <rFont val="Calibri"/>
              <b val="1"/>
              <sz val="10"/>
            </rPr>
            <t>Workiva:</t>
          </r>
          <r>
            <rPr>
              <rFont val="Calibri"/>
              <sz val="10"/>
            </rPr>
            <t xml:space="preserve"> Product Support Engineer
</t>
          </r>
          <r>
            <rPr>
              <rFont val="Calibri"/>
              <b val="1"/>
              <sz val="10"/>
            </rPr>
            <t>Workiva:</t>
          </r>
          <r>
            <rPr>
              <rFont val="Calibri"/>
              <sz val="10"/>
            </rPr>
            <t xml:space="preserve"> Senior Manager of Product Support · IC and manager examples. Gap: Support-engineer and people-manager duties can be compared directly</t>
          </r>
        </is>
      </c>
      <c r="AX12" s="179" t="inlineStr">
        <is>
          <t>Framework + sub-family themes · 3+ answered</t>
        </is>
      </c>
      <c r="AY12" s="135" t="inlineStr">
        <is>
          <t>2 holders, 2 answered the survey; sub-family 25 answered</t>
        </is>
      </c>
    </row>
    <row r="13" ht="119" customHeight="1">
      <c r="A13" s="175" t="inlineStr">
        <is>
          <t>RC-030</t>
        </is>
      </c>
      <c r="B13" s="111" t="inlineStr">
        <is>
          <t>Customer Success &amp; Support</t>
        </is>
      </c>
      <c r="C13" s="111" t="inlineStr">
        <is>
          <t>Application &amp; Product Support</t>
        </is>
      </c>
      <c r="D13" s="116" t="inlineStr">
        <is>
          <t>A2</t>
        </is>
      </c>
      <c r="E13" s="117" t="inlineStr">
        <is>
          <t>Associate</t>
        </is>
      </c>
      <c r="F13" s="111" t="inlineStr">
        <is>
          <t>IC</t>
        </is>
      </c>
      <c r="G13" s="111" t="inlineStr">
        <is>
          <t>Support Executive</t>
        </is>
      </c>
      <c r="H13" s="112" t="n">
        <v>2</v>
      </c>
      <c r="I13" s="111" t="inlineStr">
        <is>
          <t>iFile 1 · iDEAL 1</t>
        </is>
      </c>
      <c r="J13" s="163" t="n">
        <v>1</v>
      </c>
      <c r="K13" s="115" t="inlineStr">
        <is>
          <t>Hemand Thayil</t>
        </is>
      </c>
      <c r="L13" s="115" t="inlineStr">
        <is>
          <t>Technology</t>
        </is>
      </c>
      <c r="M13" s="119" t="inlineStr">
        <is>
          <r>
            <rPr>
              <rFont val="Calibri"/>
              <sz val="10"/>
            </rPr>
            <t xml:space="preserve">Resolves client product and filing issues, troubleshoots, handles UAT/change requests and escalates to engineering. At A2: standard work delivered independently.
</t>
          </r>
          <r>
            <rPr>
              <rFont val="Calibri"/>
              <b val="1"/>
              <sz val="10"/>
            </rPr>
            <t>Common themes in sub-family holders, all levels' answers:</t>
          </r>
          <r>
            <rPr>
              <rFont val="Calibri"/>
              <sz val="10"/>
            </rPr>
            <t xml:space="preserve"> support · clients · queries · provide · issues · resolving</t>
          </r>
        </is>
      </c>
      <c r="N13" s="165" t="inlineStr">
        <is>
          <r>
            <rPr>
              <rFont val="Calibri"/>
              <sz val="10"/>
            </rPr>
            <t xml:space="preserve">Resolves client product and filing issues, troubleshoots, handles UAT/change requests and escalates to engineering; Standard work of the discipline; Own deliverables · accuracy, TAT
</t>
          </r>
          <r>
            <rPr>
              <rFont val="Calibri"/>
              <b val="1"/>
              <sz val="10"/>
            </rPr>
            <t>Common themes in sub-family holders, all levels' answers:</t>
          </r>
          <r>
            <rPr>
              <rFont val="Calibri"/>
              <sz val="10"/>
            </rPr>
            <t xml:space="preserve"> support · issue · testing · communication · customer · ticket</t>
          </r>
        </is>
      </c>
      <c r="O13" s="165" t="inlineStr">
        <is>
          <r>
            <rPr>
              <rFont val="Calibri"/>
              <sz val="10"/>
            </rPr>
            <t xml:space="preserve">Own deliverables · accuracy, TAT
</t>
          </r>
          <r>
            <rPr>
              <rFont val="Calibri"/>
              <b val="1"/>
              <sz val="10"/>
            </rPr>
            <t>Common themes in sub-family holders, all levels' answers:</t>
          </r>
          <r>
            <rPr>
              <rFont val="Calibri"/>
              <sz val="10"/>
            </rPr>
            <t xml:space="preserve"> support · customer · product · provide · testing · deliver</t>
          </r>
        </is>
      </c>
      <c r="P13" s="165" t="inlineStr">
        <is>
          <r>
            <rPr>
              <rFont val="Calibri"/>
              <sz val="10"/>
            </rPr>
            <t xml:space="preserve">Own deliverables · accuracy, TAT
</t>
          </r>
          <r>
            <rPr>
              <rFont val="Calibri"/>
              <b val="1"/>
              <sz val="10"/>
            </rPr>
            <t>Common themes in sub-family holders, all levels' answers:</t>
          </r>
          <r>
            <rPr>
              <rFont val="Calibri"/>
              <sz val="10"/>
            </rPr>
            <t xml:space="preserve"> client · resolution · am · accountable · timely · if</t>
          </r>
        </is>
      </c>
      <c r="Q13" s="165" t="inlineStr">
        <is>
          <r>
            <rPr>
              <rFont val="Calibri"/>
              <sz val="10"/>
            </rPr>
            <t xml:space="preserve">Chooses own approach within standards
</t>
          </r>
          <r>
            <rPr>
              <rFont val="Calibri"/>
              <b val="1"/>
              <sz val="10"/>
            </rPr>
            <t>Common themes in sub-family holders, all levels' answers:</t>
          </r>
          <r>
            <rPr>
              <rFont val="Calibri"/>
              <sz val="10"/>
            </rPr>
            <t xml:space="preserve"> issues · resolving · tickets · handle · erro · validation</t>
          </r>
        </is>
      </c>
      <c r="R13" s="165" t="inlineStr">
        <is>
          <t>—</t>
        </is>
      </c>
      <c r="S13" s="165" t="inlineStr">
        <is>
          <t>Tech Support · Domain Support · Communication · Domain Knowledge · Business Analysis · Platform knowledge · Sales</t>
        </is>
      </c>
      <c r="T13" s="165" t="inlineStr">
        <is>
          <t>MS Office · Faveo · Arelle · Excel · Claude · Copilot · Microsoft Excel · RBI cims portal</t>
        </is>
      </c>
      <c r="U13" s="120" t="inlineStr">
        <is>
          <t>Standard work delivered independently</t>
        </is>
      </c>
      <c r="V13" s="166" t="inlineStr">
        <is>
          <t>Standard work of the discipline</t>
        </is>
      </c>
      <c r="W13" s="166" t="inlineStr">
        <is>
          <t>Chooses own approach within standards</t>
        </is>
      </c>
      <c r="X13" s="166" t="inlineStr">
        <is>
          <t>Own deliverables · accuracy, TAT</t>
        </is>
      </c>
      <c r="Y13" s="166" t="inlineStr">
        <is>
          <t>Not scored in Band A</t>
        </is>
      </c>
      <c r="Z13" s="166" t="inlineStr">
        <is>
          <t>0–2 yrs</t>
        </is>
      </c>
      <c r="AA13" s="166" t="inlineStr">
        <is>
          <t>Graduate · or diploma with experience</t>
        </is>
      </c>
      <c r="AB13" s="166" t="inlineStr">
        <is>
          <t>Internal product certification</t>
        </is>
      </c>
      <c r="AC13" s="166" t="inlineStr">
        <is>
          <t>No direct reports</t>
        </is>
      </c>
      <c r="AD13" s="122" t="inlineStr">
        <is>
          <t>Core 2 · Future-ready 2 · Functional 2 · Leadership —</t>
        </is>
      </c>
      <c r="AE13" s="123" t="inlineStr">
        <is>
          <t>Product, Platform &amp; Domain Knowledge · Stakeholder &amp; Client Management</t>
        </is>
      </c>
      <c r="AF13" s="123" t="inlineStr">
        <is>
          <t>Communication &amp; Presentation · Database, SQL &amp; Data Engineering · Regulatory &amp; BFSI Domain · Process Improvement &amp; Quality Mindset</t>
        </is>
      </c>
      <c r="AG13" s="176" t="inlineStr">
        <is>
          <t>P1–P2</t>
        </is>
      </c>
      <c r="AH13" s="129" t="inlineStr">
        <is>
          <t>2 Assist</t>
        </is>
      </c>
      <c r="AI13" s="177" t="inlineStr">
        <is>
          <t>IRIS Vs Competitor Benchmark — SaaS customer-success ladder: Support Associate · IRIS Vs Competitor Benchmark — support tiers: L1 Service Desk</t>
        </is>
      </c>
      <c r="AJ13" s="177" t="inlineStr">
        <is>
          <t>TSIA frameworks and benchmarks; ITIL 4 service desk; Gainsight customer-success practice</t>
        </is>
      </c>
      <c r="AK13" s="177" t="inlineStr">
        <is>
          <t>A3 · Senior Associate</t>
        </is>
      </c>
      <c r="AL13" s="130" t="inlineStr">
        <is>
          <t>Technical depth &amp; architecture · Data, SQL &amp; analytics · Broader exposure &amp; ownership</t>
        </is>
      </c>
      <c r="AM13" s="131" t="inlineStr">
        <is>
          <t>XBRL Training, Training on the effective utilization of AI tools.</t>
        </is>
      </c>
      <c r="AN13" s="131" t="inlineStr">
        <is>
          <t>Formal / classroom training · Mentoring / guidance from seniors · On-the-job / hands-on · Knowledge transfer · KT</t>
        </is>
      </c>
      <c r="AO13" s="131" t="inlineStr">
        <is>
          <t>issue · dependency · laptop · client · slow</t>
        </is>
      </c>
      <c r="AP13" s="131" t="inlineStr">
        <is>
          <t>dependency · better · training · client · pam</t>
        </is>
      </c>
      <c r="AQ13" s="131" t="inlineStr">
        <is>
          <t>8 of 24 say the role is changing because of AI / automation</t>
        </is>
      </c>
      <c r="AR13" s="132" t="inlineStr">
        <is>
          <t>Enable sustained customer value and issue resolution. Includes: Adoption, product support and customer education. Excludes: Employee IT support; initial client implementation.</t>
        </is>
      </c>
      <c r="AS13" s="133" t="inlineStr">
        <is>
          <t>CS01-1 · Associate Product Support Engineer</t>
        </is>
      </c>
      <c r="AT13" s="133" t="inlineStr">
        <is>
          <r>
            <rPr>
              <rFont val="Calibri"/>
              <b val="1"/>
              <sz val="10"/>
            </rPr>
            <t>Complete defined parts under review:</t>
          </r>
          <r>
            <rPr>
              <rFont val="Calibri"/>
              <sz val="10"/>
            </rPr>
            <t xml:space="preserve"> diagnose cases and publish verified knowledge articles.</t>
          </r>
        </is>
      </c>
      <c r="AU13" s="133" t="inlineStr">
        <is>
          <t>Repeatable correct delivery, safe escalation and required entry eligibility.</t>
        </is>
      </c>
      <c r="AV13" s="133" t="inlineStr">
        <is>
          <t>A resolved complex case with diagnosis, customer explanation and reusable knowledge</t>
        </is>
      </c>
      <c r="AW13" s="133" t="inlineStr">
        <is>
          <r>
            <rPr>
              <rFont val="Calibri"/>
              <b val="1"/>
              <sz val="10"/>
            </rPr>
            <t>Workiva:</t>
          </r>
          <r>
            <rPr>
              <rFont val="Calibri"/>
              <sz val="10"/>
            </rPr>
            <t xml:space="preserve"> Product Support Engineer
</t>
          </r>
          <r>
            <rPr>
              <rFont val="Calibri"/>
              <b val="1"/>
              <sz val="10"/>
            </rPr>
            <t>Workiva:</t>
          </r>
          <r>
            <rPr>
              <rFont val="Calibri"/>
              <sz val="10"/>
            </rPr>
            <t xml:space="preserve"> Senior Manager of Product Support · IC and manager examples. Gap: Support-engineer and people-manager duties can be compared directly</t>
          </r>
        </is>
      </c>
      <c r="AX13" s="179" t="inlineStr">
        <is>
          <t>Framework + sub-family themes · 3+ answered</t>
        </is>
      </c>
      <c r="AY13" s="135" t="inlineStr">
        <is>
          <t>2 holders, 2 answered the survey; sub-family 25 answered</t>
        </is>
      </c>
    </row>
    <row r="14" ht="119" customHeight="1">
      <c r="A14" s="175" t="inlineStr">
        <is>
          <t>RC-031</t>
        </is>
      </c>
      <c r="B14" s="111" t="inlineStr">
        <is>
          <t>Customer Success &amp; Support</t>
        </is>
      </c>
      <c r="C14" s="111" t="inlineStr">
        <is>
          <t>Application &amp; Product Support</t>
        </is>
      </c>
      <c r="D14" s="116" t="inlineStr">
        <is>
          <t>A3</t>
        </is>
      </c>
      <c r="E14" s="117" t="inlineStr">
        <is>
          <t>Senior Associate</t>
        </is>
      </c>
      <c r="F14" s="111" t="inlineStr">
        <is>
          <t>IC</t>
        </is>
      </c>
      <c r="G14" s="111" t="inlineStr">
        <is>
          <t>Senior Support Executive · Support Specialist</t>
        </is>
      </c>
      <c r="H14" s="112" t="n">
        <v>17</v>
      </c>
      <c r="I14" s="111" t="inlineStr">
        <is>
          <t>iFile 8 · CARBON 7 · iDEAL 2</t>
        </is>
      </c>
      <c r="J14" s="163" t="n">
        <v>2</v>
      </c>
      <c r="K14" s="115" t="inlineStr">
        <is>
          <t>Nidhi Kulkarni, Shreekanth Samala</t>
        </is>
      </c>
      <c r="L14" s="115" t="inlineStr">
        <is>
          <t>Technology</t>
        </is>
      </c>
      <c r="M14" s="119" t="inlineStr">
        <is>
          <r>
            <rPr>
              <rFont val="Calibri"/>
              <sz val="10"/>
            </rPr>
            <t xml:space="preserve">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t>
          </r>
        </is>
      </c>
      <c r="N14" s="165" t="inlineStr">
        <is>
          <r>
            <rPr>
              <rFont val="Calibri"/>
              <sz val="10"/>
            </rPr>
            <t xml:space="preserve">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t>
          </r>
        </is>
      </c>
      <c r="O14"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support · product · customer · provide · testing · deliver</t>
          </r>
        </is>
      </c>
      <c r="P14"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resolution · am · accountable · timely · client · quality</t>
          </r>
        </is>
      </c>
      <c r="Q14" s="165" t="inlineStr">
        <is>
          <r>
            <rPr>
              <rFont val="Calibri"/>
              <sz val="10"/>
            </rPr>
            <t xml:space="preserve">Technical / QC / client calls on own work
</t>
          </r>
          <r>
            <rPr>
              <rFont val="Calibri"/>
              <b val="1"/>
              <sz val="10"/>
            </rPr>
            <t>Common themes in role-holders' answers:</t>
          </r>
          <r>
            <rPr>
              <rFont val="Calibri"/>
              <sz val="10"/>
            </rPr>
            <t xml:space="preserve"> issues · resolving · tickets · handle · erro · validation</t>
          </r>
        </is>
      </c>
      <c r="R14" s="165" t="inlineStr">
        <is>
          <r>
            <rPr>
              <rFont val="Calibri"/>
              <b val="1"/>
              <sz val="10"/>
            </rPr>
            <t>Common themes in manager-set KRAs:</t>
          </r>
          <r>
            <rPr>
              <rFont val="Calibri"/>
              <sz val="10"/>
            </rPr>
            <t xml:space="preserve"> resolve · accounts · maintain accurate · accurate up-to-date · escalations owned · tickets/queries sla</t>
          </r>
        </is>
      </c>
      <c r="S14" s="165" t="inlineStr">
        <is>
          <t>Tech Support · Domain Support · Domain Knowledge · Platform knowledge · Business Analysis</t>
        </is>
      </c>
      <c r="T14" s="165" t="inlineStr">
        <is>
          <t>MS office · Arelle · Copilot · Excel · RBI cims portal</t>
        </is>
      </c>
      <c r="U14" s="120" t="inlineStr">
        <is>
          <t>Varied work; reviews juniors; go-to for a process</t>
        </is>
      </c>
      <c r="V14" s="166" t="inlineStr">
        <is>
          <t>Varied and non-standard work; handles exceptions</t>
        </is>
      </c>
      <c r="W14" s="166" t="inlineStr">
        <is>
          <t>Technical / QC / client calls on own work</t>
        </is>
      </c>
      <c r="X14" s="166" t="inlineStr">
        <is>
          <t>A module / process, or work with client or regulatory consequences</t>
        </is>
      </c>
      <c r="Y14" s="166" t="inlineStr">
        <is>
          <t>Not scored in Band A</t>
        </is>
      </c>
      <c r="Z14" s="166" t="inlineStr">
        <is>
          <t>2–4 yrs</t>
        </is>
      </c>
      <c r="AA14" s="166" t="inlineStr">
        <is>
          <t>Graduate; relevant certification preferred</t>
        </is>
      </c>
      <c r="AB14" s="166" t="inlineStr">
        <is>
          <t>Internal product certification</t>
        </is>
      </c>
      <c r="AC14" s="166" t="inlineStr">
        <is>
          <t>None · guides 1–3 juniors informally</t>
        </is>
      </c>
      <c r="AD14" s="122" t="inlineStr">
        <is>
          <t>Core 2 · Future-ready 2 · Functional 3 · Leadership —</t>
        </is>
      </c>
      <c r="AE14" s="123" t="inlineStr">
        <is>
          <t>Product, Platform &amp; Domain Knowledge · Stakeholder &amp; Client Management</t>
        </is>
      </c>
      <c r="AF14" s="123" t="inlineStr">
        <is>
          <t>Communication &amp; Presentation · Database, SQL &amp; Data Engineering · Regulatory &amp; BFSI Domain · Process Improvement &amp; Quality Mindset</t>
        </is>
      </c>
      <c r="AG14" s="176" t="inlineStr">
        <is>
          <t>P2</t>
        </is>
      </c>
      <c r="AH14" s="129" t="inlineStr">
        <is>
          <t>3 Apply</t>
        </is>
      </c>
      <c r="AI14" s="177" t="inlineStr">
        <is>
          <t>IRIS Vs Competitor Benchmark — SaaS customer-success ladder: Associate CSM · Regnology: Product Support Specialist · Reg Reporting · IRIS Vs Competitor Benchmark — support tiers: L2 Application Support</t>
        </is>
      </c>
      <c r="AJ14" s="177" t="inlineStr">
        <is>
          <t>TSIA frameworks and benchmarks; ITIL 4 service desk; Gainsight customer-success practice</t>
        </is>
      </c>
      <c r="AK14" s="177" t="inlineStr">
        <is>
          <t>B1 · Specialist</t>
        </is>
      </c>
      <c r="AL14" s="130" t="inlineStr">
        <is>
          <t>Product &amp; tool knowledge · Broader exposure &amp; ownership · Domain, regulatory &amp; XBRL · Client, sales &amp; stakeholders · Data, SQL &amp; analytics</t>
        </is>
      </c>
      <c r="AM14" s="131" t="inlineStr">
        <is>
          <t>ticketing sla · de-escalation · sla tools · product/domain depth · depth ticketing</t>
        </is>
      </c>
      <c r="AN14" s="131" t="inlineStr">
        <is>
          <t>Formal / classroom training · Mentoring / guidance from seniors · On-the-job / hands-on · Knowledge transfer · KT</t>
        </is>
      </c>
      <c r="AO14" s="131" t="inlineStr">
        <is>
          <t>dependency · issue · laptop · client · system</t>
        </is>
      </c>
      <c r="AP14" s="131" t="inlineStr">
        <is>
          <t>dependency · better · training · pam · correct</t>
        </is>
      </c>
      <c r="AQ14" s="131" t="inlineStr">
        <is>
          <t>6 of 17 say the role is changing because of AI / automation</t>
        </is>
      </c>
      <c r="AR14" s="132" t="inlineStr">
        <is>
          <t>Enable sustained customer value and issue resolution. Includes: Adoption, product support and customer education. Excludes: Employee IT support; initial client implementation.</t>
        </is>
      </c>
      <c r="AS14" s="133" t="inlineStr">
        <is>
          <t>CS01-2 · Product Support Engineer</t>
        </is>
      </c>
      <c r="AT14" s="133" t="inlineStr">
        <is>
          <t>Diagnose cases and publish verified knowledge articles.</t>
        </is>
      </c>
      <c r="AU14" s="133" t="inlineStr">
        <is>
          <t>Demonstrate routine delivery plus judgement in bounded exceptions.</t>
        </is>
      </c>
      <c r="AV14" s="133" t="inlineStr">
        <is>
          <t>A resolved complex case with diagnosis, customer explanation and reusable knowledge</t>
        </is>
      </c>
      <c r="AW14" s="133" t="inlineStr">
        <is>
          <r>
            <rPr>
              <rFont val="Calibri"/>
              <b val="1"/>
              <sz val="10"/>
            </rPr>
            <t>Workiva:</t>
          </r>
          <r>
            <rPr>
              <rFont val="Calibri"/>
              <sz val="10"/>
            </rPr>
            <t xml:space="preserve"> Product Support Engineer
</t>
          </r>
          <r>
            <rPr>
              <rFont val="Calibri"/>
              <b val="1"/>
              <sz val="10"/>
            </rPr>
            <t>Workiva:</t>
          </r>
          <r>
            <rPr>
              <rFont val="Calibri"/>
              <sz val="10"/>
            </rPr>
            <t xml:space="preserve"> Senior Manager of Product Support · IC and manager examples. Gap: Support-engineer and people-manager duties can be compared directly</t>
          </r>
        </is>
      </c>
      <c r="AX14" s="178" t="inlineStr">
        <is>
          <t>Framework + role-holders' themes · 3+ answered</t>
        </is>
      </c>
      <c r="AY14" s="135" t="inlineStr">
        <is>
          <t>17 holders, 17 answered the survey; sub-family 25 answered</t>
        </is>
      </c>
    </row>
    <row r="15">
      <c r="A15" s="161" t="inlineStr">
        <is>
          <t>Engineering &amp; Architecture</t>
        </is>
      </c>
    </row>
    <row r="16" ht="145" customHeight="1">
      <c r="A16" s="175" t="inlineStr">
        <is>
          <t>RC-056</t>
        </is>
      </c>
      <c r="B16" s="111" t="inlineStr">
        <is>
          <t>Engineering &amp; Architecture</t>
        </is>
      </c>
      <c r="C16" s="111" t="inlineStr">
        <is>
          <t>Solution &amp; Technical Architecture</t>
        </is>
      </c>
      <c r="D16" s="180" t="inlineStr">
        <is>
          <t>B+</t>
        </is>
      </c>
      <c r="E16" s="145" t="inlineStr">
        <is>
          <t>Practice Lead · Player-Coach</t>
        </is>
      </c>
      <c r="F16" s="111" t="inlineStr">
        <is>
          <t>IC</t>
        </is>
      </c>
      <c r="G16" s="111" t="inlineStr">
        <is>
          <t>Practice Lead – Solution &amp; Technical Architecture · Player-Coach</t>
        </is>
      </c>
      <c r="H16" s="112" t="n">
        <v>5</v>
      </c>
      <c r="I16" s="111" t="inlineStr">
        <is>
          <t>iFile 4 · iDEAL 1</t>
        </is>
      </c>
      <c r="J16" s="163" t="n">
        <v>1</v>
      </c>
      <c r="K16" s="115" t="inlineStr">
        <is>
          <t>Jitendra Kumar</t>
        </is>
      </c>
      <c r="L16" s="115" t="inlineStr">
        <is>
          <t>Technology</t>
        </is>
      </c>
      <c r="M16" s="119" t="inlineStr">
        <is>
          <r>
            <rPr>
              <rFont val="Calibri"/>
              <sz val="10"/>
            </rPr>
            <t xml:space="preserve">Designs system / solution architecture, integrations and technical standards; guides build teams. At B+: a practice or product area: does the hardest hands-on work itself and leads 3–6 people · player-coach.
</t>
          </r>
          <r>
            <rPr>
              <rFont val="Calibri"/>
              <b val="1"/>
              <sz val="10"/>
            </rPr>
            <t>Common themes in role-holders' answers:</t>
          </r>
          <r>
            <rPr>
              <rFont val="Calibri"/>
              <sz val="10"/>
            </rPr>
            <t xml:space="preserve"> technical · client · design · understanding · solution · application</t>
          </r>
        </is>
      </c>
      <c r="N16" s="165" t="inlineStr">
        <is>
          <r>
            <rPr>
              <rFont val="Calibri"/>
              <sz val="10"/>
            </rPr>
            <t xml:space="preserve">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Common themes in role-holders' answers:</t>
          </r>
          <r>
            <rPr>
              <rFont val="Calibri"/>
              <sz val="10"/>
            </rPr>
            <t xml:space="preserve"> client · documentation · technical · solution · requirement · meeting</t>
          </r>
        </is>
      </c>
      <c r="O16" s="165" t="inlineStr">
        <is>
          <r>
            <rPr>
              <rFont val="Calibri"/>
              <sz val="10"/>
            </rPr>
            <t xml:space="preserve">Practice outcomes plus own deliverables; quality and delivery of the team
</t>
          </r>
          <r>
            <rPr>
              <rFont val="Calibri"/>
              <b val="1"/>
              <sz val="10"/>
            </rPr>
            <t>Common themes in role-holders' answers:</t>
          </r>
          <r>
            <rPr>
              <rFont val="Calibri"/>
              <sz val="10"/>
            </rPr>
            <t xml:space="preserve"> solution · architecture · design</t>
          </r>
        </is>
      </c>
      <c r="P16" s="165" t="inlineStr">
        <is>
          <r>
            <rPr>
              <rFont val="Calibri"/>
              <sz val="10"/>
            </rPr>
            <t xml:space="preserve">Practice outcomes plus own deliverables; quality and delivery of the team
</t>
          </r>
          <r>
            <rPr>
              <rFont val="Calibri"/>
              <b val="1"/>
              <sz val="10"/>
            </rPr>
            <t>Common themes in role-holders' answers:</t>
          </r>
          <r>
            <rPr>
              <rFont val="Calibri"/>
              <sz val="10"/>
            </rPr>
            <t xml:space="preserve"> client · if · solution · architecture · design · technical</t>
          </r>
        </is>
      </c>
      <c r="Q16" s="165" t="inlineStr">
        <is>
          <r>
            <rPr>
              <rFont val="Calibri"/>
              <sz val="10"/>
            </rPr>
            <t xml:space="preserve">Decides approach and priorities for the practice; escalates only cross-function trade-offs
</t>
          </r>
          <r>
            <rPr>
              <rFont val="Calibri"/>
              <b val="1"/>
              <sz val="10"/>
            </rPr>
            <t>Common themes in role-holders' answers:</t>
          </r>
          <r>
            <rPr>
              <rFont val="Calibri"/>
              <sz val="10"/>
            </rPr>
            <t xml:space="preserve"> approach</t>
          </r>
        </is>
      </c>
      <c r="R16" s="165" t="inlineStr">
        <is>
          <r>
            <rPr>
              <rFont val="Calibri"/>
              <b val="1"/>
              <sz val="10"/>
            </rPr>
            <t>Common themes in manager-set KRAs:</t>
          </r>
          <r>
            <rPr>
              <rFont val="Calibri"/>
              <sz val="10"/>
            </rPr>
            <t xml:space="preserve"> support · technical · project · completion · develop · year</t>
          </r>
        </is>
      </c>
      <c r="S16" s="165" t="inlineStr">
        <is>
          <t>Java · Spring Boot · NET MVC</t>
        </is>
      </c>
      <c r="T16" s="165" t="inlineStr">
        <is>
          <t>—</t>
        </is>
      </c>
      <c r="U16" s="120" t="inlineStr">
        <is>
          <r>
            <rPr>
              <rFont val="Calibri"/>
              <b val="1"/>
              <sz val="10"/>
            </rPr>
            <t>A practice or product area:</t>
          </r>
          <r>
            <rPr>
              <rFont val="Calibri"/>
              <sz val="10"/>
            </rPr>
            <t xml:space="preserve"> does the hardest hands-on work itself and leads 3–6 people · player-coach</t>
          </r>
        </is>
      </c>
      <c r="V16" s="166" t="inlineStr">
        <is>
          <t>Principal-level problems in own domain; sets technical or quality standards and still builds</t>
        </is>
      </c>
      <c r="W16" s="166" t="inlineStr">
        <is>
          <t>Decides approach and priorities for the practice; escalates only cross-function trade-offs</t>
        </is>
      </c>
      <c r="X16" s="166" t="inlineStr">
        <is>
          <t>Practice outcomes plus own deliverables; quality and delivery of the team</t>
        </is>
      </c>
      <c r="Y16" s="166" t="inlineStr">
        <is>
          <t>Leads 3–6 people · or a pod while remaining a hands-on expert; coaches, allocates, reviews</t>
        </is>
      </c>
      <c r="Z16" s="166" t="inlineStr">
        <is>
          <t>9–14 yrs</t>
        </is>
      </c>
      <c r="AA16" s="166" t="inlineStr">
        <is>
          <t>Postgraduate or professional qualification preferred</t>
        </is>
      </c>
      <c r="AB16" s="166" t="inlineStr">
        <is>
          <t>AWS / Azure architect · optional; Cloud / language certifications · optional</t>
        </is>
      </c>
      <c r="AC16" s="166" t="inlineStr">
        <is>
          <t>3–6 direct reports with ≥ 40% of time on own delivery · McKinsey player/coach 3–5; Google Tech Lead Manager</t>
        </is>
      </c>
      <c r="AD16" s="122" t="inlineStr">
        <is>
          <t>Core 4 · Future-ready 4 · Functional 4 · Leadership 4</t>
        </is>
      </c>
      <c r="AE16" s="123" t="inlineStr">
        <is>
          <t>System Design &amp; Architecture · Programming &amp; Tech-Stack Depth</t>
        </is>
      </c>
      <c r="AF16" s="123" t="inlineStr">
        <is>
          <t>Cloud, DevOps &amp; CI/CD · Cybersecurity &amp; Infrastructure · Stakeholder &amp; Client Management · Strategic Thinking &amp; Business Acumen</t>
        </is>
      </c>
      <c r="AG16" s="176" t="inlineStr">
        <is>
          <t>P5–P6 / M4–M5</t>
        </is>
      </c>
      <c r="AH16" s="129" t="inlineStr">
        <is>
          <t>5 Ensure, advise</t>
        </is>
      </c>
      <c r="AI16" s="177" t="inlineStr">
        <is>
          <r>
            <rPr>
              <rFont val="Calibri"/>
              <b val="1"/>
              <sz val="10"/>
            </rPr>
            <t>Google:</t>
          </r>
          <r>
            <rPr>
              <rFont val="Calibri"/>
              <sz val="10"/>
            </rPr>
            <t xml:space="preserve"> Tech Lead Manager · TLM · McKinsey player/coach · 3–5 reports · SaaS: player-coach team lead carrying own work</t>
          </r>
        </is>
      </c>
      <c r="AJ16" s="177" t="inlineStr">
        <is>
          <t>SFIA 9 · solution architecture; TOGAF; AWS / Azure architect certifications</t>
        </is>
      </c>
      <c r="AK16" s="177" t="inlineStr">
        <is>
          <t>C1 · Principal</t>
        </is>
      </c>
      <c r="AL16" s="130" t="inlineStr">
        <is>
          <t>Technical depth &amp; architecture · Certification / formal course · Leadership &amp; people management · Broader exposure &amp; ownership · AI / automation</t>
        </is>
      </c>
      <c r="AM16" s="131" t="inlineStr">
        <is>
          <t>skills · communications soft · togaf</t>
        </is>
      </c>
      <c r="AN16" s="131" t="inlineStr">
        <is>
          <t>On-the-job / hands-on · Formal / classroom training · Online courses / self-learning</t>
        </is>
      </c>
      <c r="AO16" s="131" t="inlineStr">
        <is>
          <t>No common theme</t>
        </is>
      </c>
      <c r="AP16" s="131" t="inlineStr">
        <is>
          <t>add · gets</t>
        </is>
      </c>
      <c r="AQ16" s="131" t="inlineStr">
        <is>
          <t>3 of 5 say the role is changing because of AI / automation</t>
        </is>
      </c>
      <c r="AR16" s="132" t="inlineStr">
        <is>
          <t>Define system architecture across components. Includes: Solution design, non-functional trade-offs and architecture standards. Excludes: Presales persuasion alone; routine software delivery.</t>
        </is>
      </c>
      <c r="AS16" s="133" t="inlineStr">
        <is>
          <t>ARC01-4 · Principal Solution Architect</t>
        </is>
      </c>
      <c r="AT16" s="133" t="inlineStr">
        <is>
          <t>Set cross-product architecture principles and govern justified exceptions.</t>
        </is>
      </c>
      <c r="AU16" s="133" t="inlineStr">
        <is>
          <t>Adoption beyond own work; recurring authority and measurable wider outcomes.</t>
        </is>
      </c>
      <c r="AV16" s="133" t="inlineStr">
        <is>
          <t>A design decision record with alternatives, cost and security trade-offs plus implementation validation</t>
        </is>
      </c>
      <c r="AW16" s="133" t="inlineStr">
        <is>
          <r>
            <rPr>
              <rFont val="Calibri"/>
              <b val="1"/>
              <sz val="10"/>
            </rPr>
            <t>CoreFiling:</t>
          </r>
          <r>
            <rPr>
              <rFont val="Calibri"/>
              <sz val="10"/>
            </rPr>
            <t xml:space="preserve"> Careers and technical context · Context only. Gap: Peer context supports technical/domain expertise but no complete architecture ladder</t>
          </r>
        </is>
      </c>
      <c r="AX16" s="178" t="inlineStr">
        <is>
          <t>Framework + role-holders' themes · 3+ answered</t>
        </is>
      </c>
      <c r="AY16" s="135" t="inlineStr">
        <is>
          <t>5 holders, 5 answered the survey; sub-family 9 answered</t>
        </is>
      </c>
    </row>
    <row r="17">
      <c r="A17" s="161" t="inlineStr">
        <is>
          <t>Engineering &amp; Development</t>
        </is>
      </c>
    </row>
    <row r="18" ht="145" customHeight="1">
      <c r="A18" s="175" t="inlineStr">
        <is>
          <t>RC-065</t>
        </is>
      </c>
      <c r="B18" s="111" t="inlineStr">
        <is>
          <t>Engineering &amp; Development</t>
        </is>
      </c>
      <c r="C18" s="111" t="inlineStr">
        <is>
          <t>Backend Development</t>
        </is>
      </c>
      <c r="D18" s="116" t="inlineStr">
        <is>
          <t>A1</t>
        </is>
      </c>
      <c r="E18" s="117" t="inlineStr">
        <is>
          <t>Intern / Trainee</t>
        </is>
      </c>
      <c r="F18" s="111" t="inlineStr">
        <is>
          <t>IC</t>
        </is>
      </c>
      <c r="G18" s="111" t="inlineStr">
        <is>
          <t>Trainee Software Engineer · Intern – Software Development</t>
        </is>
      </c>
      <c r="H18" s="112" t="n">
        <v>4</v>
      </c>
      <c r="I18" s="111" t="inlineStr">
        <is>
          <t>iFile 2 · CARBON 1 · iDEAL 1</t>
        </is>
      </c>
      <c r="J18" s="163" t="n">
        <v>1</v>
      </c>
      <c r="K18" s="115" t="inlineStr">
        <is>
          <t>Vinayak Dadasaheb Suryawanshi</t>
        </is>
      </c>
      <c r="L18" s="115" t="inlineStr">
        <is>
          <t>Technology</t>
        </is>
      </c>
      <c r="M18" s="119" t="inlineStr">
        <is>
          <r>
            <rPr>
              <rFont val="Calibri"/>
              <sz val="10"/>
            </rPr>
            <t xml:space="preserve">Builds back-end services, APIs, processing/validation logic and DB code; fixes defects and delivers change requests. At A1: learning the role; all work reviewed.
</t>
          </r>
          <r>
            <rPr>
              <rFont val="Calibri"/>
              <b val="1"/>
              <sz val="10"/>
            </rPr>
            <t>Common themes in role-holders' answers:</t>
          </r>
          <r>
            <rPr>
              <rFont val="Calibri"/>
              <sz val="10"/>
            </rPr>
            <t xml:space="preserve"> learn · core · software engineer · develop · purpose · design</t>
          </r>
        </is>
      </c>
      <c r="N18" s="165" t="inlineStr">
        <is>
          <r>
            <rPr>
              <rFont val="Calibri"/>
              <sz val="10"/>
            </rPr>
            <t xml:space="preserve">Builds back-end services, APIs, processing/validation logic and DB code; fixes defects and delivers change requests; Learning; follows worked examples; Learning tasks
</t>
          </r>
          <r>
            <rPr>
              <rFont val="Calibri"/>
              <b val="1"/>
              <sz val="10"/>
            </rPr>
            <t>Common themes in role-holders' answers:</t>
          </r>
          <r>
            <rPr>
              <rFont val="Calibri"/>
              <sz val="10"/>
            </rPr>
            <t xml:space="preserve"> features · software · development · learning</t>
          </r>
        </is>
      </c>
      <c r="O18" s="165" t="inlineStr">
        <is>
          <r>
            <rPr>
              <rFont val="Calibri"/>
              <sz val="10"/>
            </rPr>
            <t xml:space="preserve">Learning tasks
</t>
          </r>
          <r>
            <rPr>
              <rFont val="Calibri"/>
              <b val="1"/>
              <sz val="10"/>
            </rPr>
            <t>Common themes in role-holders' answers:</t>
          </r>
          <r>
            <rPr>
              <rFont val="Calibri"/>
              <sz val="10"/>
            </rPr>
            <t xml:space="preserve"> software · code · features</t>
          </r>
        </is>
      </c>
      <c r="P18" s="165" t="inlineStr">
        <is>
          <r>
            <rPr>
              <rFont val="Calibri"/>
              <sz val="10"/>
            </rPr>
            <t xml:space="preserve">Learning tasks
</t>
          </r>
          <r>
            <rPr>
              <rFont val="Calibri"/>
              <b val="1"/>
              <sz val="10"/>
            </rPr>
            <t>Common themes in role-holders' answers:</t>
          </r>
          <r>
            <rPr>
              <rFont val="Calibri"/>
              <sz val="10"/>
            </rPr>
            <t xml:space="preserve"> quality · accountable · timely · if · data</t>
          </r>
        </is>
      </c>
      <c r="Q18" s="165" t="inlineStr">
        <is>
          <r>
            <rPr>
              <rFont val="Calibri"/>
              <sz val="10"/>
            </rPr>
            <t xml:space="preserve">Needs approval / close guidance
</t>
          </r>
          <r>
            <rPr>
              <rFont val="Calibri"/>
              <b val="1"/>
              <sz val="10"/>
            </rPr>
            <t>Common themes in role-holders' answers:</t>
          </r>
          <r>
            <rPr>
              <rFont val="Calibri"/>
              <sz val="10"/>
            </rPr>
            <t xml:space="preserve"> decisions · technical</t>
          </r>
        </is>
      </c>
      <c r="R18" s="165" t="inlineStr">
        <is>
          <r>
            <rPr>
              <rFont val="Calibri"/>
              <b val="1"/>
              <sz val="10"/>
            </rPr>
            <t>Common themes in manager-set KRAs:</t>
          </r>
          <r>
            <rPr>
              <rFont val="Calibri"/>
              <sz val="10"/>
            </rPr>
            <t xml:space="preserve"> code · technical · agreed · deliver · application · maintain</t>
          </r>
        </is>
      </c>
      <c r="S18" s="165" t="inlineStr">
        <is>
          <t>Java · NET MVC</t>
        </is>
      </c>
      <c r="T18" s="165" t="inlineStr">
        <is>
          <t>—</t>
        </is>
      </c>
      <c r="U18" s="120" t="inlineStr">
        <is>
          <t>Learning the role; all work reviewed</t>
        </is>
      </c>
      <c r="V18" s="166" t="inlineStr">
        <is>
          <t>Learning; follows worked examples</t>
        </is>
      </c>
      <c r="W18" s="166" t="inlineStr">
        <is>
          <t>Needs approval / close guidance</t>
        </is>
      </c>
      <c r="X18" s="166" t="inlineStr">
        <is>
          <t>Learning tasks</t>
        </is>
      </c>
      <c r="Y18" s="166" t="inlineStr">
        <is>
          <t>Not scored in Band A</t>
        </is>
      </c>
      <c r="Z18" s="166" t="inlineStr">
        <is>
          <t>0 yrs · fresher / intern</t>
        </is>
      </c>
      <c r="AA18" s="166" t="inlineStr">
        <is>
          <t>Pursuing or completed graduation / diploma</t>
        </is>
      </c>
      <c r="AB18" s="166" t="inlineStr">
        <is>
          <t>Cloud / language certifications · optional; AWS / Azure architect · optional</t>
        </is>
      </c>
      <c r="AC18" s="166" t="inlineStr">
        <is>
          <t>No direct reports</t>
        </is>
      </c>
      <c r="AD18" s="122" t="inlineStr">
        <is>
          <t>Core 1 · Future-ready 1 · Functional 1 · Leadership —</t>
        </is>
      </c>
      <c r="AE18" s="123" t="inlineStr">
        <is>
          <t>Programming &amp; Tech-Stack Depth · System Design &amp; Architecture</t>
        </is>
      </c>
      <c r="AF18" s="123" t="inlineStr">
        <is>
          <t>Database, SQL &amp; Data Engineering · Cloud, DevOps &amp; CI/CD · AI, GenAI &amp; Prompt Engineering · Product, Platform &amp; Domain Knowledge</t>
        </is>
      </c>
      <c r="AG18" s="176" t="inlineStr">
        <is>
          <t>Entry / P1 · intern</t>
        </is>
      </c>
      <c r="AH18" s="129" t="inlineStr">
        <is>
          <t>1 Follow</t>
        </is>
      </c>
      <c r="AI18" s="177" t="inlineStr">
        <is>
          <t>—</t>
        </is>
      </c>
      <c r="AJ18" s="177" t="inlineStr">
        <is>
          <t>SFIA 9 · software development, programming; OWASP secure coding; cloud vendor certifications</t>
        </is>
      </c>
      <c r="AK18" s="177" t="inlineStr">
        <is>
          <t>A2 · Associate</t>
        </is>
      </c>
      <c r="AL18" s="130" t="inlineStr">
        <is>
          <t>Technical depth &amp; architecture · Leadership &amp; people management · Data, SQL &amp; analytics · Domain, regulatory &amp; XBRL · Broader exposure &amp; ownership</t>
        </is>
      </c>
      <c r="AM18" s="131" t="inlineStr">
        <is>
          <t>Advanced Java;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N18" s="131" t="inlineStr">
        <is>
          <t>On-the-job / hands-on · Mentoring / guidance from seniors · Knowledge transfer · KT</t>
        </is>
      </c>
      <c r="AO18" s="131" t="inlineStr">
        <is>
          <t>unclear requirements · issues · understanding</t>
        </is>
      </c>
      <c r="AP18" s="131" t="inlineStr">
        <is>
          <t>clearer · time · structured</t>
        </is>
      </c>
      <c r="AQ18" s="131" t="inlineStr">
        <is>
          <t>3 of 4 say the role is changing because of AI / automation</t>
        </is>
      </c>
      <c r="AR18" s="132" t="inlineStr">
        <is>
          <t>Build and operate software capabilities. Includes: Application code, data/ML engineering and product reliability. Excludes: Product investment decisions; internal IT service desk.</t>
        </is>
      </c>
      <c r="AS18" s="133" t="inlineStr">
        <is>
          <t>ENG01-0 · Software Engineering Intern</t>
        </is>
      </c>
      <c r="AT18" s="133" t="inlineStr">
        <is>
          <r>
            <rPr>
              <rFont val="Calibri"/>
              <b val="1"/>
              <sz val="10"/>
            </rPr>
            <t>Assist with a supervised work sample:</t>
          </r>
          <r>
            <rPr>
              <rFont val="Calibri"/>
              <sz val="10"/>
            </rPr>
            <t xml:space="preserve"> deliver tested apis and services with clear error handling.</t>
          </r>
        </is>
      </c>
      <c r="AU18" s="133" t="inlineStr">
        <is>
          <t>Reviewed learning assignment; no independent material sign-off.</t>
        </is>
      </c>
      <c r="AV18" s="133" t="inlineStr">
        <is>
          <t>A service design and implementation with tests, failure handling and measured production behaviour</t>
        </is>
      </c>
      <c r="AW18" s="133" t="inlineStr">
        <is>
          <r>
            <rPr>
              <rFont val="Calibri"/>
              <b val="1"/>
              <sz val="10"/>
            </rPr>
            <t>Regnology:</t>
          </r>
          <r>
            <rPr>
              <rFont val="Calibri"/>
              <sz val="10"/>
            </rPr>
            <t xml:space="preserve"> Senior Software Engineer, Pune · Selected role. Gap: Java role directly supports software delivery and mentoring; full-stack coverage is partial</t>
          </r>
        </is>
      </c>
      <c r="AX18" s="178" t="inlineStr">
        <is>
          <t>Framework + role-holders' themes · 3+ answered</t>
        </is>
      </c>
      <c r="AY18" s="135" t="inlineStr">
        <is>
          <t>4 holders, 4 answered the survey; sub-family 79 answered</t>
        </is>
      </c>
    </row>
    <row r="19" ht="106" customHeight="1">
      <c r="A19" s="175" t="inlineStr">
        <is>
          <t>RC-066</t>
        </is>
      </c>
      <c r="B19" s="111" t="inlineStr">
        <is>
          <t>Engineering &amp; Development</t>
        </is>
      </c>
      <c r="C19" s="111" t="inlineStr">
        <is>
          <t>Backend Development</t>
        </is>
      </c>
      <c r="D19" s="116" t="inlineStr">
        <is>
          <t>A2</t>
        </is>
      </c>
      <c r="E19" s="117" t="inlineStr">
        <is>
          <t>Associate</t>
        </is>
      </c>
      <c r="F19" s="111" t="inlineStr">
        <is>
          <t>IC</t>
        </is>
      </c>
      <c r="G19" s="111" t="inlineStr">
        <is>
          <t>Software Engineer</t>
        </is>
      </c>
      <c r="H19" s="112" t="n">
        <v>7</v>
      </c>
      <c r="I19" s="111" t="inlineStr">
        <is>
          <t>iFile 3 · iDEAL 2 · CARBON 1 · Datatech 1</t>
        </is>
      </c>
      <c r="J19" s="163" t="n">
        <v>2</v>
      </c>
      <c r="K19" s="115" t="inlineStr">
        <is>
          <t>Abhay Pandey, Sumeet Laxman Kurdia</t>
        </is>
      </c>
      <c r="L19" s="115" t="inlineStr">
        <is>
          <t>Technology</t>
        </is>
      </c>
      <c r="M19" s="119" t="inlineStr">
        <is>
          <r>
            <rPr>
              <rFont val="Calibri"/>
              <sz val="10"/>
            </rPr>
            <t xml:space="preserve">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t>
          </r>
        </is>
      </c>
      <c r="N19" s="165" t="inlineStr">
        <is>
          <r>
            <rPr>
              <rFont val="Calibri"/>
              <sz val="10"/>
            </rPr>
            <t xml:space="preserve">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t>
          </r>
        </is>
      </c>
      <c r="O19" s="165" t="inlineStr">
        <is>
          <r>
            <rPr>
              <rFont val="Calibri"/>
              <sz val="10"/>
            </rPr>
            <t xml:space="preserve">Own deliverables · accuracy, TAT
</t>
          </r>
          <r>
            <rPr>
              <rFont val="Calibri"/>
              <b val="1"/>
              <sz val="10"/>
            </rPr>
            <t>Common themes in role-holders' answers:</t>
          </r>
          <r>
            <rPr>
              <rFont val="Calibri"/>
              <sz val="10"/>
            </rPr>
            <t xml:space="preserve"> solutions · bug · fixes · features</t>
          </r>
        </is>
      </c>
      <c r="P19" s="165" t="inlineStr">
        <is>
          <r>
            <rPr>
              <rFont val="Calibri"/>
              <sz val="10"/>
            </rPr>
            <t xml:space="preserve">Own deliverables · accuracy, TAT
</t>
          </r>
          <r>
            <rPr>
              <rFont val="Calibri"/>
              <b val="1"/>
              <sz val="10"/>
            </rPr>
            <t>Common themes in role-holders' answers:</t>
          </r>
          <r>
            <rPr>
              <rFont val="Calibri"/>
              <sz val="10"/>
            </rPr>
            <t xml:space="preserve"> quality · personally · reliable · delivering · am · accountable</t>
          </r>
        </is>
      </c>
      <c r="Q19" s="165" t="inlineStr">
        <is>
          <r>
            <rPr>
              <rFont val="Calibri"/>
              <sz val="10"/>
            </rPr>
            <t xml:space="preserve">Chooses own approach within standards
</t>
          </r>
          <r>
            <rPr>
              <rFont val="Calibri"/>
              <b val="1"/>
              <sz val="10"/>
            </rPr>
            <t>Common themes in role-holders' answers:</t>
          </r>
          <r>
            <rPr>
              <rFont val="Calibri"/>
              <sz val="10"/>
            </rPr>
            <t xml:space="preserve"> implement · solutions · issues · structure · design</t>
          </r>
        </is>
      </c>
      <c r="R19" s="165" t="inlineStr">
        <is>
          <r>
            <rPr>
              <rFont val="Calibri"/>
              <b val="1"/>
              <sz val="10"/>
            </rPr>
            <t>Common themes in manager-set KRAs:</t>
          </r>
          <r>
            <rPr>
              <rFont val="Calibri"/>
              <sz val="10"/>
            </rPr>
            <t xml:space="preserve"> improve · deliver · modules · committed · coverage · automated</t>
          </r>
        </is>
      </c>
      <c r="S19" s="165" t="inlineStr">
        <is>
          <t>NET MVC · Java</t>
        </is>
      </c>
      <c r="T19" s="165" t="inlineStr">
        <is>
          <t>Postman · Oracle database</t>
        </is>
      </c>
      <c r="U19" s="120" t="inlineStr">
        <is>
          <t>Standard work delivered independently</t>
        </is>
      </c>
      <c r="V19" s="166" t="inlineStr">
        <is>
          <t>Standard work of the discipline</t>
        </is>
      </c>
      <c r="W19" s="166" t="inlineStr">
        <is>
          <t>Chooses own approach within standards</t>
        </is>
      </c>
      <c r="X19" s="166" t="inlineStr">
        <is>
          <t>Own deliverables · accuracy, TAT</t>
        </is>
      </c>
      <c r="Y19" s="166" t="inlineStr">
        <is>
          <t>Not scored in Band A</t>
        </is>
      </c>
      <c r="Z19" s="166" t="inlineStr">
        <is>
          <t>0–2 yrs</t>
        </is>
      </c>
      <c r="AA19" s="166" t="inlineStr">
        <is>
          <t>Graduate · or diploma with experience</t>
        </is>
      </c>
      <c r="AB19" s="166" t="inlineStr">
        <is>
          <t>Cloud / language certifications · optional; AWS / Azure architect · optional</t>
        </is>
      </c>
      <c r="AC19" s="166" t="inlineStr">
        <is>
          <t>No direct reports</t>
        </is>
      </c>
      <c r="AD19" s="122" t="inlineStr">
        <is>
          <t>Core 2 · Future-ready 2 · Functional 2 · Leadership —</t>
        </is>
      </c>
      <c r="AE19" s="123" t="inlineStr">
        <is>
          <t>Programming &amp; Tech-Stack Depth · System Design &amp; Architecture</t>
        </is>
      </c>
      <c r="AF19" s="123" t="inlineStr">
        <is>
          <t>Database, SQL &amp; Data Engineering · Cloud, DevOps &amp; CI/CD · AI, GenAI &amp; Prompt Engineering · Product, Platform &amp; Domain Knowledge</t>
        </is>
      </c>
      <c r="AG19" s="176" t="inlineStr">
        <is>
          <t>P1–P2</t>
        </is>
      </c>
      <c r="AH19" s="129" t="inlineStr">
        <is>
          <t>2 Assist</t>
        </is>
      </c>
      <c r="AI19" s="177" t="inlineStr">
        <is>
          <r>
            <rPr>
              <rFont val="Calibri"/>
              <b val="1"/>
              <sz val="10"/>
            </rPr>
            <t>Workiva:</t>
          </r>
          <r>
            <rPr>
              <rFont val="Calibri"/>
              <sz val="10"/>
            </rPr>
            <t xml:space="preserve"> Associate SE · Broadridge India: SE · Nasdaq / AxiomSL: SE · Salesforce: AMTS</t>
          </r>
        </is>
      </c>
      <c r="AJ19" s="177" t="inlineStr">
        <is>
          <t>SFIA 9 · software development, programming; OWASP secure coding; cloud vendor certifications</t>
        </is>
      </c>
      <c r="AK19" s="177" t="inlineStr">
        <is>
          <t>A3 · Senior Associate</t>
        </is>
      </c>
      <c r="AL19" s="130" t="inlineStr">
        <is>
          <t>Broader exposure &amp; ownership · Technical depth &amp; architecture · AI / automation · Leadership &amp; people management · Product &amp; tool knowledge</t>
        </is>
      </c>
      <c r="AM19" s="131" t="inlineStr">
        <is>
          <t>ai · design · system · utilization · tools</t>
        </is>
      </c>
      <c r="AN19" s="131" t="inlineStr">
        <is>
          <t>Mentoring / guidance from seniors · Formal / classroom training · On-the-job / hands-on</t>
        </is>
      </c>
      <c r="AO19" s="131" t="inlineStr">
        <is>
          <t>limited · unclear</t>
        </is>
      </c>
      <c r="AP19" s="131" t="inlineStr">
        <is>
          <t>documentation · requirements · better · system · onboarding</t>
        </is>
      </c>
      <c r="AQ19" s="131" t="inlineStr">
        <is>
          <t>1 of 6 say the role is changing because of AI / automation</t>
        </is>
      </c>
      <c r="AR19" s="132" t="inlineStr">
        <is>
          <t>Build and operate software capabilities. Includes: Application code, data/ML engineering and product reliability. Excludes: Product investment decisions; internal IT service desk.</t>
        </is>
      </c>
      <c r="AS19" s="133" t="inlineStr">
        <is>
          <t>ENG01-1 · Associate Software Engineer</t>
        </is>
      </c>
      <c r="AT19" s="133" t="inlineStr">
        <is>
          <r>
            <rPr>
              <rFont val="Calibri"/>
              <b val="1"/>
              <sz val="10"/>
            </rPr>
            <t>Complete defined parts under review:</t>
          </r>
          <r>
            <rPr>
              <rFont val="Calibri"/>
              <sz val="10"/>
            </rPr>
            <t xml:space="preserve"> deliver tested apis and services with clear error handling.</t>
          </r>
        </is>
      </c>
      <c r="AU19" s="133" t="inlineStr">
        <is>
          <t>Repeatable correct delivery, safe escalation and required entry eligibility.</t>
        </is>
      </c>
      <c r="AV19" s="133" t="inlineStr">
        <is>
          <t>A service design and implementation with tests, failure handling and measured production behaviour</t>
        </is>
      </c>
      <c r="AW19" s="133" t="inlineStr">
        <is>
          <r>
            <rPr>
              <rFont val="Calibri"/>
              <b val="1"/>
              <sz val="10"/>
            </rPr>
            <t>Regnology:</t>
          </r>
          <r>
            <rPr>
              <rFont val="Calibri"/>
              <sz val="10"/>
            </rPr>
            <t xml:space="preserve"> Senior Software Engineer, Pune · Selected role. Gap: Java role directly supports software delivery and mentoring; full-stack coverage is partial</t>
          </r>
        </is>
      </c>
      <c r="AX19" s="178" t="inlineStr">
        <is>
          <t>Framework + role-holders' themes · 3+ answered</t>
        </is>
      </c>
      <c r="AY19" s="135" t="inlineStr">
        <is>
          <t>7 holders, 7 answered the survey; sub-family 79 answered</t>
        </is>
      </c>
    </row>
    <row r="20" ht="119" customHeight="1">
      <c r="A20" s="175" t="inlineStr">
        <is>
          <t>RC-067</t>
        </is>
      </c>
      <c r="B20" s="111" t="inlineStr">
        <is>
          <t>Engineering &amp; Development</t>
        </is>
      </c>
      <c r="C20" s="111" t="inlineStr">
        <is>
          <t>Backend Development</t>
        </is>
      </c>
      <c r="D20" s="116" t="inlineStr">
        <is>
          <t>A3</t>
        </is>
      </c>
      <c r="E20" s="117" t="inlineStr">
        <is>
          <t>Senior Associate</t>
        </is>
      </c>
      <c r="F20" s="111" t="inlineStr">
        <is>
          <t>IC</t>
        </is>
      </c>
      <c r="G20" s="111" t="inlineStr">
        <is>
          <t>Senior Software Engineer · Technical Specialist</t>
        </is>
      </c>
      <c r="H20" s="112" t="n">
        <v>49</v>
      </c>
      <c r="I20" s="111" t="inlineStr">
        <is>
          <t>iFile 33 · CARBON 9 · iDEAL 5 · Datatech 2</t>
        </is>
      </c>
      <c r="J20" s="163" t="n">
        <v>5</v>
      </c>
      <c r="K20" s="115" t="inlineStr">
        <is>
          <t>Akshata Sabale, Pratik Ekhande, Swapnil Shirke, Vaibhav Govind Gahat, Varsha Patil</t>
        </is>
      </c>
      <c r="L20" s="115" t="inlineStr">
        <is>
          <t>Technology</t>
        </is>
      </c>
      <c r="M20" s="119" t="inlineStr">
        <is>
          <r>
            <rPr>
              <rFont val="Calibri"/>
              <sz val="10"/>
            </rPr>
            <t xml:space="preserve">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t>
          </r>
        </is>
      </c>
      <c r="N20" s="165" t="inlineStr">
        <is>
          <r>
            <rPr>
              <rFont val="Calibri"/>
              <sz val="10"/>
            </rPr>
            <t xml:space="preserve">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t>
          </r>
        </is>
      </c>
      <c r="O20"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features · product · application · software · support · deliver</t>
          </r>
        </is>
      </c>
      <c r="P20"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quality · accountable · delivery · features · am · timely</t>
          </r>
        </is>
      </c>
      <c r="Q20" s="165" t="inlineStr">
        <is>
          <r>
            <rPr>
              <rFont val="Calibri"/>
              <sz val="10"/>
            </rPr>
            <t xml:space="preserve">Technical / QC / client calls on own work
</t>
          </r>
          <r>
            <rPr>
              <rFont val="Calibri"/>
              <b val="1"/>
              <sz val="10"/>
            </rPr>
            <t>Common themes in role-holders' answers:</t>
          </r>
          <r>
            <rPr>
              <rFont val="Calibri"/>
              <sz val="10"/>
            </rPr>
            <t xml:space="preserve"> code · technical · implementation · bug · approach · decisions</t>
          </r>
        </is>
      </c>
      <c r="R20" s="165" t="inlineStr">
        <is>
          <r>
            <rPr>
              <rFont val="Calibri"/>
              <b val="1"/>
              <sz val="10"/>
            </rPr>
            <t>Common themes in manager-set KRAs:</t>
          </r>
          <r>
            <rPr>
              <rFont val="Calibri"/>
              <sz val="10"/>
            </rPr>
            <t xml:space="preserve"> year · coverage · code · quality · deliver · assigned</t>
          </r>
        </is>
      </c>
      <c r="S20" s="165" t="inlineStr">
        <is>
          <t>Java · NET MVC · debugging · AI · Technical knowledge · Software development · Devops · Spring Boot</t>
        </is>
      </c>
      <c r="T20" s="165" t="inlineStr">
        <is>
          <t>VS Code · Visual studio · Claude · Copilot · Git · Excel · Co-pilot · AWS</t>
        </is>
      </c>
      <c r="U20" s="120" t="inlineStr">
        <is>
          <t>Varied work; reviews juniors; go-to for a process</t>
        </is>
      </c>
      <c r="V20" s="166" t="inlineStr">
        <is>
          <t>Varied and non-standard work; handles exceptions</t>
        </is>
      </c>
      <c r="W20" s="166" t="inlineStr">
        <is>
          <t>Technical / QC / client calls on own work</t>
        </is>
      </c>
      <c r="X20" s="166" t="inlineStr">
        <is>
          <t>A module / process, or work with client or regulatory consequences</t>
        </is>
      </c>
      <c r="Y20" s="166" t="inlineStr">
        <is>
          <t>Not scored in Band A</t>
        </is>
      </c>
      <c r="Z20" s="166" t="inlineStr">
        <is>
          <t>2–4 yrs</t>
        </is>
      </c>
      <c r="AA20" s="166" t="inlineStr">
        <is>
          <t>Graduate; relevant certification preferred</t>
        </is>
      </c>
      <c r="AB20" s="166" t="inlineStr">
        <is>
          <t>Cloud / language certifications · optional; AWS / Azure architect · optional</t>
        </is>
      </c>
      <c r="AC20" s="166" t="inlineStr">
        <is>
          <t>None · guides 1–3 juniors informally</t>
        </is>
      </c>
      <c r="AD20" s="122" t="inlineStr">
        <is>
          <t>Core 2 · Future-ready 2 · Functional 3 · Leadership —</t>
        </is>
      </c>
      <c r="AE20" s="123" t="inlineStr">
        <is>
          <t>Programming &amp; Tech-Stack Depth · System Design &amp; Architecture</t>
        </is>
      </c>
      <c r="AF20" s="123" t="inlineStr">
        <is>
          <t>Database, SQL &amp; Data Engineering · Cloud, DevOps &amp; CI/CD · AI, GenAI &amp; Prompt Engineering · Product, Platform &amp; Domain Knowledge</t>
        </is>
      </c>
      <c r="AG20" s="176" t="inlineStr">
        <is>
          <t>P2</t>
        </is>
      </c>
      <c r="AH20" s="129" t="inlineStr">
        <is>
          <t>3 Apply</t>
        </is>
      </c>
      <c r="AI20" s="177" t="inlineStr">
        <is>
          <r>
            <rPr>
              <rFont val="Calibri"/>
              <b val="1"/>
              <sz val="10"/>
            </rPr>
            <t>Workiva:</t>
          </r>
          <r>
            <rPr>
              <rFont val="Calibri"/>
              <sz val="10"/>
            </rPr>
            <t xml:space="preserve"> SE · Broadridge India: SE · Nasdaq / AxiomSL: SE · Salesforce: MTS</t>
          </r>
        </is>
      </c>
      <c r="AJ20" s="177" t="inlineStr">
        <is>
          <t>SFIA 9 · software development, programming; OWASP secure coding; cloud vendor certifications</t>
        </is>
      </c>
      <c r="AK20" s="177" t="inlineStr">
        <is>
          <t>B1 · Specialist</t>
        </is>
      </c>
      <c r="AL20" s="130" t="inlineStr">
        <is>
          <t>Technical depth &amp; architecture · Leadership &amp; people management · Broader exposure &amp; ownership · AI / automation · Project / programme management</t>
        </is>
      </c>
      <c r="AM20" s="131" t="inlineStr">
        <is>
          <t>design · secure · fundamentals · skills · leadership</t>
        </is>
      </c>
      <c r="AN20" s="131" t="inlineStr">
        <is>
          <t>Mentoring / guidance from seniors · On-the-job / hands-on · Formal / classroom training · Online courses / self-learning · Certification · Knowledge transfer · KT</t>
        </is>
      </c>
      <c r="AO20" s="131" t="inlineStr">
        <is>
          <t>unclear · requirements · dependencies · dependency · ai</t>
        </is>
      </c>
      <c r="AP20" s="131" t="inlineStr">
        <is>
          <t>better · requirements · documentation · clearer · faster</t>
        </is>
      </c>
      <c r="AQ20" s="131" t="inlineStr">
        <is>
          <t>33 of 46 say the role is changing because of AI / automation</t>
        </is>
      </c>
      <c r="AR20" s="132" t="inlineStr">
        <is>
          <t>Build and operate software capabilities. Includes: Application code, data/ML engineering and product reliability. Excludes: Product investment decisions; internal IT service desk.</t>
        </is>
      </c>
      <c r="AS20" s="133" t="inlineStr">
        <is>
          <t>ENG01-2 · Software Engineer</t>
        </is>
      </c>
      <c r="AT20" s="133" t="inlineStr">
        <is>
          <t>Deliver tested APIs and services with clear error handling.</t>
        </is>
      </c>
      <c r="AU20" s="133" t="inlineStr">
        <is>
          <t>Demonstrate routine delivery plus judgement in bounded exceptions.</t>
        </is>
      </c>
      <c r="AV20" s="133" t="inlineStr">
        <is>
          <t>A service design and implementation with tests, failure handling and measured production behaviour</t>
        </is>
      </c>
      <c r="AW20" s="133" t="inlineStr">
        <is>
          <r>
            <rPr>
              <rFont val="Calibri"/>
              <b val="1"/>
              <sz val="10"/>
            </rPr>
            <t>Regnology:</t>
          </r>
          <r>
            <rPr>
              <rFont val="Calibri"/>
              <sz val="10"/>
            </rPr>
            <t xml:space="preserve"> Senior Software Engineer, Pune · Selected role. Gap: Java role directly supports software delivery and mentoring; full-stack coverage is partial</t>
          </r>
        </is>
      </c>
      <c r="AX20" s="178" t="inlineStr">
        <is>
          <t>Framework + role-holders' themes · 3+ answered</t>
        </is>
      </c>
      <c r="AY20" s="135" t="inlineStr">
        <is>
          <t>49 holders, 48 answered the survey; sub-family 79 answered</t>
        </is>
      </c>
    </row>
    <row r="21" ht="80" customHeight="1">
      <c r="A21" s="175" t="inlineStr">
        <is>
          <t>RC-071</t>
        </is>
      </c>
      <c r="B21" s="111" t="inlineStr">
        <is>
          <t>Engineering &amp; Development</t>
        </is>
      </c>
      <c r="C21" s="111" t="inlineStr">
        <is>
          <t>Backend Development</t>
        </is>
      </c>
      <c r="D21" s="140" t="inlineStr">
        <is>
          <t>B3</t>
        </is>
      </c>
      <c r="E21" s="18" t="inlineStr">
        <is>
          <t>Lead Specialist</t>
        </is>
      </c>
      <c r="F21" s="111" t="inlineStr">
        <is>
          <t>IC</t>
        </is>
      </c>
      <c r="G21" s="111" t="inlineStr">
        <is>
          <t>Lead Software Engineer · Lead Software Engineer – POD Lead</t>
        </is>
      </c>
      <c r="H21" s="112" t="n">
        <v>3</v>
      </c>
      <c r="I21" s="111" t="inlineStr">
        <is>
          <t>iFile 2 · iDEAL 1</t>
        </is>
      </c>
      <c r="J21" s="163" t="n">
        <v>1</v>
      </c>
      <c r="K21" s="115" t="inlineStr">
        <is>
          <t>Ravi Ranjan</t>
        </is>
      </c>
      <c r="L21" s="115" t="inlineStr">
        <is>
          <t>Technology</t>
        </is>
      </c>
      <c r="M21" s="119" t="inlineStr">
        <is>
          <t>Builds back-end services, APIs, processing/validation logic and DB code; fixes defects and delivers change requests. At B3: a practice, or several teams through team leads.</t>
        </is>
      </c>
      <c r="N21" s="165" t="inlineStr">
        <is>
          <t>Builds back-end services, APIs, processing/validation logic and DB code; fixes defects and delivers change requests; Sets standards for a practice; cross-team problems; Several teams or a practice</t>
        </is>
      </c>
      <c r="O21" s="165" t="inlineStr">
        <is>
          <r>
            <rPr>
              <rFont val="Calibri"/>
              <sz val="10"/>
            </rPr>
            <t xml:space="preserve">Several teams or a practice
</t>
          </r>
          <r>
            <rPr>
              <rFont val="Calibri"/>
              <b val="1"/>
              <sz val="10"/>
            </rPr>
            <t>Common themes in role-holders' answers:</t>
          </r>
          <r>
            <rPr>
              <rFont val="Calibri"/>
              <sz val="10"/>
            </rPr>
            <t xml:space="preserve"> product</t>
          </r>
        </is>
      </c>
      <c r="P21" s="165" t="inlineStr">
        <is>
          <t>Several teams or a practice</t>
        </is>
      </c>
      <c r="Q21" s="165" t="inlineStr">
        <is>
          <t>Commercial / strategic calls for the unit</t>
        </is>
      </c>
      <c r="R21" s="165" t="inlineStr">
        <is>
          <r>
            <rPr>
              <rFont val="Calibri"/>
              <b val="1"/>
              <sz val="10"/>
            </rPr>
            <t>Common themes in manager-set KRAs:</t>
          </r>
          <r>
            <rPr>
              <rFont val="Calibri"/>
              <sz val="10"/>
            </rPr>
            <t xml:space="preserve"> technical · defect · quality · agreed · deliver · reviews</t>
          </r>
        </is>
      </c>
      <c r="S21" s="165" t="inlineStr">
        <is>
          <t>Java · NET MVC</t>
        </is>
      </c>
      <c r="T21" s="165" t="inlineStr">
        <is>
          <t>—</t>
        </is>
      </c>
      <c r="U21" s="120" t="inlineStr">
        <is>
          <t>A practice, or several teams through team leads</t>
        </is>
      </c>
      <c r="V21" s="166" t="inlineStr">
        <is>
          <t>Sets standards for a practice; cross-team problems</t>
        </is>
      </c>
      <c r="W21" s="166" t="inlineStr">
        <is>
          <t>Commercial / strategic calls for the unit</t>
        </is>
      </c>
      <c r="X21" s="166" t="inlineStr">
        <is>
          <t>Several teams or a practice</t>
        </is>
      </c>
      <c r="Y21" s="166" t="inlineStr">
        <is>
          <r>
            <rPr>
              <rFont val="Calibri"/>
              <b val="1"/>
              <sz val="10"/>
            </rPr>
            <t>IC:</t>
          </r>
          <r>
            <rPr>
              <rFont val="Calibri"/>
              <sz val="10"/>
            </rPr>
            <t xml:space="preserve"> leads a practice · People: team leads / managers report in</t>
          </r>
        </is>
      </c>
      <c r="Z21" s="166" t="inlineStr">
        <is>
          <t>8–12 yrs</t>
        </is>
      </c>
      <c r="AA21" s="166" t="inlineStr">
        <is>
          <t>Postgraduate or professional qualification preferred</t>
        </is>
      </c>
      <c r="AB21" s="166" t="inlineStr">
        <is>
          <t>Cloud / language certifications · optional; AWS / Azure architect · optional</t>
        </is>
      </c>
      <c r="AC21" s="166" t="inlineStr">
        <is>
          <r>
            <rPr>
              <rFont val="Calibri"/>
              <b val="1"/>
              <sz val="10"/>
            </rPr>
            <t>IC:</t>
          </r>
          <r>
            <rPr>
              <rFont val="Calibri"/>
              <sz val="10"/>
            </rPr>
            <t xml:space="preserve"> none · People: 5–8 incl. team leads</t>
          </r>
        </is>
      </c>
      <c r="AD21" s="122" t="inlineStr">
        <is>
          <t>Core 4 · Future-ready 3 · Functional 4 · Leadership 3</t>
        </is>
      </c>
      <c r="AE21" s="123" t="inlineStr">
        <is>
          <t>Programming &amp; Tech-Stack Depth · System Design &amp; Architecture</t>
        </is>
      </c>
      <c r="AF21" s="123" t="inlineStr">
        <is>
          <t>Database, SQL &amp; Data Engineering · Cloud, DevOps &amp; CI/CD · AI, GenAI &amp; Prompt Engineering · Product, Platform &amp; Domain Knowledge</t>
        </is>
      </c>
      <c r="AG21" s="176" t="inlineStr">
        <is>
          <t>P5 / M4</t>
        </is>
      </c>
      <c r="AH21" s="129" t="inlineStr">
        <is>
          <t>5 Ensure, advise</t>
        </is>
      </c>
      <c r="AI21" s="177" t="inlineStr">
        <is>
          <r>
            <rPr>
              <rFont val="Calibri"/>
              <b val="1"/>
              <sz val="10"/>
            </rPr>
            <t>Workiva:</t>
          </r>
          <r>
            <rPr>
              <rFont val="Calibri"/>
              <sz val="10"/>
            </rPr>
            <t xml:space="preserve"> Staff SE · Broadridge India: Senior Lead SE · Nasdaq / AxiomSL: Lead SE · Salesforce: LMTS</t>
          </r>
        </is>
      </c>
      <c r="AJ21" s="177" t="inlineStr">
        <is>
          <t>SFIA 9 · software development, programming; OWASP secure coding; cloud vendor certifications</t>
        </is>
      </c>
      <c r="AK21" s="177" t="inlineStr">
        <is>
          <t>C1 · Principal · or B+ · Player-Coach transition step if leading people hands-on</t>
        </is>
      </c>
      <c r="AL21" s="130" t="inlineStr">
        <is>
          <t>AI / automation · Technical depth &amp; architecture · Project / programme management</t>
        </is>
      </c>
      <c r="AM21" s="131" t="inlineStr">
        <is>
          <t>ai · stakeholder management · architecture · solution · cloud</t>
        </is>
      </c>
      <c r="AN21" s="131" t="inlineStr">
        <is>
          <t>—</t>
        </is>
      </c>
      <c r="AO21" s="131" t="inlineStr">
        <is>
          <t>No common theme</t>
        </is>
      </c>
      <c r="AP21" s="131" t="inlineStr">
        <is>
          <t>No common theme</t>
        </is>
      </c>
      <c r="AQ21" s="131" t="inlineStr">
        <is>
          <t>2 of 3 say the role is changing because of AI / automation</t>
        </is>
      </c>
      <c r="AR21" s="132" t="inlineStr">
        <is>
          <t>Build and operate software capabilities. Includes: Application code, data/ML engineering and product reliability. Excludes: Product investment decisions; internal IT service desk.</t>
        </is>
      </c>
      <c r="AS21" s="133" t="inlineStr">
        <is>
          <t>ENG01-4 · Staff Software Engineer</t>
        </is>
      </c>
      <c r="AT21" s="133" t="inlineStr">
        <is>
          <t>Resolve architecture trade-offs across services and establish adopted standards.</t>
        </is>
      </c>
      <c r="AU21" s="133" t="inlineStr">
        <is>
          <t>Adoption beyond own work; recurring authority and measurable wider outcomes.</t>
        </is>
      </c>
      <c r="AV21" s="133" t="inlineStr">
        <is>
          <t>A service design and implementation with tests, failure handling and measured production behaviour</t>
        </is>
      </c>
      <c r="AW21" s="133" t="inlineStr">
        <is>
          <r>
            <rPr>
              <rFont val="Calibri"/>
              <b val="1"/>
              <sz val="10"/>
            </rPr>
            <t>Regnology:</t>
          </r>
          <r>
            <rPr>
              <rFont val="Calibri"/>
              <sz val="10"/>
            </rPr>
            <t xml:space="preserve"> Senior Software Engineer, Pune · Selected role. Gap: Java role directly supports software delivery and mentoring; full-stack coverage is partial</t>
          </r>
        </is>
      </c>
      <c r="AX21" s="134" t="inlineStr">
        <is>
          <t>Framework only · fewer than 3 answered</t>
        </is>
      </c>
      <c r="AY21" s="135" t="inlineStr">
        <is>
          <t>3 holders, 3 answered the survey; sub-family 79 answered</t>
        </is>
      </c>
    </row>
    <row r="22" ht="106" customHeight="1">
      <c r="A22" s="175" t="inlineStr">
        <is>
          <t>RC-074</t>
        </is>
      </c>
      <c r="B22" s="111" t="inlineStr">
        <is>
          <t>Engineering &amp; Development</t>
        </is>
      </c>
      <c r="C22" s="111" t="inlineStr">
        <is>
          <t>Data Engineering &amp; Database Development</t>
        </is>
      </c>
      <c r="D22" s="116" t="inlineStr">
        <is>
          <t>A3</t>
        </is>
      </c>
      <c r="E22" s="117" t="inlineStr">
        <is>
          <t>Senior Associate</t>
        </is>
      </c>
      <c r="F22" s="111" t="inlineStr">
        <is>
          <t>IC</t>
        </is>
      </c>
      <c r="G22" s="111" t="inlineStr">
        <is>
          <t>Senior Database Engineer · Database Specialist</t>
        </is>
      </c>
      <c r="H22" s="112" t="n">
        <v>6</v>
      </c>
      <c r="I22" s="111" t="inlineStr">
        <is>
          <t>iFile 3 · iDEAL 3</t>
        </is>
      </c>
      <c r="J22" s="163" t="n">
        <v>3</v>
      </c>
      <c r="K22" s="115" t="inlineStr">
        <is>
          <t>H Marenna, Prasad Bhoite, Tushar Kadu Nimbolkar</t>
        </is>
      </c>
      <c r="L22" s="115" t="inlineStr">
        <is>
          <t>Technology</t>
        </is>
      </c>
      <c r="M22" s="119" t="inlineStr">
        <is>
          <r>
            <rPr>
              <rFont val="Calibri"/>
              <sz val="10"/>
            </rPr>
            <t xml:space="preserve">Builds ETL pipelines, data models, stored procedures and data layers. At A3: varied work; reviews juniors; go-to for a process.
</t>
          </r>
          <r>
            <rPr>
              <rFont val="Calibri"/>
              <b val="1"/>
              <sz val="10"/>
            </rPr>
            <t>Common themes in role-holders' answers:</t>
          </r>
          <r>
            <rPr>
              <rFont val="Calibri"/>
              <sz val="10"/>
            </rPr>
            <t xml:space="preserve"> business · support · data · solutions · build · reliable</t>
          </r>
        </is>
      </c>
      <c r="N22" s="165" t="inlineStr">
        <is>
          <r>
            <rPr>
              <rFont val="Calibri"/>
              <sz val="10"/>
            </rPr>
            <t xml:space="preserve">Builds ETL pipelines, data models, stored procedures and data layers; Varied and non-standard work; handles exceptions; A module / process, or work with client or regulatory consequences
</t>
          </r>
          <r>
            <rPr>
              <rFont val="Calibri"/>
              <b val="1"/>
              <sz val="10"/>
            </rPr>
            <t>Common themes in role-holders' answers:</t>
          </r>
          <r>
            <rPr>
              <rFont val="Calibri"/>
              <sz val="10"/>
            </rPr>
            <t xml:space="preserve"> issue · support · development · data · resolution · deployment</t>
          </r>
        </is>
      </c>
      <c r="O22"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deliver · enhancements · solutions · product · data · models</t>
          </r>
        </is>
      </c>
      <c r="P22"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assigned · quality · solutions · personally · delivery</t>
          </r>
        </is>
      </c>
      <c r="Q22" s="165" t="inlineStr">
        <is>
          <r>
            <rPr>
              <rFont val="Calibri"/>
              <sz val="10"/>
            </rPr>
            <t xml:space="preserve">Technical / QC / client calls on own work
</t>
          </r>
          <r>
            <rPr>
              <rFont val="Calibri"/>
              <b val="1"/>
              <sz val="10"/>
            </rPr>
            <t>Common themes in role-holders' answers:</t>
          </r>
          <r>
            <rPr>
              <rFont val="Calibri"/>
              <sz val="10"/>
            </rPr>
            <t xml:space="preserve"> issues · troubleshoot · independently · client · implement · technical</t>
          </r>
        </is>
      </c>
      <c r="R22" s="165" t="inlineStr">
        <is>
          <r>
            <rPr>
              <rFont val="Calibri"/>
              <b val="1"/>
              <sz val="10"/>
            </rPr>
            <t>Common themes in manager-set KRAs:</t>
          </r>
          <r>
            <rPr>
              <rFont val="Calibri"/>
              <sz val="10"/>
            </rPr>
            <t xml:space="preserve"> quality · deliver · project · timely · development · code</t>
          </r>
        </is>
      </c>
      <c r="S22" s="165" t="inlineStr">
        <is>
          <t>Sql · prompt engineering · debugging · ETL · Talend</t>
        </is>
      </c>
      <c r="T22" s="165" t="inlineStr">
        <is>
          <t>—</t>
        </is>
      </c>
      <c r="U22" s="120" t="inlineStr">
        <is>
          <t>Varied work; reviews juniors; go-to for a process</t>
        </is>
      </c>
      <c r="V22" s="166" t="inlineStr">
        <is>
          <t>Varied and non-standard work; handles exceptions</t>
        </is>
      </c>
      <c r="W22" s="166" t="inlineStr">
        <is>
          <t>Technical / QC / client calls on own work</t>
        </is>
      </c>
      <c r="X22" s="166" t="inlineStr">
        <is>
          <t>A module / process, or work with client or regulatory consequences</t>
        </is>
      </c>
      <c r="Y22" s="166" t="inlineStr">
        <is>
          <t>Not scored in Band A</t>
        </is>
      </c>
      <c r="Z22" s="166" t="inlineStr">
        <is>
          <t>2–4 yrs</t>
        </is>
      </c>
      <c r="AA22" s="166" t="inlineStr">
        <is>
          <t>Graduate; relevant certification preferred</t>
        </is>
      </c>
      <c r="AB22" s="166" t="inlineStr">
        <is>
          <t>Cloud / language certifications · optional; AWS / Azure architect · optional</t>
        </is>
      </c>
      <c r="AC22" s="166" t="inlineStr">
        <is>
          <t>None · guides 1–3 juniors informally</t>
        </is>
      </c>
      <c r="AD22" s="122" t="inlineStr">
        <is>
          <t>Core 2 · Future-ready 2 · Functional 3 · Leadership —</t>
        </is>
      </c>
      <c r="AE22" s="123" t="inlineStr">
        <is>
          <t>Programming &amp; Tech-Stack Depth · System Design &amp; Architecture</t>
        </is>
      </c>
      <c r="AF22" s="123" t="inlineStr">
        <is>
          <t>Database, SQL &amp; Data Engineering · Cloud, DevOps &amp; CI/CD · AI, GenAI &amp; Prompt Engineering · Product, Platform &amp; Domain Knowledge</t>
        </is>
      </c>
      <c r="AG22" s="176" t="inlineStr">
        <is>
          <t>P2</t>
        </is>
      </c>
      <c r="AH22" s="129" t="inlineStr">
        <is>
          <t>3 Apply</t>
        </is>
      </c>
      <c r="AI22" s="177" t="inlineStr">
        <is>
          <r>
            <rPr>
              <rFont val="Calibri"/>
              <b val="1"/>
              <sz val="10"/>
            </rPr>
            <t>Workiva:</t>
          </r>
          <r>
            <rPr>
              <rFont val="Calibri"/>
              <sz val="10"/>
            </rPr>
            <t xml:space="preserve"> SE · Broadridge India: SE · Nasdaq / AxiomSL: SE · Salesforce: MTS</t>
          </r>
        </is>
      </c>
      <c r="AJ22" s="177" t="inlineStr">
        <is>
          <t>SFIA 9 · software development, programming; OWASP secure coding; cloud vendor certifications</t>
        </is>
      </c>
      <c r="AK22" s="177" t="inlineStr">
        <is>
          <t>B1 · Specialist</t>
        </is>
      </c>
      <c r="AL22" s="130" t="inlineStr">
        <is>
          <t>Technical depth &amp; architecture · AI / automation · Broader exposure &amp; ownership · Data, SQL &amp; analytics · Product &amp; tool knowledge</t>
        </is>
      </c>
      <c r="AM22" s="131" t="inlineStr">
        <is>
          <t>ai · utilization · tools · effective · stakeholder management</t>
        </is>
      </c>
      <c r="AN22" s="131" t="inlineStr">
        <is>
          <t>On-the-job / hands-on · Mentoring / guidance from seniors · Online courses / self-learning · Formal / classroom training</t>
        </is>
      </c>
      <c r="AO22" s="131" t="inlineStr">
        <is>
          <t>dependency · access · requirements</t>
        </is>
      </c>
      <c r="AP22" s="131" t="inlineStr">
        <is>
          <t>faster · requirements · access · start · clear</t>
        </is>
      </c>
      <c r="AQ22" s="131" t="inlineStr">
        <is>
          <t>3 of 6 say the role is changing because of AI / automation</t>
        </is>
      </c>
      <c r="AR22" s="132" t="inlineStr">
        <is>
          <t>Build and operate software capabilities. Includes: Application code, data/ML engineering and product reliability. Excludes: Product investment decisions; internal IT service desk.</t>
        </is>
      </c>
      <c r="AS22" s="133" t="inlineStr">
        <is>
          <t>ENG05-2 · Data Engineer</t>
        </is>
      </c>
      <c r="AT22" s="133" t="inlineStr">
        <is>
          <t>Build validated data pipelines with documented schemas.</t>
        </is>
      </c>
      <c r="AU22" s="133" t="inlineStr">
        <is>
          <t>Demonstrate routine delivery plus judgement in bounded exceptions.</t>
        </is>
      </c>
      <c r="AV22" s="133" t="inlineStr">
        <is>
          <t>An idempotent pipeline with lineage, reconciliation and recovery tests</t>
        </is>
      </c>
      <c r="AW22" s="133" t="inlineStr">
        <is>
          <r>
            <rPr>
              <rFont val="Calibri"/>
              <b val="1"/>
              <sz val="10"/>
            </rPr>
            <t>Workiva:</t>
          </r>
          <r>
            <rPr>
              <rFont val="Calibri"/>
              <sz val="10"/>
            </rPr>
            <t xml:space="preserve"> Staff data engineer · Selected role, conflicting indexed versions. Gap: Canonical data-specific extract refreshed; another locale has generic software text for the same requisition</t>
          </r>
        </is>
      </c>
      <c r="AX22" s="178" t="inlineStr">
        <is>
          <t>Framework + role-holders' themes · 3+ answered</t>
        </is>
      </c>
      <c r="AY22" s="135" t="inlineStr">
        <is>
          <t>6 holders, 6 answered the survey; sub-family 7 answered</t>
        </is>
      </c>
    </row>
    <row r="23" ht="93" customHeight="1">
      <c r="A23" s="175" t="inlineStr">
        <is>
          <t>RC-075</t>
        </is>
      </c>
      <c r="B23" s="111" t="inlineStr">
        <is>
          <t>Engineering &amp; Development</t>
        </is>
      </c>
      <c r="C23" s="111" t="inlineStr">
        <is>
          <t>Data Engineering &amp; Database Development</t>
        </is>
      </c>
      <c r="D23" s="140" t="inlineStr">
        <is>
          <t>B1</t>
        </is>
      </c>
      <c r="E23" s="18" t="inlineStr">
        <is>
          <t>Specialist</t>
        </is>
      </c>
      <c r="F23" s="111" t="inlineStr">
        <is>
          <t>IC</t>
        </is>
      </c>
      <c r="G23" s="111" t="inlineStr">
        <is>
          <t>Database Specialist – POD Lead</t>
        </is>
      </c>
      <c r="H23" s="112" t="n">
        <v>1</v>
      </c>
      <c r="I23" s="111" t="inlineStr">
        <is>
          <t>iDEAL 1</t>
        </is>
      </c>
      <c r="J23" s="163" t="n">
        <v>1</v>
      </c>
      <c r="K23" s="115" t="inlineStr">
        <is>
          <t>Jignasha Sawla</t>
        </is>
      </c>
      <c r="L23" s="115" t="inlineStr">
        <is>
          <t>Technology</t>
        </is>
      </c>
      <c r="M23" s="119" t="inlineStr">
        <is>
          <r>
            <rPr>
              <rFont val="Calibri"/>
              <sz val="10"/>
            </rPr>
            <t xml:space="preserve">Builds ETL pipelines, data models, stored procedures and data layers. At B1: a domain / module, or a small team.
</t>
          </r>
          <r>
            <rPr>
              <rFont val="Calibri"/>
              <b val="1"/>
              <sz val="10"/>
            </rPr>
            <t>Common themes in sub-family holders, all levels' answers:</t>
          </r>
          <r>
            <rPr>
              <rFont val="Calibri"/>
              <sz val="10"/>
            </rPr>
            <t xml:space="preserve"> business · support · data · solutions · build · reliable</t>
          </r>
        </is>
      </c>
      <c r="N23" s="165" t="inlineStr">
        <is>
          <r>
            <rPr>
              <rFont val="Calibri"/>
              <sz val="10"/>
            </rPr>
            <t xml:space="preserve">Builds ETL pipelines, data models, stored procedures and data layers; Domain specialist work; A domain or a small team
</t>
          </r>
          <r>
            <rPr>
              <rFont val="Calibri"/>
              <b val="1"/>
              <sz val="10"/>
            </rPr>
            <t>Common themes in sub-family holders, all levels' answers:</t>
          </r>
          <r>
            <rPr>
              <rFont val="Calibri"/>
              <sz val="10"/>
            </rPr>
            <t xml:space="preserve"> issue · support · development · data · resolution · deployment</t>
          </r>
        </is>
      </c>
      <c r="O23" s="165" t="inlineStr">
        <is>
          <r>
            <rPr>
              <rFont val="Calibri"/>
              <sz val="10"/>
            </rPr>
            <t xml:space="preserve">A domain or a small team
</t>
          </r>
          <r>
            <rPr>
              <rFont val="Calibri"/>
              <b val="1"/>
              <sz val="10"/>
            </rPr>
            <t>Common themes in sub-family holders, all levels' answers:</t>
          </r>
          <r>
            <rPr>
              <rFont val="Calibri"/>
              <sz val="10"/>
            </rPr>
            <t xml:space="preserve"> deliver · enhancements · solutions · product · data · models</t>
          </r>
        </is>
      </c>
      <c r="P23" s="165" t="inlineStr">
        <is>
          <r>
            <rPr>
              <rFont val="Calibri"/>
              <sz val="10"/>
            </rPr>
            <t xml:space="preserve">A domain or a small team
</t>
          </r>
          <r>
            <rPr>
              <rFont val="Calibri"/>
              <b val="1"/>
              <sz val="10"/>
            </rPr>
            <t>Common themes in sub-family holders, all levels' answers:</t>
          </r>
          <r>
            <rPr>
              <rFont val="Calibri"/>
              <sz val="10"/>
            </rPr>
            <t xml:space="preserve"> accountable · am · assigned · quality · solutions · personally</t>
          </r>
        </is>
      </c>
      <c r="Q23" s="165" t="inlineStr">
        <is>
          <r>
            <rPr>
              <rFont val="Calibri"/>
              <sz val="10"/>
            </rPr>
            <t xml:space="preserve">Technical / QC / client calls for the domain
</t>
          </r>
          <r>
            <rPr>
              <rFont val="Calibri"/>
              <b val="1"/>
              <sz val="10"/>
            </rPr>
            <t>Common themes in sub-family holders, all levels' answers:</t>
          </r>
          <r>
            <rPr>
              <rFont val="Calibri"/>
              <sz val="10"/>
            </rPr>
            <t xml:space="preserve"> issues · troubleshoot · independently · client · implement · technical</t>
          </r>
        </is>
      </c>
      <c r="R23" s="165" t="inlineStr">
        <is>
          <t>—</t>
        </is>
      </c>
      <c r="S23" s="165" t="inlineStr">
        <is>
          <t>Sql · prompt engineering · debugging · Database · ETL · Talend</t>
        </is>
      </c>
      <c r="T23" s="165" t="inlineStr">
        <is>
          <t>—</t>
        </is>
      </c>
      <c r="U23" s="120" t="inlineStr">
        <is>
          <t>A domain / module, or a small team</t>
        </is>
      </c>
      <c r="V23" s="166" t="inlineStr">
        <is>
          <t>Domain specialist work</t>
        </is>
      </c>
      <c r="W23" s="166" t="inlineStr">
        <is>
          <t>Technical / QC / client calls for the domain</t>
        </is>
      </c>
      <c r="X23" s="166" t="inlineStr">
        <is>
          <t>A domain or a small team</t>
        </is>
      </c>
      <c r="Y23" s="166" t="inlineStr">
        <is>
          <r>
            <rPr>
              <rFont val="Calibri"/>
              <b val="1"/>
              <sz val="10"/>
            </rPr>
            <t>IC:</t>
          </r>
          <r>
            <rPr>
              <rFont val="Calibri"/>
              <sz val="10"/>
            </rPr>
            <t xml:space="preserve"> mentors and reviews · People: hands-on team lead of 3–5</t>
          </r>
        </is>
      </c>
      <c r="Z23" s="166" t="inlineStr">
        <is>
          <t>4–7 yrs</t>
        </is>
      </c>
      <c r="AA23" s="166" t="inlineStr">
        <is>
          <t>Graduate + relevant qualification or certification preferred</t>
        </is>
      </c>
      <c r="AB23" s="166" t="inlineStr">
        <is>
          <t>Cloud / language certifications · optional; AWS / Azure architect · optional</t>
        </is>
      </c>
      <c r="AC23" s="166" t="inlineStr">
        <is>
          <r>
            <rPr>
              <rFont val="Calibri"/>
              <b val="1"/>
              <sz val="10"/>
            </rPr>
            <t>IC:</t>
          </r>
          <r>
            <rPr>
              <rFont val="Calibri"/>
              <sz val="10"/>
            </rPr>
            <t xml:space="preserve"> none · Team Lead: 3–5</t>
          </r>
        </is>
      </c>
      <c r="AD23" s="122" t="inlineStr">
        <is>
          <t>Core 3 · Future-ready 3 · Functional 3 · Leadership 1</t>
        </is>
      </c>
      <c r="AE23" s="123" t="inlineStr">
        <is>
          <t>Programming &amp; Tech-Stack Depth · System Design &amp; Architecture</t>
        </is>
      </c>
      <c r="AF23" s="123" t="inlineStr">
        <is>
          <t>Database, SQL &amp; Data Engineering · Cloud, DevOps &amp; CI/CD · AI, GenAI &amp; Prompt Engineering · Product, Platform &amp; Domain Knowledge</t>
        </is>
      </c>
      <c r="AG23" s="176" t="inlineStr">
        <is>
          <t>P3 / M2</t>
        </is>
      </c>
      <c r="AH23" s="129" t="inlineStr">
        <is>
          <t>4 Enable</t>
        </is>
      </c>
      <c r="AI23" s="177" t="inlineStr">
        <is>
          <r>
            <rPr>
              <rFont val="Calibri"/>
              <b val="1"/>
              <sz val="10"/>
            </rPr>
            <t>Workiva:</t>
          </r>
          <r>
            <rPr>
              <rFont val="Calibri"/>
              <sz val="10"/>
            </rPr>
            <t xml:space="preserve"> SE / Senior SE · Broadridge India: Senior SE · Nasdaq / AxiomSL: Senior SE · Salesforce: MTS</t>
          </r>
        </is>
      </c>
      <c r="AJ23" s="177" t="inlineStr">
        <is>
          <t>SFIA 9 · software development, programming; OWASP secure coding; cloud vendor certifications</t>
        </is>
      </c>
      <c r="AK23" s="177" t="inlineStr">
        <is>
          <t>B2 · Senior Specialist</t>
        </is>
      </c>
      <c r="AL23" s="130" t="inlineStr">
        <is>
          <t>Project / programme management</t>
        </is>
      </c>
      <c r="AM23" s="131" t="inlineStr">
        <is>
          <t>Training on the effective utilization of AI tools.</t>
        </is>
      </c>
      <c r="AN23" s="131" t="inlineStr">
        <is>
          <t>On-the-job / hands-on · Mentoring / guidance from seniors · Online courses / self-learning · Formal / classroom training</t>
        </is>
      </c>
      <c r="AO23" s="131" t="inlineStr">
        <is>
          <t>dependency · access · requirements</t>
        </is>
      </c>
      <c r="AP23" s="131" t="inlineStr">
        <is>
          <t>faster · requirements · access · start · clear</t>
        </is>
      </c>
      <c r="AQ23" s="131" t="inlineStr">
        <is>
          <t>3 of 7 say the role is changing because of AI / automation</t>
        </is>
      </c>
      <c r="AR23" s="132" t="inlineStr">
        <is>
          <t>Build and operate software capabilities. Includes: Application code, data/ML engineering and product reliability. Excludes: Product investment decisions; internal IT service desk.</t>
        </is>
      </c>
      <c r="AS23" s="133" t="inlineStr">
        <is>
          <t>ENG05-3 · Senior Data Engineer</t>
        </is>
      </c>
      <c r="AT23" s="133" t="inlineStr">
        <is>
          <t>Own lineage, recovery, schema evolution and data contracts.</t>
        </is>
      </c>
      <c r="AU23" s="133" t="inlineStr">
        <is>
          <t>Evidence of complex work, decisions and outcomes beyond routine delivery.</t>
        </is>
      </c>
      <c r="AV23" s="133" t="inlineStr">
        <is>
          <t>An idempotent pipeline with lineage, reconciliation and recovery tests</t>
        </is>
      </c>
      <c r="AW23" s="133" t="inlineStr">
        <is>
          <r>
            <rPr>
              <rFont val="Calibri"/>
              <b val="1"/>
              <sz val="10"/>
            </rPr>
            <t>Workiva:</t>
          </r>
          <r>
            <rPr>
              <rFont val="Calibri"/>
              <sz val="10"/>
            </rPr>
            <t xml:space="preserve"> Staff data engineer · Selected role, conflicting indexed versions. Gap: Canonical data-specific extract refreshed; another locale has generic software text for the same requisition</t>
          </r>
        </is>
      </c>
      <c r="AX23" s="179" t="inlineStr">
        <is>
          <t>Framework + sub-family themes · 3+ answered</t>
        </is>
      </c>
      <c r="AY23" s="135" t="inlineStr">
        <is>
          <t>1 holder, 1 answered the survey; sub-family 7 answered</t>
        </is>
      </c>
    </row>
    <row r="24" ht="80" customHeight="1">
      <c r="A24" s="175" t="inlineStr">
        <is>
          <t>RC-083</t>
        </is>
      </c>
      <c r="B24" s="111" t="inlineStr">
        <is>
          <t>Engineering &amp; Development</t>
        </is>
      </c>
      <c r="C24" s="111" t="inlineStr">
        <is>
          <t>Full-Stack Development</t>
        </is>
      </c>
      <c r="D24" s="116" t="inlineStr">
        <is>
          <t>A1</t>
        </is>
      </c>
      <c r="E24" s="117" t="inlineStr">
        <is>
          <t>Intern / Trainee</t>
        </is>
      </c>
      <c r="F24" s="111" t="inlineStr">
        <is>
          <t>IC</t>
        </is>
      </c>
      <c r="G24" s="111" t="inlineStr">
        <is>
          <t>Trainee Software Engineer</t>
        </is>
      </c>
      <c r="H24" s="112" t="n">
        <v>4</v>
      </c>
      <c r="I24" s="111" t="inlineStr">
        <is>
          <t>iFile 2 · CARBON 1 · iDEAL 1</t>
        </is>
      </c>
      <c r="J24" s="163" t="n">
        <v>1</v>
      </c>
      <c r="K24" s="115" t="inlineStr">
        <is>
          <t>Atharv Sameer Shevade</t>
        </is>
      </c>
      <c r="L24" s="115" t="inlineStr">
        <is>
          <t>Technology</t>
        </is>
      </c>
      <c r="M24" s="119" t="inlineStr">
        <is>
          <r>
            <rPr>
              <rFont val="Calibri"/>
              <sz val="10"/>
            </rPr>
            <t xml:space="preserve">Builds features end to end — back-end services/APIs plus UI screens. At A1: learning the role; all work reviewed.
</t>
          </r>
          <r>
            <rPr>
              <rFont val="Calibri"/>
              <b val="1"/>
              <sz val="10"/>
            </rPr>
            <t>Common themes in role-holders' answers:</t>
          </r>
          <r>
            <rPr>
              <rFont val="Calibri"/>
              <sz val="10"/>
            </rPr>
            <t xml:space="preserve"> improving · software</t>
          </r>
        </is>
      </c>
      <c r="N24" s="165" t="inlineStr">
        <is>
          <r>
            <rPr>
              <rFont val="Calibri"/>
              <sz val="10"/>
            </rPr>
            <t xml:space="preserve">Builds features end to end — back-end services/APIs plus UI screens; Learning; follows worked examples; Learning tasks
</t>
          </r>
          <r>
            <rPr>
              <rFont val="Calibri"/>
              <b val="1"/>
              <sz val="10"/>
            </rPr>
            <t>Common themes in role-holders' answers:</t>
          </r>
          <r>
            <rPr>
              <rFont val="Calibri"/>
              <sz val="10"/>
            </rPr>
            <t xml:space="preserve"> bug fixing · development · feature</t>
          </r>
        </is>
      </c>
      <c r="O24" s="165" t="inlineStr">
        <is>
          <r>
            <rPr>
              <rFont val="Calibri"/>
              <sz val="10"/>
            </rPr>
            <t xml:space="preserve">Learning tasks
</t>
          </r>
          <r>
            <rPr>
              <rFont val="Calibri"/>
              <b val="1"/>
              <sz val="10"/>
            </rPr>
            <t>Common themes in role-holders' answers:</t>
          </r>
          <r>
            <rPr>
              <rFont val="Calibri"/>
              <sz val="10"/>
            </rPr>
            <t xml:space="preserve"> features · bug fixes · technical · apis · software</t>
          </r>
        </is>
      </c>
      <c r="P24" s="165" t="inlineStr">
        <is>
          <r>
            <rPr>
              <rFont val="Calibri"/>
              <sz val="10"/>
            </rPr>
            <t xml:space="preserve">Learning tasks
</t>
          </r>
          <r>
            <rPr>
              <rFont val="Calibri"/>
              <b val="1"/>
              <sz val="10"/>
            </rPr>
            <t>Common themes in role-holders' answers:</t>
          </r>
          <r>
            <rPr>
              <rFont val="Calibri"/>
              <sz val="10"/>
            </rPr>
            <t xml:space="preserve"> development · am</t>
          </r>
        </is>
      </c>
      <c r="Q24" s="165" t="inlineStr">
        <is>
          <r>
            <rPr>
              <rFont val="Calibri"/>
              <sz val="10"/>
            </rPr>
            <t xml:space="preserve">Needs approval / close guidance
</t>
          </r>
          <r>
            <rPr>
              <rFont val="Calibri"/>
              <b val="1"/>
              <sz val="10"/>
            </rPr>
            <t>Common themes in role-holders' answers:</t>
          </r>
          <r>
            <rPr>
              <rFont val="Calibri"/>
              <sz val="10"/>
            </rPr>
            <t xml:space="preserve"> approaches · implementation</t>
          </r>
        </is>
      </c>
      <c r="R24" s="165" t="inlineStr">
        <is>
          <r>
            <rPr>
              <rFont val="Calibri"/>
              <b val="1"/>
              <sz val="10"/>
            </rPr>
            <t>Common themes in manager-set KRAs:</t>
          </r>
          <r>
            <rPr>
              <rFont val="Calibri"/>
              <sz val="10"/>
            </rPr>
            <t xml:space="preserve"> complete · assigned · improve · code · technical · quality</t>
          </r>
        </is>
      </c>
      <c r="S24" s="165" t="inlineStr">
        <is>
          <t>React · Java · Angular · NET MVC</t>
        </is>
      </c>
      <c r="T24" s="165" t="inlineStr">
        <is>
          <t>Vs code · Postman</t>
        </is>
      </c>
      <c r="U24" s="120" t="inlineStr">
        <is>
          <t>Learning the role; all work reviewed</t>
        </is>
      </c>
      <c r="V24" s="166" t="inlineStr">
        <is>
          <t>Learning; follows worked examples</t>
        </is>
      </c>
      <c r="W24" s="166" t="inlineStr">
        <is>
          <t>Needs approval / close guidance</t>
        </is>
      </c>
      <c r="X24" s="166" t="inlineStr">
        <is>
          <t>Learning tasks</t>
        </is>
      </c>
      <c r="Y24" s="166" t="inlineStr">
        <is>
          <t>Not scored in Band A</t>
        </is>
      </c>
      <c r="Z24" s="166" t="inlineStr">
        <is>
          <t>0 yrs · fresher / intern</t>
        </is>
      </c>
      <c r="AA24" s="166" t="inlineStr">
        <is>
          <t>Pursuing or completed graduation / diploma</t>
        </is>
      </c>
      <c r="AB24" s="166" t="inlineStr">
        <is>
          <t>Cloud / language certifications · optional; AWS / Azure architect · optional</t>
        </is>
      </c>
      <c r="AC24" s="166" t="inlineStr">
        <is>
          <t>No direct reports</t>
        </is>
      </c>
      <c r="AD24" s="122" t="inlineStr">
        <is>
          <t>Core 1 · Future-ready 1 · Functional 1 · Leadership —</t>
        </is>
      </c>
      <c r="AE24" s="123" t="inlineStr">
        <is>
          <t>Programming &amp; Tech-Stack Depth · System Design &amp; Architecture</t>
        </is>
      </c>
      <c r="AF24" s="123" t="inlineStr">
        <is>
          <t>Database, SQL &amp; Data Engineering · Cloud, DevOps &amp; CI/CD · AI, GenAI &amp; Prompt Engineering · Product, Platform &amp; Domain Knowledge</t>
        </is>
      </c>
      <c r="AG24" s="176" t="inlineStr">
        <is>
          <t>Entry / P1 · intern</t>
        </is>
      </c>
      <c r="AH24" s="129" t="inlineStr">
        <is>
          <t>1 Follow</t>
        </is>
      </c>
      <c r="AI24" s="177" t="inlineStr">
        <is>
          <t>—</t>
        </is>
      </c>
      <c r="AJ24" s="177" t="inlineStr">
        <is>
          <t>SFIA 9 · software development, programming; OWASP secure coding; cloud vendor certifications</t>
        </is>
      </c>
      <c r="AK24" s="177" t="inlineStr">
        <is>
          <t>A2 · Associate</t>
        </is>
      </c>
      <c r="AL24" s="130" t="inlineStr">
        <is>
          <t>Technical depth &amp; architecture · Domain, regulatory &amp; XBRL · Product &amp; tool knowledge · Strategy &amp; business acumen · Data, SQL &amp; analytics</t>
        </is>
      </c>
      <c r="AM24" s="131" t="inlineStr">
        <is>
          <t>ai</t>
        </is>
      </c>
      <c r="AN24" s="131" t="inlineStr">
        <is>
          <t>Mentoring / guidance from seniors · On-the-job / hands-on · Formal / classroom training</t>
        </is>
      </c>
      <c r="AO24" s="131" t="inlineStr">
        <is>
          <t>requirements · unclear</t>
        </is>
      </c>
      <c r="AP24" s="131" t="inlineStr">
        <is>
          <t>clear · before · development · guidance</t>
        </is>
      </c>
      <c r="AQ24" s="131" t="inlineStr">
        <is>
          <t>3 of 4 say the role is changing because of AI / automation</t>
        </is>
      </c>
      <c r="AR24" s="132" t="inlineStr">
        <is>
          <t>Build and operate software capabilities. Includes: Application code, data/ML engineering and product reliability. Excludes: Product investment decisions; internal IT service desk.</t>
        </is>
      </c>
      <c r="AS24" s="133" t="inlineStr">
        <is>
          <t>ENG02-0 · Software Engineering Intern</t>
        </is>
      </c>
      <c r="AT24" s="133" t="inlineStr">
        <is>
          <r>
            <rPr>
              <rFont val="Calibri"/>
              <b val="1"/>
              <sz val="10"/>
            </rPr>
            <t>Assist with a supervised work sample:</t>
          </r>
          <r>
            <rPr>
              <rFont val="Calibri"/>
              <sz val="10"/>
            </rPr>
            <t xml:space="preserve"> deliver a tested end-to-end feature across ui, api and storage.</t>
          </r>
        </is>
      </c>
      <c r="AU24" s="133" t="inlineStr">
        <is>
          <t>Reviewed learning assignment; no independent material sign-off.</t>
        </is>
      </c>
      <c r="AV24" s="133" t="inlineStr">
        <is>
          <t>A working end-to-end journey with usability checks, test coverage and deployment evidence</t>
        </is>
      </c>
      <c r="AW24" s="133" t="inlineStr">
        <is>
          <r>
            <rPr>
              <rFont val="Calibri"/>
              <b val="1"/>
              <sz val="10"/>
            </rPr>
            <t>Regnology:</t>
          </r>
          <r>
            <rPr>
              <rFont val="Calibri"/>
              <sz val="10"/>
            </rPr>
            <t xml:space="preserve"> Senior Software Engineer, Pune · Selected role. Gap: Java role directly supports software delivery and mentoring; full-stack coverage is partial</t>
          </r>
        </is>
      </c>
      <c r="AX24" s="178" t="inlineStr">
        <is>
          <t>Framework + role-holders' themes · 3+ answered</t>
        </is>
      </c>
      <c r="AY24" s="135" t="inlineStr">
        <is>
          <t>4 holders, 4 answered the survey; sub-family 35 answered</t>
        </is>
      </c>
    </row>
    <row r="25" ht="106" customHeight="1">
      <c r="A25" s="175" t="inlineStr">
        <is>
          <t>RC-085</t>
        </is>
      </c>
      <c r="B25" s="111" t="inlineStr">
        <is>
          <t>Engineering &amp; Development</t>
        </is>
      </c>
      <c r="C25" s="111" t="inlineStr">
        <is>
          <t>Full-Stack Development</t>
        </is>
      </c>
      <c r="D25" s="116" t="inlineStr">
        <is>
          <t>A3</t>
        </is>
      </c>
      <c r="E25" s="117" t="inlineStr">
        <is>
          <t>Senior Associate</t>
        </is>
      </c>
      <c r="F25" s="111" t="inlineStr">
        <is>
          <t>IC</t>
        </is>
      </c>
      <c r="G25" s="111" t="inlineStr">
        <is>
          <t>Senior Software Engineer · Technical Specialist</t>
        </is>
      </c>
      <c r="H25" s="112" t="n">
        <v>19</v>
      </c>
      <c r="I25" s="111" t="inlineStr">
        <is>
          <t>CARBON 10 · iFile 8 · iDEAL 1</t>
        </is>
      </c>
      <c r="J25" s="163" t="n">
        <v>1</v>
      </c>
      <c r="K25" s="115" t="inlineStr">
        <is>
          <t>Jay Gudhka</t>
        </is>
      </c>
      <c r="L25" s="115" t="inlineStr">
        <is>
          <t>Technology</t>
        </is>
      </c>
      <c r="M25" s="119" t="inlineStr">
        <is>
          <r>
            <rPr>
              <rFont val="Calibri"/>
              <sz val="10"/>
            </rPr>
            <t xml:space="preserve">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t>
          </r>
        </is>
      </c>
      <c r="N25" s="165" t="inlineStr">
        <is>
          <r>
            <rPr>
              <rFont val="Calibri"/>
              <sz val="10"/>
            </rPr>
            <t xml:space="preserve">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t>
          </r>
        </is>
      </c>
      <c r="O25"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features · solutions · product · apis · software · performance</t>
          </r>
        </is>
      </c>
      <c r="P25"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feature · production · delivery · quality · bug</t>
          </r>
        </is>
      </c>
      <c r="Q25" s="165" t="inlineStr">
        <is>
          <r>
            <rPr>
              <rFont val="Calibri"/>
              <sz val="10"/>
            </rPr>
            <t xml:space="preserve">Technical / QC / client calls on own work
</t>
          </r>
          <r>
            <rPr>
              <rFont val="Calibri"/>
              <b val="1"/>
              <sz val="10"/>
            </rPr>
            <t>Common themes in role-holders' answers:</t>
          </r>
          <r>
            <rPr>
              <rFont val="Calibri"/>
              <sz val="10"/>
            </rPr>
            <t xml:space="preserve"> code · implementation · design · feature · optimization · structure</t>
          </r>
        </is>
      </c>
      <c r="R25" s="165" t="inlineStr">
        <is>
          <r>
            <rPr>
              <rFont val="Calibri"/>
              <b val="1"/>
              <sz val="10"/>
            </rPr>
            <t>Common themes in manager-set KRAs:</t>
          </r>
          <r>
            <rPr>
              <rFont val="Calibri"/>
              <sz val="10"/>
            </rPr>
            <t xml:space="preserve"> complete · improve · code quality · assigned · year · deliver</t>
          </r>
        </is>
      </c>
      <c r="S25" s="165" t="inlineStr">
        <is>
          <t>Java · Debugging · Angular · NET MVC + React · NET MVC + Angular · Spring Boot · NET MVC · Java + Angular</t>
        </is>
      </c>
      <c r="T25" s="165" t="inlineStr">
        <is>
          <t>VS Code · Visual Studio · Postman · Git · Copilot · Github Copilot · Mongo compass · AI</t>
        </is>
      </c>
      <c r="U25" s="120" t="inlineStr">
        <is>
          <t>Varied work; reviews juniors; go-to for a process</t>
        </is>
      </c>
      <c r="V25" s="166" t="inlineStr">
        <is>
          <t>Varied and non-standard work; handles exceptions</t>
        </is>
      </c>
      <c r="W25" s="166" t="inlineStr">
        <is>
          <t>Technical / QC / client calls on own work</t>
        </is>
      </c>
      <c r="X25" s="166" t="inlineStr">
        <is>
          <t>A module / process, or work with client or regulatory consequences</t>
        </is>
      </c>
      <c r="Y25" s="166" t="inlineStr">
        <is>
          <t>Not scored in Band A</t>
        </is>
      </c>
      <c r="Z25" s="166" t="inlineStr">
        <is>
          <t>2–4 yrs</t>
        </is>
      </c>
      <c r="AA25" s="166" t="inlineStr">
        <is>
          <t>Graduate; relevant certification preferred</t>
        </is>
      </c>
      <c r="AB25" s="166" t="inlineStr">
        <is>
          <t>Cloud / language certifications · optional; AWS / Azure architect · optional</t>
        </is>
      </c>
      <c r="AC25" s="166" t="inlineStr">
        <is>
          <t>None · guides 1–3 juniors informally</t>
        </is>
      </c>
      <c r="AD25" s="122" t="inlineStr">
        <is>
          <t>Core 2 · Future-ready 2 · Functional 3 · Leadership —</t>
        </is>
      </c>
      <c r="AE25" s="123" t="inlineStr">
        <is>
          <t>Programming &amp; Tech-Stack Depth · System Design &amp; Architecture</t>
        </is>
      </c>
      <c r="AF25" s="123" t="inlineStr">
        <is>
          <t>Database, SQL &amp; Data Engineering · Cloud, DevOps &amp; CI/CD · AI, GenAI &amp; Prompt Engineering · Product, Platform &amp; Domain Knowledge</t>
        </is>
      </c>
      <c r="AG25" s="176" t="inlineStr">
        <is>
          <t>P2</t>
        </is>
      </c>
      <c r="AH25" s="129" t="inlineStr">
        <is>
          <t>3 Apply</t>
        </is>
      </c>
      <c r="AI25" s="177" t="inlineStr">
        <is>
          <r>
            <rPr>
              <rFont val="Calibri"/>
              <b val="1"/>
              <sz val="10"/>
            </rPr>
            <t>Workiva:</t>
          </r>
          <r>
            <rPr>
              <rFont val="Calibri"/>
              <sz val="10"/>
            </rPr>
            <t xml:space="preserve"> SE · Broadridge India: SE · Nasdaq / AxiomSL: SE · Salesforce: MTS</t>
          </r>
        </is>
      </c>
      <c r="AJ25" s="177" t="inlineStr">
        <is>
          <t>SFIA 9 · software development, programming; OWASP secure coding; cloud vendor certifications</t>
        </is>
      </c>
      <c r="AK25" s="177" t="inlineStr">
        <is>
          <t>B1 · Specialist</t>
        </is>
      </c>
      <c r="AL25" s="130" t="inlineStr">
        <is>
          <t>Technical depth &amp; architecture · Broader exposure &amp; ownership · Leadership &amp; people management · AI / automation · Project / programme management</t>
        </is>
      </c>
      <c r="AM25" s="131" t="inlineStr">
        <is>
          <t>ai · leadership · secure · stakeholder management · system</t>
        </is>
      </c>
      <c r="AN25" s="131" t="inlineStr">
        <is>
          <t>Mentoring / guidance from seniors · Formal / classroom training · On-the-job / hands-on · Knowledge transfer · KT</t>
        </is>
      </c>
      <c r="AO25" s="131" t="inlineStr">
        <is>
          <t>requirements · ai · unclear · credits · changing</t>
        </is>
      </c>
      <c r="AP25" s="131" t="inlineStr">
        <is>
          <t>clear · requirements · time · changes · development</t>
        </is>
      </c>
      <c r="AQ25" s="131" t="inlineStr">
        <is>
          <t>14 of 18 say the role is changing because of AI / automation</t>
        </is>
      </c>
      <c r="AR25" s="132" t="inlineStr">
        <is>
          <t>Build and operate software capabilities. Includes: Application code, data/ML engineering and product reliability. Excludes: Product investment decisions; internal IT service desk.</t>
        </is>
      </c>
      <c r="AS25" s="133" t="inlineStr">
        <is>
          <t>ENG02-2 · Full Stack Engineer</t>
        </is>
      </c>
      <c r="AT25" s="133" t="inlineStr">
        <is>
          <t>Deliver a tested end-to-end feature across UI, API and storage.</t>
        </is>
      </c>
      <c r="AU25" s="133" t="inlineStr">
        <is>
          <t>Demonstrate routine delivery plus judgement in bounded exceptions.</t>
        </is>
      </c>
      <c r="AV25" s="133" t="inlineStr">
        <is>
          <t>A working end-to-end journey with usability checks, test coverage and deployment evidence</t>
        </is>
      </c>
      <c r="AW25" s="133" t="inlineStr">
        <is>
          <r>
            <rPr>
              <rFont val="Calibri"/>
              <b val="1"/>
              <sz val="10"/>
            </rPr>
            <t>Regnology:</t>
          </r>
          <r>
            <rPr>
              <rFont val="Calibri"/>
              <sz val="10"/>
            </rPr>
            <t xml:space="preserve"> Senior Software Engineer, Pune · Selected role. Gap: Java role directly supports software delivery and mentoring; full-stack coverage is partial</t>
          </r>
        </is>
      </c>
      <c r="AX25" s="178" t="inlineStr">
        <is>
          <t>Framework + role-holders' themes · 3+ answered</t>
        </is>
      </c>
      <c r="AY25" s="135" t="inlineStr">
        <is>
          <t>19 holders, 19 answered the survey; sub-family 35 answered</t>
        </is>
      </c>
    </row>
    <row r="26">
      <c r="A26" s="161" t="inlineStr">
        <is>
          <t>Executive Leadership</t>
        </is>
      </c>
    </row>
    <row r="27" ht="80" customHeight="1">
      <c r="A27" s="175" t="inlineStr">
        <is>
          <t>RC-090</t>
        </is>
      </c>
      <c r="B27" s="111" t="inlineStr">
        <is>
          <t>Executive Leadership</t>
        </is>
      </c>
      <c r="C27" s="111" t="inlineStr">
        <is>
          <t>Business &amp; Functional Leadership</t>
        </is>
      </c>
      <c r="D27" s="181" t="inlineStr">
        <is>
          <t>D1</t>
        </is>
      </c>
      <c r="E27" s="152" t="inlineStr">
        <is>
          <t>Associate Vice President / Business Head</t>
        </is>
      </c>
      <c r="F27" s="111" t="inlineStr">
        <is>
          <t>Manager</t>
        </is>
      </c>
      <c r="G27" s="111" t="inlineStr">
        <is>
          <t>Senior Vice President – Customer Experience · Business Head – iDEAL</t>
        </is>
      </c>
      <c r="H27" s="112" t="n">
        <v>2</v>
      </c>
      <c r="I27" s="111" t="inlineStr">
        <is>
          <t>CARBON 1 · iDEAL 1</t>
        </is>
      </c>
      <c r="J27" s="163" t="n">
        <v>1</v>
      </c>
      <c r="K27" s="115" t="inlineStr">
        <is>
          <t>Hemant Karale</t>
        </is>
      </c>
      <c r="L27" s="115" t="inlineStr">
        <is>
          <t>iDEAL Business Head</t>
        </is>
      </c>
      <c r="M27" s="119" t="inlineStr">
        <is>
          <t>Owns a business line or enterprise function end to end. At D1: a business line P&amp;L, region or enterprise function.</t>
        </is>
      </c>
      <c r="N27" s="165" t="inlineStr">
        <is>
          <t>Owns a business line or enterprise function end to end; Competing strategic, financial and regulatory priorities; Business-line P&amp;L and market position</t>
        </is>
      </c>
      <c r="O27" s="165" t="inlineStr">
        <is>
          <t>Business-line P&amp;L and market position</t>
        </is>
      </c>
      <c r="P27" s="165" t="inlineStr">
        <is>
          <t>Business-line P&amp;L and market position</t>
        </is>
      </c>
      <c r="Q27" s="165" t="inlineStr">
        <is>
          <t>Sets business-line direction, pricing and investment</t>
        </is>
      </c>
      <c r="R27" s="165" t="inlineStr">
        <is>
          <t>—</t>
        </is>
      </c>
      <c r="S27" s="165" t="inlineStr">
        <is>
          <t>Product Management</t>
        </is>
      </c>
      <c r="T27" s="165" t="inlineStr">
        <is>
          <t>—</t>
        </is>
      </c>
      <c r="U27" s="120" t="inlineStr">
        <is>
          <t>A business line P&amp;L, region or enterprise function</t>
        </is>
      </c>
      <c r="V27" s="166" t="inlineStr">
        <is>
          <t>Competing strategic, financial and regulatory priorities</t>
        </is>
      </c>
      <c r="W27" s="166" t="inlineStr">
        <is>
          <t>Sets business-line direction, pricing and investment</t>
        </is>
      </c>
      <c r="X27" s="166" t="inlineStr">
        <is>
          <t>Business-line P&amp;L and market position</t>
        </is>
      </c>
      <c r="Y27" s="166" t="inlineStr">
        <is>
          <t>Defines business strategy; builds the leadership bench</t>
        </is>
      </c>
      <c r="Z27" s="166" t="inlineStr">
        <is>
          <t>15–20 yrs</t>
        </is>
      </c>
      <c r="AA27" s="166" t="inlineStr">
        <is>
          <t>Postgraduate / professional qualification preferred</t>
        </is>
      </c>
      <c r="AB27" s="166" t="inlineStr">
        <is>
          <t>MBA / PGDM · preferred at C+</t>
        </is>
      </c>
      <c r="AC27" s="166" t="inlineStr">
        <is>
          <t>5–8 heads</t>
        </is>
      </c>
      <c r="AD27" s="122" t="inlineStr">
        <is>
          <t>Core 5 · Future-ready 4 · Functional 4 · Leadership 5</t>
        </is>
      </c>
      <c r="AE27" s="123" t="inlineStr">
        <is>
          <t>Strategic Thinking &amp; Business Acumen · People Leadership &amp; Mentoring</t>
        </is>
      </c>
      <c r="AF27" s="123" t="inlineStr">
        <is>
          <t>Stakeholder &amp; Client Management · Product, Platform &amp; Domain Knowledge · Regulatory &amp; BFSI Domain · Communication &amp; Presentation</t>
        </is>
      </c>
      <c r="AG27" s="176" t="inlineStr">
        <is>
          <t>E1–E2</t>
        </is>
      </c>
      <c r="AH27" s="129" t="inlineStr">
        <is>
          <t>6–7</t>
        </is>
      </c>
      <c r="AI27" s="177" t="inlineStr">
        <is>
          <t>IRIS Vs Market Benchmark — Aon Radford / Mercer executive codes: E1–E2 VP / Business Head · IRIS Vs Competitor Benchmark — regtech / SaaS executive titles: General Manager / VP</t>
        </is>
      </c>
      <c r="AJ27" s="177" t="inlineStr">
        <is>
          <t>Aon Radford executive levels E1–E6; Mercer ET1–ET3; Korn Ferry Leadership Architect</t>
        </is>
      </c>
      <c r="AK27" s="177" t="inlineStr">
        <is>
          <t>D2 · —</t>
        </is>
      </c>
      <c r="AL27" s="130" t="inlineStr">
        <is>
          <t>—</t>
        </is>
      </c>
      <c r="AM27" s="131" t="inlineStr">
        <is>
          <t>Training on the effective utilization of AI tools.</t>
        </is>
      </c>
      <c r="AN27" s="131" t="inlineStr">
        <is>
          <t>—</t>
        </is>
      </c>
      <c r="AO27" s="131" t="inlineStr">
        <is>
          <t>—</t>
        </is>
      </c>
      <c r="AP27" s="131" t="inlineStr">
        <is>
          <t>—</t>
        </is>
      </c>
      <c r="AQ27" s="131" t="inlineStr">
        <is>
          <t>—</t>
        </is>
      </c>
      <c r="AR27" s="132" t="inlineStr">
        <is>
          <t>Integrate enterprise or business outcomes. Includes: Business-unit, enterprise and exceptional expert mandates. Excludes: A generic promotion destination without a new accountable role.</t>
        </is>
      </c>
      <c r="AS27" s="133" t="inlineStr">
        <is>
          <t>EX01 · Business Unit Head / General Manager</t>
        </is>
      </c>
      <c r="AT27" s="133" t="inlineStr">
        <is>
          <t>Own integrated commercial, operational, financial and risk outcomes for a defined business</t>
        </is>
      </c>
      <c r="AU27" s="133" t="inlineStr">
        <is>
          <t>A transition from functional leadership; size and delegated P&amp;L/resource mandate determine level.</t>
        </is>
      </c>
      <c r="AV27" s="133" t="inlineStr">
        <is>
          <t>—</t>
        </is>
      </c>
      <c r="AW27" s="133" t="inlineStr">
        <is>
          <t>—</t>
        </is>
      </c>
      <c r="AX27" s="134" t="inlineStr">
        <is>
          <t>Framework only · fewer than 3 answered</t>
        </is>
      </c>
      <c r="AY27" s="135" t="inlineStr">
        <is>
          <t>2 holders, 0 answered the survey; sub-family 0 answered</t>
        </is>
      </c>
    </row>
    <row r="28">
      <c r="A28" s="161" t="inlineStr">
        <is>
          <t>Marketing &amp; Communications</t>
        </is>
      </c>
    </row>
    <row r="29" ht="80" customHeight="1">
      <c r="A29" s="175" t="inlineStr">
        <is>
          <t>RC-111</t>
        </is>
      </c>
      <c r="B29" s="111" t="inlineStr">
        <is>
          <t>Marketing &amp; Communications</t>
        </is>
      </c>
      <c r="C29" s="111" t="inlineStr">
        <is>
          <t>Content Marketing</t>
        </is>
      </c>
      <c r="D29" s="116" t="inlineStr">
        <is>
          <t>A2</t>
        </is>
      </c>
      <c r="E29" s="117" t="inlineStr">
        <is>
          <t>Associate</t>
        </is>
      </c>
      <c r="F29" s="111" t="inlineStr">
        <is>
          <t>IC</t>
        </is>
      </c>
      <c r="G29" s="111" t="inlineStr">
        <is>
          <t>Content Marketing Associate</t>
        </is>
      </c>
      <c r="H29" s="112" t="n">
        <v>5</v>
      </c>
      <c r="I29" s="111" t="inlineStr">
        <is>
          <t>CARBON 4 · iDEAL 1</t>
        </is>
      </c>
      <c r="J29" s="163" t="n">
        <v>1</v>
      </c>
      <c r="K29" s="115" t="inlineStr">
        <is>
          <t>Muskan Jain</t>
        </is>
      </c>
      <c r="L29" s="115" t="inlineStr">
        <is>
          <t>Marketing</t>
        </is>
      </c>
      <c r="M29" s="119" t="inlineStr">
        <is>
          <r>
            <rPr>
              <rFont val="Calibri"/>
              <sz val="10"/>
            </rPr>
            <t xml:space="preserve">Writes blogs, web copy, collateral and social content. At A2: standard work delivered independently.
</t>
          </r>
          <r>
            <rPr>
              <rFont val="Calibri"/>
              <b val="1"/>
              <sz val="10"/>
            </rPr>
            <t>Common themes in role-holders' answers:</t>
          </r>
          <r>
            <rPr>
              <rFont val="Calibri"/>
              <sz val="10"/>
            </rPr>
            <t xml:space="preserve"> content · marketing · leads · generate · management · creation</t>
          </r>
        </is>
      </c>
      <c r="N29" s="165" t="inlineStr">
        <is>
          <r>
            <rPr>
              <rFont val="Calibri"/>
              <sz val="10"/>
            </rPr>
            <t xml:space="preserve">Writes blogs, web copy, collateral and social content; Standard work of the discipline; Own deliverables · accuracy, TAT
</t>
          </r>
          <r>
            <rPr>
              <rFont val="Calibri"/>
              <b val="1"/>
              <sz val="10"/>
            </rPr>
            <t>Common themes in role-holders' answers:</t>
          </r>
          <r>
            <rPr>
              <rFont val="Calibri"/>
              <sz val="10"/>
            </rPr>
            <t xml:space="preserve"> content · blogs · week · campaign</t>
          </r>
        </is>
      </c>
      <c r="O29" s="165" t="inlineStr">
        <is>
          <r>
            <rPr>
              <rFont val="Calibri"/>
              <sz val="10"/>
            </rPr>
            <t xml:space="preserve">Own deliverables · accuracy, TAT
</t>
          </r>
          <r>
            <rPr>
              <rFont val="Calibri"/>
              <b val="1"/>
              <sz val="10"/>
            </rPr>
            <t>Common themes in role-holders' answers:</t>
          </r>
          <r>
            <rPr>
              <rFont val="Calibri"/>
              <sz val="10"/>
            </rPr>
            <t xml:space="preserve"> marketing · content</t>
          </r>
        </is>
      </c>
      <c r="P29" s="165" t="inlineStr">
        <is>
          <r>
            <rPr>
              <rFont val="Calibri"/>
              <sz val="10"/>
            </rPr>
            <t xml:space="preserve">Own deliverables · accuracy, TAT
</t>
          </r>
          <r>
            <rPr>
              <rFont val="Calibri"/>
              <b val="1"/>
              <sz val="10"/>
            </rPr>
            <t>Common themes in role-holders' answers:</t>
          </r>
          <r>
            <rPr>
              <rFont val="Calibri"/>
              <sz val="10"/>
            </rPr>
            <t xml:space="preserve"> content · accountable</t>
          </r>
        </is>
      </c>
      <c r="Q29" s="165" t="inlineStr">
        <is>
          <t>Chooses own approach within standards</t>
        </is>
      </c>
      <c r="R29" s="165" t="inlineStr">
        <is>
          <t>—</t>
        </is>
      </c>
      <c r="S29" s="165" t="inlineStr">
        <is>
          <t>Marketing · Research skills</t>
        </is>
      </c>
      <c r="T29" s="165" t="inlineStr">
        <is>
          <t>Canva · Hubspot · Semrush · Buffer</t>
        </is>
      </c>
      <c r="U29" s="120" t="inlineStr">
        <is>
          <t>Standard work delivered independently</t>
        </is>
      </c>
      <c r="V29" s="166" t="inlineStr">
        <is>
          <t>Standard work of the discipline</t>
        </is>
      </c>
      <c r="W29" s="166" t="inlineStr">
        <is>
          <t>Chooses own approach within standards</t>
        </is>
      </c>
      <c r="X29" s="166" t="inlineStr">
        <is>
          <t>Own deliverables · accuracy, TAT</t>
        </is>
      </c>
      <c r="Y29" s="166" t="inlineStr">
        <is>
          <t>Not scored in Band A</t>
        </is>
      </c>
      <c r="Z29" s="166" t="inlineStr">
        <is>
          <t>0–2 yrs</t>
        </is>
      </c>
      <c r="AA29" s="166" t="inlineStr">
        <is>
          <t>Graduate · or diploma with experience</t>
        </is>
      </c>
      <c r="AB29" s="166" t="inlineStr">
        <is>
          <t>Google / HubSpot certifications</t>
        </is>
      </c>
      <c r="AC29" s="166" t="inlineStr">
        <is>
          <t>No direct reports</t>
        </is>
      </c>
      <c r="AD29" s="122" t="inlineStr">
        <is>
          <t>Core 2 · Future-ready 2 · Functional 2 · Leadership —</t>
        </is>
      </c>
      <c r="AE29" s="123" t="inlineStr">
        <is>
          <t>Marketing Tech &amp; Digital Marketing · Communication &amp; Presentation</t>
        </is>
      </c>
      <c r="AF29" s="123" t="inlineStr">
        <is>
          <t>Data Analytics, BI &amp; Visualisation · AI, GenAI &amp; Prompt Engineering · Product, Platform &amp; Domain Knowledge · Strategic Thinking &amp; Business Acumen</t>
        </is>
      </c>
      <c r="AG29" s="176" t="inlineStr">
        <is>
          <t>P1–P2</t>
        </is>
      </c>
      <c r="AH29" s="129" t="inlineStr">
        <is>
          <t>2 Assist</t>
        </is>
      </c>
      <c r="AI29" s="177" t="inlineStr">
        <is>
          <t>IRIS Vs Market Benchmark — CIM proficiency scale: 2 Active learner · IRIS Vs Competitor Benchmark — SaaS marketing ladder: Marketing Associate</t>
        </is>
      </c>
      <c r="AJ29" s="177" t="inlineStr">
        <is>
          <t>CIM Global Professional Marketing Framework — proficiency Aware → Active learner → Able → Accomplished → Authoritative</t>
        </is>
      </c>
      <c r="AK29" s="177" t="inlineStr">
        <is>
          <t>A3 · Senior Associate</t>
        </is>
      </c>
      <c r="AL29" s="130" t="inlineStr">
        <is>
          <t>Product &amp; tool knowledge · Marketing &amp; content · Certification / formal course</t>
        </is>
      </c>
      <c r="AM29" s="131" t="inlineStr">
        <is>
          <t>learn · content marketing · fundamentals content</t>
        </is>
      </c>
      <c r="AN29" s="131" t="inlineStr">
        <is>
          <t>Formal / classroom training · Knowledge transfer · KT</t>
        </is>
      </c>
      <c r="AO29" s="131" t="inlineStr">
        <is>
          <t>delay</t>
        </is>
      </c>
      <c r="AP29" s="131" t="inlineStr">
        <is>
          <t>clarity</t>
        </is>
      </c>
      <c r="AQ29" s="131" t="inlineStr">
        <is>
          <t>0 of 4 say the role is changing because of AI / automation</t>
        </is>
      </c>
      <c r="AR29" s="132" t="inlineStr">
        <is>
          <t>Create market understanding, demand and reputation. Includes: Content, demand, digital, product marketing, operations and communications. Excludes: Account closing; product UX design.</t>
        </is>
      </c>
      <c r="AS29" s="133" t="inlineStr">
        <is>
          <t>MKT01-1 · Content Associate</t>
        </is>
      </c>
      <c r="AT29" s="133" t="inlineStr">
        <is>
          <r>
            <rPr>
              <rFont val="Calibri"/>
              <b val="1"/>
              <sz val="10"/>
            </rPr>
            <t>Complete defined parts under review:</t>
          </r>
          <r>
            <rPr>
              <rFont val="Calibri"/>
              <sz val="10"/>
            </rPr>
            <t xml:space="preserve"> produce accurate content for an identified audience and purpose.</t>
          </r>
        </is>
      </c>
      <c r="AU29" s="133" t="inlineStr">
        <is>
          <t>Repeatable correct delivery, safe escalation and required entry eligibility.</t>
        </is>
      </c>
      <c r="AV29" s="133" t="inlineStr">
        <is>
          <t>A content portfolio with source accuracy, audience fit and measured qualified engagement</t>
        </is>
      </c>
      <c r="AW29" s="133" t="inlineStr">
        <is>
          <r>
            <rPr>
              <rFont val="Calibri"/>
              <b val="1"/>
              <sz val="10"/>
            </rPr>
            <t>Workiva:</t>
          </r>
          <r>
            <rPr>
              <rFont val="Calibri"/>
              <sz val="10"/>
            </rPr>
            <t xml:space="preserve"> Marketing Intern, 2027 cohort · Entry only. Gap: Peer entry content work observed; senior content ladder is proposed</t>
          </r>
        </is>
      </c>
      <c r="AX29" s="178" t="inlineStr">
        <is>
          <t>Framework + role-holders' themes · 3+ answered</t>
        </is>
      </c>
      <c r="AY29" s="135" t="inlineStr">
        <is>
          <t>5 holders, 5 answered the survey; sub-family 8 answered</t>
        </is>
      </c>
    </row>
    <row r="30">
      <c r="A30" s="161" t="inlineStr">
        <is>
          <t>Product Management</t>
        </is>
      </c>
    </row>
    <row r="31" ht="119" customHeight="1">
      <c r="A31" s="175" t="inlineStr">
        <is>
          <t>RC-127</t>
        </is>
      </c>
      <c r="B31" s="111" t="inlineStr">
        <is>
          <t>Product Management</t>
        </is>
      </c>
      <c r="C31" s="111" t="inlineStr">
        <is>
          <t>Product Management</t>
        </is>
      </c>
      <c r="D31" s="140" t="inlineStr">
        <is>
          <t>B2</t>
        </is>
      </c>
      <c r="E31" s="18" t="inlineStr">
        <is>
          <t>Manager</t>
        </is>
      </c>
      <c r="F31" s="111" t="inlineStr">
        <is>
          <t>Manager</t>
        </is>
      </c>
      <c r="G31" s="111" t="inlineStr">
        <is>
          <t>Product Manager</t>
        </is>
      </c>
      <c r="H31" s="112" t="n">
        <v>4</v>
      </c>
      <c r="I31" s="111" t="inlineStr">
        <is>
          <t>iDEAL 2 · CARBON 1 · Datatech 1</t>
        </is>
      </c>
      <c r="J31" s="163" t="n">
        <v>2</v>
      </c>
      <c r="K31" s="115" t="inlineStr">
        <is>
          <t>Dnyaneshwar Daund, Yuvraj Kharchane</t>
        </is>
      </c>
      <c r="L31" s="115" t="inlineStr">
        <is>
          <t>Product Management</t>
        </is>
      </c>
      <c r="M31" s="119" t="inlineStr">
        <is>
          <r>
            <rPr>
              <rFont val="Calibri"/>
              <sz val="10"/>
            </rPr>
            <t xml:space="preserve">Owns product vision, roadmap, requirements · PRDs, prioritisation and adoption. At B2: deep domain expertise, or one team.
</t>
          </r>
          <r>
            <rPr>
              <rFont val="Calibri"/>
              <b val="1"/>
              <sz val="10"/>
            </rPr>
            <t>Common themes in role-holders' answers:</t>
          </r>
          <r>
            <rPr>
              <rFont val="Calibri"/>
              <sz val="10"/>
            </rPr>
            <t xml:space="preserve"> product · market · delivery · business · revenue</t>
          </r>
        </is>
      </c>
      <c r="N31" s="165" t="inlineStr">
        <is>
          <r>
            <rPr>
              <rFont val="Calibri"/>
              <sz val="10"/>
            </rPr>
            <t xml:space="preserve">Owns product vision, roadmap, requirements · PRDs, prioritisation and adoption; Hardest problems in the domain; One team or a client portfolio
</t>
          </r>
          <r>
            <rPr>
              <rFont val="Calibri"/>
              <b val="1"/>
              <sz val="10"/>
            </rPr>
            <t>Common themes in role-holders' answers:</t>
          </r>
          <r>
            <rPr>
              <rFont val="Calibri"/>
              <sz val="10"/>
            </rPr>
            <t xml:space="preserve"> product · implementation · client · management · delivery</t>
          </r>
        </is>
      </c>
      <c r="O31" s="165" t="inlineStr">
        <is>
          <r>
            <rPr>
              <rFont val="Calibri"/>
              <sz val="10"/>
            </rPr>
            <t xml:space="preserve">One team or a client portfolio
</t>
          </r>
          <r>
            <rPr>
              <rFont val="Calibri"/>
              <b val="1"/>
              <sz val="10"/>
            </rPr>
            <t>Common themes in role-holders' answers:</t>
          </r>
          <r>
            <rPr>
              <rFont val="Calibri"/>
              <sz val="10"/>
            </rPr>
            <t xml:space="preserve"> product · revenue</t>
          </r>
        </is>
      </c>
      <c r="P31" s="165" t="inlineStr">
        <is>
          <r>
            <rPr>
              <rFont val="Calibri"/>
              <sz val="10"/>
            </rPr>
            <t xml:space="preserve">One team or a client portfolio
</t>
          </r>
          <r>
            <rPr>
              <rFont val="Calibri"/>
              <b val="1"/>
              <sz val="10"/>
            </rPr>
            <t>Common themes in role-holders' answers:</t>
          </r>
          <r>
            <rPr>
              <rFont val="Calibri"/>
              <sz val="10"/>
            </rPr>
            <t xml:space="preserve"> product · quality · delivery · revenue</t>
          </r>
        </is>
      </c>
      <c r="Q31" s="165" t="inlineStr">
        <is>
          <r>
            <rPr>
              <rFont val="Calibri"/>
              <sz val="10"/>
            </rPr>
            <t xml:space="preserve">Allocates people and sets team priorities
</t>
          </r>
          <r>
            <rPr>
              <rFont val="Calibri"/>
              <b val="1"/>
              <sz val="10"/>
            </rPr>
            <t>Common themes in role-holders' answers:</t>
          </r>
          <r>
            <rPr>
              <rFont val="Calibri"/>
              <sz val="10"/>
            </rPr>
            <t xml:space="preserve"> research</t>
          </r>
        </is>
      </c>
      <c r="R31" s="165" t="inlineStr">
        <is>
          <r>
            <rPr>
              <rFont val="Calibri"/>
              <b val="1"/>
              <sz val="10"/>
            </rPr>
            <t>Common themes in manager-set KRAs:</t>
          </r>
          <r>
            <rPr>
              <rFont val="Calibri"/>
              <sz val="10"/>
            </rPr>
            <t xml:space="preserve"> development participation · cash · market requirements · tech learning · support organizational · profitability</t>
          </r>
        </is>
      </c>
      <c r="S31" s="165" t="inlineStr">
        <is>
          <t>Product management</t>
        </is>
      </c>
      <c r="T31" s="165" t="inlineStr">
        <is>
          <t>—</t>
        </is>
      </c>
      <c r="U31" s="120" t="inlineStr">
        <is>
          <t>Deep domain expertise, or one team</t>
        </is>
      </c>
      <c r="V31" s="166" t="inlineStr">
        <is>
          <t>Hardest problems in the domain</t>
        </is>
      </c>
      <c r="W31" s="166" t="inlineStr">
        <is>
          <t>Allocates people and sets team priorities</t>
        </is>
      </c>
      <c r="X31" s="166" t="inlineStr">
        <is>
          <t>One team or a client portfolio</t>
        </is>
      </c>
      <c r="Y31" s="166" t="inlineStr">
        <is>
          <r>
            <rPr>
              <rFont val="Calibri"/>
              <b val="1"/>
              <sz val="10"/>
            </rPr>
            <t>IC:</t>
          </r>
          <r>
            <rPr>
              <rFont val="Calibri"/>
              <sz val="10"/>
            </rPr>
            <t xml:space="preserve"> guides others in the domain · People: manages a team of 6+</t>
          </r>
        </is>
      </c>
      <c r="Z31" s="166" t="inlineStr">
        <is>
          <t>6–9 yrs</t>
        </is>
      </c>
      <c r="AA31" s="166" t="inlineStr">
        <is>
          <t>Graduate or postgraduate; professional qualification preferred</t>
        </is>
      </c>
      <c r="AB31" s="166" t="inlineStr">
        <is>
          <t>Internal product certification; CBAP / CCBA · optional</t>
        </is>
      </c>
      <c r="AC31" s="166" t="inlineStr">
        <is>
          <r>
            <rPr>
              <rFont val="Calibri"/>
              <b val="1"/>
              <sz val="10"/>
            </rPr>
            <t>IC:</t>
          </r>
          <r>
            <rPr>
              <rFont val="Calibri"/>
              <sz val="10"/>
            </rPr>
            <t xml:space="preserve"> none · People: 6–8 knowledge work, 8–12 standardised delivery</t>
          </r>
        </is>
      </c>
      <c r="AD31" s="122" t="inlineStr">
        <is>
          <t>Core 3 · Future-ready 3 · Functional 4 · Leadership 3</t>
        </is>
      </c>
      <c r="AE31" s="123" t="inlineStr">
        <is>
          <t>Product, Platform &amp; Domain Knowledge · Business Analysis &amp; Requirements Engineering</t>
        </is>
      </c>
      <c r="AF31" s="123" t="inlineStr">
        <is>
          <t>Data Analytics, BI &amp; Visualisation · Strategic Thinking &amp; Business Acumen · Stakeholder &amp; Client Management · AI, GenAI &amp; Prompt Engineering</t>
        </is>
      </c>
      <c r="AG31" s="176" t="inlineStr">
        <is>
          <t>P4 / M3</t>
        </is>
      </c>
      <c r="AH31" s="129" t="inlineStr">
        <is>
          <t>4–5</t>
        </is>
      </c>
      <c r="AI31" s="177" t="inlineStr">
        <is>
          <t>IRIS Vs Competitor Benchmark — SaaS product ladder: Senior PM</t>
        </is>
      </c>
      <c r="AJ31" s="177" t="inlineStr">
        <is>
          <t>Pragmatic Institute Framework · 37 activities, 7 categories; AIPMM</t>
        </is>
      </c>
      <c r="AK31" s="177" t="inlineStr">
        <is>
          <t>B3 · Lead Specialist</t>
        </is>
      </c>
      <c r="AL31" s="130" t="inlineStr">
        <is>
          <t>Product &amp; tool knowledge · Broader exposure &amp; ownership · Strategy &amp; business acumen · Leadership &amp; people management · Client, sales &amp; stakeholders</t>
        </is>
      </c>
      <c r="AM31" s="131" t="inlineStr">
        <is>
          <t>Product discovery &amp; prioritisation, Information research | Leadership development: strategic thinking, cross-functional influence, financial/business acumen, succession &amp; talent development, change management, executive communication</t>
        </is>
      </c>
      <c r="AN31" s="131" t="inlineStr">
        <is>
          <t>Mentoring / guidance from seniors · On-the-job / hands-on</t>
        </is>
      </c>
      <c r="AO31" s="131" t="inlineStr">
        <is>
          <t>cross-team</t>
        </is>
      </c>
      <c r="AP31" s="131" t="inlineStr">
        <is>
          <t>No common theme</t>
        </is>
      </c>
      <c r="AQ31" s="131" t="inlineStr">
        <is>
          <t>2 of 4 say the role is changing because of AI / automation</t>
        </is>
      </c>
      <c r="AR31" s="132" t="inlineStr">
        <is>
          <t>Choose and organise product outcomes. Includes: Discovery, prioritisation, roadmap decisions and product operations. Excludes: Project schedule ownership alone; user research as a standalone discipline.</t>
        </is>
      </c>
      <c r="AS31" s="133" t="inlineStr">
        <is>
          <t>LD12-1 · Group Product Manager</t>
        </is>
      </c>
      <c r="AT31" s="133" t="inlineStr">
        <is>
          <t>Own staffing decisions, performance support, service quality and delegated team resources</t>
        </is>
      </c>
      <c r="AU31" s="133" t="inlineStr">
        <is>
          <t>Do not manufacture three reporting layers. Choose roles the organisation needs. A specialist may remain on an equally valued expert path.</t>
        </is>
      </c>
      <c r="AV31" s="133" t="inlineStr">
        <is>
          <t>—</t>
        </is>
      </c>
      <c r="AW31" s="133" t="inlineStr">
        <is>
          <t>—</t>
        </is>
      </c>
      <c r="AX31" s="178" t="inlineStr">
        <is>
          <t>Framework + role-holders' themes · 3+ answered</t>
        </is>
      </c>
      <c r="AY31" s="135" t="inlineStr">
        <is>
          <t>4 holders, 4 answered the survey; sub-family 13 answered</t>
        </is>
      </c>
    </row>
    <row r="32" ht="80" customHeight="1">
      <c r="A32" s="175" t="inlineStr">
        <is>
          <t>RC-130</t>
        </is>
      </c>
      <c r="B32" s="111" t="inlineStr">
        <is>
          <t>Product Management</t>
        </is>
      </c>
      <c r="C32" s="111" t="inlineStr">
        <is>
          <t>Product Operations &amp; Research</t>
        </is>
      </c>
      <c r="D32" s="116" t="inlineStr">
        <is>
          <t>A3</t>
        </is>
      </c>
      <c r="E32" s="117" t="inlineStr">
        <is>
          <t>Senior Associate</t>
        </is>
      </c>
      <c r="F32" s="111" t="inlineStr">
        <is>
          <t>IC</t>
        </is>
      </c>
      <c r="G32" s="111" t="inlineStr">
        <is>
          <t>Senior Product Analyst</t>
        </is>
      </c>
      <c r="H32" s="112" t="n">
        <v>1</v>
      </c>
      <c r="I32" s="111" t="inlineStr">
        <is>
          <t>iDEAL 1</t>
        </is>
      </c>
      <c r="J32" s="163" t="n">
        <v>1</v>
      </c>
      <c r="K32" s="115" t="inlineStr">
        <is>
          <t>Srijith Menon</t>
        </is>
      </c>
      <c r="L32" s="115" t="inlineStr">
        <is>
          <t>Product Management</t>
        </is>
      </c>
      <c r="M32" s="119" t="inlineStr">
        <is>
          <t>Coordinates product activities and produces market / competitor research. At A3: varied work; reviews juniors; go-to for a process.</t>
        </is>
      </c>
      <c r="N32" s="165" t="inlineStr">
        <is>
          <t>Coordinates product activities and produces market / competitor research; Varied and non-standard work; handles exceptions; A module / process, or work with client or regulatory consequences</t>
        </is>
      </c>
      <c r="O32" s="165" t="inlineStr">
        <is>
          <t>A module / process, or work with client or regulatory consequences</t>
        </is>
      </c>
      <c r="P32" s="165" t="inlineStr">
        <is>
          <t>A module / process, or work with client or regulatory consequences</t>
        </is>
      </c>
      <c r="Q32" s="165" t="inlineStr">
        <is>
          <t>Technical / QC / client calls on own work</t>
        </is>
      </c>
      <c r="R32" s="165" t="inlineStr">
        <is>
          <t>—</t>
        </is>
      </c>
      <c r="S32" s="165" t="inlineStr">
        <is>
          <t>—</t>
        </is>
      </c>
      <c r="T32" s="165" t="inlineStr">
        <is>
          <t>—</t>
        </is>
      </c>
      <c r="U32" s="120" t="inlineStr">
        <is>
          <t>Varied work; reviews juniors; go-to for a process</t>
        </is>
      </c>
      <c r="V32" s="166" t="inlineStr">
        <is>
          <t>Varied and non-standard work; handles exceptions</t>
        </is>
      </c>
      <c r="W32" s="166" t="inlineStr">
        <is>
          <t>Technical / QC / client calls on own work</t>
        </is>
      </c>
      <c r="X32" s="166" t="inlineStr">
        <is>
          <t>A module / process, or work with client or regulatory consequences</t>
        </is>
      </c>
      <c r="Y32" s="166" t="inlineStr">
        <is>
          <t>Not scored in Band A</t>
        </is>
      </c>
      <c r="Z32" s="166" t="inlineStr">
        <is>
          <t>2–4 yrs</t>
        </is>
      </c>
      <c r="AA32" s="166" t="inlineStr">
        <is>
          <t>Graduate; relevant certification preferred</t>
        </is>
      </c>
      <c r="AB32" s="166" t="inlineStr">
        <is>
          <t>Internal product certification; CBAP / CCBA · optional</t>
        </is>
      </c>
      <c r="AC32" s="166" t="inlineStr">
        <is>
          <t>None · guides 1–3 juniors informally</t>
        </is>
      </c>
      <c r="AD32" s="122" t="inlineStr">
        <is>
          <t>Core 2 · Future-ready 2 · Functional 3 · Leadership —</t>
        </is>
      </c>
      <c r="AE32" s="123" t="inlineStr">
        <is>
          <t>Product, Platform &amp; Domain Knowledge · Business Analysis &amp; Requirements Engineering</t>
        </is>
      </c>
      <c r="AF32" s="123" t="inlineStr">
        <is>
          <t>Data Analytics, BI &amp; Visualisation · Strategic Thinking &amp; Business Acumen · Stakeholder &amp; Client Management · AI, GenAI &amp; Prompt Engineering</t>
        </is>
      </c>
      <c r="AG32" s="176" t="inlineStr">
        <is>
          <t>P2</t>
        </is>
      </c>
      <c r="AH32" s="129" t="inlineStr">
        <is>
          <t>3 Apply</t>
        </is>
      </c>
      <c r="AI32" s="177" t="inlineStr">
        <is>
          <t>IRIS Vs Competitor Benchmark — SaaS product ladder: Associate PM</t>
        </is>
      </c>
      <c r="AJ32" s="177" t="inlineStr">
        <is>
          <t>Pragmatic Institute Framework · 37 activities, 7 categories; AIPMM</t>
        </is>
      </c>
      <c r="AK32" s="177" t="inlineStr">
        <is>
          <t>B1 · Specialist</t>
        </is>
      </c>
      <c r="AL32" s="130" t="inlineStr">
        <is>
          <t>Project / programme management · Technical depth &amp; architecture · Strategy &amp; business acumen · Broader exposure &amp; ownership</t>
        </is>
      </c>
      <c r="AM32" s="131" t="inlineStr">
        <is>
          <t>XBRL Training, Training on the effective utilization of AI tools.</t>
        </is>
      </c>
      <c r="AN32" s="131" t="inlineStr">
        <is>
          <t>—</t>
        </is>
      </c>
      <c r="AO32" s="131" t="inlineStr">
        <is>
          <t>—</t>
        </is>
      </c>
      <c r="AP32" s="131" t="inlineStr">
        <is>
          <t>—</t>
        </is>
      </c>
      <c r="AQ32" s="131" t="inlineStr">
        <is>
          <t>—</t>
        </is>
      </c>
      <c r="AR32" s="132" t="inlineStr">
        <is>
          <t>Choose and organise product outcomes. Includes: Discovery, prioritisation, roadmap decisions and product operations. Excludes: Project schedule ownership alone; user research as a standalone discipline.</t>
        </is>
      </c>
      <c r="AS32" s="133" t="inlineStr">
        <is>
          <t>PRO02-2 · Product Operations Analyst</t>
        </is>
      </c>
      <c r="AT32" s="133" t="inlineStr">
        <is>
          <t>Maintain feedback, planning and product decision records.</t>
        </is>
      </c>
      <c r="AU32" s="133" t="inlineStr">
        <is>
          <t>Demonstrate routine delivery plus judgement in bounded exceptions.</t>
        </is>
      </c>
      <c r="AV32" s="133" t="inlineStr">
        <is>
          <t>A repeatable product-decision process with reliable evidence and clear decision ownership</t>
        </is>
      </c>
      <c r="AW32" s="133" t="inlineStr">
        <is>
          <r>
            <rPr>
              <rFont val="Calibri"/>
              <b val="1"/>
              <sz val="10"/>
            </rPr>
            <t>Workiva:</t>
          </r>
          <r>
            <rPr>
              <rFont val="Calibri"/>
              <sz val="10"/>
            </rPr>
            <t xml:space="preserve"> Product Marketing Operations Director · Related work. Gap: Product-marketing operations is adjacent to product operations; role boundaries are proposed</t>
          </r>
        </is>
      </c>
      <c r="AX32" s="134" t="inlineStr">
        <is>
          <t>Framework only · fewer than 3 answered</t>
        </is>
      </c>
      <c r="AY32" s="135" t="inlineStr">
        <is>
          <t>1 holder, 1 answered the survey; sub-family 2 answered</t>
        </is>
      </c>
    </row>
    <row r="33">
      <c r="A33" s="161" t="inlineStr">
        <is>
          <t>Project &amp; Program Management</t>
        </is>
      </c>
    </row>
    <row r="34" ht="106" customHeight="1">
      <c r="A34" s="175" t="inlineStr">
        <is>
          <t>RC-134</t>
        </is>
      </c>
      <c r="B34" s="111" t="inlineStr">
        <is>
          <t>Project &amp; Program Management</t>
        </is>
      </c>
      <c r="C34" s="111" t="inlineStr">
        <is>
          <t>Project &amp; Program Delivery</t>
        </is>
      </c>
      <c r="D34" s="140" t="inlineStr">
        <is>
          <t>B1</t>
        </is>
      </c>
      <c r="E34" s="18" t="inlineStr">
        <is>
          <t>Specialist</t>
        </is>
      </c>
      <c r="F34" s="111" t="inlineStr">
        <is>
          <t>IC</t>
        </is>
      </c>
      <c r="G34" s="111" t="inlineStr">
        <is>
          <t>Associate Project Manager · Associate Project Manager – POD Lead · Project Manager – POD Lead</t>
        </is>
      </c>
      <c r="H34" s="112" t="n">
        <v>4</v>
      </c>
      <c r="I34" s="111" t="inlineStr">
        <is>
          <t>iFile 3 · iDEAL 1</t>
        </is>
      </c>
      <c r="J34" s="163" t="n">
        <v>1</v>
      </c>
      <c r="K34" s="115" t="inlineStr">
        <is>
          <t>Anand Usakoyal</t>
        </is>
      </c>
      <c r="L34" s="115" t="inlineStr">
        <is>
          <t>Technology</t>
        </is>
      </c>
      <c r="M34" s="119" t="inlineStr">
        <is>
          <r>
            <rPr>
              <rFont val="Calibri"/>
              <sz val="10"/>
            </rPr>
            <t xml:space="preserve">Plans and delivers projects/programmes to scope, time and cost; manages CRs, risks and stakeholders. At B1: a domain / module, or a small team.
</t>
          </r>
          <r>
            <rPr>
              <rFont val="Calibri"/>
              <b val="1"/>
              <sz val="10"/>
            </rPr>
            <t>Common themes in role-holders' answers:</t>
          </r>
          <r>
            <rPr>
              <rFont val="Calibri"/>
              <sz val="10"/>
            </rPr>
            <t xml:space="preserve"> business · understood · requirements · project</t>
          </r>
        </is>
      </c>
      <c r="N34" s="165" t="inlineStr">
        <is>
          <r>
            <rPr>
              <rFont val="Calibri"/>
              <sz val="10"/>
            </rPr>
            <t xml:space="preserve">Plans and delivers projects/programmes to scope, time and cost; manages CRs, risks and stakeholders; Domain specialist work; A domain or a small team
</t>
          </r>
          <r>
            <rPr>
              <rFont val="Calibri"/>
              <b val="1"/>
              <sz val="10"/>
            </rPr>
            <t>Common themes in role-holders' answers:</t>
          </r>
          <r>
            <rPr>
              <rFont val="Calibri"/>
              <sz val="10"/>
            </rPr>
            <t xml:space="preserve"> management · timelines · delivery · coordination · gathering · requirement</t>
          </r>
        </is>
      </c>
      <c r="O34" s="165" t="inlineStr">
        <is>
          <r>
            <rPr>
              <rFont val="Calibri"/>
              <sz val="10"/>
            </rPr>
            <t xml:space="preserve">A domain or a small team
</t>
          </r>
          <r>
            <rPr>
              <rFont val="Calibri"/>
              <b val="1"/>
              <sz val="10"/>
            </rPr>
            <t>Common themes in role-holders' answers:</t>
          </r>
          <r>
            <rPr>
              <rFont val="Calibri"/>
              <sz val="10"/>
            </rPr>
            <t xml:space="preserve"> project · time</t>
          </r>
        </is>
      </c>
      <c r="P34" s="165" t="inlineStr">
        <is>
          <r>
            <rPr>
              <rFont val="Calibri"/>
              <sz val="10"/>
            </rPr>
            <t xml:space="preserve">A domain or a small team
</t>
          </r>
          <r>
            <rPr>
              <rFont val="Calibri"/>
              <b val="1"/>
              <sz val="10"/>
            </rPr>
            <t>Common themes in role-holders' answers:</t>
          </r>
          <r>
            <rPr>
              <rFont val="Calibri"/>
              <sz val="10"/>
            </rPr>
            <t xml:space="preserve"> client · timelines</t>
          </r>
        </is>
      </c>
      <c r="Q34" s="165" t="inlineStr">
        <is>
          <r>
            <rPr>
              <rFont val="Calibri"/>
              <sz val="10"/>
            </rPr>
            <t xml:space="preserve">Technical / QC / client calls for the domain
</t>
          </r>
          <r>
            <rPr>
              <rFont val="Calibri"/>
              <b val="1"/>
              <sz val="10"/>
            </rPr>
            <t>Common themes in role-holders' answers:</t>
          </r>
          <r>
            <rPr>
              <rFont val="Calibri"/>
              <sz val="10"/>
            </rPr>
            <t xml:space="preserve"> client · requirement</t>
          </r>
        </is>
      </c>
      <c r="R34" s="165" t="inlineStr">
        <is>
          <r>
            <rPr>
              <rFont val="Calibri"/>
              <b val="1"/>
              <sz val="10"/>
            </rPr>
            <t>Common themes in manager-set KRAs:</t>
          </r>
          <r>
            <rPr>
              <rFont val="Calibri"/>
              <sz val="10"/>
            </rPr>
            <t xml:space="preserve"> projects · support · maintain · pm · reporting · on-time</t>
          </r>
        </is>
      </c>
      <c r="S34" s="165" t="inlineStr">
        <is>
          <t>Project Management · Stakeholder Management</t>
        </is>
      </c>
      <c r="T34" s="165" t="inlineStr">
        <is>
          <t>Excel · Quick Scrum</t>
        </is>
      </c>
      <c r="U34" s="120" t="inlineStr">
        <is>
          <t>A domain / module, or a small team</t>
        </is>
      </c>
      <c r="V34" s="166" t="inlineStr">
        <is>
          <t>Domain specialist work</t>
        </is>
      </c>
      <c r="W34" s="166" t="inlineStr">
        <is>
          <t>Technical / QC / client calls for the domain</t>
        </is>
      </c>
      <c r="X34" s="166" t="inlineStr">
        <is>
          <t>A domain or a small team</t>
        </is>
      </c>
      <c r="Y34" s="166" t="inlineStr">
        <is>
          <r>
            <rPr>
              <rFont val="Calibri"/>
              <b val="1"/>
              <sz val="10"/>
            </rPr>
            <t>IC:</t>
          </r>
          <r>
            <rPr>
              <rFont val="Calibri"/>
              <sz val="10"/>
            </rPr>
            <t xml:space="preserve"> mentors and reviews · People: hands-on team lead of 3–5</t>
          </r>
        </is>
      </c>
      <c r="Z34" s="166" t="inlineStr">
        <is>
          <t>4–7 yrs</t>
        </is>
      </c>
      <c r="AA34" s="166" t="inlineStr">
        <is>
          <t>Graduate + relevant qualification or certification preferred</t>
        </is>
      </c>
      <c r="AB34" s="166" t="inlineStr">
        <is>
          <t>PMP / PRINCE2 / CSM / SAFe</t>
        </is>
      </c>
      <c r="AC34" s="166" t="inlineStr">
        <is>
          <r>
            <rPr>
              <rFont val="Calibri"/>
              <b val="1"/>
              <sz val="10"/>
            </rPr>
            <t>IC:</t>
          </r>
          <r>
            <rPr>
              <rFont val="Calibri"/>
              <sz val="10"/>
            </rPr>
            <t xml:space="preserve"> none · Team Lead: 3–5</t>
          </r>
        </is>
      </c>
      <c r="AD34" s="122" t="inlineStr">
        <is>
          <t>Core 3 · Future-ready 3 · Functional 3 · Leadership 1</t>
        </is>
      </c>
      <c r="AE34" s="123" t="inlineStr">
        <is>
          <t>Project, Program &amp; Agile Management · Stakeholder &amp; Client Management</t>
        </is>
      </c>
      <c r="AF34" s="123" t="inlineStr">
        <is>
          <t>Communication &amp; Presentation · Process Improvement &amp; Quality Mindset · Strategic Thinking &amp; Business Acumen · Product, Platform &amp; Domain Knowledge</t>
        </is>
      </c>
      <c r="AG34" s="176" t="inlineStr">
        <is>
          <t>P3 / M2</t>
        </is>
      </c>
      <c r="AH34" s="129" t="inlineStr">
        <is>
          <t>4 Enable</t>
        </is>
      </c>
      <c r="AI34" s="177" t="inlineStr">
        <is>
          <t>IRIS Vs Competitor Benchmark — PMI pathway + SaaS delivery ladder: Project Manager · PMP</t>
        </is>
      </c>
      <c r="AJ34" s="177" t="inlineStr">
        <is>
          <t>PMI PMBOK and Talent Triangle; CAPM · entry → PMP → PgMP; Scrum / SAFe</t>
        </is>
      </c>
      <c r="AK34" s="177" t="inlineStr">
        <is>
          <t>B2 · Senior Specialist</t>
        </is>
      </c>
      <c r="AL34" s="130" t="inlineStr">
        <is>
          <t>Project / programme management · Certification / formal course · Leadership &amp; people management · Technical depth &amp; architecture · Strategy &amp; business acumen</t>
        </is>
      </c>
      <c r="AM34" s="131" t="inlineStr">
        <is>
          <t>pmp · tools · management estimation · estimation reporting/governance · stakeholder management</t>
        </is>
      </c>
      <c r="AN34" s="131" t="inlineStr">
        <is>
          <t>On-the-job / hands-on · Formal / classroom training · Mentoring / guidance from seniors · Certification</t>
        </is>
      </c>
      <c r="AO34" s="131" t="inlineStr">
        <is>
          <t>dependency</t>
        </is>
      </c>
      <c r="AP34" s="131" t="inlineStr">
        <is>
          <t>No common theme</t>
        </is>
      </c>
      <c r="AQ34" s="131" t="inlineStr">
        <is>
          <t>3 of 4 say the role is changing because of AI / automation</t>
        </is>
      </c>
      <c r="AR34" s="132" t="inlineStr">
        <is>
          <t>Deliver change and govern investment execution. Includes: Project, programme, portfolio and PMO work with distinct mandates. Excludes: Ongoing product strategy; routine service operations.</t>
        </is>
      </c>
      <c r="AS34" s="133" t="inlineStr">
        <is>
          <t>PMO01-3 · Senior Project Manager</t>
        </is>
      </c>
      <c r="AT34" s="133" t="inlineStr">
        <is>
          <t>Own complex dependencies, commercial changes and delivery trade-offs.</t>
        </is>
      </c>
      <c r="AU34" s="133" t="inlineStr">
        <is>
          <t>Evidence of complex work, decisions and outcomes beyond routine delivery.</t>
        </is>
      </c>
      <c r="AV34" s="133" t="inlineStr">
        <is>
          <t>A delivered project with baseline, managed changes, acceptance and benefit review</t>
        </is>
      </c>
      <c r="AW34" s="133" t="inlineStr">
        <is>
          <r>
            <rPr>
              <rFont val="Calibri"/>
              <b val="1"/>
              <sz val="10"/>
            </rPr>
            <t>Workiva:</t>
          </r>
          <r>
            <rPr>
              <rFont val="Calibri"/>
              <sz val="10"/>
            </rPr>
            <t xml:space="preserve"> Lead program manager · Related work. Gap: Programme posting supports complex delivery, not every project or PMO stage</t>
          </r>
        </is>
      </c>
      <c r="AX34" s="178" t="inlineStr">
        <is>
          <t>Framework + role-holders' themes · 3+ answered</t>
        </is>
      </c>
      <c r="AY34" s="135" t="inlineStr">
        <is>
          <t>4 holders, 4 answered the survey; sub-family 14 answered</t>
        </is>
      </c>
    </row>
    <row r="35">
      <c r="A35" s="161" t="inlineStr">
        <is>
          <t>Quality Assurance</t>
        </is>
      </c>
    </row>
    <row r="36" ht="119" customHeight="1">
      <c r="A36" s="175" t="inlineStr">
        <is>
          <t>RC-141</t>
        </is>
      </c>
      <c r="B36" s="111" t="inlineStr">
        <is>
          <t>Quality Assurance</t>
        </is>
      </c>
      <c r="C36" s="111" t="inlineStr">
        <is>
          <t>Functional &amp; Domain Testing</t>
        </is>
      </c>
      <c r="D36" s="116" t="inlineStr">
        <is>
          <t>A3</t>
        </is>
      </c>
      <c r="E36" s="117" t="inlineStr">
        <is>
          <t>Senior Associate</t>
        </is>
      </c>
      <c r="F36" s="111" t="inlineStr">
        <is>
          <t>IC</t>
        </is>
      </c>
      <c r="G36" s="111" t="inlineStr">
        <is>
          <t>Senior QA Engineer · QA Specialist</t>
        </is>
      </c>
      <c r="H36" s="112" t="n">
        <v>20</v>
      </c>
      <c r="I36" s="111" t="inlineStr">
        <is>
          <t>iFile 11 · CARBON 7 · iDEAL 1 · Datatech 1</t>
        </is>
      </c>
      <c r="J36" s="163" t="n">
        <v>1</v>
      </c>
      <c r="K36" s="115" t="inlineStr">
        <is>
          <t>Rohan Kailas Aher</t>
        </is>
      </c>
      <c r="L36" s="115" t="inlineStr">
        <is>
          <t>Quality Assurance</t>
        </is>
      </c>
      <c r="M36" s="119" t="inlineStr">
        <is>
          <r>
            <rPr>
              <rFont val="Calibri"/>
              <sz val="10"/>
            </rPr>
            <t xml:space="preserve">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t>
          </r>
        </is>
      </c>
      <c r="N36" s="165" t="inlineStr">
        <is>
          <r>
            <rPr>
              <rFont val="Calibri"/>
              <sz val="10"/>
            </rPr>
            <t xml:space="preserve">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t>
          </r>
        </is>
      </c>
      <c r="O36"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test · quality · reports · cases · product · bug</t>
          </r>
        </is>
      </c>
      <c r="P36"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quality · am · test · release · missed</t>
          </r>
        </is>
      </c>
      <c r="Q36" s="165" t="inlineStr">
        <is>
          <r>
            <rPr>
              <rFont val="Calibri"/>
              <sz val="10"/>
            </rPr>
            <t xml:space="preserve">Technical / QC / client calls on own work
</t>
          </r>
          <r>
            <rPr>
              <rFont val="Calibri"/>
              <b val="1"/>
              <sz val="10"/>
            </rPr>
            <t>Common themes in role-holders' answers:</t>
          </r>
          <r>
            <rPr>
              <rFont val="Calibri"/>
              <sz val="10"/>
            </rPr>
            <t xml:space="preserve"> testing · prioritize · scenarios · independently · cases · routine</t>
          </r>
        </is>
      </c>
      <c r="R36" s="165" t="inlineStr">
        <is>
          <r>
            <rPr>
              <rFont val="Calibri"/>
              <b val="1"/>
              <sz val="10"/>
            </rPr>
            <t>Common themes in manager-set KRAs:</t>
          </r>
          <r>
            <rPr>
              <rFont val="Calibri"/>
              <sz val="10"/>
            </rPr>
            <t xml:space="preserve"> project · qa · quality · production · knowledge · test</t>
          </r>
        </is>
      </c>
      <c r="S36" s="165" t="inlineStr">
        <is>
          <t>Software testing · regression testing · Test case design · Manual Testing · Execution · Test case execution</t>
        </is>
      </c>
      <c r="T36" s="165" t="inlineStr">
        <is>
          <t>Quickscrum · Mail access · Test management tool · Bug tracking tool · POSTMAN</t>
        </is>
      </c>
      <c r="U36" s="120" t="inlineStr">
        <is>
          <t>Varied work; reviews juniors; go-to for a process</t>
        </is>
      </c>
      <c r="V36" s="166" t="inlineStr">
        <is>
          <t>Varied and non-standard work; handles exceptions</t>
        </is>
      </c>
      <c r="W36" s="166" t="inlineStr">
        <is>
          <t>Technical / QC / client calls on own work</t>
        </is>
      </c>
      <c r="X36" s="166" t="inlineStr">
        <is>
          <t>A module / process, or work with client or regulatory consequences</t>
        </is>
      </c>
      <c r="Y36" s="166" t="inlineStr">
        <is>
          <t>Not scored in Band A</t>
        </is>
      </c>
      <c r="Z36" s="166" t="inlineStr">
        <is>
          <t>2–4 yrs</t>
        </is>
      </c>
      <c r="AA36" s="166" t="inlineStr">
        <is>
          <t>Graduate; relevant certification preferred</t>
        </is>
      </c>
      <c r="AB36" s="166" t="inlineStr">
        <is>
          <t>ISTQB Foundation / Advanced; Internal product certification</t>
        </is>
      </c>
      <c r="AC36" s="166" t="inlineStr">
        <is>
          <t>None · guides 1–3 juniors informally</t>
        </is>
      </c>
      <c r="AD36" s="122" t="inlineStr">
        <is>
          <t>Core 2 · Future-ready 2 · Functional 3 · Leadership —</t>
        </is>
      </c>
      <c r="AE36" s="123" t="inlineStr">
        <is>
          <t>Test Automation &amp; QA Engineering · Product, Platform &amp; Domain Knowledge</t>
        </is>
      </c>
      <c r="AF36" s="123" t="inlineStr">
        <is>
          <t>Database, SQL &amp; Data Engineering · AI, GenAI &amp; Prompt Engineering · Process Improvement &amp; Quality Mindset · Communication &amp; Presentation</t>
        </is>
      </c>
      <c r="AG36" s="176" t="inlineStr">
        <is>
          <t>P2</t>
        </is>
      </c>
      <c r="AH36" s="129" t="inlineStr">
        <is>
          <t>3 Apply</t>
        </is>
      </c>
      <c r="AI36" s="177" t="inlineStr">
        <is>
          <r>
            <rPr>
              <rFont val="Calibri"/>
              <b val="1"/>
              <sz val="10"/>
            </rPr>
            <t>Workiva:</t>
          </r>
          <r>
            <rPr>
              <rFont val="Calibri"/>
              <sz val="10"/>
            </rPr>
            <t xml:space="preserve"> SE · Broadridge India: SE · Nasdaq / AxiomSL: SE · IRIS Vs Market Benchmark — ISTQB certification pathway: Foundation</t>
          </r>
        </is>
      </c>
      <c r="AJ36" s="177" t="inlineStr">
        <is>
          <t>ISTQB Foundation → Advanced → Expert; SFIA testing</t>
        </is>
      </c>
      <c r="AK36" s="177" t="inlineStr">
        <is>
          <t>B1 · Specialist</t>
        </is>
      </c>
      <c r="AL36" s="130" t="inlineStr">
        <is>
          <t>AI / automation · Testing &amp; quality · Broader exposure &amp; ownership · Product &amp; tool knowledge · Data, SQL &amp; analytics</t>
        </is>
      </c>
      <c r="AM36" s="131" t="inlineStr">
        <is>
          <t>automation · training · presentation influence · ownership · stakeholder management</t>
        </is>
      </c>
      <c r="AN36" s="131" t="inlineStr">
        <is>
          <t>Formal / classroom training · On-the-job / hands-on · Mentoring / guidance from seniors · Knowledge transfer · KT · Online courses / self-learning</t>
        </is>
      </c>
      <c r="AO36" s="131" t="inlineStr">
        <is>
          <t>unclear · frequent · requirements · changes · priorities</t>
        </is>
      </c>
      <c r="AP36" s="131" t="inlineStr">
        <is>
          <t>requirement · test · clearer · rework · environments</t>
        </is>
      </c>
      <c r="AQ36" s="131" t="inlineStr">
        <is>
          <t>17 of 19 say the role is changing because of AI / automation</t>
        </is>
      </c>
      <c r="AR36" s="132" t="inlineStr">
        <is>
          <t>Provide systematic product-quality assurance. Includes: Test design, automation, risk-based coverage and quality architecture. Excludes: Data-production checking where the primary output is data.</t>
        </is>
      </c>
      <c r="AS36" s="133" t="inlineStr">
        <is>
          <t>QA01-2 · Test Engineer</t>
        </is>
      </c>
      <c r="AT36" s="133" t="inlineStr">
        <is>
          <t>Design tests from requirements and report reproducible defects.</t>
        </is>
      </c>
      <c r="AU36" s="133" t="inlineStr">
        <is>
          <t>Demonstrate routine delivery plus judgement in bounded exceptions.</t>
        </is>
      </c>
      <c r="AV36" s="133" t="inlineStr">
        <is>
          <t>A risk-based test plan with traceability, reproducible defects and release recommendation</t>
        </is>
      </c>
      <c r="AW36" s="133"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X36" s="178" t="inlineStr">
        <is>
          <t>Framework + role-holders' themes · 3+ answered</t>
        </is>
      </c>
      <c r="AY36" s="135" t="inlineStr">
        <is>
          <t>20 holders, 19 answered the survey; sub-family 26 answered</t>
        </is>
      </c>
    </row>
    <row r="37" ht="106" customHeight="1">
      <c r="A37" s="175" t="inlineStr">
        <is>
          <t>RC-143</t>
        </is>
      </c>
      <c r="B37" s="111" t="inlineStr">
        <is>
          <t>Quality Assurance</t>
        </is>
      </c>
      <c r="C37" s="111" t="inlineStr">
        <is>
          <t>Functional &amp; Domain Testing</t>
        </is>
      </c>
      <c r="D37" s="140" t="inlineStr">
        <is>
          <t>B1</t>
        </is>
      </c>
      <c r="E37" s="18" t="inlineStr">
        <is>
          <t>Team Lead</t>
        </is>
      </c>
      <c r="F37" s="111" t="inlineStr">
        <is>
          <t>Manager</t>
        </is>
      </c>
      <c r="G37" s="111" t="inlineStr">
        <is>
          <t>QA Manager</t>
        </is>
      </c>
      <c r="H37" s="112" t="n">
        <v>1</v>
      </c>
      <c r="I37" s="111" t="inlineStr">
        <is>
          <t>iDEAL 1</t>
        </is>
      </c>
      <c r="J37" s="163" t="n">
        <v>1</v>
      </c>
      <c r="K37" s="115" t="inlineStr">
        <is>
          <t>Reena Gotal</t>
        </is>
      </c>
      <c r="L37" s="115" t="inlineStr">
        <is>
          <t>Quality Assurance</t>
        </is>
      </c>
      <c r="M37" s="119" t="inlineStr">
        <is>
          <r>
            <rPr>
              <rFont val="Calibri"/>
              <sz val="10"/>
            </rPr>
            <t xml:space="preserve">Designs and executes functional, regression and domain/AI-feature test cases; logs defects; supports sign-off. At B1: a domain / module, or a small team.
</t>
          </r>
          <r>
            <rPr>
              <rFont val="Calibri"/>
              <b val="1"/>
              <sz val="10"/>
            </rPr>
            <t>Common themes in sub-family holders, all levels' answers:</t>
          </r>
          <r>
            <rPr>
              <rFont val="Calibri"/>
              <sz val="10"/>
            </rPr>
            <t xml:space="preserve"> software · quality · product · requirements · user · before</t>
          </r>
        </is>
      </c>
      <c r="N37" s="165" t="inlineStr">
        <is>
          <r>
            <rPr>
              <rFont val="Calibri"/>
              <sz val="10"/>
            </rPr>
            <t xml:space="preserve">Designs and executes functional, regression and domain/AI-feature test cases; logs defects; supports sign-off; Domain specialist work; A domain or a small team
</t>
          </r>
          <r>
            <rPr>
              <rFont val="Calibri"/>
              <b val="1"/>
              <sz val="10"/>
            </rPr>
            <t>Common themes in sub-family holders, all levels' answers:</t>
          </r>
          <r>
            <rPr>
              <rFont val="Calibri"/>
              <sz val="10"/>
            </rPr>
            <t xml:space="preserve"> test · defect · reporting · regression · case · execution</t>
          </r>
        </is>
      </c>
      <c r="O37" s="165" t="inlineStr">
        <is>
          <r>
            <rPr>
              <rFont val="Calibri"/>
              <sz val="10"/>
            </rPr>
            <t xml:space="preserve">A domain or a small team
</t>
          </r>
          <r>
            <rPr>
              <rFont val="Calibri"/>
              <b val="1"/>
              <sz val="10"/>
            </rPr>
            <t>Common themes in sub-family holders, all levels' answers:</t>
          </r>
          <r>
            <rPr>
              <rFont val="Calibri"/>
              <sz val="10"/>
            </rPr>
            <t xml:space="preserve"> test · quality · reports · bug · cases · defect</t>
          </r>
        </is>
      </c>
      <c r="P37" s="165" t="inlineStr">
        <is>
          <r>
            <rPr>
              <rFont val="Calibri"/>
              <sz val="10"/>
            </rPr>
            <t xml:space="preserve">A domain or a small team
</t>
          </r>
          <r>
            <rPr>
              <rFont val="Calibri"/>
              <b val="1"/>
              <sz val="10"/>
            </rPr>
            <t>Common themes in sub-family holders, all levels' answers:</t>
          </r>
          <r>
            <rPr>
              <rFont val="Calibri"/>
              <sz val="10"/>
            </rPr>
            <t xml:space="preserve"> quality · test · accountable · am · release · reporting</t>
          </r>
        </is>
      </c>
      <c r="Q37" s="165" t="inlineStr">
        <is>
          <r>
            <rPr>
              <rFont val="Calibri"/>
              <sz val="10"/>
            </rPr>
            <t xml:space="preserve">Technical / QC / client calls for the domain
</t>
          </r>
          <r>
            <rPr>
              <rFont val="Calibri"/>
              <b val="1"/>
              <sz val="10"/>
            </rPr>
            <t>Common themes in sub-family holders, all levels' answers:</t>
          </r>
          <r>
            <rPr>
              <rFont val="Calibri"/>
              <sz val="10"/>
            </rPr>
            <t xml:space="preserve"> test · prioritize · independently · scenarios · identify · issues</t>
          </r>
        </is>
      </c>
      <c r="R37" s="165" t="inlineStr">
        <is>
          <t>—</t>
        </is>
      </c>
      <c r="S37" s="165" t="inlineStr">
        <is>
          <t>Software testing · Test case design · regression testing · Functional testing · Manual Testing · Test Case execution · Analytical thinking · Attention to detail</t>
        </is>
      </c>
      <c r="T37" s="165" t="inlineStr">
        <is>
          <t>Quickscrum · Postman · Bug tracking tool · Mail access · Visual Studio · Notepad plus plus · Test management tool · Jira</t>
        </is>
      </c>
      <c r="U37" s="120" t="inlineStr">
        <is>
          <t>A domain / module, or a small team</t>
        </is>
      </c>
      <c r="V37" s="166" t="inlineStr">
        <is>
          <t>Domain specialist work</t>
        </is>
      </c>
      <c r="W37" s="166" t="inlineStr">
        <is>
          <t>Technical / QC / client calls for the domain</t>
        </is>
      </c>
      <c r="X37" s="166" t="inlineStr">
        <is>
          <t>A domain or a small team</t>
        </is>
      </c>
      <c r="Y37" s="166" t="inlineStr">
        <is>
          <r>
            <rPr>
              <rFont val="Calibri"/>
              <b val="1"/>
              <sz val="10"/>
            </rPr>
            <t>IC:</t>
          </r>
          <r>
            <rPr>
              <rFont val="Calibri"/>
              <sz val="10"/>
            </rPr>
            <t xml:space="preserve"> mentors and reviews · People: hands-on team lead of 3–5</t>
          </r>
        </is>
      </c>
      <c r="Z37" s="166" t="inlineStr">
        <is>
          <t>4–7 yrs</t>
        </is>
      </c>
      <c r="AA37" s="166" t="inlineStr">
        <is>
          <t>Graduate + relevant qualification or certification preferred</t>
        </is>
      </c>
      <c r="AB37" s="166" t="inlineStr">
        <is>
          <t>ISTQB Foundation / Advanced; Internal product certification</t>
        </is>
      </c>
      <c r="AC37" s="166" t="inlineStr">
        <is>
          <r>
            <rPr>
              <rFont val="Calibri"/>
              <b val="1"/>
              <sz val="10"/>
            </rPr>
            <t>IC:</t>
          </r>
          <r>
            <rPr>
              <rFont val="Calibri"/>
              <sz val="10"/>
            </rPr>
            <t xml:space="preserve"> none · Team Lead: 3–5</t>
          </r>
        </is>
      </c>
      <c r="AD37" s="122" t="inlineStr">
        <is>
          <t>Core 3 · Future-ready 3 · Functional 3 · Leadership 2</t>
        </is>
      </c>
      <c r="AE37" s="123" t="inlineStr">
        <is>
          <t>Test Automation &amp; QA Engineering · Product, Platform &amp; Domain Knowledge</t>
        </is>
      </c>
      <c r="AF37" s="123" t="inlineStr">
        <is>
          <t>Database, SQL &amp; Data Engineering · AI, GenAI &amp; Prompt Engineering · Process Improvement &amp; Quality Mindset · Communication &amp; Presentation</t>
        </is>
      </c>
      <c r="AG37" s="176" t="inlineStr">
        <is>
          <t>P3 / M2</t>
        </is>
      </c>
      <c r="AH37" s="129" t="inlineStr">
        <is>
          <t>4 Enable</t>
        </is>
      </c>
      <c r="AI37" s="177" t="inlineStr">
        <is>
          <r>
            <rPr>
              <rFont val="Calibri"/>
              <b val="1"/>
              <sz val="10"/>
            </rPr>
            <t>Workiva:</t>
          </r>
          <r>
            <rPr>
              <rFont val="Calibri"/>
              <sz val="10"/>
            </rPr>
            <t xml:space="preserve"> SE / Senior SE · Broadridge India: Senior SE · Nasdaq / AxiomSL: Senior SE · IRIS Vs Market Benchmark — ISTQB certification pathway: Advanced · Test Analyst</t>
          </r>
        </is>
      </c>
      <c r="AJ37" s="177" t="inlineStr">
        <is>
          <t>ISTQB Foundation → Advanced → Expert; SFIA testing</t>
        </is>
      </c>
      <c r="AK37" s="177" t="inlineStr">
        <is>
          <t>B2 · Senior Specialist</t>
        </is>
      </c>
      <c r="AL37" s="130" t="inlineStr">
        <is>
          <t>Client, sales &amp; stakeholders · Communication &amp; presentation · Broader exposure &amp; ownership</t>
        </is>
      </c>
      <c r="AM37" s="131" t="inlineStr">
        <is>
          <t>Training on the effective utilization of AI tools.</t>
        </is>
      </c>
      <c r="AN37" s="131" t="inlineStr">
        <is>
          <t>Formal / classroom training · Mentoring / guidance from seniors · On-the-job / hands-on · Knowledge transfer · KT · Online courses / self-learning · Certification</t>
        </is>
      </c>
      <c r="AO37" s="131" t="inlineStr">
        <is>
          <t>unclear · requirements · frequent · priorities · changing</t>
        </is>
      </c>
      <c r="AP37" s="131" t="inlineStr">
        <is>
          <t>requirement · test · clearer · qa · documentation</t>
        </is>
      </c>
      <c r="AQ37" s="131" t="inlineStr">
        <is>
          <t>23 of 26 say the role is changing because of AI / automation</t>
        </is>
      </c>
      <c r="AR37" s="132" t="inlineStr">
        <is>
          <t>Provide systematic product-quality assurance. Includes: Test design, automation, risk-based coverage and quality architecture. Excludes: Data-production checking where the primary output is data.</t>
        </is>
      </c>
      <c r="AS37" s="133" t="inlineStr">
        <is>
          <t>LD06-1 · Quality Engineering Manager</t>
        </is>
      </c>
      <c r="AT37" s="133" t="inlineStr">
        <is>
          <t>Own staffing decisions, performance support, service quality and delegated team resources</t>
        </is>
      </c>
      <c r="AU37" s="133" t="inlineStr">
        <is>
          <t>Do not manufacture three reporting layers. Choose roles the organisation needs. A specialist may remain on an equally valued expert path.</t>
        </is>
      </c>
      <c r="AV37" s="133" t="inlineStr">
        <is>
          <t>—</t>
        </is>
      </c>
      <c r="AW37" s="133" t="inlineStr">
        <is>
          <t>—</t>
        </is>
      </c>
      <c r="AX37" s="179" t="inlineStr">
        <is>
          <t>Framework + sub-family themes · 3+ answered</t>
        </is>
      </c>
      <c r="AY37" s="135" t="inlineStr">
        <is>
          <t>1 holder, 1 answered the survey; sub-family 26 answered</t>
        </is>
      </c>
    </row>
    <row r="38" ht="106" customHeight="1">
      <c r="A38" s="175" t="inlineStr">
        <is>
          <t>RC-146</t>
        </is>
      </c>
      <c r="B38" s="111" t="inlineStr">
        <is>
          <t>Quality Assurance</t>
        </is>
      </c>
      <c r="C38" s="111" t="inlineStr">
        <is>
          <t>Test Automation</t>
        </is>
      </c>
      <c r="D38" s="116" t="inlineStr">
        <is>
          <t>A3</t>
        </is>
      </c>
      <c r="E38" s="117" t="inlineStr">
        <is>
          <t>Senior Associate</t>
        </is>
      </c>
      <c r="F38" s="111" t="inlineStr">
        <is>
          <t>IC</t>
        </is>
      </c>
      <c r="G38" s="111" t="inlineStr">
        <is>
          <t>Senior QA Automation Engineer</t>
        </is>
      </c>
      <c r="H38" s="112" t="n">
        <v>6</v>
      </c>
      <c r="I38" s="111" t="inlineStr">
        <is>
          <t>iDEAL 3 · CARBON 1 · iFile 1 · Datatech 1</t>
        </is>
      </c>
      <c r="J38" s="163" t="n">
        <v>3</v>
      </c>
      <c r="K38" s="115" t="inlineStr">
        <is>
          <t>Atharv Ravindra Bokade, Shubham Kamble, Tulasiram Chand</t>
        </is>
      </c>
      <c r="L38" s="115" t="inlineStr">
        <is>
          <t>Quality Assurance</t>
        </is>
      </c>
      <c r="M38" s="119" t="inlineStr">
        <is>
          <r>
            <rPr>
              <rFont val="Calibri"/>
              <sz val="10"/>
            </rPr>
            <t xml:space="preserve">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t>
          </r>
        </is>
      </c>
      <c r="N38" s="165" t="inlineStr">
        <is>
          <r>
            <rPr>
              <rFont val="Calibri"/>
              <sz val="10"/>
            </rPr>
            <t xml:space="preserve">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t>
          </r>
        </is>
      </c>
      <c r="O38"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reports · software · scripts · quality · test</t>
          </r>
        </is>
      </c>
      <c r="P38" s="165" t="inlineStr">
        <is>
          <r>
            <rPr>
              <rFont val="Calibri"/>
              <sz val="10"/>
            </rPr>
            <t xml:space="preserve">A module / process, or work with client or regulatory consequences
</t>
          </r>
          <r>
            <rPr>
              <rFont val="Calibri"/>
              <b val="1"/>
              <sz val="10"/>
            </rPr>
            <t>Common themes in role-holders' answers:</t>
          </r>
          <r>
            <rPr>
              <rFont val="Calibri"/>
              <sz val="10"/>
            </rPr>
            <t xml:space="preserve"> test · automation · quality · accountable · defect · identification</t>
          </r>
        </is>
      </c>
      <c r="Q38" s="165" t="inlineStr">
        <is>
          <r>
            <rPr>
              <rFont val="Calibri"/>
              <sz val="10"/>
            </rPr>
            <t xml:space="preserve">Technical / QC / client calls on own work
</t>
          </r>
          <r>
            <rPr>
              <rFont val="Calibri"/>
              <b val="1"/>
              <sz val="10"/>
            </rPr>
            <t>Common themes in role-holders' answers:</t>
          </r>
          <r>
            <rPr>
              <rFont val="Calibri"/>
              <sz val="10"/>
            </rPr>
            <t xml:space="preserve"> testing</t>
          </r>
        </is>
      </c>
      <c r="R38" s="165" t="inlineStr">
        <is>
          <r>
            <rPr>
              <rFont val="Calibri"/>
              <b val="1"/>
              <sz val="10"/>
            </rPr>
            <t>Common themes in manager-set KRAs:</t>
          </r>
          <r>
            <rPr>
              <rFont val="Calibri"/>
              <sz val="10"/>
            </rPr>
            <t xml:space="preserve"> test coverage · business · automation · knowledge · activities · comprehensive</t>
          </r>
        </is>
      </c>
      <c r="S38" s="165" t="inlineStr">
        <is>
          <t>Software Testing · Manual testing · Playwright</t>
        </is>
      </c>
      <c r="T38" s="165" t="inlineStr">
        <is>
          <t>Postman</t>
        </is>
      </c>
      <c r="U38" s="120" t="inlineStr">
        <is>
          <t>Varied work; reviews juniors; go-to for a process</t>
        </is>
      </c>
      <c r="V38" s="166" t="inlineStr">
        <is>
          <t>Varied and non-standard work; handles exceptions</t>
        </is>
      </c>
      <c r="W38" s="166" t="inlineStr">
        <is>
          <t>Technical / QC / client calls on own work</t>
        </is>
      </c>
      <c r="X38" s="166" t="inlineStr">
        <is>
          <t>A module / process, or work with client or regulatory consequences</t>
        </is>
      </c>
      <c r="Y38" s="166" t="inlineStr">
        <is>
          <t>Not scored in Band A</t>
        </is>
      </c>
      <c r="Z38" s="166" t="inlineStr">
        <is>
          <t>2–4 yrs</t>
        </is>
      </c>
      <c r="AA38" s="166" t="inlineStr">
        <is>
          <t>Graduate; relevant certification preferred</t>
        </is>
      </c>
      <c r="AB38" s="166" t="inlineStr">
        <is>
          <t>ISTQB Foundation / Advanced; Internal product certification</t>
        </is>
      </c>
      <c r="AC38" s="166" t="inlineStr">
        <is>
          <t>None · guides 1–3 juniors informally</t>
        </is>
      </c>
      <c r="AD38" s="122" t="inlineStr">
        <is>
          <t>Core 2 · Future-ready 2 · Functional 3 · Leadership —</t>
        </is>
      </c>
      <c r="AE38" s="123" t="inlineStr">
        <is>
          <t>Test Automation &amp; QA Engineering · Product, Platform &amp; Domain Knowledge</t>
        </is>
      </c>
      <c r="AF38" s="123" t="inlineStr">
        <is>
          <t>Database, SQL &amp; Data Engineering · AI, GenAI &amp; Prompt Engineering · Process Improvement &amp; Quality Mindset · Communication &amp; Presentation</t>
        </is>
      </c>
      <c r="AG38" s="176" t="inlineStr">
        <is>
          <t>P2</t>
        </is>
      </c>
      <c r="AH38" s="129" t="inlineStr">
        <is>
          <t>3 Apply</t>
        </is>
      </c>
      <c r="AI38" s="177" t="inlineStr">
        <is>
          <r>
            <rPr>
              <rFont val="Calibri"/>
              <b val="1"/>
              <sz val="10"/>
            </rPr>
            <t>Workiva:</t>
          </r>
          <r>
            <rPr>
              <rFont val="Calibri"/>
              <sz val="10"/>
            </rPr>
            <t xml:space="preserve"> SE · Broadridge India: SE · Nasdaq / AxiomSL: SE · IRIS Vs Market Benchmark — ISTQB certification pathway: Foundation</t>
          </r>
        </is>
      </c>
      <c r="AJ38" s="177" t="inlineStr">
        <is>
          <t>ISTQB Foundation → Advanced → Expert; SFIA testing</t>
        </is>
      </c>
      <c r="AK38" s="177" t="inlineStr">
        <is>
          <t>B1 · Specialist</t>
        </is>
      </c>
      <c r="AL38" s="130" t="inlineStr">
        <is>
          <t>AI / automation · Testing &amp; quality · Broader exposure &amp; ownership · Leadership &amp; people management · Project / programme management</t>
        </is>
      </c>
      <c r="AM38" s="131" t="inlineStr">
        <is>
          <t>training effective · utilization · training training · ai tools · xbrl training</t>
        </is>
      </c>
      <c r="AN38" s="131" t="inlineStr">
        <is>
          <t>Mentoring / guidance from seniors · On-the-job / hands-on · Formal / classroom training · Online courses / self-learning</t>
        </is>
      </c>
      <c r="AO38" s="131" t="inlineStr">
        <is>
          <t>requirements · unclear · test · multiple · unstable</t>
        </is>
      </c>
      <c r="AP38" s="131" t="inlineStr">
        <is>
          <t>time · automation · improve · test · environments</t>
        </is>
      </c>
      <c r="AQ38" s="131" t="inlineStr">
        <is>
          <t>5 of 6 say the role is changing because of AI / automation</t>
        </is>
      </c>
      <c r="AR38" s="132" t="inlineStr">
        <is>
          <t>Provide systematic product-quality assurance. Includes: Test design, automation, risk-based coverage and quality architecture. Excludes: Data-production checking where the primary output is data.</t>
        </is>
      </c>
      <c r="AS38" s="133" t="inlineStr">
        <is>
          <t>QA02-2 · Test Automation Engineer / SDET</t>
        </is>
      </c>
      <c r="AT38" s="133" t="inlineStr">
        <is>
          <t>Build reliable automated tests with useful failure signals.</t>
        </is>
      </c>
      <c r="AU38" s="133" t="inlineStr">
        <is>
          <t>Demonstrate routine delivery plus judgement in bounded exceptions.</t>
        </is>
      </c>
      <c r="AV38" s="133" t="inlineStr">
        <is>
          <t>A maintained automation suite with reliable signals and reduced regression effort</t>
        </is>
      </c>
      <c r="AW38" s="133"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X38" s="178" t="inlineStr">
        <is>
          <t>Framework + role-holders' themes · 3+ answered</t>
        </is>
      </c>
      <c r="AY38" s="135" t="inlineStr">
        <is>
          <t>6 holders, 6 answered the survey; sub-family 8 answered</t>
        </is>
      </c>
    </row>
    <row r="39">
      <c r="A39" s="161" t="inlineStr">
        <is>
          <t>Sales &amp; Business Development</t>
        </is>
      </c>
    </row>
    <row r="40" ht="210" customHeight="1">
      <c r="A40" s="175" t="inlineStr">
        <is>
          <t>RC-151</t>
        </is>
      </c>
      <c r="B40" s="111" t="inlineStr">
        <is>
          <t>Sales &amp; Business Development</t>
        </is>
      </c>
      <c r="C40" s="111" t="inlineStr">
        <is>
          <t>Enterprise Sales &amp; Account Management</t>
        </is>
      </c>
      <c r="D40" s="140" t="inlineStr">
        <is>
          <t>B1</t>
        </is>
      </c>
      <c r="E40" s="18" t="inlineStr">
        <is>
          <t>Specialist</t>
        </is>
      </c>
      <c r="F40" s="111" t="inlineStr">
        <is>
          <t>IC</t>
        </is>
      </c>
      <c r="G40" s="111" t="inlineStr">
        <is>
          <t>Account Executive – POD Lead · Account Executive</t>
        </is>
      </c>
      <c r="H40" s="112" t="n">
        <v>2</v>
      </c>
      <c r="I40" s="111" t="inlineStr">
        <is>
          <t>iFile 1 · iDEAL 1</t>
        </is>
      </c>
      <c r="J40" s="163" t="n">
        <v>1</v>
      </c>
      <c r="K40" s="115" t="inlineStr">
        <is>
          <t>Deepali Barai</t>
        </is>
      </c>
      <c r="L40" s="115" t="inlineStr">
        <is>
          <t>Sales</t>
        </is>
      </c>
      <c r="M40" s="119" t="inlineStr">
        <is>
          <r>
            <rPr>
              <rFont val="Calibri"/>
              <sz val="10"/>
            </rPr>
            <t xml:space="preserve">Runs discovery, demos, proposals and negotiations; closes and grows accounts. At B1: a domain / module, or a small team.
</t>
          </r>
          <r>
            <rPr>
              <rFont val="Calibri"/>
              <b val="1"/>
              <sz val="10"/>
            </rPr>
            <t>Common themes in sub-family holders, all levels' answers:</t>
          </r>
          <r>
            <rPr>
              <rFont val="Calibri"/>
              <sz val="10"/>
            </rPr>
            <t xml:space="preserve"> sales · company · revenue</t>
          </r>
        </is>
      </c>
      <c r="N40" s="165" t="inlineStr">
        <is>
          <r>
            <rPr>
              <rFont val="Calibri"/>
              <sz val="10"/>
            </rPr>
            <t xml:space="preserve">Runs discovery, demos, proposals and negotiations; closes and grows accounts; Domain specialist work; A domain or a small team
</t>
          </r>
          <r>
            <rPr>
              <rFont val="Calibri"/>
              <b val="1"/>
              <sz val="10"/>
            </rPr>
            <t>Common themes in sub-family holders, all levels' answers:</t>
          </r>
          <r>
            <rPr>
              <rFont val="Calibri"/>
              <sz val="10"/>
            </rPr>
            <t xml:space="preserve"> ups · follow</t>
          </r>
        </is>
      </c>
      <c r="O40" s="165" t="inlineStr">
        <is>
          <r>
            <rPr>
              <rFont val="Calibri"/>
              <sz val="10"/>
            </rPr>
            <t xml:space="preserve">A domain or a small team
</t>
          </r>
          <r>
            <rPr>
              <rFont val="Calibri"/>
              <b val="1"/>
              <sz val="10"/>
            </rPr>
            <t>Common themes in sub-family holders, all levels' answers:</t>
          </r>
          <r>
            <rPr>
              <rFont val="Calibri"/>
              <sz val="10"/>
            </rPr>
            <t xml:space="preserve"> client</t>
          </r>
        </is>
      </c>
      <c r="P40" s="165" t="inlineStr">
        <is>
          <r>
            <rPr>
              <rFont val="Calibri"/>
              <sz val="10"/>
            </rPr>
            <t xml:space="preserve">A domain or a small team
</t>
          </r>
          <r>
            <rPr>
              <rFont val="Calibri"/>
              <b val="1"/>
              <sz val="10"/>
            </rPr>
            <t>Common themes in sub-family holders, all levels' answers:</t>
          </r>
          <r>
            <rPr>
              <rFont val="Calibri"/>
              <sz val="10"/>
            </rPr>
            <t xml:space="preserve"> revenue · client · target</t>
          </r>
        </is>
      </c>
      <c r="Q40" s="165" t="inlineStr">
        <is>
          <r>
            <rPr>
              <rFont val="Calibri"/>
              <sz val="10"/>
            </rPr>
            <t xml:space="preserve">Technical / QC / client calls for the domain
</t>
          </r>
          <r>
            <rPr>
              <rFont val="Calibri"/>
              <b val="1"/>
              <sz val="10"/>
            </rPr>
            <t>Common themes in sub-family holders, all levels' answers:</t>
          </r>
          <r>
            <rPr>
              <rFont val="Calibri"/>
              <sz val="10"/>
            </rPr>
            <t xml:space="preserve"> meeting</t>
          </r>
        </is>
      </c>
      <c r="R40" s="165" t="inlineStr">
        <is>
          <t>—</t>
        </is>
      </c>
      <c r="S40" s="165" t="inlineStr">
        <is>
          <t>Sales</t>
        </is>
      </c>
      <c r="T40" s="165" t="inlineStr">
        <is>
          <t>Excel</t>
        </is>
      </c>
      <c r="U40" s="120" t="inlineStr">
        <is>
          <t>A domain / module, or a small team</t>
        </is>
      </c>
      <c r="V40" s="166" t="inlineStr">
        <is>
          <t>Domain specialist work</t>
        </is>
      </c>
      <c r="W40" s="166" t="inlineStr">
        <is>
          <t>Technical / QC / client calls for the domain</t>
        </is>
      </c>
      <c r="X40" s="166" t="inlineStr">
        <is>
          <t>A domain or a small team</t>
        </is>
      </c>
      <c r="Y40" s="166" t="inlineStr">
        <is>
          <r>
            <rPr>
              <rFont val="Calibri"/>
              <b val="1"/>
              <sz val="10"/>
            </rPr>
            <t>IC:</t>
          </r>
          <r>
            <rPr>
              <rFont val="Calibri"/>
              <sz val="10"/>
            </rPr>
            <t xml:space="preserve"> mentors and reviews · People: hands-on team lead of 3–5</t>
          </r>
        </is>
      </c>
      <c r="Z40" s="166" t="inlineStr">
        <is>
          <t>4–7 yrs</t>
        </is>
      </c>
      <c r="AA40" s="166" t="inlineStr">
        <is>
          <t>Graduate + relevant qualification or certification preferred</t>
        </is>
      </c>
      <c r="AB40" s="166" t="inlineStr">
        <is>
          <t>Google / HubSpot certifications</t>
        </is>
      </c>
      <c r="AC40" s="166" t="inlineStr">
        <is>
          <r>
            <rPr>
              <rFont val="Calibri"/>
              <b val="1"/>
              <sz val="10"/>
            </rPr>
            <t>IC:</t>
          </r>
          <r>
            <rPr>
              <rFont val="Calibri"/>
              <sz val="10"/>
            </rPr>
            <t xml:space="preserve"> none · Team Lead: 3–5</t>
          </r>
        </is>
      </c>
      <c r="AD40" s="122" t="inlineStr">
        <is>
          <t>Core 3 · Future-ready 3 · Functional 3 · Leadership 1</t>
        </is>
      </c>
      <c r="AE40" s="123" t="inlineStr">
        <is>
          <t>Sales, Negotiation &amp; Account Growth · Marketing Tech &amp; Digital Marketing</t>
        </is>
      </c>
      <c r="AF40" s="123" t="inlineStr">
        <is>
          <t>Stakeholder &amp; Client Management · Communication &amp; Presentation · Product, Platform &amp; Domain Knowledge · Strategic Thinking &amp; Business Acumen</t>
        </is>
      </c>
      <c r="AG40" s="176" t="inlineStr">
        <is>
          <t>P3 / M2</t>
        </is>
      </c>
      <c r="AH40" s="129" t="inlineStr">
        <is>
          <t>4 Enable</t>
        </is>
      </c>
      <c r="AI40" s="177" t="inlineStr">
        <is>
          <t>IRIS Vs Competitor Benchmark — SaaS sales ladder — IC: Account Executive · SMB · IRIS Vs Competitor Benchmark — SaaS sales ladder — management: SDR Team Lead</t>
        </is>
      </c>
      <c r="AJ40" s="177" t="inlineStr">
        <is>
          <t>SaaS sales ladder · SDR → AE → Enterprise AE → VP / CRO; MEDDICC-style qualification</t>
        </is>
      </c>
      <c r="AK40" s="177" t="inlineStr">
        <is>
          <t>B2 · Senior Specialist</t>
        </is>
      </c>
      <c r="AL40" s="130" t="inlineStr">
        <is>
          <t>Client, sales &amp; stakeholders · Strategy &amp; business acumen · Broader exposure &amp; ownership</t>
        </is>
      </c>
      <c r="AM40" s="131" t="inlineStr">
        <is>
          <t>1. Advanced Sales Negotiation &amp; Enterprise Deal Structuring — closing complex multi-stakeholder deals for IRIS INSTANT and CARBON 2. Regulatory &amp; Domain Knowledge: XBRL, DM ESG/Sustainability Reporting · TCFD, GRI, ISSB relevant to SA &amp; Nigeria markets 3. CRM Mastery &amp; Pipeline Management — forecasting discipline, deal hygiene and data-driven selling 4. People Management &amp; Coaching Skills — structured 1:1s, …</t>
        </is>
      </c>
      <c r="AN40" s="131" t="inlineStr">
        <is>
          <t>Mentoring / guidance from seniors · Formal / classroom training</t>
        </is>
      </c>
      <c r="AO40" s="131" t="inlineStr">
        <is>
          <t>No common theme</t>
        </is>
      </c>
      <c r="AP40" s="131" t="inlineStr">
        <is>
          <t>No common theme</t>
        </is>
      </c>
      <c r="AQ40" s="131" t="inlineStr">
        <is>
          <t>2 of 3 say the role is changing because of AI / automation</t>
        </is>
      </c>
      <c r="AR40" s="132" t="inlineStr">
        <is>
          <t>Create and convert commercial opportunities. Includes: Prospecting, account sales, alliances, presales and sales operations. Excludes: Customer adoption unless sales accountability is primary.</t>
        </is>
      </c>
      <c r="AS40" s="133" t="inlineStr">
        <is>
          <t>SAL02-3 · Senior Account Executive</t>
        </is>
      </c>
      <c r="AT40" s="133" t="inlineStr">
        <is>
          <t>Own complex multi-stakeholder deals and commercial trade-offs.</t>
        </is>
      </c>
      <c r="AU40" s="133" t="inlineStr">
        <is>
          <t>Evidence of complex work, decisions and outcomes beyond routine delivery.</t>
        </is>
      </c>
      <c r="AV40" s="133" t="inlineStr">
        <is>
          <t>An account strategy with verified buyer needs, commercial terms and forecast rationale</t>
        </is>
      </c>
      <c r="AW40" s="133" t="inlineStr">
        <is>
          <r>
            <rPr>
              <rFont val="Calibri"/>
              <b val="1"/>
              <sz val="10"/>
            </rPr>
            <t>Workiva:</t>
          </r>
          <r>
            <rPr>
              <rFont val="Calibri"/>
              <sz val="10"/>
            </rPr>
            <t xml:space="preserve"> Account Executive, SLED
</t>
          </r>
          <r>
            <rPr>
              <rFont val="Calibri"/>
              <b val="1"/>
              <sz val="10"/>
            </rPr>
            <t>Workiva:</t>
          </r>
          <r>
            <rPr>
              <rFont val="Calibri"/>
              <sz val="10"/>
            </rPr>
            <t xml:space="preserve"> Senior Account Executive, SLED · Two selected titles. Gap: AE and Senior AE duties overlap; do not infer a precise grade differential</t>
          </r>
        </is>
      </c>
      <c r="AX40" s="179" t="inlineStr">
        <is>
          <t>Framework + sub-family themes · 3+ answered</t>
        </is>
      </c>
      <c r="AY40" s="135" t="inlineStr">
        <is>
          <t>2 holders, 2 answered the survey; sub-family 4 answered</t>
        </is>
      </c>
    </row>
    <row r="41" ht="93" customHeight="1">
      <c r="A41" s="175" t="inlineStr">
        <is>
          <t>RC-152</t>
        </is>
      </c>
      <c r="B41" s="111" t="inlineStr">
        <is>
          <t>Sales &amp; Business Development</t>
        </is>
      </c>
      <c r="C41" s="111" t="inlineStr">
        <is>
          <t>Enterprise Sales &amp; Account Management</t>
        </is>
      </c>
      <c r="D41" s="140" t="inlineStr">
        <is>
          <t>B2</t>
        </is>
      </c>
      <c r="E41" s="18" t="inlineStr">
        <is>
          <t>Senior Specialist</t>
        </is>
      </c>
      <c r="F41" s="111" t="inlineStr">
        <is>
          <t>IC</t>
        </is>
      </c>
      <c r="G41" s="111" t="inlineStr">
        <is>
          <t>Senior Account Executive</t>
        </is>
      </c>
      <c r="H41" s="112" t="n">
        <v>1</v>
      </c>
      <c r="I41" s="111" t="inlineStr">
        <is>
          <t>iDEAL 1</t>
        </is>
      </c>
      <c r="J41" s="163" t="n">
        <v>1</v>
      </c>
      <c r="K41" s="115" t="inlineStr">
        <is>
          <t>Rohit Patil</t>
        </is>
      </c>
      <c r="L41" s="115" t="inlineStr">
        <is>
          <t>Sales</t>
        </is>
      </c>
      <c r="M41" s="119" t="inlineStr">
        <is>
          <r>
            <rPr>
              <rFont val="Calibri"/>
              <sz val="10"/>
            </rPr>
            <t xml:space="preserve">Runs discovery, demos, proposals and negotiations; closes and grows accounts. At B2: deep domain expertise, or one team.
</t>
          </r>
          <r>
            <rPr>
              <rFont val="Calibri"/>
              <b val="1"/>
              <sz val="10"/>
            </rPr>
            <t>Common themes in sub-family holders, all levels' answers:</t>
          </r>
          <r>
            <rPr>
              <rFont val="Calibri"/>
              <sz val="10"/>
            </rPr>
            <t xml:space="preserve"> sales · company · revenue</t>
          </r>
        </is>
      </c>
      <c r="N41" s="165" t="inlineStr">
        <is>
          <r>
            <rPr>
              <rFont val="Calibri"/>
              <sz val="10"/>
            </rPr>
            <t xml:space="preserve">Runs discovery, demos, proposals and negotiations; closes and grows accounts; Hardest problems in the domain; One team or a client portfolio
</t>
          </r>
          <r>
            <rPr>
              <rFont val="Calibri"/>
              <b val="1"/>
              <sz val="10"/>
            </rPr>
            <t>Common themes in sub-family holders, all levels' answers:</t>
          </r>
          <r>
            <rPr>
              <rFont val="Calibri"/>
              <sz val="10"/>
            </rPr>
            <t xml:space="preserve"> ups · follow</t>
          </r>
        </is>
      </c>
      <c r="O41" s="165" t="inlineStr">
        <is>
          <r>
            <rPr>
              <rFont val="Calibri"/>
              <sz val="10"/>
            </rPr>
            <t xml:space="preserve">One team or a client portfolio
</t>
          </r>
          <r>
            <rPr>
              <rFont val="Calibri"/>
              <b val="1"/>
              <sz val="10"/>
            </rPr>
            <t>Common themes in sub-family holders, all levels' answers:</t>
          </r>
          <r>
            <rPr>
              <rFont val="Calibri"/>
              <sz val="10"/>
            </rPr>
            <t xml:space="preserve"> client</t>
          </r>
        </is>
      </c>
      <c r="P41" s="165" t="inlineStr">
        <is>
          <r>
            <rPr>
              <rFont val="Calibri"/>
              <sz val="10"/>
            </rPr>
            <t xml:space="preserve">One team or a client portfolio
</t>
          </r>
          <r>
            <rPr>
              <rFont val="Calibri"/>
              <b val="1"/>
              <sz val="10"/>
            </rPr>
            <t>Common themes in sub-family holders, all levels' answers:</t>
          </r>
          <r>
            <rPr>
              <rFont val="Calibri"/>
              <sz val="10"/>
            </rPr>
            <t xml:space="preserve"> revenue · client · target</t>
          </r>
        </is>
      </c>
      <c r="Q41" s="165" t="inlineStr">
        <is>
          <r>
            <rPr>
              <rFont val="Calibri"/>
              <sz val="10"/>
            </rPr>
            <t xml:space="preserve">Allocates people and sets team priorities
</t>
          </r>
          <r>
            <rPr>
              <rFont val="Calibri"/>
              <b val="1"/>
              <sz val="10"/>
            </rPr>
            <t>Common themes in sub-family holders, all levels' answers:</t>
          </r>
          <r>
            <rPr>
              <rFont val="Calibri"/>
              <sz val="10"/>
            </rPr>
            <t xml:space="preserve"> meeting</t>
          </r>
        </is>
      </c>
      <c r="R41" s="165" t="inlineStr">
        <is>
          <t>—</t>
        </is>
      </c>
      <c r="S41" s="165" t="inlineStr">
        <is>
          <t>Sales</t>
        </is>
      </c>
      <c r="T41" s="165" t="inlineStr">
        <is>
          <t>Excel</t>
        </is>
      </c>
      <c r="U41" s="120" t="inlineStr">
        <is>
          <t>Deep domain expertise, or one team</t>
        </is>
      </c>
      <c r="V41" s="166" t="inlineStr">
        <is>
          <t>Hardest problems in the domain</t>
        </is>
      </c>
      <c r="W41" s="166" t="inlineStr">
        <is>
          <t>Allocates people and sets team priorities</t>
        </is>
      </c>
      <c r="X41" s="166" t="inlineStr">
        <is>
          <t>One team or a client portfolio</t>
        </is>
      </c>
      <c r="Y41" s="166" t="inlineStr">
        <is>
          <r>
            <rPr>
              <rFont val="Calibri"/>
              <b val="1"/>
              <sz val="10"/>
            </rPr>
            <t>IC:</t>
          </r>
          <r>
            <rPr>
              <rFont val="Calibri"/>
              <sz val="10"/>
            </rPr>
            <t xml:space="preserve"> guides others in the domain · People: manages a team of 6+</t>
          </r>
        </is>
      </c>
      <c r="Z41" s="166" t="inlineStr">
        <is>
          <t>6–9 yrs</t>
        </is>
      </c>
      <c r="AA41" s="166" t="inlineStr">
        <is>
          <t>Graduate or postgraduate; professional qualification preferred</t>
        </is>
      </c>
      <c r="AB41" s="166" t="inlineStr">
        <is>
          <t>Google / HubSpot certifications</t>
        </is>
      </c>
      <c r="AC41" s="166" t="inlineStr">
        <is>
          <r>
            <rPr>
              <rFont val="Calibri"/>
              <b val="1"/>
              <sz val="10"/>
            </rPr>
            <t>IC:</t>
          </r>
          <r>
            <rPr>
              <rFont val="Calibri"/>
              <sz val="10"/>
            </rPr>
            <t xml:space="preserve"> none · People: 6–8 knowledge work, 8–12 standardised delivery</t>
          </r>
        </is>
      </c>
      <c r="AD41" s="122" t="inlineStr">
        <is>
          <t>Core 3 · Future-ready 3 · Functional 4 · Leadership 2</t>
        </is>
      </c>
      <c r="AE41" s="123" t="inlineStr">
        <is>
          <t>Sales, Negotiation &amp; Account Growth · Marketing Tech &amp; Digital Marketing</t>
        </is>
      </c>
      <c r="AF41" s="123" t="inlineStr">
        <is>
          <t>Stakeholder &amp; Client Management · Communication &amp; Presentation · Product, Platform &amp; Domain Knowledge · Strategic Thinking &amp; Business Acumen</t>
        </is>
      </c>
      <c r="AG41" s="176" t="inlineStr">
        <is>
          <t>P4 / M3</t>
        </is>
      </c>
      <c r="AH41" s="129" t="inlineStr">
        <is>
          <t>4–5</t>
        </is>
      </c>
      <c r="AI41" s="177" t="inlineStr">
        <is>
          <t>IRIS Vs Competitor Benchmark — SaaS sales ladder — IC: Mid-Market AE · IRIS Vs Competitor Benchmark — SaaS sales ladder — management: Sales Manager</t>
        </is>
      </c>
      <c r="AJ41" s="177" t="inlineStr">
        <is>
          <t>SaaS sales ladder · SDR → AE → Enterprise AE → VP / CRO; MEDDICC-style qualification</t>
        </is>
      </c>
      <c r="AK41" s="177" t="inlineStr">
        <is>
          <t>B3 · Lead Specialist</t>
        </is>
      </c>
      <c r="AL41" s="130" t="inlineStr">
        <is>
          <t>AI / automation · Client, sales &amp; stakeholders · Certification / formal course</t>
        </is>
      </c>
      <c r="AM41" s="131" t="inlineStr">
        <is>
          <t>XBRL Training, Training on the effective utilization of AI tools.</t>
        </is>
      </c>
      <c r="AN41" s="131" t="inlineStr">
        <is>
          <t>Mentoring / guidance from seniors · Formal / classroom training</t>
        </is>
      </c>
      <c r="AO41" s="131" t="inlineStr">
        <is>
          <t>No common theme</t>
        </is>
      </c>
      <c r="AP41" s="131" t="inlineStr">
        <is>
          <t>No common theme</t>
        </is>
      </c>
      <c r="AQ41" s="131" t="inlineStr">
        <is>
          <t>2 of 3 say the role is changing because of AI / automation</t>
        </is>
      </c>
      <c r="AR41" s="132" t="inlineStr">
        <is>
          <t>Create and convert commercial opportunities. Includes: Prospecting, account sales, alliances, presales and sales operations. Excludes: Customer adoption unless sales accountability is primary.</t>
        </is>
      </c>
      <c r="AS41" s="133" t="inlineStr">
        <is>
          <t>SAL02-3 · Senior Account Executive</t>
        </is>
      </c>
      <c r="AT41" s="133" t="inlineStr">
        <is>
          <t>Own complex multi-stakeholder deals and commercial trade-offs.</t>
        </is>
      </c>
      <c r="AU41" s="133" t="inlineStr">
        <is>
          <t>Evidence of complex work, decisions and outcomes beyond routine delivery.</t>
        </is>
      </c>
      <c r="AV41" s="133" t="inlineStr">
        <is>
          <t>An account strategy with verified buyer needs, commercial terms and forecast rationale</t>
        </is>
      </c>
      <c r="AW41" s="133" t="inlineStr">
        <is>
          <r>
            <rPr>
              <rFont val="Calibri"/>
              <b val="1"/>
              <sz val="10"/>
            </rPr>
            <t>Workiva:</t>
          </r>
          <r>
            <rPr>
              <rFont val="Calibri"/>
              <sz val="10"/>
            </rPr>
            <t xml:space="preserve"> Account Executive, SLED
</t>
          </r>
          <r>
            <rPr>
              <rFont val="Calibri"/>
              <b val="1"/>
              <sz val="10"/>
            </rPr>
            <t>Workiva:</t>
          </r>
          <r>
            <rPr>
              <rFont val="Calibri"/>
              <sz val="10"/>
            </rPr>
            <t xml:space="preserve"> Senior Account Executive, SLED · Two selected titles. Gap: AE and Senior AE duties overlap; do not infer a precise grade differential</t>
          </r>
        </is>
      </c>
      <c r="AX41" s="179" t="inlineStr">
        <is>
          <t>Framework + sub-family themes · 3+ answered</t>
        </is>
      </c>
      <c r="AY41" s="135" t="inlineStr">
        <is>
          <t>1 holder, 1 answered the survey; sub-family 4 answered</t>
        </is>
      </c>
    </row>
    <row r="42" ht="210" customHeight="1">
      <c r="A42" s="175" t="inlineStr">
        <is>
          <t>RC-159</t>
        </is>
      </c>
      <c r="B42" s="111" t="inlineStr">
        <is>
          <t>Sales &amp; Business Development</t>
        </is>
      </c>
      <c r="C42" s="111" t="inlineStr">
        <is>
          <t>Partnerships &amp; Alliances</t>
        </is>
      </c>
      <c r="D42" s="116" t="inlineStr">
        <is>
          <t>A3</t>
        </is>
      </c>
      <c r="E42" s="117" t="inlineStr">
        <is>
          <t>Senior Associate</t>
        </is>
      </c>
      <c r="F42" s="111" t="inlineStr">
        <is>
          <t>IC</t>
        </is>
      </c>
      <c r="G42" s="111" t="inlineStr">
        <is>
          <t>Senior Alliances Executive</t>
        </is>
      </c>
      <c r="H42" s="112" t="n">
        <v>1</v>
      </c>
      <c r="I42" s="111" t="inlineStr">
        <is>
          <t>iDEAL 1</t>
        </is>
      </c>
      <c r="J42" s="163" t="n">
        <v>1</v>
      </c>
      <c r="K42" s="115" t="inlineStr">
        <is>
          <t>Shreya Sharma</t>
        </is>
      </c>
      <c r="L42" s="115" t="inlineStr">
        <is>
          <t>Sales</t>
        </is>
      </c>
      <c r="M42" s="119" t="inlineStr">
        <is>
          <t>Builds and manages partner / alliance revenue. At A3: varied work; reviews juniors; go-to for a process.</t>
        </is>
      </c>
      <c r="N42" s="165" t="inlineStr">
        <is>
          <t>Builds and manages partner / alliance revenue; Varied and non-standard work; handles exceptions; A module / process, or work with client or regulatory consequences</t>
        </is>
      </c>
      <c r="O42" s="165" t="inlineStr">
        <is>
          <t>A module / process, or work with client or regulatory consequences</t>
        </is>
      </c>
      <c r="P42" s="165" t="inlineStr">
        <is>
          <t>A module / process, or work with client or regulatory consequences</t>
        </is>
      </c>
      <c r="Q42" s="165" t="inlineStr">
        <is>
          <t>Technical / QC / client calls on own work</t>
        </is>
      </c>
      <c r="R42" s="165" t="inlineStr">
        <is>
          <t>—</t>
        </is>
      </c>
      <c r="S42" s="165" t="inlineStr">
        <is>
          <t>Sales</t>
        </is>
      </c>
      <c r="T42" s="165" t="inlineStr">
        <is>
          <t>—</t>
        </is>
      </c>
      <c r="U42" s="120" t="inlineStr">
        <is>
          <t>Varied work; reviews juniors; go-to for a process</t>
        </is>
      </c>
      <c r="V42" s="166" t="inlineStr">
        <is>
          <t>Varied and non-standard work; handles exceptions</t>
        </is>
      </c>
      <c r="W42" s="166" t="inlineStr">
        <is>
          <t>Technical / QC / client calls on own work</t>
        </is>
      </c>
      <c r="X42" s="166" t="inlineStr">
        <is>
          <t>A module / process, or work with client or regulatory consequences</t>
        </is>
      </c>
      <c r="Y42" s="166" t="inlineStr">
        <is>
          <t>Not scored in Band A</t>
        </is>
      </c>
      <c r="Z42" s="166" t="inlineStr">
        <is>
          <t>2–4 yrs</t>
        </is>
      </c>
      <c r="AA42" s="166" t="inlineStr">
        <is>
          <t>Graduate; relevant certification preferred</t>
        </is>
      </c>
      <c r="AB42" s="166" t="inlineStr">
        <is>
          <t>Google / HubSpot certifications</t>
        </is>
      </c>
      <c r="AC42" s="166" t="inlineStr">
        <is>
          <t>None · guides 1–3 juniors informally</t>
        </is>
      </c>
      <c r="AD42" s="122" t="inlineStr">
        <is>
          <t>Core 2 · Future-ready 2 · Functional 3 · Leadership —</t>
        </is>
      </c>
      <c r="AE42" s="123" t="inlineStr">
        <is>
          <t>Sales, Negotiation &amp; Account Growth · Marketing Tech &amp; Digital Marketing</t>
        </is>
      </c>
      <c r="AF42" s="123" t="inlineStr">
        <is>
          <t>Stakeholder &amp; Client Management · Communication &amp; Presentation · Product, Platform &amp; Domain Knowledge · Strategic Thinking &amp; Business Acumen</t>
        </is>
      </c>
      <c r="AG42" s="176" t="inlineStr">
        <is>
          <t>P2</t>
        </is>
      </c>
      <c r="AH42" s="129" t="inlineStr">
        <is>
          <t>3 Apply</t>
        </is>
      </c>
      <c r="AI42" s="177" t="inlineStr">
        <is>
          <t>IRIS Vs Competitor Benchmark — SaaS sales ladder — IC: Senior SDR</t>
        </is>
      </c>
      <c r="AJ42" s="177" t="inlineStr">
        <is>
          <t>SaaS sales ladder · SDR → AE → Enterprise AE → VP / CRO; MEDDICC-style qualification</t>
        </is>
      </c>
      <c r="AK42" s="177" t="inlineStr">
        <is>
          <t>B1 · Specialist</t>
        </is>
      </c>
      <c r="AL42" s="130" t="inlineStr">
        <is>
          <t>Leadership &amp; people management · Client, sales &amp; stakeholders</t>
        </is>
      </c>
      <c r="AM42" s="131" t="inlineStr">
        <is>
          <t>1. Advanced Sales Negotiation &amp; Enterprise Deal Structuring — closing complex multi-stakeholder deals for CARBON - XBRL &amp; DM 2. Regulatory &amp; Domain Knowledge: XBRL, DM ESG/Sustainability Reporting · TCFD, GRI, ISSB relevant to SA &amp; Nigeria markets 3. CRM Mastery &amp; Pipeline Management — forecasting discipline, deal hygiene and data-driven selling 4. Africa Market Intelligence — understanding of SA &amp; Nigeria …</t>
        </is>
      </c>
      <c r="AN42" s="131" t="inlineStr">
        <is>
          <t>—</t>
        </is>
      </c>
      <c r="AO42" s="131" t="inlineStr">
        <is>
          <t>—</t>
        </is>
      </c>
      <c r="AP42" s="131" t="inlineStr">
        <is>
          <t>—</t>
        </is>
      </c>
      <c r="AQ42" s="131" t="inlineStr">
        <is>
          <t>—</t>
        </is>
      </c>
      <c r="AR42" s="132" t="inlineStr">
        <is>
          <t>Create and convert commercial opportunities. Includes: Prospecting, account sales, alliances, presales and sales operations. Excludes: Customer adoption unless sales accountability is primary.</t>
        </is>
      </c>
      <c r="AS42" s="133" t="inlineStr">
        <is>
          <t>SAL05-2 · Partner Account Manager</t>
        </is>
      </c>
      <c r="AT42" s="133" t="inlineStr">
        <is>
          <t>Execute partner plans and track shared opportunities.</t>
        </is>
      </c>
      <c r="AU42" s="133" t="inlineStr">
        <is>
          <t>Demonstrate routine delivery plus judgement in bounded exceptions.</t>
        </is>
      </c>
      <c r="AV42" s="133" t="inlineStr">
        <is>
          <t>A partnership business case with responsibilities, commercial model and delivered outcomes</t>
        </is>
      </c>
      <c r="AW42" s="133" t="inlineStr">
        <is>
          <r>
            <rPr>
              <rFont val="Calibri"/>
              <b val="1"/>
              <sz val="10"/>
            </rPr>
            <t>Workiva:</t>
          </r>
          <r>
            <rPr>
              <rFont val="Calibri"/>
              <sz val="10"/>
            </rPr>
            <t xml:space="preserve"> Senior Partner Sales Executive · Selected role. Gap: Partner sales supports alliance content; other titles are proposed</t>
          </r>
        </is>
      </c>
      <c r="AX42" s="134" t="inlineStr">
        <is>
          <t>Framework only · fewer than 3 answered</t>
        </is>
      </c>
      <c r="AY42" s="135" t="inlineStr">
        <is>
          <t>1 holder, 1 answered the survey; sub-family 2 answered</t>
        </is>
      </c>
    </row>
  </sheetData>
  <autoFilter ref="A6:AY42"/>
  <mergeCells count="23">
    <mergeCell ref="A11:AY11"/>
    <mergeCell ref="A4:D4"/>
    <mergeCell ref="A1:AY1"/>
    <mergeCell ref="M5:T5"/>
    <mergeCell ref="A7:AY7"/>
    <mergeCell ref="A5:I5"/>
    <mergeCell ref="AL5:AQ5"/>
    <mergeCell ref="AR5:AW5"/>
    <mergeCell ref="A26:AY26"/>
    <mergeCell ref="A3:AY3"/>
    <mergeCell ref="A2:AY2"/>
    <mergeCell ref="A33:AY33"/>
    <mergeCell ref="U5:AC5"/>
    <mergeCell ref="A17:AY17"/>
    <mergeCell ref="A35:AY35"/>
    <mergeCell ref="J5:L5"/>
    <mergeCell ref="A28:AY28"/>
    <mergeCell ref="AD5:AF5"/>
    <mergeCell ref="AG5:AK5"/>
    <mergeCell ref="AX5:AY5"/>
    <mergeCell ref="A30:AY30"/>
    <mergeCell ref="A39:AY39"/>
    <mergeCell ref="A15:AY15"/>
  </mergeCells>
  <hyperlinks>
    <hyperlink xmlns:r="http://schemas.openxmlformats.org/officeDocument/2006/relationships" ref="AZ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3.xml><?xml version="1.0" encoding="utf-8"?>
<worksheet xmlns="http://schemas.openxmlformats.org/spreadsheetml/2006/main">
  <sheetPr>
    <tabColor rgb="00548235"/>
    <outlinePr summaryBelow="1" summaryRight="1"/>
    <pageSetUpPr fitToPage="1"/>
  </sheetPr>
  <dimension ref="A1:AR45"/>
  <sheetViews>
    <sheetView showGridLines="0" zoomScale="90"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7" customWidth="1" min="2" max="2"/>
    <col width="22" customWidth="1" min="3" max="3"/>
    <col width="24" customWidth="1" min="4" max="4"/>
    <col width="6" customWidth="1" min="5" max="5"/>
    <col width="13" customWidth="1" min="6" max="6"/>
    <col width="10" customWidth="1" min="7" max="7"/>
    <col width="6" customWidth="1" min="8" max="8"/>
    <col width="24" customWidth="1" min="9" max="9"/>
    <col width="22" customWidth="1" min="10" max="10"/>
    <col width="20" customWidth="1" min="11" max="11"/>
    <col width="20" customWidth="1" min="12" max="12"/>
    <col width="20" customWidth="1" min="13" max="13"/>
    <col width="9" customWidth="1" min="14" max="14"/>
    <col width="24" customWidth="1" min="15" max="15"/>
    <col width="20" customWidth="1" min="16" max="16"/>
    <col width="20" customWidth="1" min="17" max="17"/>
    <col width="8" customWidth="1" min="18" max="18"/>
    <col width="7" customWidth="1" min="19" max="19"/>
    <col width="7" customWidth="1" min="20" max="20"/>
    <col width="8" customWidth="1" min="21" max="21"/>
    <col width="7" customWidth="1" min="22" max="22"/>
    <col width="7" customWidth="1" min="23" max="23"/>
    <col width="7" customWidth="1" min="24" max="24"/>
    <col width="30" customWidth="1" min="25" max="25"/>
    <col width="30" customWidth="1" min="26" max="26"/>
    <col width="26" customWidth="1" min="27" max="27"/>
    <col width="22" customWidth="1" min="28" max="28"/>
    <col width="16" customWidth="1" min="29" max="29"/>
    <col width="8" customWidth="1" min="30" max="30"/>
    <col width="11" customWidth="1" min="31" max="31"/>
    <col width="9" customWidth="1" min="32" max="32"/>
    <col width="22" customWidth="1" min="33" max="33"/>
    <col width="22" customWidth="1" min="34" max="34"/>
    <col width="26" customWidth="1" min="35" max="35"/>
    <col width="22" customWidth="1" min="36" max="36"/>
    <col width="14" customWidth="1" min="37" max="37"/>
    <col width="34" customWidth="1" min="38" max="38"/>
    <col width="26" customWidth="1" min="39" max="39"/>
    <col width="18" customWidth="1" min="40" max="40"/>
    <col width="16" customWidth="1" min="41" max="41"/>
    <col width="16" customWidth="1" min="42" max="42"/>
    <col width="24" customWidth="1" min="43" max="43"/>
    <col width="13" customWidth="1" min="44" max="44"/>
  </cols>
  <sheetData>
    <row r="1" ht="34" customHeight="1">
      <c r="A1" s="1" t="inlineStr">
        <is>
          <t>Role Requirements &amp; Market Benchmarks — department → band → role · bottom to top</t>
        </is>
      </c>
      <c r="AR1" s="241" t="inlineStr">
        <is>
          <t>◂ Contents</t>
        </is>
      </c>
    </row>
    <row r="2" ht="30" customHeight="1">
      <c r="A2" s="3" t="inlineStr">
        <is>
          <t>Sheet 7 · One row per role · designation × level × track inside each department, lowest level first. Columns follow the Master steps: what the level expects, entry requirements, the weight set used, required capability, structure, the market crosswalk and progression.</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D4" s="68" t="inlineStr">
        <is>
          <t>Player-Coach · B+ · C+</t>
        </is>
      </c>
    </row>
    <row r="5" ht="30" customHeight="1">
      <c r="A5" s="73" t="inlineStr">
        <is>
          <t>ROLE</t>
        </is>
      </c>
      <c r="I5" s="74" t="inlineStr">
        <is>
          <t>STEP 4 · WHAT THE LEVEL EXPECTS</t>
        </is>
      </c>
      <c r="N5" s="76" t="inlineStr">
        <is>
          <t>ENTRY REQUIREMENTS</t>
        </is>
      </c>
      <c r="R5" s="77" t="inlineStr">
        <is>
          <t>STEP 5 · WEIGHTS</t>
        </is>
      </c>
      <c r="Y5" s="79" t="inlineStr">
        <is>
          <t>STEP 10 · CAPABILITY REQUIRED</t>
        </is>
      </c>
      <c r="AC5" s="81" t="inlineStr">
        <is>
          <t>STEP 3 · STRUCTURE</t>
        </is>
      </c>
      <c r="AD5" s="83" t="inlineStr">
        <is>
          <t>STEP 9 · MARKET BENCHMARK</t>
        </is>
      </c>
      <c r="AN5" s="85" t="inlineStr">
        <is>
          <t>STEP 11 · PROGRESSION</t>
        </is>
      </c>
    </row>
    <row r="6" ht="48" customHeight="1">
      <c r="A6" s="91" t="inlineStr">
        <is>
          <t>Department</t>
        </is>
      </c>
      <c r="B6" s="92" t="inlineStr">
        <is>
          <t>Job family</t>
        </is>
      </c>
      <c r="C6" s="92" t="inlineStr">
        <is>
          <t>Sub-family · ies</t>
        </is>
      </c>
      <c r="D6" s="92" t="inlineStr">
        <is>
          <t>Role · designation</t>
        </is>
      </c>
      <c r="E6" s="92" t="inlineStr">
        <is>
          <t>Level</t>
        </is>
      </c>
      <c r="F6" s="92" t="inlineStr">
        <is>
          <t>Level title</t>
        </is>
      </c>
      <c r="G6" s="92" t="inlineStr">
        <is>
          <t>Track</t>
        </is>
      </c>
      <c r="H6" s="92" t="inlineStr">
        <is>
          <t>People</t>
        </is>
      </c>
      <c r="I6" s="93" t="inlineStr">
        <is>
          <t>What the role owns</t>
        </is>
      </c>
      <c r="J6" s="12" t="inlineStr">
        <is>
          <t>Complexity &amp; expertise</t>
        </is>
      </c>
      <c r="K6" s="12" t="inlineStr">
        <is>
          <t>Autonomy &amp; decisions</t>
        </is>
      </c>
      <c r="L6" s="12" t="inlineStr">
        <is>
          <t>Accountability &amp; impact</t>
        </is>
      </c>
      <c r="M6" s="12" t="inlineStr">
        <is>
          <t>Leadership</t>
        </is>
      </c>
      <c r="N6" s="94" t="inlineStr">
        <is>
          <t>Experience · yrs, guide</t>
        </is>
      </c>
      <c r="O6" s="157" t="inlineStr">
        <is>
          <t>Education &amp; qualification</t>
        </is>
      </c>
      <c r="P6" s="157" t="inlineStr">
        <is>
          <t>Credentials</t>
        </is>
      </c>
      <c r="Q6" s="157" t="inlineStr">
        <is>
          <t>Gate requirements</t>
        </is>
      </c>
      <c r="R6" s="95" t="inlineStr">
        <is>
          <t>Set ID</t>
        </is>
      </c>
      <c r="S6" s="96" t="inlineStr">
        <is>
          <t>Complexity %</t>
        </is>
      </c>
      <c r="T6" s="96" t="inlineStr">
        <is>
          <t>Autonomy %</t>
        </is>
      </c>
      <c r="U6" s="96" t="inlineStr">
        <is>
          <t>Accountability %</t>
        </is>
      </c>
      <c r="V6" s="96" t="inlineStr">
        <is>
          <t>Leadership %</t>
        </is>
      </c>
      <c r="W6" s="96" t="inlineStr">
        <is>
          <t>Exp. &amp; Qual. %</t>
        </is>
      </c>
      <c r="X6" s="96" t="inlineStr">
        <is>
          <t>Bus. Impact %</t>
        </is>
      </c>
      <c r="Y6" s="97" t="inlineStr">
        <is>
          <t>Must-have competencies · proficiency 1–5</t>
        </is>
      </c>
      <c r="Z6" s="98" t="inlineStr">
        <is>
          <t>Other functional competencies</t>
        </is>
      </c>
      <c r="AA6" s="98" t="inlineStr">
        <is>
          <t>Department technical competencies</t>
        </is>
      </c>
      <c r="AB6" s="98" t="inlineStr">
        <is>
          <t>Proficiency by cluster</t>
        </is>
      </c>
      <c r="AC6" s="99" t="inlineStr">
        <is>
          <t>Span of control</t>
        </is>
      </c>
      <c r="AD6" s="101" t="inlineStr">
        <is>
          <t>Radford / Mercer</t>
        </is>
      </c>
      <c r="AE6" s="102" t="inlineStr">
        <is>
          <t>Pave level</t>
        </is>
      </c>
      <c r="AF6" s="102" t="inlineStr">
        <is>
          <t>SFIA 9</t>
        </is>
      </c>
      <c r="AG6" s="102" t="inlineStr">
        <is>
          <t>Typical market title based on competitor/market benchmark</t>
        </is>
      </c>
      <c r="AH6" s="102" t="inlineStr">
        <is>
          <t>Product companies · Google · MS · Workiva</t>
        </is>
      </c>
      <c r="AI6" s="102" t="inlineStr">
        <is>
          <t>Indian IT services · Infosys · TCS · Accenture</t>
        </is>
      </c>
      <c r="AJ6" s="102" t="inlineStr">
        <is>
          <t>Consulting &amp; XBRL services · Big Four · DataTracks</t>
        </is>
      </c>
      <c r="AK6" s="102" t="inlineStr">
        <is>
          <t>Reference</t>
        </is>
      </c>
      <c r="AL6" s="102" t="inlineStr">
        <is>
          <t>Competitors, regtech &amp; SaaS leaders — this family at this level</t>
        </is>
      </c>
      <c r="AM6" s="102" t="inlineStr">
        <is>
          <t>Professional standard · best standard</t>
        </is>
      </c>
      <c r="AN6" s="103" t="inlineStr">
        <is>
          <t>Hiring route</t>
        </is>
      </c>
      <c r="AO6" s="104" t="inlineStr">
        <is>
          <t>Next step — IC</t>
        </is>
      </c>
      <c r="AP6" s="104" t="inlineStr">
        <is>
          <t>Next step — Manager</t>
        </is>
      </c>
      <c r="AQ6" s="104" t="inlineStr">
        <is>
          <t>Future skills</t>
        </is>
      </c>
    </row>
    <row r="7" ht="20" customHeight="1">
      <c r="A7" s="161" t="inlineStr">
        <is>
          <t>Marketing — 1 person · 1 role · Sales &amp; marketing · levels A2</t>
        </is>
      </c>
    </row>
    <row r="8" ht="80" customHeight="1">
      <c r="A8" s="109" t="inlineStr">
        <is>
          <t>Marketing</t>
        </is>
      </c>
      <c r="B8" s="111" t="inlineStr">
        <is>
          <t>Marketing &amp; Communications</t>
        </is>
      </c>
      <c r="C8" s="111" t="inlineStr">
        <is>
          <t>Content Marketing</t>
        </is>
      </c>
      <c r="D8" s="111" t="inlineStr">
        <is>
          <t>Content Marketing Associate</t>
        </is>
      </c>
      <c r="E8" s="26" t="inlineStr">
        <is>
          <t>A2</t>
        </is>
      </c>
      <c r="F8" s="117" t="inlineStr">
        <is>
          <t>Associate</t>
        </is>
      </c>
      <c r="G8" s="111" t="inlineStr">
        <is>
          <t>IC</t>
        </is>
      </c>
      <c r="H8" s="112" t="n">
        <v>1</v>
      </c>
      <c r="I8" s="139" t="inlineStr">
        <is>
          <t>Standard work delivered independently</t>
        </is>
      </c>
      <c r="J8" s="115" t="inlineStr">
        <is>
          <t>Standard work of the discipline</t>
        </is>
      </c>
      <c r="K8" s="115" t="inlineStr">
        <is>
          <t>Chooses own approach within standards</t>
        </is>
      </c>
      <c r="L8" s="115" t="inlineStr">
        <is>
          <t>Own deliverables · accuracy, TAT</t>
        </is>
      </c>
      <c r="M8" s="115" t="inlineStr">
        <is>
          <t>Not scored in Band A</t>
        </is>
      </c>
      <c r="N8" s="182" t="inlineStr">
        <is>
          <t>0–2 yrs</t>
        </is>
      </c>
      <c r="O8" s="165" t="inlineStr">
        <is>
          <r>
            <rPr>
              <rFont val="Calibri"/>
              <sz val="10"/>
            </rPr>
            <t xml:space="preserve">Graduate · or diploma with experience
</t>
          </r>
          <r>
            <rPr>
              <rFont val="Calibri"/>
              <b val="1"/>
              <sz val="10"/>
            </rPr>
            <t>Family:</t>
          </r>
          <r>
            <rPr>
              <rFont val="Calibri"/>
              <sz val="10"/>
            </rPr>
            <t xml:space="preserve"> Graduate / MBA · marketing</t>
          </r>
        </is>
      </c>
      <c r="P8" s="165" t="inlineStr">
        <is>
          <t>Google / HubSpot certifications</t>
        </is>
      </c>
      <c r="Q8" s="165" t="inlineStr">
        <is>
          <t>Brand and data-privacy rules for campaigns</t>
        </is>
      </c>
      <c r="R8" s="183" t="inlineStr">
        <is>
          <t>SM-A</t>
        </is>
      </c>
      <c r="S8" s="184" t="n">
        <v>0.54</v>
      </c>
      <c r="T8" s="184" t="n">
        <v>0.21</v>
      </c>
      <c r="U8" s="184" t="n">
        <v>0.04</v>
      </c>
      <c r="V8" s="184" t="n">
        <v>0</v>
      </c>
      <c r="W8" s="184" t="n">
        <v>0.1</v>
      </c>
      <c r="X8" s="184" t="n">
        <v>0.11</v>
      </c>
      <c r="Y8" s="122" t="inlineStr">
        <is>
          <t>★ Marketing Tech &amp; Digital Marketing · ★ Communication &amp; Presentation</t>
        </is>
      </c>
      <c r="Z8" s="123" t="inlineStr">
        <is>
          <t>Data Analytics, BI &amp; Visualisation · AI, GenAI &amp; Prompt Engineering · Product, Platform &amp; Domain Knowledge · Strategic Thinking &amp; Business Acumen</t>
        </is>
      </c>
      <c r="AA8" s="123" t="inlineStr">
        <is>
          <t>—</t>
        </is>
      </c>
      <c r="AB8" s="123" t="inlineStr">
        <is>
          <t>Core 2 · Future-ready 2 · Functional 2 · Leadership —</t>
        </is>
      </c>
      <c r="AC8" s="124" t="inlineStr">
        <is>
          <t>No direct reports</t>
        </is>
      </c>
      <c r="AD8" s="185" t="inlineStr">
        <is>
          <t>P1–P2</t>
        </is>
      </c>
      <c r="AE8" s="131" t="inlineStr">
        <is>
          <t>Entry / Developing</t>
        </is>
      </c>
      <c r="AF8" s="186" t="inlineStr">
        <is>
          <t>2 Assist</t>
        </is>
      </c>
      <c r="AG8" s="131" t="inlineStr">
        <is>
          <t>Marketing Associate / Marketing Executive</t>
        </is>
      </c>
      <c r="AH8" s="131" t="inlineStr">
        <is>
          <t>L3 · MS 59–60 · —</t>
        </is>
      </c>
      <c r="AI8" s="131" t="inlineStr">
        <is>
          <t>JL3B · C1 · L11 Analyst</t>
        </is>
      </c>
      <c r="AJ8" s="131" t="inlineStr">
        <is>
          <t>Analyst · DataTracks Associate</t>
        </is>
      </c>
      <c r="AK8" s="131" t="inlineStr">
        <is>
          <t>Radford / Pave</t>
        </is>
      </c>
      <c r="AL8" s="131" t="inlineStr">
        <is>
          <t>IRIS Vs Market Benchmark — CIM proficiency scale: 2 Active learner · IRIS Vs Competitor Benchmark — SaaS marketing ladder: Marketing Associate</t>
        </is>
      </c>
      <c r="AM8" s="131" t="inlineStr">
        <is>
          <t>CIM Global Professional Marketing Framework — proficiency Aware → Active learner → Able → Accomplished → Authoritative</t>
        </is>
      </c>
      <c r="AN8" s="132" t="inlineStr">
        <is>
          <t>Lateral or campus · CT1 on confirmation; CT2 on joining</t>
        </is>
      </c>
      <c r="AO8" s="133" t="inlineStr">
        <is>
          <t>A3 · Senior Associate</t>
        </is>
      </c>
      <c r="AP8" s="133" t="inlineStr">
        <is>
          <t>A3 · common path</t>
        </is>
      </c>
      <c r="AQ8" s="133" t="inlineStr">
        <is>
          <t>AI content &amp; marketing automation, marketing analytics</t>
        </is>
      </c>
    </row>
    <row r="9">
      <c r="A9" s="187" t="n"/>
      <c r="B9" s="188" t="n"/>
      <c r="C9" s="188" t="n"/>
      <c r="D9" s="188" t="n"/>
      <c r="E9" s="188" t="n"/>
      <c r="F9" s="188" t="n"/>
      <c r="G9" s="188" t="n"/>
      <c r="H9" s="188" t="n"/>
      <c r="I9" s="189" t="n"/>
      <c r="J9" s="190" t="n"/>
      <c r="K9" s="190" t="n"/>
      <c r="L9" s="190" t="n"/>
      <c r="M9" s="190" t="n"/>
      <c r="N9" s="191" t="n"/>
      <c r="O9" s="192" t="n"/>
      <c r="P9" s="192" t="n"/>
      <c r="Q9" s="192" t="n"/>
      <c r="R9" s="193" t="n"/>
      <c r="S9" s="194" t="n"/>
      <c r="T9" s="194" t="n"/>
      <c r="U9" s="194" t="n"/>
      <c r="V9" s="194" t="n"/>
      <c r="W9" s="194" t="n"/>
      <c r="X9" s="194" t="n"/>
      <c r="Y9" s="195" t="n"/>
      <c r="Z9" s="196" t="n"/>
      <c r="AA9" s="196" t="n"/>
      <c r="AB9" s="196" t="n"/>
      <c r="AC9" s="197" t="n"/>
      <c r="AD9" s="198" t="n"/>
      <c r="AE9" s="199" t="n"/>
      <c r="AF9" s="199" t="n"/>
      <c r="AG9" s="199" t="n"/>
      <c r="AH9" s="199" t="n"/>
      <c r="AI9" s="199" t="n"/>
      <c r="AJ9" s="199" t="n"/>
      <c r="AK9" s="199" t="n"/>
      <c r="AL9" s="199" t="n"/>
      <c r="AM9" s="199" t="n"/>
      <c r="AN9" s="200" t="n"/>
      <c r="AO9" s="201" t="n"/>
      <c r="AP9" s="201" t="n"/>
      <c r="AQ9" s="201" t="n"/>
    </row>
    <row r="10" ht="20" customHeight="1">
      <c r="A10" s="161" t="inlineStr">
        <is>
          <t>Product Management — 3 people · 2 roles · Product &amp; programme · levels A3–B2</t>
        </is>
      </c>
    </row>
    <row r="11" ht="67" customHeight="1">
      <c r="A11" s="109" t="inlineStr">
        <is>
          <t>Product Management</t>
        </is>
      </c>
      <c r="B11" s="111" t="inlineStr">
        <is>
          <t>Product Management</t>
        </is>
      </c>
      <c r="C11" s="111" t="inlineStr">
        <is>
          <t>Product Operations &amp; Research</t>
        </is>
      </c>
      <c r="D11" s="111" t="inlineStr">
        <is>
          <t>Senior Product Analyst</t>
        </is>
      </c>
      <c r="E11" s="26" t="inlineStr">
        <is>
          <t>A3</t>
        </is>
      </c>
      <c r="F11" s="117" t="inlineStr">
        <is>
          <t>Senior Associate</t>
        </is>
      </c>
      <c r="G11" s="111" t="inlineStr">
        <is>
          <t>IC</t>
        </is>
      </c>
      <c r="H11" s="112" t="n">
        <v>1</v>
      </c>
      <c r="I11" s="139" t="inlineStr">
        <is>
          <t>Varied work; reviews juniors; go-to for a process</t>
        </is>
      </c>
      <c r="J11" s="115" t="inlineStr">
        <is>
          <t>Varied and non-standard work; handles exceptions</t>
        </is>
      </c>
      <c r="K11" s="115" t="inlineStr">
        <is>
          <t>Technical / QC / client calls on own work</t>
        </is>
      </c>
      <c r="L11" s="115" t="inlineStr">
        <is>
          <t>A module / process, or work with client or regulatory consequences</t>
        </is>
      </c>
      <c r="M11" s="115" t="inlineStr">
        <is>
          <t>Not scored in Band A</t>
        </is>
      </c>
      <c r="N11" s="182" t="inlineStr">
        <is>
          <t>2–4 yrs</t>
        </is>
      </c>
      <c r="O11" s="165" t="inlineStr">
        <is>
          <r>
            <rPr>
              <rFont val="Calibri"/>
              <sz val="10"/>
            </rPr>
            <t xml:space="preserve">Graduate; relevant certification preferred
</t>
          </r>
          <r>
            <rPr>
              <rFont val="Calibri"/>
              <b val="1"/>
              <sz val="10"/>
            </rPr>
            <t>Family:</t>
          </r>
          <r>
            <rPr>
              <rFont val="Calibri"/>
              <sz val="10"/>
            </rPr>
            <t xml:space="preserve"> Graduate; MBA / PGDM preferred</t>
          </r>
        </is>
      </c>
      <c r="P11" s="165" t="inlineStr">
        <is>
          <t>Internal product certification; CBAP / CCBA · optional</t>
        </is>
      </c>
      <c r="Q11" s="165" t="inlineStr">
        <is>
          <t>Product discovery, roadmap and P&amp;L basics</t>
        </is>
      </c>
      <c r="R11" s="183" t="inlineStr">
        <is>
          <t>PP-A</t>
        </is>
      </c>
      <c r="S11" s="184" t="n">
        <v>0.54</v>
      </c>
      <c r="T11" s="184" t="n">
        <v>0.21</v>
      </c>
      <c r="U11" s="184" t="n">
        <v>0.09</v>
      </c>
      <c r="V11" s="184" t="n">
        <v>0</v>
      </c>
      <c r="W11" s="184" t="n">
        <v>0.1</v>
      </c>
      <c r="X11" s="184" t="n">
        <v>0.06</v>
      </c>
      <c r="Y11" s="122" t="inlineStr">
        <is>
          <t>★ Product, Platform &amp; Domain Knowledge · ★ Business Analysis &amp; Requirements Engineering</t>
        </is>
      </c>
      <c r="Z11" s="123" t="inlineStr">
        <is>
          <t>Data Analytics, BI &amp; Visualisation · Strategic Thinking &amp; Business Acumen · Stakeholder &amp; Client Management · AI, GenAI &amp; Prompt Engineering</t>
        </is>
      </c>
      <c r="AA11" s="123" t="inlineStr">
        <is>
          <t>—</t>
        </is>
      </c>
      <c r="AB11" s="123" t="inlineStr">
        <is>
          <t>Core 2 · Future-ready 2 · Functional 3 · Leadership —</t>
        </is>
      </c>
      <c r="AC11" s="124" t="inlineStr">
        <is>
          <t>None · guides 1–3 juniors informally</t>
        </is>
      </c>
      <c r="AD11" s="185" t="inlineStr">
        <is>
          <t>P2</t>
        </is>
      </c>
      <c r="AE11" s="131" t="inlineStr">
        <is>
          <t>Developing</t>
        </is>
      </c>
      <c r="AF11" s="186" t="inlineStr">
        <is>
          <t>3 Apply</t>
        </is>
      </c>
      <c r="AG11" s="131" t="inlineStr">
        <is>
          <t>Associate Product Manager</t>
        </is>
      </c>
      <c r="AH11" s="131" t="inlineStr">
        <is>
          <t>L3–L4 · MS 61–62 · —</t>
        </is>
      </c>
      <c r="AI11" s="131" t="inlineStr">
        <is>
          <t>JL3A · C1 · L11–L10 · Senior Analyst</t>
        </is>
      </c>
      <c r="AJ11" s="131" t="inlineStr">
        <is>
          <t>Consultant · DataTracks Senior Associate · 2–5 yrs</t>
        </is>
      </c>
      <c r="AK11" s="131" t="inlineStr">
        <is>
          <t>Radford / Pave</t>
        </is>
      </c>
      <c r="AL11" s="131" t="inlineStr">
        <is>
          <t>IRIS Vs Competitor Benchmark — SaaS product ladder: Associate PM</t>
        </is>
      </c>
      <c r="AM11" s="131" t="inlineStr">
        <is>
          <t>Pragmatic Institute Framework · 37 activities, 7 categories; AIPMM</t>
        </is>
      </c>
      <c r="AN11" s="132" t="inlineStr">
        <is>
          <t>Lateral or campus · CT2 at 12 months; CT3 in programme</t>
        </is>
      </c>
      <c r="AO11" s="133" t="inlineStr">
        <is>
          <t>B1 · Specialist</t>
        </is>
      </c>
      <c r="AP11" s="133" t="inlineStr">
        <is>
          <t>B1 · Team Lead</t>
        </is>
      </c>
      <c r="AQ11" s="133" t="inlineStr">
        <is>
          <t>AI product strategy, platform &amp; API products, ESG / digital-reporting markets</t>
        </is>
      </c>
    </row>
    <row r="12" ht="67" customHeight="1">
      <c r="A12" s="109" t="inlineStr">
        <is>
          <t>Product Management</t>
        </is>
      </c>
      <c r="B12" s="111" t="inlineStr">
        <is>
          <t>Product Management</t>
        </is>
      </c>
      <c r="C12" s="111" t="inlineStr">
        <is>
          <t>Product Management</t>
        </is>
      </c>
      <c r="D12" s="111" t="inlineStr">
        <is>
          <t>Product Manager</t>
        </is>
      </c>
      <c r="E12" s="20" t="inlineStr">
        <is>
          <t>B2</t>
        </is>
      </c>
      <c r="F12" s="18" t="inlineStr">
        <is>
          <t>Manager</t>
        </is>
      </c>
      <c r="G12" s="111" t="inlineStr">
        <is>
          <t>People Manager</t>
        </is>
      </c>
      <c r="H12" s="112" t="n">
        <v>2</v>
      </c>
      <c r="I12" s="139" t="inlineStr">
        <is>
          <t>Deep domain expertise, or one team</t>
        </is>
      </c>
      <c r="J12" s="115" t="inlineStr">
        <is>
          <t>Hardest problems in the domain</t>
        </is>
      </c>
      <c r="K12" s="115" t="inlineStr">
        <is>
          <t>Allocates people and sets team priorities</t>
        </is>
      </c>
      <c r="L12" s="115" t="inlineStr">
        <is>
          <t>One team or a client portfolio</t>
        </is>
      </c>
      <c r="M12" s="115" t="inlineStr">
        <is>
          <r>
            <rPr>
              <rFont val="Calibri"/>
              <b val="1"/>
              <sz val="10"/>
            </rPr>
            <t>IC:</t>
          </r>
          <r>
            <rPr>
              <rFont val="Calibri"/>
              <sz val="10"/>
            </rPr>
            <t xml:space="preserve"> guides others in the domain · People: manages a team of 6+</t>
          </r>
        </is>
      </c>
      <c r="N12" s="182" t="inlineStr">
        <is>
          <t>6–9 yrs</t>
        </is>
      </c>
      <c r="O12" s="165" t="inlineStr">
        <is>
          <r>
            <rPr>
              <rFont val="Calibri"/>
              <sz val="10"/>
            </rPr>
            <t xml:space="preserve">Graduate or postgraduate; professional qualification preferred
</t>
          </r>
          <r>
            <rPr>
              <rFont val="Calibri"/>
              <b val="1"/>
              <sz val="10"/>
            </rPr>
            <t>Family:</t>
          </r>
          <r>
            <rPr>
              <rFont val="Calibri"/>
              <sz val="10"/>
            </rPr>
            <t xml:space="preserve"> Graduate; MBA / PGDM preferred</t>
          </r>
        </is>
      </c>
      <c r="P12" s="165" t="inlineStr">
        <is>
          <t>Internal product certification; CBAP / CCBA · optional</t>
        </is>
      </c>
      <c r="Q12" s="165" t="inlineStr">
        <is>
          <t>Product discovery, roadmap and P&amp;L basics</t>
        </is>
      </c>
      <c r="R12" s="183" t="inlineStr">
        <is>
          <t>PP-B-M</t>
        </is>
      </c>
      <c r="S12" s="184" t="n">
        <v>0.32</v>
      </c>
      <c r="T12" s="184" t="n">
        <v>0.23</v>
      </c>
      <c r="U12" s="184" t="n">
        <v>0.11</v>
      </c>
      <c r="V12" s="184" t="n">
        <v>0.15</v>
      </c>
      <c r="W12" s="184" t="n">
        <v>0.1</v>
      </c>
      <c r="X12" s="184" t="n">
        <v>0.09</v>
      </c>
      <c r="Y12" s="122" t="inlineStr">
        <is>
          <t>★ Product, Platform &amp; Domain Knowledge · ★ Business Analysis &amp; Requirements Engineering</t>
        </is>
      </c>
      <c r="Z12" s="123" t="inlineStr">
        <is>
          <t>Data Analytics, BI &amp; Visualisation · Strategic Thinking &amp; Business Acumen · Stakeholder &amp; Client Management · AI, GenAI &amp; Prompt Engineering</t>
        </is>
      </c>
      <c r="AA12" s="123" t="inlineStr">
        <is>
          <t>—</t>
        </is>
      </c>
      <c r="AB12" s="123" t="inlineStr">
        <is>
          <t>Core 3 · Future-ready 3 · Functional 4 · Leadership 3</t>
        </is>
      </c>
      <c r="AC12" s="124" t="inlineStr">
        <is>
          <r>
            <rPr>
              <rFont val="Calibri"/>
              <b val="1"/>
              <sz val="10"/>
            </rPr>
            <t>IC:</t>
          </r>
          <r>
            <rPr>
              <rFont val="Calibri"/>
              <sz val="10"/>
            </rPr>
            <t xml:space="preserve"> none · People: 6–8 knowledge work, 8–12 standardised delivery</t>
          </r>
        </is>
      </c>
      <c r="AD12" s="185" t="inlineStr">
        <is>
          <t>M3</t>
        </is>
      </c>
      <c r="AE12" s="131" t="inlineStr">
        <is>
          <t>Senior / Manager</t>
        </is>
      </c>
      <c r="AF12" s="186" t="inlineStr">
        <is>
          <t>4–5</t>
        </is>
      </c>
      <c r="AG12" s="131" t="inlineStr">
        <is>
          <t>Manager</t>
        </is>
      </c>
      <c r="AH12" s="131" t="inlineStr">
        <is>
          <t>L5 · MS 63 · —</t>
        </is>
      </c>
      <c r="AI12" s="131" t="inlineStr">
        <is>
          <t>JL5 · C3A · L8 Associate Manager</t>
        </is>
      </c>
      <c r="AJ12" s="131" t="inlineStr">
        <is>
          <t>Manager</t>
        </is>
      </c>
      <c r="AK12" s="131" t="inlineStr">
        <is>
          <t>Radford / Pave</t>
        </is>
      </c>
      <c r="AL12" s="131" t="inlineStr">
        <is>
          <t>IRIS Vs Competitor Benchmark — SaaS product ladder: Senior PM</t>
        </is>
      </c>
      <c r="AM12" s="131" t="inlineStr">
        <is>
          <t>Pragmatic Institute Framework · 37 activities, 7 categories; AIPMM</t>
        </is>
      </c>
      <c r="AN12" s="132" t="inlineStr">
        <is>
          <t>Lateral</t>
        </is>
      </c>
      <c r="AO12" s="133" t="inlineStr">
        <is>
          <t>B3 · Lead Specialist</t>
        </is>
      </c>
      <c r="AP12" s="133" t="inlineStr">
        <is>
          <t>B3 · Senior Manager</t>
        </is>
      </c>
      <c r="AQ12" s="133" t="inlineStr">
        <is>
          <t>AI product strategy, platform &amp; API products, ESG / digital-reporting markets</t>
        </is>
      </c>
    </row>
    <row r="13">
      <c r="A13" s="187" t="n"/>
      <c r="B13" s="188" t="n"/>
      <c r="C13" s="188" t="n"/>
      <c r="D13" s="188" t="n"/>
      <c r="E13" s="188" t="n"/>
      <c r="F13" s="188" t="n"/>
      <c r="G13" s="188" t="n"/>
      <c r="H13" s="188" t="n"/>
      <c r="I13" s="189" t="n"/>
      <c r="J13" s="190" t="n"/>
      <c r="K13" s="190" t="n"/>
      <c r="L13" s="190" t="n"/>
      <c r="M13" s="190" t="n"/>
      <c r="N13" s="191" t="n"/>
      <c r="O13" s="192" t="n"/>
      <c r="P13" s="192" t="n"/>
      <c r="Q13" s="192" t="n"/>
      <c r="R13" s="193" t="n"/>
      <c r="S13" s="194" t="n"/>
      <c r="T13" s="194" t="n"/>
      <c r="U13" s="194" t="n"/>
      <c r="V13" s="194" t="n"/>
      <c r="W13" s="194" t="n"/>
      <c r="X13" s="194" t="n"/>
      <c r="Y13" s="195" t="n"/>
      <c r="Z13" s="196" t="n"/>
      <c r="AA13" s="196" t="n"/>
      <c r="AB13" s="196" t="n"/>
      <c r="AC13" s="197" t="n"/>
      <c r="AD13" s="198" t="n"/>
      <c r="AE13" s="199" t="n"/>
      <c r="AF13" s="199" t="n"/>
      <c r="AG13" s="199" t="n"/>
      <c r="AH13" s="199" t="n"/>
      <c r="AI13" s="199" t="n"/>
      <c r="AJ13" s="199" t="n"/>
      <c r="AK13" s="199" t="n"/>
      <c r="AL13" s="199" t="n"/>
      <c r="AM13" s="199" t="n"/>
      <c r="AN13" s="200" t="n"/>
      <c r="AO13" s="201" t="n"/>
      <c r="AP13" s="201" t="n"/>
      <c r="AQ13" s="201" t="n"/>
    </row>
    <row r="14" ht="20" customHeight="1">
      <c r="A14" s="161" t="inlineStr">
        <is>
          <t>Quality Assurance — 5 people · 3 roles · Technology &amp; engineering · levels A3–B1</t>
        </is>
      </c>
    </row>
    <row r="15" ht="67" customHeight="1">
      <c r="A15" s="109" t="inlineStr">
        <is>
          <t>Quality Assurance</t>
        </is>
      </c>
      <c r="B15" s="111" t="inlineStr">
        <is>
          <t>Quality Assurance</t>
        </is>
      </c>
      <c r="C15" s="111" t="inlineStr">
        <is>
          <t>Test Automation</t>
        </is>
      </c>
      <c r="D15" s="111" t="inlineStr">
        <is>
          <t>Senior QA Automation Engineer</t>
        </is>
      </c>
      <c r="E15" s="26" t="inlineStr">
        <is>
          <t>A3</t>
        </is>
      </c>
      <c r="F15" s="117" t="inlineStr">
        <is>
          <t>Senior Associate</t>
        </is>
      </c>
      <c r="G15" s="111" t="inlineStr">
        <is>
          <t>IC</t>
        </is>
      </c>
      <c r="H15" s="112" t="n">
        <v>3</v>
      </c>
      <c r="I15" s="139" t="inlineStr">
        <is>
          <t>Varied work; reviews juniors; go-to for a process</t>
        </is>
      </c>
      <c r="J15" s="115" t="inlineStr">
        <is>
          <t>Varied and non-standard work; handles exceptions</t>
        </is>
      </c>
      <c r="K15" s="115" t="inlineStr">
        <is>
          <t>Technical / QC / client calls on own work</t>
        </is>
      </c>
      <c r="L15" s="115" t="inlineStr">
        <is>
          <t>A module / process, or work with client or regulatory consequences</t>
        </is>
      </c>
      <c r="M15" s="115" t="inlineStr">
        <is>
          <t>Not scored in Band A</t>
        </is>
      </c>
      <c r="N15" s="182" t="inlineStr">
        <is>
          <t>2–4 yrs</t>
        </is>
      </c>
      <c r="O15" s="165" t="inlineStr">
        <is>
          <r>
            <rPr>
              <rFont val="Calibri"/>
              <sz val="10"/>
            </rPr>
            <t xml:space="preserve">Graduate; relevant certification preferred
</t>
          </r>
          <r>
            <rPr>
              <rFont val="Calibri"/>
              <b val="1"/>
              <sz val="10"/>
            </rPr>
            <t>Family:</t>
          </r>
          <r>
            <rPr>
              <rFont val="Calibri"/>
              <sz val="10"/>
            </rPr>
            <t xml:space="preserve"> BE / B.Tech / MCA / B.Sc</t>
          </r>
        </is>
      </c>
      <c r="P15" s="165" t="inlineStr">
        <is>
          <t>ISTQB Foundation / Advanced; Internal product certification</t>
        </is>
      </c>
      <c r="Q15" s="165" t="inlineStr">
        <is>
          <t>ISTQB or equivalent preferred from B1</t>
        </is>
      </c>
      <c r="R15" s="183" t="inlineStr">
        <is>
          <t>TE-A</t>
        </is>
      </c>
      <c r="S15" s="184" t="n">
        <v>0.64</v>
      </c>
      <c r="T15" s="184" t="n">
        <v>0.16</v>
      </c>
      <c r="U15" s="184" t="n">
        <v>0.04</v>
      </c>
      <c r="V15" s="184" t="n">
        <v>0</v>
      </c>
      <c r="W15" s="184" t="n">
        <v>0.1</v>
      </c>
      <c r="X15" s="184" t="n">
        <v>0.06</v>
      </c>
      <c r="Y15" s="122" t="inlineStr">
        <is>
          <t>★ Test Automation &amp; QA Engineering · ★ Product, Platform &amp; Domain Knowledge</t>
        </is>
      </c>
      <c r="Z15" s="123" t="inlineStr">
        <is>
          <t>Database, SQL &amp; Data Engineering · AI, GenAI &amp; Prompt Engineering · Process Improvement &amp; Quality Mindset · Communication &amp; Presentation</t>
        </is>
      </c>
      <c r="AA15" s="123" t="inlineStr">
        <is>
          <t>—</t>
        </is>
      </c>
      <c r="AB15" s="123" t="inlineStr">
        <is>
          <t>Core 2 · Future-ready 2 · Functional 3 · Leadership —</t>
        </is>
      </c>
      <c r="AC15" s="124" t="inlineStr">
        <is>
          <t>None · guides 1–3 juniors informally</t>
        </is>
      </c>
      <c r="AD15" s="185" t="inlineStr">
        <is>
          <t>P2</t>
        </is>
      </c>
      <c r="AE15" s="131" t="inlineStr">
        <is>
          <t>Developing</t>
        </is>
      </c>
      <c r="AF15" s="186" t="inlineStr">
        <is>
          <t>3 Apply</t>
        </is>
      </c>
      <c r="AG15" s="131" t="inlineStr">
        <is>
          <t>QA Engineer</t>
        </is>
      </c>
      <c r="AH15" s="131" t="inlineStr">
        <is>
          <t>L3–L4 · MS 61–62 · Software Engineer</t>
        </is>
      </c>
      <c r="AI15" s="131" t="inlineStr">
        <is>
          <t>JL3A Senior Systems Engineer · C1 System Engineer · L11–L10 · Senior Analyst</t>
        </is>
      </c>
      <c r="AJ15" s="131" t="inlineStr">
        <is>
          <t>Consultant · DataTracks Senior Associate · 2–5 yrs</t>
        </is>
      </c>
      <c r="AK15" s="131" t="inlineStr">
        <is>
          <t>Radford / Pave</t>
        </is>
      </c>
      <c r="AL15" s="131" t="inlineStr">
        <is>
          <r>
            <rPr>
              <rFont val="Calibri"/>
              <b val="1"/>
              <sz val="10"/>
            </rPr>
            <t>Workiva:</t>
          </r>
          <r>
            <rPr>
              <rFont val="Calibri"/>
              <sz val="10"/>
            </rPr>
            <t xml:space="preserve"> SE · Broadridge India: SE · Nasdaq / AxiomSL: SE · IRIS Vs Market Benchmark — ISTQB certification pathway: Foundation</t>
          </r>
        </is>
      </c>
      <c r="AM15" s="131" t="inlineStr">
        <is>
          <t>ISTQB Foundation → Advanced → Expert; SFIA testing</t>
        </is>
      </c>
      <c r="AN15" s="132" t="inlineStr">
        <is>
          <t>Lateral or campus · CT2 at 12 months; CT3 in programme</t>
        </is>
      </c>
      <c r="AO15" s="133" t="inlineStr">
        <is>
          <t>B1 · Specialist</t>
        </is>
      </c>
      <c r="AP15" s="133" t="inlineStr">
        <is>
          <t>B1 · Team Lead</t>
        </is>
      </c>
      <c r="AQ15" s="133" t="inlineStr">
        <is>
          <t>AI-assisted test generation, API &amp; performance testing, test-data privacy</t>
        </is>
      </c>
    </row>
    <row r="16" ht="67" customHeight="1">
      <c r="A16" s="109" t="inlineStr">
        <is>
          <t>Quality Assurance</t>
        </is>
      </c>
      <c r="B16" s="111" t="inlineStr">
        <is>
          <t>Quality Assurance</t>
        </is>
      </c>
      <c r="C16" s="111" t="inlineStr">
        <is>
          <t>Functional &amp; Domain Testing</t>
        </is>
      </c>
      <c r="D16" s="111" t="inlineStr">
        <is>
          <t>Senior QA Engineer</t>
        </is>
      </c>
      <c r="E16" s="26" t="inlineStr">
        <is>
          <t>A3</t>
        </is>
      </c>
      <c r="F16" s="117" t="inlineStr">
        <is>
          <t>Senior Associate</t>
        </is>
      </c>
      <c r="G16" s="111" t="inlineStr">
        <is>
          <t>IC</t>
        </is>
      </c>
      <c r="H16" s="112" t="n">
        <v>1</v>
      </c>
      <c r="I16" s="139" t="inlineStr">
        <is>
          <t>Varied work; reviews juniors; go-to for a process</t>
        </is>
      </c>
      <c r="J16" s="115" t="inlineStr">
        <is>
          <t>Varied and non-standard work; handles exceptions</t>
        </is>
      </c>
      <c r="K16" s="115" t="inlineStr">
        <is>
          <t>Technical / QC / client calls on own work</t>
        </is>
      </c>
      <c r="L16" s="115" t="inlineStr">
        <is>
          <t>A module / process, or work with client or regulatory consequences</t>
        </is>
      </c>
      <c r="M16" s="115" t="inlineStr">
        <is>
          <t>Not scored in Band A</t>
        </is>
      </c>
      <c r="N16" s="182" t="inlineStr">
        <is>
          <t>2–4 yrs</t>
        </is>
      </c>
      <c r="O16" s="165" t="inlineStr">
        <is>
          <r>
            <rPr>
              <rFont val="Calibri"/>
              <sz val="10"/>
            </rPr>
            <t xml:space="preserve">Graduate; relevant certification preferred
</t>
          </r>
          <r>
            <rPr>
              <rFont val="Calibri"/>
              <b val="1"/>
              <sz val="10"/>
            </rPr>
            <t>Family:</t>
          </r>
          <r>
            <rPr>
              <rFont val="Calibri"/>
              <sz val="10"/>
            </rPr>
            <t xml:space="preserve"> BE / B.Tech / MCA / B.Sc</t>
          </r>
        </is>
      </c>
      <c r="P16" s="165" t="inlineStr">
        <is>
          <t>ISTQB Foundation / Advanced; Internal product certification</t>
        </is>
      </c>
      <c r="Q16" s="165" t="inlineStr">
        <is>
          <t>ISTQB or equivalent preferred from B1</t>
        </is>
      </c>
      <c r="R16" s="183" t="inlineStr">
        <is>
          <t>TE-A</t>
        </is>
      </c>
      <c r="S16" s="184" t="n">
        <v>0.64</v>
      </c>
      <c r="T16" s="184" t="n">
        <v>0.16</v>
      </c>
      <c r="U16" s="184" t="n">
        <v>0.04</v>
      </c>
      <c r="V16" s="184" t="n">
        <v>0</v>
      </c>
      <c r="W16" s="184" t="n">
        <v>0.1</v>
      </c>
      <c r="X16" s="184" t="n">
        <v>0.06</v>
      </c>
      <c r="Y16" s="122" t="inlineStr">
        <is>
          <t>★ Test Automation &amp; QA Engineering · ★ Product, Platform &amp; Domain Knowledge</t>
        </is>
      </c>
      <c r="Z16" s="123" t="inlineStr">
        <is>
          <t>Database, SQL &amp; Data Engineering · AI, GenAI &amp; Prompt Engineering · Process Improvement &amp; Quality Mindset · Communication &amp; Presentation</t>
        </is>
      </c>
      <c r="AA16" s="123" t="inlineStr">
        <is>
          <t>—</t>
        </is>
      </c>
      <c r="AB16" s="123" t="inlineStr">
        <is>
          <t>Core 2 · Future-ready 2 · Functional 3 · Leadership —</t>
        </is>
      </c>
      <c r="AC16" s="124" t="inlineStr">
        <is>
          <t>None · guides 1–3 juniors informally</t>
        </is>
      </c>
      <c r="AD16" s="185" t="inlineStr">
        <is>
          <t>P2</t>
        </is>
      </c>
      <c r="AE16" s="131" t="inlineStr">
        <is>
          <t>Developing</t>
        </is>
      </c>
      <c r="AF16" s="186" t="inlineStr">
        <is>
          <t>3 Apply</t>
        </is>
      </c>
      <c r="AG16" s="131" t="inlineStr">
        <is>
          <t>QA Engineer</t>
        </is>
      </c>
      <c r="AH16" s="131" t="inlineStr">
        <is>
          <t>L3–L4 · MS 61–62 · Software Engineer</t>
        </is>
      </c>
      <c r="AI16" s="131" t="inlineStr">
        <is>
          <t>JL3A Senior Systems Engineer · C1 System Engineer · L11–L10 · Senior Analyst</t>
        </is>
      </c>
      <c r="AJ16" s="131" t="inlineStr">
        <is>
          <t>Consultant · DataTracks Senior Associate · 2–5 yrs</t>
        </is>
      </c>
      <c r="AK16" s="131" t="inlineStr">
        <is>
          <t>Radford / Pave</t>
        </is>
      </c>
      <c r="AL16" s="131" t="inlineStr">
        <is>
          <r>
            <rPr>
              <rFont val="Calibri"/>
              <b val="1"/>
              <sz val="10"/>
            </rPr>
            <t>Workiva:</t>
          </r>
          <r>
            <rPr>
              <rFont val="Calibri"/>
              <sz val="10"/>
            </rPr>
            <t xml:space="preserve"> SE · Broadridge India: SE · Nasdaq / AxiomSL: SE · IRIS Vs Market Benchmark — ISTQB certification pathway: Foundation</t>
          </r>
        </is>
      </c>
      <c r="AM16" s="131" t="inlineStr">
        <is>
          <t>ISTQB Foundation → Advanced → Expert; SFIA testing</t>
        </is>
      </c>
      <c r="AN16" s="132" t="inlineStr">
        <is>
          <t>Lateral or campus · CT2 at 12 months; CT3 in programme</t>
        </is>
      </c>
      <c r="AO16" s="133" t="inlineStr">
        <is>
          <t>B1 · Specialist</t>
        </is>
      </c>
      <c r="AP16" s="133" t="inlineStr">
        <is>
          <t>B1 · Team Lead</t>
        </is>
      </c>
      <c r="AQ16" s="133" t="inlineStr">
        <is>
          <t>AI-assisted test generation, API &amp; performance testing, test-data privacy</t>
        </is>
      </c>
    </row>
    <row r="17" ht="67" customHeight="1">
      <c r="A17" s="109" t="inlineStr">
        <is>
          <t>Quality Assurance</t>
        </is>
      </c>
      <c r="B17" s="111" t="inlineStr">
        <is>
          <t>Quality Assurance</t>
        </is>
      </c>
      <c r="C17" s="111" t="inlineStr">
        <is>
          <t>Functional &amp; Domain Testing</t>
        </is>
      </c>
      <c r="D17" s="111" t="inlineStr">
        <is>
          <t>QA Manager</t>
        </is>
      </c>
      <c r="E17" s="20" t="inlineStr">
        <is>
          <t>B1</t>
        </is>
      </c>
      <c r="F17" s="18" t="inlineStr">
        <is>
          <t>Team Lead</t>
        </is>
      </c>
      <c r="G17" s="111" t="inlineStr">
        <is>
          <t>People Manager</t>
        </is>
      </c>
      <c r="H17" s="112" t="n">
        <v>1</v>
      </c>
      <c r="I17" s="139" t="inlineStr">
        <is>
          <t>A domain / module, or a small team</t>
        </is>
      </c>
      <c r="J17" s="115" t="inlineStr">
        <is>
          <t>Domain specialist work</t>
        </is>
      </c>
      <c r="K17" s="115" t="inlineStr">
        <is>
          <t>Technical / QC / client calls for the domain</t>
        </is>
      </c>
      <c r="L17" s="115" t="inlineStr">
        <is>
          <t>A domain or a small team</t>
        </is>
      </c>
      <c r="M17" s="115" t="inlineStr">
        <is>
          <r>
            <rPr>
              <rFont val="Calibri"/>
              <b val="1"/>
              <sz val="10"/>
            </rPr>
            <t>IC:</t>
          </r>
          <r>
            <rPr>
              <rFont val="Calibri"/>
              <sz val="10"/>
            </rPr>
            <t xml:space="preserve"> mentors and reviews · People: hands-on team lead of 3–5</t>
          </r>
        </is>
      </c>
      <c r="N17" s="182" t="inlineStr">
        <is>
          <t>4–7 yrs</t>
        </is>
      </c>
      <c r="O17" s="165" t="inlineStr">
        <is>
          <r>
            <rPr>
              <rFont val="Calibri"/>
              <sz val="10"/>
            </rPr>
            <t xml:space="preserve">Graduate + relevant qualification or certification preferred
</t>
          </r>
          <r>
            <rPr>
              <rFont val="Calibri"/>
              <b val="1"/>
              <sz val="10"/>
            </rPr>
            <t>Family:</t>
          </r>
          <r>
            <rPr>
              <rFont val="Calibri"/>
              <sz val="10"/>
            </rPr>
            <t xml:space="preserve"> BE / B.Tech / MCA / B.Sc</t>
          </r>
        </is>
      </c>
      <c r="P17" s="165" t="inlineStr">
        <is>
          <t>ISTQB Foundation / Advanced; Internal product certification</t>
        </is>
      </c>
      <c r="Q17" s="165" t="inlineStr">
        <is>
          <t>ISTQB or equivalent preferred from B1</t>
        </is>
      </c>
      <c r="R17" s="183" t="inlineStr">
        <is>
          <t>TE-B-M</t>
        </is>
      </c>
      <c r="S17" s="184" t="n">
        <v>0.42</v>
      </c>
      <c r="T17" s="184" t="n">
        <v>0.18</v>
      </c>
      <c r="U17" s="184" t="n">
        <v>0.06</v>
      </c>
      <c r="V17" s="184" t="n">
        <v>0.15</v>
      </c>
      <c r="W17" s="184" t="n">
        <v>0.1</v>
      </c>
      <c r="X17" s="184" t="n">
        <v>0.09</v>
      </c>
      <c r="Y17" s="122" t="inlineStr">
        <is>
          <t>★ Test Automation &amp; QA Engineering · ★ Product, Platform &amp; Domain Knowledge</t>
        </is>
      </c>
      <c r="Z17" s="123" t="inlineStr">
        <is>
          <t>Database, SQL &amp; Data Engineering · AI, GenAI &amp; Prompt Engineering · Process Improvement &amp; Quality Mindset · Communication &amp; Presentation</t>
        </is>
      </c>
      <c r="AA17" s="123" t="inlineStr">
        <is>
          <t>—</t>
        </is>
      </c>
      <c r="AB17" s="123" t="inlineStr">
        <is>
          <t>Core 3 · Future-ready 3 · Functional 3 · Leadership 2</t>
        </is>
      </c>
      <c r="AC17" s="124" t="inlineStr">
        <is>
          <r>
            <rPr>
              <rFont val="Calibri"/>
              <b val="1"/>
              <sz val="10"/>
            </rPr>
            <t>IC:</t>
          </r>
          <r>
            <rPr>
              <rFont val="Calibri"/>
              <sz val="10"/>
            </rPr>
            <t xml:space="preserve"> none · Team Lead: 3–5</t>
          </r>
        </is>
      </c>
      <c r="AD17" s="185" t="inlineStr">
        <is>
          <t>M3</t>
        </is>
      </c>
      <c r="AE17" s="131" t="inlineStr">
        <is>
          <t>Career / · Team Lead</t>
        </is>
      </c>
      <c r="AF17" s="186" t="inlineStr">
        <is>
          <t>4 Enable</t>
        </is>
      </c>
      <c r="AG17" s="131" t="inlineStr">
        <is>
          <t>Manager</t>
        </is>
      </c>
      <c r="AH17" s="131" t="inlineStr">
        <is>
          <t>L4 · MS 62 · Software Engineer – Senior SE</t>
        </is>
      </c>
      <c r="AI17" s="131" t="inlineStr">
        <is>
          <t>JL4 Technology Analyst · C2 IT Analyst · L9 Team Lead / Consultant</t>
        </is>
      </c>
      <c r="AJ17" s="131" t="inlineStr">
        <is>
          <t>Senior Consultant / Assistant Manager</t>
        </is>
      </c>
      <c r="AK17" s="131" t="inlineStr">
        <is>
          <t>Radford / Pave</t>
        </is>
      </c>
      <c r="AL17" s="131" t="inlineStr">
        <is>
          <r>
            <rPr>
              <rFont val="Calibri"/>
              <b val="1"/>
              <sz val="10"/>
            </rPr>
            <t>Workiva:</t>
          </r>
          <r>
            <rPr>
              <rFont val="Calibri"/>
              <sz val="10"/>
            </rPr>
            <t xml:space="preserve"> SE / Senior SE · Broadridge India: Senior SE · Nasdaq / AxiomSL: Senior SE · IRIS Vs Market Benchmark — ISTQB certification pathway: Advanced · Test Analyst</t>
          </r>
        </is>
      </c>
      <c r="AM17" s="131" t="inlineStr">
        <is>
          <t>ISTQB Foundation → Advanced → Expert; SFIA testing</t>
        </is>
      </c>
      <c r="AN17" s="132" t="inlineStr">
        <is>
          <t>Lateral; Management Trainees graduate here</t>
        </is>
      </c>
      <c r="AO17" s="133" t="inlineStr">
        <is>
          <t>B2 · Senior Specialist</t>
        </is>
      </c>
      <c r="AP17" s="133" t="inlineStr">
        <is>
          <t>B2 · Manager</t>
        </is>
      </c>
      <c r="AQ17" s="133" t="inlineStr">
        <is>
          <t>AI-assisted test generation, API &amp; performance testing, test-data privacy</t>
        </is>
      </c>
    </row>
    <row r="18">
      <c r="A18" s="187" t="n"/>
      <c r="B18" s="188" t="n"/>
      <c r="C18" s="188" t="n"/>
      <c r="D18" s="188" t="n"/>
      <c r="E18" s="188" t="n"/>
      <c r="F18" s="188" t="n"/>
      <c r="G18" s="188" t="n"/>
      <c r="H18" s="188" t="n"/>
      <c r="I18" s="189" t="n"/>
      <c r="J18" s="190" t="n"/>
      <c r="K18" s="190" t="n"/>
      <c r="L18" s="190" t="n"/>
      <c r="M18" s="190" t="n"/>
      <c r="N18" s="191" t="n"/>
      <c r="O18" s="192" t="n"/>
      <c r="P18" s="192" t="n"/>
      <c r="Q18" s="192" t="n"/>
      <c r="R18" s="193" t="n"/>
      <c r="S18" s="194" t="n"/>
      <c r="T18" s="194" t="n"/>
      <c r="U18" s="194" t="n"/>
      <c r="V18" s="194" t="n"/>
      <c r="W18" s="194" t="n"/>
      <c r="X18" s="194" t="n"/>
      <c r="Y18" s="195" t="n"/>
      <c r="Z18" s="196" t="n"/>
      <c r="AA18" s="196" t="n"/>
      <c r="AB18" s="196" t="n"/>
      <c r="AC18" s="197" t="n"/>
      <c r="AD18" s="198" t="n"/>
      <c r="AE18" s="199" t="n"/>
      <c r="AF18" s="199" t="n"/>
      <c r="AG18" s="199" t="n"/>
      <c r="AH18" s="199" t="n"/>
      <c r="AI18" s="199" t="n"/>
      <c r="AJ18" s="199" t="n"/>
      <c r="AK18" s="199" t="n"/>
      <c r="AL18" s="199" t="n"/>
      <c r="AM18" s="199" t="n"/>
      <c r="AN18" s="200" t="n"/>
      <c r="AO18" s="201" t="n"/>
      <c r="AP18" s="201" t="n"/>
      <c r="AQ18" s="201" t="n"/>
    </row>
    <row r="19" ht="20" customHeight="1">
      <c r="A19" s="161" t="inlineStr">
        <is>
          <t>Sales — 4 people · 4 roles · Sales &amp; marketing · levels A1–B2</t>
        </is>
      </c>
    </row>
    <row r="20" ht="67" customHeight="1">
      <c r="A20" s="109" t="inlineStr">
        <is>
          <t>Sales</t>
        </is>
      </c>
      <c r="B20" s="111" t="inlineStr">
        <is>
          <t>Customer Success &amp; Support</t>
        </is>
      </c>
      <c r="C20" s="111" t="inlineStr">
        <is>
          <t>Application &amp; Product Support</t>
        </is>
      </c>
      <c r="D20" s="111" t="inlineStr">
        <is>
          <t>Intern – Application &amp; Product Support</t>
        </is>
      </c>
      <c r="E20" s="26" t="inlineStr">
        <is>
          <t>A1</t>
        </is>
      </c>
      <c r="F20" s="117" t="inlineStr">
        <is>
          <t>Intern / Trainee</t>
        </is>
      </c>
      <c r="G20" s="111" t="inlineStr">
        <is>
          <t>IC</t>
        </is>
      </c>
      <c r="H20" s="112" t="n">
        <v>1</v>
      </c>
      <c r="I20" s="139" t="inlineStr">
        <is>
          <t>Learning the role; all work reviewed</t>
        </is>
      </c>
      <c r="J20" s="115" t="inlineStr">
        <is>
          <t>Learning; follows worked examples</t>
        </is>
      </c>
      <c r="K20" s="115" t="inlineStr">
        <is>
          <t>Needs approval / close guidance</t>
        </is>
      </c>
      <c r="L20" s="115" t="inlineStr">
        <is>
          <t>Learning tasks</t>
        </is>
      </c>
      <c r="M20" s="115" t="inlineStr">
        <is>
          <t>Not scored in Band A</t>
        </is>
      </c>
      <c r="N20" s="182" t="inlineStr">
        <is>
          <t>0 yrs · fresher / intern</t>
        </is>
      </c>
      <c r="O20" s="165" t="inlineStr">
        <is>
          <r>
            <rPr>
              <rFont val="Calibri"/>
              <sz val="10"/>
            </rPr>
            <t xml:space="preserve">Pursuing or completed graduation / diploma
</t>
          </r>
          <r>
            <rPr>
              <rFont val="Calibri"/>
              <b val="1"/>
              <sz val="10"/>
            </rPr>
            <t>Family:</t>
          </r>
          <r>
            <rPr>
              <rFont val="Calibri"/>
              <sz val="10"/>
            </rPr>
            <t xml:space="preserve"> Graduate</t>
          </r>
        </is>
      </c>
      <c r="P20" s="165" t="inlineStr">
        <is>
          <t>Internal product certification</t>
        </is>
      </c>
      <c r="Q20" s="165" t="inlineStr">
        <is>
          <t>ITIL / service-desk practice; SLA management</t>
        </is>
      </c>
      <c r="R20" s="183" t="inlineStr">
        <is>
          <t>—</t>
        </is>
      </c>
      <c r="S20" s="166" t="n"/>
      <c r="T20" s="166" t="n"/>
      <c r="U20" s="166" t="n"/>
      <c r="V20" s="166" t="n"/>
      <c r="W20" s="166" t="n"/>
      <c r="X20" s="166" t="n"/>
      <c r="Y20" s="122" t="inlineStr">
        <is>
          <t>★ Product, Platform &amp; Domain Knowledge · ★ Stakeholder &amp; Client Management</t>
        </is>
      </c>
      <c r="Z20" s="123" t="inlineStr">
        <is>
          <t>Communication &amp; Presentation · Database, SQL &amp; Data Engineering · Regulatory &amp; BFSI Domain · Process Improvement &amp; Quality Mindset</t>
        </is>
      </c>
      <c r="AA20" s="123" t="inlineStr">
        <is>
          <t>—</t>
        </is>
      </c>
      <c r="AB20" s="123" t="inlineStr">
        <is>
          <t>Core 1 · Future-ready 1 · Functional 1 · Leadership —</t>
        </is>
      </c>
      <c r="AC20" s="124" t="inlineStr">
        <is>
          <t>No direct reports</t>
        </is>
      </c>
      <c r="AD20" s="185" t="inlineStr">
        <is>
          <t>Entry / P1</t>
        </is>
      </c>
      <c r="AE20" s="131" t="inlineStr">
        <is>
          <t>Entry</t>
        </is>
      </c>
      <c r="AF20" s="186" t="inlineStr">
        <is>
          <t>1 Follow</t>
        </is>
      </c>
      <c r="AG20" s="131" t="inlineStr">
        <is>
          <t>Support Associate</t>
        </is>
      </c>
      <c r="AH20" s="131" t="inlineStr">
        <is>
          <t>Intern · MS Intern · —</t>
        </is>
      </c>
      <c r="AI20" s="131" t="inlineStr">
        <is>
          <t>Trainee · C1Y · L12 Associate</t>
        </is>
      </c>
      <c r="AJ20" s="131" t="inlineStr">
        <is>
          <t>Intern / Trainee</t>
        </is>
      </c>
      <c r="AK20" s="131" t="inlineStr">
        <is>
          <t>Radford / Pave</t>
        </is>
      </c>
      <c r="AL20" s="131" t="inlineStr">
        <is>
          <r>
            <rPr>
              <rFont val="Calibri"/>
              <b val="1"/>
              <sz val="10"/>
            </rPr>
            <t>Workiva:</t>
          </r>
          <r>
            <rPr>
              <rFont val="Calibri"/>
              <sz val="10"/>
            </rPr>
            <t xml:space="preserve"> Customer Success intern</t>
          </r>
        </is>
      </c>
      <c r="AM20" s="131" t="inlineStr">
        <is>
          <t>TSIA frameworks and benchmarks; ITIL 4 service desk; Gainsight customer-success practice</t>
        </is>
      </c>
      <c r="AN20" s="132" t="inlineStr">
        <is>
          <t>Campus / intern programme only</t>
        </is>
      </c>
      <c r="AO20" s="133" t="inlineStr">
        <is>
          <t>A2 · Associate</t>
        </is>
      </c>
      <c r="AP20" s="133" t="inlineStr">
        <is>
          <t>A2 · common path</t>
        </is>
      </c>
      <c r="AQ20" s="133" t="inlineStr">
        <is>
          <t>AI chat / knowledge-base support, customer-health analytics</t>
        </is>
      </c>
    </row>
    <row r="21" ht="67" customHeight="1">
      <c r="A21" s="109" t="inlineStr">
        <is>
          <t>Sales</t>
        </is>
      </c>
      <c r="B21" s="111" t="inlineStr">
        <is>
          <t>Sales &amp; Business Development</t>
        </is>
      </c>
      <c r="C21" s="111" t="inlineStr">
        <is>
          <t>Partnerships &amp; Alliances</t>
        </is>
      </c>
      <c r="D21" s="111" t="inlineStr">
        <is>
          <t>Senior Alliances Executive</t>
        </is>
      </c>
      <c r="E21" s="26" t="inlineStr">
        <is>
          <t>A3</t>
        </is>
      </c>
      <c r="F21" s="117" t="inlineStr">
        <is>
          <t>Senior Associate</t>
        </is>
      </c>
      <c r="G21" s="111" t="inlineStr">
        <is>
          <t>IC</t>
        </is>
      </c>
      <c r="H21" s="112" t="n">
        <v>1</v>
      </c>
      <c r="I21" s="139" t="inlineStr">
        <is>
          <t>Varied work; reviews juniors; go-to for a process</t>
        </is>
      </c>
      <c r="J21" s="115" t="inlineStr">
        <is>
          <t>Varied and non-standard work; handles exceptions</t>
        </is>
      </c>
      <c r="K21" s="115" t="inlineStr">
        <is>
          <t>Technical / QC / client calls on own work</t>
        </is>
      </c>
      <c r="L21" s="115" t="inlineStr">
        <is>
          <t>A module / process, or work with client or regulatory consequences</t>
        </is>
      </c>
      <c r="M21" s="115" t="inlineStr">
        <is>
          <t>Not scored in Band A</t>
        </is>
      </c>
      <c r="N21" s="182" t="inlineStr">
        <is>
          <t>2–4 yrs</t>
        </is>
      </c>
      <c r="O21" s="165" t="inlineStr">
        <is>
          <r>
            <rPr>
              <rFont val="Calibri"/>
              <sz val="10"/>
            </rPr>
            <t xml:space="preserve">Graduate; relevant certification preferred
</t>
          </r>
          <r>
            <rPr>
              <rFont val="Calibri"/>
              <b val="1"/>
              <sz val="10"/>
            </rPr>
            <t>Family:</t>
          </r>
          <r>
            <rPr>
              <rFont val="Calibri"/>
              <sz val="10"/>
            </rPr>
            <t xml:space="preserve"> Graduate; MBA preferred from B2</t>
          </r>
        </is>
      </c>
      <c r="P21" s="165" t="inlineStr">
        <is>
          <t>Google / HubSpot certifications</t>
        </is>
      </c>
      <c r="Q21" s="165" t="inlineStr">
        <is>
          <t>CRM hygiene; contract basics</t>
        </is>
      </c>
      <c r="R21" s="183" t="inlineStr">
        <is>
          <t>SM-A</t>
        </is>
      </c>
      <c r="S21" s="184" t="n">
        <v>0.54</v>
      </c>
      <c r="T21" s="184" t="n">
        <v>0.21</v>
      </c>
      <c r="U21" s="184" t="n">
        <v>0.04</v>
      </c>
      <c r="V21" s="184" t="n">
        <v>0</v>
      </c>
      <c r="W21" s="184" t="n">
        <v>0.1</v>
      </c>
      <c r="X21" s="184" t="n">
        <v>0.11</v>
      </c>
      <c r="Y21" s="122" t="inlineStr">
        <is>
          <t>★ Sales, Negotiation &amp; Account Growth · ★ Marketing Tech &amp; Digital Marketing</t>
        </is>
      </c>
      <c r="Z21" s="123" t="inlineStr">
        <is>
          <t>Stakeholder &amp; Client Management · Communication &amp; Presentation · Product, Platform &amp; Domain Knowledge · Strategic Thinking &amp; Business Acumen</t>
        </is>
      </c>
      <c r="AA21" s="123" t="inlineStr">
        <is>
          <t>—</t>
        </is>
      </c>
      <c r="AB21" s="123" t="inlineStr">
        <is>
          <t>Core 2 · Future-ready 2 · Functional 3 · Leadership —</t>
        </is>
      </c>
      <c r="AC21" s="124" t="inlineStr">
        <is>
          <t>None · guides 1–3 juniors informally</t>
        </is>
      </c>
      <c r="AD21" s="185" t="inlineStr">
        <is>
          <t>P2</t>
        </is>
      </c>
      <c r="AE21" s="131" t="inlineStr">
        <is>
          <t>Developing</t>
        </is>
      </c>
      <c r="AF21" s="186" t="inlineStr">
        <is>
          <t>3 Apply</t>
        </is>
      </c>
      <c r="AG21" s="131" t="inlineStr">
        <is>
          <t>SDR / Inside Sales</t>
        </is>
      </c>
      <c r="AH21" s="131" t="inlineStr">
        <is>
          <t>L3–L4 · MS 61–62 · —</t>
        </is>
      </c>
      <c r="AI21" s="131" t="inlineStr">
        <is>
          <t>JL3A · C1 · L11–L10 · Senior Analyst</t>
        </is>
      </c>
      <c r="AJ21" s="131" t="inlineStr">
        <is>
          <t>Consultant · DataTracks Senior Associate · 2–5 yrs</t>
        </is>
      </c>
      <c r="AK21" s="131" t="inlineStr">
        <is>
          <t>Radford / Pave, JobsPipe title hierarchy</t>
        </is>
      </c>
      <c r="AL21" s="131" t="inlineStr">
        <is>
          <t>IRIS Vs Competitor Benchmark — SaaS sales ladder — IC: Senior SDR</t>
        </is>
      </c>
      <c r="AM21" s="131" t="inlineStr">
        <is>
          <t>SaaS sales ladder · SDR → AE → Enterprise AE → VP / CRO; MEDDICC-style qualification</t>
        </is>
      </c>
      <c r="AN21" s="132" t="inlineStr">
        <is>
          <t>Lateral or campus · CT2 at 12 months; CT3 in programme</t>
        </is>
      </c>
      <c r="AO21" s="133" t="inlineStr">
        <is>
          <t>B1 · Specialist</t>
        </is>
      </c>
      <c r="AP21" s="133" t="inlineStr">
        <is>
          <t>B1 · Team Lead</t>
        </is>
      </c>
      <c r="AQ21" s="133" t="inlineStr">
        <is>
          <t>Data-driven selling, AI prospecting, ESG / regtech market knowledge</t>
        </is>
      </c>
    </row>
    <row r="22" ht="67" customHeight="1">
      <c r="A22" s="109" t="inlineStr">
        <is>
          <t>Sales</t>
        </is>
      </c>
      <c r="B22" s="111" t="inlineStr">
        <is>
          <t>Sales &amp; Business Development</t>
        </is>
      </c>
      <c r="C22" s="111" t="inlineStr">
        <is>
          <t>Enterprise Sales &amp; Account Management</t>
        </is>
      </c>
      <c r="D22" s="111" t="inlineStr">
        <is>
          <t>Account Executive</t>
        </is>
      </c>
      <c r="E22" s="20" t="inlineStr">
        <is>
          <t>B1</t>
        </is>
      </c>
      <c r="F22" s="18" t="inlineStr">
        <is>
          <t>Specialist</t>
        </is>
      </c>
      <c r="G22" s="111" t="inlineStr">
        <is>
          <t>IC</t>
        </is>
      </c>
      <c r="H22" s="112" t="n">
        <v>1</v>
      </c>
      <c r="I22" s="139" t="inlineStr">
        <is>
          <t>A domain / module, or a small team</t>
        </is>
      </c>
      <c r="J22" s="115" t="inlineStr">
        <is>
          <t>Domain specialist work</t>
        </is>
      </c>
      <c r="K22" s="115" t="inlineStr">
        <is>
          <t>Technical / QC / client calls for the domain</t>
        </is>
      </c>
      <c r="L22" s="115" t="inlineStr">
        <is>
          <t>A domain or a small team</t>
        </is>
      </c>
      <c r="M22" s="115" t="inlineStr">
        <is>
          <r>
            <rPr>
              <rFont val="Calibri"/>
              <b val="1"/>
              <sz val="10"/>
            </rPr>
            <t>IC:</t>
          </r>
          <r>
            <rPr>
              <rFont val="Calibri"/>
              <sz val="10"/>
            </rPr>
            <t xml:space="preserve"> mentors and reviews · People: hands-on team lead of 3–5</t>
          </r>
        </is>
      </c>
      <c r="N22" s="182" t="inlineStr">
        <is>
          <t>4–7 yrs</t>
        </is>
      </c>
      <c r="O22" s="165" t="inlineStr">
        <is>
          <r>
            <rPr>
              <rFont val="Calibri"/>
              <sz val="10"/>
            </rPr>
            <t xml:space="preserve">Graduate + relevant qualification or certification preferred
</t>
          </r>
          <r>
            <rPr>
              <rFont val="Calibri"/>
              <b val="1"/>
              <sz val="10"/>
            </rPr>
            <t>Family:</t>
          </r>
          <r>
            <rPr>
              <rFont val="Calibri"/>
              <sz val="10"/>
            </rPr>
            <t xml:space="preserve"> Graduate; MBA preferred from B2</t>
          </r>
        </is>
      </c>
      <c r="P22" s="165" t="inlineStr">
        <is>
          <t>Google / HubSpot certifications</t>
        </is>
      </c>
      <c r="Q22" s="165" t="inlineStr">
        <is>
          <t>CRM hygiene; contract basics</t>
        </is>
      </c>
      <c r="R22" s="183" t="inlineStr">
        <is>
          <t>SM-B-IC</t>
        </is>
      </c>
      <c r="S22" s="184" t="n">
        <v>0.46</v>
      </c>
      <c r="T22" s="184" t="n">
        <v>0.22</v>
      </c>
      <c r="U22" s="184" t="n">
        <v>0.05</v>
      </c>
      <c r="V22" s="184" t="n">
        <v>0.05</v>
      </c>
      <c r="W22" s="184" t="n">
        <v>0.1</v>
      </c>
      <c r="X22" s="184" t="n">
        <v>0.12</v>
      </c>
      <c r="Y22" s="122" t="inlineStr">
        <is>
          <t>★ Sales, Negotiation &amp; Account Growth · ★ Marketing Tech &amp; Digital Marketing</t>
        </is>
      </c>
      <c r="Z22" s="123" t="inlineStr">
        <is>
          <t>Stakeholder &amp; Client Management · Communication &amp; Presentation · Product, Platform &amp; Domain Knowledge · Strategic Thinking &amp; Business Acumen</t>
        </is>
      </c>
      <c r="AA22" s="123" t="inlineStr">
        <is>
          <t>—</t>
        </is>
      </c>
      <c r="AB22" s="123" t="inlineStr">
        <is>
          <t>Core 3 · Future-ready 3 · Functional 3 · Leadership 1</t>
        </is>
      </c>
      <c r="AC22" s="124" t="inlineStr">
        <is>
          <r>
            <rPr>
              <rFont val="Calibri"/>
              <b val="1"/>
              <sz val="10"/>
            </rPr>
            <t>IC:</t>
          </r>
          <r>
            <rPr>
              <rFont val="Calibri"/>
              <sz val="10"/>
            </rPr>
            <t xml:space="preserve"> none · Team Lead: 3–5</t>
          </r>
        </is>
      </c>
      <c r="AD22" s="185" t="inlineStr">
        <is>
          <t>P3</t>
        </is>
      </c>
      <c r="AE22" s="131" t="inlineStr">
        <is>
          <t>Career / · Team Lead</t>
        </is>
      </c>
      <c r="AF22" s="186" t="inlineStr">
        <is>
          <t>4 Enable</t>
        </is>
      </c>
      <c r="AG22" s="131" t="inlineStr">
        <is>
          <t>Account Executive</t>
        </is>
      </c>
      <c r="AH22" s="131" t="inlineStr">
        <is>
          <t>L4 · MS 62 · —</t>
        </is>
      </c>
      <c r="AI22" s="131" t="inlineStr">
        <is>
          <t>JL4 · C2 · L9 Team Lead / Consultant</t>
        </is>
      </c>
      <c r="AJ22" s="131" t="inlineStr">
        <is>
          <t>Senior Consultant / Assistant Manager</t>
        </is>
      </c>
      <c r="AK22" s="131" t="inlineStr">
        <is>
          <t>Radford / Pave, JobsPipe title hierarchy</t>
        </is>
      </c>
      <c r="AL22" s="131" t="inlineStr">
        <is>
          <t>IRIS Vs Competitor Benchmark — SaaS sales ladder — IC: Account Executive · SMB · IRIS Vs Competitor Benchmark — SaaS sales ladder — management: SDR Team Lead</t>
        </is>
      </c>
      <c r="AM22" s="131" t="inlineStr">
        <is>
          <t>SaaS sales ladder · SDR → AE → Enterprise AE → VP / CRO; MEDDICC-style qualification</t>
        </is>
      </c>
      <c r="AN22" s="132" t="inlineStr">
        <is>
          <t>Lateral; Management Trainees graduate here</t>
        </is>
      </c>
      <c r="AO22" s="133" t="inlineStr">
        <is>
          <t>B2 · Senior Specialist</t>
        </is>
      </c>
      <c r="AP22" s="133" t="inlineStr">
        <is>
          <t>B2 · Manager</t>
        </is>
      </c>
      <c r="AQ22" s="133" t="inlineStr">
        <is>
          <t>Data-driven selling, AI prospecting, ESG / regtech market knowledge</t>
        </is>
      </c>
    </row>
    <row r="23" ht="67" customHeight="1">
      <c r="A23" s="109" t="inlineStr">
        <is>
          <t>Sales</t>
        </is>
      </c>
      <c r="B23" s="111" t="inlineStr">
        <is>
          <t>Sales &amp; Business Development</t>
        </is>
      </c>
      <c r="C23" s="111" t="inlineStr">
        <is>
          <t>Enterprise Sales &amp; Account Management</t>
        </is>
      </c>
      <c r="D23" s="111" t="inlineStr">
        <is>
          <t>Senior Account Executive</t>
        </is>
      </c>
      <c r="E23" s="20" t="inlineStr">
        <is>
          <t>B2</t>
        </is>
      </c>
      <c r="F23" s="18" t="inlineStr">
        <is>
          <t>Senior Specialist</t>
        </is>
      </c>
      <c r="G23" s="111" t="inlineStr">
        <is>
          <t>IC</t>
        </is>
      </c>
      <c r="H23" s="112" t="n">
        <v>1</v>
      </c>
      <c r="I23" s="139" t="inlineStr">
        <is>
          <t>Deep domain expertise, or one team</t>
        </is>
      </c>
      <c r="J23" s="115" t="inlineStr">
        <is>
          <t>Hardest problems in the domain</t>
        </is>
      </c>
      <c r="K23" s="115" t="inlineStr">
        <is>
          <t>Allocates people and sets team priorities</t>
        </is>
      </c>
      <c r="L23" s="115" t="inlineStr">
        <is>
          <t>One team or a client portfolio</t>
        </is>
      </c>
      <c r="M23" s="115" t="inlineStr">
        <is>
          <r>
            <rPr>
              <rFont val="Calibri"/>
              <b val="1"/>
              <sz val="10"/>
            </rPr>
            <t>IC:</t>
          </r>
          <r>
            <rPr>
              <rFont val="Calibri"/>
              <sz val="10"/>
            </rPr>
            <t xml:space="preserve"> guides others in the domain · People: manages a team of 6+</t>
          </r>
        </is>
      </c>
      <c r="N23" s="182" t="inlineStr">
        <is>
          <t>6–9 yrs</t>
        </is>
      </c>
      <c r="O23" s="165" t="inlineStr">
        <is>
          <r>
            <rPr>
              <rFont val="Calibri"/>
              <sz val="10"/>
            </rPr>
            <t xml:space="preserve">Graduate or postgraduate; professional qualification preferred
</t>
          </r>
          <r>
            <rPr>
              <rFont val="Calibri"/>
              <b val="1"/>
              <sz val="10"/>
            </rPr>
            <t>Family:</t>
          </r>
          <r>
            <rPr>
              <rFont val="Calibri"/>
              <sz val="10"/>
            </rPr>
            <t xml:space="preserve"> Graduate; MBA preferred from B2</t>
          </r>
        </is>
      </c>
      <c r="P23" s="165" t="inlineStr">
        <is>
          <t>Google / HubSpot certifications</t>
        </is>
      </c>
      <c r="Q23" s="165" t="inlineStr">
        <is>
          <t>CRM hygiene; contract basics</t>
        </is>
      </c>
      <c r="R23" s="183" t="inlineStr">
        <is>
          <t>SM-B-IC</t>
        </is>
      </c>
      <c r="S23" s="184" t="n">
        <v>0.46</v>
      </c>
      <c r="T23" s="184" t="n">
        <v>0.22</v>
      </c>
      <c r="U23" s="184" t="n">
        <v>0.05</v>
      </c>
      <c r="V23" s="184" t="n">
        <v>0.05</v>
      </c>
      <c r="W23" s="184" t="n">
        <v>0.1</v>
      </c>
      <c r="X23" s="184" t="n">
        <v>0.12</v>
      </c>
      <c r="Y23" s="122" t="inlineStr">
        <is>
          <t>★ Sales, Negotiation &amp; Account Growth · ★ Marketing Tech &amp; Digital Marketing</t>
        </is>
      </c>
      <c r="Z23" s="123" t="inlineStr">
        <is>
          <t>Stakeholder &amp; Client Management · Communication &amp; Presentation · Product, Platform &amp; Domain Knowledge · Strategic Thinking &amp; Business Acumen</t>
        </is>
      </c>
      <c r="AA23" s="123" t="inlineStr">
        <is>
          <t>—</t>
        </is>
      </c>
      <c r="AB23" s="123" t="inlineStr">
        <is>
          <t>Core 3 · Future-ready 3 · Functional 4 · Leadership 2</t>
        </is>
      </c>
      <c r="AC23" s="124" t="inlineStr">
        <is>
          <r>
            <rPr>
              <rFont val="Calibri"/>
              <b val="1"/>
              <sz val="10"/>
            </rPr>
            <t>IC:</t>
          </r>
          <r>
            <rPr>
              <rFont val="Calibri"/>
              <sz val="10"/>
            </rPr>
            <t xml:space="preserve"> none · People: 6–8 knowledge work, 8–12 standardised delivery</t>
          </r>
        </is>
      </c>
      <c r="AD23" s="185" t="inlineStr">
        <is>
          <t>P4</t>
        </is>
      </c>
      <c r="AE23" s="131" t="inlineStr">
        <is>
          <t>Senior / Manager</t>
        </is>
      </c>
      <c r="AF23" s="186" t="inlineStr">
        <is>
          <t>4–5</t>
        </is>
      </c>
      <c r="AG23" s="131" t="inlineStr">
        <is>
          <t>Senior Account Executive</t>
        </is>
      </c>
      <c r="AH23" s="131" t="inlineStr">
        <is>
          <t>L5 · MS 63 · —</t>
        </is>
      </c>
      <c r="AI23" s="131" t="inlineStr">
        <is>
          <t>JL5 · C3A · L8 Associate Manager</t>
        </is>
      </c>
      <c r="AJ23" s="131" t="inlineStr">
        <is>
          <t>Manager</t>
        </is>
      </c>
      <c r="AK23" s="131" t="inlineStr">
        <is>
          <t>Radford / Pave, JobsPipe title hierarchy</t>
        </is>
      </c>
      <c r="AL23" s="131" t="inlineStr">
        <is>
          <t>IRIS Vs Competitor Benchmark — SaaS sales ladder — IC: Mid-Market AE · IRIS Vs Competitor Benchmark — SaaS sales ladder — management: Sales Manager</t>
        </is>
      </c>
      <c r="AM23" s="131" t="inlineStr">
        <is>
          <t>SaaS sales ladder · SDR → AE → Enterprise AE → VP / CRO; MEDDICC-style qualification</t>
        </is>
      </c>
      <c r="AN23" s="132" t="inlineStr">
        <is>
          <t>Lateral</t>
        </is>
      </c>
      <c r="AO23" s="133" t="inlineStr">
        <is>
          <t>B3 · Lead Specialist</t>
        </is>
      </c>
      <c r="AP23" s="133" t="inlineStr">
        <is>
          <t>B3 · Senior Manager</t>
        </is>
      </c>
      <c r="AQ23" s="133" t="inlineStr">
        <is>
          <t>Data-driven selling, AI prospecting, ESG / regtech market knowledge</t>
        </is>
      </c>
    </row>
    <row r="24">
      <c r="A24" s="187" t="n"/>
      <c r="B24" s="188" t="n"/>
      <c r="C24" s="188" t="n"/>
      <c r="D24" s="188" t="n"/>
      <c r="E24" s="188" t="n"/>
      <c r="F24" s="188" t="n"/>
      <c r="G24" s="188" t="n"/>
      <c r="H24" s="188" t="n"/>
      <c r="I24" s="189" t="n"/>
      <c r="J24" s="190" t="n"/>
      <c r="K24" s="190" t="n"/>
      <c r="L24" s="190" t="n"/>
      <c r="M24" s="190" t="n"/>
      <c r="N24" s="191" t="n"/>
      <c r="O24" s="192" t="n"/>
      <c r="P24" s="192" t="n"/>
      <c r="Q24" s="192" t="n"/>
      <c r="R24" s="193" t="n"/>
      <c r="S24" s="194" t="n"/>
      <c r="T24" s="194" t="n"/>
      <c r="U24" s="194" t="n"/>
      <c r="V24" s="194" t="n"/>
      <c r="W24" s="194" t="n"/>
      <c r="X24" s="194" t="n"/>
      <c r="Y24" s="195" t="n"/>
      <c r="Z24" s="196" t="n"/>
      <c r="AA24" s="196" t="n"/>
      <c r="AB24" s="196" t="n"/>
      <c r="AC24" s="197" t="n"/>
      <c r="AD24" s="198" t="n"/>
      <c r="AE24" s="199" t="n"/>
      <c r="AF24" s="199" t="n"/>
      <c r="AG24" s="199" t="n"/>
      <c r="AH24" s="199" t="n"/>
      <c r="AI24" s="199" t="n"/>
      <c r="AJ24" s="199" t="n"/>
      <c r="AK24" s="199" t="n"/>
      <c r="AL24" s="199" t="n"/>
      <c r="AM24" s="199" t="n"/>
      <c r="AN24" s="200" t="n"/>
      <c r="AO24" s="201" t="n"/>
      <c r="AP24" s="201" t="n"/>
      <c r="AQ24" s="201" t="n"/>
    </row>
    <row r="25" ht="20" customHeight="1">
      <c r="A25" s="161" t="inlineStr">
        <is>
          <t>Technology — 33 people · 17 roles · Technology &amp; engineering · levels A1–B+</t>
        </is>
      </c>
    </row>
    <row r="26" ht="67" customHeight="1">
      <c r="A26" s="109" t="inlineStr">
        <is>
          <t>Technology</t>
        </is>
      </c>
      <c r="B26" s="111" t="inlineStr">
        <is>
          <t>Engineering &amp; Development</t>
        </is>
      </c>
      <c r="C26" s="111" t="inlineStr">
        <is>
          <t>Full-Stack Development; Backend Development</t>
        </is>
      </c>
      <c r="D26" s="111" t="inlineStr">
        <is>
          <t>Trainee Software Engineer</t>
        </is>
      </c>
      <c r="E26" s="26" t="inlineStr">
        <is>
          <t>A1</t>
        </is>
      </c>
      <c r="F26" s="117" t="inlineStr">
        <is>
          <t>Intern / Trainee</t>
        </is>
      </c>
      <c r="G26" s="111" t="inlineStr">
        <is>
          <t>IC</t>
        </is>
      </c>
      <c r="H26" s="112" t="n">
        <v>2</v>
      </c>
      <c r="I26" s="139" t="inlineStr">
        <is>
          <t>Learning the role; all work reviewed</t>
        </is>
      </c>
      <c r="J26" s="115" t="inlineStr">
        <is>
          <t>Learning; follows worked examples</t>
        </is>
      </c>
      <c r="K26" s="115" t="inlineStr">
        <is>
          <t>Needs approval / close guidance</t>
        </is>
      </c>
      <c r="L26" s="115" t="inlineStr">
        <is>
          <t>Learning tasks</t>
        </is>
      </c>
      <c r="M26" s="115" t="inlineStr">
        <is>
          <t>Not scored in Band A</t>
        </is>
      </c>
      <c r="N26" s="182" t="inlineStr">
        <is>
          <t>0 yrs · fresher / intern</t>
        </is>
      </c>
      <c r="O26" s="165" t="inlineStr">
        <is>
          <r>
            <rPr>
              <rFont val="Calibri"/>
              <sz val="10"/>
            </rPr>
            <t xml:space="preserve">Pursuing or completed graduation / diploma
</t>
          </r>
          <r>
            <rPr>
              <rFont val="Calibri"/>
              <b val="1"/>
              <sz val="10"/>
            </rPr>
            <t>Family:</t>
          </r>
          <r>
            <rPr>
              <rFont val="Calibri"/>
              <sz val="10"/>
            </rPr>
            <t xml:space="preserve"> BE / B.Tech / MCA / M.Tech / B.Sc · CS</t>
          </r>
        </is>
      </c>
      <c r="P26" s="165" t="inlineStr">
        <is>
          <t>Cloud / language certifications · optional; AWS / Azure architect · optional</t>
        </is>
      </c>
      <c r="Q26" s="165" t="inlineStr">
        <is>
          <t>Secure coding · OWASP, code review, unit testing</t>
        </is>
      </c>
      <c r="R26" s="183" t="inlineStr">
        <is>
          <t>—</t>
        </is>
      </c>
      <c r="S26" s="166" t="n"/>
      <c r="T26" s="166" t="n"/>
      <c r="U26" s="166" t="n"/>
      <c r="V26" s="166" t="n"/>
      <c r="W26" s="166" t="n"/>
      <c r="X26" s="166" t="n"/>
      <c r="Y26" s="122" t="inlineStr">
        <is>
          <t>★ Programming &amp; Tech-Stack Depth · ★ System Design &amp; Architecture</t>
        </is>
      </c>
      <c r="Z26" s="123" t="inlineStr">
        <is>
          <t>Database, SQL &amp; Data Engineering · Cloud, DevOps &amp; CI/CD · AI, GenAI &amp; Prompt Engineering · Product, Platform &amp; Domain Knowledge</t>
        </is>
      </c>
      <c r="AA26" s="123" t="inlineStr">
        <is>
          <t>—</t>
        </is>
      </c>
      <c r="AB26" s="123" t="inlineStr">
        <is>
          <t>Core 1 · Future-ready 1 · Functional 1 · Leadership —</t>
        </is>
      </c>
      <c r="AC26" s="124" t="inlineStr">
        <is>
          <t>No direct reports</t>
        </is>
      </c>
      <c r="AD26" s="185" t="inlineStr">
        <is>
          <t>Entry / P1</t>
        </is>
      </c>
      <c r="AE26" s="131" t="inlineStr">
        <is>
          <t>Entry</t>
        </is>
      </c>
      <c r="AF26" s="186" t="inlineStr">
        <is>
          <t>1 Follow</t>
        </is>
      </c>
      <c r="AG26" s="131" t="inlineStr">
        <is>
          <t>Associate Software Engineer</t>
        </is>
      </c>
      <c r="AH26" s="131" t="inlineStr">
        <is>
          <t>Intern · MS Intern · Intern</t>
        </is>
      </c>
      <c r="AI26" s="131" t="inlineStr">
        <is>
          <t>Trainee · C1Y ASE Trainee · L12 Associate</t>
        </is>
      </c>
      <c r="AJ26" s="131" t="inlineStr">
        <is>
          <t>Intern / Trainee</t>
        </is>
      </c>
      <c r="AK26" s="131" t="inlineStr">
        <is>
          <t>Workiva · Levels.fyi, Radford / Pave</t>
        </is>
      </c>
      <c r="AL26" s="131" t="inlineStr">
        <is>
          <t>—</t>
        </is>
      </c>
      <c r="AM26" s="131" t="inlineStr">
        <is>
          <t>SFIA 9 · software development, programming; OWASP secure coding; cloud vendor certifications</t>
        </is>
      </c>
      <c r="AN26" s="132" t="inlineStr">
        <is>
          <t>Campus / intern programme only</t>
        </is>
      </c>
      <c r="AO26" s="133" t="inlineStr">
        <is>
          <t>A2 · Associate</t>
        </is>
      </c>
      <c r="AP26" s="133" t="inlineStr">
        <is>
          <t>A2 · common path</t>
        </is>
      </c>
      <c r="AQ26" s="133" t="inlineStr">
        <is>
          <t>AI-assisted coding, cloud-native &amp; API-first design, LLM integration</t>
        </is>
      </c>
    </row>
    <row r="27" ht="67" customHeight="1">
      <c r="A27" s="109" t="inlineStr">
        <is>
          <t>Technology</t>
        </is>
      </c>
      <c r="B27" s="111" t="inlineStr">
        <is>
          <t>Customer Success &amp; Support</t>
        </is>
      </c>
      <c r="C27" s="111" t="inlineStr">
        <is>
          <t>Application &amp; Product Support</t>
        </is>
      </c>
      <c r="D27" s="111" t="inlineStr">
        <is>
          <t>Support Executive</t>
        </is>
      </c>
      <c r="E27" s="26" t="inlineStr">
        <is>
          <t>A2</t>
        </is>
      </c>
      <c r="F27" s="117" t="inlineStr">
        <is>
          <t>Associate</t>
        </is>
      </c>
      <c r="G27" s="111" t="inlineStr">
        <is>
          <t>IC</t>
        </is>
      </c>
      <c r="H27" s="112" t="n">
        <v>1</v>
      </c>
      <c r="I27" s="139" t="inlineStr">
        <is>
          <t>Standard work delivered independently</t>
        </is>
      </c>
      <c r="J27" s="115" t="inlineStr">
        <is>
          <t>Standard work of the discipline</t>
        </is>
      </c>
      <c r="K27" s="115" t="inlineStr">
        <is>
          <t>Chooses own approach within standards</t>
        </is>
      </c>
      <c r="L27" s="115" t="inlineStr">
        <is>
          <t>Own deliverables · accuracy, TAT</t>
        </is>
      </c>
      <c r="M27" s="115" t="inlineStr">
        <is>
          <t>Not scored in Band A</t>
        </is>
      </c>
      <c r="N27" s="182" t="inlineStr">
        <is>
          <t>0–2 yrs</t>
        </is>
      </c>
      <c r="O27" s="165" t="inlineStr">
        <is>
          <r>
            <rPr>
              <rFont val="Calibri"/>
              <sz val="10"/>
            </rPr>
            <t xml:space="preserve">Graduate · or diploma with experience
</t>
          </r>
          <r>
            <rPr>
              <rFont val="Calibri"/>
              <b val="1"/>
              <sz val="10"/>
            </rPr>
            <t>Family:</t>
          </r>
          <r>
            <rPr>
              <rFont val="Calibri"/>
              <sz val="10"/>
            </rPr>
            <t xml:space="preserve"> Graduate</t>
          </r>
        </is>
      </c>
      <c r="P27" s="165" t="inlineStr">
        <is>
          <t>Internal product certification</t>
        </is>
      </c>
      <c r="Q27" s="165" t="inlineStr">
        <is>
          <t>ITIL / service-desk practice; SLA management</t>
        </is>
      </c>
      <c r="R27" s="183" t="inlineStr">
        <is>
          <t>TE-A</t>
        </is>
      </c>
      <c r="S27" s="184" t="n">
        <v>0.64</v>
      </c>
      <c r="T27" s="184" t="n">
        <v>0.16</v>
      </c>
      <c r="U27" s="184" t="n">
        <v>0.04</v>
      </c>
      <c r="V27" s="184" t="n">
        <v>0</v>
      </c>
      <c r="W27" s="184" t="n">
        <v>0.1</v>
      </c>
      <c r="X27" s="184" t="n">
        <v>0.06</v>
      </c>
      <c r="Y27" s="122" t="inlineStr">
        <is>
          <t>★ Product, Platform &amp; Domain Knowledge · ★ Stakeholder &amp; Client Management</t>
        </is>
      </c>
      <c r="Z27" s="123" t="inlineStr">
        <is>
          <t>Communication &amp; Presentation · Database, SQL &amp; Data Engineering · Regulatory &amp; BFSI Domain · Process Improvement &amp; Quality Mindset</t>
        </is>
      </c>
      <c r="AA27" s="123" t="inlineStr">
        <is>
          <t>—</t>
        </is>
      </c>
      <c r="AB27" s="123" t="inlineStr">
        <is>
          <t>Core 2 · Future-ready 2 · Functional 2 · Leadership —</t>
        </is>
      </c>
      <c r="AC27" s="124" t="inlineStr">
        <is>
          <t>No direct reports</t>
        </is>
      </c>
      <c r="AD27" s="185" t="inlineStr">
        <is>
          <t>P1–P2</t>
        </is>
      </c>
      <c r="AE27" s="131" t="inlineStr">
        <is>
          <t>Entry / Developing</t>
        </is>
      </c>
      <c r="AF27" s="186" t="inlineStr">
        <is>
          <t>2 Assist</t>
        </is>
      </c>
      <c r="AG27" s="131" t="inlineStr">
        <is>
          <t>Support Associate / Support / CS Executive</t>
        </is>
      </c>
      <c r="AH27" s="131" t="inlineStr">
        <is>
          <t>L3 · MS 59–60 · —</t>
        </is>
      </c>
      <c r="AI27" s="131" t="inlineStr">
        <is>
          <t>JL3B · C1 · L11 Analyst</t>
        </is>
      </c>
      <c r="AJ27" s="131" t="inlineStr">
        <is>
          <t>Analyst · DataTracks Associate</t>
        </is>
      </c>
      <c r="AK27" s="131" t="inlineStr">
        <is>
          <t>Radford / Pave</t>
        </is>
      </c>
      <c r="AL27" s="131" t="inlineStr">
        <is>
          <t>IRIS Vs Competitor Benchmark — SaaS customer-success ladder: Support Associate · IRIS Vs Competitor Benchmark — support tiers: L1 Service Desk</t>
        </is>
      </c>
      <c r="AM27" s="131" t="inlineStr">
        <is>
          <t>TSIA frameworks and benchmarks; ITIL 4 service desk; Gainsight customer-success practice</t>
        </is>
      </c>
      <c r="AN27" s="132" t="inlineStr">
        <is>
          <t>Lateral or campus · CT1 on confirmation; CT2 on joining</t>
        </is>
      </c>
      <c r="AO27" s="133" t="inlineStr">
        <is>
          <t>A3 · Senior Associate</t>
        </is>
      </c>
      <c r="AP27" s="133" t="inlineStr">
        <is>
          <t>A3 · common path</t>
        </is>
      </c>
      <c r="AQ27" s="133" t="inlineStr">
        <is>
          <t>AI chat / knowledge-base support, customer-health analytics</t>
        </is>
      </c>
    </row>
    <row r="28" ht="67" customHeight="1">
      <c r="A28" s="109" t="inlineStr">
        <is>
          <t>Technology</t>
        </is>
      </c>
      <c r="B28" s="111" t="inlineStr">
        <is>
          <t>Engineering &amp; Development</t>
        </is>
      </c>
      <c r="C28" s="111" t="inlineStr">
        <is>
          <t>Backend Development</t>
        </is>
      </c>
      <c r="D28" s="111" t="inlineStr">
        <is>
          <t>Software Engineer</t>
        </is>
      </c>
      <c r="E28" s="26" t="inlineStr">
        <is>
          <t>A2</t>
        </is>
      </c>
      <c r="F28" s="117" t="inlineStr">
        <is>
          <t>Associate</t>
        </is>
      </c>
      <c r="G28" s="111" t="inlineStr">
        <is>
          <t>IC</t>
        </is>
      </c>
      <c r="H28" s="112" t="n">
        <v>2</v>
      </c>
      <c r="I28" s="139" t="inlineStr">
        <is>
          <t>Standard work delivered independently</t>
        </is>
      </c>
      <c r="J28" s="115" t="inlineStr">
        <is>
          <t>Standard work of the discipline</t>
        </is>
      </c>
      <c r="K28" s="115" t="inlineStr">
        <is>
          <t>Chooses own approach within standards</t>
        </is>
      </c>
      <c r="L28" s="115" t="inlineStr">
        <is>
          <t>Own deliverables · accuracy, TAT</t>
        </is>
      </c>
      <c r="M28" s="115" t="inlineStr">
        <is>
          <t>Not scored in Band A</t>
        </is>
      </c>
      <c r="N28" s="182" t="inlineStr">
        <is>
          <t>0–2 yrs</t>
        </is>
      </c>
      <c r="O28" s="165" t="inlineStr">
        <is>
          <r>
            <rPr>
              <rFont val="Calibri"/>
              <sz val="10"/>
            </rPr>
            <t xml:space="preserve">Graduate · or diploma with experience
</t>
          </r>
          <r>
            <rPr>
              <rFont val="Calibri"/>
              <b val="1"/>
              <sz val="10"/>
            </rPr>
            <t>Family:</t>
          </r>
          <r>
            <rPr>
              <rFont val="Calibri"/>
              <sz val="10"/>
            </rPr>
            <t xml:space="preserve"> BE / B.Tech / MCA / M.Tech / B.Sc · CS</t>
          </r>
        </is>
      </c>
      <c r="P28" s="165" t="inlineStr">
        <is>
          <t>Cloud / language certifications · optional; AWS / Azure architect · optional</t>
        </is>
      </c>
      <c r="Q28" s="165" t="inlineStr">
        <is>
          <t>Secure coding · OWASP, code review, unit testing</t>
        </is>
      </c>
      <c r="R28" s="183" t="inlineStr">
        <is>
          <t>TE-A</t>
        </is>
      </c>
      <c r="S28" s="184" t="n">
        <v>0.64</v>
      </c>
      <c r="T28" s="184" t="n">
        <v>0.16</v>
      </c>
      <c r="U28" s="184" t="n">
        <v>0.04</v>
      </c>
      <c r="V28" s="184" t="n">
        <v>0</v>
      </c>
      <c r="W28" s="184" t="n">
        <v>0.1</v>
      </c>
      <c r="X28" s="184" t="n">
        <v>0.06</v>
      </c>
      <c r="Y28" s="122" t="inlineStr">
        <is>
          <t>★ Programming &amp; Tech-Stack Depth · ★ System Design &amp; Architecture</t>
        </is>
      </c>
      <c r="Z28" s="123" t="inlineStr">
        <is>
          <t>Database, SQL &amp; Data Engineering · Cloud, DevOps &amp; CI/CD · AI, GenAI &amp; Prompt Engineering · Product, Platform &amp; Domain Knowledge</t>
        </is>
      </c>
      <c r="AA28" s="123" t="inlineStr">
        <is>
          <t>—</t>
        </is>
      </c>
      <c r="AB28" s="123" t="inlineStr">
        <is>
          <t>Core 2 · Future-ready 2 · Functional 2 · Leadership —</t>
        </is>
      </c>
      <c r="AC28" s="124" t="inlineStr">
        <is>
          <t>No direct reports</t>
        </is>
      </c>
      <c r="AD28" s="185" t="inlineStr">
        <is>
          <t>P1–P2</t>
        </is>
      </c>
      <c r="AE28" s="131" t="inlineStr">
        <is>
          <t>Entry / Developing</t>
        </is>
      </c>
      <c r="AF28" s="186" t="inlineStr">
        <is>
          <t>2 Assist</t>
        </is>
      </c>
      <c r="AG28" s="131" t="inlineStr">
        <is>
          <t>Associate Software Engineer / Software Engineer</t>
        </is>
      </c>
      <c r="AH28" s="131" t="inlineStr">
        <is>
          <t>L3 · MS 59–60 · Associate SE</t>
        </is>
      </c>
      <c r="AI28" s="131" t="inlineStr">
        <is>
          <t>JL3B Systems Engineer · C1 Assistant System Engineer · L11 Analyst</t>
        </is>
      </c>
      <c r="AJ28" s="131" t="inlineStr">
        <is>
          <t>Analyst · DataTracks Associate</t>
        </is>
      </c>
      <c r="AK28" s="131" t="inlineStr">
        <is>
          <t>Workiva · Levels.fyi, Radford / Pave</t>
        </is>
      </c>
      <c r="AL28" s="131" t="inlineStr">
        <is>
          <r>
            <rPr>
              <rFont val="Calibri"/>
              <b val="1"/>
              <sz val="10"/>
            </rPr>
            <t>Workiva:</t>
          </r>
          <r>
            <rPr>
              <rFont val="Calibri"/>
              <sz val="10"/>
            </rPr>
            <t xml:space="preserve"> Associate SE · Broadridge India: SE · Nasdaq / AxiomSL: SE · Salesforce: AMTS · Atlassian: P30 Junior · 0–2 yrs · Freshworks: SE · Clear: SDE1</t>
          </r>
        </is>
      </c>
      <c r="AM28" s="131" t="inlineStr">
        <is>
          <t>SFIA 9 · software development, programming; OWASP secure coding; cloud vendor certifications</t>
        </is>
      </c>
      <c r="AN28" s="132" t="inlineStr">
        <is>
          <t>Lateral or campus · CT1 on confirmation; CT2 on joining</t>
        </is>
      </c>
      <c r="AO28" s="133" t="inlineStr">
        <is>
          <t>A3 · Senior Associate</t>
        </is>
      </c>
      <c r="AP28" s="133" t="inlineStr">
        <is>
          <t>A3 · common path</t>
        </is>
      </c>
      <c r="AQ28" s="133" t="inlineStr">
        <is>
          <t>AI-assisted coding, cloud-native &amp; API-first design, LLM integration</t>
        </is>
      </c>
    </row>
    <row r="29" ht="80" customHeight="1">
      <c r="A29" s="109" t="inlineStr">
        <is>
          <t>Technology</t>
        </is>
      </c>
      <c r="B29" s="111" t="inlineStr">
        <is>
          <t>Business Analysis</t>
        </is>
      </c>
      <c r="C29" s="111" t="inlineStr">
        <is>
          <t>Business Analysis</t>
        </is>
      </c>
      <c r="D29" s="111" t="inlineStr">
        <is>
          <t>Senior Business Analyst</t>
        </is>
      </c>
      <c r="E29" s="26" t="inlineStr">
        <is>
          <t>A3</t>
        </is>
      </c>
      <c r="F29" s="117" t="inlineStr">
        <is>
          <t>Senior Associate</t>
        </is>
      </c>
      <c r="G29" s="111" t="inlineStr">
        <is>
          <t>IC</t>
        </is>
      </c>
      <c r="H29" s="112" t="n">
        <v>8</v>
      </c>
      <c r="I29" s="139" t="inlineStr">
        <is>
          <t>Varied work; reviews juniors; go-to for a process</t>
        </is>
      </c>
      <c r="J29" s="115" t="inlineStr">
        <is>
          <t>Varied and non-standard work; handles exceptions</t>
        </is>
      </c>
      <c r="K29" s="115" t="inlineStr">
        <is>
          <t>Technical / QC / client calls on own work</t>
        </is>
      </c>
      <c r="L29" s="115" t="inlineStr">
        <is>
          <t>A module / process, or work with client or regulatory consequences</t>
        </is>
      </c>
      <c r="M29" s="115" t="inlineStr">
        <is>
          <t>Not scored in Band A</t>
        </is>
      </c>
      <c r="N29" s="182" t="inlineStr">
        <is>
          <t>2–4 yrs</t>
        </is>
      </c>
      <c r="O29" s="165" t="inlineStr">
        <is>
          <r>
            <rPr>
              <rFont val="Calibri"/>
              <sz val="10"/>
            </rPr>
            <t xml:space="preserve">Graduate; relevant certification preferred
</t>
          </r>
          <r>
            <rPr>
              <rFont val="Calibri"/>
              <b val="1"/>
              <sz val="10"/>
            </rPr>
            <t>Family:</t>
          </r>
          <r>
            <rPr>
              <rFont val="Calibri"/>
              <sz val="10"/>
            </rPr>
            <t xml:space="preserve"> Commerce or engineering graduate; MBA a plus</t>
          </r>
        </is>
      </c>
      <c r="P29" s="165" t="inlineStr">
        <is>
          <t>CBAP / CCBA · optional; Domain certifications · optional</t>
        </is>
      </c>
      <c r="Q29" s="165" t="inlineStr">
        <is>
          <t>Regulatory reporting domain · RBI / SEBI / IRDAI / SEC</t>
        </is>
      </c>
      <c r="R29" s="183" t="inlineStr">
        <is>
          <t>TE-A</t>
        </is>
      </c>
      <c r="S29" s="184" t="n">
        <v>0.64</v>
      </c>
      <c r="T29" s="184" t="n">
        <v>0.16</v>
      </c>
      <c r="U29" s="184" t="n">
        <v>0.04</v>
      </c>
      <c r="V29" s="184" t="n">
        <v>0</v>
      </c>
      <c r="W29" s="184" t="n">
        <v>0.1</v>
      </c>
      <c r="X29" s="184" t="n">
        <v>0.06</v>
      </c>
      <c r="Y29" s="122" t="inlineStr">
        <is>
          <t>★ Business Analysis &amp; Requirements Engineering · ★ Regulatory &amp; BFSI Domain</t>
        </is>
      </c>
      <c r="Z29" s="123" t="inlineStr">
        <is>
          <t>Product, Platform &amp; Domain Knowledge · Database, SQL &amp; Data Engineering · Stakeholder &amp; Client Management · Communication &amp; Presentation</t>
        </is>
      </c>
      <c r="AA29" s="123" t="inlineStr">
        <is>
          <t>—</t>
        </is>
      </c>
      <c r="AB29" s="123" t="inlineStr">
        <is>
          <t>Core 2 · Future-ready 2 · Functional 3 · Leadership —</t>
        </is>
      </c>
      <c r="AC29" s="124" t="inlineStr">
        <is>
          <t>None · guides 1–3 juniors informally</t>
        </is>
      </c>
      <c r="AD29" s="185" t="inlineStr">
        <is>
          <t>P2</t>
        </is>
      </c>
      <c r="AE29" s="131" t="inlineStr">
        <is>
          <t>Developing</t>
        </is>
      </c>
      <c r="AF29" s="186" t="inlineStr">
        <is>
          <t>3 Apply</t>
        </is>
      </c>
      <c r="AG29" s="131" t="inlineStr">
        <is>
          <t>Business Analyst</t>
        </is>
      </c>
      <c r="AH29" s="131" t="inlineStr">
        <is>
          <t>L3–L4 · MS 61–62 · —</t>
        </is>
      </c>
      <c r="AI29" s="131" t="inlineStr">
        <is>
          <t>JL3A · C1 · L11–L10 · Senior Analyst</t>
        </is>
      </c>
      <c r="AJ29" s="131" t="inlineStr">
        <is>
          <t>Consultant · DataTracks Senior Associate · 2–5 yrs</t>
        </is>
      </c>
      <c r="AK29" s="131" t="inlineStr">
        <is>
          <t>Radford / Pave</t>
        </is>
      </c>
      <c r="AL29" s="131" t="inlineStr">
        <is>
          <t>Regnology — regulatory reporting: Junior BA · Reg Reporting · Big Four consulting: Consultant · IRIS Vs Market Benchmark — IIBA certification pathway: ECBA · Infosys / Accenture: JL3A · L10 Senior Analyst</t>
        </is>
      </c>
      <c r="AM29" s="131" t="inlineStr">
        <is>
          <t>IIBA BABOK v3; certifications ECBA · entry → CCBA → CBAP · senior</t>
        </is>
      </c>
      <c r="AN29" s="132" t="inlineStr">
        <is>
          <t>Lateral or campus · CT2 at 12 months; CT3 in programme</t>
        </is>
      </c>
      <c r="AO29" s="133" t="inlineStr">
        <is>
          <t>B1 · Specialist</t>
        </is>
      </c>
      <c r="AP29" s="133" t="inlineStr">
        <is>
          <t>B1 · Team Lead</t>
        </is>
      </c>
      <c r="AQ29" s="133" t="inlineStr">
        <is>
          <t>AI-assisted requirement analysis, data-driven product decisions</t>
        </is>
      </c>
    </row>
    <row r="30" ht="67" customHeight="1">
      <c r="A30" s="109" t="inlineStr">
        <is>
          <t>Technology</t>
        </is>
      </c>
      <c r="B30" s="111" t="inlineStr">
        <is>
          <t>Customer Success &amp; Support</t>
        </is>
      </c>
      <c r="C30" s="111" t="inlineStr">
        <is>
          <t>Application &amp; Product Support</t>
        </is>
      </c>
      <c r="D30" s="111" t="inlineStr">
        <is>
          <t>Senior Support Executive</t>
        </is>
      </c>
      <c r="E30" s="26" t="inlineStr">
        <is>
          <t>A3</t>
        </is>
      </c>
      <c r="F30" s="117" t="inlineStr">
        <is>
          <t>Senior Associate</t>
        </is>
      </c>
      <c r="G30" s="111" t="inlineStr">
        <is>
          <t>IC</t>
        </is>
      </c>
      <c r="H30" s="112" t="n">
        <v>1</v>
      </c>
      <c r="I30" s="139" t="inlineStr">
        <is>
          <t>Varied work; reviews juniors; go-to for a process</t>
        </is>
      </c>
      <c r="J30" s="115" t="inlineStr">
        <is>
          <t>Varied and non-standard work; handles exceptions</t>
        </is>
      </c>
      <c r="K30" s="115" t="inlineStr">
        <is>
          <t>Technical / QC / client calls on own work</t>
        </is>
      </c>
      <c r="L30" s="115" t="inlineStr">
        <is>
          <t>A module / process, or work with client or regulatory consequences</t>
        </is>
      </c>
      <c r="M30" s="115" t="inlineStr">
        <is>
          <t>Not scored in Band A</t>
        </is>
      </c>
      <c r="N30" s="182" t="inlineStr">
        <is>
          <t>2–4 yrs</t>
        </is>
      </c>
      <c r="O30" s="165" t="inlineStr">
        <is>
          <r>
            <rPr>
              <rFont val="Calibri"/>
              <sz val="10"/>
            </rPr>
            <t xml:space="preserve">Graduate; relevant certification preferred
</t>
          </r>
          <r>
            <rPr>
              <rFont val="Calibri"/>
              <b val="1"/>
              <sz val="10"/>
            </rPr>
            <t>Family:</t>
          </r>
          <r>
            <rPr>
              <rFont val="Calibri"/>
              <sz val="10"/>
            </rPr>
            <t xml:space="preserve"> Graduate</t>
          </r>
        </is>
      </c>
      <c r="P30" s="165" t="inlineStr">
        <is>
          <t>Internal product certification</t>
        </is>
      </c>
      <c r="Q30" s="165" t="inlineStr">
        <is>
          <t>ITIL / service-desk practice; SLA management</t>
        </is>
      </c>
      <c r="R30" s="183" t="inlineStr">
        <is>
          <t>TE-A</t>
        </is>
      </c>
      <c r="S30" s="184" t="n">
        <v>0.64</v>
      </c>
      <c r="T30" s="184" t="n">
        <v>0.16</v>
      </c>
      <c r="U30" s="184" t="n">
        <v>0.04</v>
      </c>
      <c r="V30" s="184" t="n">
        <v>0</v>
      </c>
      <c r="W30" s="184" t="n">
        <v>0.1</v>
      </c>
      <c r="X30" s="184" t="n">
        <v>0.06</v>
      </c>
      <c r="Y30" s="122" t="inlineStr">
        <is>
          <t>★ Product, Platform &amp; Domain Knowledge · ★ Stakeholder &amp; Client Management</t>
        </is>
      </c>
      <c r="Z30" s="123" t="inlineStr">
        <is>
          <t>Communication &amp; Presentation · Database, SQL &amp; Data Engineering · Regulatory &amp; BFSI Domain · Process Improvement &amp; Quality Mindset</t>
        </is>
      </c>
      <c r="AA30" s="123" t="inlineStr">
        <is>
          <t>—</t>
        </is>
      </c>
      <c r="AB30" s="123" t="inlineStr">
        <is>
          <t>Core 2 · Future-ready 2 · Functional 3 · Leadership —</t>
        </is>
      </c>
      <c r="AC30" s="124" t="inlineStr">
        <is>
          <t>None · guides 1–3 juniors informally</t>
        </is>
      </c>
      <c r="AD30" s="185" t="inlineStr">
        <is>
          <t>P2</t>
        </is>
      </c>
      <c r="AE30" s="131" t="inlineStr">
        <is>
          <t>Developing</t>
        </is>
      </c>
      <c r="AF30" s="186" t="inlineStr">
        <is>
          <t>3 Apply</t>
        </is>
      </c>
      <c r="AG30" s="131" t="inlineStr">
        <is>
          <t>Support / CS Executive</t>
        </is>
      </c>
      <c r="AH30" s="131" t="inlineStr">
        <is>
          <t>L3–L4 · MS 61–62 · —</t>
        </is>
      </c>
      <c r="AI30" s="131" t="inlineStr">
        <is>
          <t>JL3A · C1 · L11–L10 · Senior Analyst</t>
        </is>
      </c>
      <c r="AJ30" s="131" t="inlineStr">
        <is>
          <t>Consultant · DataTracks Senior Associate · 2–5 yrs</t>
        </is>
      </c>
      <c r="AK30" s="131" t="inlineStr">
        <is>
          <t>Radford / Pave</t>
        </is>
      </c>
      <c r="AL30" s="131" t="inlineStr">
        <is>
          <t>IRIS Vs Competitor Benchmark — SaaS customer-success ladder: Associate CSM · Regnology: Product Support Specialist · Reg Reporting · IRIS Vs Competitor Benchmark — support tiers: L2 Application Support</t>
        </is>
      </c>
      <c r="AM30" s="131" t="inlineStr">
        <is>
          <t>TSIA frameworks and benchmarks; ITIL 4 service desk; Gainsight customer-success practice</t>
        </is>
      </c>
      <c r="AN30" s="132" t="inlineStr">
        <is>
          <t>Lateral or campus · CT2 at 12 months; CT3 in programme</t>
        </is>
      </c>
      <c r="AO30" s="133" t="inlineStr">
        <is>
          <t>B1 · Specialist</t>
        </is>
      </c>
      <c r="AP30" s="133" t="inlineStr">
        <is>
          <t>B1 · Team Lead</t>
        </is>
      </c>
      <c r="AQ30" s="133" t="inlineStr">
        <is>
          <t>AI chat / knowledge-base support, customer-health analytics</t>
        </is>
      </c>
    </row>
    <row r="31" ht="67" customHeight="1">
      <c r="A31" s="109" t="inlineStr">
        <is>
          <t>Technology</t>
        </is>
      </c>
      <c r="B31" s="111" t="inlineStr">
        <is>
          <t>Customer Success &amp; Support</t>
        </is>
      </c>
      <c r="C31" s="111" t="inlineStr">
        <is>
          <t>Application &amp; Product Support</t>
        </is>
      </c>
      <c r="D31" s="111" t="inlineStr">
        <is>
          <t>Support Specialist</t>
        </is>
      </c>
      <c r="E31" s="26" t="inlineStr">
        <is>
          <t>A3</t>
        </is>
      </c>
      <c r="F31" s="117" t="inlineStr">
        <is>
          <t>Senior Associate</t>
        </is>
      </c>
      <c r="G31" s="111" t="inlineStr">
        <is>
          <t>IC</t>
        </is>
      </c>
      <c r="H31" s="112" t="n">
        <v>1</v>
      </c>
      <c r="I31" s="139" t="inlineStr">
        <is>
          <t>Varied work; reviews juniors; go-to for a process</t>
        </is>
      </c>
      <c r="J31" s="115" t="inlineStr">
        <is>
          <t>Varied and non-standard work; handles exceptions</t>
        </is>
      </c>
      <c r="K31" s="115" t="inlineStr">
        <is>
          <t>Technical / QC / client calls on own work</t>
        </is>
      </c>
      <c r="L31" s="115" t="inlineStr">
        <is>
          <t>A module / process, or work with client or regulatory consequences</t>
        </is>
      </c>
      <c r="M31" s="115" t="inlineStr">
        <is>
          <t>Not scored in Band A</t>
        </is>
      </c>
      <c r="N31" s="182" t="inlineStr">
        <is>
          <t>2–4 yrs</t>
        </is>
      </c>
      <c r="O31" s="165" t="inlineStr">
        <is>
          <r>
            <rPr>
              <rFont val="Calibri"/>
              <sz val="10"/>
            </rPr>
            <t xml:space="preserve">Graduate; relevant certification preferred
</t>
          </r>
          <r>
            <rPr>
              <rFont val="Calibri"/>
              <b val="1"/>
              <sz val="10"/>
            </rPr>
            <t>Family:</t>
          </r>
          <r>
            <rPr>
              <rFont val="Calibri"/>
              <sz val="10"/>
            </rPr>
            <t xml:space="preserve"> Graduate</t>
          </r>
        </is>
      </c>
      <c r="P31" s="165" t="inlineStr">
        <is>
          <t>Internal product certification</t>
        </is>
      </c>
      <c r="Q31" s="165" t="inlineStr">
        <is>
          <t>ITIL / service-desk practice; SLA management</t>
        </is>
      </c>
      <c r="R31" s="183" t="inlineStr">
        <is>
          <t>TE-A</t>
        </is>
      </c>
      <c r="S31" s="184" t="n">
        <v>0.64</v>
      </c>
      <c r="T31" s="184" t="n">
        <v>0.16</v>
      </c>
      <c r="U31" s="184" t="n">
        <v>0.04</v>
      </c>
      <c r="V31" s="184" t="n">
        <v>0</v>
      </c>
      <c r="W31" s="184" t="n">
        <v>0.1</v>
      </c>
      <c r="X31" s="184" t="n">
        <v>0.06</v>
      </c>
      <c r="Y31" s="122" t="inlineStr">
        <is>
          <t>★ Product, Platform &amp; Domain Knowledge · ★ Stakeholder &amp; Client Management</t>
        </is>
      </c>
      <c r="Z31" s="123" t="inlineStr">
        <is>
          <t>Communication &amp; Presentation · Database, SQL &amp; Data Engineering · Regulatory &amp; BFSI Domain · Process Improvement &amp; Quality Mindset</t>
        </is>
      </c>
      <c r="AA31" s="123" t="inlineStr">
        <is>
          <t>—</t>
        </is>
      </c>
      <c r="AB31" s="123" t="inlineStr">
        <is>
          <t>Core 2 · Future-ready 2 · Functional 3 · Leadership —</t>
        </is>
      </c>
      <c r="AC31" s="124" t="inlineStr">
        <is>
          <t>None · guides 1–3 juniors informally</t>
        </is>
      </c>
      <c r="AD31" s="185" t="inlineStr">
        <is>
          <t>P3</t>
        </is>
      </c>
      <c r="AE31" s="131" t="inlineStr">
        <is>
          <t>Developing</t>
        </is>
      </c>
      <c r="AF31" s="186" t="inlineStr">
        <is>
          <t>3 Apply</t>
        </is>
      </c>
      <c r="AG31" s="131" t="inlineStr">
        <is>
          <t>Senior Executive / CSM</t>
        </is>
      </c>
      <c r="AH31" s="131" t="inlineStr">
        <is>
          <t>L3–L4 · MS 61–62 · —</t>
        </is>
      </c>
      <c r="AI31" s="131" t="inlineStr">
        <is>
          <t>JL3A · C1 · L11–L10 · Senior Analyst</t>
        </is>
      </c>
      <c r="AJ31" s="131" t="inlineStr">
        <is>
          <t>Consultant · DataTracks Senior Associate · 2–5 yrs</t>
        </is>
      </c>
      <c r="AK31" s="131" t="inlineStr">
        <is>
          <t>Radford / Pave</t>
        </is>
      </c>
      <c r="AL31" s="131" t="inlineStr">
        <is>
          <t>IRIS Vs Competitor Benchmark — SaaS customer-success ladder: Associate CSM · Regnology: Product Support Specialist · Reg Reporting · IRIS Vs Competitor Benchmark — support tiers: L2 Application Support</t>
        </is>
      </c>
      <c r="AM31" s="131" t="inlineStr">
        <is>
          <t>TSIA frameworks and benchmarks; ITIL 4 service desk; Gainsight customer-success practice</t>
        </is>
      </c>
      <c r="AN31" s="132" t="inlineStr">
        <is>
          <t>Lateral or campus · CT2 at 12 months; CT3 in programme</t>
        </is>
      </c>
      <c r="AO31" s="133" t="inlineStr">
        <is>
          <t>B1 · Specialist</t>
        </is>
      </c>
      <c r="AP31" s="133" t="inlineStr">
        <is>
          <t>B1 · Team Lead</t>
        </is>
      </c>
      <c r="AQ31" s="133" t="inlineStr">
        <is>
          <t>AI chat / knowledge-base support, customer-health analytics</t>
        </is>
      </c>
    </row>
    <row r="32" ht="67" customHeight="1">
      <c r="A32" s="109" t="inlineStr">
        <is>
          <t>Technology</t>
        </is>
      </c>
      <c r="B32" s="111" t="inlineStr">
        <is>
          <t>Engineering &amp; Development</t>
        </is>
      </c>
      <c r="C32" s="111" t="inlineStr">
        <is>
          <t>Data Engineering &amp; Database Development</t>
        </is>
      </c>
      <c r="D32" s="111" t="inlineStr">
        <is>
          <t>Senior Database Engineer</t>
        </is>
      </c>
      <c r="E32" s="26" t="inlineStr">
        <is>
          <t>A3</t>
        </is>
      </c>
      <c r="F32" s="117" t="inlineStr">
        <is>
          <t>Senior Associate</t>
        </is>
      </c>
      <c r="G32" s="111" t="inlineStr">
        <is>
          <t>IC</t>
        </is>
      </c>
      <c r="H32" s="112" t="n">
        <v>3</v>
      </c>
      <c r="I32" s="139" t="inlineStr">
        <is>
          <t>Varied work; reviews juniors; go-to for a process</t>
        </is>
      </c>
      <c r="J32" s="115" t="inlineStr">
        <is>
          <t>Varied and non-standard work; handles exceptions</t>
        </is>
      </c>
      <c r="K32" s="115" t="inlineStr">
        <is>
          <t>Technical / QC / client calls on own work</t>
        </is>
      </c>
      <c r="L32" s="115" t="inlineStr">
        <is>
          <t>A module / process, or work with client or regulatory consequences</t>
        </is>
      </c>
      <c r="M32" s="115" t="inlineStr">
        <is>
          <t>Not scored in Band A</t>
        </is>
      </c>
      <c r="N32" s="182" t="inlineStr">
        <is>
          <t>2–4 yrs</t>
        </is>
      </c>
      <c r="O32" s="165" t="inlineStr">
        <is>
          <r>
            <rPr>
              <rFont val="Calibri"/>
              <sz val="10"/>
            </rPr>
            <t xml:space="preserve">Graduate; relevant certification preferred
</t>
          </r>
          <r>
            <rPr>
              <rFont val="Calibri"/>
              <b val="1"/>
              <sz val="10"/>
            </rPr>
            <t>Family:</t>
          </r>
          <r>
            <rPr>
              <rFont val="Calibri"/>
              <sz val="10"/>
            </rPr>
            <t xml:space="preserve"> BE / B.Tech / MCA / M.Tech / B.Sc · CS</t>
          </r>
        </is>
      </c>
      <c r="P32" s="165" t="inlineStr">
        <is>
          <t>Cloud / language certifications · optional; AWS / Azure architect · optional</t>
        </is>
      </c>
      <c r="Q32" s="165" t="inlineStr">
        <is>
          <t>Secure coding · OWASP, code review, unit testing</t>
        </is>
      </c>
      <c r="R32" s="183" t="inlineStr">
        <is>
          <t>TE-A</t>
        </is>
      </c>
      <c r="S32" s="184" t="n">
        <v>0.64</v>
      </c>
      <c r="T32" s="184" t="n">
        <v>0.16</v>
      </c>
      <c r="U32" s="184" t="n">
        <v>0.04</v>
      </c>
      <c r="V32" s="184" t="n">
        <v>0</v>
      </c>
      <c r="W32" s="184" t="n">
        <v>0.1</v>
      </c>
      <c r="X32" s="184" t="n">
        <v>0.06</v>
      </c>
      <c r="Y32" s="122" t="inlineStr">
        <is>
          <t>★ Programming &amp; Tech-Stack Depth · ★ System Design &amp; Architecture</t>
        </is>
      </c>
      <c r="Z32" s="123" t="inlineStr">
        <is>
          <t>Database, SQL &amp; Data Engineering · Cloud, DevOps &amp; CI/CD · AI, GenAI &amp; Prompt Engineering · Product, Platform &amp; Domain Knowledge</t>
        </is>
      </c>
      <c r="AA32" s="123" t="inlineStr">
        <is>
          <t>—</t>
        </is>
      </c>
      <c r="AB32" s="123" t="inlineStr">
        <is>
          <t>Core 2 · Future-ready 2 · Functional 3 · Leadership —</t>
        </is>
      </c>
      <c r="AC32" s="124" t="inlineStr">
        <is>
          <t>None · guides 1–3 juniors informally</t>
        </is>
      </c>
      <c r="AD32" s="185" t="inlineStr">
        <is>
          <t>P2</t>
        </is>
      </c>
      <c r="AE32" s="131" t="inlineStr">
        <is>
          <t>Developing</t>
        </is>
      </c>
      <c r="AF32" s="186" t="inlineStr">
        <is>
          <t>3 Apply</t>
        </is>
      </c>
      <c r="AG32" s="131" t="inlineStr">
        <is>
          <t>Software Engineer</t>
        </is>
      </c>
      <c r="AH32" s="131" t="inlineStr">
        <is>
          <t>L3–L4 · MS 61–62 · Software Engineer</t>
        </is>
      </c>
      <c r="AI32" s="131" t="inlineStr">
        <is>
          <t>JL3A Senior Systems Engineer · C1 System Engineer · L11–L10 · Senior Analyst</t>
        </is>
      </c>
      <c r="AJ32" s="131" t="inlineStr">
        <is>
          <t>Consultant · DataTracks Senior Associate · 2–5 yrs</t>
        </is>
      </c>
      <c r="AK32" s="131" t="inlineStr">
        <is>
          <t>Workiva · Levels.fyi, Radford / Pave</t>
        </is>
      </c>
      <c r="AL32" s="131" t="inlineStr">
        <is>
          <r>
            <rPr>
              <rFont val="Calibri"/>
              <b val="1"/>
              <sz val="10"/>
            </rPr>
            <t>Workiva:</t>
          </r>
          <r>
            <rPr>
              <rFont val="Calibri"/>
              <sz val="10"/>
            </rPr>
            <t xml:space="preserve"> SE · Broadridge India: SE · Nasdaq / AxiomSL: SE · Salesforce: MTS · Atlassian: P40 · 3–7 yrs · Freshworks: Senior SE · Clear: SDE2</t>
          </r>
        </is>
      </c>
      <c r="AM32" s="131" t="inlineStr">
        <is>
          <t>SFIA 9 · software development, programming; OWASP secure coding; cloud vendor certifications</t>
        </is>
      </c>
      <c r="AN32" s="132" t="inlineStr">
        <is>
          <t>Lateral or campus · CT2 at 12 months; CT3 in programme</t>
        </is>
      </c>
      <c r="AO32" s="133" t="inlineStr">
        <is>
          <t>B1 · Specialist</t>
        </is>
      </c>
      <c r="AP32" s="133" t="inlineStr">
        <is>
          <t>B1 · Team Lead</t>
        </is>
      </c>
      <c r="AQ32" s="133" t="inlineStr">
        <is>
          <t>AI-assisted coding, cloud-native &amp; API-first design, LLM integration</t>
        </is>
      </c>
    </row>
    <row r="33" ht="67" customHeight="1">
      <c r="A33" s="109" t="inlineStr">
        <is>
          <t>Technology</t>
        </is>
      </c>
      <c r="B33" s="111" t="inlineStr">
        <is>
          <t>Engineering &amp; Development</t>
        </is>
      </c>
      <c r="C33" s="111" t="inlineStr">
        <is>
          <t>Backend Development</t>
        </is>
      </c>
      <c r="D33" s="111" t="inlineStr">
        <is>
          <t>Senior Software Engineer</t>
        </is>
      </c>
      <c r="E33" s="26" t="inlineStr">
        <is>
          <t>A3</t>
        </is>
      </c>
      <c r="F33" s="117" t="inlineStr">
        <is>
          <t>Senior Associate</t>
        </is>
      </c>
      <c r="G33" s="111" t="inlineStr">
        <is>
          <t>IC</t>
        </is>
      </c>
      <c r="H33" s="112" t="n">
        <v>5</v>
      </c>
      <c r="I33" s="139" t="inlineStr">
        <is>
          <t>Varied work; reviews juniors; go-to for a process</t>
        </is>
      </c>
      <c r="J33" s="115" t="inlineStr">
        <is>
          <t>Varied and non-standard work; handles exceptions</t>
        </is>
      </c>
      <c r="K33" s="115" t="inlineStr">
        <is>
          <t>Technical / QC / client calls on own work</t>
        </is>
      </c>
      <c r="L33" s="115" t="inlineStr">
        <is>
          <t>A module / process, or work with client or regulatory consequences</t>
        </is>
      </c>
      <c r="M33" s="115" t="inlineStr">
        <is>
          <t>Not scored in Band A</t>
        </is>
      </c>
      <c r="N33" s="182" t="inlineStr">
        <is>
          <t>2–4 yrs</t>
        </is>
      </c>
      <c r="O33" s="165" t="inlineStr">
        <is>
          <r>
            <rPr>
              <rFont val="Calibri"/>
              <sz val="10"/>
            </rPr>
            <t xml:space="preserve">Graduate; relevant certification preferred
</t>
          </r>
          <r>
            <rPr>
              <rFont val="Calibri"/>
              <b val="1"/>
              <sz val="10"/>
            </rPr>
            <t>Family:</t>
          </r>
          <r>
            <rPr>
              <rFont val="Calibri"/>
              <sz val="10"/>
            </rPr>
            <t xml:space="preserve"> BE / B.Tech / MCA / M.Tech / B.Sc · CS</t>
          </r>
        </is>
      </c>
      <c r="P33" s="165" t="inlineStr">
        <is>
          <t>Cloud / language certifications · optional; AWS / Azure architect · optional</t>
        </is>
      </c>
      <c r="Q33" s="165" t="inlineStr">
        <is>
          <t>Secure coding · OWASP, code review, unit testing</t>
        </is>
      </c>
      <c r="R33" s="183" t="inlineStr">
        <is>
          <t>TE-A</t>
        </is>
      </c>
      <c r="S33" s="184" t="n">
        <v>0.64</v>
      </c>
      <c r="T33" s="184" t="n">
        <v>0.16</v>
      </c>
      <c r="U33" s="184" t="n">
        <v>0.04</v>
      </c>
      <c r="V33" s="184" t="n">
        <v>0</v>
      </c>
      <c r="W33" s="184" t="n">
        <v>0.1</v>
      </c>
      <c r="X33" s="184" t="n">
        <v>0.06</v>
      </c>
      <c r="Y33" s="122" t="inlineStr">
        <is>
          <t>★ Programming &amp; Tech-Stack Depth · ★ System Design &amp; Architecture</t>
        </is>
      </c>
      <c r="Z33" s="123" t="inlineStr">
        <is>
          <t>Database, SQL &amp; Data Engineering · Cloud, DevOps &amp; CI/CD · AI, GenAI &amp; Prompt Engineering · Product, Platform &amp; Domain Knowledge</t>
        </is>
      </c>
      <c r="AA33" s="123" t="inlineStr">
        <is>
          <t>—</t>
        </is>
      </c>
      <c r="AB33" s="123" t="inlineStr">
        <is>
          <t>Core 2 · Future-ready 2 · Functional 3 · Leadership —</t>
        </is>
      </c>
      <c r="AC33" s="124" t="inlineStr">
        <is>
          <t>None · guides 1–3 juniors informally</t>
        </is>
      </c>
      <c r="AD33" s="185" t="inlineStr">
        <is>
          <t>P2</t>
        </is>
      </c>
      <c r="AE33" s="131" t="inlineStr">
        <is>
          <t>Developing</t>
        </is>
      </c>
      <c r="AF33" s="186" t="inlineStr">
        <is>
          <t>3 Apply</t>
        </is>
      </c>
      <c r="AG33" s="131" t="inlineStr">
        <is>
          <t>Software Engineer</t>
        </is>
      </c>
      <c r="AH33" s="131" t="inlineStr">
        <is>
          <t>L3–L4 · MS 61–62 · Software Engineer</t>
        </is>
      </c>
      <c r="AI33" s="131" t="inlineStr">
        <is>
          <t>JL3A Senior Systems Engineer · C1 System Engineer · L11–L10 · Senior Analyst</t>
        </is>
      </c>
      <c r="AJ33" s="131" t="inlineStr">
        <is>
          <t>Consultant · DataTracks Senior Associate · 2–5 yrs</t>
        </is>
      </c>
      <c r="AK33" s="131" t="inlineStr">
        <is>
          <t>Workiva · Levels.fyi, Radford / Pave</t>
        </is>
      </c>
      <c r="AL33" s="131" t="inlineStr">
        <is>
          <r>
            <rPr>
              <rFont val="Calibri"/>
              <b val="1"/>
              <sz val="10"/>
            </rPr>
            <t>Workiva:</t>
          </r>
          <r>
            <rPr>
              <rFont val="Calibri"/>
              <sz val="10"/>
            </rPr>
            <t xml:space="preserve"> SE · Broadridge India: SE · Nasdaq / AxiomSL: SE · Salesforce: MTS · Atlassian: P40 · 3–7 yrs · Freshworks: Senior SE · Clear: SDE2</t>
          </r>
        </is>
      </c>
      <c r="AM33" s="131" t="inlineStr">
        <is>
          <t>SFIA 9 · software development, programming; OWASP secure coding; cloud vendor certifications</t>
        </is>
      </c>
      <c r="AN33" s="132" t="inlineStr">
        <is>
          <t>Lateral or campus · CT2 at 12 months; CT3 in programme</t>
        </is>
      </c>
      <c r="AO33" s="133" t="inlineStr">
        <is>
          <t>B1 · Specialist</t>
        </is>
      </c>
      <c r="AP33" s="133" t="inlineStr">
        <is>
          <t>B1 · Team Lead</t>
        </is>
      </c>
      <c r="AQ33" s="133" t="inlineStr">
        <is>
          <t>AI-assisted coding, cloud-native &amp; API-first design, LLM integration</t>
        </is>
      </c>
    </row>
    <row r="34" ht="67" customHeight="1">
      <c r="A34" s="109" t="inlineStr">
        <is>
          <t>Technology</t>
        </is>
      </c>
      <c r="B34" s="111" t="inlineStr">
        <is>
          <t>Engineering &amp; Development</t>
        </is>
      </c>
      <c r="C34" s="111" t="inlineStr">
        <is>
          <t>Full-Stack Development</t>
        </is>
      </c>
      <c r="D34" s="111" t="inlineStr">
        <is>
          <t>Technical Specialist</t>
        </is>
      </c>
      <c r="E34" s="26" t="inlineStr">
        <is>
          <t>A3</t>
        </is>
      </c>
      <c r="F34" s="117" t="inlineStr">
        <is>
          <t>Senior Associate</t>
        </is>
      </c>
      <c r="G34" s="111" t="inlineStr">
        <is>
          <t>IC</t>
        </is>
      </c>
      <c r="H34" s="112" t="n">
        <v>1</v>
      </c>
      <c r="I34" s="139" t="inlineStr">
        <is>
          <t>Varied work; reviews juniors; go-to for a process</t>
        </is>
      </c>
      <c r="J34" s="115" t="inlineStr">
        <is>
          <t>Varied and non-standard work; handles exceptions</t>
        </is>
      </c>
      <c r="K34" s="115" t="inlineStr">
        <is>
          <t>Technical / QC / client calls on own work</t>
        </is>
      </c>
      <c r="L34" s="115" t="inlineStr">
        <is>
          <t>A module / process, or work with client or regulatory consequences</t>
        </is>
      </c>
      <c r="M34" s="115" t="inlineStr">
        <is>
          <t>Not scored in Band A</t>
        </is>
      </c>
      <c r="N34" s="182" t="inlineStr">
        <is>
          <t>2–4 yrs</t>
        </is>
      </c>
      <c r="O34" s="165" t="inlineStr">
        <is>
          <r>
            <rPr>
              <rFont val="Calibri"/>
              <sz val="10"/>
            </rPr>
            <t xml:space="preserve">Graduate; relevant certification preferred
</t>
          </r>
          <r>
            <rPr>
              <rFont val="Calibri"/>
              <b val="1"/>
              <sz val="10"/>
            </rPr>
            <t>Family:</t>
          </r>
          <r>
            <rPr>
              <rFont val="Calibri"/>
              <sz val="10"/>
            </rPr>
            <t xml:space="preserve"> BE / B.Tech / MCA / M.Tech / B.Sc · CS</t>
          </r>
        </is>
      </c>
      <c r="P34" s="165" t="inlineStr">
        <is>
          <t>Cloud / language certifications · optional; AWS / Azure architect · optional</t>
        </is>
      </c>
      <c r="Q34" s="165" t="inlineStr">
        <is>
          <t>Secure coding · OWASP, code review, unit testing</t>
        </is>
      </c>
      <c r="R34" s="183" t="inlineStr">
        <is>
          <t>TE-A</t>
        </is>
      </c>
      <c r="S34" s="184" t="n">
        <v>0.64</v>
      </c>
      <c r="T34" s="184" t="n">
        <v>0.16</v>
      </c>
      <c r="U34" s="184" t="n">
        <v>0.04</v>
      </c>
      <c r="V34" s="184" t="n">
        <v>0</v>
      </c>
      <c r="W34" s="184" t="n">
        <v>0.1</v>
      </c>
      <c r="X34" s="184" t="n">
        <v>0.06</v>
      </c>
      <c r="Y34" s="122" t="inlineStr">
        <is>
          <t>★ Programming &amp; Tech-Stack Depth · ★ System Design &amp; Architecture</t>
        </is>
      </c>
      <c r="Z34" s="123" t="inlineStr">
        <is>
          <t>Database, SQL &amp; Data Engineering · Cloud, DevOps &amp; CI/CD · AI, GenAI &amp; Prompt Engineering · Product, Platform &amp; Domain Knowledge</t>
        </is>
      </c>
      <c r="AA34" s="123" t="inlineStr">
        <is>
          <t>—</t>
        </is>
      </c>
      <c r="AB34" s="123" t="inlineStr">
        <is>
          <t>Core 2 · Future-ready 2 · Functional 3 · Leadership —</t>
        </is>
      </c>
      <c r="AC34" s="124" t="inlineStr">
        <is>
          <t>None · guides 1–3 juniors informally</t>
        </is>
      </c>
      <c r="AD34" s="185" t="inlineStr">
        <is>
          <t>P3</t>
        </is>
      </c>
      <c r="AE34" s="131" t="inlineStr">
        <is>
          <t>Developing</t>
        </is>
      </c>
      <c r="AF34" s="186" t="inlineStr">
        <is>
          <t>3 Apply</t>
        </is>
      </c>
      <c r="AG34" s="131" t="inlineStr">
        <is>
          <t>Senior Software Engineer</t>
        </is>
      </c>
      <c r="AH34" s="131" t="inlineStr">
        <is>
          <t>L3–L4 · MS 61–62 · Software Engineer</t>
        </is>
      </c>
      <c r="AI34" s="131" t="inlineStr">
        <is>
          <t>JL3A Senior Systems Engineer · C1 System Engineer · L11–L10 · Senior Analyst</t>
        </is>
      </c>
      <c r="AJ34" s="131" t="inlineStr">
        <is>
          <t>Consultant · DataTracks Senior Associate · 2–5 yrs</t>
        </is>
      </c>
      <c r="AK34" s="131" t="inlineStr">
        <is>
          <t>Workiva · Levels.fyi, Radford / Pave</t>
        </is>
      </c>
      <c r="AL34" s="131" t="inlineStr">
        <is>
          <r>
            <rPr>
              <rFont val="Calibri"/>
              <b val="1"/>
              <sz val="10"/>
            </rPr>
            <t>Workiva:</t>
          </r>
          <r>
            <rPr>
              <rFont val="Calibri"/>
              <sz val="10"/>
            </rPr>
            <t xml:space="preserve"> SE · Broadridge India: SE · Nasdaq / AxiomSL: SE · Salesforce: MTS · Atlassian: P40 · 3–7 yrs · Freshworks: Senior SE · Clear: SDE2</t>
          </r>
        </is>
      </c>
      <c r="AM34" s="131" t="inlineStr">
        <is>
          <t>SFIA 9 · software development, programming; OWASP secure coding; cloud vendor certifications</t>
        </is>
      </c>
      <c r="AN34" s="132" t="inlineStr">
        <is>
          <t>Lateral or campus · CT2 at 12 months; CT3 in programme</t>
        </is>
      </c>
      <c r="AO34" s="133" t="inlineStr">
        <is>
          <t>B1 · Specialist</t>
        </is>
      </c>
      <c r="AP34" s="133" t="inlineStr">
        <is>
          <t>B1 · Team Lead</t>
        </is>
      </c>
      <c r="AQ34" s="133" t="inlineStr">
        <is>
          <t>AI-assisted coding, cloud-native &amp; API-first design, LLM integration</t>
        </is>
      </c>
    </row>
    <row r="35" ht="80" customHeight="1">
      <c r="A35" s="109" t="inlineStr">
        <is>
          <t>Technology</t>
        </is>
      </c>
      <c r="B35" s="111" t="inlineStr">
        <is>
          <t>Business Analysis</t>
        </is>
      </c>
      <c r="C35" s="111" t="inlineStr">
        <is>
          <t>Business Analysis</t>
        </is>
      </c>
      <c r="D35" s="111" t="inlineStr">
        <is>
          <t>Business Analysis Specialist</t>
        </is>
      </c>
      <c r="E35" s="20" t="inlineStr">
        <is>
          <t>B1</t>
        </is>
      </c>
      <c r="F35" s="18" t="inlineStr">
        <is>
          <t>Specialist</t>
        </is>
      </c>
      <c r="G35" s="111" t="inlineStr">
        <is>
          <t>IC</t>
        </is>
      </c>
      <c r="H35" s="112" t="n">
        <v>2</v>
      </c>
      <c r="I35" s="139" t="inlineStr">
        <is>
          <t>A domain / module, or a small team</t>
        </is>
      </c>
      <c r="J35" s="115" t="inlineStr">
        <is>
          <t>Domain specialist work</t>
        </is>
      </c>
      <c r="K35" s="115" t="inlineStr">
        <is>
          <t>Technical / QC / client calls for the domain</t>
        </is>
      </c>
      <c r="L35" s="115" t="inlineStr">
        <is>
          <t>A domain or a small team</t>
        </is>
      </c>
      <c r="M35" s="115" t="inlineStr">
        <is>
          <r>
            <rPr>
              <rFont val="Calibri"/>
              <b val="1"/>
              <sz val="10"/>
            </rPr>
            <t>IC:</t>
          </r>
          <r>
            <rPr>
              <rFont val="Calibri"/>
              <sz val="10"/>
            </rPr>
            <t xml:space="preserve"> mentors and reviews · People: hands-on team lead of 3–5</t>
          </r>
        </is>
      </c>
      <c r="N35" s="182" t="inlineStr">
        <is>
          <t>4–7 yrs</t>
        </is>
      </c>
      <c r="O35" s="165" t="inlineStr">
        <is>
          <r>
            <rPr>
              <rFont val="Calibri"/>
              <sz val="10"/>
            </rPr>
            <t xml:space="preserve">Graduate + relevant qualification or certification preferred
</t>
          </r>
          <r>
            <rPr>
              <rFont val="Calibri"/>
              <b val="1"/>
              <sz val="10"/>
            </rPr>
            <t>Family:</t>
          </r>
          <r>
            <rPr>
              <rFont val="Calibri"/>
              <sz val="10"/>
            </rPr>
            <t xml:space="preserve"> Commerce or engineering graduate; MBA a plus</t>
          </r>
        </is>
      </c>
      <c r="P35" s="165" t="inlineStr">
        <is>
          <t>CBAP / CCBA · optional; Domain certifications · optional</t>
        </is>
      </c>
      <c r="Q35" s="165" t="inlineStr">
        <is>
          <t>Regulatory reporting domain · RBI / SEBI / IRDAI / SEC</t>
        </is>
      </c>
      <c r="R35" s="183" t="inlineStr">
        <is>
          <t>TE-B-IC</t>
        </is>
      </c>
      <c r="S35" s="184" t="n">
        <v>0.5600000000000001</v>
      </c>
      <c r="T35" s="184" t="n">
        <v>0.17</v>
      </c>
      <c r="U35" s="184" t="n">
        <v>0.05</v>
      </c>
      <c r="V35" s="184" t="n">
        <v>0.05</v>
      </c>
      <c r="W35" s="184" t="n">
        <v>0.1</v>
      </c>
      <c r="X35" s="184" t="n">
        <v>0.07000000000000001</v>
      </c>
      <c r="Y35" s="122" t="inlineStr">
        <is>
          <t>★ Business Analysis &amp; Requirements Engineering · ★ Regulatory &amp; BFSI Domain</t>
        </is>
      </c>
      <c r="Z35" s="123" t="inlineStr">
        <is>
          <t>Product, Platform &amp; Domain Knowledge · Database, SQL &amp; Data Engineering · Stakeholder &amp; Client Management · Communication &amp; Presentation</t>
        </is>
      </c>
      <c r="AA35" s="123" t="inlineStr">
        <is>
          <t>—</t>
        </is>
      </c>
      <c r="AB35" s="123" t="inlineStr">
        <is>
          <t>Core 3 · Future-ready 3 · Functional 3 · Leadership 1</t>
        </is>
      </c>
      <c r="AC35" s="124" t="inlineStr">
        <is>
          <r>
            <rPr>
              <rFont val="Calibri"/>
              <b val="1"/>
              <sz val="10"/>
            </rPr>
            <t>IC:</t>
          </r>
          <r>
            <rPr>
              <rFont val="Calibri"/>
              <sz val="10"/>
            </rPr>
            <t xml:space="preserve"> none · Team Lead: 3–5</t>
          </r>
        </is>
      </c>
      <c r="AD35" s="185" t="inlineStr">
        <is>
          <t>P3</t>
        </is>
      </c>
      <c r="AE35" s="131" t="inlineStr">
        <is>
          <t>Career / · Team Lead</t>
        </is>
      </c>
      <c r="AF35" s="186" t="inlineStr">
        <is>
          <t>4 Enable</t>
        </is>
      </c>
      <c r="AG35" s="131" t="inlineStr">
        <is>
          <t>Senior Business Analyst</t>
        </is>
      </c>
      <c r="AH35" s="131" t="inlineStr">
        <is>
          <t>L4 · MS 62 · —</t>
        </is>
      </c>
      <c r="AI35" s="131" t="inlineStr">
        <is>
          <t>JL4 · C2 · L9 Team Lead / Consultant</t>
        </is>
      </c>
      <c r="AJ35" s="131" t="inlineStr">
        <is>
          <t>Senior Consultant / Assistant Manager</t>
        </is>
      </c>
      <c r="AK35" s="131" t="inlineStr">
        <is>
          <t>Radford / Pave</t>
        </is>
      </c>
      <c r="AL35" s="131" t="inlineStr">
        <is>
          <t>Regnology — regulatory reporting: BA · Reg Reporting · Big Four consulting: Senior Consultant · IRIS Vs Market Benchmark — IIBA certification pathway: CCBA · Infosys / Accenture: JL4 · L9 Consultant</t>
        </is>
      </c>
      <c r="AM35" s="131" t="inlineStr">
        <is>
          <t>IIBA BABOK v3; certifications ECBA · entry → CCBA → CBAP · senior</t>
        </is>
      </c>
      <c r="AN35" s="132" t="inlineStr">
        <is>
          <t>Lateral; Management Trainees graduate here</t>
        </is>
      </c>
      <c r="AO35" s="133" t="inlineStr">
        <is>
          <t>B2 · Senior Specialist</t>
        </is>
      </c>
      <c r="AP35" s="133" t="inlineStr">
        <is>
          <t>B2 · Manager</t>
        </is>
      </c>
      <c r="AQ35" s="133" t="inlineStr">
        <is>
          <t>AI-assisted requirement analysis, data-driven product decisions</t>
        </is>
      </c>
    </row>
    <row r="36" ht="80" customHeight="1">
      <c r="A36" s="109" t="inlineStr">
        <is>
          <t>Technology</t>
        </is>
      </c>
      <c r="B36" s="111" t="inlineStr">
        <is>
          <t>Business Analysis</t>
        </is>
      </c>
      <c r="C36" s="111" t="inlineStr">
        <is>
          <t>Business Analysis</t>
        </is>
      </c>
      <c r="D36" s="111" t="inlineStr">
        <is>
          <t>Senior Business Analysis Specialist</t>
        </is>
      </c>
      <c r="E36" s="20" t="inlineStr">
        <is>
          <t>B1</t>
        </is>
      </c>
      <c r="F36" s="18" t="inlineStr">
        <is>
          <t>Specialist</t>
        </is>
      </c>
      <c r="G36" s="111" t="inlineStr">
        <is>
          <t>IC</t>
        </is>
      </c>
      <c r="H36" s="112" t="n">
        <v>1</v>
      </c>
      <c r="I36" s="139" t="inlineStr">
        <is>
          <t>A domain / module, or a small team</t>
        </is>
      </c>
      <c r="J36" s="115" t="inlineStr">
        <is>
          <t>Domain specialist work</t>
        </is>
      </c>
      <c r="K36" s="115" t="inlineStr">
        <is>
          <t>Technical / QC / client calls for the domain</t>
        </is>
      </c>
      <c r="L36" s="115" t="inlineStr">
        <is>
          <t>A domain or a small team</t>
        </is>
      </c>
      <c r="M36" s="115" t="inlineStr">
        <is>
          <r>
            <rPr>
              <rFont val="Calibri"/>
              <b val="1"/>
              <sz val="10"/>
            </rPr>
            <t>IC:</t>
          </r>
          <r>
            <rPr>
              <rFont val="Calibri"/>
              <sz val="10"/>
            </rPr>
            <t xml:space="preserve"> mentors and reviews · People: hands-on team lead of 3–5</t>
          </r>
        </is>
      </c>
      <c r="N36" s="182" t="inlineStr">
        <is>
          <t>4–7 yrs</t>
        </is>
      </c>
      <c r="O36" s="165" t="inlineStr">
        <is>
          <r>
            <rPr>
              <rFont val="Calibri"/>
              <sz val="10"/>
            </rPr>
            <t xml:space="preserve">Graduate + relevant qualification or certification preferred
</t>
          </r>
          <r>
            <rPr>
              <rFont val="Calibri"/>
              <b val="1"/>
              <sz val="10"/>
            </rPr>
            <t>Family:</t>
          </r>
          <r>
            <rPr>
              <rFont val="Calibri"/>
              <sz val="10"/>
            </rPr>
            <t xml:space="preserve"> Commerce or engineering graduate; MBA a plus</t>
          </r>
        </is>
      </c>
      <c r="P36" s="165" t="inlineStr">
        <is>
          <t>CBAP / CCBA · optional; Domain certifications · optional</t>
        </is>
      </c>
      <c r="Q36" s="165" t="inlineStr">
        <is>
          <t>Regulatory reporting domain · RBI / SEBI / IRDAI / SEC</t>
        </is>
      </c>
      <c r="R36" s="183" t="inlineStr">
        <is>
          <t>TE-B-IC</t>
        </is>
      </c>
      <c r="S36" s="184" t="n">
        <v>0.5600000000000001</v>
      </c>
      <c r="T36" s="184" t="n">
        <v>0.17</v>
      </c>
      <c r="U36" s="184" t="n">
        <v>0.05</v>
      </c>
      <c r="V36" s="184" t="n">
        <v>0.05</v>
      </c>
      <c r="W36" s="184" t="n">
        <v>0.1</v>
      </c>
      <c r="X36" s="184" t="n">
        <v>0.07000000000000001</v>
      </c>
      <c r="Y36" s="122" t="inlineStr">
        <is>
          <t>★ Business Analysis &amp; Requirements Engineering · ★ Regulatory &amp; BFSI Domain</t>
        </is>
      </c>
      <c r="Z36" s="123" t="inlineStr">
        <is>
          <t>Product, Platform &amp; Domain Knowledge · Database, SQL &amp; Data Engineering · Stakeholder &amp; Client Management · Communication &amp; Presentation</t>
        </is>
      </c>
      <c r="AA36" s="123" t="inlineStr">
        <is>
          <t>—</t>
        </is>
      </c>
      <c r="AB36" s="123" t="inlineStr">
        <is>
          <t>Core 3 · Future-ready 3 · Functional 3 · Leadership 1</t>
        </is>
      </c>
      <c r="AC36" s="124" t="inlineStr">
        <is>
          <r>
            <rPr>
              <rFont val="Calibri"/>
              <b val="1"/>
              <sz val="10"/>
            </rPr>
            <t>IC:</t>
          </r>
          <r>
            <rPr>
              <rFont val="Calibri"/>
              <sz val="10"/>
            </rPr>
            <t xml:space="preserve"> none · Team Lead: 3–5</t>
          </r>
        </is>
      </c>
      <c r="AD36" s="185" t="inlineStr">
        <is>
          <t>P4</t>
        </is>
      </c>
      <c r="AE36" s="131" t="inlineStr">
        <is>
          <t>Career / · Team Lead</t>
        </is>
      </c>
      <c r="AF36" s="186" t="inlineStr">
        <is>
          <t>4 Enable</t>
        </is>
      </c>
      <c r="AG36" s="131" t="inlineStr">
        <is>
          <t>Lead Business Analyst</t>
        </is>
      </c>
      <c r="AH36" s="131" t="inlineStr">
        <is>
          <t>L4 · MS 62 · —</t>
        </is>
      </c>
      <c r="AI36" s="131" t="inlineStr">
        <is>
          <t>JL4 · C2 · L9 Team Lead / Consultant</t>
        </is>
      </c>
      <c r="AJ36" s="131" t="inlineStr">
        <is>
          <t>Senior Consultant / Assistant Manager</t>
        </is>
      </c>
      <c r="AK36" s="131" t="inlineStr">
        <is>
          <t>Radford / Pave</t>
        </is>
      </c>
      <c r="AL36" s="131" t="inlineStr">
        <is>
          <t>Regnology — regulatory reporting: BA · Reg Reporting · Big Four consulting: Senior Consultant · IRIS Vs Market Benchmark — IIBA certification pathway: CCBA · Infosys / Accenture: JL4 · L9 Consultant</t>
        </is>
      </c>
      <c r="AM36" s="131" t="inlineStr">
        <is>
          <t>IIBA BABOK v3; certifications ECBA · entry → CCBA → CBAP · senior</t>
        </is>
      </c>
      <c r="AN36" s="132" t="inlineStr">
        <is>
          <t>Lateral; Management Trainees graduate here</t>
        </is>
      </c>
      <c r="AO36" s="133" t="inlineStr">
        <is>
          <t>B2 · Senior Specialist</t>
        </is>
      </c>
      <c r="AP36" s="133" t="inlineStr">
        <is>
          <t>B2 · Manager</t>
        </is>
      </c>
      <c r="AQ36" s="133" t="inlineStr">
        <is>
          <t>AI-assisted requirement analysis, data-driven product decisions</t>
        </is>
      </c>
    </row>
    <row r="37" ht="80" customHeight="1">
      <c r="A37" s="109" t="inlineStr">
        <is>
          <t>Technology</t>
        </is>
      </c>
      <c r="B37" s="111" t="inlineStr">
        <is>
          <t>Project &amp; Program Management</t>
        </is>
      </c>
      <c r="C37" s="111" t="inlineStr">
        <is>
          <t>Project &amp; Program Delivery</t>
        </is>
      </c>
      <c r="D37" s="111" t="inlineStr">
        <is>
          <t>Associate Project Manager</t>
        </is>
      </c>
      <c r="E37" s="20" t="inlineStr">
        <is>
          <t>B1</t>
        </is>
      </c>
      <c r="F37" s="18" t="inlineStr">
        <is>
          <t>Specialist</t>
        </is>
      </c>
      <c r="G37" s="111" t="inlineStr">
        <is>
          <t>IC</t>
        </is>
      </c>
      <c r="H37" s="112" t="n">
        <v>1</v>
      </c>
      <c r="I37" s="139" t="inlineStr">
        <is>
          <t>A domain / module, or a small team</t>
        </is>
      </c>
      <c r="J37" s="115" t="inlineStr">
        <is>
          <t>Domain specialist work</t>
        </is>
      </c>
      <c r="K37" s="115" t="inlineStr">
        <is>
          <t>Technical / QC / client calls for the domain</t>
        </is>
      </c>
      <c r="L37" s="115" t="inlineStr">
        <is>
          <t>A domain or a small team</t>
        </is>
      </c>
      <c r="M37" s="115" t="inlineStr">
        <is>
          <r>
            <rPr>
              <rFont val="Calibri"/>
              <b val="1"/>
              <sz val="10"/>
            </rPr>
            <t>IC:</t>
          </r>
          <r>
            <rPr>
              <rFont val="Calibri"/>
              <sz val="10"/>
            </rPr>
            <t xml:space="preserve"> mentors and reviews · People: hands-on team lead of 3–5</t>
          </r>
        </is>
      </c>
      <c r="N37" s="182" t="inlineStr">
        <is>
          <t>4–7 yrs</t>
        </is>
      </c>
      <c r="O37" s="165" t="inlineStr">
        <is>
          <r>
            <rPr>
              <rFont val="Calibri"/>
              <sz val="10"/>
            </rPr>
            <t xml:space="preserve">Graduate + relevant qualification or certification preferred
</t>
          </r>
          <r>
            <rPr>
              <rFont val="Calibri"/>
              <b val="1"/>
              <sz val="10"/>
            </rPr>
            <t>Family:</t>
          </r>
          <r>
            <rPr>
              <rFont val="Calibri"/>
              <sz val="10"/>
            </rPr>
            <t xml:space="preserve"> Graduate; PMP / PRINCE2 / CSM preferred from B2</t>
          </r>
        </is>
      </c>
      <c r="P37" s="165" t="inlineStr">
        <is>
          <t>PMP / PRINCE2 / CSM / SAFe</t>
        </is>
      </c>
      <c r="Q37" s="165" t="inlineStr">
        <is>
          <t>Hybrid delivery governance</t>
        </is>
      </c>
      <c r="R37" s="183" t="inlineStr">
        <is>
          <t>TE-B-IC</t>
        </is>
      </c>
      <c r="S37" s="184" t="n">
        <v>0.5600000000000001</v>
      </c>
      <c r="T37" s="184" t="n">
        <v>0.17</v>
      </c>
      <c r="U37" s="184" t="n">
        <v>0.05</v>
      </c>
      <c r="V37" s="184" t="n">
        <v>0.05</v>
      </c>
      <c r="W37" s="184" t="n">
        <v>0.1</v>
      </c>
      <c r="X37" s="184" t="n">
        <v>0.07000000000000001</v>
      </c>
      <c r="Y37" s="122" t="inlineStr">
        <is>
          <t>★ Project, Program &amp; Agile Management · ★ Stakeholder &amp; Client Management</t>
        </is>
      </c>
      <c r="Z37" s="123" t="inlineStr">
        <is>
          <t>Communication &amp; Presentation · Process Improvement &amp; Quality Mindset · Strategic Thinking &amp; Business Acumen · Product, Platform &amp; Domain Knowledge</t>
        </is>
      </c>
      <c r="AA37" s="123" t="inlineStr">
        <is>
          <t>—</t>
        </is>
      </c>
      <c r="AB37" s="123" t="inlineStr">
        <is>
          <t>Core 3 · Future-ready 3 · Functional 3 · Leadership 1</t>
        </is>
      </c>
      <c r="AC37" s="124" t="inlineStr">
        <is>
          <r>
            <rPr>
              <rFont val="Calibri"/>
              <b val="1"/>
              <sz val="10"/>
            </rPr>
            <t>IC:</t>
          </r>
          <r>
            <rPr>
              <rFont val="Calibri"/>
              <sz val="10"/>
            </rPr>
            <t xml:space="preserve"> none · Team Lead: 3–5</t>
          </r>
        </is>
      </c>
      <c r="AD37" s="185" t="inlineStr">
        <is>
          <t>P3</t>
        </is>
      </c>
      <c r="AE37" s="131" t="inlineStr">
        <is>
          <t>Career / · Team Lead</t>
        </is>
      </c>
      <c r="AF37" s="186" t="inlineStr">
        <is>
          <t>4 Enable</t>
        </is>
      </c>
      <c r="AG37" s="131" t="inlineStr">
        <is>
          <t>Project Manager</t>
        </is>
      </c>
      <c r="AH37" s="131" t="inlineStr">
        <is>
          <t>L4 · MS 62 · —</t>
        </is>
      </c>
      <c r="AI37" s="131" t="inlineStr">
        <is>
          <t>JL4 · C2 · L9 Team Lead / Consultant</t>
        </is>
      </c>
      <c r="AJ37" s="131" t="inlineStr">
        <is>
          <t>Senior Consultant / Assistant Manager</t>
        </is>
      </c>
      <c r="AK37" s="131" t="inlineStr">
        <is>
          <t>Radford / Pave</t>
        </is>
      </c>
      <c r="AL37" s="131" t="inlineStr">
        <is>
          <t>IRIS Vs Competitor Benchmark — PMI pathway + SaaS delivery ladder: Project Manager · PMP</t>
        </is>
      </c>
      <c r="AM37" s="131" t="inlineStr">
        <is>
          <t>PMI PMBOK and Talent Triangle; CAPM · entry → PMP → PgMP; Scrum / SAFe</t>
        </is>
      </c>
      <c r="AN37" s="132" t="inlineStr">
        <is>
          <t>Lateral; Management Trainees graduate here</t>
        </is>
      </c>
      <c r="AO37" s="133" t="inlineStr">
        <is>
          <t>B2 · Senior Specialist</t>
        </is>
      </c>
      <c r="AP37" s="133" t="inlineStr">
        <is>
          <t>B2 · Manager</t>
        </is>
      </c>
      <c r="AQ37" s="133" t="inlineStr">
        <is>
          <t>AI-assisted planning, value / outcome-based delivery</t>
        </is>
      </c>
    </row>
    <row r="38" ht="80" customHeight="1">
      <c r="A38" s="109" t="inlineStr">
        <is>
          <t>Technology</t>
        </is>
      </c>
      <c r="B38" s="111" t="inlineStr">
        <is>
          <t>Business Analysis</t>
        </is>
      </c>
      <c r="C38" s="111" t="inlineStr">
        <is>
          <t>Business Analysis</t>
        </is>
      </c>
      <c r="D38" s="111" t="inlineStr">
        <is>
          <t>Business Analysis Specialist – POD Lead</t>
        </is>
      </c>
      <c r="E38" s="20" t="inlineStr">
        <is>
          <t>B1</t>
        </is>
      </c>
      <c r="F38" s="18" t="inlineStr">
        <is>
          <t>Specialist · POD Lead</t>
        </is>
      </c>
      <c r="G38" s="111" t="inlineStr">
        <is>
          <t>POD Lead</t>
        </is>
      </c>
      <c r="H38" s="112" t="n">
        <v>1</v>
      </c>
      <c r="I38" s="139" t="inlineStr">
        <is>
          <t>A domain / module, or a small team</t>
        </is>
      </c>
      <c r="J38" s="115" t="inlineStr">
        <is>
          <t>Domain specialist work</t>
        </is>
      </c>
      <c r="K38" s="115" t="inlineStr">
        <is>
          <t>Technical / QC / client calls for the domain</t>
        </is>
      </c>
      <c r="L38" s="115" t="inlineStr">
        <is>
          <t>A domain or a small team</t>
        </is>
      </c>
      <c r="M38" s="115" t="inlineStr">
        <is>
          <r>
            <rPr>
              <rFont val="Calibri"/>
              <b val="1"/>
              <sz val="10"/>
            </rPr>
            <t>IC:</t>
          </r>
          <r>
            <rPr>
              <rFont val="Calibri"/>
              <sz val="10"/>
            </rPr>
            <t xml:space="preserve"> mentors and reviews · People: hands-on team lead of 3–5</t>
          </r>
        </is>
      </c>
      <c r="N38" s="182" t="inlineStr">
        <is>
          <t>4–7 yrs</t>
        </is>
      </c>
      <c r="O38" s="165" t="inlineStr">
        <is>
          <r>
            <rPr>
              <rFont val="Calibri"/>
              <sz val="10"/>
            </rPr>
            <t xml:space="preserve">Graduate + relevant qualification or certification preferred
</t>
          </r>
          <r>
            <rPr>
              <rFont val="Calibri"/>
              <b val="1"/>
              <sz val="10"/>
            </rPr>
            <t>Family:</t>
          </r>
          <r>
            <rPr>
              <rFont val="Calibri"/>
              <sz val="10"/>
            </rPr>
            <t xml:space="preserve"> Commerce or engineering graduate; MBA a plus</t>
          </r>
        </is>
      </c>
      <c r="P38" s="165" t="inlineStr">
        <is>
          <t>CBAP / CCBA · optional; Domain certifications · optional</t>
        </is>
      </c>
      <c r="Q38" s="165" t="inlineStr">
        <is>
          <t>Regulatory reporting domain · RBI / SEBI / IRDAI / SEC</t>
        </is>
      </c>
      <c r="R38" s="183" t="inlineStr">
        <is>
          <t>TE-B-IC</t>
        </is>
      </c>
      <c r="S38" s="184" t="n">
        <v>0.5600000000000001</v>
      </c>
      <c r="T38" s="184" t="n">
        <v>0.17</v>
      </c>
      <c r="U38" s="184" t="n">
        <v>0.05</v>
      </c>
      <c r="V38" s="184" t="n">
        <v>0.05</v>
      </c>
      <c r="W38" s="184" t="n">
        <v>0.1</v>
      </c>
      <c r="X38" s="184" t="n">
        <v>0.07000000000000001</v>
      </c>
      <c r="Y38" s="122" t="inlineStr">
        <is>
          <t>★ Business Analysis &amp; Requirements Engineering · ★ Regulatory &amp; BFSI Domain</t>
        </is>
      </c>
      <c r="Z38" s="123" t="inlineStr">
        <is>
          <t>Product, Platform &amp; Domain Knowledge · Database, SQL &amp; Data Engineering · Stakeholder &amp; Client Management · Communication &amp; Presentation</t>
        </is>
      </c>
      <c r="AA38" s="123" t="inlineStr">
        <is>
          <t>—</t>
        </is>
      </c>
      <c r="AB38" s="123" t="inlineStr">
        <is>
          <t>Core 3 · Future-ready 3 · Functional 3 · Leadership 2</t>
        </is>
      </c>
      <c r="AC38" s="124" t="inlineStr">
        <is>
          <r>
            <rPr>
              <rFont val="Calibri"/>
              <b val="1"/>
              <sz val="10"/>
            </rPr>
            <t>IC:</t>
          </r>
          <r>
            <rPr>
              <rFont val="Calibri"/>
              <sz val="10"/>
            </rPr>
            <t xml:space="preserve"> none · Team Lead: 3–5</t>
          </r>
        </is>
      </c>
      <c r="AD38" s="185" t="inlineStr">
        <is>
          <t>P3</t>
        </is>
      </c>
      <c r="AE38" s="131" t="inlineStr">
        <is>
          <t>Career / · Team Lead</t>
        </is>
      </c>
      <c r="AF38" s="186" t="inlineStr">
        <is>
          <t>4 Enable</t>
        </is>
      </c>
      <c r="AG38" s="131" t="inlineStr">
        <is>
          <t>Senior Business Analyst</t>
        </is>
      </c>
      <c r="AH38" s="131" t="inlineStr">
        <is>
          <t>L4 · MS 62 · —</t>
        </is>
      </c>
      <c r="AI38" s="131" t="inlineStr">
        <is>
          <t>JL4 · C2 · L9 Team Lead / Consultant</t>
        </is>
      </c>
      <c r="AJ38" s="131" t="inlineStr">
        <is>
          <t>Senior Consultant / Assistant Manager</t>
        </is>
      </c>
      <c r="AK38" s="131" t="inlineStr">
        <is>
          <t>Radford / Pave</t>
        </is>
      </c>
      <c r="AL38" s="131" t="inlineStr">
        <is>
          <t>Regnology — regulatory reporting: BA · Reg Reporting · Big Four consulting: Senior Consultant · IRIS Vs Market Benchmark — IIBA certification pathway: CCBA · Infosys / Accenture: JL4 · L9 Consultant</t>
        </is>
      </c>
      <c r="AM38" s="131" t="inlineStr">
        <is>
          <t>IIBA BABOK v3; certifications ECBA · entry → CCBA → CBAP · senior</t>
        </is>
      </c>
      <c r="AN38" s="132" t="inlineStr">
        <is>
          <t>Lateral; Management Trainees graduate here</t>
        </is>
      </c>
      <c r="AO38" s="133" t="inlineStr">
        <is>
          <t>B2 · Senior Specialist</t>
        </is>
      </c>
      <c r="AP38" s="133" t="inlineStr">
        <is>
          <t>B2 · Manager</t>
        </is>
      </c>
      <c r="AQ38" s="133" t="inlineStr">
        <is>
          <t>AI-assisted requirement analysis, data-driven product decisions</t>
        </is>
      </c>
    </row>
    <row r="39" ht="67" customHeight="1">
      <c r="A39" s="109" t="inlineStr">
        <is>
          <t>Technology</t>
        </is>
      </c>
      <c r="B39" s="111" t="inlineStr">
        <is>
          <t>Engineering &amp; Development</t>
        </is>
      </c>
      <c r="C39" s="111" t="inlineStr">
        <is>
          <t>Data Engineering &amp; Database Development</t>
        </is>
      </c>
      <c r="D39" s="111" t="inlineStr">
        <is>
          <t>Database Specialist – POD Lead</t>
        </is>
      </c>
      <c r="E39" s="20" t="inlineStr">
        <is>
          <t>B1</t>
        </is>
      </c>
      <c r="F39" s="18" t="inlineStr">
        <is>
          <t>Specialist · POD Lead</t>
        </is>
      </c>
      <c r="G39" s="111" t="inlineStr">
        <is>
          <t>POD Lead</t>
        </is>
      </c>
      <c r="H39" s="112" t="n">
        <v>1</v>
      </c>
      <c r="I39" s="139" t="inlineStr">
        <is>
          <t>A domain / module, or a small team</t>
        </is>
      </c>
      <c r="J39" s="115" t="inlineStr">
        <is>
          <t>Domain specialist work</t>
        </is>
      </c>
      <c r="K39" s="115" t="inlineStr">
        <is>
          <t>Technical / QC / client calls for the domain</t>
        </is>
      </c>
      <c r="L39" s="115" t="inlineStr">
        <is>
          <t>A domain or a small team</t>
        </is>
      </c>
      <c r="M39" s="115" t="inlineStr">
        <is>
          <r>
            <rPr>
              <rFont val="Calibri"/>
              <b val="1"/>
              <sz val="10"/>
            </rPr>
            <t>IC:</t>
          </r>
          <r>
            <rPr>
              <rFont val="Calibri"/>
              <sz val="10"/>
            </rPr>
            <t xml:space="preserve"> mentors and reviews · People: hands-on team lead of 3–5</t>
          </r>
        </is>
      </c>
      <c r="N39" s="182" t="inlineStr">
        <is>
          <t>4–7 yrs</t>
        </is>
      </c>
      <c r="O39" s="165" t="inlineStr">
        <is>
          <r>
            <rPr>
              <rFont val="Calibri"/>
              <sz val="10"/>
            </rPr>
            <t xml:space="preserve">Graduate + relevant qualification or certification preferred
</t>
          </r>
          <r>
            <rPr>
              <rFont val="Calibri"/>
              <b val="1"/>
              <sz val="10"/>
            </rPr>
            <t>Family:</t>
          </r>
          <r>
            <rPr>
              <rFont val="Calibri"/>
              <sz val="10"/>
            </rPr>
            <t xml:space="preserve"> BE / B.Tech / MCA / M.Tech / B.Sc · CS</t>
          </r>
        </is>
      </c>
      <c r="P39" s="165" t="inlineStr">
        <is>
          <t>Cloud / language certifications · optional; AWS / Azure architect · optional</t>
        </is>
      </c>
      <c r="Q39" s="165" t="inlineStr">
        <is>
          <t>Secure coding · OWASP, code review, unit testing</t>
        </is>
      </c>
      <c r="R39" s="183" t="inlineStr">
        <is>
          <t>TE-B-IC</t>
        </is>
      </c>
      <c r="S39" s="184" t="n">
        <v>0.5600000000000001</v>
      </c>
      <c r="T39" s="184" t="n">
        <v>0.17</v>
      </c>
      <c r="U39" s="184" t="n">
        <v>0.05</v>
      </c>
      <c r="V39" s="184" t="n">
        <v>0.05</v>
      </c>
      <c r="W39" s="184" t="n">
        <v>0.1</v>
      </c>
      <c r="X39" s="184" t="n">
        <v>0.07000000000000001</v>
      </c>
      <c r="Y39" s="122" t="inlineStr">
        <is>
          <t>★ Programming &amp; Tech-Stack Depth · ★ System Design &amp; Architecture</t>
        </is>
      </c>
      <c r="Z39" s="123" t="inlineStr">
        <is>
          <t>Database, SQL &amp; Data Engineering · Cloud, DevOps &amp; CI/CD · AI, GenAI &amp; Prompt Engineering · Product, Platform &amp; Domain Knowledge</t>
        </is>
      </c>
      <c r="AA39" s="123" t="inlineStr">
        <is>
          <t>—</t>
        </is>
      </c>
      <c r="AB39" s="123" t="inlineStr">
        <is>
          <t>Core 3 · Future-ready 3 · Functional 3 · Leadership 2</t>
        </is>
      </c>
      <c r="AC39" s="124" t="inlineStr">
        <is>
          <r>
            <rPr>
              <rFont val="Calibri"/>
              <b val="1"/>
              <sz val="10"/>
            </rPr>
            <t>IC:</t>
          </r>
          <r>
            <rPr>
              <rFont val="Calibri"/>
              <sz val="10"/>
            </rPr>
            <t xml:space="preserve"> none · Team Lead: 3–5</t>
          </r>
        </is>
      </c>
      <c r="AD39" s="185" t="inlineStr">
        <is>
          <t>P3</t>
        </is>
      </c>
      <c r="AE39" s="131" t="inlineStr">
        <is>
          <t>Career / · Team Lead</t>
        </is>
      </c>
      <c r="AF39" s="186" t="inlineStr">
        <is>
          <t>4 Enable</t>
        </is>
      </c>
      <c r="AG39" s="131" t="inlineStr">
        <is>
          <t>Senior Software Engineer</t>
        </is>
      </c>
      <c r="AH39" s="131" t="inlineStr">
        <is>
          <t>L4 · MS 62 · Software Engineer – Senior SE</t>
        </is>
      </c>
      <c r="AI39" s="131" t="inlineStr">
        <is>
          <t>JL4 Technology Analyst · C2 IT Analyst · L9 Team Lead / Consultant</t>
        </is>
      </c>
      <c r="AJ39" s="131" t="inlineStr">
        <is>
          <t>Senior Consultant / Assistant Manager</t>
        </is>
      </c>
      <c r="AK39" s="131" t="inlineStr">
        <is>
          <t>Workiva · Levels.fyi, Radford / Pave</t>
        </is>
      </c>
      <c r="AL39" s="131" t="inlineStr">
        <is>
          <r>
            <rPr>
              <rFont val="Calibri"/>
              <b val="1"/>
              <sz val="10"/>
            </rPr>
            <t>Workiva:</t>
          </r>
          <r>
            <rPr>
              <rFont val="Calibri"/>
              <sz val="10"/>
            </rPr>
            <t xml:space="preserve"> SE / Senior SE · Broadridge India: Senior SE · Nasdaq / AxiomSL: Senior SE · Salesforce: MTS · Atlassian: P40 · Freshworks: Senior SE · Clear: SDE2</t>
          </r>
        </is>
      </c>
      <c r="AM39" s="131" t="inlineStr">
        <is>
          <t>SFIA 9 · software development, programming; OWASP secure coding; cloud vendor certifications</t>
        </is>
      </c>
      <c r="AN39" s="132" t="inlineStr">
        <is>
          <t>Lateral; Management Trainees graduate here</t>
        </is>
      </c>
      <c r="AO39" s="133" t="inlineStr">
        <is>
          <t>B2 · Senior Specialist</t>
        </is>
      </c>
      <c r="AP39" s="133" t="inlineStr">
        <is>
          <t>B2 · Manager</t>
        </is>
      </c>
      <c r="AQ39" s="133" t="inlineStr">
        <is>
          <t>AI-assisted coding, cloud-native &amp; API-first design, LLM integration</t>
        </is>
      </c>
    </row>
    <row r="40" ht="80" customHeight="1">
      <c r="A40" s="109" t="inlineStr">
        <is>
          <t>Technology</t>
        </is>
      </c>
      <c r="B40" s="111" t="inlineStr">
        <is>
          <t>Business Analysis</t>
        </is>
      </c>
      <c r="C40" s="111" t="inlineStr">
        <is>
          <t>Business Analysis</t>
        </is>
      </c>
      <c r="D40" s="111" t="inlineStr">
        <is>
          <t>Team Lead – Business Analysis</t>
        </is>
      </c>
      <c r="E40" s="20" t="inlineStr">
        <is>
          <t>B1</t>
        </is>
      </c>
      <c r="F40" s="18" t="inlineStr">
        <is>
          <t>Team Lead</t>
        </is>
      </c>
      <c r="G40" s="111" t="inlineStr">
        <is>
          <t>People Manager</t>
        </is>
      </c>
      <c r="H40" s="112" t="n">
        <v>1</v>
      </c>
      <c r="I40" s="139" t="inlineStr">
        <is>
          <t>A domain / module, or a small team</t>
        </is>
      </c>
      <c r="J40" s="115" t="inlineStr">
        <is>
          <t>Domain specialist work</t>
        </is>
      </c>
      <c r="K40" s="115" t="inlineStr">
        <is>
          <t>Technical / QC / client calls for the domain</t>
        </is>
      </c>
      <c r="L40" s="115" t="inlineStr">
        <is>
          <t>A domain or a small team</t>
        </is>
      </c>
      <c r="M40" s="115" t="inlineStr">
        <is>
          <r>
            <rPr>
              <rFont val="Calibri"/>
              <b val="1"/>
              <sz val="10"/>
            </rPr>
            <t>IC:</t>
          </r>
          <r>
            <rPr>
              <rFont val="Calibri"/>
              <sz val="10"/>
            </rPr>
            <t xml:space="preserve"> mentors and reviews · People: hands-on team lead of 3–5</t>
          </r>
        </is>
      </c>
      <c r="N40" s="182" t="inlineStr">
        <is>
          <t>4–7 yrs</t>
        </is>
      </c>
      <c r="O40" s="165" t="inlineStr">
        <is>
          <r>
            <rPr>
              <rFont val="Calibri"/>
              <sz val="10"/>
            </rPr>
            <t xml:space="preserve">Graduate + relevant qualification or certification preferred
</t>
          </r>
          <r>
            <rPr>
              <rFont val="Calibri"/>
              <b val="1"/>
              <sz val="10"/>
            </rPr>
            <t>Family:</t>
          </r>
          <r>
            <rPr>
              <rFont val="Calibri"/>
              <sz val="10"/>
            </rPr>
            <t xml:space="preserve"> Commerce or engineering graduate; MBA a plus</t>
          </r>
        </is>
      </c>
      <c r="P40" s="165" t="inlineStr">
        <is>
          <t>CBAP / CCBA · optional; Domain certifications · optional</t>
        </is>
      </c>
      <c r="Q40" s="165" t="inlineStr">
        <is>
          <t>Regulatory reporting domain · RBI / SEBI / IRDAI / SEC</t>
        </is>
      </c>
      <c r="R40" s="183" t="inlineStr">
        <is>
          <t>TE-B-M</t>
        </is>
      </c>
      <c r="S40" s="184" t="n">
        <v>0.42</v>
      </c>
      <c r="T40" s="184" t="n">
        <v>0.18</v>
      </c>
      <c r="U40" s="184" t="n">
        <v>0.06</v>
      </c>
      <c r="V40" s="184" t="n">
        <v>0.15</v>
      </c>
      <c r="W40" s="184" t="n">
        <v>0.1</v>
      </c>
      <c r="X40" s="184" t="n">
        <v>0.09</v>
      </c>
      <c r="Y40" s="122" t="inlineStr">
        <is>
          <t>★ Business Analysis &amp; Requirements Engineering · ★ Regulatory &amp; BFSI Domain</t>
        </is>
      </c>
      <c r="Z40" s="123" t="inlineStr">
        <is>
          <t>Product, Platform &amp; Domain Knowledge · Database, SQL &amp; Data Engineering · Stakeholder &amp; Client Management · Communication &amp; Presentation</t>
        </is>
      </c>
      <c r="AA40" s="123" t="inlineStr">
        <is>
          <t>—</t>
        </is>
      </c>
      <c r="AB40" s="123" t="inlineStr">
        <is>
          <t>Core 3 · Future-ready 3 · Functional 3 · Leadership 2</t>
        </is>
      </c>
      <c r="AC40" s="124" t="inlineStr">
        <is>
          <r>
            <rPr>
              <rFont val="Calibri"/>
              <b val="1"/>
              <sz val="10"/>
            </rPr>
            <t>IC:</t>
          </r>
          <r>
            <rPr>
              <rFont val="Calibri"/>
              <sz val="10"/>
            </rPr>
            <t xml:space="preserve"> none · Team Lead: 3–5</t>
          </r>
        </is>
      </c>
      <c r="AD40" s="185" t="inlineStr">
        <is>
          <t>M2</t>
        </is>
      </c>
      <c r="AE40" s="131" t="inlineStr">
        <is>
          <t>Career / · Team Lead</t>
        </is>
      </c>
      <c r="AF40" s="186" t="inlineStr">
        <is>
          <t>4 Enable</t>
        </is>
      </c>
      <c r="AG40" s="131" t="inlineStr">
        <is>
          <t>Team Lead / Assistant Manager</t>
        </is>
      </c>
      <c r="AH40" s="131" t="inlineStr">
        <is>
          <t>L4 · MS 62 · —</t>
        </is>
      </c>
      <c r="AI40" s="131" t="inlineStr">
        <is>
          <t>JL4 · C2 · L9 Team Lead / Consultant</t>
        </is>
      </c>
      <c r="AJ40" s="131" t="inlineStr">
        <is>
          <t>Senior Consultant / Assistant Manager</t>
        </is>
      </c>
      <c r="AK40" s="131" t="inlineStr">
        <is>
          <t>Radford / Pave</t>
        </is>
      </c>
      <c r="AL40" s="131" t="inlineStr">
        <is>
          <t>Regnology — regulatory reporting: BA · Reg Reporting · Big Four consulting: Senior Consultant · IRIS Vs Market Benchmark — IIBA certification pathway: CCBA · Infosys / Accenture: JL4 · L9 Consultant</t>
        </is>
      </c>
      <c r="AM40" s="131" t="inlineStr">
        <is>
          <t>IIBA BABOK v3; certifications ECBA · entry → CCBA → CBAP · senior</t>
        </is>
      </c>
      <c r="AN40" s="132" t="inlineStr">
        <is>
          <t>Lateral; Management Trainees graduate here</t>
        </is>
      </c>
      <c r="AO40" s="133" t="inlineStr">
        <is>
          <t>B2 · Senior Specialist</t>
        </is>
      </c>
      <c r="AP40" s="133" t="inlineStr">
        <is>
          <t>B2 · Manager</t>
        </is>
      </c>
      <c r="AQ40" s="133" t="inlineStr">
        <is>
          <t>AI-assisted requirement analysis, data-driven product decisions</t>
        </is>
      </c>
    </row>
    <row r="41" ht="80" customHeight="1">
      <c r="A41" s="109" t="inlineStr">
        <is>
          <t>Technology</t>
        </is>
      </c>
      <c r="B41" s="111" t="inlineStr">
        <is>
          <t>Engineering &amp; Development</t>
        </is>
      </c>
      <c r="C41" s="111" t="inlineStr">
        <is>
          <t>Backend Development</t>
        </is>
      </c>
      <c r="D41" s="111" t="inlineStr">
        <is>
          <t>Lead Software Engineer</t>
        </is>
      </c>
      <c r="E41" s="20" t="inlineStr">
        <is>
          <t>B3</t>
        </is>
      </c>
      <c r="F41" s="18" t="inlineStr">
        <is>
          <t>Lead Specialist</t>
        </is>
      </c>
      <c r="G41" s="111" t="inlineStr">
        <is>
          <t>IC</t>
        </is>
      </c>
      <c r="H41" s="112" t="n">
        <v>1</v>
      </c>
      <c r="I41" s="139" t="inlineStr">
        <is>
          <t>A practice, or several teams through team leads</t>
        </is>
      </c>
      <c r="J41" s="115" t="inlineStr">
        <is>
          <t>Sets standards for a practice; cross-team problems</t>
        </is>
      </c>
      <c r="K41" s="115" t="inlineStr">
        <is>
          <t>Commercial / strategic calls for the unit</t>
        </is>
      </c>
      <c r="L41" s="115" t="inlineStr">
        <is>
          <t>Several teams or a practice</t>
        </is>
      </c>
      <c r="M41" s="115" t="inlineStr">
        <is>
          <r>
            <rPr>
              <rFont val="Calibri"/>
              <b val="1"/>
              <sz val="10"/>
            </rPr>
            <t>IC:</t>
          </r>
          <r>
            <rPr>
              <rFont val="Calibri"/>
              <sz val="10"/>
            </rPr>
            <t xml:space="preserve"> leads a practice · People: team leads / managers report in</t>
          </r>
        </is>
      </c>
      <c r="N41" s="182" t="inlineStr">
        <is>
          <t>8–12 yrs</t>
        </is>
      </c>
      <c r="O41" s="165" t="inlineStr">
        <is>
          <r>
            <rPr>
              <rFont val="Calibri"/>
              <sz val="10"/>
            </rPr>
            <t xml:space="preserve">Postgraduate or professional qualification preferred
</t>
          </r>
          <r>
            <rPr>
              <rFont val="Calibri"/>
              <b val="1"/>
              <sz val="10"/>
            </rPr>
            <t>Family:</t>
          </r>
          <r>
            <rPr>
              <rFont val="Calibri"/>
              <sz val="10"/>
            </rPr>
            <t xml:space="preserve"> BE / B.Tech / MCA / M.Tech / B.Sc · CS</t>
          </r>
        </is>
      </c>
      <c r="P41" s="165" t="inlineStr">
        <is>
          <t>Cloud / language certifications · optional; AWS / Azure architect · optional</t>
        </is>
      </c>
      <c r="Q41" s="165" t="inlineStr">
        <is>
          <t>Secure coding · OWASP, code review, unit testing</t>
        </is>
      </c>
      <c r="R41" s="183" t="inlineStr">
        <is>
          <t>TE-B-IC</t>
        </is>
      </c>
      <c r="S41" s="184" t="n">
        <v>0.5600000000000001</v>
      </c>
      <c r="T41" s="184" t="n">
        <v>0.17</v>
      </c>
      <c r="U41" s="184" t="n">
        <v>0.05</v>
      </c>
      <c r="V41" s="184" t="n">
        <v>0.05</v>
      </c>
      <c r="W41" s="184" t="n">
        <v>0.1</v>
      </c>
      <c r="X41" s="184" t="n">
        <v>0.07000000000000001</v>
      </c>
      <c r="Y41" s="122" t="inlineStr">
        <is>
          <t>★ Programming &amp; Tech-Stack Depth · ★ System Design &amp; Architecture</t>
        </is>
      </c>
      <c r="Z41" s="123" t="inlineStr">
        <is>
          <t>Database, SQL &amp; Data Engineering · Cloud, DevOps &amp; CI/CD · AI, GenAI &amp; Prompt Engineering · Product, Platform &amp; Domain Knowledge</t>
        </is>
      </c>
      <c r="AA41" s="123" t="inlineStr">
        <is>
          <t>—</t>
        </is>
      </c>
      <c r="AB41" s="123" t="inlineStr">
        <is>
          <t>Core 4 · Future-ready 3 · Functional 4 · Leadership 3</t>
        </is>
      </c>
      <c r="AC41" s="124" t="inlineStr">
        <is>
          <r>
            <rPr>
              <rFont val="Calibri"/>
              <b val="1"/>
              <sz val="10"/>
            </rPr>
            <t>IC:</t>
          </r>
          <r>
            <rPr>
              <rFont val="Calibri"/>
              <sz val="10"/>
            </rPr>
            <t xml:space="preserve"> none · People: 5–8 incl. team leads</t>
          </r>
        </is>
      </c>
      <c r="AD41" s="185" t="inlineStr">
        <is>
          <t>P5</t>
        </is>
      </c>
      <c r="AE41" s="131" t="inlineStr">
        <is>
          <t>Expert / Senior Manager</t>
        </is>
      </c>
      <c r="AF41" s="186" t="inlineStr">
        <is>
          <t>5 Ensure, advise</t>
        </is>
      </c>
      <c r="AG41" s="131" t="inlineStr">
        <is>
          <t>Principal Engineer</t>
        </is>
      </c>
      <c r="AH41" s="131" t="inlineStr">
        <is>
          <t>L5 · Senior · MS 63–64 · Senior SE</t>
        </is>
      </c>
      <c r="AI41" s="131" t="inlineStr">
        <is>
          <t>JL5–JL6B · C3B Associate Consultant · L7 Manager</t>
        </is>
      </c>
      <c r="AJ41" s="131" t="inlineStr">
        <is>
          <t>Senior Manager</t>
        </is>
      </c>
      <c r="AK41" s="131" t="inlineStr">
        <is>
          <t>Workiva · Levels.fyi, Radford / Pave</t>
        </is>
      </c>
      <c r="AL41" s="131" t="inlineStr">
        <is>
          <r>
            <rPr>
              <rFont val="Calibri"/>
              <b val="1"/>
              <sz val="10"/>
            </rPr>
            <t>Workiva:</t>
          </r>
          <r>
            <rPr>
              <rFont val="Calibri"/>
              <sz val="10"/>
            </rPr>
            <t xml:space="preserve"> Staff SE · Broadridge India: Senior Lead SE · Nasdaq / AxiomSL: Lead SE · Salesforce: LMTS · Atlassian: P50 Senior · Freshworks: Staff SE · Clear: Staff · IRIS Vs Competitor Benchmark — engineering managers: Senior EM</t>
          </r>
        </is>
      </c>
      <c r="AM41" s="131" t="inlineStr">
        <is>
          <t>SFIA 9 · software development, programming; OWASP secure coding; cloud vendor certifications</t>
        </is>
      </c>
      <c r="AN41" s="132" t="inlineStr">
        <is>
          <t>Lateral; internal posting first</t>
        </is>
      </c>
      <c r="AO41" s="133" t="inlineStr">
        <is>
          <t>C1 · Principal · or B+ · Practice Lead · Player-Coach if leading people hands-on</t>
        </is>
      </c>
      <c r="AP41" s="133" t="inlineStr">
        <is>
          <t>C1 · Associate Head · or B+ · Practice Lead · Player-Coach if leading people hands-on</t>
        </is>
      </c>
      <c r="AQ41" s="133" t="inlineStr">
        <is>
          <t>AI-assisted coding, cloud-native &amp; API-first design, LLM integration</t>
        </is>
      </c>
    </row>
    <row r="42" ht="93" customHeight="1">
      <c r="A42" s="109" t="inlineStr">
        <is>
          <t>Technology</t>
        </is>
      </c>
      <c r="B42" s="111" t="inlineStr">
        <is>
          <t>Engineering &amp; Architecture</t>
        </is>
      </c>
      <c r="C42" s="111" t="inlineStr">
        <is>
          <t>Solution &amp; Technical Architecture</t>
        </is>
      </c>
      <c r="D42" s="111" t="inlineStr">
        <is>
          <t>Practice Lead – Solution &amp; Technical Architecture · Player-Coach</t>
        </is>
      </c>
      <c r="E42" s="20" t="inlineStr">
        <is>
          <t>B+</t>
        </is>
      </c>
      <c r="F42" s="18" t="inlineStr">
        <is>
          <t>Practice Lead · Player-Coach</t>
        </is>
      </c>
      <c r="G42" s="111" t="inlineStr">
        <is>
          <t>Player-Coach</t>
        </is>
      </c>
      <c r="H42" s="112" t="n">
        <v>1</v>
      </c>
      <c r="I42" s="139" t="inlineStr">
        <is>
          <r>
            <rPr>
              <rFont val="Calibri"/>
              <b val="1"/>
              <sz val="10"/>
            </rPr>
            <t>A practice or product area:</t>
          </r>
          <r>
            <rPr>
              <rFont val="Calibri"/>
              <sz val="10"/>
            </rPr>
            <t xml:space="preserve"> does the hardest hands-on work itself and leads 3–6 people · player-coach</t>
          </r>
        </is>
      </c>
      <c r="J42" s="115" t="inlineStr">
        <is>
          <t>Principal-level problems in own domain; sets technical or quality standards and still builds</t>
        </is>
      </c>
      <c r="K42" s="115" t="inlineStr">
        <is>
          <t>Decides approach and priorities for the practice; escalates only cross-function trade-offs</t>
        </is>
      </c>
      <c r="L42" s="115" t="inlineStr">
        <is>
          <t>Practice outcomes plus own deliverables; quality and delivery of the team</t>
        </is>
      </c>
      <c r="M42" s="115" t="inlineStr">
        <is>
          <t>Leads 3–6 people · or a pod while remaining a hands-on expert; coaches, allocates, reviews</t>
        </is>
      </c>
      <c r="N42" s="182" t="inlineStr">
        <is>
          <t>9–14 yrs</t>
        </is>
      </c>
      <c r="O42" s="165" t="inlineStr">
        <is>
          <r>
            <rPr>
              <rFont val="Calibri"/>
              <sz val="10"/>
            </rPr>
            <t xml:space="preserve">Postgraduate or professional qualification preferred
</t>
          </r>
          <r>
            <rPr>
              <rFont val="Calibri"/>
              <b val="1"/>
              <sz val="10"/>
            </rPr>
            <t>Family:</t>
          </r>
          <r>
            <rPr>
              <rFont val="Calibri"/>
              <sz val="10"/>
            </rPr>
            <t xml:space="preserve"> BE / B.Tech / MCA / M.Tech</t>
          </r>
        </is>
      </c>
      <c r="P42" s="165" t="inlineStr">
        <is>
          <t>AWS / Azure architect · optional; Cloud / language certifications · optional</t>
        </is>
      </c>
      <c r="Q42" s="165" t="inlineStr">
        <is>
          <t>Architecture governance, security by design</t>
        </is>
      </c>
      <c r="R42" s="183" t="inlineStr">
        <is>
          <t>TE-PC-B+</t>
        </is>
      </c>
      <c r="S42" s="184" t="n">
        <v>0.49</v>
      </c>
      <c r="T42" s="184" t="n">
        <v>0.18</v>
      </c>
      <c r="U42" s="184" t="n">
        <v>0.05</v>
      </c>
      <c r="V42" s="184" t="n">
        <v>0.1</v>
      </c>
      <c r="W42" s="184" t="n">
        <v>0.1</v>
      </c>
      <c r="X42" s="184" t="n">
        <v>0.08</v>
      </c>
      <c r="Y42" s="122" t="inlineStr">
        <is>
          <t>★ System Design &amp; Architecture · ★ Programming &amp; Tech-Stack Depth</t>
        </is>
      </c>
      <c r="Z42" s="123" t="inlineStr">
        <is>
          <t>Cloud, DevOps &amp; CI/CD · Cybersecurity &amp; Infrastructure · Stakeholder &amp; Client Management · Strategic Thinking &amp; Business Acumen</t>
        </is>
      </c>
      <c r="AA42" s="123" t="inlineStr">
        <is>
          <t>—</t>
        </is>
      </c>
      <c r="AB42" s="123" t="inlineStr">
        <is>
          <t>Core 4 · Future-ready 4 · Functional 4 · Leadership 4</t>
        </is>
      </c>
      <c r="AC42" s="124" t="inlineStr">
        <is>
          <t>3–6 direct reports with ≥ 40% of time on own delivery · McKinsey player/coach 3–5; Google Tech Lead Manager</t>
        </is>
      </c>
      <c r="AD42" s="185" t="inlineStr">
        <is>
          <t>P5–P6 / M4–M5</t>
        </is>
      </c>
      <c r="AE42" s="131" t="inlineStr">
        <is>
          <t>Expert / Senior Manager · player-coach</t>
        </is>
      </c>
      <c r="AF42" s="186" t="inlineStr">
        <is>
          <t>5 Ensure, advise</t>
        </is>
      </c>
      <c r="AG42" s="131" t="inlineStr">
        <is>
          <t>Principal Architect / Chief / Enterprise Architect / Senior Manager / Head of Function / AGM</t>
        </is>
      </c>
      <c r="AH42" s="131" t="inlineStr">
        <is>
          <t>L5–L6 · Tech Lead Manager · MS 64 · Senior–Staff SE</t>
        </is>
      </c>
      <c r="AI42" s="131" t="inlineStr">
        <is>
          <t>JL6B Technology Architect / PM · C3B–C4 · L7 Manager</t>
        </is>
      </c>
      <c r="AJ42" s="131" t="inlineStr">
        <is>
          <t>Senior Manager · billable</t>
        </is>
      </c>
      <c r="AK42" s="131" t="inlineStr">
        <is>
          <t>Radford / Pave, Workiva</t>
        </is>
      </c>
      <c r="AL42" s="131" t="inlineStr">
        <is>
          <r>
            <rPr>
              <rFont val="Calibri"/>
              <b val="1"/>
              <sz val="10"/>
            </rPr>
            <t>Google:</t>
          </r>
          <r>
            <rPr>
              <rFont val="Calibri"/>
              <sz val="10"/>
            </rPr>
            <t xml:space="preserve"> Tech Lead Manager · TLM · McKinsey player/coach · 3–5 reports · SaaS: player-coach team lead carrying own work</t>
          </r>
        </is>
      </c>
      <c r="AM42" s="131" t="inlineStr">
        <is>
          <t>SFIA 9 · solution architecture; TOGAF; AWS / Azure architect certifications</t>
        </is>
      </c>
      <c r="AN42" s="132" t="inlineStr">
        <is>
          <t>Internal posting first; lateral by exception</t>
        </is>
      </c>
      <c r="AO42" s="133" t="inlineStr">
        <is>
          <t>C1 · Principal</t>
        </is>
      </c>
      <c r="AP42" s="133" t="inlineStr">
        <is>
          <t>C1 · Associate Head</t>
        </is>
      </c>
      <c r="AQ42" s="133" t="inlineStr">
        <is>
          <t>AI / LLM platform architecture, xBRL-CSV &amp; open-data APIs, cost-optimised cloud</t>
        </is>
      </c>
    </row>
    <row r="43">
      <c r="A43" s="187" t="n"/>
      <c r="B43" s="188" t="n"/>
      <c r="C43" s="188" t="n"/>
      <c r="D43" s="188" t="n"/>
      <c r="E43" s="188" t="n"/>
      <c r="F43" s="188" t="n"/>
      <c r="G43" s="188" t="n"/>
      <c r="H43" s="188" t="n"/>
      <c r="I43" s="189" t="n"/>
      <c r="J43" s="190" t="n"/>
      <c r="K43" s="190" t="n"/>
      <c r="L43" s="190" t="n"/>
      <c r="M43" s="190" t="n"/>
      <c r="N43" s="191" t="n"/>
      <c r="O43" s="192" t="n"/>
      <c r="P43" s="192" t="n"/>
      <c r="Q43" s="192" t="n"/>
      <c r="R43" s="193" t="n"/>
      <c r="S43" s="194" t="n"/>
      <c r="T43" s="194" t="n"/>
      <c r="U43" s="194" t="n"/>
      <c r="V43" s="194" t="n"/>
      <c r="W43" s="194" t="n"/>
      <c r="X43" s="194" t="n"/>
      <c r="Y43" s="195" t="n"/>
      <c r="Z43" s="196" t="n"/>
      <c r="AA43" s="196" t="n"/>
      <c r="AB43" s="196" t="n"/>
      <c r="AC43" s="197" t="n"/>
      <c r="AD43" s="198" t="n"/>
      <c r="AE43" s="199" t="n"/>
      <c r="AF43" s="199" t="n"/>
      <c r="AG43" s="199" t="n"/>
      <c r="AH43" s="199" t="n"/>
      <c r="AI43" s="199" t="n"/>
      <c r="AJ43" s="199" t="n"/>
      <c r="AK43" s="199" t="n"/>
      <c r="AL43" s="199" t="n"/>
      <c r="AM43" s="199" t="n"/>
      <c r="AN43" s="200" t="n"/>
      <c r="AO43" s="201" t="n"/>
      <c r="AP43" s="201" t="n"/>
      <c r="AQ43" s="201" t="n"/>
    </row>
    <row r="44" ht="20" customHeight="1">
      <c r="A44" s="161" t="inlineStr">
        <is>
          <t>iDEAL Business Head — 1 person · 1 role · General management · levels D1</t>
        </is>
      </c>
    </row>
    <row r="45" ht="67" customHeight="1">
      <c r="A45" s="109" t="inlineStr">
        <is>
          <t>iDEAL Business Head</t>
        </is>
      </c>
      <c r="B45" s="111" t="inlineStr">
        <is>
          <t>Executive Leadership</t>
        </is>
      </c>
      <c r="C45" s="111" t="inlineStr">
        <is>
          <t>Business &amp; Functional Leadership</t>
        </is>
      </c>
      <c r="D45" s="111" t="inlineStr">
        <is>
          <t>Business Head – iDEAL</t>
        </is>
      </c>
      <c r="E45" s="39" t="inlineStr">
        <is>
          <t>D1</t>
        </is>
      </c>
      <c r="F45" s="152" t="inlineStr">
        <is>
          <t>Associate Vice President / Business Head</t>
        </is>
      </c>
      <c r="G45" s="111" t="inlineStr">
        <is>
          <t>People Manager</t>
        </is>
      </c>
      <c r="H45" s="112" t="n">
        <v>1</v>
      </c>
      <c r="I45" s="139" t="inlineStr">
        <is>
          <t>A business line P&amp;L, region or enterprise function</t>
        </is>
      </c>
      <c r="J45" s="115" t="inlineStr">
        <is>
          <t>Competing strategic, financial and regulatory priorities</t>
        </is>
      </c>
      <c r="K45" s="115" t="inlineStr">
        <is>
          <t>Sets business-line direction, pricing and investment</t>
        </is>
      </c>
      <c r="L45" s="115" t="inlineStr">
        <is>
          <t>Business-line P&amp;L and market position</t>
        </is>
      </c>
      <c r="M45" s="115" t="inlineStr">
        <is>
          <t>Defines business strategy; builds the leadership bench</t>
        </is>
      </c>
      <c r="N45" s="182" t="inlineStr">
        <is>
          <t>15–20 yrs</t>
        </is>
      </c>
      <c r="O45" s="165" t="inlineStr">
        <is>
          <r>
            <rPr>
              <rFont val="Calibri"/>
              <sz val="10"/>
            </rPr>
            <t xml:space="preserve">Postgraduate / professional qualification preferred
</t>
          </r>
          <r>
            <rPr>
              <rFont val="Calibri"/>
              <b val="1"/>
              <sz val="10"/>
            </rPr>
            <t>Family:</t>
          </r>
          <r>
            <rPr>
              <rFont val="Calibri"/>
              <sz val="10"/>
            </rPr>
            <t xml:space="preserve"> Postgraduate / professional qualification</t>
          </r>
        </is>
      </c>
      <c r="P45" s="165" t="inlineStr">
        <is>
          <t>MBA / PGDM · preferred at C+</t>
        </is>
      </c>
      <c r="Q45" s="165" t="inlineStr">
        <is>
          <t>Governance, risk and regulatory accountability</t>
        </is>
      </c>
      <c r="R45" s="183" t="inlineStr">
        <is>
          <t>GM-DE</t>
        </is>
      </c>
      <c r="S45" s="184" t="n">
        <v>0.37</v>
      </c>
      <c r="T45" s="184" t="n">
        <v>0.19</v>
      </c>
      <c r="U45" s="184" t="n">
        <v>0.11</v>
      </c>
      <c r="V45" s="184" t="n">
        <v>0.2</v>
      </c>
      <c r="W45" s="184" t="n">
        <v>0.05</v>
      </c>
      <c r="X45" s="184" t="n">
        <v>0.08</v>
      </c>
      <c r="Y45" s="122" t="inlineStr">
        <is>
          <t>★ Strategic Thinking &amp; Business Acumen · ★ People Leadership &amp; Mentoring</t>
        </is>
      </c>
      <c r="Z45" s="123" t="inlineStr">
        <is>
          <t>Stakeholder &amp; Client Management · Product, Platform &amp; Domain Knowledge · Regulatory &amp; BFSI Domain · Communication &amp; Presentation</t>
        </is>
      </c>
      <c r="AA45" s="123" t="inlineStr">
        <is>
          <t>—</t>
        </is>
      </c>
      <c r="AB45" s="123" t="inlineStr">
        <is>
          <t>Core 5 · Future-ready 4 · Functional 4 · Leadership 5</t>
        </is>
      </c>
      <c r="AC45" s="124" t="inlineStr">
        <is>
          <t>5–8 heads</t>
        </is>
      </c>
      <c r="AD45" s="185" t="inlineStr">
        <is>
          <t>E1–E2</t>
        </is>
      </c>
      <c r="AE45" s="131" t="inlineStr">
        <is>
          <t>VP</t>
        </is>
      </c>
      <c r="AF45" s="186" t="inlineStr">
        <is>
          <t>6–7</t>
        </is>
      </c>
      <c r="AG45" s="131" t="inlineStr">
        <is>
          <t>Associate Vice President / Business Head</t>
        </is>
      </c>
      <c r="AH45" s="131" t="inlineStr">
        <is>
          <t>L7 · MS 67 · —</t>
        </is>
      </c>
      <c r="AI45" s="131" t="inlineStr">
        <is>
          <t>JL7 · C5–SP1 · L5 Associate Director</t>
        </is>
      </c>
      <c r="AJ45" s="131" t="inlineStr">
        <is>
          <t>Director</t>
        </is>
      </c>
      <c r="AK45" s="131" t="inlineStr">
        <is>
          <t>Radford / Pave</t>
        </is>
      </c>
      <c r="AL45" s="131" t="inlineStr">
        <is>
          <t>IRIS Vs Market Benchmark — Aon Radford / Mercer executive codes: E1–E2 VP / Business Head · IRIS Vs Competitor Benchmark — regtech / SaaS executive titles: General Manager / VP</t>
        </is>
      </c>
      <c r="AM45" s="131" t="inlineStr">
        <is>
          <t>Aon Radford executive levels E1–E6; Mercer ET1–ET3; Korn Ferry Leadership Architect</t>
        </is>
      </c>
      <c r="AN45" s="132" t="inlineStr">
        <is>
          <t>Internal posting first; lateral</t>
        </is>
      </c>
      <c r="AO45" s="133" t="inlineStr">
        <is>
          <t>—</t>
        </is>
      </c>
      <c r="AP45" s="133" t="inlineStr">
        <is>
          <t>D2 · Vice President</t>
        </is>
      </c>
      <c r="AQ45" s="133" t="inlineStr">
        <is>
          <t>AI strategy &amp; governance, sustainability, digital business models</t>
        </is>
      </c>
    </row>
  </sheetData>
  <mergeCells count="18">
    <mergeCell ref="AD5:AM5"/>
    <mergeCell ref="N5:Q5"/>
    <mergeCell ref="A4:C4"/>
    <mergeCell ref="A3:AQ3"/>
    <mergeCell ref="AN5:AQ5"/>
    <mergeCell ref="A44:AQ44"/>
    <mergeCell ref="R5:X5"/>
    <mergeCell ref="A7:AQ7"/>
    <mergeCell ref="A2:AQ2"/>
    <mergeCell ref="A10:AQ10"/>
    <mergeCell ref="A25:AQ25"/>
    <mergeCell ref="A19:AQ19"/>
    <mergeCell ref="A5:H5"/>
    <mergeCell ref="A1:AQ1"/>
    <mergeCell ref="Y5:AB5"/>
    <mergeCell ref="AC5"/>
    <mergeCell ref="A14:AQ14"/>
    <mergeCell ref="I5:M5"/>
  </mergeCells>
  <conditionalFormatting sqref="S7:S47">
    <cfRule type="colorScale" priority="1">
      <colorScale>
        <cfvo type="num" val="0"/>
        <cfvo type="num" val="0.4"/>
        <color rgb="00FFFFFF"/>
        <color rgb="00A9D08E"/>
      </colorScale>
    </cfRule>
  </conditionalFormatting>
  <conditionalFormatting sqref="T7:T47">
    <cfRule type="colorScale" priority="2">
      <colorScale>
        <cfvo type="num" val="0"/>
        <cfvo type="num" val="0.4"/>
        <color rgb="00FFFFFF"/>
        <color rgb="00A9D08E"/>
      </colorScale>
    </cfRule>
  </conditionalFormatting>
  <conditionalFormatting sqref="U7:U47">
    <cfRule type="colorScale" priority="3">
      <colorScale>
        <cfvo type="num" val="0"/>
        <cfvo type="num" val="0.4"/>
        <color rgb="00FFFFFF"/>
        <color rgb="00A9D08E"/>
      </colorScale>
    </cfRule>
  </conditionalFormatting>
  <conditionalFormatting sqref="V7:V47">
    <cfRule type="colorScale" priority="4">
      <colorScale>
        <cfvo type="num" val="0"/>
        <cfvo type="num" val="0.4"/>
        <color rgb="00FFFFFF"/>
        <color rgb="00A9D08E"/>
      </colorScale>
    </cfRule>
  </conditionalFormatting>
  <conditionalFormatting sqref="W7:W47">
    <cfRule type="colorScale" priority="5">
      <colorScale>
        <cfvo type="num" val="0"/>
        <cfvo type="num" val="0.4"/>
        <color rgb="00FFFFFF"/>
        <color rgb="00A9D08E"/>
      </colorScale>
    </cfRule>
  </conditionalFormatting>
  <conditionalFormatting sqref="X7:X47">
    <cfRule type="colorScale" priority="6">
      <colorScale>
        <cfvo type="num" val="0"/>
        <cfvo type="num" val="0.4"/>
        <color rgb="00FFFFFF"/>
        <color rgb="00A9D08E"/>
      </colorScale>
    </cfRule>
  </conditionalFormatting>
  <hyperlinks>
    <hyperlink xmlns:r="http://schemas.openxmlformats.org/officeDocument/2006/relationships" ref="AR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4.xml><?xml version="1.0" encoding="utf-8"?>
<worksheet xmlns="http://schemas.openxmlformats.org/spreadsheetml/2006/main">
  <sheetPr>
    <tabColor rgb="00548235"/>
    <outlinePr summaryBelow="1" summaryRight="1"/>
    <pageSetUpPr fitToPage="1"/>
  </sheetPr>
  <dimension ref="A1:AJ53"/>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20" customWidth="1" min="4" max="4"/>
    <col width="24" customWidth="1" min="5" max="5"/>
    <col width="12" customWidth="1" min="6" max="6"/>
    <col width="8" customWidth="1" min="7" max="7"/>
    <col width="10" customWidth="1" min="8" max="8"/>
    <col width="11" customWidth="1" min="9" max="9"/>
    <col width="7" customWidth="1" min="10" max="10"/>
    <col width="9" customWidth="1" min="11" max="11"/>
    <col width="17" customWidth="1" min="12" max="12"/>
    <col width="13" customWidth="1" min="13" max="13"/>
    <col width="7" customWidth="1" min="14" max="14"/>
    <col width="8" customWidth="1" min="15" max="15"/>
    <col width="16" customWidth="1" min="16" max="16"/>
    <col width="8" customWidth="1" min="17" max="17"/>
    <col width="13" customWidth="1" min="18" max="18"/>
    <col width="7" customWidth="1" min="19" max="19"/>
    <col width="7" customWidth="1" min="20" max="20"/>
    <col width="12" customWidth="1" min="21" max="21"/>
    <col width="7" customWidth="1" min="22" max="22"/>
    <col width="22" customWidth="1" min="23" max="23"/>
    <col width="22" customWidth="1" min="24" max="24"/>
    <col width="40" customWidth="1" min="25" max="25"/>
    <col width="32" customWidth="1" min="26" max="26"/>
    <col width="28" customWidth="1" min="27" max="27"/>
    <col width="26" customWidth="1" min="28" max="28"/>
    <col width="28" customWidth="1" min="29" max="29"/>
    <col width="22" customWidth="1" min="30" max="30"/>
    <col width="24" customWidth="1" min="31" max="31"/>
    <col width="32" customWidth="1" min="32" max="32"/>
    <col width="28" customWidth="1" min="33" max="33"/>
    <col width="7" customWidth="1" min="34" max="34"/>
    <col width="12" customWidth="1" min="35" max="35"/>
    <col width="20" customWidth="1" min="36" max="36"/>
  </cols>
  <sheetData>
    <row r="1" ht="34" customHeight="1">
      <c r="A1" s="1" t="inlineStr">
        <is>
          <t>Talent, Learning &amp; Mobility — per person</t>
        </is>
      </c>
      <c r="U1" s="241" t="inlineStr">
        <is>
          <t>◂ Contents</t>
        </is>
      </c>
    </row>
    <row r="2" ht="30" customHeight="1">
      <c r="A2" s="3" t="inlineStr">
        <is>
          <t>Sheet 8 · Manager talent data, competency results against the role's profile, learning needs from three angles · self, manager, role, and mobility signals · lateral options, duplicated work, similar talent elsewhere in IRIS, span.</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G4" s="65" t="inlineStr">
        <is>
          <t>Level up</t>
        </is>
      </c>
      <c r="I4" s="66" t="inlineStr">
        <is>
          <t>Level down — pay &amp; title protected</t>
        </is>
      </c>
      <c r="L4" s="67" t="inlineStr">
        <is>
          <t>Newly mapped</t>
        </is>
      </c>
      <c r="N4" s="68" t="inlineStr">
        <is>
          <t>Player-Coach · B+ · C+</t>
        </is>
      </c>
      <c r="Q4" s="69" t="inlineStr">
        <is>
          <t>RED = critical input needed · could change or confirm the level</t>
        </is>
      </c>
      <c r="V4" s="71" t="inlineStr">
        <is>
          <t>YELLOW = to complete in validation</t>
        </is>
      </c>
    </row>
    <row r="5" ht="32" customHeight="1">
      <c r="A5" s="73" t="inlineStr">
        <is>
          <t>PERSON</t>
        </is>
      </c>
      <c r="J5" s="74" t="inlineStr">
        <is>
          <t>TALENT · manager mapping</t>
        </is>
      </c>
      <c r="Q5" s="76" t="inlineStr">
        <is>
          <t>COMPETENCY RESULT</t>
        </is>
      </c>
      <c r="Z5" s="77" t="inlineStr">
        <is>
          <t>LEARNING NEEDS</t>
        </is>
      </c>
      <c r="AE5" s="79" t="inlineStr">
        <is>
          <t>MOBILITY, OVERLAP &amp; STRUCTURE</t>
        </is>
      </c>
    </row>
    <row r="6" ht="58" customHeight="1">
      <c r="A6" s="91" t="inlineStr">
        <is>
          <t>Emp ID</t>
        </is>
      </c>
      <c r="B6" s="92" t="inlineStr">
        <is>
          <t>Employee name</t>
        </is>
      </c>
      <c r="C6" s="92" t="inlineStr">
        <is>
          <t>Department</t>
        </is>
      </c>
      <c r="D6" s="92" t="inlineStr">
        <is>
          <t>Current designation</t>
        </is>
      </c>
      <c r="E6" s="92" t="inlineStr">
        <is>
          <t>Final designation</t>
        </is>
      </c>
      <c r="F6" s="92" t="inlineStr">
        <is>
          <t>Current level</t>
        </is>
      </c>
      <c r="G6" s="92" t="inlineStr">
        <is>
          <t>FINAL LEVEL</t>
        </is>
      </c>
      <c r="H6" s="92" t="inlineStr">
        <is>
          <t>Change vs current</t>
        </is>
      </c>
      <c r="I6" s="92" t="inlineStr">
        <is>
          <t>Track</t>
        </is>
      </c>
      <c r="J6" s="93" t="inlineStr">
        <is>
          <t>Latest rating</t>
        </is>
      </c>
      <c r="K6" s="12" t="inlineStr">
        <is>
          <t>Potential</t>
        </is>
      </c>
      <c r="L6" s="12" t="inlineStr">
        <is>
          <t>9-box</t>
        </is>
      </c>
      <c r="M6" s="12" t="inlineStr">
        <is>
          <t>Readiness</t>
        </is>
      </c>
      <c r="N6" s="12" t="inlineStr">
        <is>
          <t>Top performer</t>
        </is>
      </c>
      <c r="O6" s="12" t="inlineStr">
        <is>
          <t>Critical role · Y/N</t>
        </is>
      </c>
      <c r="P6" s="12" t="inlineStr">
        <is>
          <t>Successor named</t>
        </is>
      </c>
      <c r="Q6" s="94" t="inlineStr">
        <is>
          <t>Competency index %</t>
        </is>
      </c>
      <c r="R6" s="157" t="inlineStr">
        <is>
          <t>Fit</t>
        </is>
      </c>
      <c r="S6" s="157" t="inlineStr">
        <is>
          <t>Core %</t>
        </is>
      </c>
      <c r="T6" s="157" t="inlineStr">
        <is>
          <t>Future-ready %</t>
        </is>
      </c>
      <c r="U6" s="157" t="inlineStr">
        <is>
          <t>Functional %</t>
        </is>
      </c>
      <c r="V6" s="157" t="inlineStr">
        <is>
          <t>Leadership %</t>
        </is>
      </c>
      <c r="W6" s="157" t="inlineStr">
        <is>
          <t>Top gaps</t>
        </is>
      </c>
      <c r="X6" s="157" t="inlineStr">
        <is>
          <t>Readiness for next level</t>
        </is>
      </c>
      <c r="Y6" s="157" t="inlineStr">
        <is>
          <t>Ratings by competency · rating / required</t>
        </is>
      </c>
      <c r="Z6" s="95" t="inlineStr">
        <is>
          <t>Self-identified — topics · survey; not quoted</t>
        </is>
      </c>
      <c r="AA6" s="96" t="inlineStr">
        <is>
          <t>Manager-identified</t>
        </is>
      </c>
      <c r="AB6" s="96" t="inlineStr">
        <is>
          <t>Role-based priorities</t>
        </is>
      </c>
      <c r="AC6" s="96" t="inlineStr">
        <is>
          <t>To move to the next role — topics · survey; not quoted</t>
        </is>
      </c>
      <c r="AD6" s="96" t="inlineStr">
        <is>
          <t>Training for next role</t>
        </is>
      </c>
      <c r="AE6" s="97" t="inlineStr">
        <is>
          <t>Lateral move options</t>
        </is>
      </c>
      <c r="AF6" s="98" t="inlineStr">
        <is>
          <t>Duplication — same business</t>
        </is>
      </c>
      <c r="AG6" s="98" t="inlineStr">
        <is>
          <t>Alternate talent pool — other businesses</t>
        </is>
      </c>
      <c r="AH6" s="98" t="inlineStr">
        <is>
          <t>Direct reports</t>
        </is>
      </c>
      <c r="AI6" s="98" t="inlineStr">
        <is>
          <t>Span status</t>
        </is>
      </c>
      <c r="AJ6" s="98" t="inlineStr">
        <is>
          <t>Span action</t>
        </is>
      </c>
    </row>
    <row r="7" ht="132" customHeight="1">
      <c r="A7" s="109" t="inlineStr">
        <is>
          <t>IRIS2511</t>
        </is>
      </c>
      <c r="B7" s="111" t="inlineStr">
        <is>
          <t>Muskan Jain</t>
        </is>
      </c>
      <c r="C7" s="111" t="inlineStr">
        <is>
          <t>Marketing</t>
        </is>
      </c>
      <c r="D7" s="114" t="inlineStr">
        <is>
          <t>Marketing Associate</t>
        </is>
      </c>
      <c r="E7" s="114" t="inlineStr">
        <is>
          <t>Content Marketing Associate</t>
        </is>
      </c>
      <c r="F7" s="111" t="inlineStr">
        <is>
          <t>L3 – Professional / Associate</t>
        </is>
      </c>
      <c r="G7" s="26" t="inlineStr">
        <is>
          <t>A2</t>
        </is>
      </c>
      <c r="H7" s="118" t="inlineStr">
        <is>
          <t>• Same level</t>
        </is>
      </c>
      <c r="I7" s="111" t="inlineStr">
        <is>
          <t>IC</t>
        </is>
      </c>
      <c r="J7" s="139" t="inlineStr">
        <is>
          <t>Not rated · manager</t>
        </is>
      </c>
      <c r="K7" s="115" t="inlineStr">
        <is>
          <t>Medium</t>
        </is>
      </c>
      <c r="L7" s="115" t="inlineStr">
        <is>
          <t>Core Contributor</t>
        </is>
      </c>
      <c r="M7" s="115" t="inlineStr">
        <is>
          <t>Develop in role</t>
        </is>
      </c>
      <c r="N7" s="115" t="n"/>
      <c r="O7" s="115" t="inlineStr"/>
      <c r="P7" s="115" t="inlineStr"/>
      <c r="Q7" s="119" t="n">
        <v>79</v>
      </c>
      <c r="R7" s="165" t="inlineStr">
        <is>
          <t>Developing</t>
        </is>
      </c>
      <c r="S7" s="165" t="n">
        <v>87</v>
      </c>
      <c r="T7" s="165" t="n">
        <v>62</v>
      </c>
      <c r="U7" s="165" t="n">
        <v>82</v>
      </c>
      <c r="V7" s="165" t="n"/>
      <c r="W7" s="165" t="inlineStr">
        <is>
          <t>Analytics &amp; BI, AI / GenAI, Product &amp; domain</t>
        </is>
      </c>
      <c r="X7" s="165" t="inlineStr">
        <is>
          <r>
            <rPr>
              <rFont val="Calibri"/>
              <b val="1"/>
              <sz val="10"/>
            </rPr>
            <t>A3:</t>
          </r>
          <r>
            <rPr>
              <rFont val="Calibri"/>
              <sz val="10"/>
            </rPr>
            <t xml:space="preserve"> 69% of profile — not yet</t>
          </r>
        </is>
      </c>
      <c r="Y7" s="165" t="inlineStr">
        <is>
          <r>
            <rPr>
              <rFont val="Calibri"/>
              <b val="1"/>
              <sz val="10"/>
            </rPr>
            <t>Evidence:</t>
          </r>
          <r>
            <rPr>
              <rFont val="Calibri"/>
              <sz val="10"/>
            </rPr>
            <t xml:space="preserve"> Survey + KRAs | Core: Ownership 2/2, Problem solving 1/2, Communication &amp; collaboration 3/2, Client &amp; quality focus 2/2, Learning agility 1/2, Integrity &amp; compliance 2/2 | Future-ready: AI literacy 1/2, Data literacy 1/2, Digital fluency 1/2, Innovation 2/2 | Functional: Digital marketing 3/2, Communication 2/2, Analytics &amp; BI 1/2, AI / GenAI 1/2, Product &amp; domain 1/2, Business acumen 3/2</t>
          </r>
        </is>
      </c>
      <c r="Z7" s="120" t="inlineStr">
        <is>
          <t>Marketing &amp; content · Certification / formal course</t>
        </is>
      </c>
      <c r="AA7" s="166" t="inlineStr">
        <is>
          <t>Needs to learn the fundamentals of content marketing</t>
        </is>
      </c>
      <c r="AB7" s="166" t="inlineStr">
        <is>
          <t>Broader Ownership &amp; Cross-functional Exposure</t>
        </is>
      </c>
      <c r="AC7" s="166" t="inlineStr">
        <is>
          <t>Marketing &amp; content · Certification / formal course</t>
        </is>
      </c>
      <c r="AD7" s="166" t="n"/>
      <c r="AE7" s="122" t="inlineStr">
        <is>
          <t>No strong match from survey evidence</t>
        </is>
      </c>
      <c r="AF7" s="123" t="inlineStr">
        <is>
          <t>No material overlap found</t>
        </is>
      </c>
      <c r="AG7" s="123" t="inlineStr">
        <is>
          <t>Barsha Gloria Gomes · Corporate, Senior Content Marketing Specialist — 0.62; Alisha Sheikh · CARBON, Content Marketing Associate — 0.59; Vasundhara Lella · Datatech, Senior Content Marketing Associate — 0.54</t>
        </is>
      </c>
      <c r="AH7" s="123" t="n"/>
      <c r="AI7" s="123" t="n"/>
      <c r="AJ7" s="123" t="n"/>
    </row>
    <row r="8" ht="158" customHeight="1">
      <c r="A8" s="109" t="inlineStr">
        <is>
          <t>IRIS0971</t>
        </is>
      </c>
      <c r="B8" s="111" t="inlineStr">
        <is>
          <t>Dnyaneshwar Daund</t>
        </is>
      </c>
      <c r="C8" s="111" t="inlineStr">
        <is>
          <t>Product Management</t>
        </is>
      </c>
      <c r="D8" s="111" t="inlineStr">
        <is>
          <t>Product Manager</t>
        </is>
      </c>
      <c r="E8" s="111" t="inlineStr">
        <is>
          <t>Product Manager</t>
        </is>
      </c>
      <c r="F8" s="111" t="inlineStr">
        <is>
          <t>L5 – Manager</t>
        </is>
      </c>
      <c r="G8" s="20" t="inlineStr">
        <is>
          <t>B2</t>
        </is>
      </c>
      <c r="H8" s="118" t="inlineStr">
        <is>
          <t>• Same level</t>
        </is>
      </c>
      <c r="I8" s="111" t="inlineStr">
        <is>
          <t>People Manager</t>
        </is>
      </c>
      <c r="J8" s="139" t="n">
        <v>5</v>
      </c>
      <c r="K8" s="115" t="inlineStr">
        <is>
          <t>—</t>
        </is>
      </c>
      <c r="L8" s="115" t="inlineStr">
        <is>
          <t>Not placed · manager</t>
        </is>
      </c>
      <c r="M8" s="115" t="inlineStr">
        <is>
          <t>Ready in 6–12 months</t>
        </is>
      </c>
      <c r="N8" s="115" t="inlineStr">
        <is>
          <t>Yes</t>
        </is>
      </c>
      <c r="O8" s="115" t="inlineStr"/>
      <c r="P8" s="115" t="inlineStr"/>
      <c r="Q8" s="119" t="n">
        <v>105</v>
      </c>
      <c r="R8" s="165" t="inlineStr">
        <is>
          <t>Meets the level</t>
        </is>
      </c>
      <c r="S8" s="165" t="n">
        <v>110</v>
      </c>
      <c r="T8" s="165" t="n">
        <v>100</v>
      </c>
      <c r="U8" s="165" t="n">
        <v>103</v>
      </c>
      <c r="V8" s="165" t="n">
        <v>105</v>
      </c>
      <c r="W8" s="165" t="inlineStr">
        <is>
          <t>Analytics &amp; BI</t>
        </is>
      </c>
      <c r="X8" s="165" t="inlineStr">
        <is>
          <r>
            <rPr>
              <rFont val="Calibri"/>
              <b val="1"/>
              <sz val="10"/>
            </rPr>
            <t>B3:</t>
          </r>
          <r>
            <rPr>
              <rFont val="Calibri"/>
              <sz val="10"/>
            </rPr>
            <t xml:space="preserve"> 94% of profile — ready on competencies</t>
          </r>
        </is>
      </c>
      <c r="Y8" s="165"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3/3, Data literacy 3/3, Digital fluency 3/3, Innovation 3/3 | Functional: Product &amp; domain 5/4, Requirements 4/4, Analytics &amp; BI 3/4, Business acumen 4/4, Stakeholder mgmt 5/4, AI / GenAI 4/4 | Leadership: Developing people 3/3, Decision making 3/3, Strategic acumen 3/3, Influence &amp; change 4/3</t>
          </r>
        </is>
      </c>
      <c r="Z8" s="120" t="inlineStr">
        <is>
          <t>Product &amp; tool knowledge · Strategy &amp; business acumen · Broader exposure &amp; ownership</t>
        </is>
      </c>
      <c r="AA8" s="166" t="inlineStr">
        <is>
          <t>Training on the effective utilization of AI tools.</t>
        </is>
      </c>
      <c r="AB8" s="166" t="inlineStr">
        <is>
          <t>Project, Program &amp; Agile Management; Strategic Thinking &amp; Business Acumen; Broader Ownership &amp; Cross-functional Exposure</t>
        </is>
      </c>
      <c r="AC8" s="166" t="inlineStr">
        <is>
          <t>Technical depth &amp; architecture · Data, SQL &amp; analytics · Product &amp; tool knowledge · Strategy &amp; business acumen · Broader exposure &amp; ownership</t>
        </is>
      </c>
      <c r="AD8" s="166" t="n"/>
      <c r="AE8" s="122" t="inlineStr">
        <is>
          <t>No strong match from survey evidence</t>
        </is>
      </c>
      <c r="AF8" s="123" t="inlineStr">
        <is>
          <t>No material overlap found</t>
        </is>
      </c>
      <c r="AG8" s="123" t="inlineStr">
        <is>
          <t>Sumit Jain · iFile, Senior Product Manager — 0.45; Priyadarsini Kairali · CARBON, Associate Product Manager – POD Lead — 0.30; Gaurav Bansal · Datatech, Associate Product Manager — 0.29</t>
        </is>
      </c>
      <c r="AH8" s="123" t="n">
        <v>5</v>
      </c>
      <c r="AI8" s="123" t="inlineStr">
        <is>
          <t>Below norm</t>
        </is>
      </c>
      <c r="AJ8" s="123" t="inlineStr">
        <is>
          <t>Team smaller than the norm for this level — merge with a peer team, widen scope, or treat as a POD Lead.</t>
        </is>
      </c>
    </row>
    <row r="9" ht="158" customHeight="1">
      <c r="A9" s="109" t="inlineStr">
        <is>
          <t>IRIS1158</t>
        </is>
      </c>
      <c r="B9" s="111" t="inlineStr">
        <is>
          <t>Yuvraj Kharchane</t>
        </is>
      </c>
      <c r="C9" s="111" t="inlineStr">
        <is>
          <t>Product Management</t>
        </is>
      </c>
      <c r="D9" s="111" t="inlineStr">
        <is>
          <t>Product Manager</t>
        </is>
      </c>
      <c r="E9" s="111" t="inlineStr">
        <is>
          <t>Product Manager</t>
        </is>
      </c>
      <c r="F9" s="111" t="inlineStr">
        <is>
          <t>L5 – Manager</t>
        </is>
      </c>
      <c r="G9" s="20" t="inlineStr">
        <is>
          <t>B2</t>
        </is>
      </c>
      <c r="H9" s="118" t="inlineStr">
        <is>
          <t>• Same level</t>
        </is>
      </c>
      <c r="I9" s="111" t="inlineStr">
        <is>
          <t>People Manager</t>
        </is>
      </c>
      <c r="J9" s="139" t="n">
        <v>5</v>
      </c>
      <c r="K9" s="115" t="inlineStr">
        <is>
          <t>High</t>
        </is>
      </c>
      <c r="L9" s="115" t="inlineStr">
        <is>
          <t>Core Contributor</t>
        </is>
      </c>
      <c r="M9" s="115" t="inlineStr">
        <is>
          <t>Ready now</t>
        </is>
      </c>
      <c r="N9" s="115" t="inlineStr">
        <is>
          <t>Yes</t>
        </is>
      </c>
      <c r="O9" s="115" t="inlineStr">
        <is>
          <t>Yes</t>
        </is>
      </c>
      <c r="P9" s="115" t="inlineStr"/>
      <c r="Q9" s="119" t="n">
        <v>108</v>
      </c>
      <c r="R9" s="165" t="inlineStr">
        <is>
          <t>Exceeds — ready for stretch</t>
        </is>
      </c>
      <c r="S9" s="165" t="n">
        <v>110</v>
      </c>
      <c r="T9" s="165" t="n">
        <v>100</v>
      </c>
      <c r="U9" s="165" t="n">
        <v>109</v>
      </c>
      <c r="V9" s="165" t="n">
        <v>110</v>
      </c>
      <c r="W9" s="165" t="inlineStr">
        <is>
          <t>Analytics &amp; BI</t>
        </is>
      </c>
      <c r="X9" s="165" t="inlineStr">
        <is>
          <r>
            <rPr>
              <rFont val="Calibri"/>
              <b val="1"/>
              <sz val="10"/>
            </rPr>
            <t>B3:</t>
          </r>
          <r>
            <rPr>
              <rFont val="Calibri"/>
              <sz val="10"/>
            </rPr>
            <t xml:space="preserve"> 98% of profile — ready on competencies</t>
          </r>
        </is>
      </c>
      <c r="Y9" s="165"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3/3, Data literacy 3/3, Digital fluency 3/3, Innovation 3/3 | Functional: Product &amp; domain 5/4, Requirements 5/4, Analytics &amp; BI 3/4, Business acumen 5/4, Stakeholder mgmt 5/4, AI / GenAI 4/4 | Leadership: Developing people 3/3, Decision making 3/3, Strategic acumen 4/3, Influence &amp; change 4/3</t>
          </r>
        </is>
      </c>
      <c r="Z9" s="120" t="inlineStr">
        <is>
          <t>Leadership &amp; people management · Product &amp; tool knowledge · Client, sales &amp; stakeholders · Strategy &amp; business acumen · Broader exposure &amp; ownership</t>
        </is>
      </c>
      <c r="AA9" s="166" t="inlineStr">
        <is>
          <t>Product discovery &amp; prioritisation, Information research</t>
        </is>
      </c>
      <c r="AB9" s="166" t="inlineStr">
        <is>
          <t>People Leadership &amp; Mentoring; Strategic Thinking &amp; Business Acumen; Sales, Negotiation &amp; Account Growth</t>
        </is>
      </c>
      <c r="AC9" s="166" t="inlineStr">
        <is>
          <t>Leadership &amp; people management · Product &amp; tool knowledge · Client, sales &amp; stakeholders · Strategy &amp; business acumen · Broader exposure &amp; ownership</t>
        </is>
      </c>
      <c r="AD9" s="166"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9" s="122" t="inlineStr">
        <is>
          <t>No strong match from survey evidence</t>
        </is>
      </c>
      <c r="AF9" s="123" t="inlineStr">
        <is>
          <t>No material overlap found</t>
        </is>
      </c>
      <c r="AG9" s="123" t="inlineStr">
        <is>
          <t>No close match in other businesses</t>
        </is>
      </c>
      <c r="AH9" s="123" t="n">
        <v>6</v>
      </c>
      <c r="AI9" s="123" t="inlineStr">
        <is>
          <t>Within norm</t>
        </is>
      </c>
      <c r="AJ9" s="123" t="n"/>
    </row>
    <row r="10" ht="132" customHeight="1">
      <c r="A10" s="109" t="inlineStr">
        <is>
          <t>IRIS2435</t>
        </is>
      </c>
      <c r="B10" s="111" t="inlineStr">
        <is>
          <t>Srijith Menon</t>
        </is>
      </c>
      <c r="C10" s="111" t="inlineStr">
        <is>
          <t>Product Management</t>
        </is>
      </c>
      <c r="D10" s="114" t="inlineStr">
        <is>
          <t>Product Coordinator</t>
        </is>
      </c>
      <c r="E10" s="114" t="inlineStr">
        <is>
          <t>Senior Product Analyst</t>
        </is>
      </c>
      <c r="F10" s="114" t="inlineStr">
        <is>
          <t>L3 – Professional / Associate</t>
        </is>
      </c>
      <c r="G10" s="141" t="inlineStr">
        <is>
          <t>A3</t>
        </is>
      </c>
      <c r="H10" s="142" t="inlineStr">
        <is>
          <t>▲ Up</t>
        </is>
      </c>
      <c r="I10" s="111" t="inlineStr">
        <is>
          <t>IC</t>
        </is>
      </c>
      <c r="J10" s="139" t="n">
        <v>3</v>
      </c>
      <c r="K10" s="115" t="inlineStr">
        <is>
          <t>Medium</t>
        </is>
      </c>
      <c r="L10" s="115" t="inlineStr">
        <is>
          <t>Emerging Talent</t>
        </is>
      </c>
      <c r="M10" s="115" t="inlineStr">
        <is>
          <t>Develop in role</t>
        </is>
      </c>
      <c r="N10" s="115" t="n"/>
      <c r="O10" s="115" t="inlineStr">
        <is>
          <t>Yes</t>
        </is>
      </c>
      <c r="P10" s="115" t="inlineStr"/>
      <c r="Q10" s="119" t="n">
        <v>97</v>
      </c>
      <c r="R10" s="165" t="inlineStr">
        <is>
          <t>Meets the level</t>
        </is>
      </c>
      <c r="S10" s="165" t="n">
        <v>107</v>
      </c>
      <c r="T10" s="165" t="n">
        <v>92</v>
      </c>
      <c r="U10" s="165" t="n">
        <v>92</v>
      </c>
      <c r="V10" s="165" t="n"/>
      <c r="W10" s="165" t="inlineStr">
        <is>
          <t>Analytics &amp; BI, AI / GenAI</t>
        </is>
      </c>
      <c r="X10" s="165" t="inlineStr">
        <is>
          <r>
            <rPr>
              <rFont val="Calibri"/>
              <b val="1"/>
              <sz val="10"/>
            </rPr>
            <t>B1:</t>
          </r>
          <r>
            <rPr>
              <rFont val="Calibri"/>
              <sz val="10"/>
            </rPr>
            <t xml:space="preserve"> 84% of profile — close</t>
          </r>
        </is>
      </c>
      <c r="Y10" s="165"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1/2, Data literacy 3/2, Digital fluency 2/2, Innovation 2/2 | Functional: Product &amp; domain 3/3, Requirements 3/3, Analytics &amp; BI 2/3, Business acumen 3/3, Stakeholder mgmt 4/3, AI / GenAI 2/3</t>
          </r>
        </is>
      </c>
      <c r="Z10" s="120" t="inlineStr">
        <is>
          <t>Project / programme management · Technical depth &amp; architecture · Strategy &amp; business acumen · Broader exposure &amp; ownership</t>
        </is>
      </c>
      <c r="AA10" s="166" t="inlineStr">
        <is>
          <t>XBRL Training, Training on the effective utilization of AI tools.</t>
        </is>
      </c>
      <c r="AB10" s="166" t="inlineStr">
        <is>
          <t>Project, Program &amp; Agile Management; Broader Ownership &amp; Cross-functional Exposure; AI, GenAI &amp; Prompt Engineering</t>
        </is>
      </c>
      <c r="AC10" s="166" t="inlineStr">
        <is>
          <t>Project / programme management · Technical depth &amp; architecture · Strategy &amp; business acumen · Broader exposure &amp; ownership</t>
        </is>
      </c>
      <c r="AD10" s="166" t="n"/>
      <c r="AE10" s="122" t="inlineStr">
        <is>
          <t>No strong match from survey evidence</t>
        </is>
      </c>
      <c r="AF10" s="123" t="inlineStr">
        <is>
          <t>No material overlap found</t>
        </is>
      </c>
      <c r="AG10" s="123" t="inlineStr">
        <is>
          <t>No close match in other businesses</t>
        </is>
      </c>
      <c r="AH10" s="123" t="n"/>
      <c r="AI10" s="123" t="n"/>
      <c r="AJ10" s="123" t="n"/>
    </row>
    <row r="11" ht="171" customHeight="1">
      <c r="A11" s="109" t="inlineStr">
        <is>
          <t>IRIS0636</t>
        </is>
      </c>
      <c r="B11" s="111" t="inlineStr">
        <is>
          <t>Reena Gotal</t>
        </is>
      </c>
      <c r="C11" s="111" t="inlineStr">
        <is>
          <t>Quality Assurance</t>
        </is>
      </c>
      <c r="D11" s="114" t="inlineStr">
        <is>
          <t>Senior QA - Engineer</t>
        </is>
      </c>
      <c r="E11" s="114" t="inlineStr">
        <is>
          <t>QA Manager</t>
        </is>
      </c>
      <c r="F11" s="114" t="inlineStr">
        <is>
          <t>L4 – Senior</t>
        </is>
      </c>
      <c r="G11" s="141" t="inlineStr">
        <is>
          <t>B1</t>
        </is>
      </c>
      <c r="H11" s="142" t="inlineStr">
        <is>
          <t>▲ Up</t>
        </is>
      </c>
      <c r="I11" s="111" t="inlineStr">
        <is>
          <t>People Manager</t>
        </is>
      </c>
      <c r="J11" s="139" t="n">
        <v>3</v>
      </c>
      <c r="K11" s="115" t="inlineStr">
        <is>
          <t>Medium</t>
        </is>
      </c>
      <c r="L11" s="115" t="inlineStr">
        <is>
          <t>Core Contributor</t>
        </is>
      </c>
      <c r="M11" s="115" t="inlineStr">
        <is>
          <t>Develop in role</t>
        </is>
      </c>
      <c r="N11" s="115" t="n"/>
      <c r="O11" s="115" t="inlineStr"/>
      <c r="P11" s="115" t="inlineStr"/>
      <c r="Q11" s="119" t="n">
        <v>102</v>
      </c>
      <c r="R11" s="165" t="inlineStr">
        <is>
          <t>Meets the level</t>
        </is>
      </c>
      <c r="S11" s="165" t="n">
        <v>104</v>
      </c>
      <c r="T11" s="165" t="n">
        <v>110</v>
      </c>
      <c r="U11" s="165" t="n">
        <v>106</v>
      </c>
      <c r="V11" s="165" t="n">
        <v>92</v>
      </c>
      <c r="W11" s="165" t="inlineStr">
        <is>
          <t>Product &amp; domain, Problem solving, Strategic acumen</t>
        </is>
      </c>
      <c r="X11" s="165" t="inlineStr">
        <is>
          <r>
            <rPr>
              <rFont val="Calibri"/>
              <b val="1"/>
              <sz val="10"/>
            </rPr>
            <t>B3:</t>
          </r>
          <r>
            <rPr>
              <rFont val="Calibri"/>
              <sz val="10"/>
            </rPr>
            <t xml:space="preserve"> 90% of profile — close</t>
          </r>
        </is>
      </c>
      <c r="Y11" s="165" t="inlineStr">
        <is>
          <r>
            <rPr>
              <rFont val="Calibri"/>
              <b val="1"/>
              <sz val="10"/>
            </rPr>
            <t>Evidence:</t>
          </r>
          <r>
            <rPr>
              <rFont val="Calibri"/>
              <sz val="10"/>
            </rPr>
            <t xml:space="preserve"> Survey + KRAs | Core: Ownership 4/3, Problem solving 2/3, Communication &amp; collaboration 4/3, Client &amp; quality focus 4/3, Learning agility 3/3, Integrity &amp; compliance 3/3 | Future-ready: AI literacy 3/3, Data literacy 3/3, Digital fluency 4/3, Innovation 4/3 | Functional: Testing &amp; automation 5/4, Product &amp; domain 3/4, SQL &amp; data 4/4, AI / GenAI 4/4, Quality &amp; process 5/4, Communication 5/4 | Leadership: Developing people 3/3, Decision making 3/3, Strategic acumen 2/3, Influence &amp; change 3/3</t>
          </r>
        </is>
      </c>
      <c r="Z11" s="120" t="inlineStr">
        <is>
          <t>Client, sales &amp; stakeholders · Communication &amp; presentation · Broader exposure &amp; ownership</t>
        </is>
      </c>
      <c r="AA11" s="166" t="inlineStr">
        <is>
          <t>Training on the effective utilization of AI tools.</t>
        </is>
      </c>
      <c r="AB11" s="166" t="inlineStr">
        <is>
          <t>Stakeholder &amp; Client Management; AI, GenAI &amp; Prompt Engineering; Project, Program &amp; Agile Management</t>
        </is>
      </c>
      <c r="AC11" s="166" t="inlineStr">
        <is>
          <t>Client, sales &amp; stakeholders · Communication &amp; presentation · Broader exposure &amp; ownership</t>
        </is>
      </c>
      <c r="AD11" s="166" t="n"/>
      <c r="AE11" s="122" t="inlineStr">
        <is>
          <t>No strong match from survey evidence</t>
        </is>
      </c>
      <c r="AF11" s="123" t="inlineStr">
        <is>
          <t>Tulasiram Chand · Senior QA Automation Engineer — 0.34: test, api, testing, postman</t>
        </is>
      </c>
      <c r="AG11" s="123" t="inlineStr">
        <is>
          <t>Vinod Katekar · CARBON, Senior QA Manager — 0.58; Tasmiyah Patni · CARBON, QA Engineer — 0.49; Deepika Bartwal · iFile, QA Engineer — 0.47</t>
        </is>
      </c>
      <c r="AH11" s="123" t="n">
        <v>4</v>
      </c>
      <c r="AI11" s="123" t="inlineStr">
        <is>
          <t>Below norm</t>
        </is>
      </c>
      <c r="AJ11" s="123" t="inlineStr">
        <is>
          <t>Team smaller than the norm for this level — merge with a peer team, widen scope, or treat as a POD Lead.</t>
        </is>
      </c>
    </row>
    <row r="12" ht="132" customHeight="1">
      <c r="A12" s="109" t="inlineStr">
        <is>
          <t>IRIS2271</t>
        </is>
      </c>
      <c r="B12" s="111" t="inlineStr">
        <is>
          <t>Atharv Ravindra Bokade</t>
        </is>
      </c>
      <c r="C12" s="111" t="inlineStr">
        <is>
          <t>Quality Assurance</t>
        </is>
      </c>
      <c r="D12" s="114" t="inlineStr">
        <is>
          <t>QA Engineer</t>
        </is>
      </c>
      <c r="E12" s="114" t="inlineStr">
        <is>
          <t>Senior QA Automation Engineer</t>
        </is>
      </c>
      <c r="F12" s="114" t="inlineStr">
        <is>
          <t>L2 – Trainee</t>
        </is>
      </c>
      <c r="G12" s="141" t="inlineStr">
        <is>
          <t>A3</t>
        </is>
      </c>
      <c r="H12" s="142" t="inlineStr">
        <is>
          <t>▲ Up</t>
        </is>
      </c>
      <c r="I12" s="111" t="inlineStr">
        <is>
          <t>IC</t>
        </is>
      </c>
      <c r="J12" s="139" t="n">
        <v>3</v>
      </c>
      <c r="K12" s="115" t="inlineStr">
        <is>
          <t>Medium</t>
        </is>
      </c>
      <c r="L12" s="115" t="inlineStr">
        <is>
          <t>Core Contributor</t>
        </is>
      </c>
      <c r="M12" s="115" t="inlineStr">
        <is>
          <t>Develop in role</t>
        </is>
      </c>
      <c r="N12" s="115" t="n"/>
      <c r="O12" s="115" t="inlineStr"/>
      <c r="P12" s="115" t="inlineStr"/>
      <c r="Q12" s="119" t="n">
        <v>106</v>
      </c>
      <c r="R12" s="165" t="inlineStr">
        <is>
          <t>Exceeds — ready for stretch</t>
        </is>
      </c>
      <c r="S12" s="165" t="n">
        <v>110</v>
      </c>
      <c r="T12" s="165" t="n">
        <v>100</v>
      </c>
      <c r="U12" s="165" t="n">
        <v>107</v>
      </c>
      <c r="V12" s="165" t="n"/>
      <c r="W12" s="165" t="inlineStr">
        <is>
          <t>None — maintain and stretch</t>
        </is>
      </c>
      <c r="X12" s="165" t="inlineStr">
        <is>
          <r>
            <rPr>
              <rFont val="Calibri"/>
              <b val="1"/>
              <sz val="10"/>
            </rPr>
            <t>B1:</t>
          </r>
          <r>
            <rPr>
              <rFont val="Calibri"/>
              <sz val="10"/>
            </rPr>
            <t xml:space="preserve"> 92% of profile — ready on competencies</t>
          </r>
        </is>
      </c>
      <c r="Y12" s="165" t="inlineStr">
        <is>
          <r>
            <rPr>
              <rFont val="Calibri"/>
              <b val="1"/>
              <sz val="10"/>
            </rPr>
            <t>Evidence:</t>
          </r>
          <r>
            <rPr>
              <rFont val="Calibri"/>
              <sz val="10"/>
            </rPr>
            <t xml:space="preserve"> Survey + KRAs | Core: Ownership 3/2, Problem solving 2/2, Communication &amp; collaboration 3/2, Client &amp; quality focus 3/2, Learning agility 2/2, Integrity &amp; compliance 2/2 | Future-ready: AI literacy 2/2, Data literacy 2/2, Digital fluency 2/2, Innovation 2/2 | Functional: Testing &amp; automation 4/3, Product &amp; domain 3/3, SQL &amp; data 3/3, AI / GenAI 3/3, Quality &amp; process 3/3, Communication 4/3</t>
          </r>
        </is>
      </c>
      <c r="Z12" s="120" t="inlineStr">
        <is>
          <t>AI / automation · Testing &amp; quality</t>
        </is>
      </c>
      <c r="AA12" s="166" t="inlineStr">
        <is>
          <t>XBRL Training, Training on the effective utilization of AI tools.</t>
        </is>
      </c>
      <c r="AB12" s="166" t="inlineStr">
        <is>
          <t>Test Automation &amp; QA Engineering; AI, GenAI &amp; Prompt Engineering; Cybersecurity &amp; Infrastructure</t>
        </is>
      </c>
      <c r="AC12" s="166" t="inlineStr">
        <is>
          <t>AI / automation · Testing &amp; quality</t>
        </is>
      </c>
      <c r="AD12" s="166" t="n"/>
      <c r="AE12" s="122" t="inlineStr">
        <is>
          <t>No strong match from survey evidence</t>
        </is>
      </c>
      <c r="AF12" s="123" t="inlineStr">
        <is>
          <t>No material overlap found</t>
        </is>
      </c>
      <c r="AG12" s="123" t="inlineStr">
        <is>
          <t>Suraj Govind Walhekar · iFile, Senior QA Engineer — 0.35; Vishal Khare · iFile, QA Engineer — 0.34; Susan Peter · iFile, Senior QA Engineer — 0.28</t>
        </is>
      </c>
      <c r="AH12" s="123" t="n"/>
      <c r="AI12" s="123" t="n"/>
      <c r="AJ12" s="123" t="n"/>
    </row>
    <row r="13" ht="132" customHeight="1">
      <c r="A13" s="109" t="inlineStr">
        <is>
          <t>IRIS2479</t>
        </is>
      </c>
      <c r="B13" s="111" t="inlineStr">
        <is>
          <t>Rohan Kailas Aher</t>
        </is>
      </c>
      <c r="C13" s="111" t="inlineStr">
        <is>
          <t>Quality Assurance</t>
        </is>
      </c>
      <c r="D13" s="114" t="inlineStr">
        <is>
          <t>QA Engineer</t>
        </is>
      </c>
      <c r="E13" s="114" t="inlineStr">
        <is>
          <t>Senior QA Engineer</t>
        </is>
      </c>
      <c r="F13" s="114" t="inlineStr">
        <is>
          <t>L3 – Professional / Associate</t>
        </is>
      </c>
      <c r="G13" s="141" t="inlineStr">
        <is>
          <t>A3</t>
        </is>
      </c>
      <c r="H13" s="142" t="inlineStr">
        <is>
          <t>▲ Up</t>
        </is>
      </c>
      <c r="I13" s="111" t="inlineStr">
        <is>
          <t>IC</t>
        </is>
      </c>
      <c r="J13" s="139" t="n">
        <v>3</v>
      </c>
      <c r="K13" s="115" t="inlineStr">
        <is>
          <t>Medium</t>
        </is>
      </c>
      <c r="L13" s="115" t="inlineStr">
        <is>
          <t>Core Contributor</t>
        </is>
      </c>
      <c r="M13" s="115" t="inlineStr">
        <is>
          <t>Develop in role</t>
        </is>
      </c>
      <c r="N13" s="115" t="n"/>
      <c r="O13" s="115" t="inlineStr"/>
      <c r="P13" s="115" t="inlineStr"/>
      <c r="Q13" s="119" t="n">
        <v>108</v>
      </c>
      <c r="R13" s="165" t="inlineStr">
        <is>
          <t>Exceeds — ready for stretch</t>
        </is>
      </c>
      <c r="S13" s="165" t="n">
        <v>110</v>
      </c>
      <c r="T13" s="165" t="n">
        <v>100</v>
      </c>
      <c r="U13" s="165" t="n">
        <v>110</v>
      </c>
      <c r="V13" s="165" t="n"/>
      <c r="W13" s="165" t="inlineStr">
        <is>
          <t>None — maintain and stretch</t>
        </is>
      </c>
      <c r="X13" s="165" t="inlineStr">
        <is>
          <r>
            <rPr>
              <rFont val="Calibri"/>
              <b val="1"/>
              <sz val="10"/>
            </rPr>
            <t>B1:</t>
          </r>
          <r>
            <rPr>
              <rFont val="Calibri"/>
              <sz val="10"/>
            </rPr>
            <t xml:space="preserve"> 94% of profile — ready on competencies</t>
          </r>
        </is>
      </c>
      <c r="Y13" s="165" t="inlineStr">
        <is>
          <r>
            <rPr>
              <rFont val="Calibri"/>
              <b val="1"/>
              <sz val="10"/>
            </rPr>
            <t>Evidence:</t>
          </r>
          <r>
            <rPr>
              <rFont val="Calibri"/>
              <sz val="10"/>
            </rPr>
            <t xml:space="preserve"> Survey + KRAs | Core: Ownership 3/2, Problem solving 2/2, Communication &amp; collaboration 3/2, Client &amp; quality focus 3/2, Learning agility 2/2, Integrity &amp; compliance 2/2 | Future-ready: AI literacy 2/2, Data literacy 2/2, Digital fluency 2/2, Innovation 2/2 | Functional: Testing &amp; automation 4/3, Product &amp; domain 3/3, SQL &amp; data 3/3, AI / GenAI 3/3, Quality &amp; process 4/3, Communication 4/3</t>
          </r>
        </is>
      </c>
      <c r="Z13" s="120" t="inlineStr">
        <is>
          <t>Leadership &amp; people management · Domain, regulatory &amp; XBRL</t>
        </is>
      </c>
      <c r="AA13" s="166" t="inlineStr">
        <is>
          <t>XBRL Training, Training on the effective utilization of AI tools.</t>
        </is>
      </c>
      <c r="AB13" s="166" t="inlineStr">
        <is>
          <t>Programming &amp; Tech-Stack Depth; Product, Platform &amp; Domain Knowledge; AI, GenAI &amp; Prompt Engineering</t>
        </is>
      </c>
      <c r="AC13" s="166" t="inlineStr">
        <is>
          <t>Leadership &amp; people management · Domain, regulatory &amp; XBRL</t>
        </is>
      </c>
      <c r="AD13" s="166" t="n"/>
      <c r="AE13" s="122" t="inlineStr">
        <is>
          <t>No strong match from survey evidence</t>
        </is>
      </c>
      <c r="AF13" s="123" t="inlineStr">
        <is>
          <t>Tulasiram Chand · Senior QA Automation Engineer — 0.38: testing, api, postman, java</t>
        </is>
      </c>
      <c r="AG13" s="123" t="inlineStr">
        <is>
          <t>Smita Londhe · Datatech, QA Automation Engineer — 0.43; Vishal Khare · iFile, QA Engineer — 0.43; Supriya Patil · Datatech, QA Engineer — 0.40</t>
        </is>
      </c>
      <c r="AH13" s="123" t="n"/>
      <c r="AI13" s="123" t="n"/>
      <c r="AJ13" s="123" t="n"/>
    </row>
    <row r="14" ht="132" customHeight="1">
      <c r="A14" s="109" t="inlineStr">
        <is>
          <t>IRIS2437</t>
        </is>
      </c>
      <c r="B14" s="111" t="inlineStr">
        <is>
          <t>Shubham Kamble</t>
        </is>
      </c>
      <c r="C14" s="111" t="inlineStr">
        <is>
          <t>Quality Assurance</t>
        </is>
      </c>
      <c r="D14" s="114" t="inlineStr">
        <is>
          <t>QA Automation Engineer</t>
        </is>
      </c>
      <c r="E14" s="114" t="inlineStr">
        <is>
          <t>Senior QA Automation Engineer</t>
        </is>
      </c>
      <c r="F14" s="114" t="inlineStr">
        <is>
          <t>L3 – Professional / Associate</t>
        </is>
      </c>
      <c r="G14" s="141" t="inlineStr">
        <is>
          <t>A3</t>
        </is>
      </c>
      <c r="H14" s="142" t="inlineStr">
        <is>
          <t>▲ Up</t>
        </is>
      </c>
      <c r="I14" s="111" t="inlineStr">
        <is>
          <t>IC</t>
        </is>
      </c>
      <c r="J14" s="139" t="n">
        <v>3</v>
      </c>
      <c r="K14" s="115" t="inlineStr">
        <is>
          <t>Medium</t>
        </is>
      </c>
      <c r="L14" s="115" t="inlineStr">
        <is>
          <t>Emerging Talent</t>
        </is>
      </c>
      <c r="M14" s="115" t="inlineStr">
        <is>
          <t>Develop in role</t>
        </is>
      </c>
      <c r="N14" s="115" t="n"/>
      <c r="O14" s="115" t="inlineStr"/>
      <c r="P14" s="115" t="inlineStr"/>
      <c r="Q14" s="119" t="n">
        <v>106</v>
      </c>
      <c r="R14" s="165" t="inlineStr">
        <is>
          <t>Exceeds — ready for stretch</t>
        </is>
      </c>
      <c r="S14" s="165" t="n">
        <v>103</v>
      </c>
      <c r="T14" s="165" t="n">
        <v>110</v>
      </c>
      <c r="U14" s="165" t="n">
        <v>107</v>
      </c>
      <c r="V14" s="165" t="n"/>
      <c r="W14" s="165" t="inlineStr">
        <is>
          <t>None — maintain and stretch</t>
        </is>
      </c>
      <c r="X14" s="165" t="inlineStr">
        <is>
          <r>
            <rPr>
              <rFont val="Calibri"/>
              <b val="1"/>
              <sz val="10"/>
            </rPr>
            <t>B1:</t>
          </r>
          <r>
            <rPr>
              <rFont val="Calibri"/>
              <sz val="10"/>
            </rPr>
            <t xml:space="preserve"> 93% of profile — ready on competencies</t>
          </r>
        </is>
      </c>
      <c r="Y14" s="165" t="inlineStr">
        <is>
          <r>
            <rPr>
              <rFont val="Calibri"/>
              <b val="1"/>
              <sz val="10"/>
            </rPr>
            <t>Evidence:</t>
          </r>
          <r>
            <rPr>
              <rFont val="Calibri"/>
              <sz val="10"/>
            </rPr>
            <t xml:space="preserve"> Survey + KRAs | Core: Ownership 2/2, Problem solving 2/2, Communication &amp; collaboration 3/2, Client &amp; quality focus 2/2, Learning agility 2/2, Integrity &amp; compliance 2/2 | Future-ready: AI literacy 2/2, Data literacy 2/2, Digital fluency 3/2, Innovation 3/2 | Functional: Testing &amp; automation 4/3, Product &amp; domain 3/3, SQL &amp; data 3/3, AI / GenAI 3/3, Quality &amp; process 3/3, Communication 4/3</t>
          </r>
        </is>
      </c>
      <c r="Z14" s="120" t="inlineStr">
        <is>
          <t>AI / automation · Testing &amp; quality · Certification / formal course</t>
        </is>
      </c>
      <c r="AA14" s="166" t="inlineStr">
        <is>
          <t>XBRL Training, Training on the effective utilization of AI tools.</t>
        </is>
      </c>
      <c r="AB14" s="166" t="inlineStr">
        <is>
          <t>AI, GenAI &amp; Prompt Engineering; Test Automation &amp; QA Engineering; Programming &amp; Tech-Stack Depth</t>
        </is>
      </c>
      <c r="AC14" s="166" t="inlineStr">
        <is>
          <t>AI / automation · Testing &amp; quality · Certification / formal course</t>
        </is>
      </c>
      <c r="AD14" s="166" t="n"/>
      <c r="AE14" s="122" t="inlineStr">
        <is>
          <t>No strong match from survey evidence</t>
        </is>
      </c>
      <c r="AF14" s="123" t="inlineStr">
        <is>
          <t>Tulasiram Chand · Senior QA Automation Engineer — 0.36: test, scripts, playwright, api</t>
        </is>
      </c>
      <c r="AG14" s="123" t="inlineStr">
        <is>
          <t>Vitiksha Gamit · CARBON, QA Automation Engineer — 0.29</t>
        </is>
      </c>
      <c r="AH14" s="123" t="n"/>
      <c r="AI14" s="123" t="n"/>
      <c r="AJ14" s="123" t="n"/>
    </row>
    <row r="15" ht="132" customHeight="1">
      <c r="A15" s="109" t="inlineStr">
        <is>
          <t>IRIS2522</t>
        </is>
      </c>
      <c r="B15" s="111" t="inlineStr">
        <is>
          <t>Tulasiram Chand</t>
        </is>
      </c>
      <c r="C15" s="111" t="inlineStr">
        <is>
          <t>Quality Assurance</t>
        </is>
      </c>
      <c r="D15" s="114" t="inlineStr">
        <is>
          <t>QA Automation Engineer</t>
        </is>
      </c>
      <c r="E15" s="114" t="inlineStr">
        <is>
          <t>Senior QA Automation Engineer</t>
        </is>
      </c>
      <c r="F15" s="114" t="inlineStr">
        <is>
          <t>L3 – Professional / Associate</t>
        </is>
      </c>
      <c r="G15" s="141" t="inlineStr">
        <is>
          <t>A3</t>
        </is>
      </c>
      <c r="H15" s="142" t="inlineStr">
        <is>
          <t>▲ Up</t>
        </is>
      </c>
      <c r="I15" s="111" t="inlineStr">
        <is>
          <t>IC</t>
        </is>
      </c>
      <c r="J15" s="139" t="n">
        <v>3</v>
      </c>
      <c r="K15" s="115" t="inlineStr">
        <is>
          <t>Medium</t>
        </is>
      </c>
      <c r="L15" s="115" t="inlineStr">
        <is>
          <t>Reliable Specialist</t>
        </is>
      </c>
      <c r="M15" s="115" t="inlineStr">
        <is>
          <t>Develop in role</t>
        </is>
      </c>
      <c r="N15" s="115" t="n"/>
      <c r="O15" s="115" t="inlineStr"/>
      <c r="P15" s="115" t="inlineStr"/>
      <c r="Q15" s="119" t="n">
        <v>107</v>
      </c>
      <c r="R15" s="165" t="inlineStr">
        <is>
          <t>Exceeds — ready for stretch</t>
        </is>
      </c>
      <c r="S15" s="165" t="n">
        <v>107</v>
      </c>
      <c r="T15" s="165" t="n">
        <v>110</v>
      </c>
      <c r="U15" s="165" t="n">
        <v>107</v>
      </c>
      <c r="V15" s="165" t="n"/>
      <c r="W15" s="165" t="inlineStr">
        <is>
          <t>None — maintain and stretch</t>
        </is>
      </c>
      <c r="X15" s="165" t="inlineStr">
        <is>
          <r>
            <rPr>
              <rFont val="Calibri"/>
              <b val="1"/>
              <sz val="10"/>
            </rPr>
            <t>B1:</t>
          </r>
          <r>
            <rPr>
              <rFont val="Calibri"/>
              <sz val="10"/>
            </rPr>
            <t xml:space="preserve"> 94% of profile — ready on competencies</t>
          </r>
        </is>
      </c>
      <c r="Y15" s="165"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2/2, Data literacy 2/2, Digital fluency 3/2, Innovation 3/2 | Functional: Testing &amp; automation 4/3, Product &amp; domain 3/3, SQL &amp; data 3/3, AI / GenAI 3/3, Quality &amp; process 4/3, Communication 3/3</t>
          </r>
        </is>
      </c>
      <c r="Z15" s="120" t="inlineStr">
        <is>
          <t>Project / programme management · Technical depth &amp; architecture · Testing &amp; quality · Broader exposure &amp; ownership</t>
        </is>
      </c>
      <c r="AA15" s="166" t="inlineStr">
        <is>
          <t>XBRL Training, Training on the effective utilization of AI tools.</t>
        </is>
      </c>
      <c r="AB15" s="166" t="inlineStr">
        <is>
          <t>Test Automation &amp; QA Engineering; Cybersecurity &amp; Infrastructure; Programming &amp; Tech-Stack Depth</t>
        </is>
      </c>
      <c r="AC15" s="166" t="inlineStr">
        <is>
          <t>AI / automation · Leadership &amp; people management · Project / programme management · Technical depth &amp; architecture · Testing &amp; quality · Strategy &amp; business acumen · Broader exposure &amp; ownership</t>
        </is>
      </c>
      <c r="AD15" s="166" t="n"/>
      <c r="AE15" s="122" t="inlineStr">
        <is>
          <t>No strong match from survey evidence</t>
        </is>
      </c>
      <c r="AF15" s="123" t="inlineStr">
        <is>
          <t>Rohan Kailas Aher · QA Engineer — 0.38: testing, api, postman, java; Shubham Kamble · QA Automation Engineer — 0.36: test, scripts, playwright, api; Reena Gotal · Team Lead – Quality — 0.34: test, api, testing, postman</t>
        </is>
      </c>
      <c r="AG15" s="123" t="inlineStr">
        <is>
          <t>Vishal Khare · iFile, QA Engineer — 0.53; Supriya Patil · Datatech, QA Engineer — 0.52; Smita Londhe · Datatech, QA Automation Engineer — 0.48</t>
        </is>
      </c>
      <c r="AH15" s="123" t="n"/>
      <c r="AI15" s="123" t="n"/>
      <c r="AJ15" s="123" t="n"/>
    </row>
    <row r="16" ht="171" customHeight="1">
      <c r="A16" s="109" t="inlineStr">
        <is>
          <t>IRIS2505</t>
        </is>
      </c>
      <c r="B16" s="111" t="inlineStr">
        <is>
          <t>Rohit Patil</t>
        </is>
      </c>
      <c r="C16" s="111" t="inlineStr">
        <is>
          <t>Sales</t>
        </is>
      </c>
      <c r="D16" s="114" t="inlineStr">
        <is>
          <t>Manager Sales</t>
        </is>
      </c>
      <c r="E16" s="114" t="inlineStr">
        <is>
          <t>Senior Account Executive</t>
        </is>
      </c>
      <c r="F16" s="111" t="inlineStr">
        <is>
          <t>L5 – Manager</t>
        </is>
      </c>
      <c r="G16" s="20" t="inlineStr">
        <is>
          <t>B2</t>
        </is>
      </c>
      <c r="H16" s="118" t="inlineStr">
        <is>
          <t>• Same level</t>
        </is>
      </c>
      <c r="I16" s="111" t="inlineStr">
        <is>
          <t>IC</t>
        </is>
      </c>
      <c r="J16" s="139" t="n">
        <v>2</v>
      </c>
      <c r="K16" s="115" t="inlineStr">
        <is>
          <t>—</t>
        </is>
      </c>
      <c r="L16" s="115" t="inlineStr">
        <is>
          <t>Not placed · manager</t>
        </is>
      </c>
      <c r="M16" s="115" t="inlineStr">
        <is>
          <t>Performance first</t>
        </is>
      </c>
      <c r="N16" s="115" t="n"/>
      <c r="O16" s="115" t="inlineStr"/>
      <c r="P16" s="115" t="inlineStr"/>
      <c r="Q16" s="119" t="n">
        <v>92</v>
      </c>
      <c r="R16" s="165" t="inlineStr">
        <is>
          <t>Meets the level</t>
        </is>
      </c>
      <c r="S16" s="165" t="n">
        <v>87</v>
      </c>
      <c r="T16" s="165" t="n">
        <v>92</v>
      </c>
      <c r="U16" s="165" t="n">
        <v>98</v>
      </c>
      <c r="V16" s="165" t="n">
        <v>80</v>
      </c>
      <c r="W16" s="165" t="inlineStr">
        <is>
          <t>Ownership, Digital marketing, Communication</t>
        </is>
      </c>
      <c r="X16" s="165" t="inlineStr">
        <is>
          <r>
            <rPr>
              <rFont val="Calibri"/>
              <b val="1"/>
              <sz val="10"/>
            </rPr>
            <t>B3:</t>
          </r>
          <r>
            <rPr>
              <rFont val="Calibri"/>
              <sz val="10"/>
            </rPr>
            <t xml:space="preserve"> 85% of profile — close</t>
          </r>
        </is>
      </c>
      <c r="Y16" s="165" t="inlineStr">
        <is>
          <r>
            <rPr>
              <rFont val="Calibri"/>
              <b val="1"/>
              <sz val="10"/>
            </rPr>
            <t>Evidence:</t>
          </r>
          <r>
            <rPr>
              <rFont val="Calibri"/>
              <sz val="10"/>
            </rPr>
            <t xml:space="preserve"> Survey + KRAs | Core: Ownership 1/3, Problem solving 2/3, Communication &amp; collaboration 4/3, Client &amp; quality focus 3/3, Learning agility 3/3, Integrity &amp; compliance 3/3 | Future-ready: AI literacy 2/3, Data literacy 3/3, Digital fluency 3/3, Innovation 3/3 | Functional: Sales &amp; negotiation 5/4, Digital marketing 3/4, Stakeholder mgmt 5/4, Communication 3/4, Product &amp; domain 4/4, Business acumen 4/4 | Leadership: Developing people 1/2, Decision making 1/2, Strategic acumen 2/2, Influence &amp; change 3/2</t>
          </r>
        </is>
      </c>
      <c r="Z16" s="120" t="inlineStr">
        <is>
          <t>AI / automation · Client, sales &amp; stakeholders · Certification / formal course</t>
        </is>
      </c>
      <c r="AA16" s="166" t="inlineStr">
        <is>
          <t>XBRL Training, Training on the effective utilization of AI tools.</t>
        </is>
      </c>
      <c r="AB16" s="166" t="inlineStr">
        <is>
          <t>AI, GenAI &amp; Prompt Engineering; Sales, Negotiation &amp; Account Growth; Advanced Excel &amp; Productivity Tools</t>
        </is>
      </c>
      <c r="AC16" s="166" t="inlineStr">
        <is>
          <t>AI / automation · Client, sales &amp; stakeholders · Certification / formal course</t>
        </is>
      </c>
      <c r="AD16" s="166" t="n"/>
      <c r="AE16" s="122" t="inlineStr">
        <is>
          <t>No strong match from survey evidence</t>
        </is>
      </c>
      <c r="AF16" s="123" t="inlineStr">
        <is>
          <t>No material overlap found</t>
        </is>
      </c>
      <c r="AG16" s="123" t="inlineStr">
        <is>
          <t>Swapnil Trikane · CARBON, Lead Account Executive — 0.27</t>
        </is>
      </c>
      <c r="AH16" s="123" t="n"/>
      <c r="AI16" s="123" t="n"/>
      <c r="AJ16" s="123" t="n"/>
    </row>
    <row r="17" ht="171" customHeight="1">
      <c r="A17" s="109" t="inlineStr">
        <is>
          <t>IRIS2540</t>
        </is>
      </c>
      <c r="B17" s="111" t="inlineStr">
        <is>
          <t>Deepali Barai</t>
        </is>
      </c>
      <c r="C17" s="111" t="inlineStr">
        <is>
          <t>Sales</t>
        </is>
      </c>
      <c r="D17" s="114" t="inlineStr">
        <is>
          <t>Business Development Manager</t>
        </is>
      </c>
      <c r="E17" s="114" t="inlineStr">
        <is>
          <t>Account Executive</t>
        </is>
      </c>
      <c r="F17" s="114" t="inlineStr">
        <is>
          <t>Not in current mapping files</t>
        </is>
      </c>
      <c r="G17" s="141" t="inlineStr">
        <is>
          <t>B1</t>
        </is>
      </c>
      <c r="H17" s="143" t="inlineStr">
        <is>
          <t>● Newly mapped</t>
        </is>
      </c>
      <c r="I17" s="111" t="inlineStr">
        <is>
          <t>IC</t>
        </is>
      </c>
      <c r="J17" s="139" t="inlineStr">
        <is>
          <t>Not rated · manager</t>
        </is>
      </c>
      <c r="K17" s="115" t="inlineStr">
        <is>
          <t>—</t>
        </is>
      </c>
      <c r="L17" s="115" t="inlineStr">
        <is>
          <t>Not placed · manager</t>
        </is>
      </c>
      <c r="M17" s="115" t="inlineStr">
        <is>
          <t>No rating data</t>
        </is>
      </c>
      <c r="N17" s="115" t="n"/>
      <c r="O17" s="115" t="inlineStr"/>
      <c r="P17" s="115" t="inlineStr"/>
      <c r="Q17" s="119" t="n">
        <v>96</v>
      </c>
      <c r="R17" s="165" t="inlineStr">
        <is>
          <t>Meets the level</t>
        </is>
      </c>
      <c r="S17" s="165" t="n">
        <v>90</v>
      </c>
      <c r="T17" s="165" t="n">
        <v>75</v>
      </c>
      <c r="U17" s="165" t="n">
        <v>104</v>
      </c>
      <c r="V17" s="165" t="n">
        <v>110</v>
      </c>
      <c r="W17" s="165" t="inlineStr">
        <is>
          <t>Digital marketing, Ownership, Problem solving</t>
        </is>
      </c>
      <c r="X17" s="165" t="inlineStr">
        <is>
          <r>
            <rPr>
              <rFont val="Calibri"/>
              <b val="1"/>
              <sz val="10"/>
            </rPr>
            <t>B2:</t>
          </r>
          <r>
            <rPr>
              <rFont val="Calibri"/>
              <sz val="10"/>
            </rPr>
            <t xml:space="preserve"> 82% of profile — close</t>
          </r>
        </is>
      </c>
      <c r="Y17" s="165" t="inlineStr">
        <is>
          <r>
            <rPr>
              <rFont val="Calibri"/>
              <b val="1"/>
              <sz val="10"/>
            </rPr>
            <t>Evidence:</t>
          </r>
          <r>
            <rPr>
              <rFont val="Calibri"/>
              <sz val="10"/>
            </rPr>
            <t xml:space="preserve"> Survey | Core: Ownership 2/3, Problem solving 2/3, Communication &amp; collaboration 4/3, Client &amp; quality focus 4/3, Learning agility 2/3, Integrity &amp; compliance 3/3 | Future-ready: AI literacy 2/3, Data literacy 3/3, Digital fluency 2/3, Innovation 2/3 | Functional: Sales &amp; negotiation 3/3, Digital marketing 2/3, Stakeholder mgmt 4/3, Communication 4/3, Product &amp; domain 3/3, Business acumen 4/3 | Leadership: Developing people 1/1, Decision making 1/1, Strategic acumen 2/1, Influence &amp; change 2/1</t>
          </r>
        </is>
      </c>
      <c r="Z17" s="120" t="inlineStr">
        <is>
          <t>Client, sales &amp; stakeholders · Broader exposure &amp; ownership</t>
        </is>
      </c>
      <c r="AA17" s="166" t="n"/>
      <c r="AB17" s="166" t="inlineStr">
        <is>
          <t>AI, GenAI &amp; Prompt Engineering; Advanced Excel &amp; Productivity Tools; Product, Platform &amp; Domain Knowledge</t>
        </is>
      </c>
      <c r="AC17" s="166" t="inlineStr">
        <is>
          <t>Client, sales &amp; stakeholders · Broader exposure &amp; ownership</t>
        </is>
      </c>
      <c r="AD17" s="166" t="n"/>
      <c r="AE17" s="122" t="inlineStr">
        <is>
          <t>No strong match from survey evidence</t>
        </is>
      </c>
      <c r="AF17" s="123" t="inlineStr">
        <is>
          <t>Shreya Sharma · Senior Alliances Executive — 0.39: reach, demos, email, lusha</t>
        </is>
      </c>
      <c r="AG17" s="123" t="inlineStr">
        <is>
          <t>Satyarth Singh · CARBON, Sales Development Representative — 0.37; Rahul Nishikant Pawar · CARBON, Senior Sales Development Representative — 0.35; Anika Mariam · CARBON, Intern – Sales Development &amp; Prospecting — 0.29</t>
        </is>
      </c>
      <c r="AH17" s="123" t="n"/>
      <c r="AI17" s="123" t="n"/>
      <c r="AJ17" s="123" t="n"/>
    </row>
    <row r="18" ht="132" customHeight="1">
      <c r="A18" s="109" t="inlineStr">
        <is>
          <t>IRIS2481</t>
        </is>
      </c>
      <c r="B18" s="111" t="inlineStr">
        <is>
          <t>Shreya Sharma</t>
        </is>
      </c>
      <c r="C18" s="111" t="inlineStr">
        <is>
          <t>Sales</t>
        </is>
      </c>
      <c r="D18" s="114" t="inlineStr">
        <is>
          <t>Senior Sales Executive</t>
        </is>
      </c>
      <c r="E18" s="114" t="inlineStr">
        <is>
          <t>Senior Alliances Executive</t>
        </is>
      </c>
      <c r="F18" s="111" t="inlineStr">
        <is>
          <t>L4 – Senior</t>
        </is>
      </c>
      <c r="G18" s="26" t="inlineStr">
        <is>
          <t>A3</t>
        </is>
      </c>
      <c r="H18" s="118" t="inlineStr">
        <is>
          <t>• Same level</t>
        </is>
      </c>
      <c r="I18" s="111" t="inlineStr">
        <is>
          <t>IC</t>
        </is>
      </c>
      <c r="J18" s="139" t="n">
        <v>3</v>
      </c>
      <c r="K18" s="115" t="inlineStr">
        <is>
          <t>High</t>
        </is>
      </c>
      <c r="L18" s="115" t="inlineStr">
        <is>
          <t>Emerging Talent</t>
        </is>
      </c>
      <c r="M18" s="115" t="inlineStr">
        <is>
          <t>Ready in 6–12 months</t>
        </is>
      </c>
      <c r="N18" s="115" t="n"/>
      <c r="O18" s="115" t="inlineStr">
        <is>
          <t>Yes</t>
        </is>
      </c>
      <c r="P18" s="115" t="inlineStr"/>
      <c r="Q18" s="119" t="n">
        <v>94</v>
      </c>
      <c r="R18" s="165" t="inlineStr">
        <is>
          <t>Meets the level</t>
        </is>
      </c>
      <c r="S18" s="165" t="n">
        <v>82</v>
      </c>
      <c r="T18" s="165" t="n">
        <v>62</v>
      </c>
      <c r="U18" s="165" t="n">
        <v>113</v>
      </c>
      <c r="V18" s="165" t="n"/>
      <c r="W18" s="165" t="inlineStr">
        <is>
          <t>Ownership, Problem solving, Learning agility</t>
        </is>
      </c>
      <c r="X18" s="165" t="inlineStr">
        <is>
          <r>
            <rPr>
              <rFont val="Calibri"/>
              <b val="1"/>
              <sz val="10"/>
            </rPr>
            <t>B1:</t>
          </r>
          <r>
            <rPr>
              <rFont val="Calibri"/>
              <sz val="10"/>
            </rPr>
            <t xml:space="preserve"> 85% of profile — close</t>
          </r>
        </is>
      </c>
      <c r="Y18" s="165" t="inlineStr">
        <is>
          <r>
            <rPr>
              <rFont val="Calibri"/>
              <b val="1"/>
              <sz val="10"/>
            </rPr>
            <t>Evidence:</t>
          </r>
          <r>
            <rPr>
              <rFont val="Calibri"/>
              <sz val="10"/>
            </rPr>
            <t xml:space="preserve"> Survey + KRAs | Core: Ownership 1/2, Problem solving 1/2, Communication &amp; collaboration 3/2, Client &amp; quality focus 3/2, Learning agility 1/2, Integrity &amp; compliance 2/2 | Future-ready: AI literacy 1/2, Data literacy 2/2, Digital fluency 1/2, Innovation 1/2 | Functional: Sales &amp; negotiation 4/3, Digital marketing 4/3, Stakeholder mgmt 3/3, Communication 4/3, Product &amp; domain 3/3, Business acumen 4/3</t>
          </r>
        </is>
      </c>
      <c r="Z18" s="120" t="inlineStr">
        <is>
          <t>Leadership &amp; people management · Client, sales &amp; stakeholders</t>
        </is>
      </c>
      <c r="AA18" s="166" t="inlineStr">
        <is>
          <t>1. Advanced Sales Negotiation &amp; Enterprise Deal Structuring — closing complex multi-stakeholder deals for CARBON - XBRL &amp; DM 2. Regulatory &amp; Domain Knowledge: …</t>
        </is>
      </c>
      <c r="AB18" s="166" t="inlineStr">
        <is>
          <t>Database, SQL &amp; Data Engineering; Advanced Excel &amp; Productivity Tools; Product, Platform &amp; Domain Knowledge</t>
        </is>
      </c>
      <c r="AC18" s="166" t="inlineStr">
        <is>
          <t>Leadership &amp; people management · Client, sales &amp; stakeholders</t>
        </is>
      </c>
      <c r="AD18" s="166" t="n"/>
      <c r="AE18" s="122" t="inlineStr">
        <is>
          <t>No strong match from survey evidence</t>
        </is>
      </c>
      <c r="AF18" s="123" t="inlineStr">
        <is>
          <t>Deepali Barai · Account Executive — 0.39: reach, demos, email, lusha</t>
        </is>
      </c>
      <c r="AG18" s="123" t="inlineStr">
        <is>
          <t>Priyadarshini Dey · CARBON, Team Lead – Sales Development — 0.30; Shobhit Dhingra · CARBON, Sales Development Representative — 0.29; Aniket Das · CARBON, Senior Sales Operations Analyst — 0.28</t>
        </is>
      </c>
      <c r="AH18" s="123" t="n"/>
      <c r="AI18" s="123" t="n"/>
      <c r="AJ18" s="123" t="n"/>
    </row>
    <row r="19" ht="132" customHeight="1">
      <c r="A19" s="109" t="inlineStr">
        <is>
          <t>INTN0302</t>
        </is>
      </c>
      <c r="B19" s="111" t="inlineStr">
        <is>
          <t>Nehal Bohra</t>
        </is>
      </c>
      <c r="C19" s="111" t="inlineStr">
        <is>
          <t>Sales</t>
        </is>
      </c>
      <c r="D19" s="114" t="inlineStr">
        <is>
          <t>Intern</t>
        </is>
      </c>
      <c r="E19" s="114" t="inlineStr">
        <is>
          <t>Intern – Application &amp; Product Support</t>
        </is>
      </c>
      <c r="F19" s="111" t="inlineStr">
        <is>
          <t>L1 – Intern</t>
        </is>
      </c>
      <c r="G19" s="26" t="inlineStr">
        <is>
          <t>A1</t>
        </is>
      </c>
      <c r="H19" s="118" t="inlineStr">
        <is>
          <t>• Same level</t>
        </is>
      </c>
      <c r="I19" s="111" t="inlineStr">
        <is>
          <t>IC</t>
        </is>
      </c>
      <c r="J19" s="139" t="inlineStr">
        <is>
          <t>Not rated · manager</t>
        </is>
      </c>
      <c r="K19" s="115" t="inlineStr">
        <is>
          <t>—</t>
        </is>
      </c>
      <c r="L19" s="115" t="inlineStr">
        <is>
          <t>Not placed · manager</t>
        </is>
      </c>
      <c r="M19" s="115" t="inlineStr">
        <is>
          <t>No rating data</t>
        </is>
      </c>
      <c r="N19" s="115" t="n"/>
      <c r="O19" s="115" t="inlineStr"/>
      <c r="P19" s="115" t="inlineStr"/>
      <c r="Q19" s="119" t="n">
        <v>100</v>
      </c>
      <c r="R19" s="165" t="inlineStr">
        <is>
          <t>Meets the level</t>
        </is>
      </c>
      <c r="S19" s="165" t="n">
        <v>100</v>
      </c>
      <c r="T19" s="165" t="n">
        <v>100</v>
      </c>
      <c r="U19" s="165" t="n">
        <v>100</v>
      </c>
      <c r="V19" s="165" t="n"/>
      <c r="W19" s="165" t="inlineStr">
        <is>
          <t>None — maintain and stretch</t>
        </is>
      </c>
      <c r="X19" s="165" t="inlineStr">
        <is>
          <r>
            <rPr>
              <rFont val="Calibri"/>
              <b val="1"/>
              <sz val="10"/>
            </rPr>
            <t>A2:</t>
          </r>
          <r>
            <rPr>
              <rFont val="Calibri"/>
              <sz val="10"/>
            </rPr>
            <t xml:space="preserve"> 50% of profile — not yet</t>
          </r>
        </is>
      </c>
      <c r="Y19" s="165" t="inlineStr">
        <is>
          <r>
            <rPr>
              <rFont val="Calibri"/>
              <b val="1"/>
              <sz val="10"/>
            </rPr>
            <t>Evidence:</t>
          </r>
          <r>
            <rPr>
              <rFont val="Calibri"/>
              <sz val="10"/>
            </rPr>
            <t xml:space="preserve"> Survey + KRAs | Core: Ownership 1/1, Problem solving 1/1, Communication &amp; collaboration 1/1, Client &amp; quality focus 1/1, Learning agility 1/1, Integrity &amp; compliance 1/1 | Future-ready: AI literacy 1/1, Data literacy 1/1, Digital fluency 1/1, Innovation 1/1 | Functional: Product &amp; domain 1/1, Stakeholder mgmt 1/1, Communication 1/1, SQL &amp; data 1/1, Regulatory domain 1/1, Quality &amp; process 1/1</t>
          </r>
        </is>
      </c>
      <c r="Z19" s="120" t="inlineStr">
        <is>
          <t>Broader exposure &amp; ownership</t>
        </is>
      </c>
      <c r="AA19" s="166" t="inlineStr">
        <is>
          <t>Training on the effective utilization of AI tools.</t>
        </is>
      </c>
      <c r="AB19" s="166" t="inlineStr">
        <is>
          <t>AI, GenAI &amp; Prompt Engineering; Advanced Excel &amp; Productivity Tools; Communication &amp; Presentation</t>
        </is>
      </c>
      <c r="AC19" s="166" t="inlineStr">
        <is>
          <t>Broader exposure &amp; ownership</t>
        </is>
      </c>
      <c r="AD19" s="166" t="n"/>
      <c r="AE19" s="122" t="inlineStr">
        <is>
          <t>No strong match from survey evidence</t>
        </is>
      </c>
      <c r="AF19" s="123" t="inlineStr">
        <is>
          <t>No material overlap found</t>
        </is>
      </c>
      <c r="AG19" s="123" t="inlineStr">
        <is>
          <t>No close match in other businesses</t>
        </is>
      </c>
      <c r="AH19" s="123" t="n"/>
      <c r="AI19" s="123" t="n"/>
      <c r="AJ19" s="123" t="n"/>
    </row>
    <row r="20" ht="171" customHeight="1">
      <c r="A20" s="109" t="inlineStr">
        <is>
          <t>IRIS0810</t>
        </is>
      </c>
      <c r="B20" s="111" t="inlineStr">
        <is>
          <t>Jitendra Kumar</t>
        </is>
      </c>
      <c r="C20" s="111" t="inlineStr">
        <is>
          <t>Technology</t>
        </is>
      </c>
      <c r="D20" s="114" t="inlineStr">
        <is>
          <t>Technical Architect</t>
        </is>
      </c>
      <c r="E20" s="114" t="inlineStr">
        <is>
          <t>Practice Lead – Solution &amp; Technical Architecture · Player-Coach</t>
        </is>
      </c>
      <c r="F20" s="114" t="inlineStr">
        <is>
          <t>L3 – Professional / Associate</t>
        </is>
      </c>
      <c r="G20" s="144" t="inlineStr">
        <is>
          <t>B+</t>
        </is>
      </c>
      <c r="H20" s="142" t="inlineStr">
        <is>
          <t>▲ Up</t>
        </is>
      </c>
      <c r="I20" s="111" t="inlineStr">
        <is>
          <t>Player-Coach</t>
        </is>
      </c>
      <c r="J20" s="139" t="n">
        <v>4</v>
      </c>
      <c r="K20" s="115" t="inlineStr">
        <is>
          <t>—</t>
        </is>
      </c>
      <c r="L20" s="115" t="inlineStr">
        <is>
          <t>Not placed · manager</t>
        </is>
      </c>
      <c r="M20" s="115" t="inlineStr">
        <is>
          <t>Ready in 6–12 months</t>
        </is>
      </c>
      <c r="N20" s="115" t="n"/>
      <c r="O20" s="115" t="inlineStr"/>
      <c r="P20" s="115" t="inlineStr"/>
      <c r="Q20" s="119" t="n">
        <v>98</v>
      </c>
      <c r="R20" s="165" t="inlineStr">
        <is>
          <t>Meets the level</t>
        </is>
      </c>
      <c r="S20" s="165" t="n">
        <v>106</v>
      </c>
      <c r="T20" s="165" t="n">
        <v>100</v>
      </c>
      <c r="U20" s="165" t="n">
        <v>95</v>
      </c>
      <c r="V20" s="165" t="n">
        <v>88</v>
      </c>
      <c r="W20" s="165" t="inlineStr">
        <is>
          <t>Programming &amp; stack, Business acumen, Learning agility</t>
        </is>
      </c>
      <c r="X20" s="165" t="inlineStr">
        <is>
          <r>
            <rPr>
              <rFont val="Calibri"/>
              <b val="1"/>
              <sz val="10"/>
            </rPr>
            <t>C1:</t>
          </r>
          <r>
            <rPr>
              <rFont val="Calibri"/>
              <sz val="10"/>
            </rPr>
            <t xml:space="preserve"> 85% of profile — close</t>
          </r>
        </is>
      </c>
      <c r="Y20" s="165" t="inlineStr">
        <is>
          <r>
            <rPr>
              <rFont val="Calibri"/>
              <b val="1"/>
              <sz val="10"/>
            </rPr>
            <t>Evidence:</t>
          </r>
          <r>
            <rPr>
              <rFont val="Calibri"/>
              <sz val="10"/>
            </rPr>
            <t xml:space="preserve"> Survey + KRAs | Core: Ownership 5/4, Problem solving 4/4, Communication &amp; collaboration 5/4, Client &amp; quality focus 5/4, Learning agility 3/4, Integrity &amp; compliance 4/4 | Future-ready: AI literacy 3/3, Data literacy 3/3, Digital fluency 3/3, Innovation 3/3 | Functional: System design 4/4, Programming &amp; stack 3/4, Cloud &amp; DevOps 4/4, Infra &amp; security 4/4, Stakeholder mgmt 5/4, Business acumen 3/4 | Leadership: Developing people 3/3, Decision making 2/3, Strategic acumen 2/3, Influence &amp; change 4/3</t>
          </r>
        </is>
      </c>
      <c r="Z20" s="120" t="inlineStr">
        <is>
          <t>Answered · no common topic</t>
        </is>
      </c>
      <c r="AA20" s="166" t="inlineStr">
        <is>
          <t>Training on the effective utilization of AI tools.</t>
        </is>
      </c>
      <c r="AB20" s="166" t="inlineStr">
        <is>
          <t>People Leadership &amp; Mentoring; AI, GenAI &amp; Prompt Engineering; Stakeholder &amp; Client Management</t>
        </is>
      </c>
      <c r="AC20" s="166" t="inlineStr">
        <is>
          <t>Answered · no common topic</t>
        </is>
      </c>
      <c r="AD20" s="166" t="n"/>
      <c r="AE20" s="122" t="inlineStr">
        <is>
          <t>No strong match from survey evidence</t>
        </is>
      </c>
      <c r="AF20" s="123" t="inlineStr">
        <is>
          <t>No material overlap found</t>
        </is>
      </c>
      <c r="AG20" s="123" t="inlineStr">
        <is>
          <t>No close match in other businesses</t>
        </is>
      </c>
      <c r="AH20" s="123" t="n">
        <v>9</v>
      </c>
      <c r="AI20" s="123" t="inlineStr">
        <is>
          <t>Reports on record</t>
        </is>
      </c>
      <c r="AJ20" s="123" t="inlineStr">
        <is>
          <t>9 formal reports on an individual-contributor role — confirm the reporting line.</t>
        </is>
      </c>
    </row>
    <row r="21" ht="158" customHeight="1">
      <c r="A21" s="109" t="inlineStr">
        <is>
          <t>IRIS2104</t>
        </is>
      </c>
      <c r="B21" s="111" t="inlineStr">
        <is>
          <t>Ravi Ranjan</t>
        </is>
      </c>
      <c r="C21" s="111" t="inlineStr">
        <is>
          <t>Technology</t>
        </is>
      </c>
      <c r="D21" s="111" t="inlineStr">
        <is>
          <t>Lead Software Engineer</t>
        </is>
      </c>
      <c r="E21" s="111" t="inlineStr">
        <is>
          <t>Lead Software Engineer</t>
        </is>
      </c>
      <c r="F21" s="111" t="inlineStr">
        <is>
          <t>L5 – Lead · IC</t>
        </is>
      </c>
      <c r="G21" s="20" t="inlineStr">
        <is>
          <t>B3</t>
        </is>
      </c>
      <c r="H21" s="118" t="inlineStr">
        <is>
          <t>• Same level</t>
        </is>
      </c>
      <c r="I21" s="111" t="inlineStr">
        <is>
          <t>IC</t>
        </is>
      </c>
      <c r="J21" s="139" t="n">
        <v>4</v>
      </c>
      <c r="K21" s="115" t="inlineStr">
        <is>
          <t>—</t>
        </is>
      </c>
      <c r="L21" s="115" t="inlineStr">
        <is>
          <t>Not placed · manager</t>
        </is>
      </c>
      <c r="M21" s="115" t="inlineStr">
        <is>
          <t>Ready in 6–12 months</t>
        </is>
      </c>
      <c r="N21" s="115" t="n"/>
      <c r="O21" s="115" t="inlineStr">
        <is>
          <t>Yes</t>
        </is>
      </c>
      <c r="P21" s="115" t="inlineStr"/>
      <c r="Q21" s="119" t="n">
        <v>102</v>
      </c>
      <c r="R21" s="165" t="inlineStr">
        <is>
          <t>Meets the level</t>
        </is>
      </c>
      <c r="S21" s="165" t="n">
        <v>110</v>
      </c>
      <c r="T21" s="165" t="n">
        <v>100</v>
      </c>
      <c r="U21" s="165" t="n">
        <v>100</v>
      </c>
      <c r="V21" s="165" t="n">
        <v>92</v>
      </c>
      <c r="W21" s="165" t="inlineStr">
        <is>
          <t>Decision making</t>
        </is>
      </c>
      <c r="X21" s="165" t="inlineStr">
        <is>
          <r>
            <rPr>
              <rFont val="Calibri"/>
              <b val="1"/>
              <sz val="10"/>
            </rPr>
            <t>C1:</t>
          </r>
          <r>
            <rPr>
              <rFont val="Calibri"/>
              <sz val="10"/>
            </rPr>
            <t xml:space="preserve"> 87% of profile — close</t>
          </r>
        </is>
      </c>
      <c r="Y21" s="165" t="inlineStr">
        <is>
          <r>
            <rPr>
              <rFont val="Calibri"/>
              <b val="1"/>
              <sz val="10"/>
            </rPr>
            <t>Evidence:</t>
          </r>
          <r>
            <rPr>
              <rFont val="Calibri"/>
              <sz val="10"/>
            </rPr>
            <t xml:space="preserve"> Survey + KRAs | Core: Ownership 5/4, Problem solving 4/4, Communication &amp; collaboration 5/4, Client &amp; quality focus 5/4, Learning agility 4/4, Integrity &amp; compliance 4/4 | Future-ready: AI literacy 3/3, Data literacy 3/3, Digital fluency 3/3, Innovation 3/3 | Functional: Programming &amp; stack 4/4, System design 4/4, SQL &amp; data 4/4, Cloud &amp; DevOps 4/4, AI / GenAI 4/4, Product &amp; domain 4/4 | Leadership: Developing people 3/3, Decision making 2/3, Strategic acumen 3/3, Influence &amp; change 3/3</t>
          </r>
        </is>
      </c>
      <c r="Z21" s="120" t="inlineStr">
        <is>
          <t>AI / automation</t>
        </is>
      </c>
      <c r="AA21" s="166" t="inlineStr">
        <is>
          <t>XBRL Training, Training on the effective utilization of AI tools.</t>
        </is>
      </c>
      <c r="AB21" s="166" t="inlineStr">
        <is>
          <t>AI, GenAI &amp; Prompt Engineering; People Leadership &amp; Mentoring; Project, Program &amp; Agile Management</t>
        </is>
      </c>
      <c r="AC21" s="166" t="inlineStr">
        <is>
          <t>AI / automation</t>
        </is>
      </c>
      <c r="AD21" s="166" t="n"/>
      <c r="AE21" s="122" t="inlineStr">
        <is>
          <t>No strong match from survey evidence</t>
        </is>
      </c>
      <c r="AF21" s="123" t="inlineStr">
        <is>
          <t>No material overlap found</t>
        </is>
      </c>
      <c r="AG21" s="123" t="inlineStr">
        <is>
          <t>Safal Gupta · Consume, Senior Software Engineer — 0.40</t>
        </is>
      </c>
      <c r="AH21" s="123" t="n"/>
      <c r="AI21" s="123" t="n"/>
      <c r="AJ21" s="123" t="n"/>
    </row>
    <row r="22" ht="158" customHeight="1">
      <c r="A22" s="109" t="inlineStr">
        <is>
          <t>IRIS1178</t>
        </is>
      </c>
      <c r="B22" s="111" t="inlineStr">
        <is>
          <t>Anand Shinde</t>
        </is>
      </c>
      <c r="C22" s="111" t="inlineStr">
        <is>
          <t>Technology</t>
        </is>
      </c>
      <c r="D22" s="114" t="inlineStr">
        <is>
          <t>Senior Business Analyst</t>
        </is>
      </c>
      <c r="E22" s="114" t="inlineStr">
        <is>
          <t>Business Analysis Specialist</t>
        </is>
      </c>
      <c r="F22" s="114" t="inlineStr">
        <is>
          <t>L4 – Senior</t>
        </is>
      </c>
      <c r="G22" s="141" t="inlineStr">
        <is>
          <t>B1</t>
        </is>
      </c>
      <c r="H22" s="142" t="inlineStr">
        <is>
          <t>▲ Up</t>
        </is>
      </c>
      <c r="I22" s="111" t="inlineStr">
        <is>
          <t>IC</t>
        </is>
      </c>
      <c r="J22" s="139" t="n">
        <v>5</v>
      </c>
      <c r="K22" s="115" t="inlineStr">
        <is>
          <t>High</t>
        </is>
      </c>
      <c r="L22" s="115" t="inlineStr">
        <is>
          <t>Trusted Professional</t>
        </is>
      </c>
      <c r="M22" s="115" t="inlineStr">
        <is>
          <t>Ready now</t>
        </is>
      </c>
      <c r="N22" s="115" t="inlineStr">
        <is>
          <t>Yes</t>
        </is>
      </c>
      <c r="O22" s="115" t="inlineStr">
        <is>
          <t>Yes</t>
        </is>
      </c>
      <c r="P22" s="115" t="inlineStr"/>
      <c r="Q22" s="119" t="n">
        <v>100</v>
      </c>
      <c r="R22" s="165" t="inlineStr">
        <is>
          <t>Meets the level</t>
        </is>
      </c>
      <c r="S22" s="165" t="n">
        <v>107</v>
      </c>
      <c r="T22" s="165" t="n">
        <v>83</v>
      </c>
      <c r="U22" s="165" t="n">
        <v>103</v>
      </c>
      <c r="V22" s="165" t="n">
        <v>100</v>
      </c>
      <c r="W22" s="165" t="inlineStr">
        <is>
          <t>AI literacy, Digital fluency</t>
        </is>
      </c>
      <c r="X22" s="165" t="inlineStr">
        <is>
          <r>
            <rPr>
              <rFont val="Calibri"/>
              <b val="1"/>
              <sz val="10"/>
            </rPr>
            <t>B2:</t>
          </r>
          <r>
            <rPr>
              <rFont val="Calibri"/>
              <sz val="10"/>
            </rPr>
            <t xml:space="preserve"> 84% of profile — close</t>
          </r>
        </is>
      </c>
      <c r="Y22" s="165" t="inlineStr">
        <is>
          <r>
            <rPr>
              <rFont val="Calibri"/>
              <b val="1"/>
              <sz val="10"/>
            </rPr>
            <t>Evidence:</t>
          </r>
          <r>
            <rPr>
              <rFont val="Calibri"/>
              <sz val="10"/>
            </rPr>
            <t xml:space="preserve"> Survey + KRAs | Core: Ownership 4/3, Problem solving 3/3, Communication &amp; collaboration 3/3, Client &amp; quality focus 4/3, Learning agility 3/3, Integrity &amp; compliance 3/3 | Future-ready: AI literacy 2/3, Data literacy 3/3, Digital fluency 2/3, Innovation 3/3 | Functional: Requirements 3/3, Regulatory domain 4/3, Product &amp; domain 3/3, SQL &amp; data 3/3, Stakeholder mgmt 3/3, Communication 3/3 | Leadership: Developing people 1/1, Decision making 1/1, Strategic acumen 1/1, Influence &amp; change 1/1</t>
          </r>
        </is>
      </c>
      <c r="Z22" s="120" t="inlineStr">
        <is>
          <t>Communication &amp; presentation</t>
        </is>
      </c>
      <c r="AA22" s="166" t="inlineStr">
        <is>
          <t>Training on the effective utilization of AI tools.</t>
        </is>
      </c>
      <c r="AB22" s="166" t="inlineStr">
        <is>
          <t>Business Analysis &amp; Requirements Engineering; Process Improvement &amp; Quality Mindset</t>
        </is>
      </c>
      <c r="AC22" s="166" t="inlineStr">
        <is>
          <t>Communication &amp; presentation</t>
        </is>
      </c>
      <c r="AD22" s="166" t="n"/>
      <c r="AE22" s="122" t="inlineStr">
        <is>
          <t>No strong match from survey evidence</t>
        </is>
      </c>
      <c r="AF22" s="123" t="inlineStr">
        <is>
          <t>No material overlap found</t>
        </is>
      </c>
      <c r="AG22" s="123" t="inlineStr">
        <is>
          <t>No close match in other businesses</t>
        </is>
      </c>
      <c r="AH22" s="123" t="n"/>
      <c r="AI22" s="123" t="n"/>
      <c r="AJ22" s="123" t="n"/>
    </row>
    <row r="23" ht="158" customHeight="1">
      <c r="A23" s="109" t="inlineStr">
        <is>
          <t>IRIS1947</t>
        </is>
      </c>
      <c r="B23" s="111" t="inlineStr">
        <is>
          <t>Aroosa Ghole</t>
        </is>
      </c>
      <c r="C23" s="111" t="inlineStr">
        <is>
          <t>Technology</t>
        </is>
      </c>
      <c r="D23" s="114" t="inlineStr">
        <is>
          <t>Senior Business Analyst</t>
        </is>
      </c>
      <c r="E23" s="114" t="inlineStr">
        <is>
          <t>Team Lead – Business Analysis</t>
        </is>
      </c>
      <c r="F23" s="114" t="inlineStr">
        <is>
          <t>L4 – Senior</t>
        </is>
      </c>
      <c r="G23" s="141" t="inlineStr">
        <is>
          <t>B1</t>
        </is>
      </c>
      <c r="H23" s="142" t="inlineStr">
        <is>
          <t>▲ Up</t>
        </is>
      </c>
      <c r="I23" s="111" t="inlineStr">
        <is>
          <t>People Manager</t>
        </is>
      </c>
      <c r="J23" s="139" t="n">
        <v>4</v>
      </c>
      <c r="K23" s="115" t="inlineStr">
        <is>
          <t>High</t>
        </is>
      </c>
      <c r="L23" s="115" t="inlineStr">
        <is>
          <t>High Impact / Growth Talent</t>
        </is>
      </c>
      <c r="M23" s="115" t="inlineStr">
        <is>
          <t>Ready now</t>
        </is>
      </c>
      <c r="N23" s="115" t="inlineStr">
        <is>
          <t>Yes</t>
        </is>
      </c>
      <c r="O23" s="115" t="inlineStr">
        <is>
          <t>Yes</t>
        </is>
      </c>
      <c r="P23" s="115" t="inlineStr"/>
      <c r="Q23" s="119" t="n">
        <v>110</v>
      </c>
      <c r="R23" s="165" t="inlineStr">
        <is>
          <t>Exceeds — ready for stretch</t>
        </is>
      </c>
      <c r="S23" s="165" t="n">
        <v>113</v>
      </c>
      <c r="T23" s="165" t="n">
        <v>92</v>
      </c>
      <c r="U23" s="165" t="n">
        <v>120</v>
      </c>
      <c r="V23" s="165" t="n">
        <v>105</v>
      </c>
      <c r="W23" s="165" t="inlineStr">
        <is>
          <t>AI literacy</t>
        </is>
      </c>
      <c r="X23" s="165" t="inlineStr">
        <is>
          <r>
            <rPr>
              <rFont val="Calibri"/>
              <b val="1"/>
              <sz val="10"/>
            </rPr>
            <t>B2:</t>
          </r>
          <r>
            <rPr>
              <rFont val="Calibri"/>
              <sz val="10"/>
            </rPr>
            <t xml:space="preserve"> 95% of profile — ready on competencies</t>
          </r>
        </is>
      </c>
      <c r="Y23" s="165" t="inlineStr">
        <is>
          <r>
            <rPr>
              <rFont val="Calibri"/>
              <b val="1"/>
              <sz val="10"/>
            </rPr>
            <t>Evidence:</t>
          </r>
          <r>
            <rPr>
              <rFont val="Calibri"/>
              <sz val="10"/>
            </rPr>
            <t xml:space="preserve"> Survey + KRAs | Core: Ownership 5/3, Problem solving 4/3, Communication &amp; collaboration 4/3, Client &amp; quality focus 5/3, Learning agility 3/3, Integrity &amp; compliance 3/3 | Future-ready: AI literacy 2/3, Data literacy 3/3, Digital fluency 3/3, Innovation 3/3 | Functional: Requirements 4/3, Regulatory domain 4/3, Product &amp; domain 4/3, SQL &amp; data 4/3, Stakeholder mgmt 4/3, Communication 4/3 | Leadership: Developing people 2/2, Decision making 2/2, Strategic acumen 2/2, Influence &amp; change 3/2</t>
          </r>
        </is>
      </c>
      <c r="Z23" s="120" t="inlineStr">
        <is>
          <t>Project / programme management · Product &amp; tool knowledge · Certification / formal course</t>
        </is>
      </c>
      <c r="AA23" s="166" t="inlineStr">
        <is>
          <t>Training on the effective utilization of AI tools.</t>
        </is>
      </c>
      <c r="AB23" s="166" t="inlineStr">
        <is>
          <t>Business Analysis &amp; Requirements Engineering; Project, Program &amp; Agile Management; AI, GenAI &amp; Prompt Engineering</t>
        </is>
      </c>
      <c r="AC23" s="166" t="inlineStr">
        <is>
          <t>Project / programme management · Product &amp; tool knowledge · Client, sales &amp; stakeholders · Certification / formal course · Broader exposure &amp; ownership</t>
        </is>
      </c>
      <c r="AD23" s="166" t="n"/>
      <c r="AE23" s="122" t="inlineStr">
        <is>
          <t>Customer Success &amp; Support · 100% of competencies evidenced; must-haves met; Quality Assurance · 83% of competencies evidenced; must-haves met</t>
        </is>
      </c>
      <c r="AF23" s="123" t="inlineStr">
        <is>
          <t>Silky Agarwal · Senior Business Analyst — 0.36: project, validation, knowledge, user</t>
        </is>
      </c>
      <c r="AG23" s="123" t="inlineStr">
        <is>
          <t>Abhishek Hegde · iFile, Senior Business Analyst — 0.35; Saurabh Dutta · iFile, Business Analyst — 0.33; Neha Singh · iFile, Business Analyst — 0.28</t>
        </is>
      </c>
      <c r="AH23" s="123" t="n">
        <v>4</v>
      </c>
      <c r="AI23" s="123" t="inlineStr">
        <is>
          <t>Within norm</t>
        </is>
      </c>
      <c r="AJ23" s="123" t="n"/>
    </row>
    <row r="24" ht="158" customHeight="1">
      <c r="A24" s="109" t="inlineStr">
        <is>
          <t>IRIS1796</t>
        </is>
      </c>
      <c r="B24" s="111" t="inlineStr">
        <is>
          <t>Kailash Sahu</t>
        </is>
      </c>
      <c r="C24" s="111" t="inlineStr">
        <is>
          <t>Technology</t>
        </is>
      </c>
      <c r="D24" s="114" t="inlineStr">
        <is>
          <t>Business Analyst</t>
        </is>
      </c>
      <c r="E24" s="114" t="inlineStr">
        <is>
          <t>Business Analysis Specialist</t>
        </is>
      </c>
      <c r="F24" s="114" t="inlineStr">
        <is>
          <t>L3 – Professional / Associate</t>
        </is>
      </c>
      <c r="G24" s="141" t="inlineStr">
        <is>
          <t>B1</t>
        </is>
      </c>
      <c r="H24" s="142" t="inlineStr">
        <is>
          <t>▲ Up</t>
        </is>
      </c>
      <c r="I24" s="111" t="inlineStr">
        <is>
          <t>IC</t>
        </is>
      </c>
      <c r="J24" s="139" t="n">
        <v>3</v>
      </c>
      <c r="K24" s="115" t="inlineStr">
        <is>
          <t>Medium</t>
        </is>
      </c>
      <c r="L24" s="115" t="inlineStr">
        <is>
          <t>Core Contributor</t>
        </is>
      </c>
      <c r="M24" s="115" t="inlineStr">
        <is>
          <t>Develop in role</t>
        </is>
      </c>
      <c r="N24" s="115" t="n"/>
      <c r="O24" s="115" t="inlineStr"/>
      <c r="P24" s="115" t="inlineStr"/>
      <c r="Q24" s="119" t="n">
        <v>89</v>
      </c>
      <c r="R24" s="165" t="inlineStr">
        <is>
          <t>Developing</t>
        </is>
      </c>
      <c r="S24" s="165" t="n">
        <v>101</v>
      </c>
      <c r="T24" s="165" t="n">
        <v>67</v>
      </c>
      <c r="U24" s="165" t="n">
        <v>89</v>
      </c>
      <c r="V24" s="165" t="n">
        <v>105</v>
      </c>
      <c r="W24" s="165" t="inlineStr">
        <is>
          <t>Product &amp; domain, SQL &amp; data, Learning agility</t>
        </is>
      </c>
      <c r="X24" s="165" t="inlineStr">
        <is>
          <r>
            <rPr>
              <rFont val="Calibri"/>
              <b val="1"/>
              <sz val="10"/>
            </rPr>
            <t>B2:</t>
          </r>
          <r>
            <rPr>
              <rFont val="Calibri"/>
              <sz val="10"/>
            </rPr>
            <t xml:space="preserve"> 75% of profile — not yet</t>
          </r>
        </is>
      </c>
      <c r="Y24" s="165" t="inlineStr">
        <is>
          <r>
            <rPr>
              <rFont val="Calibri"/>
              <b val="1"/>
              <sz val="10"/>
            </rPr>
            <t>Evidence:</t>
          </r>
          <r>
            <rPr>
              <rFont val="Calibri"/>
              <sz val="10"/>
            </rPr>
            <t xml:space="preserve"> Survey + KRAs | Core: Ownership 3/3, Problem solving 3/3, Communication &amp; collaboration 4/3, Client &amp; quality focus 4/3, Learning agility 2/3, Integrity &amp; compliance 3/3 | Future-ready: AI literacy 2/3, Data literacy 2/3, Digital fluency 2/3, Innovation 2/3 | Functional: Requirements 3/3, Regulatory domain 3/3, Product &amp; domain 2/3, SQL &amp; data 2/3, Stakeholder mgmt 3/3, Communication 3/3 | Leadership: Developing people 1/1, Decision making 1/1, Strategic acumen 1/1, Influence &amp; change 2/1</t>
          </r>
        </is>
      </c>
      <c r="Z24" s="120" t="inlineStr">
        <is>
          <t>Answered · no common topic</t>
        </is>
      </c>
      <c r="AA24" s="166" t="inlineStr">
        <is>
          <t>Training on the effective utilization of AI tools.</t>
        </is>
      </c>
      <c r="AB24" s="166" t="inlineStr">
        <is>
          <t>AI, GenAI &amp; Prompt Engineering; Product, Platform &amp; Domain Knowledge; Process Improvement &amp; Quality Mindset</t>
        </is>
      </c>
      <c r="AC24" s="166" t="inlineStr">
        <is>
          <t>Answered · no common topic</t>
        </is>
      </c>
      <c r="AD24" s="166" t="n"/>
      <c r="AE24" s="122" t="inlineStr">
        <is>
          <t>No strong match from survey evidence</t>
        </is>
      </c>
      <c r="AF24" s="123" t="inlineStr">
        <is>
          <t>No material overlap found</t>
        </is>
      </c>
      <c r="AG24" s="123" t="inlineStr">
        <is>
          <t>No close match in other businesses</t>
        </is>
      </c>
      <c r="AH24" s="123" t="n"/>
      <c r="AI24" s="123" t="n"/>
      <c r="AJ24" s="123" t="n"/>
    </row>
    <row r="25" ht="158" customHeight="1">
      <c r="A25" s="109" t="inlineStr">
        <is>
          <t>IRIS2125</t>
        </is>
      </c>
      <c r="B25" s="111" t="inlineStr">
        <is>
          <t>Phuzel Siddiqui</t>
        </is>
      </c>
      <c r="C25" s="111" t="inlineStr">
        <is>
          <t>Technology</t>
        </is>
      </c>
      <c r="D25" s="114" t="inlineStr">
        <is>
          <t>Business Analyst</t>
        </is>
      </c>
      <c r="E25" s="114" t="inlineStr">
        <is>
          <t>Business Analysis Specialist – POD Lead</t>
        </is>
      </c>
      <c r="F25" s="114" t="inlineStr">
        <is>
          <t>L3 – Professional / Associate</t>
        </is>
      </c>
      <c r="G25" s="141" t="inlineStr">
        <is>
          <t>B1</t>
        </is>
      </c>
      <c r="H25" s="142" t="inlineStr">
        <is>
          <t>▲ Up</t>
        </is>
      </c>
      <c r="I25" s="111" t="inlineStr">
        <is>
          <t>POD Lead</t>
        </is>
      </c>
      <c r="J25" s="139" t="n">
        <v>3</v>
      </c>
      <c r="K25" s="115" t="inlineStr">
        <is>
          <t>Medium</t>
        </is>
      </c>
      <c r="L25" s="115" t="inlineStr">
        <is>
          <t>Emerging Talent</t>
        </is>
      </c>
      <c r="M25" s="115" t="inlineStr">
        <is>
          <t>Develop in role</t>
        </is>
      </c>
      <c r="N25" s="115" t="n"/>
      <c r="O25" s="115" t="inlineStr">
        <is>
          <t>Yes</t>
        </is>
      </c>
      <c r="P25" s="115" t="inlineStr"/>
      <c r="Q25" s="119" t="n">
        <v>105</v>
      </c>
      <c r="R25" s="165" t="inlineStr">
        <is>
          <t>Exceeds — ready for stretch</t>
        </is>
      </c>
      <c r="S25" s="165" t="n">
        <v>107</v>
      </c>
      <c r="T25" s="165" t="n">
        <v>100</v>
      </c>
      <c r="U25" s="165" t="n">
        <v>103</v>
      </c>
      <c r="V25" s="165" t="n">
        <v>110</v>
      </c>
      <c r="W25" s="165" t="inlineStr">
        <is>
          <t>None — maintain and stretch</t>
        </is>
      </c>
      <c r="X25" s="165" t="inlineStr">
        <is>
          <r>
            <rPr>
              <rFont val="Calibri"/>
              <b val="1"/>
              <sz val="10"/>
            </rPr>
            <t>B2:</t>
          </r>
          <r>
            <rPr>
              <rFont val="Calibri"/>
              <sz val="10"/>
            </rPr>
            <t xml:space="preserve"> 90% of profile — ready on competencies</t>
          </r>
        </is>
      </c>
      <c r="Y25" s="165" t="inlineStr">
        <is>
          <r>
            <rPr>
              <rFont val="Calibri"/>
              <b val="1"/>
              <sz val="10"/>
            </rPr>
            <t>Evidence:</t>
          </r>
          <r>
            <rPr>
              <rFont val="Calibri"/>
              <sz val="10"/>
            </rPr>
            <t xml:space="preserve"> Survey + KRAs | Core: Ownership 3/3, Problem solving 3/3, Communication &amp; collaboration 4/3, Client &amp; quality focus 4/3, Learning agility 3/3, Integrity &amp; compliance 3/3 | Future-ready: AI literacy 3/3, Data literacy 3/3, Digital fluency 3/3, Innovation 3/3 | Functional: Requirements 3/3, Regulatory domain 3/3, Product &amp; domain 4/3, SQL &amp; data 3/3, Stakeholder mgmt 3/3, Communication 3/3 | Leadership: Developing people 2/2, Decision making 3/2, Strategic acumen 2/2, Influence &amp; change 3/2</t>
          </r>
        </is>
      </c>
      <c r="Z25" s="120" t="inlineStr">
        <is>
          <t>Project / programme management</t>
        </is>
      </c>
      <c r="AA25" s="166" t="inlineStr">
        <is>
          <t>Training on the effective utilization of AI tools.</t>
        </is>
      </c>
      <c r="AB25" s="166" t="inlineStr">
        <is>
          <t>Project, Program &amp; Agile Management; AI, GenAI &amp; Prompt Engineering; Database, SQL &amp; Data Engineering</t>
        </is>
      </c>
      <c r="AC25" s="166" t="inlineStr">
        <is>
          <t>Project / programme management</t>
        </is>
      </c>
      <c r="AD25" s="166" t="n"/>
      <c r="AE25" s="122" t="inlineStr">
        <is>
          <t>No strong match from survey evidence</t>
        </is>
      </c>
      <c r="AF25" s="123" t="inlineStr">
        <is>
          <t>No material overlap found</t>
        </is>
      </c>
      <c r="AG25" s="123" t="inlineStr">
        <is>
          <t>No close match in other businesses</t>
        </is>
      </c>
      <c r="AH25" s="123" t="n">
        <v>1</v>
      </c>
      <c r="AI25" s="123" t="inlineStr">
        <is>
          <t>POD Lead</t>
        </is>
      </c>
      <c r="AJ25" s="123" t="n"/>
    </row>
    <row r="26" ht="158" customHeight="1">
      <c r="A26" s="109" t="inlineStr">
        <is>
          <t>IRIS0417</t>
        </is>
      </c>
      <c r="B26" s="111" t="inlineStr">
        <is>
          <t>Vishal Pingle</t>
        </is>
      </c>
      <c r="C26" s="111" t="inlineStr">
        <is>
          <t>Technology</t>
        </is>
      </c>
      <c r="D26" s="114" t="inlineStr">
        <is>
          <t>Senior Business Analyst</t>
        </is>
      </c>
      <c r="E26" s="114" t="inlineStr">
        <is>
          <t>Senior Business Analysis Specialist</t>
        </is>
      </c>
      <c r="F26" s="114" t="inlineStr">
        <is>
          <t>L4 – Senior</t>
        </is>
      </c>
      <c r="G26" s="141" t="inlineStr">
        <is>
          <t>B1</t>
        </is>
      </c>
      <c r="H26" s="142" t="inlineStr">
        <is>
          <t>▲ Up</t>
        </is>
      </c>
      <c r="I26" s="111" t="inlineStr">
        <is>
          <t>IC</t>
        </is>
      </c>
      <c r="J26" s="139" t="n">
        <v>3</v>
      </c>
      <c r="K26" s="115" t="inlineStr">
        <is>
          <t>Medium</t>
        </is>
      </c>
      <c r="L26" s="115" t="inlineStr">
        <is>
          <t>Trusted Professional</t>
        </is>
      </c>
      <c r="M26" s="115" t="inlineStr">
        <is>
          <t>Develop in role</t>
        </is>
      </c>
      <c r="N26" s="115" t="n"/>
      <c r="O26" s="115" t="inlineStr">
        <is>
          <t>Yes</t>
        </is>
      </c>
      <c r="P26" s="115" t="inlineStr"/>
      <c r="Q26" s="119" t="n">
        <v>109</v>
      </c>
      <c r="R26" s="165" t="inlineStr">
        <is>
          <t>Exceeds — ready for stretch</t>
        </is>
      </c>
      <c r="S26" s="165" t="n">
        <v>113</v>
      </c>
      <c r="T26" s="165" t="n">
        <v>92</v>
      </c>
      <c r="U26" s="165" t="n">
        <v>113</v>
      </c>
      <c r="V26" s="165" t="n">
        <v>110</v>
      </c>
      <c r="W26" s="165" t="inlineStr">
        <is>
          <t>AI literacy</t>
        </is>
      </c>
      <c r="X26" s="165" t="inlineStr">
        <is>
          <r>
            <rPr>
              <rFont val="Calibri"/>
              <b val="1"/>
              <sz val="10"/>
            </rPr>
            <t>B3:</t>
          </r>
          <r>
            <rPr>
              <rFont val="Calibri"/>
              <sz val="10"/>
            </rPr>
            <t xml:space="preserve"> 101% of profile — ready on competencies</t>
          </r>
        </is>
      </c>
      <c r="Y26" s="165" t="inlineStr">
        <is>
          <r>
            <rPr>
              <rFont val="Calibri"/>
              <b val="1"/>
              <sz val="10"/>
            </rPr>
            <t>Evidence:</t>
          </r>
          <r>
            <rPr>
              <rFont val="Calibri"/>
              <sz val="10"/>
            </rPr>
            <t xml:space="preserve"> Survey + KRAs | Core: Ownership 4/3, Problem solving 4/3, Communication &amp; collaboration 4/3, Client &amp; quality focus 4/3, Learning agility 3/3, Integrity &amp; compliance 3/3 | Future-ready: AI literacy 2/3, Data literacy 3/3, Digital fluency 3/3, Innovation 3/3 | Functional: Requirements 5/4, Regulatory domain 5/4, Product &amp; domain 5/4, SQL &amp; data 4/4, Stakeholder mgmt 5/4, Communication 4/4 | Leadership: Developing people 2/2, Decision making 3/2, Strategic acumen 2/2, Influence &amp; change 3/2</t>
          </r>
        </is>
      </c>
      <c r="Z26" s="120" t="inlineStr">
        <is>
          <t>AI / automation · Leadership &amp; people management · Project / programme management · Client, sales &amp; stakeholders · Strategy &amp; business acumen</t>
        </is>
      </c>
      <c r="AA26" s="166" t="inlineStr">
        <is>
          <t>Training on the effective utilization of AI tools.</t>
        </is>
      </c>
      <c r="AB26" s="166" t="inlineStr">
        <is>
          <t>Project, Program &amp; Agile Management; AI, GenAI &amp; Prompt Engineering; Business Analysis &amp; Requirements Engineering</t>
        </is>
      </c>
      <c r="AC26" s="166" t="inlineStr">
        <is>
          <t>AI / automation · Leadership &amp; people management · Project / programme management · Client, sales &amp; stakeholders · Strategy &amp; business acumen</t>
        </is>
      </c>
      <c r="AD26" s="166" t="n"/>
      <c r="AE26" s="122" t="inlineStr">
        <is>
          <t>No strong match from survey evidence</t>
        </is>
      </c>
      <c r="AF26" s="123" t="inlineStr">
        <is>
          <t>Hemand Thayil · Support Executive — 0.31: ideal, client, application</t>
        </is>
      </c>
      <c r="AG26" s="123" t="inlineStr">
        <is>
          <t>No close match in other businesses</t>
        </is>
      </c>
      <c r="AH26" s="123" t="n"/>
      <c r="AI26" s="123" t="n"/>
      <c r="AJ26" s="123" t="n"/>
    </row>
    <row r="27" ht="158" customHeight="1">
      <c r="A27" s="109" t="inlineStr">
        <is>
          <t>IRIS1809</t>
        </is>
      </c>
      <c r="B27" s="111" t="inlineStr">
        <is>
          <t>Jignasha Sawla</t>
        </is>
      </c>
      <c r="C27" s="111" t="inlineStr">
        <is>
          <t>Technology</t>
        </is>
      </c>
      <c r="D27" s="114" t="inlineStr">
        <is>
          <t>Database Lead</t>
        </is>
      </c>
      <c r="E27" s="114" t="inlineStr">
        <is>
          <t>Database Specialist – POD Lead</t>
        </is>
      </c>
      <c r="F27" s="114" t="inlineStr">
        <is>
          <t>L5 – Lead · IC</t>
        </is>
      </c>
      <c r="G27" s="141" t="inlineStr">
        <is>
          <t>B1</t>
        </is>
      </c>
      <c r="H27" s="147" t="inlineStr">
        <is>
          <t>▼ Down · protected</t>
        </is>
      </c>
      <c r="I27" s="111" t="inlineStr">
        <is>
          <t>POD Lead</t>
        </is>
      </c>
      <c r="J27" s="139" t="n">
        <v>2</v>
      </c>
      <c r="K27" s="115" t="inlineStr">
        <is>
          <t>Low</t>
        </is>
      </c>
      <c r="L27" s="115" t="inlineStr">
        <is>
          <t>Performance Risk</t>
        </is>
      </c>
      <c r="M27" s="115" t="inlineStr">
        <is>
          <t>Performance first</t>
        </is>
      </c>
      <c r="N27" s="115" t="n"/>
      <c r="O27" s="115" t="inlineStr"/>
      <c r="P27" s="115" t="inlineStr"/>
      <c r="Q27" s="119" t="n">
        <v>95</v>
      </c>
      <c r="R27" s="165" t="inlineStr">
        <is>
          <t>Meets the level</t>
        </is>
      </c>
      <c r="S27" s="165" t="n">
        <v>92</v>
      </c>
      <c r="T27" s="165" t="n">
        <v>105</v>
      </c>
      <c r="U27" s="165" t="n">
        <v>98</v>
      </c>
      <c r="V27" s="165" t="n">
        <v>88</v>
      </c>
      <c r="W27" s="165" t="inlineStr">
        <is>
          <t>Programming &amp; stack, Ownership, Client &amp; quality focus</t>
        </is>
      </c>
      <c r="X27" s="165" t="inlineStr">
        <is>
          <r>
            <rPr>
              <rFont val="Calibri"/>
              <b val="1"/>
              <sz val="10"/>
            </rPr>
            <t>B2:</t>
          </r>
          <r>
            <rPr>
              <rFont val="Calibri"/>
              <sz val="10"/>
            </rPr>
            <t xml:space="preserve"> 80% of profile — close</t>
          </r>
        </is>
      </c>
      <c r="Y27" s="165" t="inlineStr">
        <is>
          <r>
            <rPr>
              <rFont val="Calibri"/>
              <b val="1"/>
              <sz val="10"/>
            </rPr>
            <t>Evidence:</t>
          </r>
          <r>
            <rPr>
              <rFont val="Calibri"/>
              <sz val="10"/>
            </rPr>
            <t xml:space="preserve"> Survey + KRAs | Core: Ownership 2/3, Problem solving 4/3, Communication &amp; collaboration 3/3, Client &amp; quality focus 2/3, Learning agility 3/3, Integrity &amp; compliance 3/3 | Future-ready: AI literacy 3/3, Data literacy 4/3, Digital fluency 3/3, Innovation 3/3 | Functional: Programming &amp; stack 2/3, System design 3/3, SQL &amp; data 4/3, Cloud &amp; DevOps 3/3, AI / GenAI 3/3, Product &amp; domain 3/3 | Leadership: Developing people 2/2, Decision making 2/2, Strategic acumen 1/2, Influence &amp; change 2/2</t>
          </r>
        </is>
      </c>
      <c r="Z27" s="120" t="inlineStr">
        <is>
          <t>Project / programme management</t>
        </is>
      </c>
      <c r="AA27" s="166" t="inlineStr">
        <is>
          <t>Training on the effective utilization of AI tools.</t>
        </is>
      </c>
      <c r="AB27" s="166" t="inlineStr">
        <is>
          <t>People Leadership &amp; Mentoring; Project, Program &amp; Agile Management</t>
        </is>
      </c>
      <c r="AC27" s="166" t="inlineStr">
        <is>
          <t>Project / programme management</t>
        </is>
      </c>
      <c r="AD27" s="166" t="n"/>
      <c r="AE27" s="122" t="inlineStr">
        <is>
          <t>No strong match from survey evidence</t>
        </is>
      </c>
      <c r="AF27" s="123" t="inlineStr">
        <is>
          <t>No material overlap found</t>
        </is>
      </c>
      <c r="AG27" s="123" t="inlineStr">
        <is>
          <t>No close match in other businesses</t>
        </is>
      </c>
      <c r="AH27" s="123" t="n">
        <v>1</v>
      </c>
      <c r="AI27" s="123" t="inlineStr">
        <is>
          <t>POD Lead</t>
        </is>
      </c>
      <c r="AJ27" s="123" t="n"/>
    </row>
    <row r="28" ht="171" customHeight="1">
      <c r="A28" s="109" t="inlineStr">
        <is>
          <t>IRIS1343</t>
        </is>
      </c>
      <c r="B28" s="111" t="inlineStr">
        <is>
          <t>Anand Usakoyal</t>
        </is>
      </c>
      <c r="C28" s="111" t="inlineStr">
        <is>
          <t>Technology</t>
        </is>
      </c>
      <c r="D28" s="114" t="inlineStr">
        <is>
          <t>Project Lead</t>
        </is>
      </c>
      <c r="E28" s="114" t="inlineStr">
        <is>
          <t>Associate Project Manager</t>
        </is>
      </c>
      <c r="F28" s="114" t="inlineStr">
        <is>
          <t>L5 – Lead · IC</t>
        </is>
      </c>
      <c r="G28" s="141" t="inlineStr">
        <is>
          <t>B1</t>
        </is>
      </c>
      <c r="H28" s="147" t="inlineStr">
        <is>
          <t>▼ Down · protected</t>
        </is>
      </c>
      <c r="I28" s="111" t="inlineStr">
        <is>
          <t>IC</t>
        </is>
      </c>
      <c r="J28" s="139" t="n">
        <v>3</v>
      </c>
      <c r="K28" s="115" t="inlineStr">
        <is>
          <t>Medium</t>
        </is>
      </c>
      <c r="L28" s="115" t="inlineStr">
        <is>
          <t>Emerging Talent</t>
        </is>
      </c>
      <c r="M28" s="115" t="inlineStr">
        <is>
          <t>Develop in role</t>
        </is>
      </c>
      <c r="N28" s="115" t="n"/>
      <c r="O28" s="115" t="inlineStr"/>
      <c r="P28" s="115" t="inlineStr"/>
      <c r="Q28" s="119" t="n">
        <v>96</v>
      </c>
      <c r="R28" s="165" t="inlineStr">
        <is>
          <t>Meets the level</t>
        </is>
      </c>
      <c r="S28" s="165" t="n">
        <v>104</v>
      </c>
      <c r="T28" s="165" t="n">
        <v>92</v>
      </c>
      <c r="U28" s="165" t="n">
        <v>92</v>
      </c>
      <c r="V28" s="165" t="n">
        <v>105</v>
      </c>
      <c r="W28" s="165" t="inlineStr">
        <is>
          <t>Project &amp; agile, Business acumen, Learning agility</t>
        </is>
      </c>
      <c r="X28" s="165" t="inlineStr">
        <is>
          <r>
            <rPr>
              <rFont val="Calibri"/>
              <b val="1"/>
              <sz val="10"/>
            </rPr>
            <t>B2:</t>
          </r>
          <r>
            <rPr>
              <rFont val="Calibri"/>
              <sz val="10"/>
            </rPr>
            <t xml:space="preserve"> 83% of profile — close</t>
          </r>
        </is>
      </c>
      <c r="Y28" s="165" t="inlineStr">
        <is>
          <r>
            <rPr>
              <rFont val="Calibri"/>
              <b val="1"/>
              <sz val="10"/>
            </rPr>
            <t>Evidence:</t>
          </r>
          <r>
            <rPr>
              <rFont val="Calibri"/>
              <sz val="10"/>
            </rPr>
            <t xml:space="preserve"> Survey + KRAs | Core: Ownership 4/3, Problem solving 3/3, Communication &amp; collaboration 4/3, Client &amp; quality focus 4/3, Learning agility 2/3, Integrity &amp; compliance 3/3 | Future-ready: AI literacy 2/3, Data literacy 3/3, Digital fluency 3/3, Innovation 3/3 | Functional: Project &amp; agile 2/3, Stakeholder mgmt 3/3, Communication 3/3, Quality &amp; process 4/3, Business acumen 2/3, Product &amp; domain 3/3 | Leadership: Developing people 1/1, Decision making 1/1, Strategic acumen 1/1, Influence &amp; change 2/1</t>
          </r>
        </is>
      </c>
      <c r="Z28" s="120" t="inlineStr">
        <is>
          <t>Project / programme management · Client, sales &amp; stakeholders · Communication &amp; presentation</t>
        </is>
      </c>
      <c r="AA28" s="166" t="inlineStr">
        <is>
          <t>Training on the effective utilization of AI tools.</t>
        </is>
      </c>
      <c r="AB28" s="166" t="inlineStr">
        <is>
          <t>People Leadership &amp; Mentoring; Project, Program &amp; Agile Management; AI, GenAI &amp; Prompt Engineering</t>
        </is>
      </c>
      <c r="AC28" s="166" t="inlineStr">
        <is>
          <t>Project / programme management · Client, sales &amp; stakeholders · Communication &amp; presentation</t>
        </is>
      </c>
      <c r="AD28" s="166" t="n"/>
      <c r="AE28" s="122" t="inlineStr">
        <is>
          <t>No strong match from survey evidence</t>
        </is>
      </c>
      <c r="AF28" s="123" t="inlineStr">
        <is>
          <t>No material overlap found</t>
        </is>
      </c>
      <c r="AG28" s="123" t="inlineStr">
        <is>
          <t>No close match in other businesses</t>
        </is>
      </c>
      <c r="AH28" s="123" t="n"/>
      <c r="AI28" s="123" t="n"/>
      <c r="AJ28" s="123" t="n"/>
    </row>
    <row r="29" ht="132" customHeight="1">
      <c r="A29" s="109" t="inlineStr">
        <is>
          <t>IRIS2236</t>
        </is>
      </c>
      <c r="B29" s="111" t="inlineStr">
        <is>
          <t>Anishaa Mahesh Kukreja</t>
        </is>
      </c>
      <c r="C29" s="111" t="inlineStr">
        <is>
          <t>Technology</t>
        </is>
      </c>
      <c r="D29" s="114" t="inlineStr">
        <is>
          <t>Business Analyst</t>
        </is>
      </c>
      <c r="E29" s="114" t="inlineStr">
        <is>
          <t>Senior Business Analyst</t>
        </is>
      </c>
      <c r="F29" s="114" t="inlineStr">
        <is>
          <t>L3 – Professional / Associate</t>
        </is>
      </c>
      <c r="G29" s="141" t="inlineStr">
        <is>
          <t>A3</t>
        </is>
      </c>
      <c r="H29" s="142" t="inlineStr">
        <is>
          <t>▲ Up</t>
        </is>
      </c>
      <c r="I29" s="111" t="inlineStr">
        <is>
          <t>IC</t>
        </is>
      </c>
      <c r="J29" s="139" t="n">
        <v>3</v>
      </c>
      <c r="K29" s="115" t="inlineStr">
        <is>
          <t>Medium</t>
        </is>
      </c>
      <c r="L29" s="115" t="inlineStr">
        <is>
          <t>Core Contributor</t>
        </is>
      </c>
      <c r="M29" s="115" t="inlineStr">
        <is>
          <t>Develop in role</t>
        </is>
      </c>
      <c r="N29" s="115" t="n"/>
      <c r="O29" s="115" t="inlineStr"/>
      <c r="P29" s="115" t="inlineStr"/>
      <c r="Q29" s="119" t="n">
        <v>96</v>
      </c>
      <c r="R29" s="165" t="inlineStr">
        <is>
          <t>Meets the level</t>
        </is>
      </c>
      <c r="S29" s="165" t="n">
        <v>98</v>
      </c>
      <c r="T29" s="165" t="n">
        <v>75</v>
      </c>
      <c r="U29" s="165" t="n">
        <v>103</v>
      </c>
      <c r="V29" s="165" t="n"/>
      <c r="W29" s="165" t="inlineStr">
        <is>
          <t>Learning agility, AI literacy, Digital fluency</t>
        </is>
      </c>
      <c r="X29" s="165" t="inlineStr">
        <is>
          <r>
            <rPr>
              <rFont val="Calibri"/>
              <b val="1"/>
              <sz val="10"/>
            </rPr>
            <t>B1:</t>
          </r>
          <r>
            <rPr>
              <rFont val="Calibri"/>
              <sz val="10"/>
            </rPr>
            <t xml:space="preserve"> 85% of profile — close</t>
          </r>
        </is>
      </c>
      <c r="Y29" s="165" t="inlineStr">
        <is>
          <r>
            <rPr>
              <rFont val="Calibri"/>
              <b val="1"/>
              <sz val="10"/>
            </rPr>
            <t>Evidence:</t>
          </r>
          <r>
            <rPr>
              <rFont val="Calibri"/>
              <sz val="10"/>
            </rPr>
            <t xml:space="preserve"> Survey + KRAs | Core: Ownership 3/2, Problem solving 2/2, Communication &amp; collaboration 3/2, Client &amp; quality focus 2/2, Learning agility 1/2, Integrity &amp; compliance 2/2 | Future-ready: AI literacy 1/2, Data literacy 2/2, Digital fluency 1/2, Innovation 2/2 | Functional: Requirements 4/3, Regulatory domain 3/3, Product &amp; domain 3/3, SQL &amp; data 3/3, Stakeholder mgmt 3/3, Communication 3/3</t>
          </r>
        </is>
      </c>
      <c r="Z29" s="120" t="inlineStr">
        <is>
          <t>AI / automation · Domain, regulatory &amp; XBRL</t>
        </is>
      </c>
      <c r="AA29" s="166" t="inlineStr">
        <is>
          <t>XBRL Training, Training on the effective utilization of AI tools.</t>
        </is>
      </c>
      <c r="AB29" s="166" t="inlineStr">
        <is>
          <t>AI, GenAI &amp; Prompt Engineering; Process Improvement &amp; Quality Mindset</t>
        </is>
      </c>
      <c r="AC29" s="166" t="inlineStr">
        <is>
          <t>AI / automation · Domain, regulatory &amp; XBRL</t>
        </is>
      </c>
      <c r="AD29" s="166" t="n"/>
      <c r="AE29" s="122" t="inlineStr">
        <is>
          <t>No strong match from survey evidence</t>
        </is>
      </c>
      <c r="AF29" s="123" t="inlineStr">
        <is>
          <t>No material overlap found</t>
        </is>
      </c>
      <c r="AG29" s="123" t="inlineStr">
        <is>
          <t>No close match in other businesses</t>
        </is>
      </c>
      <c r="AH29" s="123" t="n"/>
      <c r="AI29" s="123" t="n"/>
      <c r="AJ29" s="123" t="n"/>
    </row>
    <row r="30" ht="132" customHeight="1">
      <c r="A30" s="109" t="inlineStr">
        <is>
          <t>IRIS2536</t>
        </is>
      </c>
      <c r="B30" s="111" t="inlineStr">
        <is>
          <t>Mohin Patel</t>
        </is>
      </c>
      <c r="C30" s="111" t="inlineStr">
        <is>
          <t>Technology</t>
        </is>
      </c>
      <c r="D30" s="114" t="inlineStr">
        <is>
          <t>Business Analyst</t>
        </is>
      </c>
      <c r="E30" s="114" t="inlineStr">
        <is>
          <t>Senior Business Analyst</t>
        </is>
      </c>
      <c r="F30" s="114" t="inlineStr">
        <is>
          <t>L3 – Professional / Associate</t>
        </is>
      </c>
      <c r="G30" s="141" t="inlineStr">
        <is>
          <t>A3</t>
        </is>
      </c>
      <c r="H30" s="142" t="inlineStr">
        <is>
          <t>▲ Up</t>
        </is>
      </c>
      <c r="I30" s="111" t="inlineStr">
        <is>
          <t>IC</t>
        </is>
      </c>
      <c r="J30" s="139" t="n">
        <v>3</v>
      </c>
      <c r="K30" s="115" t="inlineStr">
        <is>
          <t>Medium</t>
        </is>
      </c>
      <c r="L30" s="115" t="inlineStr">
        <is>
          <t>Core Contributor</t>
        </is>
      </c>
      <c r="M30" s="115" t="inlineStr">
        <is>
          <t>Develop in role</t>
        </is>
      </c>
      <c r="N30" s="115" t="n"/>
      <c r="O30" s="115" t="inlineStr"/>
      <c r="P30" s="115" t="inlineStr"/>
      <c r="Q30" s="119" t="n">
        <v>106</v>
      </c>
      <c r="R30" s="165" t="inlineStr">
        <is>
          <t>Exceeds — ready for stretch</t>
        </is>
      </c>
      <c r="S30" s="165" t="n">
        <v>107</v>
      </c>
      <c r="T30" s="165" t="n">
        <v>105</v>
      </c>
      <c r="U30" s="165" t="n">
        <v>107</v>
      </c>
      <c r="V30" s="165" t="n"/>
      <c r="W30" s="165" t="inlineStr">
        <is>
          <t>None — maintain and stretch</t>
        </is>
      </c>
      <c r="X30" s="165" t="inlineStr">
        <is>
          <r>
            <rPr>
              <rFont val="Calibri"/>
              <b val="1"/>
              <sz val="10"/>
            </rPr>
            <t>B1:</t>
          </r>
          <r>
            <rPr>
              <rFont val="Calibri"/>
              <sz val="10"/>
            </rPr>
            <t xml:space="preserve"> 92% of profile — ready on competencies</t>
          </r>
        </is>
      </c>
      <c r="Y30" s="165"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2/2, Data literacy 3/2, Digital fluency 2/2, Innovation 2/2 | Functional: Requirements 3/3, Regulatory domain 3/3, Product &amp; domain 3/3, SQL &amp; data 3/3, Stakeholder mgmt 4/3, Communication 4/3</t>
          </r>
        </is>
      </c>
      <c r="Z30" s="120" t="inlineStr">
        <is>
          <t>Data, SQL &amp; analytics · Strategy &amp; business acumen</t>
        </is>
      </c>
      <c r="AA30" s="166" t="inlineStr">
        <is>
          <t>XBRL Training, Training on the effective utilization of AI tools.</t>
        </is>
      </c>
      <c r="AB30" s="166" t="inlineStr">
        <is>
          <t>AI, GenAI &amp; Prompt Engineering; Database, SQL &amp; Data Engineering; Advanced Excel &amp; Productivity Tools</t>
        </is>
      </c>
      <c r="AC30" s="166" t="inlineStr">
        <is>
          <t>Data, SQL &amp; analytics · Strategy &amp; business acumen</t>
        </is>
      </c>
      <c r="AD30" s="166" t="n"/>
      <c r="AE30" s="122" t="inlineStr">
        <is>
          <t>No strong match from survey evidence</t>
        </is>
      </c>
      <c r="AF30" s="123" t="inlineStr">
        <is>
          <t>Neetu Rani Paul · Business Analyst — 0.31: documentation, excel, deployment, quickscrum; Vidyasagar Reddy · Business Analyst — 0.31: documentation, quickscrum, gathering, requirement</t>
        </is>
      </c>
      <c r="AG30" s="123" t="inlineStr">
        <is>
          <t>Neha Singh · iFile, Business Analyst — 0.26</t>
        </is>
      </c>
      <c r="AH30" s="123" t="n"/>
      <c r="AI30" s="123" t="n"/>
      <c r="AJ30" s="123" t="n"/>
    </row>
    <row r="31" ht="132" customHeight="1">
      <c r="A31" s="109" t="inlineStr">
        <is>
          <t>IRIS2136</t>
        </is>
      </c>
      <c r="B31" s="111" t="inlineStr">
        <is>
          <t>Neetu Rani Paul</t>
        </is>
      </c>
      <c r="C31" s="111" t="inlineStr">
        <is>
          <t>Technology</t>
        </is>
      </c>
      <c r="D31" s="114" t="inlineStr">
        <is>
          <t>Business Analyst</t>
        </is>
      </c>
      <c r="E31" s="114" t="inlineStr">
        <is>
          <t>Senior Business Analyst</t>
        </is>
      </c>
      <c r="F31" s="114" t="inlineStr">
        <is>
          <t>L3 – Professional / Associate</t>
        </is>
      </c>
      <c r="G31" s="141" t="inlineStr">
        <is>
          <t>A3</t>
        </is>
      </c>
      <c r="H31" s="142" t="inlineStr">
        <is>
          <t>▲ Up</t>
        </is>
      </c>
      <c r="I31" s="111" t="inlineStr">
        <is>
          <t>IC</t>
        </is>
      </c>
      <c r="J31" s="139" t="n">
        <v>3</v>
      </c>
      <c r="K31" s="115" t="inlineStr">
        <is>
          <t>Medium</t>
        </is>
      </c>
      <c r="L31" s="115" t="inlineStr">
        <is>
          <t>Trusted Professional</t>
        </is>
      </c>
      <c r="M31" s="115" t="inlineStr">
        <is>
          <t>Develop in role</t>
        </is>
      </c>
      <c r="N31" s="115" t="n"/>
      <c r="O31" s="115" t="inlineStr">
        <is>
          <t>Yes</t>
        </is>
      </c>
      <c r="P31" s="115" t="inlineStr"/>
      <c r="Q31" s="119" t="n">
        <v>106</v>
      </c>
      <c r="R31" s="165" t="inlineStr">
        <is>
          <t>Exceeds — ready for stretch</t>
        </is>
      </c>
      <c r="S31" s="165" t="n">
        <v>110</v>
      </c>
      <c r="T31" s="165" t="n">
        <v>100</v>
      </c>
      <c r="U31" s="165" t="n">
        <v>107</v>
      </c>
      <c r="V31" s="165" t="n"/>
      <c r="W31" s="165" t="inlineStr">
        <is>
          <t>None — maintain and stretch</t>
        </is>
      </c>
      <c r="X31" s="165" t="inlineStr">
        <is>
          <r>
            <rPr>
              <rFont val="Calibri"/>
              <b val="1"/>
              <sz val="10"/>
            </rPr>
            <t>B1:</t>
          </r>
          <r>
            <rPr>
              <rFont val="Calibri"/>
              <sz val="10"/>
            </rPr>
            <t xml:space="preserve"> 92% of profile — ready on competencies</t>
          </r>
        </is>
      </c>
      <c r="Y31" s="165" t="inlineStr">
        <is>
          <r>
            <rPr>
              <rFont val="Calibri"/>
              <b val="1"/>
              <sz val="10"/>
            </rPr>
            <t>Evidence:</t>
          </r>
          <r>
            <rPr>
              <rFont val="Calibri"/>
              <sz val="10"/>
            </rPr>
            <t xml:space="preserve"> Survey + KRAs | Core: Ownership 3/2, Problem solving 2/2, Communication &amp; collaboration 3/2, Client &amp; quality focus 3/2, Learning agility 2/2, Integrity &amp; compliance 2/2 | Future-ready: AI literacy 2/2, Data literacy 2/2, Digital fluency 2/2, Innovation 2/2 | Functional: Requirements 3/3, Regulatory domain 3/3, Product &amp; domain 3/3, SQL &amp; data 3/3, Stakeholder mgmt 4/3, Communication 4/3</t>
          </r>
        </is>
      </c>
      <c r="Z31" s="120" t="inlineStr">
        <is>
          <t>Answered · no common topic</t>
        </is>
      </c>
      <c r="AA31" s="166" t="inlineStr">
        <is>
          <t>Training on the effective utilization of AI tools.</t>
        </is>
      </c>
      <c r="AB31" s="166" t="inlineStr">
        <is>
          <t>Process Improvement &amp; Quality Mindset; People Leadership &amp; Mentoring; Broader Ownership &amp; Cross-functional Exposure</t>
        </is>
      </c>
      <c r="AC31" s="166" t="inlineStr">
        <is>
          <t>Answered · no common topic</t>
        </is>
      </c>
      <c r="AD31" s="166" t="n"/>
      <c r="AE31" s="122" t="inlineStr">
        <is>
          <t>No strong match from survey evidence</t>
        </is>
      </c>
      <c r="AF31" s="123" t="inlineStr">
        <is>
          <t>Nidhi Kulkarni · Support Executive — 0.36: documentation, successful, quickscrum, issues; Mohin Patel · Business Analyst — 0.31: documentation, excel, deployment, quickscrum</t>
        </is>
      </c>
      <c r="AG31" s="123" t="inlineStr">
        <is>
          <t>No close match in other businesses</t>
        </is>
      </c>
      <c r="AH31" s="123" t="n"/>
      <c r="AI31" s="123" t="n"/>
      <c r="AJ31" s="123" t="n"/>
    </row>
    <row r="32" ht="132" customHeight="1">
      <c r="A32" s="109" t="inlineStr">
        <is>
          <t>IRIS2142</t>
        </is>
      </c>
      <c r="B32" s="111" t="inlineStr">
        <is>
          <t>Nilam Anandrao Kadam</t>
        </is>
      </c>
      <c r="C32" s="111" t="inlineStr">
        <is>
          <t>Technology</t>
        </is>
      </c>
      <c r="D32" s="114" t="inlineStr">
        <is>
          <t>Business Analyst</t>
        </is>
      </c>
      <c r="E32" s="114" t="inlineStr">
        <is>
          <t>Senior Business Analyst</t>
        </is>
      </c>
      <c r="F32" s="114" t="inlineStr">
        <is>
          <t>L3 – Professional / Associate</t>
        </is>
      </c>
      <c r="G32" s="141" t="inlineStr">
        <is>
          <t>A3</t>
        </is>
      </c>
      <c r="H32" s="142" t="inlineStr">
        <is>
          <t>▲ Up</t>
        </is>
      </c>
      <c r="I32" s="111" t="inlineStr">
        <is>
          <t>IC</t>
        </is>
      </c>
      <c r="J32" s="139" t="n">
        <v>3</v>
      </c>
      <c r="K32" s="115" t="inlineStr">
        <is>
          <t>Medium</t>
        </is>
      </c>
      <c r="L32" s="115" t="inlineStr">
        <is>
          <t>Trusted Professional</t>
        </is>
      </c>
      <c r="M32" s="115" t="inlineStr">
        <is>
          <t>Develop in role</t>
        </is>
      </c>
      <c r="N32" s="115" t="n"/>
      <c r="O32" s="115" t="inlineStr">
        <is>
          <t>Yes</t>
        </is>
      </c>
      <c r="P32" s="115" t="inlineStr"/>
      <c r="Q32" s="119" t="n">
        <v>90</v>
      </c>
      <c r="R32" s="165" t="inlineStr">
        <is>
          <t>Meets the level</t>
        </is>
      </c>
      <c r="S32" s="165" t="n">
        <v>92</v>
      </c>
      <c r="T32" s="165" t="n">
        <v>62</v>
      </c>
      <c r="U32" s="165" t="n">
        <v>100</v>
      </c>
      <c r="V32" s="165" t="n"/>
      <c r="W32" s="165" t="inlineStr">
        <is>
          <t>Learning agility, AI literacy, Digital fluency</t>
        </is>
      </c>
      <c r="X32" s="165" t="inlineStr">
        <is>
          <r>
            <rPr>
              <rFont val="Calibri"/>
              <b val="1"/>
              <sz val="10"/>
            </rPr>
            <t>B1:</t>
          </r>
          <r>
            <rPr>
              <rFont val="Calibri"/>
              <sz val="10"/>
            </rPr>
            <t xml:space="preserve"> 79% of profile — close</t>
          </r>
        </is>
      </c>
      <c r="Y32" s="165" t="inlineStr">
        <is>
          <r>
            <rPr>
              <rFont val="Calibri"/>
              <b val="1"/>
              <sz val="10"/>
            </rPr>
            <t>Evidence:</t>
          </r>
          <r>
            <rPr>
              <rFont val="Calibri"/>
              <sz val="10"/>
            </rPr>
            <t xml:space="preserve"> KRAs only | Core: Ownership 2/2, Problem solving 2/2, Communication &amp; collaboration 2/2, Client &amp; quality focus 2/2, Learning agility 1/2, Integrity &amp; compliance 2/2 | Future-ready: AI literacy 1/2, Data literacy 2/2, Digital fluency 1/2, Innovation 1/2 | Functional: Requirements 3/3, Regulatory domain 3/3, Product &amp; domain 3/3, SQL &amp; data 3/3, Stakeholder mgmt 3/3, Communication 3/3</t>
          </r>
        </is>
      </c>
      <c r="Z32" s="120" t="inlineStr"/>
      <c r="AA32" s="166" t="inlineStr">
        <is>
          <t>Training on the effective utilization of AI tools.</t>
        </is>
      </c>
      <c r="AB32" s="166" t="inlineStr">
        <is>
          <t>PD.BA-F: elicitation; process mapping; stories; acceptance criteria</t>
        </is>
      </c>
      <c r="AC32" s="166" t="inlineStr"/>
      <c r="AD32" s="166" t="n"/>
      <c r="AE32" s="122" t="inlineStr">
        <is>
          <t>No strong match from survey evidence</t>
        </is>
      </c>
      <c r="AF32" s="123" t="inlineStr">
        <is>
          <t>No survey text</t>
        </is>
      </c>
      <c r="AG32" s="123" t="inlineStr">
        <is>
          <t>No survey text</t>
        </is>
      </c>
      <c r="AH32" s="123" t="n"/>
      <c r="AI32" s="123" t="n"/>
      <c r="AJ32" s="123" t="n"/>
    </row>
    <row r="33" ht="132" customHeight="1">
      <c r="A33" s="109" t="inlineStr">
        <is>
          <t>IRIS2066</t>
        </is>
      </c>
      <c r="B33" s="111" t="inlineStr">
        <is>
          <t>Shivani Mishra</t>
        </is>
      </c>
      <c r="C33" s="111" t="inlineStr">
        <is>
          <t>Technology</t>
        </is>
      </c>
      <c r="D33" s="114" t="inlineStr">
        <is>
          <t>Business Analyst</t>
        </is>
      </c>
      <c r="E33" s="114" t="inlineStr">
        <is>
          <t>Senior Business Analyst</t>
        </is>
      </c>
      <c r="F33" s="114" t="inlineStr">
        <is>
          <t>L3 – Professional / Associate</t>
        </is>
      </c>
      <c r="G33" s="141" t="inlineStr">
        <is>
          <t>A3</t>
        </is>
      </c>
      <c r="H33" s="142" t="inlineStr">
        <is>
          <t>▲ Up</t>
        </is>
      </c>
      <c r="I33" s="111" t="inlineStr">
        <is>
          <t>IC</t>
        </is>
      </c>
      <c r="J33" s="139" t="n">
        <v>3</v>
      </c>
      <c r="K33" s="115" t="inlineStr">
        <is>
          <t>Medium</t>
        </is>
      </c>
      <c r="L33" s="115" t="inlineStr">
        <is>
          <t>Trusted Professional</t>
        </is>
      </c>
      <c r="M33" s="115" t="inlineStr">
        <is>
          <t>Develop in role</t>
        </is>
      </c>
      <c r="N33" s="115" t="n"/>
      <c r="O33" s="115" t="inlineStr">
        <is>
          <t>Yes</t>
        </is>
      </c>
      <c r="P33" s="115" t="inlineStr"/>
      <c r="Q33" s="119" t="n">
        <v>90</v>
      </c>
      <c r="R33" s="165" t="inlineStr">
        <is>
          <t>Meets the level</t>
        </is>
      </c>
      <c r="S33" s="165" t="n">
        <v>92</v>
      </c>
      <c r="T33" s="165" t="n">
        <v>62</v>
      </c>
      <c r="U33" s="165" t="n">
        <v>100</v>
      </c>
      <c r="V33" s="165" t="n"/>
      <c r="W33" s="165" t="inlineStr">
        <is>
          <t>Learning agility, AI literacy, Digital fluency</t>
        </is>
      </c>
      <c r="X33" s="165" t="inlineStr">
        <is>
          <r>
            <rPr>
              <rFont val="Calibri"/>
              <b val="1"/>
              <sz val="10"/>
            </rPr>
            <t>B1:</t>
          </r>
          <r>
            <rPr>
              <rFont val="Calibri"/>
              <sz val="10"/>
            </rPr>
            <t xml:space="preserve"> 79% of profile — close</t>
          </r>
        </is>
      </c>
      <c r="Y33" s="165" t="inlineStr">
        <is>
          <r>
            <rPr>
              <rFont val="Calibri"/>
              <b val="1"/>
              <sz val="10"/>
            </rPr>
            <t>Evidence:</t>
          </r>
          <r>
            <rPr>
              <rFont val="Calibri"/>
              <sz val="10"/>
            </rPr>
            <t xml:space="preserve"> KRAs only | Core: Ownership 2/2, Problem solving 2/2, Communication &amp; collaboration 2/2, Client &amp; quality focus 2/2, Learning agility 1/2, Integrity &amp; compliance 2/2 | Future-ready: AI literacy 1/2, Data literacy 2/2, Digital fluency 1/2, Innovation 1/2 | Functional: Requirements 3/3, Regulatory domain 3/3, Product &amp; domain 3/3, SQL &amp; data 3/3, Stakeholder mgmt 3/3, Communication 3/3</t>
          </r>
        </is>
      </c>
      <c r="Z33" s="120" t="inlineStr"/>
      <c r="AA33" s="166" t="inlineStr">
        <is>
          <t>Training on the effective utilization of AI tools.</t>
        </is>
      </c>
      <c r="AB33" s="166" t="inlineStr">
        <is>
          <t>PD.BA-F: elicitation; process mapping; stories; acceptance criteria</t>
        </is>
      </c>
      <c r="AC33" s="166" t="inlineStr"/>
      <c r="AD33" s="166" t="n"/>
      <c r="AE33" s="122" t="inlineStr">
        <is>
          <t>No strong match from survey evidence</t>
        </is>
      </c>
      <c r="AF33" s="123" t="inlineStr">
        <is>
          <t>No survey text</t>
        </is>
      </c>
      <c r="AG33" s="123" t="inlineStr">
        <is>
          <t>No survey text</t>
        </is>
      </c>
      <c r="AH33" s="123" t="n"/>
      <c r="AI33" s="123" t="n"/>
      <c r="AJ33" s="123" t="n"/>
    </row>
    <row r="34" ht="132" customHeight="1">
      <c r="A34" s="109" t="inlineStr">
        <is>
          <t>IRIS2067</t>
        </is>
      </c>
      <c r="B34" s="111" t="inlineStr">
        <is>
          <t>Silky Agarwal</t>
        </is>
      </c>
      <c r="C34" s="111" t="inlineStr">
        <is>
          <t>Technology</t>
        </is>
      </c>
      <c r="D34" s="114" t="inlineStr">
        <is>
          <t>Business Analyst</t>
        </is>
      </c>
      <c r="E34" s="114" t="inlineStr">
        <is>
          <t>Senior Business Analyst</t>
        </is>
      </c>
      <c r="F34" s="114" t="inlineStr">
        <is>
          <t>L3 – Professional / Associate</t>
        </is>
      </c>
      <c r="G34" s="141" t="inlineStr">
        <is>
          <t>A3</t>
        </is>
      </c>
      <c r="H34" s="142" t="inlineStr">
        <is>
          <t>▲ Up</t>
        </is>
      </c>
      <c r="I34" s="111" t="inlineStr">
        <is>
          <t>IC</t>
        </is>
      </c>
      <c r="J34" s="139" t="n">
        <v>3</v>
      </c>
      <c r="K34" s="115" t="inlineStr">
        <is>
          <t>Medium</t>
        </is>
      </c>
      <c r="L34" s="115" t="inlineStr">
        <is>
          <t>Emerging Talent</t>
        </is>
      </c>
      <c r="M34" s="115" t="inlineStr">
        <is>
          <t>Develop in role</t>
        </is>
      </c>
      <c r="N34" s="115" t="n"/>
      <c r="O34" s="115" t="inlineStr">
        <is>
          <t>Yes</t>
        </is>
      </c>
      <c r="P34" s="115" t="inlineStr"/>
      <c r="Q34" s="119" t="n">
        <v>111</v>
      </c>
      <c r="R34" s="165" t="inlineStr">
        <is>
          <t>Exceeds — ready for stretch</t>
        </is>
      </c>
      <c r="S34" s="165" t="n">
        <v>105</v>
      </c>
      <c r="T34" s="165" t="n">
        <v>105</v>
      </c>
      <c r="U34" s="165" t="n">
        <v>117</v>
      </c>
      <c r="V34" s="165" t="n"/>
      <c r="W34" s="165" t="inlineStr">
        <is>
          <t>Learning agility</t>
        </is>
      </c>
      <c r="X34" s="165" t="inlineStr">
        <is>
          <r>
            <rPr>
              <rFont val="Calibri"/>
              <b val="1"/>
              <sz val="10"/>
            </rPr>
            <t>B1:</t>
          </r>
          <r>
            <rPr>
              <rFont val="Calibri"/>
              <sz val="10"/>
            </rPr>
            <t xml:space="preserve"> 98% of profile — ready on competencies</t>
          </r>
        </is>
      </c>
      <c r="Y34" s="165" t="inlineStr">
        <is>
          <r>
            <rPr>
              <rFont val="Calibri"/>
              <b val="1"/>
              <sz val="10"/>
            </rPr>
            <t>Evidence:</t>
          </r>
          <r>
            <rPr>
              <rFont val="Calibri"/>
              <sz val="10"/>
            </rPr>
            <t xml:space="preserve"> Survey + KRAs | Core: Ownership 3/2, Problem solving 3/2, Communication &amp; collaboration 3/2, Client &amp; quality focus 3/2, Learning agility 1/2, Integrity &amp; compliance 2/2 | Future-ready: AI literacy 2/2, Data literacy 3/2, Digital fluency 2/2, Innovation 2/2 | Functional: Requirements 4/3, Regulatory domain 4/3, Product &amp; domain 4/3, SQL &amp; data 3/3, Stakeholder mgmt 4/3, Communication 4/3</t>
          </r>
        </is>
      </c>
      <c r="Z34" s="120" t="inlineStr">
        <is>
          <t>Leadership &amp; people management · Project / programme management · Domain, regulatory &amp; XBRL · Client, sales &amp; stakeholders · Strategy &amp; business acumen · Broader exposure &amp; ownership</t>
        </is>
      </c>
      <c r="AA34" s="166" t="inlineStr">
        <is>
          <t>Training on the effective utilization of AI tools.</t>
        </is>
      </c>
      <c r="AB34" s="166" t="inlineStr">
        <is>
          <t>Regulatory &amp; BFSI Domain; Stakeholder &amp; Client Management; Broader Ownership &amp; Cross-functional Exposure</t>
        </is>
      </c>
      <c r="AC34" s="166" t="inlineStr">
        <is>
          <t>Leadership &amp; people management · Project / programme management · Domain, regulatory &amp; XBRL · Client, sales &amp; stakeholders · Strategy &amp; business acumen · Broader exposure &amp; ownership</t>
        </is>
      </c>
      <c r="AD34" s="166" t="n"/>
      <c r="AE34" s="122" t="inlineStr">
        <is>
          <t>Customer Success &amp; Support · 100% of competencies evidenced; must-haves met; Quality Assurance · 83% of competencies evidenced; must-haves met</t>
        </is>
      </c>
      <c r="AF34" s="123" t="inlineStr">
        <is>
          <t>Aroosa Ghole · Team Lead – Business Analysis — 0.36: project, validation, knowledge, user</t>
        </is>
      </c>
      <c r="AG34" s="123" t="inlineStr">
        <is>
          <t>Angitha A · iFile, Business Analyst — 0.26; Prajakta Chavan · iFile, Senior Business Analyst — 0.26</t>
        </is>
      </c>
      <c r="AH34" s="123" t="n"/>
      <c r="AI34" s="123" t="n"/>
      <c r="AJ34" s="123" t="n"/>
    </row>
    <row r="35" ht="132" customHeight="1">
      <c r="A35" s="109" t="inlineStr">
        <is>
          <t>IRIS2466</t>
        </is>
      </c>
      <c r="B35" s="111" t="inlineStr">
        <is>
          <t>Vidyasagar Reddy</t>
        </is>
      </c>
      <c r="C35" s="111" t="inlineStr">
        <is>
          <t>Technology</t>
        </is>
      </c>
      <c r="D35" s="114" t="inlineStr">
        <is>
          <t>Business Analyst</t>
        </is>
      </c>
      <c r="E35" s="114" t="inlineStr">
        <is>
          <t>Senior Business Analyst</t>
        </is>
      </c>
      <c r="F35" s="114" t="inlineStr">
        <is>
          <t>L3 – Professional / Associate</t>
        </is>
      </c>
      <c r="G35" s="141" t="inlineStr">
        <is>
          <t>A3</t>
        </is>
      </c>
      <c r="H35" s="142" t="inlineStr">
        <is>
          <t>▲ Up</t>
        </is>
      </c>
      <c r="I35" s="111" t="inlineStr">
        <is>
          <t>IC</t>
        </is>
      </c>
      <c r="J35" s="139" t="n">
        <v>3</v>
      </c>
      <c r="K35" s="115" t="inlineStr">
        <is>
          <t>Medium</t>
        </is>
      </c>
      <c r="L35" s="115" t="inlineStr">
        <is>
          <t>Emerging Talent</t>
        </is>
      </c>
      <c r="M35" s="115" t="inlineStr">
        <is>
          <t>Develop in role</t>
        </is>
      </c>
      <c r="N35" s="115" t="n"/>
      <c r="O35" s="115" t="inlineStr"/>
      <c r="P35" s="115" t="inlineStr"/>
      <c r="Q35" s="119" t="n">
        <v>103</v>
      </c>
      <c r="R35" s="165" t="inlineStr">
        <is>
          <t>Meets the level</t>
        </is>
      </c>
      <c r="S35" s="165" t="n">
        <v>102</v>
      </c>
      <c r="T35" s="165" t="n">
        <v>88</v>
      </c>
      <c r="U35" s="165" t="n">
        <v>110</v>
      </c>
      <c r="V35" s="165" t="n"/>
      <c r="W35" s="165" t="inlineStr">
        <is>
          <t>Learning agility, AI literacy</t>
        </is>
      </c>
      <c r="X35" s="165" t="inlineStr">
        <is>
          <r>
            <rPr>
              <rFont val="Calibri"/>
              <b val="1"/>
              <sz val="10"/>
            </rPr>
            <t>B1:</t>
          </r>
          <r>
            <rPr>
              <rFont val="Calibri"/>
              <sz val="10"/>
            </rPr>
            <t xml:space="preserve"> 91% of profile — ready on competencies</t>
          </r>
        </is>
      </c>
      <c r="Y35" s="165" t="inlineStr">
        <is>
          <r>
            <rPr>
              <rFont val="Calibri"/>
              <b val="1"/>
              <sz val="10"/>
            </rPr>
            <t>Evidence:</t>
          </r>
          <r>
            <rPr>
              <rFont val="Calibri"/>
              <sz val="10"/>
            </rPr>
            <t xml:space="preserve"> Survey + KRAs | Core: Ownership 3/2, Problem solving 2/2, Communication &amp; collaboration 3/2, Client &amp; quality focus 3/2, Learning agility 1/2, Integrity &amp; compliance 2/2 | Future-ready: AI literacy 1/2, Data literacy 2/2, Digital fluency 2/2, Innovation 2/2 | Functional: Requirements 4/3, Regulatory domain 3/3, Product &amp; domain 4/3, SQL &amp; data 3/3, Stakeholder mgmt 3/3, Communication 4/3</t>
          </r>
        </is>
      </c>
      <c r="Z35" s="120" t="inlineStr">
        <is>
          <t>AI / automation · Product &amp; tool knowledge</t>
        </is>
      </c>
      <c r="AA35" s="166" t="inlineStr">
        <is>
          <t>XBRL Training, Training on the effective utilization of AI tools.</t>
        </is>
      </c>
      <c r="AB35" s="166" t="inlineStr">
        <is>
          <t>AI, GenAI &amp; Prompt Engineering; Project, Program &amp; Agile Management; Process Improvement &amp; Quality Mindset</t>
        </is>
      </c>
      <c r="AC35" s="166" t="inlineStr">
        <is>
          <t>AI / automation · Product &amp; tool knowledge</t>
        </is>
      </c>
      <c r="AD35" s="166" t="n"/>
      <c r="AE35" s="122" t="inlineStr">
        <is>
          <t>No strong match from survey evidence</t>
        </is>
      </c>
      <c r="AF35" s="123" t="inlineStr">
        <is>
          <t>Mohin Patel · Business Analyst — 0.31: documentation, quickscrum, gathering, requirement</t>
        </is>
      </c>
      <c r="AG35" s="123" t="inlineStr">
        <is>
          <t>Neha Singh · iFile, Business Analyst — 0.28</t>
        </is>
      </c>
      <c r="AH35" s="123" t="n"/>
      <c r="AI35" s="123" t="n"/>
      <c r="AJ35" s="123" t="n"/>
    </row>
    <row r="36" ht="132" customHeight="1">
      <c r="A36" s="109" t="inlineStr">
        <is>
          <t>IRIS2310</t>
        </is>
      </c>
      <c r="B36" s="111" t="inlineStr">
        <is>
          <t>Vivek Kumar</t>
        </is>
      </c>
      <c r="C36" s="111" t="inlineStr">
        <is>
          <t>Technology</t>
        </is>
      </c>
      <c r="D36" s="114" t="inlineStr">
        <is>
          <t>Trainee Business Analyst</t>
        </is>
      </c>
      <c r="E36" s="114" t="inlineStr">
        <is>
          <t>Senior Business Analyst</t>
        </is>
      </c>
      <c r="F36" s="114" t="inlineStr">
        <is>
          <t>L2 – Trainee</t>
        </is>
      </c>
      <c r="G36" s="141" t="inlineStr">
        <is>
          <t>A3</t>
        </is>
      </c>
      <c r="H36" s="142" t="inlineStr">
        <is>
          <t>▲ Up</t>
        </is>
      </c>
      <c r="I36" s="111" t="inlineStr">
        <is>
          <t>IC</t>
        </is>
      </c>
      <c r="J36" s="139" t="n">
        <v>3</v>
      </c>
      <c r="K36" s="115" t="inlineStr">
        <is>
          <t>Medium</t>
        </is>
      </c>
      <c r="L36" s="115" t="inlineStr">
        <is>
          <t>Emerging Talent</t>
        </is>
      </c>
      <c r="M36" s="115" t="inlineStr">
        <is>
          <t>Develop in role</t>
        </is>
      </c>
      <c r="N36" s="115" t="n"/>
      <c r="O36" s="115" t="inlineStr"/>
      <c r="P36" s="115" t="inlineStr"/>
      <c r="Q36" s="119" t="n">
        <v>108</v>
      </c>
      <c r="R36" s="165" t="inlineStr">
        <is>
          <t>Exceeds — ready for stretch</t>
        </is>
      </c>
      <c r="S36" s="165" t="n">
        <v>110</v>
      </c>
      <c r="T36" s="165" t="n">
        <v>100</v>
      </c>
      <c r="U36" s="165" t="n">
        <v>110</v>
      </c>
      <c r="V36" s="165" t="n"/>
      <c r="W36" s="165" t="inlineStr">
        <is>
          <t>None — maintain and stretch</t>
        </is>
      </c>
      <c r="X36" s="165" t="inlineStr">
        <is>
          <r>
            <rPr>
              <rFont val="Calibri"/>
              <b val="1"/>
              <sz val="10"/>
            </rPr>
            <t>B1:</t>
          </r>
          <r>
            <rPr>
              <rFont val="Calibri"/>
              <sz val="10"/>
            </rPr>
            <t xml:space="preserve"> 94% of profile — ready on competencies</t>
          </r>
        </is>
      </c>
      <c r="Y36" s="165" t="inlineStr">
        <is>
          <r>
            <rPr>
              <rFont val="Calibri"/>
              <b val="1"/>
              <sz val="10"/>
            </rPr>
            <t>Evidence:</t>
          </r>
          <r>
            <rPr>
              <rFont val="Calibri"/>
              <sz val="10"/>
            </rPr>
            <t xml:space="preserve"> Survey + KRAs | Core: Ownership 2/2, Problem solving 3/2, Communication &amp; collaboration 3/2, Client &amp; quality focus 3/2, Learning agility 2/2, Integrity &amp; compliance 2/2 | Future-ready: AI literacy 2/2, Data literacy 2/2, Digital fluency 2/2, Innovation 2/2 | Functional: Requirements 3/3, Regulatory domain 4/3, Product &amp; domain 3/3, SQL &amp; data 3/3, Stakeholder mgmt 4/3, Communication 4/3</t>
          </r>
        </is>
      </c>
      <c r="Z36" s="120" t="inlineStr">
        <is>
          <t>Communication &amp; presentation</t>
        </is>
      </c>
      <c r="AA36" s="166" t="inlineStr">
        <is>
          <t>XBRL Training, Training on the effective utilization of AI tools.</t>
        </is>
      </c>
      <c r="AB36" s="166" t="inlineStr">
        <is>
          <t>AI, GenAI &amp; Prompt Engineering; Product, Platform &amp; Domain Knowledge</t>
        </is>
      </c>
      <c r="AC36" s="166" t="inlineStr">
        <is>
          <t>AI / automation · Communication &amp; presentation</t>
        </is>
      </c>
      <c r="AD36" s="166" t="n"/>
      <c r="AE36" s="122" t="inlineStr">
        <is>
          <t>No strong match from survey evidence</t>
        </is>
      </c>
      <c r="AF36" s="123" t="inlineStr">
        <is>
          <t>No material overlap found</t>
        </is>
      </c>
      <c r="AG36" s="123" t="inlineStr">
        <is>
          <t>No close match in other businesses</t>
        </is>
      </c>
      <c r="AH36" s="123" t="n"/>
      <c r="AI36" s="123" t="n"/>
      <c r="AJ36" s="123" t="n"/>
    </row>
    <row r="37" ht="132" customHeight="1">
      <c r="A37" s="109" t="inlineStr">
        <is>
          <t>IRIS2555</t>
        </is>
      </c>
      <c r="B37" s="111" t="inlineStr">
        <is>
          <t>Nidhi Kulkarni</t>
        </is>
      </c>
      <c r="C37" s="111" t="inlineStr">
        <is>
          <t>Technology</t>
        </is>
      </c>
      <c r="D37" s="114" t="inlineStr">
        <is>
          <t>Technical Support Analyst</t>
        </is>
      </c>
      <c r="E37" s="114" t="inlineStr">
        <is>
          <t>Senior Support Executive</t>
        </is>
      </c>
      <c r="F37" s="114" t="inlineStr">
        <is>
          <t>Not in current mapping files</t>
        </is>
      </c>
      <c r="G37" s="141" t="inlineStr">
        <is>
          <t>A3</t>
        </is>
      </c>
      <c r="H37" s="143" t="inlineStr">
        <is>
          <t>● Newly mapped</t>
        </is>
      </c>
      <c r="I37" s="111" t="inlineStr">
        <is>
          <t>IC</t>
        </is>
      </c>
      <c r="J37" s="139" t="inlineStr">
        <is>
          <t>Not rated · manager</t>
        </is>
      </c>
      <c r="K37" s="115" t="inlineStr">
        <is>
          <t>—</t>
        </is>
      </c>
      <c r="L37" s="115" t="inlineStr">
        <is>
          <t>Not placed · manager</t>
        </is>
      </c>
      <c r="M37" s="115" t="inlineStr">
        <is>
          <t>No rating data</t>
        </is>
      </c>
      <c r="N37" s="115" t="n"/>
      <c r="O37" s="115" t="inlineStr"/>
      <c r="P37" s="115" t="inlineStr"/>
      <c r="Q37" s="119" t="n">
        <v>92</v>
      </c>
      <c r="R37" s="165" t="inlineStr">
        <is>
          <t>Meets the level</t>
        </is>
      </c>
      <c r="S37" s="165" t="n">
        <v>107</v>
      </c>
      <c r="T37" s="165" t="n">
        <v>75</v>
      </c>
      <c r="U37" s="165" t="n">
        <v>90</v>
      </c>
      <c r="V37" s="165" t="n"/>
      <c r="W37" s="165" t="inlineStr">
        <is>
          <t>Product &amp; domain, SQL &amp; data, Quality &amp; process</t>
        </is>
      </c>
      <c r="X37" s="165" t="inlineStr">
        <is>
          <r>
            <rPr>
              <rFont val="Calibri"/>
              <b val="1"/>
              <sz val="10"/>
            </rPr>
            <t>B1:</t>
          </r>
          <r>
            <rPr>
              <rFont val="Calibri"/>
              <sz val="10"/>
            </rPr>
            <t xml:space="preserve"> 80% of profile — close</t>
          </r>
        </is>
      </c>
      <c r="Y37" s="165" t="inlineStr">
        <is>
          <r>
            <rPr>
              <rFont val="Calibri"/>
              <b val="1"/>
              <sz val="10"/>
            </rPr>
            <t>Evidence:</t>
          </r>
          <r>
            <rPr>
              <rFont val="Calibri"/>
              <sz val="10"/>
            </rPr>
            <t xml:space="preserve"> Survey | Core: Ownership 2/2, Problem solving 2/2, Communication &amp; collaboration 3/2, Client &amp; quality focus 3/2, Learning agility 2/2, Integrity &amp; compliance 2/2 | Future-ready: AI literacy 2/2, Data literacy 2/2, Digital fluency 1/2, Innovation 1/2 | Functional: Product &amp; domain 2/3, Stakeholder mgmt 4/3, Communication 4/3, SQL &amp; data 2/3, Regulatory domain 3/3, Quality &amp; process 2/3</t>
          </r>
        </is>
      </c>
      <c r="Z37" s="120" t="inlineStr">
        <is>
          <t>Project / programme management · Broader exposure &amp; ownership</t>
        </is>
      </c>
      <c r="AA37" s="166" t="n"/>
      <c r="AB37" s="166" t="inlineStr">
        <is>
          <t>Project, Program &amp; Agile Management; AI, GenAI &amp; Prompt Engineering; Advanced Excel &amp; Productivity Tools</t>
        </is>
      </c>
      <c r="AC37" s="166" t="inlineStr">
        <is>
          <t>Project / programme management · Broader exposure &amp; ownership</t>
        </is>
      </c>
      <c r="AD37" s="166" t="n"/>
      <c r="AE37" s="122" t="inlineStr">
        <is>
          <t>No strong match from survey evidence</t>
        </is>
      </c>
      <c r="AF37" s="123" t="inlineStr">
        <is>
          <t>Neetu Rani Paul · Business Analyst — 0.36: documentation, successful, quickscrum, issues</t>
        </is>
      </c>
      <c r="AG37" s="123" t="inlineStr">
        <is>
          <t>Bhagyashree Bauskar · iFile, Senior Support Executive — 0.27</t>
        </is>
      </c>
      <c r="AH37" s="123" t="n"/>
      <c r="AI37" s="123" t="n"/>
      <c r="AJ37" s="123" t="n"/>
    </row>
    <row r="38" ht="158" customHeight="1">
      <c r="A38" s="109" t="inlineStr">
        <is>
          <t>IRIS2552</t>
        </is>
      </c>
      <c r="B38" s="111" t="inlineStr">
        <is>
          <t>Shreekanth Samala</t>
        </is>
      </c>
      <c r="C38" s="111" t="inlineStr">
        <is>
          <t>Technology</t>
        </is>
      </c>
      <c r="D38" s="114" t="inlineStr">
        <is>
          <t>Technical Support Analyst</t>
        </is>
      </c>
      <c r="E38" s="114" t="inlineStr">
        <is>
          <t>Support Specialist</t>
        </is>
      </c>
      <c r="F38" s="114" t="inlineStr">
        <is>
          <t>Not in current mapping files</t>
        </is>
      </c>
      <c r="G38" s="141" t="inlineStr">
        <is>
          <t>A3</t>
        </is>
      </c>
      <c r="H38" s="143" t="inlineStr">
        <is>
          <t>● Newly mapped</t>
        </is>
      </c>
      <c r="I38" s="111" t="inlineStr">
        <is>
          <t>IC</t>
        </is>
      </c>
      <c r="J38" s="139" t="inlineStr">
        <is>
          <t>Not rated · manager</t>
        </is>
      </c>
      <c r="K38" s="115" t="inlineStr">
        <is>
          <t>—</t>
        </is>
      </c>
      <c r="L38" s="115" t="inlineStr">
        <is>
          <t>Not placed · manager</t>
        </is>
      </c>
      <c r="M38" s="115" t="inlineStr">
        <is>
          <t>No rating data</t>
        </is>
      </c>
      <c r="N38" s="115" t="n"/>
      <c r="O38" s="115" t="inlineStr"/>
      <c r="P38" s="115" t="inlineStr"/>
      <c r="Q38" s="119" t="n">
        <v>104</v>
      </c>
      <c r="R38" s="165" t="inlineStr">
        <is>
          <t>Meets the level</t>
        </is>
      </c>
      <c r="S38" s="165" t="n">
        <v>108</v>
      </c>
      <c r="T38" s="165" t="n">
        <v>88</v>
      </c>
      <c r="U38" s="165" t="n">
        <v>108</v>
      </c>
      <c r="V38" s="165" t="n">
        <v>105</v>
      </c>
      <c r="W38" s="165" t="inlineStr">
        <is>
          <t>SQL &amp; data, Learning agility, AI literacy</t>
        </is>
      </c>
      <c r="X38" s="165" t="inlineStr">
        <is>
          <r>
            <rPr>
              <rFont val="Calibri"/>
              <b val="1"/>
              <sz val="10"/>
            </rPr>
            <t>B2:</t>
          </r>
          <r>
            <rPr>
              <rFont val="Calibri"/>
              <sz val="10"/>
            </rPr>
            <t xml:space="preserve"> 90% of profile — ready on competencies</t>
          </r>
        </is>
      </c>
      <c r="Y38" s="165" t="inlineStr">
        <is>
          <r>
            <rPr>
              <rFont val="Calibri"/>
              <b val="1"/>
              <sz val="10"/>
            </rPr>
            <t>Evidence:</t>
          </r>
          <r>
            <rPr>
              <rFont val="Calibri"/>
              <sz val="10"/>
            </rPr>
            <t xml:space="preserve"> Survey | Core: Ownership 4/3, Problem solving 4/3, Communication &amp; collaboration 4/3, Client &amp; quality focus 4/3, Learning agility 2/3, Integrity &amp; compliance 3/3 | Future-ready: AI literacy 2/3, Data literacy 3/3, Digital fluency 2/3, Innovation 4/3 | Functional: Product &amp; domain 3/3, Stakeholder mgmt 4/3, Communication 4/3, SQL &amp; data 2/3, Regulatory domain 4/3, Quality &amp; process 4/3 | Leadership: Developing people 1/1, Decision making 1/1, Strategic acumen 1/1, Influence &amp; change 2/1</t>
          </r>
        </is>
      </c>
      <c r="Z38" s="120" t="inlineStr">
        <is>
          <t>Product &amp; tool knowledge · Client, sales &amp; stakeholders · Strategy &amp; business acumen · Broader exposure &amp; ownership</t>
        </is>
      </c>
      <c r="AA38" s="166" t="n"/>
      <c r="AB38" s="166" t="inlineStr">
        <is>
          <t>Business Analysis &amp; Requirements Engineering; Stakeholder &amp; Client Management; Advanced Excel &amp; Productivity Tools</t>
        </is>
      </c>
      <c r="AC38" s="166" t="inlineStr">
        <is>
          <t>Product &amp; tool knowledge · Client, sales &amp; stakeholders · Strategy &amp; business acumen · Broader exposure &amp; ownership</t>
        </is>
      </c>
      <c r="AD38" s="166" t="n"/>
      <c r="AE38" s="122" t="inlineStr">
        <is>
          <t>Business Analysis · 83% of competencies evidenced; must-haves met</t>
        </is>
      </c>
      <c r="AF38" s="123" t="inlineStr">
        <is>
          <t>No material overlap found</t>
        </is>
      </c>
      <c r="AG38" s="123" t="inlineStr">
        <is>
          <t>Ravindra Kanojiya · CARBON, Support Executive — 0.28</t>
        </is>
      </c>
      <c r="AH38" s="123" t="n"/>
      <c r="AI38" s="123" t="n"/>
      <c r="AJ38" s="123" t="n"/>
    </row>
    <row r="39" ht="132" customHeight="1">
      <c r="A39" s="109" t="inlineStr">
        <is>
          <t>IRIS2052</t>
        </is>
      </c>
      <c r="B39" s="111" t="inlineStr">
        <is>
          <t>Akshata Sabale</t>
        </is>
      </c>
      <c r="C39" s="111" t="inlineStr">
        <is>
          <t>Technology</t>
        </is>
      </c>
      <c r="D39" s="114" t="inlineStr">
        <is>
          <t>Software Engineer</t>
        </is>
      </c>
      <c r="E39" s="114" t="inlineStr">
        <is>
          <t>Senior Software Engineer</t>
        </is>
      </c>
      <c r="F39" s="114" t="inlineStr">
        <is>
          <t>L3 – Professional / Associate</t>
        </is>
      </c>
      <c r="G39" s="141" t="inlineStr">
        <is>
          <t>A3</t>
        </is>
      </c>
      <c r="H39" s="142" t="inlineStr">
        <is>
          <t>▲ Up</t>
        </is>
      </c>
      <c r="I39" s="111" t="inlineStr">
        <is>
          <t>IC</t>
        </is>
      </c>
      <c r="J39" s="139" t="n">
        <v>3</v>
      </c>
      <c r="K39" s="115" t="inlineStr">
        <is>
          <t>Medium</t>
        </is>
      </c>
      <c r="L39" s="115" t="inlineStr">
        <is>
          <t>Core Contributor</t>
        </is>
      </c>
      <c r="M39" s="115" t="inlineStr">
        <is>
          <t>Develop in role</t>
        </is>
      </c>
      <c r="N39" s="115" t="n"/>
      <c r="O39" s="115" t="inlineStr"/>
      <c r="P39" s="115" t="inlineStr"/>
      <c r="Q39" s="119" t="n">
        <v>104</v>
      </c>
      <c r="R39" s="165" t="inlineStr">
        <is>
          <t>Meets the level</t>
        </is>
      </c>
      <c r="S39" s="165" t="n">
        <v>107</v>
      </c>
      <c r="T39" s="165" t="n">
        <v>100</v>
      </c>
      <c r="U39" s="165" t="n">
        <v>104</v>
      </c>
      <c r="V39" s="165" t="n"/>
      <c r="W39" s="165" t="inlineStr">
        <is>
          <t>Cloud &amp; DevOps</t>
        </is>
      </c>
      <c r="X39" s="165" t="inlineStr">
        <is>
          <r>
            <rPr>
              <rFont val="Calibri"/>
              <b val="1"/>
              <sz val="10"/>
            </rPr>
            <t>B1:</t>
          </r>
          <r>
            <rPr>
              <rFont val="Calibri"/>
              <sz val="10"/>
            </rPr>
            <t xml:space="preserve"> 90% of profile — close</t>
          </r>
        </is>
      </c>
      <c r="Y39" s="165" t="inlineStr">
        <is>
          <r>
            <rPr>
              <rFont val="Calibri"/>
              <b val="1"/>
              <sz val="10"/>
            </rPr>
            <t>Evidence:</t>
          </r>
          <r>
            <rPr>
              <rFont val="Calibri"/>
              <sz val="10"/>
            </rPr>
            <t xml:space="preserve"> Survey + KRAs | Core: Ownership 2/2, Problem solving 3/2, Communication &amp; collaboration 3/2, Client &amp; quality focus 2/2, Learning agility 2/2, Integrity &amp; compliance 2/2 | Future-ready: AI literacy 2/2, Data literacy 2/2, Digital fluency 2/2, Innovation 2/2 | Functional: Programming &amp; stack 3/3, System design 3/3, SQL &amp; data 4/3, Cloud &amp; DevOps 2/3, AI / GenAI 4/3, Product &amp; domain 4/3</t>
          </r>
        </is>
      </c>
      <c r="Z39" s="120" t="inlineStr">
        <is>
          <t>Answered · no common topic</t>
        </is>
      </c>
      <c r="AA39" s="166" t="inlineStr">
        <is>
          <t>XBRL Training, Training on the effective utilization of AI tools.</t>
        </is>
      </c>
      <c r="AB39" s="166" t="inlineStr">
        <is>
          <t>AI, GenAI &amp; Prompt Engineering; Product, Platform &amp; Domain Knowledge</t>
        </is>
      </c>
      <c r="AC39" s="166" t="inlineStr">
        <is>
          <t>Answered · no common topic</t>
        </is>
      </c>
      <c r="AD39" s="166" t="n"/>
      <c r="AE39" s="122" t="inlineStr">
        <is>
          <t>Quality Assurance · 100% of competencies evidenced; must-haves met</t>
        </is>
      </c>
      <c r="AF39" s="123" t="inlineStr">
        <is>
          <t>Vaibhav Govind Gahat · Software Engineer — 0.44: unit, studio, visual, enhancement; Varsha Patil · Software Engineer — 0.37: code, bugs, oracle, studio</t>
        </is>
      </c>
      <c r="AG39" s="123" t="inlineStr">
        <is>
          <t>Kuldip D Shah · CARBON, Software Engineer — 0.39; Subham Chakrabertty · iFile, Trainee Software Engineer — 0.38; Shubham Nimse · iFile, Trainee Software Engineer — 0.35</t>
        </is>
      </c>
      <c r="AH39" s="123" t="n"/>
      <c r="AI39" s="123" t="n"/>
      <c r="AJ39" s="123" t="n"/>
    </row>
    <row r="40" ht="132" customHeight="1">
      <c r="A40" s="109" t="inlineStr">
        <is>
          <t>IRIS1922</t>
        </is>
      </c>
      <c r="B40" s="111" t="inlineStr">
        <is>
          <t>H Marenna</t>
        </is>
      </c>
      <c r="C40" s="111" t="inlineStr">
        <is>
          <t>Technology</t>
        </is>
      </c>
      <c r="D40" s="114" t="inlineStr">
        <is>
          <t>Senior Software Engineer</t>
        </is>
      </c>
      <c r="E40" s="114" t="inlineStr">
        <is>
          <t>Senior Database Engineer</t>
        </is>
      </c>
      <c r="F40" s="111" t="inlineStr">
        <is>
          <t>L4 – Senior</t>
        </is>
      </c>
      <c r="G40" s="26" t="inlineStr">
        <is>
          <t>A3</t>
        </is>
      </c>
      <c r="H40" s="118" t="inlineStr">
        <is>
          <t>• Same level</t>
        </is>
      </c>
      <c r="I40" s="111" t="inlineStr">
        <is>
          <t>IC</t>
        </is>
      </c>
      <c r="J40" s="139" t="n">
        <v>2</v>
      </c>
      <c r="K40" s="115" t="inlineStr">
        <is>
          <t>Low</t>
        </is>
      </c>
      <c r="L40" s="115" t="inlineStr">
        <is>
          <t>Reliable Specialist</t>
        </is>
      </c>
      <c r="M40" s="115" t="inlineStr">
        <is>
          <t>Performance first</t>
        </is>
      </c>
      <c r="N40" s="115" t="n"/>
      <c r="O40" s="115" t="inlineStr"/>
      <c r="P40" s="115" t="inlineStr"/>
      <c r="Q40" s="119" t="n">
        <v>92</v>
      </c>
      <c r="R40" s="165" t="inlineStr">
        <is>
          <t>Meets the level</t>
        </is>
      </c>
      <c r="S40" s="165" t="n">
        <v>92</v>
      </c>
      <c r="T40" s="165" t="n">
        <v>100</v>
      </c>
      <c r="U40" s="165" t="n">
        <v>89</v>
      </c>
      <c r="V40" s="165" t="n"/>
      <c r="W40" s="165" t="inlineStr">
        <is>
          <t>Programming &amp; stack, Cloud &amp; DevOps, Client &amp; quality focus</t>
        </is>
      </c>
      <c r="X40" s="165" t="inlineStr">
        <is>
          <r>
            <rPr>
              <rFont val="Calibri"/>
              <b val="1"/>
              <sz val="10"/>
            </rPr>
            <t>B1:</t>
          </r>
          <r>
            <rPr>
              <rFont val="Calibri"/>
              <sz val="10"/>
            </rPr>
            <t xml:space="preserve"> 79% of profile — close</t>
          </r>
        </is>
      </c>
      <c r="Y40" s="165" t="inlineStr">
        <is>
          <r>
            <rPr>
              <rFont val="Calibri"/>
              <b val="1"/>
              <sz val="10"/>
            </rPr>
            <t>Evidence:</t>
          </r>
          <r>
            <rPr>
              <rFont val="Calibri"/>
              <sz val="10"/>
            </rPr>
            <t xml:space="preserve"> Survey + KRAs | Core: Ownership 2/2, Problem solving 2/2, Communication &amp; collaboration 2/2, Client &amp; quality focus 1/2, Learning agility 2/2, Integrity &amp; compliance 2/2 | Future-ready: AI literacy 2/2, Data literacy 2/2, Digital fluency 2/2, Innovation 2/2 | Functional: Programming &amp; stack 2/3, System design 3/3, SQL &amp; data 3/3, Cloud &amp; DevOps 2/3, AI / GenAI 3/3, Product &amp; domain 3/3</t>
          </r>
        </is>
      </c>
      <c r="Z40" s="120" t="inlineStr">
        <is>
          <t>AI / automation · Product &amp; tool knowledge</t>
        </is>
      </c>
      <c r="AA40" s="166" t="inlineStr">
        <is>
          <t>Training on the effective utilization of AI tools.</t>
        </is>
      </c>
      <c r="AB40" s="166" t="inlineStr">
        <is>
          <t>Database, SQL &amp; Data Engineering; Stakeholder &amp; Client Management</t>
        </is>
      </c>
      <c r="AC40" s="166" t="inlineStr">
        <is>
          <t>AI / automation · Product &amp; tool knowledge</t>
        </is>
      </c>
      <c r="AD40" s="166" t="n"/>
      <c r="AE40" s="122" t="inlineStr">
        <is>
          <t>No strong match from survey evidence</t>
        </is>
      </c>
      <c r="AF40" s="123" t="inlineStr">
        <is>
          <t>Prasad Bhoite · Senior Database Engineer — 0.35: database, data, etl, tool</t>
        </is>
      </c>
      <c r="AG40" s="123" t="inlineStr">
        <is>
          <t>Chaitanya Vadagabhaktula · iFile, Senior Database Engineer — 0.39; Gaurav Ghare · iFile, Senior Software Engineer — 0.28</t>
        </is>
      </c>
      <c r="AH40" s="123" t="n"/>
      <c r="AI40" s="123" t="n"/>
      <c r="AJ40" s="123" t="n"/>
    </row>
    <row r="41" ht="158" customHeight="1">
      <c r="A41" s="109" t="inlineStr">
        <is>
          <t>IRIS2530</t>
        </is>
      </c>
      <c r="B41" s="111" t="inlineStr">
        <is>
          <t>Jay Gudhka</t>
        </is>
      </c>
      <c r="C41" s="111" t="inlineStr">
        <is>
          <t>Technology</t>
        </is>
      </c>
      <c r="D41" s="114" t="inlineStr">
        <is>
          <t>Senior Software Engineer</t>
        </is>
      </c>
      <c r="E41" s="114" t="inlineStr">
        <is>
          <t>Technical Specialist</t>
        </is>
      </c>
      <c r="F41" s="114" t="inlineStr">
        <is>
          <t>L4 – Senior</t>
        </is>
      </c>
      <c r="G41" s="141" t="inlineStr">
        <is>
          <t>A3</t>
        </is>
      </c>
      <c r="H41" s="142" t="inlineStr">
        <is>
          <t>▲ Up</t>
        </is>
      </c>
      <c r="I41" s="111" t="inlineStr">
        <is>
          <t>IC</t>
        </is>
      </c>
      <c r="J41" s="139" t="n">
        <v>3</v>
      </c>
      <c r="K41" s="115" t="inlineStr">
        <is>
          <t>Medium</t>
        </is>
      </c>
      <c r="L41" s="115" t="inlineStr">
        <is>
          <t>Emerging Talent</t>
        </is>
      </c>
      <c r="M41" s="115" t="inlineStr">
        <is>
          <t>Develop in role</t>
        </is>
      </c>
      <c r="N41" s="115" t="n"/>
      <c r="O41" s="115" t="inlineStr"/>
      <c r="P41" s="115" t="inlineStr"/>
      <c r="Q41" s="119" t="n">
        <v>101</v>
      </c>
      <c r="R41" s="165" t="inlineStr">
        <is>
          <t>Meets the level</t>
        </is>
      </c>
      <c r="S41" s="165" t="n">
        <v>94</v>
      </c>
      <c r="T41" s="165" t="n">
        <v>110</v>
      </c>
      <c r="U41" s="165" t="n">
        <v>101</v>
      </c>
      <c r="V41" s="165" t="n">
        <v>100</v>
      </c>
      <c r="W41" s="165" t="inlineStr">
        <is>
          <t>Cloud &amp; DevOps, Problem solving</t>
        </is>
      </c>
      <c r="X41" s="165" t="inlineStr">
        <is>
          <r>
            <rPr>
              <rFont val="Calibri"/>
              <b val="1"/>
              <sz val="10"/>
            </rPr>
            <t>B2:</t>
          </r>
          <r>
            <rPr>
              <rFont val="Calibri"/>
              <sz val="10"/>
            </rPr>
            <t xml:space="preserve"> 86% of profile — close</t>
          </r>
        </is>
      </c>
      <c r="Y41" s="165" t="inlineStr">
        <is>
          <r>
            <rPr>
              <rFont val="Calibri"/>
              <b val="1"/>
              <sz val="10"/>
            </rPr>
            <t>Evidence:</t>
          </r>
          <r>
            <rPr>
              <rFont val="Calibri"/>
              <sz val="10"/>
            </rPr>
            <t xml:space="preserve"> Survey + KRAs | Core: Ownership 3/3, Problem solving 2/3, Communication &amp; collaboration 3/3, Client &amp; quality focus 3/3, Learning agility 3/3, Integrity &amp; compliance 3/3 | Future-ready: AI literacy 4/3, Data literacy 3/3, Digital fluency 4/3, Innovation 3/3 | Functional: Programming &amp; stack 3/3, System design 3/3, SQL &amp; data 3/3, Cloud &amp; DevOps 2/3, AI / GenAI 4/3, Product &amp; domain 4/3 | Leadership: Developing people 1/1, Decision making 1/1, Strategic acumen 1/1, Influence &amp; change 1/1</t>
          </r>
        </is>
      </c>
      <c r="Z41" s="120" t="inlineStr">
        <is>
          <t>AI / automation · Technical depth &amp; architecture · Domain, regulatory &amp; XBRL · Broader exposure &amp; ownership</t>
        </is>
      </c>
      <c r="AA41" s="166" t="inlineStr">
        <is>
          <t>XBRL Training, Training on the effective utilization of AI tools.</t>
        </is>
      </c>
      <c r="AB41" s="166" t="inlineStr">
        <is>
          <t>System Design &amp; Architecture; AI, GenAI &amp; Prompt Engineering; Programming &amp; Tech-Stack Depth</t>
        </is>
      </c>
      <c r="AC41" s="166" t="inlineStr">
        <is>
          <t>AI / automation · Technical depth &amp; architecture · Domain, regulatory &amp; XBRL · Broader exposure &amp; ownership</t>
        </is>
      </c>
      <c r="AD41" s="166" t="n"/>
      <c r="AE41" s="122" t="inlineStr">
        <is>
          <t>No strong match from survey evidence</t>
        </is>
      </c>
      <c r="AF41" s="123" t="inlineStr">
        <is>
          <t>No material overlap found</t>
        </is>
      </c>
      <c r="AG41" s="123" t="inlineStr">
        <is>
          <t>Dev Hinged · CARBON, Trainee AI/ML Engineer — 0.41; Mohammad Irfan · CARBON, Senior AI/ML Engineer — 0.30; Vishal Nanaware · CARBON, Senior AI/ML Engineer — 0.28</t>
        </is>
      </c>
      <c r="AH41" s="123" t="n"/>
      <c r="AI41" s="123" t="n"/>
      <c r="AJ41" s="123" t="n"/>
    </row>
    <row r="42" ht="132" customHeight="1">
      <c r="A42" s="109" t="inlineStr">
        <is>
          <t>IRIS1858</t>
        </is>
      </c>
      <c r="B42" s="111" t="inlineStr">
        <is>
          <t>Prasad Bhoite</t>
        </is>
      </c>
      <c r="C42" s="111" t="inlineStr">
        <is>
          <t>Technology</t>
        </is>
      </c>
      <c r="D42" s="114" t="inlineStr">
        <is>
          <t>Software Engineer</t>
        </is>
      </c>
      <c r="E42" s="114" t="inlineStr">
        <is>
          <t>Senior Database Engineer</t>
        </is>
      </c>
      <c r="F42" s="114" t="inlineStr">
        <is>
          <t>L3 – Professional / Associate</t>
        </is>
      </c>
      <c r="G42" s="141" t="inlineStr">
        <is>
          <t>A3</t>
        </is>
      </c>
      <c r="H42" s="142" t="inlineStr">
        <is>
          <t>▲ Up</t>
        </is>
      </c>
      <c r="I42" s="111" t="inlineStr">
        <is>
          <t>IC</t>
        </is>
      </c>
      <c r="J42" s="139" t="n">
        <v>3</v>
      </c>
      <c r="K42" s="115" t="inlineStr">
        <is>
          <t>Medium</t>
        </is>
      </c>
      <c r="L42" s="115" t="inlineStr">
        <is>
          <t>Emerging Talent</t>
        </is>
      </c>
      <c r="M42" s="115" t="inlineStr">
        <is>
          <t>Develop in role</t>
        </is>
      </c>
      <c r="N42" s="115" t="n"/>
      <c r="O42" s="115" t="inlineStr">
        <is>
          <t>Yes</t>
        </is>
      </c>
      <c r="P42" s="115" t="inlineStr"/>
      <c r="Q42" s="119" t="n">
        <v>103</v>
      </c>
      <c r="R42" s="165" t="inlineStr">
        <is>
          <t>Meets the level</t>
        </is>
      </c>
      <c r="S42" s="165" t="n">
        <v>107</v>
      </c>
      <c r="T42" s="165" t="n">
        <v>110</v>
      </c>
      <c r="U42" s="165" t="n">
        <v>98</v>
      </c>
      <c r="V42" s="165" t="n"/>
      <c r="W42" s="165" t="inlineStr">
        <is>
          <t>Programming &amp; stack</t>
        </is>
      </c>
      <c r="X42" s="165" t="inlineStr">
        <is>
          <r>
            <rPr>
              <rFont val="Calibri"/>
              <b val="1"/>
              <sz val="10"/>
            </rPr>
            <t>B1:</t>
          </r>
          <r>
            <rPr>
              <rFont val="Calibri"/>
              <sz val="10"/>
            </rPr>
            <t xml:space="preserve"> 90% of profile — ready on competencies</t>
          </r>
        </is>
      </c>
      <c r="Y42" s="165" t="inlineStr">
        <is>
          <r>
            <rPr>
              <rFont val="Calibri"/>
              <b val="1"/>
              <sz val="10"/>
            </rPr>
            <t>Evidence:</t>
          </r>
          <r>
            <rPr>
              <rFont val="Calibri"/>
              <sz val="10"/>
            </rPr>
            <t xml:space="preserve"> Survey + KRAs | Core: Ownership 3/2, Problem solving 3/2, Communication &amp; collaboration 2/2, Client &amp; quality focus 2/2, Learning agility 2/2, Integrity &amp; compliance 2/2 | Future-ready: AI literacy 2/2, Data literacy 3/2, Digital fluency 2/2, Innovation 3/2 | Functional: Programming &amp; stack 2/3, System design 3/3, SQL &amp; data 4/3, Cloud &amp; DevOps 3/3, AI / GenAI 3/3, Product &amp; domain 3/3</t>
          </r>
        </is>
      </c>
      <c r="Z42" s="120" t="inlineStr">
        <is>
          <t>AI / automation · Technical depth &amp; architecture · Data, SQL &amp; analytics · Broader exposure &amp; ownership</t>
        </is>
      </c>
      <c r="AA42" s="166" t="inlineStr">
        <is>
          <t>Training on the effective utilization of AI tools.</t>
        </is>
      </c>
      <c r="AB42" s="166" t="inlineStr">
        <is>
          <t>Cloud, DevOps &amp; CI/CD; Database, SQL &amp; Data Engineering; AI, GenAI &amp; Prompt Engineering</t>
        </is>
      </c>
      <c r="AC42" s="166" t="inlineStr">
        <is>
          <t>AI / automation · Technical depth &amp; architecture · Data, SQL &amp; analytics · Broader exposure &amp; ownership</t>
        </is>
      </c>
      <c r="AD42" s="166" t="n"/>
      <c r="AE42" s="122" t="inlineStr">
        <is>
          <t>No strong match from survey evidence</t>
        </is>
      </c>
      <c r="AF42" s="123" t="inlineStr">
        <is>
          <t>H Marenna · Senior Database Engineer — 0.35: database, data, etl, tool</t>
        </is>
      </c>
      <c r="AG42" s="123" t="inlineStr">
        <is>
          <t>Amol Pawar · iFile, Senior Software Engineer — 0.37; Bhavana Thakare · iFile, Lead Software Engineer – POD Lead — 0.29; Waqar Tarique · Consume, Senior Software Engineer — 0.26</t>
        </is>
      </c>
      <c r="AH42" s="123" t="n"/>
      <c r="AI42" s="123" t="n"/>
      <c r="AJ42" s="123" t="n"/>
    </row>
    <row r="43" ht="132" customHeight="1">
      <c r="A43" s="109" t="inlineStr">
        <is>
          <t>IRIS2260</t>
        </is>
      </c>
      <c r="B43" s="111" t="inlineStr">
        <is>
          <t>Pratik Ekhande</t>
        </is>
      </c>
      <c r="C43" s="111" t="inlineStr">
        <is>
          <t>Technology</t>
        </is>
      </c>
      <c r="D43" s="114" t="inlineStr">
        <is>
          <t>Software Engineer</t>
        </is>
      </c>
      <c r="E43" s="114" t="inlineStr">
        <is>
          <t>Senior Software Engineer</t>
        </is>
      </c>
      <c r="F43" s="114" t="inlineStr">
        <is>
          <t>L3 – Professional / Associate</t>
        </is>
      </c>
      <c r="G43" s="141" t="inlineStr">
        <is>
          <t>A3</t>
        </is>
      </c>
      <c r="H43" s="142" t="inlineStr">
        <is>
          <t>▲ Up</t>
        </is>
      </c>
      <c r="I43" s="111" t="inlineStr">
        <is>
          <t>IC</t>
        </is>
      </c>
      <c r="J43" s="139" t="n">
        <v>4</v>
      </c>
      <c r="K43" s="115" t="inlineStr">
        <is>
          <t>High</t>
        </is>
      </c>
      <c r="L43" s="115" t="inlineStr">
        <is>
          <t>Emerging Talent</t>
        </is>
      </c>
      <c r="M43" s="115" t="inlineStr">
        <is>
          <t>Ready now</t>
        </is>
      </c>
      <c r="N43" s="115" t="n"/>
      <c r="O43" s="115" t="inlineStr">
        <is>
          <t>Yes</t>
        </is>
      </c>
      <c r="P43" s="115" t="inlineStr"/>
      <c r="Q43" s="119" t="n">
        <v>105</v>
      </c>
      <c r="R43" s="165" t="inlineStr">
        <is>
          <t>Meets the level</t>
        </is>
      </c>
      <c r="S43" s="165" t="n">
        <v>107</v>
      </c>
      <c r="T43" s="165" t="n">
        <v>105</v>
      </c>
      <c r="U43" s="165" t="n">
        <v>103</v>
      </c>
      <c r="V43" s="165" t="n"/>
      <c r="W43" s="165" t="inlineStr">
        <is>
          <t>None — maintain and stretch</t>
        </is>
      </c>
      <c r="X43" s="165" t="inlineStr">
        <is>
          <r>
            <rPr>
              <rFont val="Calibri"/>
              <b val="1"/>
              <sz val="10"/>
            </rPr>
            <t>B1:</t>
          </r>
          <r>
            <rPr>
              <rFont val="Calibri"/>
              <sz val="10"/>
            </rPr>
            <t xml:space="preserve"> 92% of profile — ready on competencies</t>
          </r>
        </is>
      </c>
      <c r="Y43" s="165" t="inlineStr">
        <is>
          <r>
            <rPr>
              <rFont val="Calibri"/>
              <b val="1"/>
              <sz val="10"/>
            </rPr>
            <t>Evidence:</t>
          </r>
          <r>
            <rPr>
              <rFont val="Calibri"/>
              <sz val="10"/>
            </rPr>
            <t xml:space="preserve"> Survey + KRAs | Core: Ownership 3/2, Problem solving 2/2, Communication &amp; collaboration 2/2, Client &amp; quality focus 4/2, Learning agility 2/2, Integrity &amp; compliance 2/2 | Future-ready: AI literacy 2/2, Data literacy 2/2, Digital fluency 3/2, Innovation 2/2 | Functional: Programming &amp; stack 3/3, System design 3/3, SQL &amp; data 3/3, Cloud &amp; DevOps 3/3, AI / GenAI 4/3, Product &amp; domain 3/3</t>
          </r>
        </is>
      </c>
      <c r="Z43" s="120" t="inlineStr">
        <is>
          <t>AI / automation · Technical depth &amp; architecture · Product &amp; tool knowledge · Certification / formal course</t>
        </is>
      </c>
      <c r="AA43" s="166" t="inlineStr">
        <is>
          <t>XBRL Training, Training on the effective utilization of AI tools.</t>
        </is>
      </c>
      <c r="AB43" s="166" t="inlineStr">
        <is>
          <t>AI, GenAI &amp; Prompt Engineering; Product, Platform &amp; Domain Knowledge; Stakeholder &amp; Client Management</t>
        </is>
      </c>
      <c r="AC43" s="166" t="inlineStr">
        <is>
          <t>AI / automation · Technical depth &amp; architecture · Product &amp; tool knowledge · Certification / formal course</t>
        </is>
      </c>
      <c r="AD43" s="166" t="n"/>
      <c r="AE43" s="122" t="inlineStr">
        <is>
          <t>No strong match from survey evidence</t>
        </is>
      </c>
      <c r="AF43" s="123" t="inlineStr">
        <is>
          <t>No material overlap found</t>
        </is>
      </c>
      <c r="AG43" s="123" t="inlineStr">
        <is>
          <t>Shivam Dhumal · Datatech, Software Engineer — 0.29; Harshal Chaudhari · iFile, Senior Software Engineer — 0.27; Chetna Vijay Nile · iFile, Software Engineer — 0.27</t>
        </is>
      </c>
      <c r="AH43" s="123" t="n"/>
      <c r="AI43" s="123" t="n"/>
      <c r="AJ43" s="123" t="n"/>
    </row>
    <row r="44" ht="145" customHeight="1">
      <c r="A44" s="109" t="inlineStr">
        <is>
          <t>IRIS2038</t>
        </is>
      </c>
      <c r="B44" s="111" t="inlineStr">
        <is>
          <t>Swapnil Shirke</t>
        </is>
      </c>
      <c r="C44" s="111" t="inlineStr">
        <is>
          <t>Technology</t>
        </is>
      </c>
      <c r="D44" s="114" t="inlineStr">
        <is>
          <t>Software Engineer</t>
        </is>
      </c>
      <c r="E44" s="114" t="inlineStr">
        <is>
          <t>Senior Software Engineer</t>
        </is>
      </c>
      <c r="F44" s="114" t="inlineStr">
        <is>
          <t>L3 – Professional / Associate</t>
        </is>
      </c>
      <c r="G44" s="141" t="inlineStr">
        <is>
          <t>A3</t>
        </is>
      </c>
      <c r="H44" s="142" t="inlineStr">
        <is>
          <t>▲ Up</t>
        </is>
      </c>
      <c r="I44" s="111" t="inlineStr">
        <is>
          <t>IC</t>
        </is>
      </c>
      <c r="J44" s="139" t="n">
        <v>5</v>
      </c>
      <c r="K44" s="115" t="inlineStr">
        <is>
          <t>High</t>
        </is>
      </c>
      <c r="L44" s="115" t="inlineStr">
        <is>
          <t>High Impact / Growth Talent</t>
        </is>
      </c>
      <c r="M44" s="115" t="inlineStr">
        <is>
          <t>Ready now</t>
        </is>
      </c>
      <c r="N44" s="115" t="inlineStr">
        <is>
          <t>Yes</t>
        </is>
      </c>
      <c r="O44" s="115" t="inlineStr">
        <is>
          <t>Yes</t>
        </is>
      </c>
      <c r="P44" s="115" t="inlineStr"/>
      <c r="Q44" s="119" t="n">
        <v>105</v>
      </c>
      <c r="R44" s="165" t="inlineStr">
        <is>
          <t>Exceeds — ready for stretch</t>
        </is>
      </c>
      <c r="S44" s="165" t="n">
        <v>113</v>
      </c>
      <c r="T44" s="165" t="n">
        <v>105</v>
      </c>
      <c r="U44" s="165" t="n">
        <v>100</v>
      </c>
      <c r="V44" s="165" t="n"/>
      <c r="W44" s="165" t="inlineStr">
        <is>
          <t>None — maintain and stretch</t>
        </is>
      </c>
      <c r="X44" s="165" t="inlineStr">
        <is>
          <r>
            <rPr>
              <rFont val="Calibri"/>
              <b val="1"/>
              <sz val="10"/>
            </rPr>
            <t>B1:</t>
          </r>
          <r>
            <rPr>
              <rFont val="Calibri"/>
              <sz val="10"/>
            </rPr>
            <t xml:space="preserve"> 94% of profile — ready on competencies</t>
          </r>
        </is>
      </c>
      <c r="Y44" s="165" t="inlineStr">
        <is>
          <r>
            <rPr>
              <rFont val="Calibri"/>
              <b val="1"/>
              <sz val="10"/>
            </rPr>
            <t>Evidence:</t>
          </r>
          <r>
            <rPr>
              <rFont val="Calibri"/>
              <sz val="10"/>
            </rPr>
            <t xml:space="preserve"> Survey + KRAs | Core: Ownership 4/2, Problem solving 3/2, Communication &amp; collaboration 3/2, Client &amp; quality focus 4/2, Learning agility 2/2, Integrity &amp; compliance 2/2 | Future-ready: AI literacy 2/2, Data literacy 2/2, Digital fluency 3/2, Innovation 2/2 | Functional: Programming &amp; stack 3/3, System design 3/3, SQL &amp; data 3/3, Cloud &amp; DevOps 3/3, AI / GenAI 3/3, Product &amp; domain 3/3</t>
          </r>
        </is>
      </c>
      <c r="Z44" s="120" t="inlineStr">
        <is>
          <t>Leadership &amp; people management · Project / programme management · Broader exposure &amp; ownership</t>
        </is>
      </c>
      <c r="AA44" s="166" t="inlineStr">
        <is>
          <t>XBRL Training, Training on the effective utilization of AI tools.</t>
        </is>
      </c>
      <c r="AB44" s="166" t="inlineStr">
        <is>
          <t>AI, GenAI &amp; Prompt Engineering; Product, Platform &amp; Domain Knowledge</t>
        </is>
      </c>
      <c r="AC44" s="166" t="inlineStr">
        <is>
          <t>Leadership &amp; people management · Project / programme management · Broader exposure &amp; ownership</t>
        </is>
      </c>
      <c r="AD44" s="166" t="inlineStr">
        <is>
          <r>
            <rPr>
              <rFont val="Calibri"/>
              <b val="1"/>
              <sz val="10"/>
            </rPr>
            <t>Advanced System Design &amp; Software Architecture:</t>
          </r>
          <r>
            <rPr>
              <rFont val="Calibri"/>
              <sz val="10"/>
            </rPr>
            <t xml:space="preserve">
1 - Microservices Architecture
2 - Design Patterns and SOLID Principles
3 - Scalable Application Design
4 - Distributed Systems Fundamentals</t>
          </r>
        </is>
      </c>
      <c r="AE44" s="122" t="inlineStr">
        <is>
          <t>No strong match from survey evidence</t>
        </is>
      </c>
      <c r="AF44" s="123" t="inlineStr">
        <is>
          <t>No material overlap found</t>
        </is>
      </c>
      <c r="AG44" s="123" t="inlineStr">
        <is>
          <t>Himanshu Pawar · iFile, Lead Software Engineer — 0.30; Ayush Sharma · CARBON, Trainee Software Engineer — 0.28; Hemalatha Visamsetti · iFile, Senior Software Engineer — 0.27</t>
        </is>
      </c>
      <c r="AH44" s="123" t="n">
        <v>4</v>
      </c>
      <c r="AI44" s="123" t="inlineStr">
        <is>
          <t>Reports on record</t>
        </is>
      </c>
      <c r="AJ44" s="123" t="inlineStr">
        <is>
          <t>4 formal reports on an individual-contributor role — confirm the reporting line.</t>
        </is>
      </c>
    </row>
    <row r="45" ht="132" customHeight="1">
      <c r="A45" s="109" t="inlineStr">
        <is>
          <t>IRIS2259</t>
        </is>
      </c>
      <c r="B45" s="111" t="inlineStr">
        <is>
          <t>Tushar Kadu Nimbolkar</t>
        </is>
      </c>
      <c r="C45" s="111" t="inlineStr">
        <is>
          <t>Technology</t>
        </is>
      </c>
      <c r="D45" s="114" t="inlineStr">
        <is>
          <t>Software Engineer</t>
        </is>
      </c>
      <c r="E45" s="114" t="inlineStr">
        <is>
          <t>Senior Database Engineer</t>
        </is>
      </c>
      <c r="F45" s="114" t="inlineStr">
        <is>
          <t>L3 – Professional / Associate</t>
        </is>
      </c>
      <c r="G45" s="141" t="inlineStr">
        <is>
          <t>A3</t>
        </is>
      </c>
      <c r="H45" s="142" t="inlineStr">
        <is>
          <t>▲ Up</t>
        </is>
      </c>
      <c r="I45" s="111" t="inlineStr">
        <is>
          <t>IC</t>
        </is>
      </c>
      <c r="J45" s="139" t="n">
        <v>3</v>
      </c>
      <c r="K45" s="115" t="inlineStr">
        <is>
          <t>Medium</t>
        </is>
      </c>
      <c r="L45" s="115" t="inlineStr">
        <is>
          <t>Emerging Talent</t>
        </is>
      </c>
      <c r="M45" s="115" t="inlineStr">
        <is>
          <t>Develop in role</t>
        </is>
      </c>
      <c r="N45" s="115" t="n"/>
      <c r="O45" s="115" t="inlineStr">
        <is>
          <t>Yes</t>
        </is>
      </c>
      <c r="P45" s="115" t="inlineStr"/>
      <c r="Q45" s="119" t="n">
        <v>104</v>
      </c>
      <c r="R45" s="165" t="inlineStr">
        <is>
          <t>Meets the level</t>
        </is>
      </c>
      <c r="S45" s="165" t="n">
        <v>107</v>
      </c>
      <c r="T45" s="165" t="n">
        <v>100</v>
      </c>
      <c r="U45" s="165" t="n">
        <v>103</v>
      </c>
      <c r="V45" s="165" t="n"/>
      <c r="W45" s="165" t="inlineStr">
        <is>
          <t>None — maintain and stretch</t>
        </is>
      </c>
      <c r="X45" s="165" t="inlineStr">
        <is>
          <r>
            <rPr>
              <rFont val="Calibri"/>
              <b val="1"/>
              <sz val="10"/>
            </rPr>
            <t>B1:</t>
          </r>
          <r>
            <rPr>
              <rFont val="Calibri"/>
              <sz val="10"/>
            </rPr>
            <t xml:space="preserve"> 89% of profile — close</t>
          </r>
        </is>
      </c>
      <c r="Y45" s="165"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2/2, Data literacy 2/2, Digital fluency 2/2, Innovation 2/2 | Functional: Programming &amp; stack 3/3, System design 3/3, SQL &amp; data 3/3, Cloud &amp; DevOps 3/3, AI / GenAI 4/3, Product &amp; domain 3/3</t>
          </r>
        </is>
      </c>
      <c r="Z45" s="120" t="inlineStr">
        <is>
          <t>Technical depth &amp; architecture · Data, SQL &amp; analytics</t>
        </is>
      </c>
      <c r="AA45" s="166" t="inlineStr">
        <is>
          <t>XBRL Training, Training on the effective utilization of AI tools.</t>
        </is>
      </c>
      <c r="AB45" s="166" t="inlineStr">
        <is>
          <t>Programming &amp; Tech-Stack Depth; AI, GenAI &amp; Prompt Engineering; Product, Platform &amp; Domain Knowledge</t>
        </is>
      </c>
      <c r="AC45" s="166" t="inlineStr">
        <is>
          <t>Technical depth &amp; architecture · Data, SQL &amp; analytics</t>
        </is>
      </c>
      <c r="AD45" s="166" t="n"/>
      <c r="AE45" s="122" t="inlineStr">
        <is>
          <t>Quality Assurance · 83% of competencies evidenced; must-haves met</t>
        </is>
      </c>
      <c r="AF45" s="123" t="inlineStr">
        <is>
          <t>No material overlap found</t>
        </is>
      </c>
      <c r="AG45" s="123" t="inlineStr">
        <is>
          <t>No close match in other businesses</t>
        </is>
      </c>
      <c r="AH45" s="123" t="n"/>
      <c r="AI45" s="123" t="n"/>
      <c r="AJ45" s="123" t="n"/>
    </row>
    <row r="46" ht="132" customHeight="1">
      <c r="A46" s="109" t="inlineStr">
        <is>
          <t>IRIS2258</t>
        </is>
      </c>
      <c r="B46" s="111" t="inlineStr">
        <is>
          <t>Vaibhav Govind Gahat</t>
        </is>
      </c>
      <c r="C46" s="111" t="inlineStr">
        <is>
          <t>Technology</t>
        </is>
      </c>
      <c r="D46" s="114" t="inlineStr">
        <is>
          <t>Software Engineer</t>
        </is>
      </c>
      <c r="E46" s="114" t="inlineStr">
        <is>
          <t>Senior Software Engineer</t>
        </is>
      </c>
      <c r="F46" s="114" t="inlineStr">
        <is>
          <t>L3 – Professional / Associate</t>
        </is>
      </c>
      <c r="G46" s="141" t="inlineStr">
        <is>
          <t>A3</t>
        </is>
      </c>
      <c r="H46" s="142" t="inlineStr">
        <is>
          <t>▲ Up</t>
        </is>
      </c>
      <c r="I46" s="111" t="inlineStr">
        <is>
          <t>IC</t>
        </is>
      </c>
      <c r="J46" s="139" t="n">
        <v>4</v>
      </c>
      <c r="K46" s="115" t="inlineStr">
        <is>
          <t>High</t>
        </is>
      </c>
      <c r="L46" s="115" t="inlineStr">
        <is>
          <t>Emerging Talent</t>
        </is>
      </c>
      <c r="M46" s="115" t="inlineStr">
        <is>
          <t>Ready now</t>
        </is>
      </c>
      <c r="N46" s="115" t="n"/>
      <c r="O46" s="115" t="inlineStr">
        <is>
          <t>Yes</t>
        </is>
      </c>
      <c r="P46" s="115" t="inlineStr"/>
      <c r="Q46" s="119" t="n">
        <v>103</v>
      </c>
      <c r="R46" s="165" t="inlineStr">
        <is>
          <t>Meets the level</t>
        </is>
      </c>
      <c r="S46" s="165" t="n">
        <v>110</v>
      </c>
      <c r="T46" s="165" t="n">
        <v>105</v>
      </c>
      <c r="U46" s="165" t="n">
        <v>98</v>
      </c>
      <c r="V46" s="165" t="n"/>
      <c r="W46" s="165" t="inlineStr">
        <is>
          <t>SQL &amp; data</t>
        </is>
      </c>
      <c r="X46" s="165" t="inlineStr">
        <is>
          <r>
            <rPr>
              <rFont val="Calibri"/>
              <b val="1"/>
              <sz val="10"/>
            </rPr>
            <t>B1:</t>
          </r>
          <r>
            <rPr>
              <rFont val="Calibri"/>
              <sz val="10"/>
            </rPr>
            <t xml:space="preserve"> 90% of profile — close</t>
          </r>
        </is>
      </c>
      <c r="Y46" s="165" t="inlineStr">
        <is>
          <r>
            <rPr>
              <rFont val="Calibri"/>
              <b val="1"/>
              <sz val="10"/>
            </rPr>
            <t>Evidence:</t>
          </r>
          <r>
            <rPr>
              <rFont val="Calibri"/>
              <sz val="10"/>
            </rPr>
            <t xml:space="preserve"> Survey + KRAs | Core: Ownership 3/2, Problem solving 2/2, Communication &amp; collaboration 3/2, Client &amp; quality focus 3/2, Learning agility 2/2, Integrity &amp; compliance 2/2 | Future-ready: AI literacy 2/2, Data literacy 2/2, Digital fluency 3/2, Innovation 2/2 | Functional: Programming &amp; stack 3/3, System design 3/3, SQL &amp; data 2/3, Cloud &amp; DevOps 3/3, AI / GenAI 3/3, Product &amp; domain 4/3</t>
          </r>
        </is>
      </c>
      <c r="Z46" s="120" t="inlineStr">
        <is>
          <t>Leadership &amp; people management · Broader exposure &amp; ownership</t>
        </is>
      </c>
      <c r="AA46" s="166" t="inlineStr">
        <is>
          <t>XBRL Training, Training on the effective utilization of AI tools.</t>
        </is>
      </c>
      <c r="AB46" s="166" t="inlineStr">
        <is>
          <t>AI, GenAI &amp; Prompt Engineering; Process Improvement &amp; Quality Mindset</t>
        </is>
      </c>
      <c r="AC46" s="166" t="inlineStr">
        <is>
          <t>Leadership &amp; people management · Broader exposure &amp; ownership</t>
        </is>
      </c>
      <c r="AD46" s="166" t="n"/>
      <c r="AE46" s="122" t="inlineStr">
        <is>
          <t>No strong match from survey evidence</t>
        </is>
      </c>
      <c r="AF46" s="123" t="inlineStr">
        <is>
          <t>Akshata Sabale · Software Engineer — 0.44: unit, studio, visual, enhancement</t>
        </is>
      </c>
      <c r="AG46" s="123" t="inlineStr">
        <is>
          <t>Kuldip D Shah · CARBON, Software Engineer — 0.36; Subham Chakrabertty · iFile, Trainee Software Engineer — 0.28</t>
        </is>
      </c>
      <c r="AH46" s="123" t="n"/>
      <c r="AI46" s="123" t="n"/>
      <c r="AJ46" s="123" t="n"/>
    </row>
    <row r="47" ht="132" customHeight="1">
      <c r="A47" s="109" t="inlineStr">
        <is>
          <t>IRIS2018</t>
        </is>
      </c>
      <c r="B47" s="111" t="inlineStr">
        <is>
          <t>Varsha Patil</t>
        </is>
      </c>
      <c r="C47" s="111" t="inlineStr">
        <is>
          <t>Technology</t>
        </is>
      </c>
      <c r="D47" s="114" t="inlineStr">
        <is>
          <t>Software Engineer</t>
        </is>
      </c>
      <c r="E47" s="114" t="inlineStr">
        <is>
          <t>Senior Software Engineer</t>
        </is>
      </c>
      <c r="F47" s="114" t="inlineStr">
        <is>
          <t>L3 – Professional / Associate</t>
        </is>
      </c>
      <c r="G47" s="141" t="inlineStr">
        <is>
          <t>A3</t>
        </is>
      </c>
      <c r="H47" s="142" t="inlineStr">
        <is>
          <t>▲ Up</t>
        </is>
      </c>
      <c r="I47" s="111" t="inlineStr">
        <is>
          <t>IC</t>
        </is>
      </c>
      <c r="J47" s="139" t="n">
        <v>3</v>
      </c>
      <c r="K47" s="115" t="inlineStr">
        <is>
          <t>Medium</t>
        </is>
      </c>
      <c r="L47" s="115" t="inlineStr">
        <is>
          <t>Core Contributor</t>
        </is>
      </c>
      <c r="M47" s="115" t="inlineStr">
        <is>
          <t>Develop in role</t>
        </is>
      </c>
      <c r="N47" s="115" t="n"/>
      <c r="O47" s="115" t="inlineStr"/>
      <c r="P47" s="115" t="inlineStr"/>
      <c r="Q47" s="119" t="n">
        <v>103</v>
      </c>
      <c r="R47" s="165" t="inlineStr">
        <is>
          <t>Meets the level</t>
        </is>
      </c>
      <c r="S47" s="165" t="n">
        <v>107</v>
      </c>
      <c r="T47" s="165" t="n">
        <v>105</v>
      </c>
      <c r="U47" s="165" t="n">
        <v>100</v>
      </c>
      <c r="V47" s="165" t="n"/>
      <c r="W47" s="165" t="inlineStr">
        <is>
          <t>None — maintain and stretch</t>
        </is>
      </c>
      <c r="X47" s="165" t="inlineStr">
        <is>
          <r>
            <rPr>
              <rFont val="Calibri"/>
              <b val="1"/>
              <sz val="10"/>
            </rPr>
            <t>B1:</t>
          </r>
          <r>
            <rPr>
              <rFont val="Calibri"/>
              <sz val="10"/>
            </rPr>
            <t xml:space="preserve"> 89% of profile — close</t>
          </r>
        </is>
      </c>
      <c r="Y47" s="165" t="inlineStr">
        <is>
          <r>
            <rPr>
              <rFont val="Calibri"/>
              <b val="1"/>
              <sz val="10"/>
            </rPr>
            <t>Evidence:</t>
          </r>
          <r>
            <rPr>
              <rFont val="Calibri"/>
              <sz val="10"/>
            </rPr>
            <t xml:space="preserve"> Survey + KRAs | Core: Ownership 3/2, Problem solving 2/2, Communication &amp; collaboration 2/2, Client &amp; quality focus 3/2, Learning agility 2/2, Integrity &amp; compliance 2/2 | Future-ready: AI literacy 2/2, Data literacy 2/2, Digital fluency 3/2, Innovation 2/2 | Functional: Programming &amp; stack 3/3, System design 3/3, SQL &amp; data 3/3, Cloud &amp; DevOps 3/3, AI / GenAI 3/3, Product &amp; domain 3/3</t>
          </r>
        </is>
      </c>
      <c r="Z47" s="120" t="inlineStr">
        <is>
          <t>Broader exposure &amp; ownership</t>
        </is>
      </c>
      <c r="AA47" s="166" t="inlineStr">
        <is>
          <t>XBRL Training, Training on the effective utilization of AI tools.</t>
        </is>
      </c>
      <c r="AB47" s="166" t="inlineStr">
        <is>
          <t>Product, Platform &amp; Domain Knowledge; Stakeholder &amp; Client Management</t>
        </is>
      </c>
      <c r="AC47" s="166" t="inlineStr">
        <is>
          <t>Broader exposure &amp; ownership</t>
        </is>
      </c>
      <c r="AD47" s="166" t="n"/>
      <c r="AE47" s="122" t="inlineStr">
        <is>
          <t>No strong match from survey evidence</t>
        </is>
      </c>
      <c r="AF47" s="123" t="inlineStr">
        <is>
          <t>Akshata Sabale · Software Engineer — 0.37: code, bugs, oracle, studio</t>
        </is>
      </c>
      <c r="AG47" s="123" t="inlineStr">
        <is>
          <t>Niraj Santosh Patil · Datatech, Software Engineer — 0.32; Swati Patil · iFile, Senior Software Engineer — 0.31; Ayush Sharma · CARBON, Trainee Software Engineer — 0.29</t>
        </is>
      </c>
      <c r="AH47" s="123" t="n"/>
      <c r="AI47" s="123" t="n"/>
      <c r="AJ47" s="123" t="n"/>
    </row>
    <row r="48" ht="132" customHeight="1">
      <c r="A48" s="109" t="inlineStr">
        <is>
          <t>IRIS2527</t>
        </is>
      </c>
      <c r="B48" s="111" t="inlineStr">
        <is>
          <t>Hemand Thayil</t>
        </is>
      </c>
      <c r="C48" s="111" t="inlineStr">
        <is>
          <t>Technology</t>
        </is>
      </c>
      <c r="D48" s="114" t="inlineStr">
        <is>
          <t>Customer Solution Analyst</t>
        </is>
      </c>
      <c r="E48" s="114" t="inlineStr">
        <is>
          <t>Support Executive</t>
        </is>
      </c>
      <c r="F48" s="111" t="inlineStr">
        <is>
          <t>L3 – Professional / Associate</t>
        </is>
      </c>
      <c r="G48" s="26" t="inlineStr">
        <is>
          <t>A2</t>
        </is>
      </c>
      <c r="H48" s="118" t="inlineStr">
        <is>
          <t>• Same level</t>
        </is>
      </c>
      <c r="I48" s="111" t="inlineStr">
        <is>
          <t>IC</t>
        </is>
      </c>
      <c r="J48" s="139" t="n">
        <v>3</v>
      </c>
      <c r="K48" s="115" t="inlineStr">
        <is>
          <t>Medium</t>
        </is>
      </c>
      <c r="L48" s="115" t="inlineStr">
        <is>
          <t>Core Contributor</t>
        </is>
      </c>
      <c r="M48" s="115" t="inlineStr">
        <is>
          <t>Develop in role</t>
        </is>
      </c>
      <c r="N48" s="115" t="n"/>
      <c r="O48" s="115" t="inlineStr"/>
      <c r="P48" s="115" t="inlineStr"/>
      <c r="Q48" s="119" t="n">
        <v>99</v>
      </c>
      <c r="R48" s="165" t="inlineStr">
        <is>
          <t>Meets the level</t>
        </is>
      </c>
      <c r="S48" s="165" t="n">
        <v>107</v>
      </c>
      <c r="T48" s="165" t="n">
        <v>75</v>
      </c>
      <c r="U48" s="165" t="n">
        <v>103</v>
      </c>
      <c r="V48" s="165" t="n"/>
      <c r="W48" s="165" t="inlineStr">
        <is>
          <t>AI literacy, Digital fluency</t>
        </is>
      </c>
      <c r="X48" s="165" t="inlineStr">
        <is>
          <r>
            <rPr>
              <rFont val="Calibri"/>
              <b val="1"/>
              <sz val="10"/>
            </rPr>
            <t>A3:</t>
          </r>
          <r>
            <rPr>
              <rFont val="Calibri"/>
              <sz val="10"/>
            </rPr>
            <t xml:space="preserve"> 83% of profile — close</t>
          </r>
        </is>
      </c>
      <c r="Y48" s="165"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1/2, Data literacy 2/2, Digital fluency 1/2, Innovation 2/2 | Functional: Product &amp; domain 2/2, Stakeholder mgmt 3/2, Communication 2/2, SQL &amp; data 2/2, Regulatory domain 2/2, Quality &amp; process 2/2</t>
          </r>
        </is>
      </c>
      <c r="Z48" s="120" t="inlineStr"/>
      <c r="AA48" s="166" t="inlineStr">
        <is>
          <t>XBRL Training, Training on the effective utilization of AI tools.</t>
        </is>
      </c>
      <c r="AB48" s="166" t="inlineStr">
        <is>
          <t>Communication &amp; Presentation; Sales, Negotiation &amp; Account Growth</t>
        </is>
      </c>
      <c r="AC48" s="166" t="inlineStr"/>
      <c r="AD48" s="166" t="n"/>
      <c r="AE48" s="122" t="inlineStr">
        <is>
          <t>No strong match from survey evidence</t>
        </is>
      </c>
      <c r="AF48" s="123" t="inlineStr">
        <is>
          <t>Vishal Pingle · Senior Business Analyst — 0.31: ideal, client, application; Vinayak Dadasaheb Suryawanshi · Trainee Software Engineer — 0.31: ideal</t>
        </is>
      </c>
      <c r="AG48" s="123" t="inlineStr">
        <is>
          <t>No close match in other businesses</t>
        </is>
      </c>
      <c r="AH48" s="123" t="n"/>
      <c r="AI48" s="123" t="n"/>
      <c r="AJ48" s="123" t="n"/>
    </row>
    <row r="49" ht="132" customHeight="1">
      <c r="A49" s="109" t="inlineStr">
        <is>
          <t>IRIS2426</t>
        </is>
      </c>
      <c r="B49" s="111" t="inlineStr">
        <is>
          <t>Abhay Pandey</t>
        </is>
      </c>
      <c r="C49" s="111" t="inlineStr">
        <is>
          <t>Technology</t>
        </is>
      </c>
      <c r="D49" s="114" t="inlineStr">
        <is>
          <t>Trainee Software Engineer</t>
        </is>
      </c>
      <c r="E49" s="114" t="inlineStr">
        <is>
          <t>Software Engineer</t>
        </is>
      </c>
      <c r="F49" s="114" t="inlineStr">
        <is>
          <t>L2 – Trainee</t>
        </is>
      </c>
      <c r="G49" s="141" t="inlineStr">
        <is>
          <t>A2</t>
        </is>
      </c>
      <c r="H49" s="142" t="inlineStr">
        <is>
          <t>▲ Up</t>
        </is>
      </c>
      <c r="I49" s="111" t="inlineStr">
        <is>
          <t>IC</t>
        </is>
      </c>
      <c r="J49" s="139" t="n">
        <v>3</v>
      </c>
      <c r="K49" s="115" t="inlineStr">
        <is>
          <t>Medium</t>
        </is>
      </c>
      <c r="L49" s="115" t="inlineStr">
        <is>
          <t>Core Contributor</t>
        </is>
      </c>
      <c r="M49" s="115" t="inlineStr">
        <is>
          <t>Develop in role</t>
        </is>
      </c>
      <c r="N49" s="115" t="n"/>
      <c r="O49" s="115" t="inlineStr"/>
      <c r="P49" s="115" t="inlineStr"/>
      <c r="Q49" s="119" t="n">
        <v>90</v>
      </c>
      <c r="R49" s="165" t="inlineStr">
        <is>
          <t>Developing</t>
        </is>
      </c>
      <c r="S49" s="165" t="n">
        <v>102</v>
      </c>
      <c r="T49" s="165" t="n">
        <v>88</v>
      </c>
      <c r="U49" s="165" t="n">
        <v>83</v>
      </c>
      <c r="V49" s="165" t="n"/>
      <c r="W49" s="165" t="inlineStr">
        <is>
          <t>Cloud &amp; DevOps, AI / GenAI, Learning agility</t>
        </is>
      </c>
      <c r="X49" s="165" t="inlineStr">
        <is>
          <r>
            <rPr>
              <rFont val="Calibri"/>
              <b val="1"/>
              <sz val="10"/>
            </rPr>
            <t>A3:</t>
          </r>
          <r>
            <rPr>
              <rFont val="Calibri"/>
              <sz val="10"/>
            </rPr>
            <t xml:space="preserve"> 76% of profile — close</t>
          </r>
        </is>
      </c>
      <c r="Y49" s="165" t="inlineStr">
        <is>
          <r>
            <rPr>
              <rFont val="Calibri"/>
              <b val="1"/>
              <sz val="10"/>
            </rPr>
            <t>Evidence:</t>
          </r>
          <r>
            <rPr>
              <rFont val="Calibri"/>
              <sz val="10"/>
            </rPr>
            <t xml:space="preserve"> Survey + KRAs | Core: Ownership 2/2, Problem solving 3/2, Communication &amp; collaboration 3/2, Client &amp; quality focus 3/2, Learning agility 1/2, Integrity &amp; compliance 2/2 | Future-ready: AI literacy 1/2, Data literacy 2/2, Digital fluency 2/2, Innovation 2/2 | Functional: Programming &amp; stack 2/2, System design 2/2, SQL &amp; data 2/2, Cloud &amp; DevOps 1/2, AI / GenAI 1/2, Product &amp; domain 2/2</t>
          </r>
        </is>
      </c>
      <c r="Z49" s="120" t="inlineStr">
        <is>
          <t>Strategy &amp; business acumen · Broader exposure &amp; ownership</t>
        </is>
      </c>
      <c r="AA49" s="166" t="inlineStr">
        <is>
          <t>XBRL Training, Training on the effective utilization of AI tools.</t>
        </is>
      </c>
      <c r="AB49" s="166" t="inlineStr">
        <is>
          <t>Project, Program &amp; Agile Management; Stakeholder &amp; Client Management</t>
        </is>
      </c>
      <c r="AC49" s="166" t="inlineStr">
        <is>
          <t>Strategy &amp; business acumen · Broader exposure &amp; ownership</t>
        </is>
      </c>
      <c r="AD49" s="166" t="n"/>
      <c r="AE49" s="122" t="inlineStr">
        <is>
          <t>No strong match from survey evidence</t>
        </is>
      </c>
      <c r="AF49" s="123" t="inlineStr">
        <is>
          <t>No material overlap found</t>
        </is>
      </c>
      <c r="AG49" s="123" t="inlineStr">
        <is>
          <t>No close match in other businesses</t>
        </is>
      </c>
      <c r="AH49" s="123" t="n"/>
      <c r="AI49" s="123" t="n"/>
      <c r="AJ49" s="123" t="n"/>
    </row>
    <row r="50" ht="132" customHeight="1">
      <c r="A50" s="109" t="inlineStr">
        <is>
          <t>IRIS2427</t>
        </is>
      </c>
      <c r="B50" s="111" t="inlineStr">
        <is>
          <t>Sumeet Laxman Kurdia</t>
        </is>
      </c>
      <c r="C50" s="111" t="inlineStr">
        <is>
          <t>Technology</t>
        </is>
      </c>
      <c r="D50" s="114" t="inlineStr">
        <is>
          <t>Trainee Software Engineer</t>
        </is>
      </c>
      <c r="E50" s="114" t="inlineStr">
        <is>
          <t>Software Engineer</t>
        </is>
      </c>
      <c r="F50" s="114" t="inlineStr">
        <is>
          <t>L2 – Trainee</t>
        </is>
      </c>
      <c r="G50" s="141" t="inlineStr">
        <is>
          <t>A2</t>
        </is>
      </c>
      <c r="H50" s="142" t="inlineStr">
        <is>
          <t>▲ Up</t>
        </is>
      </c>
      <c r="I50" s="111" t="inlineStr">
        <is>
          <t>IC</t>
        </is>
      </c>
      <c r="J50" s="139" t="n">
        <v>3</v>
      </c>
      <c r="K50" s="115" t="inlineStr">
        <is>
          <t>Medium</t>
        </is>
      </c>
      <c r="L50" s="115" t="inlineStr">
        <is>
          <t>Core Contributor</t>
        </is>
      </c>
      <c r="M50" s="115" t="inlineStr">
        <is>
          <t>Develop in role</t>
        </is>
      </c>
      <c r="N50" s="115" t="n"/>
      <c r="O50" s="115" t="inlineStr"/>
      <c r="P50" s="115" t="inlineStr"/>
      <c r="Q50" s="119" t="n">
        <v>91</v>
      </c>
      <c r="R50" s="165" t="inlineStr">
        <is>
          <t>Meets the level</t>
        </is>
      </c>
      <c r="S50" s="165" t="n">
        <v>98</v>
      </c>
      <c r="T50" s="165" t="n">
        <v>98</v>
      </c>
      <c r="U50" s="165" t="n">
        <v>83</v>
      </c>
      <c r="V50" s="165" t="n"/>
      <c r="W50" s="165" t="inlineStr">
        <is>
          <t>Cloud &amp; DevOps, AI / GenAI, Communication &amp; collaboration</t>
        </is>
      </c>
      <c r="X50" s="165" t="inlineStr">
        <is>
          <r>
            <rPr>
              <rFont val="Calibri"/>
              <b val="1"/>
              <sz val="10"/>
            </rPr>
            <t>A3:</t>
          </r>
          <r>
            <rPr>
              <rFont val="Calibri"/>
              <sz val="10"/>
            </rPr>
            <t xml:space="preserve"> 77% of profile — close</t>
          </r>
        </is>
      </c>
      <c r="Y50" s="165" t="inlineStr">
        <is>
          <r>
            <rPr>
              <rFont val="Calibri"/>
              <b val="1"/>
              <sz val="10"/>
            </rPr>
            <t>Evidence:</t>
          </r>
          <r>
            <rPr>
              <rFont val="Calibri"/>
              <sz val="10"/>
            </rPr>
            <t xml:space="preserve"> Survey + KRAs | Core: Ownership 2/2, Problem solving 3/2, Communication &amp; collaboration 1/2, Client &amp; quality focus 3/2, Learning agility 2/2, Integrity &amp; compliance 2/2 | Future-ready: AI literacy 1/2, Data literacy 2/2, Digital fluency 3/2, Innovation 3/2 | Functional: Programming &amp; stack 2/2, System design 2/2, SQL &amp; data 2/2, Cloud &amp; DevOps 1/2, AI / GenAI 1/2, Product &amp; domain 2/2</t>
          </r>
        </is>
      </c>
      <c r="Z50" s="120" t="inlineStr">
        <is>
          <t>AI / automation · Technical depth &amp; architecture · Broader exposure &amp; ownership</t>
        </is>
      </c>
      <c r="AA50" s="166" t="inlineStr">
        <is>
          <t>XBRL Training, Training on the effective utilization of AI tools.</t>
        </is>
      </c>
      <c r="AB50" s="166" t="inlineStr">
        <is>
          <t>Broader Ownership &amp; Cross-functional Exposure; Product, Platform &amp; Domain Knowledge; Stakeholder &amp; Client Management</t>
        </is>
      </c>
      <c r="AC50" s="166" t="inlineStr">
        <is>
          <t>AI / automation · Technical depth &amp; architecture · Broader exposure &amp; ownership</t>
        </is>
      </c>
      <c r="AD50" s="166" t="n"/>
      <c r="AE50" s="122" t="inlineStr">
        <is>
          <t>No strong match from survey evidence</t>
        </is>
      </c>
      <c r="AF50" s="123" t="inlineStr">
        <is>
          <t>No material overlap found</t>
        </is>
      </c>
      <c r="AG50" s="123" t="inlineStr">
        <is>
          <t>Kuldip D Shah · CARBON, Software Engineer — 0.34; Ayush Sharma · CARBON, Trainee Software Engineer — 0.28; Vikash Gupta · iFile, Senior Software Engineer — 0.28</t>
        </is>
      </c>
      <c r="AH50" s="123" t="n"/>
      <c r="AI50" s="123" t="n"/>
      <c r="AJ50" s="123" t="n"/>
    </row>
    <row r="51" ht="132" customHeight="1">
      <c r="A51" s="109" t="inlineStr">
        <is>
          <t>IRIS2538</t>
        </is>
      </c>
      <c r="B51" s="111" t="inlineStr">
        <is>
          <t>Atharv Sameer Shevade</t>
        </is>
      </c>
      <c r="C51" s="111" t="inlineStr">
        <is>
          <t>Technology</t>
        </is>
      </c>
      <c r="D51" s="111" t="inlineStr">
        <is>
          <t>Trainee Software Engineer</t>
        </is>
      </c>
      <c r="E51" s="111" t="inlineStr">
        <is>
          <t>Trainee Software Engineer</t>
        </is>
      </c>
      <c r="F51" s="111" t="inlineStr">
        <is>
          <t>L1 – Intern</t>
        </is>
      </c>
      <c r="G51" s="26" t="inlineStr">
        <is>
          <t>A1</t>
        </is>
      </c>
      <c r="H51" s="118" t="inlineStr">
        <is>
          <t>• Same level</t>
        </is>
      </c>
      <c r="I51" s="111" t="inlineStr">
        <is>
          <t>IC</t>
        </is>
      </c>
      <c r="J51" s="139" t="n">
        <v>3</v>
      </c>
      <c r="K51" s="115" t="inlineStr">
        <is>
          <t>Medium</t>
        </is>
      </c>
      <c r="L51" s="115" t="inlineStr">
        <is>
          <t>Core Contributor</t>
        </is>
      </c>
      <c r="M51" s="115" t="inlineStr">
        <is>
          <t>Develop in role</t>
        </is>
      </c>
      <c r="N51" s="115" t="n"/>
      <c r="O51" s="115" t="inlineStr"/>
      <c r="P51" s="115" t="inlineStr"/>
      <c r="Q51" s="119" t="n">
        <v>108</v>
      </c>
      <c r="R51" s="165" t="inlineStr">
        <is>
          <t>Exceeds — ready for stretch</t>
        </is>
      </c>
      <c r="S51" s="165" t="n">
        <v>107</v>
      </c>
      <c r="T51" s="165" t="n">
        <v>115</v>
      </c>
      <c r="U51" s="165" t="n">
        <v>107</v>
      </c>
      <c r="V51" s="165" t="n"/>
      <c r="W51" s="165" t="inlineStr">
        <is>
          <t>None — maintain and stretch</t>
        </is>
      </c>
      <c r="X51" s="165" t="inlineStr">
        <is>
          <r>
            <rPr>
              <rFont val="Calibri"/>
              <b val="1"/>
              <sz val="10"/>
            </rPr>
            <t>A2:</t>
          </r>
          <r>
            <rPr>
              <rFont val="Calibri"/>
              <sz val="10"/>
            </rPr>
            <t xml:space="preserve"> 71% of profile — not yet</t>
          </r>
        </is>
      </c>
      <c r="Y51" s="165" t="inlineStr">
        <is>
          <r>
            <rPr>
              <rFont val="Calibri"/>
              <b val="1"/>
              <sz val="10"/>
            </rPr>
            <t>Evidence:</t>
          </r>
          <r>
            <rPr>
              <rFont val="Calibri"/>
              <sz val="10"/>
            </rPr>
            <t xml:space="preserve"> Survey + KRAs | Core: Ownership 1/1, Problem solving 2/1, Communication &amp; collaboration 1/1, Client &amp; quality focus 2/1, Learning agility 1/1, Integrity &amp; compliance 1/1 | Future-ready: AI literacy 1/1, Data literacy 2/1, Digital fluency 2/1, Innovation 2/1 | Functional: Programming &amp; stack 2/1, System design 1/1, SQL &amp; data 2/1, Cloud &amp; DevOps 1/1, AI / GenAI 1/1, Product &amp; domain 1/1</t>
          </r>
        </is>
      </c>
      <c r="Z51" s="120" t="inlineStr">
        <is>
          <t>Technical depth &amp; architecture · Data, SQL &amp; analytics · Product &amp; tool knowledge · Broader exposure &amp; ownership</t>
        </is>
      </c>
      <c r="AA51" s="166" t="inlineStr">
        <is>
          <t>XBRL Training, Training on the effective utilization of AI tools.</t>
        </is>
      </c>
      <c r="AB51" s="166" t="inlineStr">
        <is>
          <t>Programming &amp; Tech-Stack Depth; Database, SQL &amp; Data Engineering; Broader Ownership &amp; Cross-functional Exposure</t>
        </is>
      </c>
      <c r="AC51" s="166" t="inlineStr">
        <is>
          <t>Technical depth &amp; architecture · Data, SQL &amp; analytics · Product &amp; tool knowledge · Broader exposure &amp; ownership</t>
        </is>
      </c>
      <c r="AD51" s="166" t="n"/>
      <c r="AE51" s="122" t="inlineStr">
        <is>
          <t>No strong match from survey evidence</t>
        </is>
      </c>
      <c r="AF51" s="123" t="inlineStr">
        <is>
          <t>No material overlap found</t>
        </is>
      </c>
      <c r="AG51" s="123" t="inlineStr">
        <is>
          <t>Manish Yadav · CARBON, Senior Software Engineer — 0.49; Siddhesh Kadam · CARBON, Senior Engineering Manager — 0.47; Shubham Mhadgut · iFile, Senior Software Engineer — 0.44</t>
        </is>
      </c>
      <c r="AH51" s="123" t="n"/>
      <c r="AI51" s="123" t="n"/>
      <c r="AJ51" s="123" t="n"/>
    </row>
    <row r="52" ht="132" customHeight="1">
      <c r="A52" s="109" t="inlineStr">
        <is>
          <t>IRIS2539</t>
        </is>
      </c>
      <c r="B52" s="111" t="inlineStr">
        <is>
          <t>Vinayak Dadasaheb Suryawanshi</t>
        </is>
      </c>
      <c r="C52" s="111" t="inlineStr">
        <is>
          <t>Technology</t>
        </is>
      </c>
      <c r="D52" s="111" t="inlineStr">
        <is>
          <t>Trainee Software Engineer</t>
        </is>
      </c>
      <c r="E52" s="111" t="inlineStr">
        <is>
          <t>Trainee Software Engineer</t>
        </is>
      </c>
      <c r="F52" s="111" t="inlineStr">
        <is>
          <t>L1 – Intern</t>
        </is>
      </c>
      <c r="G52" s="26" t="inlineStr">
        <is>
          <t>A1</t>
        </is>
      </c>
      <c r="H52" s="118" t="inlineStr">
        <is>
          <t>• Same level</t>
        </is>
      </c>
      <c r="I52" s="111" t="inlineStr">
        <is>
          <t>IC</t>
        </is>
      </c>
      <c r="J52" s="139" t="n">
        <v>3</v>
      </c>
      <c r="K52" s="115" t="inlineStr">
        <is>
          <t>Medium</t>
        </is>
      </c>
      <c r="L52" s="115" t="inlineStr">
        <is>
          <t>Emerging Talent</t>
        </is>
      </c>
      <c r="M52" s="115" t="inlineStr">
        <is>
          <t>Develop in role</t>
        </is>
      </c>
      <c r="N52" s="115" t="n"/>
      <c r="O52" s="115" t="inlineStr"/>
      <c r="P52" s="115" t="inlineStr"/>
      <c r="Q52" s="119" t="n">
        <v>107</v>
      </c>
      <c r="R52" s="165" t="inlineStr">
        <is>
          <t>Exceeds — ready for stretch</t>
        </is>
      </c>
      <c r="S52" s="165" t="n">
        <v>107</v>
      </c>
      <c r="T52" s="165" t="n">
        <v>110</v>
      </c>
      <c r="U52" s="165" t="n">
        <v>107</v>
      </c>
      <c r="V52" s="165" t="n"/>
      <c r="W52" s="165" t="inlineStr">
        <is>
          <t>None — maintain and stretch</t>
        </is>
      </c>
      <c r="X52" s="165" t="inlineStr">
        <is>
          <r>
            <rPr>
              <rFont val="Calibri"/>
              <b val="1"/>
              <sz val="10"/>
            </rPr>
            <t>A2:</t>
          </r>
          <r>
            <rPr>
              <rFont val="Calibri"/>
              <sz val="10"/>
            </rPr>
            <t xml:space="preserve"> 68% of profile — not yet</t>
          </r>
        </is>
      </c>
      <c r="Y52" s="165" t="inlineStr">
        <is>
          <r>
            <rPr>
              <rFont val="Calibri"/>
              <b val="1"/>
              <sz val="10"/>
            </rPr>
            <t>Evidence:</t>
          </r>
          <r>
            <rPr>
              <rFont val="Calibri"/>
              <sz val="10"/>
            </rPr>
            <t xml:space="preserve"> Survey + KRAs | Core: Ownership 1/1, Problem solving 1/1, Communication &amp; collaboration 2/1, Client &amp; quality focus 2/1, Learning agility 1/1, Integrity &amp; compliance 1/1 | Future-ready: AI literacy 1/1, Data literacy 2/1, Digital fluency 2/1, Innovation 1/1 | Functional: Programming &amp; stack 1/1, System design 1/1, SQL &amp; data 2/1, Cloud &amp; DevOps 1/1, AI / GenAI 2/1, Product &amp; domain 1/1</t>
          </r>
        </is>
      </c>
      <c r="Z52" s="120" t="inlineStr">
        <is>
          <t>Domain, regulatory &amp; XBRL</t>
        </is>
      </c>
      <c r="AA52" s="166" t="inlineStr">
        <is>
          <t>XBRL Training, Training on the effective utilization of AI tools.</t>
        </is>
      </c>
      <c r="AB52" s="166" t="inlineStr">
        <is>
          <t>AI, GenAI &amp; Prompt Engineering; Programming &amp; Tech-Stack Depth; Database, SQL &amp; Data Engineering</t>
        </is>
      </c>
      <c r="AC52" s="166" t="inlineStr">
        <is>
          <t>Domain, regulatory &amp; XBRL</t>
        </is>
      </c>
      <c r="AD52" s="166" t="n"/>
      <c r="AE52" s="122" t="inlineStr">
        <is>
          <t>No strong match from survey evidence</t>
        </is>
      </c>
      <c r="AF52" s="123" t="inlineStr">
        <is>
          <t>Hemand Thayil · Support Executive — 0.31: ideal</t>
        </is>
      </c>
      <c r="AG52" s="123" t="inlineStr">
        <is>
          <t>No close match in other businesses</t>
        </is>
      </c>
      <c r="AH52" s="123" t="n"/>
      <c r="AI52" s="123" t="n"/>
      <c r="AJ52" s="123" t="n"/>
    </row>
    <row r="53" ht="171" customHeight="1">
      <c r="A53" s="109" t="inlineStr">
        <is>
          <t>IRIS1224</t>
        </is>
      </c>
      <c r="B53" s="111" t="inlineStr">
        <is>
          <t>Hemant Karale</t>
        </is>
      </c>
      <c r="C53" s="111" t="inlineStr">
        <is>
          <t>iDEAL Business Head</t>
        </is>
      </c>
      <c r="D53" s="114" t="inlineStr">
        <is>
          <t>Business Head IRIS iDEAL</t>
        </is>
      </c>
      <c r="E53" s="114" t="inlineStr">
        <is>
          <t>Business Head – iDEAL</t>
        </is>
      </c>
      <c r="F53" s="114" t="inlineStr">
        <is>
          <t>L7 – Head / Sr Director</t>
        </is>
      </c>
      <c r="G53" s="141" t="inlineStr">
        <is>
          <t>D1</t>
        </is>
      </c>
      <c r="H53" s="142" t="inlineStr">
        <is>
          <t>▲ Up</t>
        </is>
      </c>
      <c r="I53" s="111" t="inlineStr">
        <is>
          <t>People Manager</t>
        </is>
      </c>
      <c r="J53" s="139" t="inlineStr">
        <is>
          <t>Not rated · manager</t>
        </is>
      </c>
      <c r="K53" s="115" t="inlineStr">
        <is>
          <t>—</t>
        </is>
      </c>
      <c r="L53" s="115" t="inlineStr">
        <is>
          <t>Not placed · manager</t>
        </is>
      </c>
      <c r="M53" s="115" t="inlineStr">
        <is>
          <t>No rating data</t>
        </is>
      </c>
      <c r="N53" s="115" t="n"/>
      <c r="O53" s="115" t="inlineStr"/>
      <c r="P53" s="115" t="inlineStr"/>
      <c r="Q53" s="119" t="n">
        <v>89</v>
      </c>
      <c r="R53" s="165" t="inlineStr">
        <is>
          <t>Developing</t>
        </is>
      </c>
      <c r="S53" s="165" t="n">
        <v>90</v>
      </c>
      <c r="T53" s="165" t="n">
        <v>88</v>
      </c>
      <c r="U53" s="165" t="n">
        <v>83</v>
      </c>
      <c r="V53" s="165" t="n">
        <v>90</v>
      </c>
      <c r="W53" s="165" t="inlineStr">
        <is>
          <t>People leadership, Stakeholder mgmt, Regulatory domain</t>
        </is>
      </c>
      <c r="X53" s="165" t="inlineStr">
        <is>
          <r>
            <rPr>
              <rFont val="Calibri"/>
              <b val="1"/>
              <sz val="10"/>
            </rPr>
            <t>D2:</t>
          </r>
          <r>
            <rPr>
              <rFont val="Calibri"/>
              <sz val="10"/>
            </rPr>
            <t xml:space="preserve"> 89% of profile — close</t>
          </r>
        </is>
      </c>
      <c r="Y53" s="165" t="inlineStr">
        <is>
          <r>
            <rPr>
              <rFont val="Calibri"/>
              <b val="1"/>
              <sz val="10"/>
            </rPr>
            <t>Evidence:</t>
          </r>
          <r>
            <rPr>
              <rFont val="Calibri"/>
              <sz val="10"/>
            </rPr>
            <t xml:space="preserve"> KRAs only | Core: Ownership 5/5, Problem solving 4/5, Communication &amp; collaboration 5/5, Client &amp; quality focus 4/5, Learning agility 4/5, Integrity &amp; compliance 5/5 | Future-ready: AI literacy 4/4, Data literacy 3/4, Digital fluency 3/4, Innovation 4/4 | Functional: Business acumen 4/4, People leadership 3/4, Stakeholder mgmt 3/4, Product &amp; domain 4/4, Regulatory domain 3/4, Communication 3/4 | Leadership: Developing people 5/5, Decision making 4/5, Strategic acumen 5/5, Influence &amp; change 4/5</t>
          </r>
        </is>
      </c>
      <c r="Z53" s="120" t="inlineStr"/>
      <c r="AA53" s="166" t="inlineStr">
        <is>
          <t>Training on the effective utilization of AI tools.</t>
        </is>
      </c>
      <c r="AB53" s="166" t="inlineStr">
        <is>
          <t>Strategic Thinking &amp; Business Acumen</t>
        </is>
      </c>
      <c r="AC53" s="166" t="inlineStr"/>
      <c r="AD53" s="166" t="n"/>
      <c r="AE53" s="122" t="inlineStr">
        <is>
          <t>No strong match from survey evidence</t>
        </is>
      </c>
      <c r="AF53" s="123" t="inlineStr">
        <is>
          <t>No survey text</t>
        </is>
      </c>
      <c r="AG53" s="123" t="inlineStr">
        <is>
          <t>No survey text</t>
        </is>
      </c>
      <c r="AH53" s="123" t="n">
        <v>8</v>
      </c>
      <c r="AI53" s="123" t="inlineStr">
        <is>
          <t>Within norm</t>
        </is>
      </c>
      <c r="AJ53" s="123" t="n"/>
    </row>
  </sheetData>
  <mergeCells count="16">
    <mergeCell ref="A1:T1"/>
    <mergeCell ref="G4:H4"/>
    <mergeCell ref="E4:F4"/>
    <mergeCell ref="V4:W4"/>
    <mergeCell ref="Q5:Y5"/>
    <mergeCell ref="L4:M4"/>
    <mergeCell ref="A5:I5"/>
    <mergeCell ref="AE5:AJ5"/>
    <mergeCell ref="A4:D4"/>
    <mergeCell ref="A3:T3"/>
    <mergeCell ref="A2:T2"/>
    <mergeCell ref="I4:K4"/>
    <mergeCell ref="N4:P4"/>
    <mergeCell ref="Z5:AD5"/>
    <mergeCell ref="Q4:U4"/>
    <mergeCell ref="J5:P5"/>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5.xml><?xml version="1.0" encoding="utf-8"?>
<worksheet xmlns="http://schemas.openxmlformats.org/spreadsheetml/2006/main">
  <sheetPr>
    <tabColor rgb="00C00000"/>
    <outlinePr summaryBelow="1" summaryRight="1"/>
    <pageSetUpPr fitToPage="1"/>
  </sheetPr>
  <dimension ref="A1:G81"/>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9" customWidth="1" min="3" max="3"/>
    <col width="9" customWidth="1" min="4" max="4"/>
    <col width="30" customWidth="1" min="5" max="5"/>
    <col width="62" customWidth="1" min="6" max="6"/>
    <col width="13" customWidth="1" min="7" max="7"/>
  </cols>
  <sheetData>
    <row r="1" ht="34" customHeight="1">
      <c r="A1" s="1" t="inlineStr">
        <is>
          <t>Calibration &amp; Decisions — what the panel and managers need to decide</t>
        </is>
      </c>
      <c r="G1" s="241" t="inlineStr">
        <is>
          <t>◂ Contents</t>
        </is>
      </c>
    </row>
    <row r="2" ht="46" customHeight="1">
      <c r="A2" s="3" t="inlineStr">
        <is>
          <t>Sheet 9 · Every placement that needs a human decision, with the reason: Player-Coach transition steps and candidates, close calls, moves down, changes from the earlier proposal, provisional cases, title checks, long-tenure A3 cases, senior titles without teams — then the open decisions and the quality checks run on this workbook.</t>
        </is>
      </c>
    </row>
    <row r="3">
      <c r="A3" s="4" t="inlineStr">
        <is>
          <t>IRIS · Job Architecture &amp; Job Design · Final v1.12 · October 2026 · Internal — Confidential</t>
        </is>
      </c>
    </row>
    <row r="4" ht="15" customHeight="1"/>
    <row r="5" ht="20" customHeight="1">
      <c r="A5" s="6" t="inlineStr">
        <is>
          <t>A. Player-Coach transition steps placed — 1</t>
        </is>
      </c>
    </row>
    <row r="6" ht="15" customHeight="1">
      <c r="A6" s="11" t="inlineStr">
        <is>
          <t>Confirm the person still spends the stated share of time on hands-on work.</t>
        </is>
      </c>
    </row>
    <row r="7" ht="15" customHeight="1">
      <c r="A7" s="12" t="inlineStr">
        <is>
          <t>Person</t>
        </is>
      </c>
      <c r="B7" s="12" t="inlineStr">
        <is>
          <t>Department</t>
        </is>
      </c>
      <c r="C7" s="12" t="inlineStr">
        <is>
          <t>Level</t>
        </is>
      </c>
      <c r="D7" s="12" t="inlineStr">
        <is>
          <t>Score</t>
        </is>
      </c>
      <c r="E7" s="12" t="inlineStr">
        <is>
          <t>Designation</t>
        </is>
      </c>
      <c r="F7" s="12" t="inlineStr">
        <is>
          <t>Reason / rule</t>
        </is>
      </c>
    </row>
    <row r="8" ht="93" customHeight="1">
      <c r="A8" s="13" t="inlineStr">
        <is>
          <t>Jitendra Kumar</t>
        </is>
      </c>
      <c r="B8" s="16" t="inlineStr">
        <is>
          <t>Technology</t>
        </is>
      </c>
      <c r="C8" s="15" t="inlineStr">
        <is>
          <t>B+</t>
        </is>
      </c>
      <c r="D8" s="15" t="n">
        <v>6.25</v>
      </c>
      <c r="E8" s="16" t="inlineStr">
        <is>
          <t>Practice Lead – Solution &amp; Technical Architecture · Player-Coach</t>
        </is>
      </c>
      <c r="F8" s="16" t="inlineStr">
        <is>
          <r>
            <rPr>
              <rFont val="Calibri"/>
              <b val="1"/>
              <sz val="10"/>
            </rPr>
            <t>Placed with tolerance:</t>
          </r>
          <r>
            <rPr>
              <rFont val="Calibri"/>
              <sz val="10"/>
            </rPr>
            <t xml:space="preserve"> span 9 vs norm 3–6 · outside the ±2 tolerance. A small shortfall or a wider span is accepted and confirmed in calibration; Moved up to the B+ Player-Coach transition step: leads people and still does hands-on work; Player-Coach score 6.25 · needs 6.25 and complexity–accountability average 6.00 · needs 5.5.</t>
          </r>
        </is>
      </c>
    </row>
    <row r="9" ht="15" customHeight="1"/>
    <row r="10" ht="20" customHeight="1">
      <c r="A10" s="6" t="inlineStr">
        <is>
          <t>B. Player-Coach candidates and watch list — 0</t>
        </is>
      </c>
    </row>
    <row r="11" ht="15" customHeight="1">
      <c r="A11" s="11" t="inlineStr">
        <is>
          <t>Manager to confirm hands-on delivery, or watch for the role growing into the Player-Coach transition step. Red = input needed.</t>
        </is>
      </c>
    </row>
    <row r="12" ht="15" customHeight="1">
      <c r="A12" s="11" t="inlineStr">
        <is>
          <t>No cases.</t>
        </is>
      </c>
    </row>
    <row r="13" ht="20" customHeight="1">
      <c r="A13" s="6" t="inlineStr">
        <is>
          <t>C. Close calls · score within ±0.05 of a rounding point, and the score decided the level — 0</t>
        </is>
      </c>
    </row>
    <row r="14" ht="28" customHeight="1">
      <c r="A14" s="11" t="inlineStr">
        <is>
          <t>Calibrate against peers before confirming. Where a rule set the level, the rounding point does not matter, so those people are listed in C2 instead.</t>
        </is>
      </c>
    </row>
    <row r="15" ht="15" customHeight="1">
      <c r="A15" s="11" t="inlineStr">
        <is>
          <t>No cases.</t>
        </is>
      </c>
    </row>
    <row r="16" ht="20" customHeight="1">
      <c r="A16" s="6" t="inlineStr">
        <is>
          <t>C2. Near a gate · a rule set the level, and the number behind it is within a quarter-point of flipping — 2</t>
        </is>
      </c>
    </row>
    <row r="17" ht="15" customHeight="1">
      <c r="A17" s="11" t="inlineStr">
        <is>
          <r>
            <rPr>
              <rFont val="Calibri"/>
              <b val="1"/>
              <i val="1"/>
              <color rgb="00595959"/>
              <sz val="10"/>
            </rPr>
            <t>Calibrate before confirming:</t>
          </r>
          <r>
            <rPr>
              <rFont val="Calibri"/>
              <i val="1"/>
              <color rgb="00595959"/>
              <sz val="10"/>
            </rPr>
            <t xml:space="preserve"> a small change in one rating would move these people.</t>
          </r>
        </is>
      </c>
    </row>
    <row r="18" ht="15" customHeight="1">
      <c r="A18" s="12" t="inlineStr">
        <is>
          <t>Person</t>
        </is>
      </c>
      <c r="B18" s="12" t="inlineStr">
        <is>
          <t>Department</t>
        </is>
      </c>
      <c r="C18" s="12" t="inlineStr">
        <is>
          <t>Level</t>
        </is>
      </c>
      <c r="D18" s="12" t="inlineStr">
        <is>
          <t>Score</t>
        </is>
      </c>
      <c r="E18" s="12" t="inlineStr">
        <is>
          <t>Designation</t>
        </is>
      </c>
      <c r="F18" s="12" t="inlineStr">
        <is>
          <t>Reason / rule</t>
        </is>
      </c>
    </row>
    <row r="19" ht="41" customHeight="1">
      <c r="A19" s="13" t="inlineStr">
        <is>
          <t>Jitendra Kumar</t>
        </is>
      </c>
      <c r="B19" s="16" t="inlineStr">
        <is>
          <t>Technology</t>
        </is>
      </c>
      <c r="C19" s="15" t="inlineStr">
        <is>
          <t>B+</t>
        </is>
      </c>
      <c r="D19" s="15" t="n">
        <v>6.25</v>
      </c>
      <c r="E19" s="16" t="inlineStr">
        <is>
          <t>Practice Lead – Solution &amp; Technical Architecture · Player-Coach</t>
        </is>
      </c>
      <c r="F19" s="16" t="inlineStr">
        <is>
          <r>
            <rPr>
              <rFont val="Calibri"/>
              <b val="1"/>
              <sz val="10"/>
            </rPr>
            <t>Player-Coach transition step placed within tolerance:</t>
          </r>
          <r>
            <rPr>
              <rFont val="Calibri"/>
              <sz val="10"/>
            </rPr>
            <t xml:space="preserve"> span 9 vs norm 3–6 · outside the ±2 tolerance.</t>
          </r>
        </is>
      </c>
    </row>
    <row r="20" ht="28" customHeight="1">
      <c r="A20" s="13" t="inlineStr">
        <is>
          <t>Jay Gudhka</t>
        </is>
      </c>
      <c r="B20" s="16" t="inlineStr">
        <is>
          <t>Technology</t>
        </is>
      </c>
      <c r="C20" s="15" t="inlineStr">
        <is>
          <t>A3</t>
        </is>
      </c>
      <c r="D20" s="15" t="n">
        <v>3.52</v>
      </c>
      <c r="E20" s="16" t="inlineStr">
        <is>
          <t>Technical Specialist</t>
        </is>
      </c>
      <c r="F20" s="16" t="inlineStr">
        <is>
          <r>
            <rPr>
              <rFont val="Calibri"/>
              <b val="1"/>
              <sz val="10"/>
            </rPr>
            <t>Top of band:</t>
          </r>
          <r>
            <rPr>
              <rFont val="Calibri"/>
              <sz val="10"/>
            </rPr>
            <t xml:space="preserve"> 3.46 on Band B's weights, 0.04 short of the 3.5 needed to enter Band B.</t>
          </r>
        </is>
      </c>
    </row>
    <row r="21" ht="15" customHeight="1"/>
    <row r="22" ht="20" customHeight="1">
      <c r="A22" s="6" t="inlineStr">
        <is>
          <t>D. Moves down vs current level · pay and title protected for one cycle, V4 — 2</t>
        </is>
      </c>
    </row>
    <row r="23" ht="15" customHeight="1">
      <c r="A23" s="12" t="inlineStr">
        <is>
          <t>Person</t>
        </is>
      </c>
      <c r="B23" s="12" t="inlineStr">
        <is>
          <t>Department</t>
        </is>
      </c>
      <c r="C23" s="12" t="inlineStr">
        <is>
          <t>Level</t>
        </is>
      </c>
      <c r="D23" s="12" t="inlineStr">
        <is>
          <t>Score</t>
        </is>
      </c>
      <c r="E23" s="12" t="inlineStr">
        <is>
          <t>Designation</t>
        </is>
      </c>
      <c r="F23" s="12" t="inlineStr">
        <is>
          <t>Reason / rule</t>
        </is>
      </c>
    </row>
    <row r="24" ht="28" customHeight="1">
      <c r="A24" s="13" t="inlineStr">
        <is>
          <t>Jignasha Sawla</t>
        </is>
      </c>
      <c r="B24" s="16" t="inlineStr">
        <is>
          <t>Technology</t>
        </is>
      </c>
      <c r="C24" s="15" t="inlineStr">
        <is>
          <t>B1</t>
        </is>
      </c>
      <c r="D24" s="15" t="n">
        <v>4.06</v>
      </c>
      <c r="E24" s="16" t="inlineStr">
        <is>
          <t>Database Specialist – POD Lead</t>
        </is>
      </c>
      <c r="F24" s="16" t="inlineStr">
        <is>
          <t>Current L5 – Lead · IC → B1. No rule changed the level: the score decides.</t>
        </is>
      </c>
    </row>
    <row r="25" ht="28" customHeight="1">
      <c r="A25" s="13" t="inlineStr">
        <is>
          <t>Anand Usakoyal</t>
        </is>
      </c>
      <c r="B25" s="16" t="inlineStr">
        <is>
          <t>Technology</t>
        </is>
      </c>
      <c r="C25" s="15" t="inlineStr">
        <is>
          <t>B1</t>
        </is>
      </c>
      <c r="D25" s="15" t="n">
        <v>3.94</v>
      </c>
      <c r="E25" s="16" t="inlineStr">
        <is>
          <t>Associate Project Manager</t>
        </is>
      </c>
      <c r="F25" s="16" t="inlineStr">
        <is>
          <t>Current L5 – Lead · IC → B1. No rule changed the level: the score decides.</t>
        </is>
      </c>
    </row>
    <row r="26" ht="15" customHeight="1"/>
    <row r="27" ht="20" customHeight="1">
      <c r="A27" s="6" t="inlineStr">
        <is>
          <t>E. Changed from the earlier proposal — 5</t>
        </is>
      </c>
    </row>
    <row r="28" ht="15" customHeight="1">
      <c r="A28" s="11" t="inlineStr">
        <is>
          <t>Derived weight model and the Player-Coach transition steps.</t>
        </is>
      </c>
    </row>
    <row r="29" ht="15" customHeight="1">
      <c r="A29" s="12" t="inlineStr">
        <is>
          <t>Person</t>
        </is>
      </c>
      <c r="B29" s="12" t="inlineStr">
        <is>
          <t>Department</t>
        </is>
      </c>
      <c r="C29" s="12" t="inlineStr">
        <is>
          <t>Level</t>
        </is>
      </c>
      <c r="D29" s="12" t="inlineStr">
        <is>
          <t>Score</t>
        </is>
      </c>
      <c r="E29" s="12" t="inlineStr">
        <is>
          <t>Designation</t>
        </is>
      </c>
      <c r="F29" s="12" t="inlineStr">
        <is>
          <t>Reason / rule</t>
        </is>
      </c>
    </row>
    <row r="30" ht="28" customHeight="1">
      <c r="A30" s="13" t="inlineStr">
        <is>
          <t>Reena Gotal</t>
        </is>
      </c>
      <c r="B30" s="16" t="inlineStr">
        <is>
          <t>Quality Assurance</t>
        </is>
      </c>
      <c r="C30" s="15" t="inlineStr">
        <is>
          <t>B1</t>
        </is>
      </c>
      <c r="D30" s="15" t="n">
        <v>3.85</v>
      </c>
      <c r="E30" s="16" t="inlineStr">
        <is>
          <t>QA Manager</t>
        </is>
      </c>
      <c r="F30" s="16" t="inlineStr">
        <is>
          <t>Earlier B2 → B1. No rule changed the level: the score decides.</t>
        </is>
      </c>
    </row>
    <row r="31" ht="93" customHeight="1">
      <c r="A31" s="13" t="inlineStr">
        <is>
          <t>Jitendra Kumar</t>
        </is>
      </c>
      <c r="B31" s="16" t="inlineStr">
        <is>
          <t>Technology</t>
        </is>
      </c>
      <c r="C31" s="15" t="inlineStr">
        <is>
          <t>B+</t>
        </is>
      </c>
      <c r="D31" s="15" t="n">
        <v>6.25</v>
      </c>
      <c r="E31" s="16" t="inlineStr">
        <is>
          <t>Practice Lead – Solution &amp; Technical Architecture · Player-Coach</t>
        </is>
      </c>
      <c r="F31" s="16" t="inlineStr">
        <is>
          <t>Earlier B3 → B+. Placed with tolerance: span 9 vs norm 3–6 · outside the ±2 tolerance. A small shortfall or a wider span is accepted and confirmed in calibration; Moved up to the B+ Player-Coach transition step: leads people and still does hands-on work; Player-Coach score 6.25 · needs 6.25 and complexity–accountability average 6.00 · needs 5.5.</t>
        </is>
      </c>
    </row>
    <row r="32" ht="41" customHeight="1">
      <c r="A32" s="13" t="inlineStr">
        <is>
          <t>Jay Gudhka</t>
        </is>
      </c>
      <c r="B32" s="16" t="inlineStr">
        <is>
          <t>Technology</t>
        </is>
      </c>
      <c r="C32" s="15" t="inlineStr">
        <is>
          <t>A3</t>
        </is>
      </c>
      <c r="D32" s="15" t="n">
        <v>3.52</v>
      </c>
      <c r="E32" s="16" t="inlineStr">
        <is>
          <t>Technical Specialist</t>
        </is>
      </c>
      <c r="F32" s="16" t="inlineStr">
        <is>
          <t>Earlier B1 → A3. Stays at A3, the top of Band A: to enter Band B the score must reach 3.5 on Band B's own weights, and it is 3.46.</t>
        </is>
      </c>
    </row>
    <row r="33" ht="28" customHeight="1">
      <c r="A33" s="13" t="inlineStr">
        <is>
          <t>Shreekanth Samala</t>
        </is>
      </c>
      <c r="B33" s="16" t="inlineStr">
        <is>
          <t>Technology</t>
        </is>
      </c>
      <c r="C33" s="15" t="inlineStr">
        <is>
          <t>A3</t>
        </is>
      </c>
      <c r="D33" s="15" t="n">
        <v>3.45</v>
      </c>
      <c r="E33" s="16" t="inlineStr">
        <is>
          <t>Support Specialist</t>
        </is>
      </c>
      <c r="F33" s="16" t="inlineStr">
        <is>
          <t>Earlier B1 → A3. No rule changed the level: the score decides.</t>
        </is>
      </c>
    </row>
    <row r="34" ht="28" customHeight="1">
      <c r="A34" s="13" t="inlineStr">
        <is>
          <t>Vishal Pingle</t>
        </is>
      </c>
      <c r="B34" s="16" t="inlineStr">
        <is>
          <t>Technology</t>
        </is>
      </c>
      <c r="C34" s="15" t="inlineStr">
        <is>
          <t>B1</t>
        </is>
      </c>
      <c r="D34" s="15" t="n">
        <v>4.3</v>
      </c>
      <c r="E34" s="16" t="inlineStr">
        <is>
          <t>Senior Business Analysis Specialist</t>
        </is>
      </c>
      <c r="F34" s="16" t="inlineStr">
        <is>
          <t>Earlier B2 → B1. No rule changed the level: the score decides.</t>
        </is>
      </c>
    </row>
    <row r="35" ht="15" customHeight="1"/>
    <row r="36" ht="20" customHeight="1">
      <c r="A36" s="6" t="inlineStr">
        <is>
          <t>F. Provisional placements — HR to confirm experience — 1</t>
        </is>
      </c>
    </row>
    <row r="37" ht="15" customHeight="1">
      <c r="A37" s="11" t="inlineStr">
        <is>
          <t>Red = input needed from HR.</t>
        </is>
      </c>
    </row>
    <row r="38" ht="15" customHeight="1">
      <c r="A38" s="12" t="inlineStr">
        <is>
          <t>Person</t>
        </is>
      </c>
      <c r="B38" s="12" t="inlineStr">
        <is>
          <t>Department</t>
        </is>
      </c>
      <c r="C38" s="12" t="inlineStr">
        <is>
          <t>Level</t>
        </is>
      </c>
      <c r="D38" s="12" t="inlineStr">
        <is>
          <t>Score</t>
        </is>
      </c>
      <c r="E38" s="12" t="inlineStr">
        <is>
          <t>Designation</t>
        </is>
      </c>
      <c r="F38" s="12" t="inlineStr">
        <is>
          <t>Reason / rule</t>
        </is>
      </c>
    </row>
    <row r="39" ht="28" customHeight="1">
      <c r="A39" s="13" t="inlineStr">
        <is>
          <t>Nidhi Kulkarni</t>
        </is>
      </c>
      <c r="B39" s="16" t="inlineStr">
        <is>
          <t>Technology</t>
        </is>
      </c>
      <c r="C39" s="15" t="inlineStr">
        <is>
          <t>A3</t>
        </is>
      </c>
      <c r="D39" s="15" t="n">
        <v>2.53</v>
      </c>
      <c r="E39" s="16" t="inlineStr">
        <is>
          <t>Senior Support Executive</t>
        </is>
      </c>
      <c r="F39" s="151" t="inlineStr">
        <is>
          <t>• Total experience is not on record · new joiner — level is provisional until HR adds it</t>
        </is>
      </c>
    </row>
    <row r="40" ht="15" customHeight="1"/>
    <row r="41" ht="20" customHeight="1">
      <c r="A41" s="6" t="inlineStr">
        <is>
          <t>G. Titles to review · N3 market titles / checks — 5</t>
        </is>
      </c>
    </row>
    <row r="42" ht="15" customHeight="1">
      <c r="A42" s="11" t="inlineStr">
        <is>
          <t>Market-standard role titles are kept by rule N3; the grade shows the level.</t>
        </is>
      </c>
    </row>
    <row r="43" ht="15" customHeight="1">
      <c r="A43" s="12" t="inlineStr">
        <is>
          <t>Person</t>
        </is>
      </c>
      <c r="B43" s="12" t="inlineStr">
        <is>
          <t>Department</t>
        </is>
      </c>
      <c r="C43" s="12" t="inlineStr">
        <is>
          <t>Level</t>
        </is>
      </c>
      <c r="D43" s="12" t="inlineStr">
        <is>
          <t>Score</t>
        </is>
      </c>
      <c r="E43" s="12" t="inlineStr">
        <is>
          <t>Designation</t>
        </is>
      </c>
      <c r="F43" s="12" t="inlineStr">
        <is>
          <t>Reason / rule</t>
        </is>
      </c>
    </row>
    <row r="44" ht="28" customHeight="1">
      <c r="A44" s="13" t="inlineStr">
        <is>
          <t>Reena Gotal</t>
        </is>
      </c>
      <c r="B44" s="16" t="inlineStr">
        <is>
          <t>Quality Assurance</t>
        </is>
      </c>
      <c r="C44" s="15" t="inlineStr">
        <is>
          <t>B1</t>
        </is>
      </c>
      <c r="D44" s="15" t="n">
        <v>3.85</v>
      </c>
      <c r="E44" s="16" t="inlineStr">
        <is>
          <t>QA Manager</t>
        </is>
      </c>
      <c r="F44" s="16" t="inlineStr">
        <is>
          <t>Check title against ladder</t>
        </is>
      </c>
    </row>
    <row r="45" ht="15" customHeight="1">
      <c r="A45" s="13" t="inlineStr">
        <is>
          <t>Deepali Barai</t>
        </is>
      </c>
      <c r="B45" s="16" t="inlineStr">
        <is>
          <t>Sales</t>
        </is>
      </c>
      <c r="C45" s="15" t="inlineStr">
        <is>
          <t>B1</t>
        </is>
      </c>
      <c r="D45" s="15" t="n">
        <v>3.99</v>
      </c>
      <c r="E45" s="16" t="inlineStr">
        <is>
          <t>Account Executive</t>
        </is>
      </c>
      <c r="F45" s="16" t="inlineStr">
        <is>
          <t>Market-standard role title</t>
        </is>
      </c>
    </row>
    <row r="46" ht="15" customHeight="1">
      <c r="A46" s="13" t="inlineStr">
        <is>
          <t>Anand Usakoyal</t>
        </is>
      </c>
      <c r="B46" s="16" t="inlineStr">
        <is>
          <t>Technology</t>
        </is>
      </c>
      <c r="C46" s="15" t="inlineStr">
        <is>
          <t>B1</t>
        </is>
      </c>
      <c r="D46" s="15" t="n">
        <v>3.94</v>
      </c>
      <c r="E46" s="16" t="inlineStr">
        <is>
          <t>Associate Project Manager</t>
        </is>
      </c>
      <c r="F46" s="16" t="inlineStr">
        <is>
          <t>Market-standard role title</t>
        </is>
      </c>
    </row>
    <row r="47" ht="15" customHeight="1">
      <c r="A47" s="13" t="inlineStr">
        <is>
          <t>Jay Gudhka</t>
        </is>
      </c>
      <c r="B47" s="16" t="inlineStr">
        <is>
          <t>Technology</t>
        </is>
      </c>
      <c r="C47" s="15" t="inlineStr">
        <is>
          <t>A3</t>
        </is>
      </c>
      <c r="D47" s="15" t="n">
        <v>3.52</v>
      </c>
      <c r="E47" s="16" t="inlineStr">
        <is>
          <t>Technical Specialist</t>
        </is>
      </c>
      <c r="F47" s="16" t="inlineStr">
        <is>
          <t>Check title against ladder</t>
        </is>
      </c>
    </row>
    <row r="48" ht="15" customHeight="1">
      <c r="A48" s="13" t="inlineStr">
        <is>
          <t>Shreekanth Samala</t>
        </is>
      </c>
      <c r="B48" s="16" t="inlineStr">
        <is>
          <t>Technology</t>
        </is>
      </c>
      <c r="C48" s="15" t="inlineStr">
        <is>
          <t>A3</t>
        </is>
      </c>
      <c r="D48" s="15" t="n">
        <v>3.45</v>
      </c>
      <c r="E48" s="16" t="inlineStr">
        <is>
          <t>Support Specialist</t>
        </is>
      </c>
      <c r="F48" s="16" t="inlineStr">
        <is>
          <t>Check title against ladder</t>
        </is>
      </c>
    </row>
    <row r="49" ht="15" customHeight="1"/>
    <row r="50" ht="20" customHeight="1">
      <c r="A50" s="6" t="inlineStr">
        <is>
          <t>H. Long-tenure people at A3 · 8+ yrs — role-widening review — 3</t>
        </is>
      </c>
    </row>
    <row r="51" ht="15" customHeight="1">
      <c r="A51" s="11" t="inlineStr">
        <is>
          <t>Their role shows Band A work. Use the top of the A3 range for proven experts; widen roles where real B1 work exists.</t>
        </is>
      </c>
    </row>
    <row r="52" ht="15" customHeight="1">
      <c r="A52" s="12" t="inlineStr">
        <is>
          <t>Person</t>
        </is>
      </c>
      <c r="B52" s="12" t="inlineStr">
        <is>
          <t>Department</t>
        </is>
      </c>
      <c r="C52" s="12" t="inlineStr">
        <is>
          <t>Level</t>
        </is>
      </c>
      <c r="D52" s="12" t="inlineStr">
        <is>
          <t>Score</t>
        </is>
      </c>
      <c r="E52" s="12" t="inlineStr">
        <is>
          <t>Designation</t>
        </is>
      </c>
      <c r="F52" s="12" t="inlineStr">
        <is>
          <t>Reason / rule</t>
        </is>
      </c>
    </row>
    <row r="53" ht="28" customHeight="1">
      <c r="A53" s="13" t="inlineStr">
        <is>
          <t>Srijith Menon</t>
        </is>
      </c>
      <c r="B53" s="16" t="inlineStr">
        <is>
          <t>Product Management</t>
        </is>
      </c>
      <c r="C53" s="15" t="inlineStr">
        <is>
          <t>A3</t>
        </is>
      </c>
      <c r="D53" s="15" t="n">
        <v>2.67</v>
      </c>
      <c r="E53" s="16" t="inlineStr">
        <is>
          <t>Senior Product Analyst</t>
        </is>
      </c>
      <c r="F53" s="16" t="inlineStr">
        <is>
          <t>8 yrs total. No rule changed the level: the score decides.</t>
        </is>
      </c>
    </row>
    <row r="54" ht="15" customHeight="1">
      <c r="A54" s="13" t="inlineStr">
        <is>
          <t>H Marenna</t>
        </is>
      </c>
      <c r="B54" s="16" t="inlineStr">
        <is>
          <t>Technology</t>
        </is>
      </c>
      <c r="C54" s="15" t="inlineStr">
        <is>
          <t>A3</t>
        </is>
      </c>
      <c r="D54" s="15" t="n">
        <v>2.8</v>
      </c>
      <c r="E54" s="16" t="inlineStr">
        <is>
          <t>Senior Database Engineer</t>
        </is>
      </c>
      <c r="F54" s="16" t="inlineStr">
        <is>
          <t>9.2 yrs total. No rule changed the level: the score decides.</t>
        </is>
      </c>
    </row>
    <row r="55" ht="28" customHeight="1">
      <c r="A55" s="13" t="inlineStr">
        <is>
          <t>Shreekanth Samala</t>
        </is>
      </c>
      <c r="B55" s="16" t="inlineStr">
        <is>
          <t>Technology</t>
        </is>
      </c>
      <c r="C55" s="15" t="inlineStr">
        <is>
          <t>A3</t>
        </is>
      </c>
      <c r="D55" s="15" t="n">
        <v>3.45</v>
      </c>
      <c r="E55" s="16" t="inlineStr">
        <is>
          <t>Support Specialist</t>
        </is>
      </c>
      <c r="F55" s="16" t="inlineStr">
        <is>
          <t>13.4 yrs total. No rule changed the level: the score decides.</t>
        </is>
      </c>
    </row>
    <row r="56" ht="15" customHeight="1"/>
    <row r="57" ht="20" customHeight="1">
      <c r="A57" s="6" t="inlineStr">
        <is>
          <t>I. Senior titles held by the structural gate — 0</t>
        </is>
      </c>
    </row>
    <row r="58" ht="15" customHeight="1">
      <c r="A58" s="11" t="inlineStr">
        <is>
          <t>Business head to confirm scope; title protected for one cycle. Red = input needed.</t>
        </is>
      </c>
    </row>
    <row r="59" ht="15" customHeight="1">
      <c r="A59" s="11" t="inlineStr">
        <is>
          <t>No cases.</t>
        </is>
      </c>
    </row>
    <row r="60" ht="20" customHeight="1">
      <c r="A60" s="6" t="inlineStr">
        <is>
          <t>J. Additional inputs needed — by person · the red cells on sheets 2, 3 and 8 — 2</t>
        </is>
      </c>
    </row>
    <row r="61" ht="15" customHeight="1">
      <c r="A61" s="11" t="inlineStr">
        <is>
          <t>Who must supply what before the placement can be confirmed. Pay is needed for everyone and is not repeated here.</t>
        </is>
      </c>
    </row>
    <row r="62" ht="15" customHeight="1">
      <c r="A62" s="12" t="inlineStr">
        <is>
          <t>Person</t>
        </is>
      </c>
      <c r="B62" s="12" t="inlineStr">
        <is>
          <t>Department</t>
        </is>
      </c>
      <c r="C62" s="12" t="inlineStr">
        <is>
          <t>Level</t>
        </is>
      </c>
      <c r="D62" s="12" t="inlineStr">
        <is>
          <t>Score</t>
        </is>
      </c>
      <c r="E62" s="12" t="inlineStr">
        <is>
          <t>Designation</t>
        </is>
      </c>
      <c r="F62" s="12" t="inlineStr">
        <is>
          <t>Input needed — who provides it</t>
        </is>
      </c>
    </row>
    <row r="63" ht="15" customHeight="1">
      <c r="A63" s="13" t="inlineStr">
        <is>
          <t>Swapnil Shirke</t>
        </is>
      </c>
      <c r="B63" s="16" t="inlineStr">
        <is>
          <t>Technology</t>
        </is>
      </c>
      <c r="C63" s="15" t="inlineStr">
        <is>
          <t>A3</t>
        </is>
      </c>
      <c r="D63" s="15" t="n">
        <v>2.91</v>
      </c>
      <c r="E63" s="16" t="inlineStr">
        <is>
          <t>Senior Software Engineer</t>
        </is>
      </c>
      <c r="F63" s="151" t="inlineStr">
        <is>
          <t>• Confirm the reporting line — Manager</t>
        </is>
      </c>
    </row>
    <row r="64" ht="28" customHeight="1">
      <c r="A64" s="13" t="inlineStr">
        <is>
          <t>Nidhi Kulkarni</t>
        </is>
      </c>
      <c r="B64" s="16" t="inlineStr">
        <is>
          <t>Technology</t>
        </is>
      </c>
      <c r="C64" s="15" t="inlineStr">
        <is>
          <t>A3</t>
        </is>
      </c>
      <c r="D64" s="15" t="n">
        <v>2.53</v>
      </c>
      <c r="E64" s="16" t="inlineStr">
        <is>
          <t>Senior Support Executive</t>
        </is>
      </c>
      <c r="F64" s="151" t="inlineStr">
        <is>
          <t>• Total experience · outside + at IRIS — HR — HRIS
• Confirm prior experience · provisional placement — HR</t>
        </is>
      </c>
    </row>
    <row r="65" ht="15" customHeight="1"/>
    <row r="66" ht="20" customHeight="1">
      <c r="A66" s="6" t="inlineStr">
        <is>
          <t>K. Open decisions</t>
        </is>
      </c>
    </row>
    <row r="67" ht="15" customHeight="1">
      <c r="A67" s="12" t="inlineStr">
        <is>
          <t>Decision</t>
        </is>
      </c>
      <c r="B67" s="12" t="inlineStr">
        <is>
          <t>Facts</t>
        </is>
      </c>
      <c r="C67" s="209" t="n"/>
      <c r="D67" s="12" t="inlineStr">
        <is>
          <t>Recommendation</t>
        </is>
      </c>
      <c r="E67" s="210" t="n"/>
      <c r="F67" s="209" t="n"/>
    </row>
    <row r="68" ht="28" customHeight="1">
      <c r="A68" s="13" t="inlineStr">
        <is>
          <t>Player-Coach transition steps</t>
        </is>
      </c>
      <c r="B68" s="16" t="inlineStr">
        <is>
          <t>1 placed; 0 candidates / watch.</t>
        </is>
      </c>
      <c r="C68" s="209" t="n"/>
      <c r="D68" s="16" t="inlineStr">
        <is>
          <t>Confirm hands-on share for each; review the watch list at the next cycle.</t>
        </is>
      </c>
      <c r="E68" s="210" t="n"/>
      <c r="F68" s="209" t="n"/>
    </row>
    <row r="69" ht="28" customHeight="1">
      <c r="A69" s="13" t="inlineStr">
        <is>
          <t>Long-tenure A3</t>
        </is>
      </c>
      <c r="B69" s="16" t="inlineStr">
        <is>
          <t>3 people with 8+ yrs at A3.</t>
        </is>
      </c>
      <c r="C69" s="209" t="n"/>
      <c r="D69" s="16" t="inlineStr">
        <is>
          <t>Keep the gate; pay at the top of the A3 range; widen roles where real B1 work exists.</t>
        </is>
      </c>
      <c r="E69" s="210" t="n"/>
      <c r="F69" s="209" t="n"/>
    </row>
    <row r="70" ht="41" customHeight="1">
      <c r="A70" s="13" t="inlineStr">
        <is>
          <t>Pay</t>
        </is>
      </c>
      <c r="B70" s="16" t="inlineStr">
        <is>
          <t>No pay data supplied; pay columns on sheet 2 are blank.</t>
        </is>
      </c>
      <c r="C70" s="209" t="n"/>
      <c r="D70" s="16" t="inlineStr">
        <is>
          <t>Buy one India survey and price each level · Master M14.</t>
        </is>
      </c>
      <c r="E70" s="210" t="n"/>
      <c r="F70" s="209" t="n"/>
    </row>
    <row r="71" ht="41" customHeight="1">
      <c r="A71" s="13" t="inlineStr">
        <is>
          <t>Weights</t>
        </is>
      </c>
      <c r="B71" s="16" t="inlineStr">
        <is>
          <t>Derived from Hay / Mercer principles; one formula for every set.</t>
        </is>
      </c>
      <c r="C71" s="209" t="n"/>
      <c r="D71" s="16" t="inlineStr">
        <is>
          <t>Test on 20–30 benchmark roles in calibration, then freeze for the cycle.</t>
        </is>
      </c>
      <c r="E71" s="210" t="n"/>
      <c r="F71" s="209" t="n"/>
    </row>
    <row r="72" ht="15" customHeight="1"/>
    <row r="73" ht="20" customHeight="1">
      <c r="A73" s="6" t="inlineStr">
        <is>
          <t>L. Quality checks run on this workbook</t>
        </is>
      </c>
    </row>
    <row r="74" ht="15" customHeight="1">
      <c r="A74" s="12" t="inlineStr">
        <is>
          <t>Check</t>
        </is>
      </c>
      <c r="B74" s="12" t="inlineStr">
        <is>
          <t>Result</t>
        </is>
      </c>
      <c r="C74" s="210" t="n"/>
      <c r="D74" s="210" t="n"/>
      <c r="E74" s="210" t="n"/>
      <c r="F74" s="209" t="n"/>
    </row>
    <row r="75" ht="28" customHeight="1">
      <c r="A75" s="13" t="inlineStr">
        <is>
          <t>Reproduction</t>
        </is>
      </c>
      <c r="B75" s="16" t="inlineStr">
        <is>
          <t>With the v1 weights the engine reproduces all 587 earlier placements — the rules are the earlier rules made explicit.</t>
        </is>
      </c>
      <c r="C75" s="210" t="n"/>
      <c r="D75" s="210" t="n"/>
      <c r="E75" s="210" t="n"/>
      <c r="F75" s="209" t="n"/>
    </row>
    <row r="76" ht="28" customHeight="1">
      <c r="A76" s="13" t="inlineStr">
        <is>
          <t>Traceability</t>
        </is>
      </c>
      <c r="B76" s="16" t="inlineStr">
        <is>
          <t>Every person whose final level differs from the score-indicated level has the rule that moved them recorded, with numbers.</t>
        </is>
      </c>
      <c r="C76" s="210" t="n"/>
      <c r="D76" s="210" t="n"/>
      <c r="E76" s="210" t="n"/>
      <c r="F76" s="209" t="n"/>
    </row>
    <row r="77" ht="28" customHeight="1">
      <c r="A77" s="13" t="inlineStr">
        <is>
          <t>Formulas</t>
        </is>
      </c>
      <c r="B77" s="16" t="inlineStr">
        <is>
          <t>Points, weighted score and indicated level recalculate live; their results are also stored in the file, so previews that do not calculate still show them.</t>
        </is>
      </c>
      <c r="C77" s="210" t="n"/>
      <c r="D77" s="210" t="n"/>
      <c r="E77" s="210" t="n"/>
      <c r="F77" s="209" t="n"/>
    </row>
    <row r="78" ht="41" customHeight="1">
      <c r="A78" s="13" t="inlineStr">
        <is>
          <t>Market data</t>
        </is>
      </c>
      <c r="B78" s="16" t="inlineStr">
        <is>
          <t>Company ladders cite a posting, a Levels.fyi page or a published standard; ladders IRIS assembled itself are labelled 'IRIS composite'. October 2026 source check: 42 sources and ladders read — 19 support the claim, 20 corrected, 1 dropped · DFIN ladder, 2 marked unverified · Zoho, ClearTax.</t>
        </is>
      </c>
      <c r="C78" s="210" t="n"/>
      <c r="D78" s="210" t="n"/>
      <c r="E78" s="210" t="n"/>
      <c r="F78" s="209" t="n"/>
    </row>
    <row r="79" ht="15" customHeight="1">
      <c r="A79" s="13" t="inlineStr">
        <is>
          <t>Pay</t>
        </is>
      </c>
      <c r="B79" s="16" t="inlineStr">
        <is>
          <t>All pay columns are blank by design.</t>
        </is>
      </c>
      <c r="C79" s="210" t="n"/>
      <c r="D79" s="210" t="n"/>
      <c r="E79" s="210" t="n"/>
      <c r="F79" s="209" t="n"/>
    </row>
    <row r="80" ht="28" customHeight="1">
      <c r="A80" s="13" t="inlineStr">
        <is>
          <t>Personal data</t>
        </is>
      </c>
      <c r="B80" s="16" t="inlineStr">
        <is>
          <t>Gender, age, date of birth, e-mail, mobile and resignation dates are excluded from every sheet · checked on every header by verify.py.</t>
        </is>
      </c>
      <c r="C80" s="210" t="n"/>
      <c r="D80" s="210" t="n"/>
      <c r="E80" s="210" t="n"/>
      <c r="F80" s="209" t="n"/>
    </row>
    <row r="81" ht="41" customHeight="1">
      <c r="A81" s="13" t="inlineStr">
        <is>
          <t>Survey answers</t>
        </is>
      </c>
      <c r="B81" s="16" t="inlineStr">
        <is>
          <r>
            <rPr>
              <rFont val="Calibri"/>
              <b val="1"/>
              <sz val="10"/>
            </rPr>
            <t>Used as evidence but never quoted against a name:</t>
          </r>
          <r>
            <rPr>
              <rFont val="Calibri"/>
              <sz val="10"/>
            </rPr>
            <t xml:space="preserve"> sheet 3 shows the number of questions answered; sheet 8 shows learning topics; the role catalogue shows holders' inputs only where 3+ answered · the role, else its sub-family, and views of the role only as counted themes.</t>
          </r>
        </is>
      </c>
      <c r="C81" s="210" t="n"/>
      <c r="D81" s="210" t="n"/>
      <c r="E81" s="210" t="n"/>
      <c r="F81" s="209" t="n"/>
    </row>
  </sheetData>
  <mergeCells count="47">
    <mergeCell ref="A41:F41"/>
    <mergeCell ref="A16:F16"/>
    <mergeCell ref="B75:F75"/>
    <mergeCell ref="A66:F66"/>
    <mergeCell ref="B81:F81"/>
    <mergeCell ref="A37:F37"/>
    <mergeCell ref="A27:F27"/>
    <mergeCell ref="D70:F70"/>
    <mergeCell ref="A12:F12"/>
    <mergeCell ref="A50:F50"/>
    <mergeCell ref="A3:F3"/>
    <mergeCell ref="B71:C71"/>
    <mergeCell ref="A57:F57"/>
    <mergeCell ref="A2:F2"/>
    <mergeCell ref="B70:C70"/>
    <mergeCell ref="B77:F77"/>
    <mergeCell ref="A42:F42"/>
    <mergeCell ref="A14:F14"/>
    <mergeCell ref="D71:F71"/>
    <mergeCell ref="A5:F5"/>
    <mergeCell ref="B67:C67"/>
    <mergeCell ref="A22:F22"/>
    <mergeCell ref="A17:F17"/>
    <mergeCell ref="D68:F68"/>
    <mergeCell ref="B69:C69"/>
    <mergeCell ref="A10:F10"/>
    <mergeCell ref="A28:F28"/>
    <mergeCell ref="D67:F67"/>
    <mergeCell ref="A13:F13"/>
    <mergeCell ref="B78:F78"/>
    <mergeCell ref="A58:F58"/>
    <mergeCell ref="D69:F69"/>
    <mergeCell ref="A15:F15"/>
    <mergeCell ref="A59:F59"/>
    <mergeCell ref="B74:F74"/>
    <mergeCell ref="A73:F73"/>
    <mergeCell ref="A11:F11"/>
    <mergeCell ref="A51:F51"/>
    <mergeCell ref="B68:C68"/>
    <mergeCell ref="A60:F60"/>
    <mergeCell ref="A36:F36"/>
    <mergeCell ref="A1:F1"/>
    <mergeCell ref="B80:F80"/>
    <mergeCell ref="A61:F61"/>
    <mergeCell ref="A6:F6"/>
    <mergeCell ref="B76:F76"/>
    <mergeCell ref="B79:F79"/>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6.xml><?xml version="1.0" encoding="utf-8"?>
<worksheet xmlns="http://schemas.openxmlformats.org/spreadsheetml/2006/main">
  <sheetPr>
    <tabColor rgb="001F3864"/>
    <outlinePr summaryBelow="1" summaryRight="1"/>
    <pageSetUpPr fitToPage="1"/>
  </sheetPr>
  <dimension ref="A1:P268"/>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3" customWidth="1" min="15" max="15"/>
    <col width="13" customWidth="1" min="16" max="16"/>
  </cols>
  <sheetData>
    <row r="1" ht="34" customHeight="1">
      <c r="A1" s="1" t="inlineStr">
        <is>
          <t>Job Architecture — iDEAL: Framework &amp; Logic</t>
        </is>
      </c>
      <c r="O1" s="241" t="inlineStr">
        <is>
          <t>◂ Contents</t>
        </is>
      </c>
    </row>
    <row r="2" ht="32" customHeight="1">
      <c r="A2" s="3" t="inlineStr">
        <is>
          <t>Sheet 10 · How the Master Framework is applied to iDEAL, step by step: classification, tracks, factors and weights, rules, levels, market benchmarks, capability, validation, data and sources.</t>
        </is>
      </c>
    </row>
    <row r="3">
      <c r="A3" s="4" t="inlineStr">
        <is>
          <t>IRIS · Job Architecture &amp; Job Design · Final v1.12 · October 2026 · Internal — Confidential</t>
        </is>
      </c>
    </row>
    <row r="4" ht="15" customHeight="1"/>
    <row r="5" ht="20" customHeight="1">
      <c r="A5" s="6" t="inlineStr">
        <is>
          <t>0. How this workbook works — the 12-step model · Master M2 and where each step lives</t>
        </is>
      </c>
    </row>
    <row r="6" ht="15" customHeight="1">
      <c r="A6" s="12" t="inlineStr">
        <is>
          <t>Step</t>
        </is>
      </c>
      <c r="B6" s="12" t="inlineStr">
        <is>
          <t>What happens</t>
        </is>
      </c>
      <c r="C6" s="210" t="n"/>
      <c r="D6" s="210" t="n"/>
      <c r="E6" s="209" t="n"/>
      <c r="F6" s="12" t="inlineStr">
        <is>
          <t>Rules · Master</t>
        </is>
      </c>
      <c r="G6" s="210" t="n"/>
      <c r="H6" s="210" t="n"/>
      <c r="I6" s="209" t="n"/>
      <c r="J6" s="12" t="inlineStr">
        <is>
          <t>Where in this workbook</t>
        </is>
      </c>
      <c r="K6" s="210" t="n"/>
      <c r="L6" s="210" t="n"/>
      <c r="M6" s="210" t="n"/>
      <c r="N6" s="209" t="n"/>
    </row>
    <row r="7" ht="15" customHeight="1">
      <c r="A7" s="170" t="inlineStr">
        <is>
          <t>1</t>
        </is>
      </c>
      <c r="B7" s="16" t="inlineStr">
        <is>
          <t>Collect inputs</t>
        </is>
      </c>
      <c r="C7" s="210" t="n"/>
      <c r="D7" s="210" t="n"/>
      <c r="E7" s="209" t="n"/>
      <c r="F7" s="16" t="inlineStr">
        <is>
          <t>Data rules D1–D3</t>
        </is>
      </c>
      <c r="G7" s="210" t="n"/>
      <c r="H7" s="210" t="n"/>
      <c r="I7" s="209" t="n"/>
      <c r="J7" s="16" t="inlineStr">
        <is>
          <t>Sheet 3 · raw data; Sheet 2 · person</t>
        </is>
      </c>
      <c r="K7" s="210" t="n"/>
      <c r="L7" s="210" t="n"/>
      <c r="M7" s="210" t="n"/>
      <c r="N7" s="209" t="n"/>
    </row>
    <row r="8" ht="15" customHeight="1">
      <c r="A8" s="170" t="inlineStr">
        <is>
          <t>2</t>
        </is>
      </c>
      <c r="B8" s="16" t="inlineStr">
        <is>
          <t>Classify the work</t>
        </is>
      </c>
      <c r="C8" s="210" t="n"/>
      <c r="D8" s="210" t="n"/>
      <c r="E8" s="209" t="n"/>
      <c r="F8" s="16" t="inlineStr">
        <is>
          <t>Taxonomy rules T1–T4</t>
        </is>
      </c>
      <c r="G8" s="210" t="n"/>
      <c r="H8" s="210" t="n"/>
      <c r="I8" s="209" t="n"/>
      <c r="J8" s="16" t="inlineStr">
        <is>
          <t>Sheet 1 · changes; Sheet 2</t>
        </is>
      </c>
      <c r="K8" s="210" t="n"/>
      <c r="L8" s="210" t="n"/>
      <c r="M8" s="210" t="n"/>
      <c r="N8" s="209" t="n"/>
    </row>
    <row r="9" ht="15" customHeight="1">
      <c r="A9" s="170" t="inlineStr">
        <is>
          <t>3</t>
        </is>
      </c>
      <c r="B9" s="16" t="inlineStr">
        <is>
          <t>Set the track</t>
        </is>
      </c>
      <c r="C9" s="210" t="n"/>
      <c r="D9" s="210" t="n"/>
      <c r="E9" s="209" t="n"/>
      <c r="F9" s="16" t="inlineStr">
        <is>
          <t>Track rules K1–K6</t>
        </is>
      </c>
      <c r="G9" s="210" t="n"/>
      <c r="H9" s="210" t="n"/>
      <c r="I9" s="209" t="n"/>
      <c r="J9" s="16" t="inlineStr">
        <is>
          <t>Sheet 2 · track</t>
        </is>
      </c>
      <c r="K9" s="210" t="n"/>
      <c r="L9" s="210" t="n"/>
      <c r="M9" s="210" t="n"/>
      <c r="N9" s="209" t="n"/>
    </row>
    <row r="10" ht="15" customHeight="1">
      <c r="A10" s="170" t="inlineStr">
        <is>
          <t>4</t>
        </is>
      </c>
      <c r="B10" s="16" t="inlineStr">
        <is>
          <t>Rate the six factors</t>
        </is>
      </c>
      <c r="C10" s="210" t="n"/>
      <c r="D10" s="210" t="n"/>
      <c r="E10" s="209" t="n"/>
      <c r="F10" s="16" t="inlineStr">
        <is>
          <t>Factor scales F1–F5; evidence rules E1–E3</t>
        </is>
      </c>
      <c r="G10" s="210" t="n"/>
      <c r="H10" s="210" t="n"/>
      <c r="I10" s="209" t="n"/>
      <c r="J10" s="16" t="inlineStr">
        <is>
          <t>Sheet 2 · ratings + justification</t>
        </is>
      </c>
      <c r="K10" s="210" t="n"/>
      <c r="L10" s="210" t="n"/>
      <c r="M10" s="210" t="n"/>
      <c r="N10" s="209" t="n"/>
    </row>
    <row r="11" ht="15" customHeight="1">
      <c r="A11" s="170" t="inlineStr">
        <is>
          <t>5</t>
        </is>
      </c>
      <c r="B11" s="16" t="inlineStr">
        <is>
          <t>Pick the weights</t>
        </is>
      </c>
      <c r="C11" s="210" t="n"/>
      <c r="D11" s="210" t="n"/>
      <c r="E11" s="209" t="n"/>
      <c r="F11" s="16" t="inlineStr">
        <is>
          <t>Weight model W1–W4</t>
        </is>
      </c>
      <c r="G11" s="210" t="n"/>
      <c r="H11" s="210" t="n"/>
      <c r="I11" s="209" t="n"/>
      <c r="J11" s="16" t="inlineStr">
        <is>
          <t>Sheet 2 · weights</t>
        </is>
      </c>
      <c r="K11" s="210" t="n"/>
      <c r="L11" s="210" t="n"/>
      <c r="M11" s="210" t="n"/>
      <c r="N11" s="209" t="n"/>
    </row>
    <row r="12" ht="15" customHeight="1">
      <c r="A12" s="170" t="inlineStr">
        <is>
          <t>6</t>
        </is>
      </c>
      <c r="B12" s="16" t="inlineStr">
        <is>
          <t>Score</t>
        </is>
      </c>
      <c r="C12" s="210" t="n"/>
      <c r="D12" s="210" t="n"/>
      <c r="E12" s="209" t="n"/>
      <c r="F12" s="16" t="inlineStr">
        <is>
          <t>R3</t>
        </is>
      </c>
      <c r="G12" s="210" t="n"/>
      <c r="H12" s="210" t="n"/>
      <c r="I12" s="209" t="n"/>
      <c r="J12" s="16" t="inlineStr">
        <is>
          <t>Sheet 2 · score formula</t>
        </is>
      </c>
      <c r="K12" s="210" t="n"/>
      <c r="L12" s="210" t="n"/>
      <c r="M12" s="210" t="n"/>
      <c r="N12" s="209" t="n"/>
    </row>
    <row r="13" ht="28" customHeight="1">
      <c r="A13" s="170" t="inlineStr">
        <is>
          <t>7</t>
        </is>
      </c>
      <c r="B13" s="16" t="inlineStr">
        <is>
          <t>Apply limits, gates and Player-Coach transition steps</t>
        </is>
      </c>
      <c r="C13" s="210" t="n"/>
      <c r="D13" s="210" t="n"/>
      <c r="E13" s="209" t="n"/>
      <c r="F13" s="16" t="inlineStr">
        <is>
          <t>R1–R10 in order</t>
        </is>
      </c>
      <c r="G13" s="210" t="n"/>
      <c r="H13" s="210" t="n"/>
      <c r="I13" s="209" t="n"/>
      <c r="J13" s="16" t="inlineStr">
        <is>
          <t>Sheet 2 · gates &amp; limits; Sheet 9</t>
        </is>
      </c>
      <c r="K13" s="210" t="n"/>
      <c r="L13" s="210" t="n"/>
      <c r="M13" s="210" t="n"/>
      <c r="N13" s="209" t="n"/>
    </row>
    <row r="14" ht="15" customHeight="1">
      <c r="A14" s="170" t="inlineStr">
        <is>
          <t>8</t>
        </is>
      </c>
      <c r="B14" s="16" t="inlineStr">
        <is>
          <t>Place level and title</t>
        </is>
      </c>
      <c r="C14" s="210" t="n"/>
      <c r="D14" s="210" t="n"/>
      <c r="E14" s="209" t="n"/>
      <c r="F14" s="16" t="inlineStr">
        <is>
          <t>Title rules N1–N5</t>
        </is>
      </c>
      <c r="G14" s="210" t="n"/>
      <c r="H14" s="210" t="n"/>
      <c r="I14" s="209" t="n"/>
      <c r="J14" s="16" t="inlineStr">
        <is>
          <t>Sheet 2; Sheet 7</t>
        </is>
      </c>
      <c r="K14" s="210" t="n"/>
      <c r="L14" s="210" t="n"/>
      <c r="M14" s="210" t="n"/>
      <c r="N14" s="209" t="n"/>
    </row>
    <row r="15" ht="15" customHeight="1">
      <c r="A15" s="170" t="inlineStr">
        <is>
          <t>9</t>
        </is>
      </c>
      <c r="B15" s="16" t="inlineStr">
        <is>
          <t>Benchmark to market</t>
        </is>
      </c>
      <c r="C15" s="210" t="n"/>
      <c r="D15" s="210" t="n"/>
      <c r="E15" s="209" t="n"/>
      <c r="F15" s="16" t="inlineStr">
        <is>
          <t>Crosswalk</t>
        </is>
      </c>
      <c r="G15" s="210" t="n"/>
      <c r="H15" s="210" t="n"/>
      <c r="I15" s="209" t="n"/>
      <c r="J15" s="16" t="inlineStr">
        <is>
          <t>Sheet 3 · market standards; Sheet 7; Sheet 11</t>
        </is>
      </c>
      <c r="K15" s="210" t="n"/>
      <c r="L15" s="210" t="n"/>
      <c r="M15" s="210" t="n"/>
      <c r="N15" s="209" t="n"/>
    </row>
    <row r="16" ht="15" customHeight="1">
      <c r="A16" s="170" t="inlineStr">
        <is>
          <t>10</t>
        </is>
      </c>
      <c r="B16" s="16" t="inlineStr">
        <is>
          <t>Set the capability profile</t>
        </is>
      </c>
      <c r="C16" s="210" t="n"/>
      <c r="D16" s="210" t="n"/>
      <c r="E16" s="209" t="n"/>
      <c r="F16" s="16" t="inlineStr">
        <is>
          <t>Competency model C1–C5</t>
        </is>
      </c>
      <c r="G16" s="210" t="n"/>
      <c r="H16" s="210" t="n"/>
      <c r="I16" s="209" t="n"/>
      <c r="J16" s="16" t="inlineStr">
        <is>
          <t>Sheet 4 · role competencies; Sheet 5</t>
        </is>
      </c>
      <c r="K16" s="210" t="n"/>
      <c r="L16" s="210" t="n"/>
      <c r="M16" s="210" t="n"/>
      <c r="N16" s="209" t="n"/>
    </row>
    <row r="17" ht="15" customHeight="1">
      <c r="A17" s="170" t="inlineStr">
        <is>
          <t>11</t>
        </is>
      </c>
      <c r="B17" s="16" t="inlineStr">
        <is>
          <t>Develop, retain and move</t>
        </is>
      </c>
      <c r="C17" s="210" t="n"/>
      <c r="D17" s="210" t="n"/>
      <c r="E17" s="209" t="n"/>
      <c r="F17" s="16" t="inlineStr">
        <is>
          <t>Career rules G1–G6</t>
        </is>
      </c>
      <c r="G17" s="210" t="n"/>
      <c r="H17" s="210" t="n"/>
      <c r="I17" s="209" t="n"/>
      <c r="J17" s="16" t="inlineStr">
        <is>
          <t>Sheet 6 · role profiles; Sheet 8</t>
        </is>
      </c>
      <c r="K17" s="210" t="n"/>
      <c r="L17" s="210" t="n"/>
      <c r="M17" s="210" t="n"/>
      <c r="N17" s="209" t="n"/>
    </row>
    <row r="18" ht="15" customHeight="1">
      <c r="A18" s="170" t="inlineStr">
        <is>
          <t>12</t>
        </is>
      </c>
      <c r="B18" s="16" t="inlineStr">
        <is>
          <t>Validate and govern</t>
        </is>
      </c>
      <c r="C18" s="210" t="n"/>
      <c r="D18" s="210" t="n"/>
      <c r="E18" s="209" t="n"/>
      <c r="F18" s="16" t="inlineStr">
        <is>
          <t>Governance V1–V6</t>
        </is>
      </c>
      <c r="G18" s="210" t="n"/>
      <c r="H18" s="210" t="n"/>
      <c r="I18" s="209" t="n"/>
      <c r="J18" s="16" t="inlineStr">
        <is>
          <t>Sheet 2 · validation; Sheet 9</t>
        </is>
      </c>
      <c r="K18" s="210" t="n"/>
      <c r="L18" s="210" t="n"/>
      <c r="M18" s="210" t="n"/>
      <c r="N18" s="209" t="n"/>
    </row>
    <row r="19" ht="15" customHeight="1">
      <c r="A19" s="170" t="inlineStr">
        <is>
          <t>—</t>
        </is>
      </c>
      <c r="B19" s="16" t="inlineStr">
        <is>
          <t>Overview</t>
        </is>
      </c>
      <c r="C19" s="210" t="n"/>
      <c r="D19" s="210" t="n"/>
      <c r="E19" s="209" t="n"/>
      <c r="F19" s="16" t="inlineStr">
        <is>
          <t>Counts, changes, distribution</t>
        </is>
      </c>
      <c r="G19" s="210" t="n"/>
      <c r="H19" s="210" t="n"/>
      <c r="I19" s="209" t="n"/>
      <c r="J19" s="16" t="inlineStr">
        <is>
          <t>Sheet 1</t>
        </is>
      </c>
      <c r="K19" s="210" t="n"/>
      <c r="L19" s="210" t="n"/>
      <c r="M19" s="210" t="n"/>
      <c r="N19" s="209" t="n"/>
    </row>
    <row r="20" ht="15" customHeight="1">
      <c r="A20" s="170" t="inlineStr">
        <is>
          <t>—</t>
        </is>
      </c>
      <c r="B20" s="16" t="inlineStr">
        <is>
          <t>Role competencies</t>
        </is>
      </c>
      <c r="C20" s="210" t="n"/>
      <c r="D20" s="210" t="n"/>
      <c r="E20" s="209" t="n"/>
      <c r="F20" s="16" t="inlineStr">
        <is>
          <t>C1–C5 per band / role / sub-family</t>
        </is>
      </c>
      <c r="G20" s="210" t="n"/>
      <c r="H20" s="210" t="n"/>
      <c r="I20" s="209" t="n"/>
      <c r="J20" s="16" t="inlineStr">
        <is>
          <t>Sheet 4</t>
        </is>
      </c>
      <c r="K20" s="210" t="n"/>
      <c r="L20" s="210" t="n"/>
      <c r="M20" s="210" t="n"/>
      <c r="N20" s="209" t="n"/>
    </row>
    <row r="21" ht="15" customHeight="1">
      <c r="A21" s="170" t="inlineStr">
        <is>
          <t>—</t>
        </is>
      </c>
      <c r="B21" s="16" t="inlineStr">
        <is>
          <t>Role catalogue · job design</t>
        </is>
      </c>
      <c r="C21" s="210" t="n"/>
      <c r="D21" s="210" t="n"/>
      <c r="E21" s="209" t="n"/>
      <c r="F21" s="16" t="inlineStr">
        <is>
          <t>All steps combined per role, IRIS-wide</t>
        </is>
      </c>
      <c r="G21" s="210" t="n"/>
      <c r="H21" s="210" t="n"/>
      <c r="I21" s="209" t="n"/>
      <c r="J21" s="16" t="inlineStr">
        <is>
          <t>Sheet 6</t>
        </is>
      </c>
      <c r="K21" s="210" t="n"/>
      <c r="L21" s="210" t="n"/>
      <c r="M21" s="210" t="n"/>
      <c r="N21" s="209" t="n"/>
    </row>
    <row r="22" ht="15" customHeight="1">
      <c r="A22" s="170" t="inlineStr">
        <is>
          <t>—</t>
        </is>
      </c>
      <c r="B22" s="16" t="inlineStr">
        <is>
          <t>Raw data &amp; market standards</t>
        </is>
      </c>
      <c r="C22" s="210" t="n"/>
      <c r="D22" s="210" t="n"/>
      <c r="E22" s="209" t="n"/>
      <c r="F22" s="16" t="inlineStr">
        <is>
          <t>D1–D3; M13</t>
        </is>
      </c>
      <c r="G22" s="210" t="n"/>
      <c r="H22" s="210" t="n"/>
      <c r="I22" s="209" t="n"/>
      <c r="J22" s="16" t="inlineStr">
        <is>
          <t>Sheet 3</t>
        </is>
      </c>
      <c r="K22" s="210" t="n"/>
      <c r="L22" s="210" t="n"/>
      <c r="M22" s="210" t="n"/>
      <c r="N22" s="209" t="n"/>
    </row>
    <row r="23" ht="28" customHeight="1">
      <c r="A23" s="170" t="inlineStr">
        <is>
          <t>—</t>
        </is>
      </c>
      <c r="B23" s="16" t="inlineStr">
        <is>
          <t>References &amp; benchmarks</t>
        </is>
      </c>
      <c r="C23" s="210" t="n"/>
      <c r="D23" s="210" t="n"/>
      <c r="E23" s="209" t="n"/>
      <c r="F23" s="16" t="inlineStr">
        <is>
          <t>Competitors, regtech / SaaS leaders, standards, databases, sites</t>
        </is>
      </c>
      <c r="G23" s="210" t="n"/>
      <c r="H23" s="210" t="n"/>
      <c r="I23" s="209" t="n"/>
      <c r="J23" s="16" t="inlineStr">
        <is>
          <t>Sheet 11</t>
        </is>
      </c>
      <c r="K23" s="210" t="n"/>
      <c r="L23" s="210" t="n"/>
      <c r="M23" s="210" t="n"/>
      <c r="N23" s="209" t="n"/>
    </row>
    <row r="24" ht="15" customHeight="1"/>
    <row r="25" ht="20" customHeight="1">
      <c r="A25" s="6" t="inlineStr">
        <is>
          <t>1. At a glance</t>
        </is>
      </c>
    </row>
    <row r="26" ht="15" customHeight="1">
      <c r="A26" s="12" t="inlineStr">
        <is>
          <t>Measure</t>
        </is>
      </c>
      <c r="B26" s="210" t="n"/>
      <c r="C26" s="210" t="n"/>
      <c r="D26" s="210" t="n"/>
      <c r="E26" s="209" t="n"/>
      <c r="F26" s="12" t="inlineStr">
        <is>
          <t>Value</t>
        </is>
      </c>
      <c r="G26" s="210" t="n"/>
      <c r="H26" s="209" t="n"/>
      <c r="I26" s="12" t="inlineStr">
        <is>
          <t>Note</t>
        </is>
      </c>
      <c r="J26" s="210" t="n"/>
      <c r="K26" s="210" t="n"/>
      <c r="L26" s="210" t="n"/>
      <c r="M26" s="210" t="n"/>
      <c r="N26" s="209" t="n"/>
    </row>
    <row r="27" ht="15" customHeight="1">
      <c r="A27" s="13" t="inlineStr">
        <is>
          <t>People in scope</t>
        </is>
      </c>
      <c r="B27" s="210" t="n"/>
      <c r="C27" s="210" t="n"/>
      <c r="D27" s="210" t="n"/>
      <c r="E27" s="209" t="n"/>
      <c r="F27" s="15" t="n">
        <v>47</v>
      </c>
      <c r="G27" s="210" t="n"/>
      <c r="H27" s="209" t="n"/>
      <c r="I27" s="16" t="inlineStr">
        <is>
          <t>All records, including consultants and interns</t>
        </is>
      </c>
      <c r="J27" s="210" t="n"/>
      <c r="K27" s="210" t="n"/>
      <c r="L27" s="210" t="n"/>
      <c r="M27" s="210" t="n"/>
      <c r="N27" s="209" t="n"/>
    </row>
    <row r="28" ht="15" customHeight="1">
      <c r="A28" s="13" t="inlineStr">
        <is>
          <t>On the employee ladder / consultants</t>
        </is>
      </c>
      <c r="B28" s="210" t="n"/>
      <c r="C28" s="210" t="n"/>
      <c r="D28" s="210" t="n"/>
      <c r="E28" s="209" t="n"/>
      <c r="F28" s="15" t="inlineStr">
        <is>
          <t>47 / 0</t>
        </is>
      </c>
      <c r="G28" s="210" t="n"/>
      <c r="H28" s="209" t="n"/>
      <c r="I28" s="16" t="inlineStr">
        <is>
          <t>Consultants sit outside the ladder</t>
        </is>
      </c>
      <c r="J28" s="210" t="n"/>
      <c r="K28" s="210" t="n"/>
      <c r="L28" s="210" t="n"/>
      <c r="M28" s="210" t="n"/>
      <c r="N28" s="209" t="n"/>
    </row>
    <row r="29" ht="41" customHeight="1">
      <c r="A29" s="13" t="inlineStr">
        <is>
          <t>Departments · job families · sub-families · roles</t>
        </is>
      </c>
      <c r="B29" s="210" t="n"/>
      <c r="C29" s="210" t="n"/>
      <c r="D29" s="210" t="n"/>
      <c r="E29" s="209" t="n"/>
      <c r="F29" s="15" t="inlineStr">
        <is>
          <t>6 · 10 · 15 · 28</t>
        </is>
      </c>
      <c r="G29" s="210" t="n"/>
      <c r="H29" s="209" t="n"/>
      <c r="I29" s="16" t="inlineStr">
        <is>
          <t>Role = the same designation at the same level, within a department, job family and track. Families exclude 'Unassigned' · consultants with no role on record</t>
        </is>
      </c>
      <c r="J29" s="210" t="n"/>
      <c r="K29" s="210" t="n"/>
      <c r="L29" s="210" t="n"/>
      <c r="M29" s="210" t="n"/>
      <c r="N29" s="209" t="n"/>
    </row>
    <row r="30" ht="15" customHeight="1">
      <c r="A30" s="13" t="inlineStr">
        <is>
          <t>IC / POD Lead / Player-Coach / People Manager</t>
        </is>
      </c>
      <c r="B30" s="210" t="n"/>
      <c r="C30" s="210" t="n"/>
      <c r="D30" s="210" t="n"/>
      <c r="E30" s="209" t="n"/>
      <c r="F30" s="15" t="inlineStr">
        <is>
          <t>39 / 2 / 1 / 5</t>
        </is>
      </c>
      <c r="G30" s="210" t="n"/>
      <c r="H30" s="209" t="n"/>
      <c r="I30" s="16" t="inlineStr">
        <is>
          <t>Track rules K1–K6</t>
        </is>
      </c>
      <c r="J30" s="210" t="n"/>
      <c r="K30" s="210" t="n"/>
      <c r="L30" s="210" t="n"/>
      <c r="M30" s="210" t="n"/>
      <c r="N30" s="209" t="n"/>
    </row>
    <row r="31" ht="15" customHeight="1">
      <c r="A31" s="13" t="inlineStr">
        <is>
          <t>Final level vs current: up / down / same / newly mapped</t>
        </is>
      </c>
      <c r="B31" s="210" t="n"/>
      <c r="C31" s="210" t="n"/>
      <c r="D31" s="210" t="n"/>
      <c r="E31" s="209" t="n"/>
      <c r="F31" s="15" t="inlineStr">
        <is>
          <t>31 / 2 / 11 / 3</t>
        </is>
      </c>
      <c r="G31" s="210" t="n"/>
      <c r="H31" s="209" t="n"/>
      <c r="I31" s="16" t="inlineStr">
        <is>
          <t>Moves down are pay- and title-protected</t>
        </is>
      </c>
      <c r="J31" s="210" t="n"/>
      <c r="K31" s="210" t="n"/>
      <c r="L31" s="210" t="n"/>
      <c r="M31" s="210" t="n"/>
      <c r="N31" s="209" t="n"/>
    </row>
    <row r="32" ht="15" customHeight="1">
      <c r="A32" s="13" t="inlineStr">
        <is>
          <t>Final level vs the earlier proposal</t>
        </is>
      </c>
      <c r="B32" s="210" t="n"/>
      <c r="C32" s="210" t="n"/>
      <c r="D32" s="210" t="n"/>
      <c r="E32" s="209" t="n"/>
      <c r="F32" s="15" t="inlineStr">
        <is>
          <t>5 changed</t>
        </is>
      </c>
      <c r="G32" s="210" t="n"/>
      <c r="H32" s="209" t="n"/>
      <c r="I32" s="16" t="inlineStr">
        <is>
          <t>Only from the derived weight model · Master M7</t>
        </is>
      </c>
      <c r="J32" s="210" t="n"/>
      <c r="K32" s="210" t="n"/>
      <c r="L32" s="210" t="n"/>
      <c r="M32" s="210" t="n"/>
      <c r="N32" s="209" t="n"/>
    </row>
    <row r="33" ht="28" customHeight="1">
      <c r="A33" s="13" t="inlineStr">
        <is>
          <t>Close calls for calibration · ±0.05 of a rounding point; the score decided the level</t>
        </is>
      </c>
      <c r="B33" s="210" t="n"/>
      <c r="C33" s="210" t="n"/>
      <c r="D33" s="210" t="n"/>
      <c r="E33" s="209" t="n"/>
      <c r="F33" s="15" t="n">
        <v>0</v>
      </c>
      <c r="G33" s="210" t="n"/>
      <c r="H33" s="209" t="n"/>
      <c r="I33" s="16" t="inlineStr">
        <is>
          <t>Governance V3</t>
        </is>
      </c>
      <c r="J33" s="210" t="n"/>
      <c r="K33" s="210" t="n"/>
      <c r="L33" s="210" t="n"/>
      <c r="M33" s="210" t="n"/>
      <c r="N33" s="209" t="n"/>
    </row>
    <row r="34" ht="28" customHeight="1">
      <c r="A34" s="13" t="inlineStr">
        <is>
          <t>Near a gate · a rule set the level; within a quarter-point of its threshold</t>
        </is>
      </c>
      <c r="B34" s="210" t="n"/>
      <c r="C34" s="210" t="n"/>
      <c r="D34" s="210" t="n"/>
      <c r="E34" s="209" t="n"/>
      <c r="F34" s="15" t="n">
        <v>2</v>
      </c>
      <c r="G34" s="210" t="n"/>
      <c r="H34" s="209" t="n"/>
      <c r="I34" s="16" t="inlineStr">
        <is>
          <t>Governance V3</t>
        </is>
      </c>
      <c r="J34" s="210" t="n"/>
      <c r="K34" s="210" t="n"/>
      <c r="L34" s="210" t="n"/>
      <c r="M34" s="210" t="n"/>
      <c r="N34" s="209" t="n"/>
    </row>
    <row r="35" ht="15" customHeight="1">
      <c r="A35" s="13" t="inlineStr">
        <is>
          <t>Titles needing a check</t>
        </is>
      </c>
      <c r="B35" s="210" t="n"/>
      <c r="C35" s="210" t="n"/>
      <c r="D35" s="210" t="n"/>
      <c r="E35" s="209" t="n"/>
      <c r="F35" s="15" t="n">
        <v>3</v>
      </c>
      <c r="G35" s="210" t="n"/>
      <c r="H35" s="209" t="n"/>
      <c r="I35" s="16" t="inlineStr">
        <is>
          <t>Title rules N1–N5</t>
        </is>
      </c>
      <c r="J35" s="210" t="n"/>
      <c r="K35" s="210" t="n"/>
      <c r="L35" s="210" t="n"/>
      <c r="M35" s="210" t="n"/>
      <c r="N35" s="209" t="n"/>
    </row>
    <row r="36" ht="15" customHeight="1"/>
    <row r="37" ht="20" customHeight="1">
      <c r="A37" s="6" t="inlineStr">
        <is>
          <t>2. STEP 2 · Classification — department → job family → sub-family</t>
        </is>
      </c>
    </row>
    <row r="38" ht="15" customHeight="1">
      <c r="A38" s="11" t="inlineStr">
        <is>
          <t>Families are disciplines anchored to ISCO-08 / NCO-2015; sub-families name the actual work; the department's type of work selects the weight tilt.</t>
        </is>
      </c>
    </row>
    <row r="39" ht="28" customHeight="1">
      <c r="A39" s="12" t="inlineStr">
        <is>
          <t>Department</t>
        </is>
      </c>
      <c r="B39" s="12" t="inlineStr">
        <is>
          <t>Type of work</t>
        </is>
      </c>
      <c r="C39" s="12" t="inlineStr">
        <is>
          <t>Job family</t>
        </is>
      </c>
      <c r="D39" s="209" t="n"/>
      <c r="E39" s="12" t="inlineStr">
        <is>
          <t>Sub-family</t>
        </is>
      </c>
      <c r="F39" s="209" t="n"/>
      <c r="G39" s="12" t="inlineStr">
        <is>
          <t>What they do</t>
        </is>
      </c>
      <c r="H39" s="210" t="n"/>
      <c r="I39" s="209" t="n"/>
      <c r="J39" s="12" t="inlineStr">
        <is>
          <t>ISCO-08 anchor</t>
        </is>
      </c>
      <c r="K39" s="209" t="n"/>
      <c r="L39" s="12" t="inlineStr">
        <is>
          <t>People</t>
        </is>
      </c>
      <c r="M39" s="12" t="inlineStr">
        <is>
          <t>Levels</t>
        </is>
      </c>
      <c r="N39" s="12" t="inlineStr">
        <is>
          <t>Tracks</t>
        </is>
      </c>
    </row>
    <row r="40" ht="54" customHeight="1">
      <c r="A40" s="16" t="inlineStr">
        <is>
          <t>Marketing</t>
        </is>
      </c>
      <c r="B40" s="16" t="inlineStr">
        <is>
          <t>Sales &amp; marketing</t>
        </is>
      </c>
      <c r="C40" s="16" t="inlineStr">
        <is>
          <t>Marketing &amp; Communications</t>
        </is>
      </c>
      <c r="D40" s="209" t="n"/>
      <c r="E40" s="16" t="inlineStr">
        <is>
          <t>Content Marketing</t>
        </is>
      </c>
      <c r="F40" s="209" t="n"/>
      <c r="G40" s="16" t="inlineStr">
        <is>
          <t>Writes blogs, web copy, collateral and social content.</t>
        </is>
      </c>
      <c r="H40" s="210" t="n"/>
      <c r="I40" s="209" t="n"/>
      <c r="J40" s="16" t="inlineStr">
        <is>
          <t>24 · 2431 Advertising &amp; marketing professionals; 2432 Public relations professionals</t>
        </is>
      </c>
      <c r="K40" s="209" t="n"/>
      <c r="L40" s="15" t="n">
        <v>1</v>
      </c>
      <c r="M40" s="15" t="inlineStr">
        <is>
          <t>A2</t>
        </is>
      </c>
      <c r="N40" s="16" t="inlineStr">
        <is>
          <t>IC 1</t>
        </is>
      </c>
    </row>
    <row r="41" ht="54" customHeight="1">
      <c r="A41" s="16" t="inlineStr">
        <is>
          <t>Product Management</t>
        </is>
      </c>
      <c r="B41" s="16" t="inlineStr">
        <is>
          <t>Product &amp; programme</t>
        </is>
      </c>
      <c r="C41" s="16" t="inlineStr">
        <is>
          <t>Product Management</t>
        </is>
      </c>
      <c r="D41" s="209" t="n"/>
      <c r="E41" s="16" t="inlineStr">
        <is>
          <t>Product Management</t>
        </is>
      </c>
      <c r="F41" s="209" t="n"/>
      <c r="G41" s="16" t="inlineStr">
        <is>
          <t>Owns product vision, roadmap, requirements · PRDs, prioritisation and adoption.</t>
        </is>
      </c>
      <c r="H41" s="210" t="n"/>
      <c r="I41" s="209" t="n"/>
      <c r="J41" s="16" t="inlineStr">
        <is>
          <t>24 Business &amp; administration professionals · 2421 Management &amp; organisation analysts</t>
        </is>
      </c>
      <c r="K41" s="209" t="n"/>
      <c r="L41" s="15" t="n">
        <v>2</v>
      </c>
      <c r="M41" s="15" t="inlineStr">
        <is>
          <t>B2</t>
        </is>
      </c>
      <c r="N41" s="16" t="inlineStr">
        <is>
          <t>People Manager 2</t>
        </is>
      </c>
    </row>
    <row r="42" ht="54" customHeight="1">
      <c r="A42" s="16" t="inlineStr"/>
      <c r="B42" s="16" t="inlineStr"/>
      <c r="C42" s="16" t="inlineStr">
        <is>
          <t>Product Management</t>
        </is>
      </c>
      <c r="D42" s="209" t="n"/>
      <c r="E42" s="16" t="inlineStr">
        <is>
          <t>Product Operations &amp; Research</t>
        </is>
      </c>
      <c r="F42" s="209" t="n"/>
      <c r="G42" s="16" t="inlineStr">
        <is>
          <t>Coordinates product activities and produces market / competitor research.</t>
        </is>
      </c>
      <c r="H42" s="210" t="n"/>
      <c r="I42" s="209" t="n"/>
      <c r="J42" s="16" t="inlineStr">
        <is>
          <t>24 Business &amp; administration professionals · 2421 Management &amp; organisation analysts</t>
        </is>
      </c>
      <c r="K42" s="209" t="n"/>
      <c r="L42" s="15" t="n">
        <v>1</v>
      </c>
      <c r="M42" s="15" t="inlineStr">
        <is>
          <t>A3</t>
        </is>
      </c>
      <c r="N42" s="16" t="inlineStr">
        <is>
          <t>IC 1</t>
        </is>
      </c>
    </row>
    <row r="43" ht="54" customHeight="1">
      <c r="A43" s="16" t="inlineStr">
        <is>
          <t>Quality Assurance</t>
        </is>
      </c>
      <c r="B43" s="16" t="inlineStr">
        <is>
          <t>Technology &amp; engineering</t>
        </is>
      </c>
      <c r="C43" s="16" t="inlineStr">
        <is>
          <t>Quality Assurance</t>
        </is>
      </c>
      <c r="D43" s="209" t="n"/>
      <c r="E43" s="16" t="inlineStr">
        <is>
          <t>Test Automation</t>
        </is>
      </c>
      <c r="F43" s="209" t="n"/>
      <c r="G43" s="16" t="inlineStr">
        <is>
          <t>Builds and runs automated UI/API test suites integrated with CI.</t>
        </is>
      </c>
      <c r="H43" s="210" t="n"/>
      <c r="I43" s="209" t="n"/>
      <c r="J43" s="16" t="inlineStr">
        <is>
          <t>25 ICT professionals · 2519 Software &amp; applications developers and analysts n.e.c. · testers</t>
        </is>
      </c>
      <c r="K43" s="209" t="n"/>
      <c r="L43" s="15" t="n">
        <v>3</v>
      </c>
      <c r="M43" s="15" t="inlineStr">
        <is>
          <t>A3</t>
        </is>
      </c>
      <c r="N43" s="16" t="inlineStr">
        <is>
          <t>IC 3</t>
        </is>
      </c>
    </row>
    <row r="44" ht="54" customHeight="1">
      <c r="A44" s="16" t="inlineStr"/>
      <c r="B44" s="16" t="inlineStr"/>
      <c r="C44" s="16" t="inlineStr">
        <is>
          <t>Quality Assurance</t>
        </is>
      </c>
      <c r="D44" s="209" t="n"/>
      <c r="E44" s="16" t="inlineStr">
        <is>
          <t>Functional &amp; Domain Testing</t>
        </is>
      </c>
      <c r="F44" s="209" t="n"/>
      <c r="G44" s="16" t="inlineStr">
        <is>
          <t>Designs and executes functional, regression and domain/AI-feature test cases; logs defects; supports sign-off.</t>
        </is>
      </c>
      <c r="H44" s="210" t="n"/>
      <c r="I44" s="209" t="n"/>
      <c r="J44" s="16" t="inlineStr">
        <is>
          <t>25 ICT professionals · 2519 Software &amp; applications developers and analysts n.e.c. · testers</t>
        </is>
      </c>
      <c r="K44" s="209" t="n"/>
      <c r="L44" s="15" t="n">
        <v>2</v>
      </c>
      <c r="M44" s="15" t="inlineStr">
        <is>
          <t>A3–B1</t>
        </is>
      </c>
      <c r="N44" s="16" t="inlineStr">
        <is>
          <t>People Manager 1 · IC 1</t>
        </is>
      </c>
    </row>
    <row r="45" ht="54" customHeight="1">
      <c r="A45" s="16" t="inlineStr">
        <is>
          <t>Sales</t>
        </is>
      </c>
      <c r="B45" s="16" t="inlineStr">
        <is>
          <t>Sales &amp; marketing</t>
        </is>
      </c>
      <c r="C45" s="16" t="inlineStr">
        <is>
          <t>Sales &amp; Business Development</t>
        </is>
      </c>
      <c r="D45" s="209" t="n"/>
      <c r="E45" s="16" t="inlineStr">
        <is>
          <t>Enterprise Sales &amp; Account Management</t>
        </is>
      </c>
      <c r="F45" s="209" t="n"/>
      <c r="G45" s="16" t="inlineStr">
        <is>
          <t>Runs discovery, demos, proposals and negotiations; closes and grows accounts.</t>
        </is>
      </c>
      <c r="H45" s="210" t="n"/>
      <c r="I45" s="209" t="n"/>
      <c r="J45" s="16" t="inlineStr">
        <is>
          <t>24 · 2433 Technical sales professionals · ICT; 33 · 3322 Commercial sales representatives</t>
        </is>
      </c>
      <c r="K45" s="209" t="n"/>
      <c r="L45" s="15" t="n">
        <v>2</v>
      </c>
      <c r="M45" s="15" t="inlineStr">
        <is>
          <t>B1–B2</t>
        </is>
      </c>
      <c r="N45" s="16" t="inlineStr">
        <is>
          <t>IC 2</t>
        </is>
      </c>
    </row>
    <row r="46" ht="54" customHeight="1">
      <c r="A46" s="16" t="inlineStr"/>
      <c r="B46" s="16" t="inlineStr"/>
      <c r="C46" s="16" t="inlineStr">
        <is>
          <t>Sales &amp; Business Development</t>
        </is>
      </c>
      <c r="D46" s="209" t="n"/>
      <c r="E46" s="16" t="inlineStr">
        <is>
          <t>Partnerships &amp; Alliances</t>
        </is>
      </c>
      <c r="F46" s="209" t="n"/>
      <c r="G46" s="16" t="inlineStr">
        <is>
          <t>Builds and manages partner / alliance revenue.</t>
        </is>
      </c>
      <c r="H46" s="210" t="n"/>
      <c r="I46" s="209" t="n"/>
      <c r="J46" s="16" t="inlineStr">
        <is>
          <t>24 · 2433 Technical sales professionals · ICT; 33 · 3322 Commercial sales representatives</t>
        </is>
      </c>
      <c r="K46" s="209" t="n"/>
      <c r="L46" s="15" t="n">
        <v>1</v>
      </c>
      <c r="M46" s="15" t="inlineStr">
        <is>
          <t>A3</t>
        </is>
      </c>
      <c r="N46" s="16" t="inlineStr">
        <is>
          <t>IC 1</t>
        </is>
      </c>
    </row>
    <row r="47" ht="54" customHeight="1">
      <c r="A47" s="16" t="inlineStr"/>
      <c r="B47" s="16" t="inlineStr"/>
      <c r="C47" s="16" t="inlineStr">
        <is>
          <t>Customer Success &amp; Support</t>
        </is>
      </c>
      <c r="D47" s="209" t="n"/>
      <c r="E47" s="16" t="inlineStr">
        <is>
          <t>Application &amp; Product Support</t>
        </is>
      </c>
      <c r="F47" s="209" t="n"/>
      <c r="G47" s="16" t="inlineStr">
        <is>
          <t>Resolves client product and filing issues, troubleshoots, handles UAT/change requests and escalates to engineering.</t>
        </is>
      </c>
      <c r="H47" s="210" t="n"/>
      <c r="I47" s="209" t="n"/>
      <c r="J47" s="16" t="inlineStr">
        <is>
          <t>35 ICT technicians · 3512 ICT user support; 24 · 2433 ICT sales professionals</t>
        </is>
      </c>
      <c r="K47" s="209" t="n"/>
      <c r="L47" s="15" t="n">
        <v>1</v>
      </c>
      <c r="M47" s="15" t="inlineStr">
        <is>
          <t>A1</t>
        </is>
      </c>
      <c r="N47" s="16" t="inlineStr">
        <is>
          <t>IC 1</t>
        </is>
      </c>
    </row>
    <row r="48" ht="54" customHeight="1">
      <c r="A48" s="16" t="inlineStr">
        <is>
          <t>Technology</t>
        </is>
      </c>
      <c r="B48" s="16" t="inlineStr">
        <is>
          <t>Technology &amp; engineering</t>
        </is>
      </c>
      <c r="C48" s="16" t="inlineStr">
        <is>
          <t>Business Analysis</t>
        </is>
      </c>
      <c r="D48" s="209" t="n"/>
      <c r="E48" s="16" t="inlineStr">
        <is>
          <t>Business Analysis</t>
        </is>
      </c>
      <c r="F48" s="209" t="n"/>
      <c r="G48" s="16" t="inlineStr">
        <is>
          <t>Gathers and documents requirements · BRD/FRD/SRS/user stories, configures solutions and supports UAT and releases.</t>
        </is>
      </c>
      <c r="H48" s="210" t="n"/>
      <c r="I48" s="209" t="n"/>
      <c r="J48" s="16" t="inlineStr">
        <is>
          <t>25 ICT professionals · 2511 Systems analysts</t>
        </is>
      </c>
      <c r="K48" s="209" t="n"/>
      <c r="L48" s="15" t="n">
        <v>13</v>
      </c>
      <c r="M48" s="15" t="inlineStr">
        <is>
          <t>A3–B1</t>
        </is>
      </c>
      <c r="N48" s="16" t="inlineStr">
        <is>
          <t>People Manager 1 · IC 11 · POD Lead 1</t>
        </is>
      </c>
    </row>
    <row r="49" ht="54" customHeight="1">
      <c r="A49" s="16" t="inlineStr"/>
      <c r="B49" s="16" t="inlineStr"/>
      <c r="C49" s="16" t="inlineStr">
        <is>
          <t>Engineering &amp; Development</t>
        </is>
      </c>
      <c r="D49" s="209" t="n"/>
      <c r="E49" s="16" t="inlineStr">
        <is>
          <t>Backend Development</t>
        </is>
      </c>
      <c r="F49" s="209" t="n"/>
      <c r="G49" s="16" t="inlineStr">
        <is>
          <t>Builds back-end services, APIs, processing/validation logic and DB code; fixes defects and delivers change requests.</t>
        </is>
      </c>
      <c r="H49" s="210" t="n"/>
      <c r="I49" s="209" t="n"/>
      <c r="J49" s="16" t="inlineStr">
        <is>
          <t>25 ICT professionals · 2512 Software developers / 2514 Applications programmers</t>
        </is>
      </c>
      <c r="K49" s="209" t="n"/>
      <c r="L49" s="15" t="n">
        <v>9</v>
      </c>
      <c r="M49" s="15" t="inlineStr">
        <is>
          <t>A1–B3</t>
        </is>
      </c>
      <c r="N49" s="16" t="inlineStr">
        <is>
          <t>IC 9</t>
        </is>
      </c>
    </row>
    <row r="50" ht="54" customHeight="1">
      <c r="A50" s="16" t="inlineStr"/>
      <c r="B50" s="16" t="inlineStr"/>
      <c r="C50" s="16" t="inlineStr">
        <is>
          <t>Engineering &amp; Development</t>
        </is>
      </c>
      <c r="D50" s="209" t="n"/>
      <c r="E50" s="16" t="inlineStr">
        <is>
          <t>Data Engineering &amp; Database Development</t>
        </is>
      </c>
      <c r="F50" s="209" t="n"/>
      <c r="G50" s="16" t="inlineStr">
        <is>
          <t>Builds ETL pipelines, data models, stored procedures and data layers.</t>
        </is>
      </c>
      <c r="H50" s="210" t="n"/>
      <c r="I50" s="209" t="n"/>
      <c r="J50" s="16" t="inlineStr">
        <is>
          <t>25 ICT professionals · 2512 Software developers / 2514 Applications programmers</t>
        </is>
      </c>
      <c r="K50" s="209" t="n"/>
      <c r="L50" s="15" t="n">
        <v>4</v>
      </c>
      <c r="M50" s="15" t="inlineStr">
        <is>
          <t>A3–B1</t>
        </is>
      </c>
      <c r="N50" s="16" t="inlineStr">
        <is>
          <t>POD Lead 1 · IC 3</t>
        </is>
      </c>
    </row>
    <row r="51" ht="54" customHeight="1">
      <c r="A51" s="16" t="inlineStr"/>
      <c r="B51" s="16" t="inlineStr"/>
      <c r="C51" s="16" t="inlineStr">
        <is>
          <t>Customer Success &amp; Support</t>
        </is>
      </c>
      <c r="D51" s="209" t="n"/>
      <c r="E51" s="16" t="inlineStr">
        <is>
          <t>Application &amp; Product Support</t>
        </is>
      </c>
      <c r="F51" s="209" t="n"/>
      <c r="G51" s="16" t="inlineStr">
        <is>
          <t>Resolves client product and filing issues, troubleshoots, handles UAT/change requests and escalates to engineering.</t>
        </is>
      </c>
      <c r="H51" s="210" t="n"/>
      <c r="I51" s="209" t="n"/>
      <c r="J51" s="16" t="inlineStr">
        <is>
          <t>35 ICT technicians · 3512 ICT user support; 24 · 2433 ICT sales professionals</t>
        </is>
      </c>
      <c r="K51" s="209" t="n"/>
      <c r="L51" s="15" t="n">
        <v>3</v>
      </c>
      <c r="M51" s="15" t="inlineStr">
        <is>
          <t>A2–A3</t>
        </is>
      </c>
      <c r="N51" s="16" t="inlineStr">
        <is>
          <t>IC 3</t>
        </is>
      </c>
    </row>
    <row r="52" ht="54" customHeight="1">
      <c r="A52" s="16" t="inlineStr"/>
      <c r="B52" s="16" t="inlineStr"/>
      <c r="C52" s="16" t="inlineStr">
        <is>
          <t>Engineering &amp; Development</t>
        </is>
      </c>
      <c r="D52" s="209" t="n"/>
      <c r="E52" s="16" t="inlineStr">
        <is>
          <t>Full-Stack Development</t>
        </is>
      </c>
      <c r="F52" s="209" t="n"/>
      <c r="G52" s="16" t="inlineStr">
        <is>
          <t>Builds features end to end — back-end services/APIs plus UI screens.</t>
        </is>
      </c>
      <c r="H52" s="210" t="n"/>
      <c r="I52" s="209" t="n"/>
      <c r="J52" s="16" t="inlineStr">
        <is>
          <t>25 ICT professionals · 2512 Software developers / 2514 Applications programmers</t>
        </is>
      </c>
      <c r="K52" s="209" t="n"/>
      <c r="L52" s="15" t="n">
        <v>2</v>
      </c>
      <c r="M52" s="15" t="inlineStr">
        <is>
          <t>A1–A3</t>
        </is>
      </c>
      <c r="N52" s="16" t="inlineStr">
        <is>
          <t>IC 2</t>
        </is>
      </c>
    </row>
    <row r="53" ht="54" customHeight="1">
      <c r="A53" s="16" t="inlineStr"/>
      <c r="B53" s="16" t="inlineStr"/>
      <c r="C53" s="16" t="inlineStr">
        <is>
          <t>Engineering &amp; Architecture</t>
        </is>
      </c>
      <c r="D53" s="209" t="n"/>
      <c r="E53" s="16" t="inlineStr">
        <is>
          <t>Solution &amp; Technical Architecture</t>
        </is>
      </c>
      <c r="F53" s="209" t="n"/>
      <c r="G53" s="16" t="inlineStr">
        <is>
          <t>Designs system / solution architecture, integrations and technical standards; guides build teams.</t>
        </is>
      </c>
      <c r="H53" s="210" t="n"/>
      <c r="I53" s="209" t="n"/>
      <c r="J53" s="16" t="inlineStr">
        <is>
          <t>25 ICT professionals · 2511 Systems analysts / 2512 Software developers</t>
        </is>
      </c>
      <c r="K53" s="209" t="n"/>
      <c r="L53" s="15" t="n">
        <v>1</v>
      </c>
      <c r="M53" s="15" t="inlineStr">
        <is>
          <t>B+</t>
        </is>
      </c>
      <c r="N53" s="16" t="inlineStr">
        <is>
          <t>Player-Coach 1</t>
        </is>
      </c>
    </row>
    <row r="54" ht="54" customHeight="1">
      <c r="A54" s="16" t="inlineStr"/>
      <c r="B54" s="16" t="inlineStr"/>
      <c r="C54" s="16" t="inlineStr">
        <is>
          <t>Project &amp; Program Management</t>
        </is>
      </c>
      <c r="D54" s="209" t="n"/>
      <c r="E54" s="16" t="inlineStr">
        <is>
          <t>Project &amp; Program Delivery</t>
        </is>
      </c>
      <c r="F54" s="209" t="n"/>
      <c r="G54" s="16" t="inlineStr">
        <is>
          <t>Plans and delivers projects/programmes to scope, time and cost; manages CRs, risks and stakeholders.</t>
        </is>
      </c>
      <c r="H54" s="210" t="n"/>
      <c r="I54" s="209" t="n"/>
      <c r="J54" s="16" t="inlineStr">
        <is>
          <t>24 Business &amp; administration professionals; 1330 ICT services managers at manager levels</t>
        </is>
      </c>
      <c r="K54" s="209" t="n"/>
      <c r="L54" s="15" t="n">
        <v>1</v>
      </c>
      <c r="M54" s="15" t="inlineStr">
        <is>
          <t>B1</t>
        </is>
      </c>
      <c r="N54" s="16" t="inlineStr">
        <is>
          <t>IC 1</t>
        </is>
      </c>
    </row>
    <row r="55" ht="54" customHeight="1">
      <c r="A55" s="16" t="inlineStr">
        <is>
          <t>iDEAL Business Head</t>
        </is>
      </c>
      <c r="B55" s="16" t="inlineStr">
        <is>
          <t>General management</t>
        </is>
      </c>
      <c r="C55" s="16" t="inlineStr">
        <is>
          <t>Executive Leadership</t>
        </is>
      </c>
      <c r="D55" s="209" t="n"/>
      <c r="E55" s="16" t="inlineStr">
        <is>
          <t>Business &amp; Functional Leadership</t>
        </is>
      </c>
      <c r="F55" s="209" t="n"/>
      <c r="G55" s="16" t="inlineStr">
        <is>
          <t>Owns a business line or enterprise function end to end.</t>
        </is>
      </c>
      <c r="H55" s="210" t="n"/>
      <c r="I55" s="209" t="n"/>
      <c r="J55" s="16" t="inlineStr">
        <is>
          <t>11 · 1120 Managing directors &amp; chief executives; 12 Administrative &amp; commercial managers</t>
        </is>
      </c>
      <c r="K55" s="209" t="n"/>
      <c r="L55" s="15" t="n">
        <v>1</v>
      </c>
      <c r="M55" s="15" t="inlineStr">
        <is>
          <t>D1</t>
        </is>
      </c>
      <c r="N55" s="16" t="inlineStr">
        <is>
          <t>People Manager 1</t>
        </is>
      </c>
    </row>
    <row r="56" ht="15" customHeight="1"/>
    <row r="57" ht="20" customHeight="1">
      <c r="A57" s="6" t="inlineStr">
        <is>
          <t>3. STEP 3 · Tracks — band × track</t>
        </is>
      </c>
    </row>
    <row r="58" ht="15" customHeight="1">
      <c r="A58" s="12" t="inlineStr">
        <is>
          <t>Band</t>
        </is>
      </c>
      <c r="B58" s="210" t="n"/>
      <c r="C58" s="209" t="n"/>
      <c r="D58" s="12" t="inlineStr">
        <is>
          <t>IC</t>
        </is>
      </c>
      <c r="E58" s="209" t="n"/>
      <c r="F58" s="12" t="inlineStr">
        <is>
          <t>POD Lead</t>
        </is>
      </c>
      <c r="G58" s="209" t="n"/>
      <c r="H58" s="12" t="inlineStr">
        <is>
          <t>Player-Coach</t>
        </is>
      </c>
      <c r="I58" s="209" t="n"/>
      <c r="J58" s="12" t="inlineStr">
        <is>
          <t>People Manager</t>
        </is>
      </c>
      <c r="K58" s="209" t="n"/>
      <c r="L58" s="12" t="inlineStr">
        <is>
          <t>Consultant</t>
        </is>
      </c>
      <c r="M58" s="209" t="n"/>
      <c r="N58" s="12" t="inlineStr">
        <is>
          <t>Total</t>
        </is>
      </c>
    </row>
    <row r="59" ht="15" customHeight="1">
      <c r="A59" s="24" t="inlineStr">
        <is>
          <t>A</t>
        </is>
      </c>
      <c r="B59" s="210" t="n"/>
      <c r="C59" s="209" t="n"/>
      <c r="D59" s="26" t="n">
        <v>32</v>
      </c>
      <c r="E59" s="209" t="n"/>
      <c r="F59" s="26" t="n">
        <v>0</v>
      </c>
      <c r="G59" s="209" t="n"/>
      <c r="H59" s="26" t="n">
        <v>0</v>
      </c>
      <c r="I59" s="209" t="n"/>
      <c r="J59" s="26" t="n">
        <v>0</v>
      </c>
      <c r="K59" s="209" t="n"/>
      <c r="L59" s="26" t="n">
        <v>0</v>
      </c>
      <c r="M59" s="209" t="n"/>
      <c r="N59" s="26" t="n">
        <v>32</v>
      </c>
    </row>
    <row r="60" ht="15" customHeight="1">
      <c r="A60" s="27" t="inlineStr">
        <is>
          <t>B</t>
        </is>
      </c>
      <c r="B60" s="210" t="n"/>
      <c r="C60" s="209" t="n"/>
      <c r="D60" s="20" t="n">
        <v>7</v>
      </c>
      <c r="E60" s="209" t="n"/>
      <c r="F60" s="20" t="n">
        <v>2</v>
      </c>
      <c r="G60" s="209" t="n"/>
      <c r="H60" s="20" t="n">
        <v>0</v>
      </c>
      <c r="I60" s="209" t="n"/>
      <c r="J60" s="20" t="n">
        <v>4</v>
      </c>
      <c r="K60" s="209" t="n"/>
      <c r="L60" s="20" t="n">
        <v>0</v>
      </c>
      <c r="M60" s="209" t="n"/>
      <c r="N60" s="20" t="n">
        <v>13</v>
      </c>
    </row>
    <row r="61" ht="15" customHeight="1">
      <c r="A61" s="28" t="inlineStr">
        <is>
          <t>B+</t>
        </is>
      </c>
      <c r="B61" s="210" t="n"/>
      <c r="C61" s="209" t="n"/>
      <c r="D61" s="30" t="n">
        <v>0</v>
      </c>
      <c r="E61" s="209" t="n"/>
      <c r="F61" s="30" t="n">
        <v>0</v>
      </c>
      <c r="G61" s="209" t="n"/>
      <c r="H61" s="30" t="n">
        <v>1</v>
      </c>
      <c r="I61" s="209" t="n"/>
      <c r="J61" s="30" t="n">
        <v>0</v>
      </c>
      <c r="K61" s="209" t="n"/>
      <c r="L61" s="30" t="n">
        <v>0</v>
      </c>
      <c r="M61" s="209" t="n"/>
      <c r="N61" s="30" t="n">
        <v>1</v>
      </c>
    </row>
    <row r="62" ht="15" customHeight="1">
      <c r="A62" s="31" t="inlineStr">
        <is>
          <t>C</t>
        </is>
      </c>
      <c r="B62" s="210" t="n"/>
      <c r="C62" s="209" t="n"/>
      <c r="D62" s="33" t="n">
        <v>0</v>
      </c>
      <c r="E62" s="209" t="n"/>
      <c r="F62" s="33" t="n">
        <v>0</v>
      </c>
      <c r="G62" s="209" t="n"/>
      <c r="H62" s="33" t="n">
        <v>0</v>
      </c>
      <c r="I62" s="209" t="n"/>
      <c r="J62" s="33" t="n">
        <v>0</v>
      </c>
      <c r="K62" s="209" t="n"/>
      <c r="L62" s="33" t="n">
        <v>0</v>
      </c>
      <c r="M62" s="209" t="n"/>
      <c r="N62" s="33" t="n">
        <v>0</v>
      </c>
    </row>
    <row r="63" ht="15" customHeight="1">
      <c r="A63" s="34" t="inlineStr">
        <is>
          <t>C+</t>
        </is>
      </c>
      <c r="B63" s="210" t="n"/>
      <c r="C63" s="209" t="n"/>
      <c r="D63" s="36" t="n">
        <v>0</v>
      </c>
      <c r="E63" s="209" t="n"/>
      <c r="F63" s="36" t="n">
        <v>0</v>
      </c>
      <c r="G63" s="209" t="n"/>
      <c r="H63" s="36" t="n">
        <v>0</v>
      </c>
      <c r="I63" s="209" t="n"/>
      <c r="J63" s="36" t="n">
        <v>0</v>
      </c>
      <c r="K63" s="209" t="n"/>
      <c r="L63" s="36" t="n">
        <v>0</v>
      </c>
      <c r="M63" s="209" t="n"/>
      <c r="N63" s="36" t="n">
        <v>0</v>
      </c>
    </row>
    <row r="64" ht="15" customHeight="1">
      <c r="A64" s="37" t="inlineStr">
        <is>
          <t>D</t>
        </is>
      </c>
      <c r="B64" s="210" t="n"/>
      <c r="C64" s="209" t="n"/>
      <c r="D64" s="39" t="n">
        <v>0</v>
      </c>
      <c r="E64" s="209" t="n"/>
      <c r="F64" s="39" t="n">
        <v>0</v>
      </c>
      <c r="G64" s="209" t="n"/>
      <c r="H64" s="39" t="n">
        <v>0</v>
      </c>
      <c r="I64" s="209" t="n"/>
      <c r="J64" s="39" t="n">
        <v>1</v>
      </c>
      <c r="K64" s="209" t="n"/>
      <c r="L64" s="39" t="n">
        <v>0</v>
      </c>
      <c r="M64" s="209" t="n"/>
      <c r="N64" s="39" t="n">
        <v>1</v>
      </c>
    </row>
    <row r="65" ht="15" customHeight="1">
      <c r="A65" s="40" t="inlineStr">
        <is>
          <t>E</t>
        </is>
      </c>
      <c r="B65" s="210" t="n"/>
      <c r="C65" s="209" t="n"/>
      <c r="D65" s="42" t="n">
        <v>0</v>
      </c>
      <c r="E65" s="209" t="n"/>
      <c r="F65" s="42" t="n">
        <v>0</v>
      </c>
      <c r="G65" s="209" t="n"/>
      <c r="H65" s="42" t="n">
        <v>0</v>
      </c>
      <c r="I65" s="209" t="n"/>
      <c r="J65" s="42" t="n">
        <v>0</v>
      </c>
      <c r="K65" s="209" t="n"/>
      <c r="L65" s="42" t="n">
        <v>0</v>
      </c>
      <c r="M65" s="209" t="n"/>
      <c r="N65" s="42" t="n">
        <v>0</v>
      </c>
    </row>
    <row r="66" ht="15" customHeight="1">
      <c r="A66" s="43" t="inlineStr">
        <is>
          <t>X</t>
        </is>
      </c>
      <c r="B66" s="210" t="n"/>
      <c r="C66" s="209" t="n"/>
      <c r="D66" s="45" t="n">
        <v>0</v>
      </c>
      <c r="E66" s="209" t="n"/>
      <c r="F66" s="45" t="n">
        <v>0</v>
      </c>
      <c r="G66" s="209" t="n"/>
      <c r="H66" s="45" t="n">
        <v>0</v>
      </c>
      <c r="I66" s="209" t="n"/>
      <c r="J66" s="45" t="n">
        <v>0</v>
      </c>
      <c r="K66" s="209" t="n"/>
      <c r="L66" s="45" t="n">
        <v>0</v>
      </c>
      <c r="M66" s="209" t="n"/>
      <c r="N66" s="45" t="n">
        <v>0</v>
      </c>
    </row>
    <row r="67" ht="15" customHeight="1">
      <c r="A67" s="46" t="inlineStr">
        <is>
          <t>Total</t>
        </is>
      </c>
      <c r="B67" s="210" t="n"/>
      <c r="C67" s="209" t="n"/>
      <c r="D67" s="47" t="n">
        <v>39</v>
      </c>
      <c r="E67" s="209" t="n"/>
      <c r="F67" s="47" t="n">
        <v>2</v>
      </c>
      <c r="G67" s="209" t="n"/>
      <c r="H67" s="47" t="n">
        <v>1</v>
      </c>
      <c r="I67" s="209" t="n"/>
      <c r="J67" s="47" t="n">
        <v>5</v>
      </c>
      <c r="K67" s="209" t="n"/>
      <c r="L67" s="47" t="n">
        <v>0</v>
      </c>
      <c r="M67" s="209" t="n"/>
      <c r="N67" s="47" t="n">
        <v>47</v>
      </c>
    </row>
    <row r="68" ht="15" customHeight="1"/>
    <row r="69" ht="20" customHeight="1">
      <c r="A69" s="6" t="inlineStr">
        <is>
          <t>4. STEPS 4–6 · Factors, weights and score</t>
        </is>
      </c>
    </row>
    <row r="70" ht="28" customHeight="1">
      <c r="A70" s="11" t="inlineStr">
        <is>
          <t>Weight set = base by band × track · Master W1 + tilt by the department's type of work; no tilt at Bands D–E; leaders can edit each department's row on the Weightage Matrix. Score = Σ rating × weight; the level is the nearest whole value.</t>
        </is>
      </c>
    </row>
    <row r="71" ht="15" customHeight="1">
      <c r="A71" s="12" t="inlineStr">
        <is>
          <t>ID</t>
        </is>
      </c>
      <c r="B71" s="12" t="inlineStr">
        <is>
          <t>Factor</t>
        </is>
      </c>
      <c r="C71" s="209" t="n"/>
      <c r="D71" s="12" t="inlineStr">
        <is>
          <t>What it measures</t>
        </is>
      </c>
      <c r="E71" s="210" t="n"/>
      <c r="F71" s="210" t="n"/>
      <c r="G71" s="210" t="n"/>
      <c r="H71" s="209" t="n"/>
      <c r="I71" s="12" t="inlineStr">
        <is>
          <t>Market equivalent</t>
        </is>
      </c>
      <c r="J71" s="210" t="n"/>
      <c r="K71" s="210" t="n"/>
      <c r="L71" s="210" t="n"/>
      <c r="M71" s="210" t="n"/>
      <c r="N71" s="209" t="n"/>
    </row>
    <row r="72" ht="28" customHeight="1">
      <c r="A72" s="13" t="inlineStr">
        <is>
          <t>F1</t>
        </is>
      </c>
      <c r="B72" s="16" t="inlineStr">
        <is>
          <t>Complexity &amp; Expertise</t>
        </is>
      </c>
      <c r="C72" s="209" t="n"/>
      <c r="D72" s="16" t="inlineStr">
        <is>
          <t>How hard and how specialised the work is; the knowledge it needs</t>
        </is>
      </c>
      <c r="E72" s="210" t="n"/>
      <c r="F72" s="210" t="n"/>
      <c r="G72" s="210" t="n"/>
      <c r="H72" s="209" t="n"/>
      <c r="I72" s="16" t="inlineStr">
        <is>
          <t>Hay Know-How · technical + Problem Solving · Mercer IPE Knowledge + Innovation · SFIA complexity · WTW GGS knowledge / problem solving</t>
        </is>
      </c>
      <c r="J72" s="210" t="n"/>
      <c r="K72" s="210" t="n"/>
      <c r="L72" s="210" t="n"/>
      <c r="M72" s="210" t="n"/>
      <c r="N72" s="209" t="n"/>
    </row>
    <row r="73" ht="28" customHeight="1">
      <c r="A73" s="13" t="inlineStr">
        <is>
          <t>F2</t>
        </is>
      </c>
      <c r="B73" s="16" t="inlineStr">
        <is>
          <t>Autonomy &amp; Decision</t>
        </is>
      </c>
      <c r="C73" s="209" t="n"/>
      <c r="D73" s="16" t="inlineStr">
        <is>
          <t>What the person can decide and act on without asking</t>
        </is>
      </c>
      <c r="E73" s="210" t="n"/>
      <c r="F73" s="210" t="n"/>
      <c r="G73" s="210" t="n"/>
      <c r="H73" s="209" t="n"/>
      <c r="I73" s="16" t="inlineStr">
        <is>
          <t>Hay Accountability — freedom to act · SFIA autonomy · Mercer IPE Impact</t>
        </is>
      </c>
      <c r="J73" s="210" t="n"/>
      <c r="K73" s="210" t="n"/>
      <c r="L73" s="210" t="n"/>
      <c r="M73" s="210" t="n"/>
      <c r="N73" s="209" t="n"/>
    </row>
    <row r="74" ht="28" customHeight="1">
      <c r="A74" s="13" t="inlineStr">
        <is>
          <t>F3</t>
        </is>
      </c>
      <c r="B74" s="16" t="inlineStr">
        <is>
          <t>Accountability &amp; Impact</t>
        </is>
      </c>
      <c r="C74" s="209" t="n"/>
      <c r="D74" s="16" t="inlineStr">
        <is>
          <t>What the role answers for, and the cost of getting it wrong</t>
        </is>
      </c>
      <c r="E74" s="210" t="n"/>
      <c r="F74" s="210" t="n"/>
      <c r="G74" s="210" t="n"/>
      <c r="H74" s="209" t="n"/>
      <c r="I74" s="16" t="inlineStr">
        <is>
          <t>Hay Accountability — magnitude and impact · Mercer IPE Impact</t>
        </is>
      </c>
      <c r="J74" s="210" t="n"/>
      <c r="K74" s="210" t="n"/>
      <c r="L74" s="210" t="n"/>
      <c r="M74" s="210" t="n"/>
      <c r="N74" s="209" t="n"/>
    </row>
    <row r="75" ht="28" customHeight="1">
      <c r="A75" s="13" t="inlineStr">
        <is>
          <t>F4</t>
        </is>
      </c>
      <c r="B75" s="16" t="inlineStr">
        <is>
          <t>Leadership &amp; Strategy</t>
        </is>
      </c>
      <c r="C75" s="209" t="n"/>
      <c r="D75" s="16" t="inlineStr">
        <is>
          <t>Leading people and shaping direction</t>
        </is>
      </c>
      <c r="E75" s="210" t="n"/>
      <c r="F75" s="210" t="n"/>
      <c r="G75" s="210" t="n"/>
      <c r="H75" s="209" t="n"/>
      <c r="I75" s="16" t="inlineStr">
        <is>
          <t>Hay Know-How · managerial, human relations · Mercer IPE Communication · SFIA influence</t>
        </is>
      </c>
      <c r="J75" s="210" t="n"/>
      <c r="K75" s="210" t="n"/>
      <c r="L75" s="210" t="n"/>
      <c r="M75" s="210" t="n"/>
      <c r="N75" s="209" t="n"/>
    </row>
    <row r="76" ht="41" customHeight="1">
      <c r="A76" s="13" t="inlineStr">
        <is>
          <t>F5</t>
        </is>
      </c>
      <c r="B76" s="16" t="inlineStr">
        <is>
          <t>Experience &amp; Qualification</t>
        </is>
      </c>
      <c r="C76" s="209" t="n"/>
      <c r="D76" s="16" t="inlineStr">
        <is>
          <t>Total experience on the same ladder scale, adjusted for qualification — weighted low by design: 10% in Bands A–B, 5% in Bands C–E</t>
        </is>
      </c>
      <c r="E76" s="210" t="n"/>
      <c r="F76" s="210" t="n"/>
      <c r="G76" s="210" t="n"/>
      <c r="H76" s="209" t="n"/>
      <c r="I76" s="16" t="inlineStr">
        <is>
          <t>Hay Know-How · depth / breadth · Radford / Infosys / Accenture experience norms</t>
        </is>
      </c>
      <c r="J76" s="210" t="n"/>
      <c r="K76" s="210" t="n"/>
      <c r="L76" s="210" t="n"/>
      <c r="M76" s="210" t="n"/>
      <c r="N76" s="209" t="n"/>
    </row>
    <row r="77" ht="28" customHeight="1">
      <c r="A77" s="13" t="inlineStr">
        <is>
          <t>F6</t>
        </is>
      </c>
      <c r="B77" s="16" t="inlineStr">
        <is>
          <t>Business Impact</t>
        </is>
      </c>
      <c r="C77" s="209" t="n"/>
      <c r="D77" s="16" t="inlineStr">
        <is>
          <t>The difference the role makes to revenue, clients, compliance or cost</t>
        </is>
      </c>
      <c r="E77" s="210" t="n"/>
      <c r="F77" s="210" t="n"/>
      <c r="G77" s="210" t="n"/>
      <c r="H77" s="209" t="n"/>
      <c r="I77" s="16" t="inlineStr">
        <is>
          <t>Mercer IPE Impact · Hay Accountability — nature of impact · WTW GGS business impact</t>
        </is>
      </c>
      <c r="J77" s="210" t="n"/>
      <c r="K77" s="210" t="n"/>
      <c r="L77" s="210" t="n"/>
      <c r="M77" s="210" t="n"/>
      <c r="N77" s="209" t="n"/>
    </row>
    <row r="78" ht="15" customHeight="1"/>
    <row r="79" ht="28" customHeight="1">
      <c r="A79" s="12" t="inlineStr">
        <is>
          <t>Set ID</t>
        </is>
      </c>
      <c r="B79" s="12" t="inlineStr">
        <is>
          <t>Type of work</t>
        </is>
      </c>
      <c r="C79" s="209" t="n"/>
      <c r="D79" s="12" t="inlineStr">
        <is>
          <t>Band / track</t>
        </is>
      </c>
      <c r="E79" s="209" t="n"/>
      <c r="F79" s="12" t="inlineStr">
        <is>
          <t>Base</t>
        </is>
      </c>
      <c r="G79" s="209" t="n"/>
      <c r="H79" s="12" t="inlineStr">
        <is>
          <t>Tilt</t>
        </is>
      </c>
      <c r="I79" s="209" t="n"/>
      <c r="J79" s="12" t="inlineStr">
        <is>
          <t>Complexity %</t>
        </is>
      </c>
      <c r="K79" s="12" t="inlineStr">
        <is>
          <t>Autonomy %</t>
        </is>
      </c>
      <c r="L79" s="12" t="inlineStr">
        <is>
          <t>Accountability %</t>
        </is>
      </c>
      <c r="M79" s="12" t="inlineStr">
        <is>
          <t>Leadership %</t>
        </is>
      </c>
      <c r="N79" s="12" t="inlineStr">
        <is>
          <t>Exp. &amp; Qual. %</t>
        </is>
      </c>
      <c r="O79" s="12" t="inlineStr">
        <is>
          <t>Bus. Impact %</t>
        </is>
      </c>
      <c r="P79" s="12" t="inlineStr">
        <is>
          <t>People</t>
        </is>
      </c>
    </row>
    <row r="80" ht="28" customHeight="1">
      <c r="A80" s="13" t="inlineStr">
        <is>
          <t>GM-DE</t>
        </is>
      </c>
      <c r="B80" s="16" t="inlineStr">
        <is>
          <t>General management</t>
        </is>
      </c>
      <c r="C80" s="209" t="n"/>
      <c r="D80" s="16" t="inlineStr">
        <is>
          <t>Bands D–E</t>
        </is>
      </c>
      <c r="E80" s="209" t="n"/>
      <c r="F80" s="15" t="inlineStr">
        <is>
          <t>37 / 19 / 11 / 20 / 5 / 8</t>
        </is>
      </c>
      <c r="G80" s="209" t="n"/>
      <c r="H80" s="15" t="inlineStr">
        <is>
          <t>0 / 0 / 0 / 0 / 0 / 0</t>
        </is>
      </c>
      <c r="I80" s="209" t="n"/>
      <c r="J80" s="203" t="n">
        <v>0.37</v>
      </c>
      <c r="K80" s="203" t="n">
        <v>0.19</v>
      </c>
      <c r="L80" s="203" t="n">
        <v>0.11</v>
      </c>
      <c r="M80" s="203" t="n">
        <v>0.2</v>
      </c>
      <c r="N80" s="203" t="n">
        <v>0.05</v>
      </c>
      <c r="O80" s="203" t="n">
        <v>0.08</v>
      </c>
      <c r="P80" s="15" t="n">
        <v>1</v>
      </c>
    </row>
    <row r="81" ht="28" customHeight="1">
      <c r="A81" s="13" t="inlineStr">
        <is>
          <t>PP-A</t>
        </is>
      </c>
      <c r="B81" s="16" t="inlineStr">
        <is>
          <t>Product &amp; programme</t>
        </is>
      </c>
      <c r="C81" s="209" t="n"/>
      <c r="D81" s="16" t="inlineStr">
        <is>
          <t>Band A</t>
        </is>
      </c>
      <c r="E81" s="209" t="n"/>
      <c r="F81" s="15" t="inlineStr">
        <is>
          <t>59 / 16 / 9 / 0 / 10 / 6</t>
        </is>
      </c>
      <c r="G81" s="209" t="n"/>
      <c r="H81" s="15" t="inlineStr">
        <is>
          <t>-5 / +5 / 0 / 0 / 0 / 0</t>
        </is>
      </c>
      <c r="I81" s="209" t="n"/>
      <c r="J81" s="203" t="n">
        <v>0.54</v>
      </c>
      <c r="K81" s="203" t="n">
        <v>0.21</v>
      </c>
      <c r="L81" s="203" t="n">
        <v>0.09</v>
      </c>
      <c r="M81" s="203" t="n">
        <v>0</v>
      </c>
      <c r="N81" s="203" t="n">
        <v>0.1</v>
      </c>
      <c r="O81" s="203" t="n">
        <v>0.06</v>
      </c>
      <c r="P81" s="15" t="n">
        <v>1</v>
      </c>
    </row>
    <row r="82" ht="28" customHeight="1">
      <c r="A82" s="13" t="inlineStr">
        <is>
          <t>PP-B-M</t>
        </is>
      </c>
      <c r="B82" s="16" t="inlineStr">
        <is>
          <t>Product &amp; programme</t>
        </is>
      </c>
      <c r="C82" s="209" t="n"/>
      <c r="D82" s="16" t="inlineStr">
        <is>
          <t>Band B · People Manager</t>
        </is>
      </c>
      <c r="E82" s="209" t="n"/>
      <c r="F82" s="15" t="inlineStr">
        <is>
          <t>37 / 18 / 11 / 15 / 10 / 9</t>
        </is>
      </c>
      <c r="G82" s="209" t="n"/>
      <c r="H82" s="15" t="inlineStr">
        <is>
          <t>-5 / +5 / 0 / 0 / 0 / 0</t>
        </is>
      </c>
      <c r="I82" s="209" t="n"/>
      <c r="J82" s="203" t="n">
        <v>0.32</v>
      </c>
      <c r="K82" s="203" t="n">
        <v>0.23</v>
      </c>
      <c r="L82" s="203" t="n">
        <v>0.11</v>
      </c>
      <c r="M82" s="203" t="n">
        <v>0.15</v>
      </c>
      <c r="N82" s="203" t="n">
        <v>0.1</v>
      </c>
      <c r="O82" s="203" t="n">
        <v>0.09</v>
      </c>
      <c r="P82" s="15" t="n">
        <v>2</v>
      </c>
    </row>
    <row r="83" ht="28" customHeight="1">
      <c r="A83" s="13" t="inlineStr">
        <is>
          <t>SM-A</t>
        </is>
      </c>
      <c r="B83" s="16" t="inlineStr">
        <is>
          <t>Sales &amp; marketing</t>
        </is>
      </c>
      <c r="C83" s="209" t="n"/>
      <c r="D83" s="16" t="inlineStr">
        <is>
          <t>Band A</t>
        </is>
      </c>
      <c r="E83" s="209" t="n"/>
      <c r="F83" s="15" t="inlineStr">
        <is>
          <t>59 / 16 / 9 / 0 / 10 / 6</t>
        </is>
      </c>
      <c r="G83" s="209" t="n"/>
      <c r="H83" s="15" t="inlineStr">
        <is>
          <t>-5 / +5 / -5 / 0 / 0 / +5</t>
        </is>
      </c>
      <c r="I83" s="209" t="n"/>
      <c r="J83" s="203" t="n">
        <v>0.54</v>
      </c>
      <c r="K83" s="203" t="n">
        <v>0.21</v>
      </c>
      <c r="L83" s="203" t="n">
        <v>0.04</v>
      </c>
      <c r="M83" s="203" t="n">
        <v>0</v>
      </c>
      <c r="N83" s="203" t="n">
        <v>0.1</v>
      </c>
      <c r="O83" s="203" t="n">
        <v>0.11</v>
      </c>
      <c r="P83" s="15" t="n">
        <v>2</v>
      </c>
    </row>
    <row r="84" ht="28" customHeight="1">
      <c r="A84" s="13" t="inlineStr">
        <is>
          <t>SM-B-IC</t>
        </is>
      </c>
      <c r="B84" s="16" t="inlineStr">
        <is>
          <t>Sales &amp; marketing</t>
        </is>
      </c>
      <c r="C84" s="209" t="n"/>
      <c r="D84" s="16" t="inlineStr">
        <is>
          <t>Band B · IC / POD Lead</t>
        </is>
      </c>
      <c r="E84" s="209" t="n"/>
      <c r="F84" s="15" t="inlineStr">
        <is>
          <t>51 / 17 / 10 / 5 / 10 / 7</t>
        </is>
      </c>
      <c r="G84" s="209" t="n"/>
      <c r="H84" s="15" t="inlineStr">
        <is>
          <t>-5 / +5 / -5 / 0 / 0 / +5</t>
        </is>
      </c>
      <c r="I84" s="209" t="n"/>
      <c r="J84" s="203" t="n">
        <v>0.46</v>
      </c>
      <c r="K84" s="203" t="n">
        <v>0.22</v>
      </c>
      <c r="L84" s="203" t="n">
        <v>0.05</v>
      </c>
      <c r="M84" s="203" t="n">
        <v>0.05</v>
      </c>
      <c r="N84" s="203" t="n">
        <v>0.1</v>
      </c>
      <c r="O84" s="203" t="n">
        <v>0.12</v>
      </c>
      <c r="P84" s="15" t="n">
        <v>2</v>
      </c>
    </row>
    <row r="85" ht="28" customHeight="1">
      <c r="A85" s="13" t="inlineStr">
        <is>
          <t>TE-A</t>
        </is>
      </c>
      <c r="B85" s="16" t="inlineStr">
        <is>
          <t>Technology &amp; engineering</t>
        </is>
      </c>
      <c r="C85" s="209" t="n"/>
      <c r="D85" s="16" t="inlineStr">
        <is>
          <t>Band A</t>
        </is>
      </c>
      <c r="E85" s="209" t="n"/>
      <c r="F85" s="15" t="inlineStr">
        <is>
          <t>59 / 16 / 9 / 0 / 10 / 6</t>
        </is>
      </c>
      <c r="G85" s="209" t="n"/>
      <c r="H85" s="15" t="inlineStr">
        <is>
          <t>+5 / 0 / -5 / 0 / 0 / 0</t>
        </is>
      </c>
      <c r="I85" s="209" t="n"/>
      <c r="J85" s="203" t="n">
        <v>0.64</v>
      </c>
      <c r="K85" s="203" t="n">
        <v>0.16</v>
      </c>
      <c r="L85" s="203" t="n">
        <v>0.04</v>
      </c>
      <c r="M85" s="203" t="n">
        <v>0</v>
      </c>
      <c r="N85" s="203" t="n">
        <v>0.1</v>
      </c>
      <c r="O85" s="203" t="n">
        <v>0.06</v>
      </c>
      <c r="P85" s="15" t="n">
        <v>26</v>
      </c>
    </row>
    <row r="86" ht="28" customHeight="1">
      <c r="A86" s="13" t="inlineStr">
        <is>
          <t>TE-B-IC</t>
        </is>
      </c>
      <c r="B86" s="16" t="inlineStr">
        <is>
          <t>Technology &amp; engineering</t>
        </is>
      </c>
      <c r="C86" s="209" t="n"/>
      <c r="D86" s="16" t="inlineStr">
        <is>
          <t>Band B · IC / POD Lead</t>
        </is>
      </c>
      <c r="E86" s="209" t="n"/>
      <c r="F86" s="15" t="inlineStr">
        <is>
          <t>51 / 17 / 10 / 5 / 10 / 7</t>
        </is>
      </c>
      <c r="G86" s="209" t="n"/>
      <c r="H86" s="15" t="inlineStr">
        <is>
          <t>+5 / 0 / -5 / 0 / 0 / 0</t>
        </is>
      </c>
      <c r="I86" s="209" t="n"/>
      <c r="J86" s="203" t="n">
        <v>0.5600000000000001</v>
      </c>
      <c r="K86" s="203" t="n">
        <v>0.17</v>
      </c>
      <c r="L86" s="203" t="n">
        <v>0.05</v>
      </c>
      <c r="M86" s="203" t="n">
        <v>0.05</v>
      </c>
      <c r="N86" s="203" t="n">
        <v>0.1</v>
      </c>
      <c r="O86" s="203" t="n">
        <v>0.07000000000000001</v>
      </c>
      <c r="P86" s="15" t="n">
        <v>7</v>
      </c>
    </row>
    <row r="87" ht="28" customHeight="1">
      <c r="A87" s="13" t="inlineStr">
        <is>
          <t>TE-B-M</t>
        </is>
      </c>
      <c r="B87" s="16" t="inlineStr">
        <is>
          <t>Technology &amp; engineering</t>
        </is>
      </c>
      <c r="C87" s="209" t="n"/>
      <c r="D87" s="16" t="inlineStr">
        <is>
          <t>Band B · People Manager</t>
        </is>
      </c>
      <c r="E87" s="209" t="n"/>
      <c r="F87" s="15" t="inlineStr">
        <is>
          <t>37 / 18 / 11 / 15 / 10 / 9</t>
        </is>
      </c>
      <c r="G87" s="209" t="n"/>
      <c r="H87" s="15" t="inlineStr">
        <is>
          <t>+5 / 0 / -5 / 0 / 0 / 0</t>
        </is>
      </c>
      <c r="I87" s="209" t="n"/>
      <c r="J87" s="203" t="n">
        <v>0.42</v>
      </c>
      <c r="K87" s="203" t="n">
        <v>0.18</v>
      </c>
      <c r="L87" s="203" t="n">
        <v>0.06</v>
      </c>
      <c r="M87" s="203" t="n">
        <v>0.15</v>
      </c>
      <c r="N87" s="203" t="n">
        <v>0.1</v>
      </c>
      <c r="O87" s="203" t="n">
        <v>0.09</v>
      </c>
      <c r="P87" s="15" t="n">
        <v>2</v>
      </c>
    </row>
    <row r="88" ht="28" customHeight="1">
      <c r="A88" s="13" t="inlineStr">
        <is>
          <t>TE-PC-B+</t>
        </is>
      </c>
      <c r="B88" s="16" t="inlineStr">
        <is>
          <t>Technology &amp; engineering</t>
        </is>
      </c>
      <c r="C88" s="209" t="n"/>
      <c r="D88" s="16" t="inlineStr">
        <is>
          <t>Player-Coach B+ · between B and C</t>
        </is>
      </c>
      <c r="E88" s="209" t="n"/>
      <c r="F88" s="15" t="inlineStr">
        <is>
          <t>44 / 18 / 10 / 10 / 10 / 8</t>
        </is>
      </c>
      <c r="G88" s="209" t="n"/>
      <c r="H88" s="15" t="inlineStr">
        <is>
          <t>+5 / 0 / -5 / 0 / 0 / 0</t>
        </is>
      </c>
      <c r="I88" s="209" t="n"/>
      <c r="J88" s="203" t="n">
        <v>0.49</v>
      </c>
      <c r="K88" s="203" t="n">
        <v>0.18</v>
      </c>
      <c r="L88" s="203" t="n">
        <v>0.05</v>
      </c>
      <c r="M88" s="203" t="n">
        <v>0.1</v>
      </c>
      <c r="N88" s="203" t="n">
        <v>0.1</v>
      </c>
      <c r="O88" s="203" t="n">
        <v>0.08</v>
      </c>
      <c r="P88" s="15" t="n">
        <v>1</v>
      </c>
    </row>
    <row r="89" ht="15" customHeight="1"/>
    <row r="90" ht="15" customHeight="1">
      <c r="A90" s="11" t="inlineStr">
        <is>
          <t>Default sets by the department's main type of work. Leaders can change any department's row on the Weightage Matrix; sheet 2 uses the matrix.</t>
        </is>
      </c>
    </row>
    <row r="91" ht="54" customHeight="1">
      <c r="A91" s="11" t="inlineStr">
        <is>
          <r>
            <rPr>
              <rFont val="Calibri"/>
              <b val="1"/>
              <i val="1"/>
              <color rgb="00595959"/>
              <sz val="10"/>
            </rPr>
            <t>Why the tilts:</t>
          </r>
          <r>
            <rPr>
              <rFont val="Calibri"/>
              <i val="1"/>
              <color rgb="00595959"/>
              <sz val="10"/>
            </rPr>
            <t xml:space="preserve"> General management — General management is assessed on the base weights. Basis: S06 Hay short profile; the ±5 size is an IRIS rule. · Product &amp; programme — Wide freedom to act: product roles decide trade-offs → +5 Autonomy, −5 Complexity. Basis: S06 Hay short profile; the ±5 size is an IRIS rule. · Sales &amp; marketing — Judged on pipeline and revenue → +5 Business Impact, +5 Autonomy, −5 Complexity, −5 Accountability. Basis: S06 Hay short profile; the ±5 size is an IRIS rule. · Technology &amp; engineering — Thinking-led: value comes from technical depth → +5 Complexity, −5 Accountability. Basis: S06 Hay short profile; the ±5 size is an IRIS rule.</t>
          </r>
        </is>
      </c>
    </row>
    <row r="92" ht="15" customHeight="1"/>
    <row r="93" ht="20" customHeight="1">
      <c r="A93" s="6" t="inlineStr">
        <is>
          <t>5. STEP 7 · Limits and gates — rules R1–R10, in the order applied</t>
        </is>
      </c>
    </row>
    <row r="94" ht="15" customHeight="1">
      <c r="A94" s="12" t="inlineStr">
        <is>
          <t>ID</t>
        </is>
      </c>
      <c r="B94" s="12" t="inlineStr">
        <is>
          <t>Rule</t>
        </is>
      </c>
      <c r="C94" s="210" t="n"/>
      <c r="D94" s="210" t="n"/>
      <c r="E94" s="210" t="n"/>
      <c r="F94" s="210" t="n"/>
      <c r="G94" s="210" t="n"/>
      <c r="H94" s="210" t="n"/>
      <c r="I94" s="210" t="n"/>
      <c r="J94" s="210" t="n"/>
      <c r="K94" s="210" t="n"/>
      <c r="L94" s="209" t="n"/>
      <c r="M94" s="12" t="inlineStr">
        <is>
          <t>People here</t>
        </is>
      </c>
      <c r="N94" s="209" t="n"/>
    </row>
    <row r="95" ht="15" customHeight="1">
      <c r="A95" s="13" t="inlineStr">
        <is>
          <t>R1</t>
        </is>
      </c>
      <c r="B95" s="16" t="inlineStr">
        <is>
          <r>
            <rPr>
              <rFont val="Calibri"/>
              <b val="1"/>
              <sz val="10"/>
            </rPr>
            <t>Category rule:</t>
          </r>
          <r>
            <rPr>
              <rFont val="Calibri"/>
              <sz val="10"/>
            </rPr>
            <t xml:space="preserve"> interns and trainees in their first year at IRIS → A1; consultants → X1–X3 · outside the ladder</t>
          </r>
        </is>
      </c>
      <c r="C95" s="210" t="n"/>
      <c r="D95" s="210" t="n"/>
      <c r="E95" s="210" t="n"/>
      <c r="F95" s="210" t="n"/>
      <c r="G95" s="210" t="n"/>
      <c r="H95" s="210" t="n"/>
      <c r="I95" s="210" t="n"/>
      <c r="J95" s="210" t="n"/>
      <c r="K95" s="210" t="n"/>
      <c r="L95" s="209" t="n"/>
      <c r="M95" s="15" t="n">
        <v>3</v>
      </c>
      <c r="N95" s="209" t="n"/>
    </row>
    <row r="96" ht="15" customHeight="1">
      <c r="A96" s="13" t="inlineStr">
        <is>
          <t>R2</t>
        </is>
      </c>
      <c r="B96" s="16" t="inlineStr">
        <is>
          <r>
            <rPr>
              <rFont val="Calibri"/>
              <b val="1"/>
              <sz val="10"/>
            </rPr>
            <t>Provisional:</t>
          </r>
          <r>
            <rPr>
              <rFont val="Calibri"/>
              <sz val="10"/>
            </rPr>
            <t xml:space="preserve"> experience to be confirmed by HR — level kept until confirmed</t>
          </r>
        </is>
      </c>
      <c r="C96" s="210" t="n"/>
      <c r="D96" s="210" t="n"/>
      <c r="E96" s="210" t="n"/>
      <c r="F96" s="210" t="n"/>
      <c r="G96" s="210" t="n"/>
      <c r="H96" s="210" t="n"/>
      <c r="I96" s="210" t="n"/>
      <c r="J96" s="210" t="n"/>
      <c r="K96" s="210" t="n"/>
      <c r="L96" s="209" t="n"/>
      <c r="M96" s="15" t="n">
        <v>1</v>
      </c>
      <c r="N96" s="209" t="n"/>
    </row>
    <row r="97" ht="28" customHeight="1">
      <c r="A97" s="13" t="inlineStr">
        <is>
          <t>R3</t>
        </is>
      </c>
      <c r="B97" s="16" t="inlineStr">
        <is>
          <t>Weighted score on each band's own weights; the person sits in the highest band where the score holds, rounded to the nearest level</t>
        </is>
      </c>
      <c r="C97" s="210" t="n"/>
      <c r="D97" s="210" t="n"/>
      <c r="E97" s="210" t="n"/>
      <c r="F97" s="210" t="n"/>
      <c r="G97" s="210" t="n"/>
      <c r="H97" s="210" t="n"/>
      <c r="I97" s="210" t="n"/>
      <c r="J97" s="210" t="n"/>
      <c r="K97" s="210" t="n"/>
      <c r="L97" s="209" t="n"/>
      <c r="M97" s="15" t="n">
        <v>44</v>
      </c>
      <c r="N97" s="209" t="n"/>
    </row>
    <row r="98" ht="28" customHeight="1">
      <c r="A98" s="13" t="inlineStr">
        <is>
          <t>R4</t>
        </is>
      </c>
      <c r="B98" s="16" t="inlineStr">
        <is>
          <r>
            <rPr>
              <rFont val="Calibri"/>
              <b val="1"/>
              <sz val="10"/>
            </rPr>
            <t>Role-substance limit:</t>
          </r>
          <r>
            <rPr>
              <rFont val="Calibri"/>
              <sz val="10"/>
            </rPr>
            <t xml:space="preserve"> at most one level above what Complexity and Accountability show · this is the Band B gate at B1; people managers exempt — the reporting structure is the evidence</t>
          </r>
        </is>
      </c>
      <c r="C98" s="210" t="n"/>
      <c r="D98" s="210" t="n"/>
      <c r="E98" s="210" t="n"/>
      <c r="F98" s="210" t="n"/>
      <c r="G98" s="210" t="n"/>
      <c r="H98" s="210" t="n"/>
      <c r="I98" s="210" t="n"/>
      <c r="J98" s="210" t="n"/>
      <c r="K98" s="210" t="n"/>
      <c r="L98" s="209" t="n"/>
      <c r="M98" s="15" t="n">
        <v>0</v>
      </c>
      <c r="N98" s="209" t="n"/>
    </row>
    <row r="99" ht="28" customHeight="1">
      <c r="A99" s="13" t="inlineStr">
        <is>
          <t>R5</t>
        </is>
      </c>
      <c r="B99" s="16" t="inlineStr">
        <is>
          <r>
            <rPr>
              <rFont val="Calibri"/>
              <b val="1"/>
              <sz val="10"/>
            </rPr>
            <t>Structural gate:</t>
          </r>
          <r>
            <rPr>
              <rFont val="Calibri"/>
              <sz val="10"/>
            </rPr>
            <t xml:space="preserve"> C1+ needs a function / sub-function or principal authority, C2 a function or company-wide discipline, D a business line, E an enterprise mandate, B3 on the manager track team leads or 10+ people — evidenced by the org chart</t>
          </r>
        </is>
      </c>
      <c r="C99" s="210" t="n"/>
      <c r="D99" s="210" t="n"/>
      <c r="E99" s="210" t="n"/>
      <c r="F99" s="210" t="n"/>
      <c r="G99" s="210" t="n"/>
      <c r="H99" s="210" t="n"/>
      <c r="I99" s="210" t="n"/>
      <c r="J99" s="210" t="n"/>
      <c r="K99" s="210" t="n"/>
      <c r="L99" s="209" t="n"/>
      <c r="M99" s="15" t="n">
        <v>0</v>
      </c>
      <c r="N99" s="209" t="n"/>
    </row>
    <row r="100" ht="15" customHeight="1">
      <c r="A100" s="13" t="inlineStr">
        <is>
          <t>R6</t>
        </is>
      </c>
      <c r="B100" s="16" t="inlineStr">
        <is>
          <r>
            <rPr>
              <rFont val="Calibri"/>
              <b val="1"/>
              <sz val="10"/>
            </rPr>
            <t>Top of band:</t>
          </r>
          <r>
            <rPr>
              <rFont val="Calibri"/>
              <sz val="10"/>
            </rPr>
            <t xml:space="preserve"> the score passes the band but does not hold on the next band's weights</t>
          </r>
        </is>
      </c>
      <c r="C100" s="210" t="n"/>
      <c r="D100" s="210" t="n"/>
      <c r="E100" s="210" t="n"/>
      <c r="F100" s="210" t="n"/>
      <c r="G100" s="210" t="n"/>
      <c r="H100" s="210" t="n"/>
      <c r="I100" s="210" t="n"/>
      <c r="J100" s="210" t="n"/>
      <c r="K100" s="210" t="n"/>
      <c r="L100" s="209" t="n"/>
      <c r="M100" s="15" t="n">
        <v>1</v>
      </c>
      <c r="N100" s="209" t="n"/>
    </row>
    <row r="101" ht="15" customHeight="1">
      <c r="A101" s="13" t="inlineStr">
        <is>
          <t>R7</t>
        </is>
      </c>
      <c r="B101" s="16" t="inlineStr">
        <is>
          <r>
            <rPr>
              <rFont val="Calibri"/>
              <b val="1"/>
              <sz val="10"/>
            </rPr>
            <t>Band A experience rule:</t>
          </r>
          <r>
            <rPr>
              <rFont val="Calibri"/>
              <sz val="10"/>
            </rPr>
            <t xml:space="preserve"> under 1 yr → A2 at most; 2+ yrs → A3 · still subject to R4; between 1 and 2 yrs the score decides</t>
          </r>
        </is>
      </c>
      <c r="C101" s="210" t="n"/>
      <c r="D101" s="210" t="n"/>
      <c r="E101" s="210" t="n"/>
      <c r="F101" s="210" t="n"/>
      <c r="G101" s="210" t="n"/>
      <c r="H101" s="210" t="n"/>
      <c r="I101" s="210" t="n"/>
      <c r="J101" s="210" t="n"/>
      <c r="K101" s="210" t="n"/>
      <c r="L101" s="209" t="n"/>
      <c r="M101" s="15" t="n">
        <v>6</v>
      </c>
      <c r="N101" s="209" t="n"/>
    </row>
    <row r="102" ht="15" customHeight="1">
      <c r="A102" s="13" t="inlineStr">
        <is>
          <t>R8</t>
        </is>
      </c>
      <c r="B102" s="16" t="inlineStr">
        <is>
          <r>
            <rPr>
              <rFont val="Calibri"/>
              <b val="1"/>
              <sz val="10"/>
            </rPr>
            <t>Experience limit:</t>
          </r>
          <r>
            <rPr>
              <rFont val="Calibri"/>
              <sz val="10"/>
            </rPr>
            <t xml:space="preserve"> in Bands A–B at most one level above the experience-fit level · people managers exempt — structure is the proof</t>
          </r>
        </is>
      </c>
      <c r="C102" s="210" t="n"/>
      <c r="D102" s="210" t="n"/>
      <c r="E102" s="210" t="n"/>
      <c r="F102" s="210" t="n"/>
      <c r="G102" s="210" t="n"/>
      <c r="H102" s="210" t="n"/>
      <c r="I102" s="210" t="n"/>
      <c r="J102" s="210" t="n"/>
      <c r="K102" s="210" t="n"/>
      <c r="L102" s="209" t="n"/>
      <c r="M102" s="15" t="n">
        <v>0</v>
      </c>
      <c r="N102" s="209" t="n"/>
    </row>
    <row r="103" ht="15" customHeight="1">
      <c r="A103" s="13" t="inlineStr">
        <is>
          <t>R9</t>
        </is>
      </c>
      <c r="B103" s="16" t="inlineStr">
        <is>
          <r>
            <rPr>
              <rFont val="Calibri"/>
              <b val="1"/>
              <sz val="10"/>
            </rPr>
            <t>Track minimum:</t>
          </r>
          <r>
            <rPr>
              <rFont val="Calibri"/>
              <sz val="10"/>
            </rPr>
            <t xml:space="preserve"> POD Leads and People Managers sit at B1 or above</t>
          </r>
        </is>
      </c>
      <c r="C103" s="210" t="n"/>
      <c r="D103" s="210" t="n"/>
      <c r="E103" s="210" t="n"/>
      <c r="F103" s="210" t="n"/>
      <c r="G103" s="210" t="n"/>
      <c r="H103" s="210" t="n"/>
      <c r="I103" s="210" t="n"/>
      <c r="J103" s="210" t="n"/>
      <c r="K103" s="210" t="n"/>
      <c r="L103" s="209" t="n"/>
      <c r="M103" s="15" t="n">
        <v>0</v>
      </c>
      <c r="N103" s="209" t="n"/>
    </row>
    <row r="104" ht="67" customHeight="1">
      <c r="A104" s="13" t="inlineStr">
        <is>
          <t>R10</t>
        </is>
      </c>
      <c r="B104" s="16" t="inlineStr">
        <is>
          <r>
            <rPr>
              <rFont val="Calibri"/>
              <b val="1"/>
              <sz val="10"/>
            </rPr>
            <t>Player-Coach transition step:</t>
          </r>
          <r>
            <rPr>
              <rFont val="Calibri"/>
              <sz val="10"/>
            </rPr>
            <t xml:space="preserve"> at B3 or C2, a person who leads people while still delivering hands-on work moves to the Player-Coach transition step above · B+, between B3 and C1; C+, between C2 and D1 when the score on the Player-Coach weights reaches 6.25 for B+ / 8.25 for C+ and the Complexity–Accountability average reaches 5.5 / 7.5. A shortfall of up to 0.15 on either is accepted · tolerance, and a span outside the norm · B+ 3–6, C+ 4–8 direct reports is flagged, never blocking; both go to calibration. The next band's structural gate is not needed</t>
          </r>
        </is>
      </c>
      <c r="C104" s="210" t="n"/>
      <c r="D104" s="210" t="n"/>
      <c r="E104" s="210" t="n"/>
      <c r="F104" s="210" t="n"/>
      <c r="G104" s="210" t="n"/>
      <c r="H104" s="210" t="n"/>
      <c r="I104" s="210" t="n"/>
      <c r="J104" s="210" t="n"/>
      <c r="K104" s="210" t="n"/>
      <c r="L104" s="209" t="n"/>
      <c r="M104" s="15" t="n">
        <v>1</v>
      </c>
      <c r="N104" s="209" t="n"/>
    </row>
    <row r="105" ht="28" customHeight="1">
      <c r="A105" s="13" t="inlineStr">
        <is>
          <t>R11</t>
        </is>
      </c>
      <c r="B105" s="16" t="inlineStr">
        <is>
          <r>
            <rPr>
              <rFont val="Calibri"/>
              <b val="1"/>
              <sz val="10"/>
            </rPr>
            <t>Leadership decision:</t>
          </r>
          <r>
            <rPr>
              <rFont val="Calibri"/>
              <sz val="10"/>
            </rPr>
            <t xml:space="preserve"> the level is set by the approved leadership structure · validated input in inputs/overrides.csv, field 'Approved level'</t>
          </r>
        </is>
      </c>
      <c r="C105" s="210" t="n"/>
      <c r="D105" s="210" t="n"/>
      <c r="E105" s="210" t="n"/>
      <c r="F105" s="210" t="n"/>
      <c r="G105" s="210" t="n"/>
      <c r="H105" s="210" t="n"/>
      <c r="I105" s="210" t="n"/>
      <c r="J105" s="210" t="n"/>
      <c r="K105" s="210" t="n"/>
      <c r="L105" s="209" t="n"/>
      <c r="M105" s="15" t="n">
        <v>0</v>
      </c>
      <c r="N105" s="209" t="n"/>
    </row>
    <row r="106" ht="15" customHeight="1">
      <c r="A106" s="13" t="inlineStr">
        <is>
          <t>R12</t>
        </is>
      </c>
      <c r="B106" s="16" t="inlineStr">
        <is>
          <t>Reporting-line cap in Bands D–E: no one sits above their reporting manager's level</t>
        </is>
      </c>
      <c r="C106" s="210" t="n"/>
      <c r="D106" s="210" t="n"/>
      <c r="E106" s="210" t="n"/>
      <c r="F106" s="210" t="n"/>
      <c r="G106" s="210" t="n"/>
      <c r="H106" s="210" t="n"/>
      <c r="I106" s="210" t="n"/>
      <c r="J106" s="210" t="n"/>
      <c r="K106" s="210" t="n"/>
      <c r="L106" s="209" t="n"/>
      <c r="M106" s="15" t="n">
        <v>0</v>
      </c>
      <c r="N106" s="209" t="n"/>
    </row>
    <row r="107" ht="15" customHeight="1">
      <c r="A107" s="13" t="inlineStr">
        <is>
          <t>R13</t>
        </is>
      </c>
      <c r="B107" s="16" t="inlineStr">
        <is>
          <r>
            <rPr>
              <rFont val="Calibri"/>
              <b val="1"/>
              <sz val="10"/>
            </rPr>
            <t>Reports to the top:</t>
          </r>
          <r>
            <rPr>
              <rFont val="Calibri"/>
              <sz val="10"/>
            </rPr>
            <t xml:space="preserve"> anyone in Band D who reports directly to an E1 or E2 sits at D2</t>
          </r>
        </is>
      </c>
      <c r="C107" s="210" t="n"/>
      <c r="D107" s="210" t="n"/>
      <c r="E107" s="210" t="n"/>
      <c r="F107" s="210" t="n"/>
      <c r="G107" s="210" t="n"/>
      <c r="H107" s="210" t="n"/>
      <c r="I107" s="210" t="n"/>
      <c r="J107" s="210" t="n"/>
      <c r="K107" s="210" t="n"/>
      <c r="L107" s="209" t="n"/>
      <c r="M107" s="15" t="n">
        <v>0</v>
      </c>
      <c r="N107" s="209" t="n"/>
    </row>
    <row r="108" ht="15" customHeight="1"/>
    <row r="109" ht="20" customHeight="1">
      <c r="A109" s="6" t="inlineStr">
        <is>
          <t>6. STEP 8 · Levels and titles · bottom to top</t>
        </is>
      </c>
    </row>
    <row r="110" ht="28" customHeight="1">
      <c r="A110" s="12" t="inlineStr">
        <is>
          <t>Band</t>
        </is>
      </c>
      <c r="B110" s="12" t="inlineStr">
        <is>
          <t>Level</t>
        </is>
      </c>
      <c r="C110" s="12" t="inlineStr">
        <is>
          <t>IC title</t>
        </is>
      </c>
      <c r="D110" s="12" t="inlineStr">
        <is>
          <t>Manager title</t>
        </is>
      </c>
      <c r="E110" s="209" t="n"/>
      <c r="F110" s="12" t="inlineStr">
        <is>
          <t>What the role owns</t>
        </is>
      </c>
      <c r="G110" s="210" t="n"/>
      <c r="H110" s="209" t="n"/>
      <c r="I110" s="12" t="inlineStr">
        <is>
          <t>Experience · yrs</t>
        </is>
      </c>
      <c r="J110" s="12" t="inlineStr">
        <is>
          <t>Span</t>
        </is>
      </c>
      <c r="K110" s="12" t="inlineStr">
        <is>
          <t>Radford / Mercer</t>
        </is>
      </c>
      <c r="L110" s="12" t="inlineStr">
        <is>
          <t>SFIA</t>
        </is>
      </c>
      <c r="M110" s="12" t="inlineStr">
        <is>
          <t>IC / POD / Mgr</t>
        </is>
      </c>
      <c r="N110" s="12" t="inlineStr">
        <is>
          <t>Total</t>
        </is>
      </c>
    </row>
    <row r="111" ht="41" customHeight="1">
      <c r="A111" s="26" t="inlineStr">
        <is>
          <t>A</t>
        </is>
      </c>
      <c r="B111" s="26" t="inlineStr">
        <is>
          <t>A1</t>
        </is>
      </c>
      <c r="C111" s="117" t="inlineStr">
        <is>
          <t>Intern / Trainee</t>
        </is>
      </c>
      <c r="D111" s="117" t="inlineStr">
        <is>
          <t>common path</t>
        </is>
      </c>
      <c r="E111" s="209" t="n"/>
      <c r="F111" s="117" t="inlineStr">
        <is>
          <t>Learning the role; all work reviewed</t>
        </is>
      </c>
      <c r="G111" s="210" t="n"/>
      <c r="H111" s="209" t="n"/>
      <c r="I111" s="26" t="inlineStr">
        <is>
          <t>0 yrs · fresher / intern</t>
        </is>
      </c>
      <c r="J111" s="117" t="inlineStr">
        <is>
          <t>No direct reports</t>
        </is>
      </c>
      <c r="K111" s="26" t="inlineStr">
        <is>
          <t>Entry / P1 · intern</t>
        </is>
      </c>
      <c r="L111" s="26" t="inlineStr">
        <is>
          <t>1 Follow</t>
        </is>
      </c>
      <c r="M111" s="26" t="inlineStr">
        <is>
          <t>3 / 0 / 0</t>
        </is>
      </c>
      <c r="N111" s="26" t="n">
        <v>3</v>
      </c>
    </row>
    <row r="112" ht="28" customHeight="1">
      <c r="A112" s="26" t="inlineStr">
        <is>
          <t>A</t>
        </is>
      </c>
      <c r="B112" s="26" t="inlineStr">
        <is>
          <t>A2</t>
        </is>
      </c>
      <c r="C112" s="117" t="inlineStr">
        <is>
          <t>Associate</t>
        </is>
      </c>
      <c r="D112" s="117" t="inlineStr">
        <is>
          <t>common path</t>
        </is>
      </c>
      <c r="E112" s="209" t="n"/>
      <c r="F112" s="117" t="inlineStr">
        <is>
          <t>Standard work delivered independently</t>
        </is>
      </c>
      <c r="G112" s="210" t="n"/>
      <c r="H112" s="209" t="n"/>
      <c r="I112" s="26" t="inlineStr">
        <is>
          <t>0–2 yrs</t>
        </is>
      </c>
      <c r="J112" s="117" t="inlineStr">
        <is>
          <t>No direct reports</t>
        </is>
      </c>
      <c r="K112" s="26" t="inlineStr">
        <is>
          <t>P1–P2</t>
        </is>
      </c>
      <c r="L112" s="26" t="inlineStr">
        <is>
          <t>2 Assist</t>
        </is>
      </c>
      <c r="M112" s="26" t="inlineStr">
        <is>
          <t>4 / 0 / 0</t>
        </is>
      </c>
      <c r="N112" s="26" t="n">
        <v>4</v>
      </c>
    </row>
    <row r="113" ht="54" customHeight="1">
      <c r="A113" s="26" t="inlineStr">
        <is>
          <t>A</t>
        </is>
      </c>
      <c r="B113" s="26" t="inlineStr">
        <is>
          <t>A3</t>
        </is>
      </c>
      <c r="C113" s="117" t="inlineStr">
        <is>
          <t>Senior Associate</t>
        </is>
      </c>
      <c r="D113" s="117" t="inlineStr">
        <is>
          <t>common path</t>
        </is>
      </c>
      <c r="E113" s="209" t="n"/>
      <c r="F113" s="117" t="inlineStr">
        <is>
          <t>Varied work; reviews juniors; go-to for a process</t>
        </is>
      </c>
      <c r="G113" s="210" t="n"/>
      <c r="H113" s="209" t="n"/>
      <c r="I113" s="26" t="inlineStr">
        <is>
          <t>2–4 yrs</t>
        </is>
      </c>
      <c r="J113" s="117" t="inlineStr">
        <is>
          <t>None · guides 1–3 juniors informally</t>
        </is>
      </c>
      <c r="K113" s="26" t="inlineStr">
        <is>
          <t>P2</t>
        </is>
      </c>
      <c r="L113" s="26" t="inlineStr">
        <is>
          <t>3 Apply</t>
        </is>
      </c>
      <c r="M113" s="26" t="inlineStr">
        <is>
          <t>25 / 0 / 0</t>
        </is>
      </c>
      <c r="N113" s="26" t="n">
        <v>25</v>
      </c>
    </row>
    <row r="114" ht="41" customHeight="1">
      <c r="A114" s="20" t="inlineStr">
        <is>
          <t>B</t>
        </is>
      </c>
      <c r="B114" s="20" t="inlineStr">
        <is>
          <t>B1</t>
        </is>
      </c>
      <c r="C114" s="18" t="inlineStr">
        <is>
          <t>Specialist</t>
        </is>
      </c>
      <c r="D114" s="18" t="inlineStr">
        <is>
          <t>Team Lead</t>
        </is>
      </c>
      <c r="E114" s="209" t="n"/>
      <c r="F114" s="18" t="inlineStr">
        <is>
          <t>A domain / module, or a small team</t>
        </is>
      </c>
      <c r="G114" s="210" t="n"/>
      <c r="H114" s="209" t="n"/>
      <c r="I114" s="20" t="inlineStr">
        <is>
          <t>4–7 yrs</t>
        </is>
      </c>
      <c r="J114" s="18" t="inlineStr">
        <is>
          <r>
            <rPr>
              <rFont val="Calibri"/>
              <b val="1"/>
              <sz val="10"/>
            </rPr>
            <t>IC:</t>
          </r>
          <r>
            <rPr>
              <rFont val="Calibri"/>
              <sz val="10"/>
            </rPr>
            <t xml:space="preserve"> none · Team Lead: 3–5</t>
          </r>
        </is>
      </c>
      <c r="K114" s="20" t="inlineStr">
        <is>
          <t>P3 / M2</t>
        </is>
      </c>
      <c r="L114" s="20" t="inlineStr">
        <is>
          <t>4 Enable</t>
        </is>
      </c>
      <c r="M114" s="20" t="inlineStr">
        <is>
          <t>5 / 2 / 2</t>
        </is>
      </c>
      <c r="N114" s="20" t="n">
        <v>9</v>
      </c>
    </row>
    <row r="115" ht="80" customHeight="1">
      <c r="A115" s="20" t="inlineStr">
        <is>
          <t>B</t>
        </is>
      </c>
      <c r="B115" s="20" t="inlineStr">
        <is>
          <t>B2</t>
        </is>
      </c>
      <c r="C115" s="18" t="inlineStr">
        <is>
          <t>Senior Specialist</t>
        </is>
      </c>
      <c r="D115" s="18" t="inlineStr">
        <is>
          <t>Manager</t>
        </is>
      </c>
      <c r="E115" s="209" t="n"/>
      <c r="F115" s="18" t="inlineStr">
        <is>
          <t>Deep domain expertise, or one team</t>
        </is>
      </c>
      <c r="G115" s="210" t="n"/>
      <c r="H115" s="209" t="n"/>
      <c r="I115" s="20" t="inlineStr">
        <is>
          <t>6–9 yrs</t>
        </is>
      </c>
      <c r="J115" s="18" t="inlineStr">
        <is>
          <r>
            <rPr>
              <rFont val="Calibri"/>
              <b val="1"/>
              <sz val="10"/>
            </rPr>
            <t>IC:</t>
          </r>
          <r>
            <rPr>
              <rFont val="Calibri"/>
              <sz val="10"/>
            </rPr>
            <t xml:space="preserve"> none · People: 6–8 knowledge work, 8–12 standardised delivery</t>
          </r>
        </is>
      </c>
      <c r="K115" s="20" t="inlineStr">
        <is>
          <t>P4 / M3</t>
        </is>
      </c>
      <c r="L115" s="20" t="inlineStr">
        <is>
          <t>4–5</t>
        </is>
      </c>
      <c r="M115" s="20" t="inlineStr">
        <is>
          <t>1 / 0 / 2</t>
        </is>
      </c>
      <c r="N115" s="20" t="n">
        <v>3</v>
      </c>
    </row>
    <row r="116" ht="54" customHeight="1">
      <c r="A116" s="20" t="inlineStr">
        <is>
          <t>B</t>
        </is>
      </c>
      <c r="B116" s="20" t="inlineStr">
        <is>
          <t>B3</t>
        </is>
      </c>
      <c r="C116" s="18" t="inlineStr">
        <is>
          <t>Lead Specialist</t>
        </is>
      </c>
      <c r="D116" s="18" t="inlineStr">
        <is>
          <t>Senior Manager</t>
        </is>
      </c>
      <c r="E116" s="209" t="n"/>
      <c r="F116" s="18" t="inlineStr">
        <is>
          <t>A practice, or several teams through team leads</t>
        </is>
      </c>
      <c r="G116" s="210" t="n"/>
      <c r="H116" s="209" t="n"/>
      <c r="I116" s="20" t="inlineStr">
        <is>
          <t>8–12 yrs</t>
        </is>
      </c>
      <c r="J116" s="18" t="inlineStr">
        <is>
          <r>
            <rPr>
              <rFont val="Calibri"/>
              <b val="1"/>
              <sz val="10"/>
            </rPr>
            <t>IC:</t>
          </r>
          <r>
            <rPr>
              <rFont val="Calibri"/>
              <sz val="10"/>
            </rPr>
            <t xml:space="preserve"> none · People: 5–8 incl. team leads</t>
          </r>
        </is>
      </c>
      <c r="K116" s="20" t="inlineStr">
        <is>
          <t>P5 / M4</t>
        </is>
      </c>
      <c r="L116" s="20" t="inlineStr">
        <is>
          <t>5 Ensure, advise</t>
        </is>
      </c>
      <c r="M116" s="20" t="inlineStr">
        <is>
          <t>1 / 0 / 0</t>
        </is>
      </c>
      <c r="N116" s="20" t="n">
        <v>1</v>
      </c>
    </row>
    <row r="117" ht="132" customHeight="1">
      <c r="A117" s="30" t="inlineStr">
        <is>
          <t>B+</t>
        </is>
      </c>
      <c r="B117" s="30" t="inlineStr">
        <is>
          <t>B+</t>
        </is>
      </c>
      <c r="C117" s="145" t="inlineStr">
        <is>
          <t>Practice Lead · Player-Coach</t>
        </is>
      </c>
      <c r="D117" s="145" t="inlineStr">
        <is>
          <t>Practice Lead · Player-Coach</t>
        </is>
      </c>
      <c r="E117" s="209" t="n"/>
      <c r="F117" s="145" t="inlineStr">
        <is>
          <r>
            <rPr>
              <rFont val="Calibri"/>
              <b val="1"/>
              <sz val="10"/>
            </rPr>
            <t>A practice or product area:</t>
          </r>
          <r>
            <rPr>
              <rFont val="Calibri"/>
              <sz val="10"/>
            </rPr>
            <t xml:space="preserve"> does the hardest hands-on work itself and leads 3–6 people · player-coach</t>
          </r>
        </is>
      </c>
      <c r="G117" s="210" t="n"/>
      <c r="H117" s="209" t="n"/>
      <c r="I117" s="30" t="inlineStr">
        <is>
          <t>9–14 yrs</t>
        </is>
      </c>
      <c r="J117" s="145" t="inlineStr">
        <is>
          <t>3–6 direct reports with ≥ 40% of time on own delivery · McKinsey player/coach 3–5; Google Tech Lead Manager</t>
        </is>
      </c>
      <c r="K117" s="30" t="inlineStr">
        <is>
          <t>P5–P6 / M4–M5</t>
        </is>
      </c>
      <c r="L117" s="30" t="inlineStr">
        <is>
          <t>5 Ensure, advise</t>
        </is>
      </c>
      <c r="M117" s="30" t="inlineStr">
        <is>
          <t>0 / 1 / 0</t>
        </is>
      </c>
      <c r="N117" s="30" t="n">
        <v>1</v>
      </c>
    </row>
    <row r="118" ht="28" customHeight="1">
      <c r="A118" s="33" t="inlineStr">
        <is>
          <t>C</t>
        </is>
      </c>
      <c r="B118" s="33" t="inlineStr">
        <is>
          <t>C1</t>
        </is>
      </c>
      <c r="C118" s="204" t="inlineStr">
        <is>
          <t>Principal</t>
        </is>
      </c>
      <c r="D118" s="204" t="inlineStr">
        <is>
          <t>Associate Head</t>
        </is>
      </c>
      <c r="E118" s="209" t="n"/>
      <c r="F118" s="204" t="inlineStr">
        <is>
          <t>A sub-function, or principal authority across products</t>
        </is>
      </c>
      <c r="G118" s="210" t="n"/>
      <c r="H118" s="209" t="n"/>
      <c r="I118" s="33" t="inlineStr">
        <is>
          <t>10–14 yrs</t>
        </is>
      </c>
      <c r="J118" s="204" t="inlineStr">
        <is>
          <t>5–8, mostly managers</t>
        </is>
      </c>
      <c r="K118" s="33" t="inlineStr">
        <is>
          <t>P6 / M5</t>
        </is>
      </c>
      <c r="L118" s="33" t="inlineStr">
        <is>
          <t>5–6</t>
        </is>
      </c>
      <c r="M118" s="33" t="inlineStr">
        <is>
          <t>0 / 0 / 0</t>
        </is>
      </c>
      <c r="N118" s="33" t="n">
        <v>0</v>
      </c>
    </row>
    <row r="119" ht="41" customHeight="1">
      <c r="A119" s="33" t="inlineStr">
        <is>
          <t>C</t>
        </is>
      </c>
      <c r="B119" s="33" t="inlineStr">
        <is>
          <t>C2</t>
        </is>
      </c>
      <c r="C119" s="204" t="inlineStr">
        <is>
          <t>Senior Principal / Architect</t>
        </is>
      </c>
      <c r="D119" s="204" t="inlineStr">
        <is>
          <t>Head of Function</t>
        </is>
      </c>
      <c r="E119" s="209" t="n"/>
      <c r="F119" s="204" t="inlineStr">
        <is>
          <t>A function or department, or a company-wide discipline</t>
        </is>
      </c>
      <c r="G119" s="210" t="n"/>
      <c r="H119" s="209" t="n"/>
      <c r="I119" s="33" t="inlineStr">
        <is>
          <t>12–17 yrs</t>
        </is>
      </c>
      <c r="J119" s="204" t="inlineStr">
        <is>
          <t>5–8 managers / associate heads</t>
        </is>
      </c>
      <c r="K119" s="33" t="inlineStr">
        <is>
          <t>P7 / M6</t>
        </is>
      </c>
      <c r="L119" s="33" t="inlineStr">
        <is>
          <t>6 Initiate, influence</t>
        </is>
      </c>
      <c r="M119" s="33" t="inlineStr">
        <is>
          <t>0 / 0 / 0</t>
        </is>
      </c>
      <c r="N119" s="33" t="n">
        <v>0</v>
      </c>
    </row>
    <row r="120" ht="80" customHeight="1">
      <c r="A120" s="36" t="inlineStr">
        <is>
          <t>C+</t>
        </is>
      </c>
      <c r="B120" s="36" t="inlineStr">
        <is>
          <t>C+</t>
        </is>
      </c>
      <c r="C120" s="205" t="inlineStr">
        <is>
          <t>Group Head · Player-Coach</t>
        </is>
      </c>
      <c r="D120" s="205" t="inlineStr">
        <is>
          <t>Group Head · Player-Coach</t>
        </is>
      </c>
      <c r="E120" s="209" t="n"/>
      <c r="F120" s="205" t="inlineStr">
        <is>
          <r>
            <rPr>
              <rFont val="Calibri"/>
              <b val="1"/>
              <sz val="10"/>
            </rPr>
            <t>A function or group of practices:</t>
          </r>
          <r>
            <rPr>
              <rFont val="Calibri"/>
              <sz val="10"/>
            </rPr>
            <t xml:space="preserve"> answers for its results and personally delivers or sells the most critical work · player-coach</t>
          </r>
        </is>
      </c>
      <c r="G120" s="210" t="n"/>
      <c r="H120" s="209" t="n"/>
      <c r="I120" s="36" t="inlineStr">
        <is>
          <t>13–18 yrs</t>
        </is>
      </c>
      <c r="J120" s="205" t="inlineStr">
        <is>
          <t>4–8 managers / leads with ≥ 25% of time on own principal delivery</t>
        </is>
      </c>
      <c r="K120" s="36" t="inlineStr">
        <is>
          <t>M6 / E1</t>
        </is>
      </c>
      <c r="L120" s="36" t="inlineStr">
        <is>
          <t>6 Initiate, influence</t>
        </is>
      </c>
      <c r="M120" s="36" t="inlineStr">
        <is>
          <t>0 / 0 / 0</t>
        </is>
      </c>
      <c r="N120" s="36" t="n">
        <v>0</v>
      </c>
    </row>
    <row r="121" ht="54" customHeight="1">
      <c r="A121" s="39" t="inlineStr">
        <is>
          <t>D</t>
        </is>
      </c>
      <c r="B121" s="39" t="inlineStr">
        <is>
          <t>D1</t>
        </is>
      </c>
      <c r="C121" s="152" t="inlineStr">
        <is>
          <t>Chief Specialist / Distinguished Principal</t>
        </is>
      </c>
      <c r="D121" s="152" t="inlineStr">
        <is>
          <t>Associate Vice President / Business Head</t>
        </is>
      </c>
      <c r="E121" s="209" t="n"/>
      <c r="F121" s="152" t="inlineStr">
        <is>
          <t>A business line P&amp;L, region or enterprise function</t>
        </is>
      </c>
      <c r="G121" s="210" t="n"/>
      <c r="H121" s="209" t="n"/>
      <c r="I121" s="39" t="inlineStr">
        <is>
          <t>15–20 yrs</t>
        </is>
      </c>
      <c r="J121" s="152" t="inlineStr">
        <is>
          <t>5–8 heads</t>
        </is>
      </c>
      <c r="K121" s="39" t="inlineStr">
        <is>
          <t>E1–E2</t>
        </is>
      </c>
      <c r="L121" s="39" t="inlineStr">
        <is>
          <t>6–7</t>
        </is>
      </c>
      <c r="M121" s="39" t="inlineStr">
        <is>
          <t>0 / 0 / 1</t>
        </is>
      </c>
      <c r="N121" s="39" t="n">
        <v>1</v>
      </c>
    </row>
    <row r="122" ht="28" customHeight="1">
      <c r="A122" s="39" t="inlineStr">
        <is>
          <t>D</t>
        </is>
      </c>
      <c r="B122" s="39" t="inlineStr">
        <is>
          <t>D2</t>
        </is>
      </c>
      <c r="C122" s="152" t="inlineStr">
        <is>
          <t>—</t>
        </is>
      </c>
      <c r="D122" s="152" t="inlineStr">
        <is>
          <t>Vice President</t>
        </is>
      </c>
      <c r="E122" s="209" t="n"/>
      <c r="F122" s="152" t="inlineStr">
        <is>
          <t>Several business lines or an executive-scope enterprise function</t>
        </is>
      </c>
      <c r="G122" s="210" t="n"/>
      <c r="H122" s="209" t="n"/>
      <c r="I122" s="39" t="inlineStr">
        <is>
          <t>18–24 yrs</t>
        </is>
      </c>
      <c r="J122" s="152" t="inlineStr">
        <is>
          <t>5–8 AVPs / heads</t>
        </is>
      </c>
      <c r="K122" s="39" t="inlineStr">
        <is>
          <t>E3–E4</t>
        </is>
      </c>
      <c r="L122" s="39" t="inlineStr">
        <is>
          <t>7 Set strategy</t>
        </is>
      </c>
      <c r="M122" s="39" t="inlineStr">
        <is>
          <t>0 / 0 / 0</t>
        </is>
      </c>
      <c r="N122" s="39" t="n">
        <v>0</v>
      </c>
    </row>
    <row r="123" ht="28" customHeight="1">
      <c r="A123" s="42" t="inlineStr">
        <is>
          <t>E</t>
        </is>
      </c>
      <c r="B123" s="42" t="inlineStr">
        <is>
          <t>E1</t>
        </is>
      </c>
      <c r="C123" s="206" t="inlineStr">
        <is>
          <t>—</t>
        </is>
      </c>
      <c r="D123" s="206" t="inlineStr">
        <is>
          <t>CXO / President</t>
        </is>
      </c>
      <c r="E123" s="209" t="n"/>
      <c r="F123" s="206" t="inlineStr">
        <is>
          <t>An enterprise-wide function</t>
        </is>
      </c>
      <c r="G123" s="210" t="n"/>
      <c r="H123" s="209" t="n"/>
      <c r="I123" s="42" t="inlineStr">
        <is>
          <t>20+ yrs</t>
        </is>
      </c>
      <c r="J123" s="206" t="inlineStr">
        <is>
          <t>5–8 function heads</t>
        </is>
      </c>
      <c r="K123" s="42" t="inlineStr">
        <is>
          <t>E5</t>
        </is>
      </c>
      <c r="L123" s="42" t="inlineStr">
        <is>
          <t>7</t>
        </is>
      </c>
      <c r="M123" s="42" t="inlineStr">
        <is>
          <t>0 / 0 / 0</t>
        </is>
      </c>
      <c r="N123" s="42" t="n">
        <v>0</v>
      </c>
    </row>
    <row r="124" ht="28" customHeight="1">
      <c r="A124" s="42" t="inlineStr">
        <is>
          <t>E</t>
        </is>
      </c>
      <c r="B124" s="42" t="inlineStr">
        <is>
          <t>E2</t>
        </is>
      </c>
      <c r="C124" s="206" t="inlineStr">
        <is>
          <t>—</t>
        </is>
      </c>
      <c r="D124" s="206" t="inlineStr">
        <is>
          <t>Chief Executive Officer</t>
        </is>
      </c>
      <c r="E124" s="209" t="n"/>
      <c r="F124" s="206" t="inlineStr">
        <is>
          <t>The enterprise</t>
        </is>
      </c>
      <c r="G124" s="210" t="n"/>
      <c r="H124" s="209" t="n"/>
      <c r="I124" s="42" t="inlineStr">
        <is>
          <t>20+ yrs</t>
        </is>
      </c>
      <c r="J124" s="206" t="inlineStr">
        <is>
          <t>Executive team</t>
        </is>
      </c>
      <c r="K124" s="42" t="inlineStr">
        <is>
          <t>E6</t>
        </is>
      </c>
      <c r="L124" s="42" t="inlineStr">
        <is>
          <t>7</t>
        </is>
      </c>
      <c r="M124" s="42" t="inlineStr">
        <is>
          <t>0 / 0 / 0</t>
        </is>
      </c>
      <c r="N124" s="42" t="n">
        <v>0</v>
      </c>
    </row>
    <row r="125" ht="28" customHeight="1">
      <c r="A125" s="45" t="inlineStr">
        <is>
          <t>X</t>
        </is>
      </c>
      <c r="B125" s="45" t="inlineStr">
        <is>
          <t>X1</t>
        </is>
      </c>
      <c r="C125" s="137" t="inlineStr">
        <is>
          <t>Associate Consultant</t>
        </is>
      </c>
      <c r="D125" s="137" t="inlineStr">
        <is>
          <t>Outside the employee ladder</t>
        </is>
      </c>
      <c r="E125" s="209" t="n"/>
      <c r="F125" s="137" t="inlineStr">
        <is>
          <t>Defined deliverables under a statement of work · ≈ A2–A3</t>
        </is>
      </c>
      <c r="G125" s="210" t="n"/>
      <c r="H125" s="209" t="n"/>
      <c r="I125" s="45" t="inlineStr">
        <is>
          <t>0–5 yrs</t>
        </is>
      </c>
      <c r="J125" s="137" t="inlineStr">
        <is>
          <t>Not counted in spans</t>
        </is>
      </c>
      <c r="K125" s="45" t="inlineStr">
        <is>
          <t>Contractor</t>
        </is>
      </c>
      <c r="L125" s="45" t="inlineStr">
        <is>
          <t>—</t>
        </is>
      </c>
      <c r="M125" s="45" t="inlineStr">
        <is>
          <t>0</t>
        </is>
      </c>
      <c r="N125" s="45" t="n">
        <v>0</v>
      </c>
    </row>
    <row r="126" ht="28" customHeight="1">
      <c r="A126" s="45" t="inlineStr">
        <is>
          <t>X</t>
        </is>
      </c>
      <c r="B126" s="45" t="inlineStr">
        <is>
          <t>X2</t>
        </is>
      </c>
      <c r="C126" s="137" t="inlineStr">
        <is>
          <t>Consultant</t>
        </is>
      </c>
      <c r="D126" s="137" t="inlineStr">
        <is>
          <t>Outside the employee ladder</t>
        </is>
      </c>
      <c r="E126" s="209" t="n"/>
      <c r="F126" s="137" t="inlineStr">
        <is>
          <t>Specialist scope or workstream · ≈ B1–B2</t>
        </is>
      </c>
      <c r="G126" s="210" t="n"/>
      <c r="H126" s="209" t="n"/>
      <c r="I126" s="45" t="inlineStr">
        <is>
          <t>4–10 yrs</t>
        </is>
      </c>
      <c r="J126" s="137" t="inlineStr">
        <is>
          <t>Not counted in spans</t>
        </is>
      </c>
      <c r="K126" s="45" t="inlineStr">
        <is>
          <t>Contractor</t>
        </is>
      </c>
      <c r="L126" s="45" t="inlineStr">
        <is>
          <t>—</t>
        </is>
      </c>
      <c r="M126" s="45" t="inlineStr">
        <is>
          <t>0</t>
        </is>
      </c>
      <c r="N126" s="45" t="n">
        <v>0</v>
      </c>
    </row>
    <row r="127" ht="41" customHeight="1">
      <c r="A127" s="45" t="inlineStr">
        <is>
          <t>X</t>
        </is>
      </c>
      <c r="B127" s="45" t="inlineStr">
        <is>
          <t>X3</t>
        </is>
      </c>
      <c r="C127" s="137" t="inlineStr">
        <is>
          <t>Senior Consultant / Advisor</t>
        </is>
      </c>
      <c r="D127" s="137" t="inlineStr">
        <is>
          <t>Outside the employee ladder</t>
        </is>
      </c>
      <c r="E127" s="209" t="n"/>
      <c r="F127" s="137" t="inlineStr">
        <is>
          <t>Expert or advisory scope · ≈ B3–C2</t>
        </is>
      </c>
      <c r="G127" s="210" t="n"/>
      <c r="H127" s="209" t="n"/>
      <c r="I127" s="45" t="inlineStr">
        <is>
          <t>10+ yrs</t>
        </is>
      </c>
      <c r="J127" s="137" t="inlineStr">
        <is>
          <t>Not counted in spans</t>
        </is>
      </c>
      <c r="K127" s="45" t="inlineStr">
        <is>
          <t>Contractor</t>
        </is>
      </c>
      <c r="L127" s="45" t="inlineStr">
        <is>
          <t>—</t>
        </is>
      </c>
      <c r="M127" s="45" t="inlineStr">
        <is>
          <t>0</t>
        </is>
      </c>
      <c r="N127" s="45" t="n">
        <v>0</v>
      </c>
    </row>
    <row r="128" ht="15" customHeight="1"/>
    <row r="129" ht="15" customHeight="1">
      <c r="A129" s="12" t="inlineStr">
        <is>
          <t>Department × level</t>
        </is>
      </c>
      <c r="B129" s="210" t="n"/>
      <c r="C129" s="210" t="n"/>
      <c r="D129" s="210" t="n"/>
      <c r="E129" s="209" t="n"/>
      <c r="F129" s="12" t="inlineStr">
        <is>
          <t>A1</t>
        </is>
      </c>
      <c r="G129" s="12" t="inlineStr">
        <is>
          <t>A2</t>
        </is>
      </c>
      <c r="H129" s="12" t="inlineStr">
        <is>
          <t>A3</t>
        </is>
      </c>
      <c r="I129" s="12" t="inlineStr">
        <is>
          <t>B1</t>
        </is>
      </c>
      <c r="J129" s="12" t="inlineStr">
        <is>
          <t>B2</t>
        </is>
      </c>
      <c r="K129" s="12" t="inlineStr">
        <is>
          <t>B3</t>
        </is>
      </c>
      <c r="L129" s="12" t="inlineStr">
        <is>
          <t>B+</t>
        </is>
      </c>
      <c r="M129" s="12" t="inlineStr">
        <is>
          <t>D1</t>
        </is>
      </c>
      <c r="N129" s="12" t="inlineStr">
        <is>
          <t>Total</t>
        </is>
      </c>
    </row>
    <row r="130" ht="15" customHeight="1">
      <c r="A130" s="13" t="inlineStr">
        <is>
          <t>Marketing</t>
        </is>
      </c>
      <c r="B130" s="210" t="n"/>
      <c r="C130" s="210" t="n"/>
      <c r="D130" s="210" t="n"/>
      <c r="E130" s="209" t="n"/>
      <c r="F130" s="15" t="inlineStr"/>
      <c r="G130" s="15" t="n">
        <v>1</v>
      </c>
      <c r="H130" s="15" t="inlineStr"/>
      <c r="I130" s="15" t="inlineStr"/>
      <c r="J130" s="15" t="inlineStr"/>
      <c r="K130" s="15" t="inlineStr"/>
      <c r="L130" s="15" t="inlineStr"/>
      <c r="M130" s="15" t="inlineStr"/>
      <c r="N130" s="15" t="n">
        <v>1</v>
      </c>
    </row>
    <row r="131" ht="15" customHeight="1">
      <c r="A131" s="13" t="inlineStr">
        <is>
          <t>Product Management</t>
        </is>
      </c>
      <c r="B131" s="210" t="n"/>
      <c r="C131" s="210" t="n"/>
      <c r="D131" s="210" t="n"/>
      <c r="E131" s="209" t="n"/>
      <c r="F131" s="15" t="inlineStr"/>
      <c r="G131" s="15" t="inlineStr"/>
      <c r="H131" s="15" t="n">
        <v>1</v>
      </c>
      <c r="I131" s="15" t="inlineStr"/>
      <c r="J131" s="15" t="n">
        <v>2</v>
      </c>
      <c r="K131" s="15" t="inlineStr"/>
      <c r="L131" s="15" t="inlineStr"/>
      <c r="M131" s="15" t="inlineStr"/>
      <c r="N131" s="15" t="n">
        <v>3</v>
      </c>
    </row>
    <row r="132" ht="15" customHeight="1">
      <c r="A132" s="13" t="inlineStr">
        <is>
          <t>Quality Assurance</t>
        </is>
      </c>
      <c r="B132" s="210" t="n"/>
      <c r="C132" s="210" t="n"/>
      <c r="D132" s="210" t="n"/>
      <c r="E132" s="209" t="n"/>
      <c r="F132" s="15" t="inlineStr"/>
      <c r="G132" s="15" t="inlineStr"/>
      <c r="H132" s="15" t="n">
        <v>4</v>
      </c>
      <c r="I132" s="15" t="n">
        <v>1</v>
      </c>
      <c r="J132" s="15" t="inlineStr"/>
      <c r="K132" s="15" t="inlineStr"/>
      <c r="L132" s="15" t="inlineStr"/>
      <c r="M132" s="15" t="inlineStr"/>
      <c r="N132" s="15" t="n">
        <v>5</v>
      </c>
    </row>
    <row r="133" ht="15" customHeight="1">
      <c r="A133" s="13" t="inlineStr">
        <is>
          <t>Sales</t>
        </is>
      </c>
      <c r="B133" s="210" t="n"/>
      <c r="C133" s="210" t="n"/>
      <c r="D133" s="210" t="n"/>
      <c r="E133" s="209" t="n"/>
      <c r="F133" s="15" t="n">
        <v>1</v>
      </c>
      <c r="G133" s="15" t="inlineStr"/>
      <c r="H133" s="15" t="n">
        <v>1</v>
      </c>
      <c r="I133" s="15" t="n">
        <v>1</v>
      </c>
      <c r="J133" s="15" t="n">
        <v>1</v>
      </c>
      <c r="K133" s="15" t="inlineStr"/>
      <c r="L133" s="15" t="inlineStr"/>
      <c r="M133" s="15" t="inlineStr"/>
      <c r="N133" s="15" t="n">
        <v>4</v>
      </c>
    </row>
    <row r="134" ht="15" customHeight="1">
      <c r="A134" s="13" t="inlineStr">
        <is>
          <t>Technology</t>
        </is>
      </c>
      <c r="B134" s="210" t="n"/>
      <c r="C134" s="210" t="n"/>
      <c r="D134" s="210" t="n"/>
      <c r="E134" s="209" t="n"/>
      <c r="F134" s="15" t="n">
        <v>2</v>
      </c>
      <c r="G134" s="15" t="n">
        <v>3</v>
      </c>
      <c r="H134" s="15" t="n">
        <v>19</v>
      </c>
      <c r="I134" s="15" t="n">
        <v>7</v>
      </c>
      <c r="J134" s="15" t="inlineStr"/>
      <c r="K134" s="15" t="n">
        <v>1</v>
      </c>
      <c r="L134" s="15" t="n">
        <v>1</v>
      </c>
      <c r="M134" s="15" t="inlineStr"/>
      <c r="N134" s="15" t="n">
        <v>33</v>
      </c>
    </row>
    <row r="135" ht="15" customHeight="1">
      <c r="A135" s="13" t="inlineStr">
        <is>
          <t>iDEAL Business Head</t>
        </is>
      </c>
      <c r="B135" s="210" t="n"/>
      <c r="C135" s="210" t="n"/>
      <c r="D135" s="210" t="n"/>
      <c r="E135" s="209" t="n"/>
      <c r="F135" s="15" t="inlineStr"/>
      <c r="G135" s="15" t="inlineStr"/>
      <c r="H135" s="15" t="inlineStr"/>
      <c r="I135" s="15" t="inlineStr"/>
      <c r="J135" s="15" t="inlineStr"/>
      <c r="K135" s="15" t="inlineStr"/>
      <c r="L135" s="15" t="inlineStr"/>
      <c r="M135" s="15" t="n">
        <v>1</v>
      </c>
      <c r="N135" s="15" t="n">
        <v>1</v>
      </c>
    </row>
    <row r="136" ht="15" customHeight="1"/>
    <row r="137" ht="15" customHeight="1">
      <c r="A137" s="11" t="inlineStr">
        <is>
          <r>
            <rPr>
              <rFont val="Calibri"/>
              <b val="1"/>
              <i val="1"/>
              <color rgb="00595959"/>
              <sz val="10"/>
            </rPr>
            <t>Title check:</t>
          </r>
          <r>
            <rPr>
              <rFont val="Calibri"/>
              <i val="1"/>
              <color rgb="00595959"/>
              <sz val="10"/>
            </rPr>
            <t xml:space="preserve"> OK: 42 · Check title against ladder: 3 · Market-standard role title: 2</t>
          </r>
        </is>
      </c>
    </row>
    <row r="138" ht="15" customHeight="1"/>
    <row r="139" ht="20" customHeight="1">
      <c r="A139" s="6" t="inlineStr">
        <is>
          <t>7. STEP 9 · Market benchmark — level crosswalk · Master M13 and family ladders</t>
        </is>
      </c>
    </row>
    <row r="140" ht="54" customHeight="1">
      <c r="A140" s="12" t="inlineStr">
        <is>
          <t>IRIS level</t>
        </is>
      </c>
      <c r="B140" s="12" t="inlineStr">
        <is>
          <t>Radford / Mercer code</t>
        </is>
      </c>
      <c r="C140" s="12" t="inlineStr">
        <is>
          <t>Pave level name</t>
        </is>
      </c>
      <c r="D140" s="12" t="inlineStr">
        <is>
          <t>SFIA 9 level</t>
        </is>
      </c>
      <c r="E140" s="12" t="inlineStr">
        <is>
          <t>GitLab</t>
        </is>
      </c>
      <c r="F140" s="12" t="inlineStr">
        <is>
          <t>Google</t>
        </is>
      </c>
      <c r="G140" s="12" t="inlineStr">
        <is>
          <t>Microsoft</t>
        </is>
      </c>
      <c r="H140" s="12" t="inlineStr">
        <is>
          <t>Amazon</t>
        </is>
      </c>
      <c r="I140" s="12" t="inlineStr">
        <is>
          <t>Workiva</t>
        </is>
      </c>
      <c r="J140" s="12" t="inlineStr">
        <is>
          <t>Infosys</t>
        </is>
      </c>
      <c r="K140" s="12" t="inlineStr">
        <is>
          <t>TCS</t>
        </is>
      </c>
      <c r="L140" s="12" t="inlineStr">
        <is>
          <t>Accenture India</t>
        </is>
      </c>
      <c r="M140" s="12" t="inlineStr">
        <is>
          <t>Big Four — Deloitte</t>
        </is>
      </c>
      <c r="N140" s="12" t="inlineStr">
        <is>
          <t>DataTracks · S31; only 2 rungs published</t>
        </is>
      </c>
    </row>
    <row r="141" ht="28" customHeight="1">
      <c r="A141" s="26" t="inlineStr">
        <is>
          <t>A1</t>
        </is>
      </c>
      <c r="B141" s="117" t="inlineStr">
        <is>
          <t>Entry / P1 · intern</t>
        </is>
      </c>
      <c r="C141" s="117" t="inlineStr">
        <is>
          <t>Entry</t>
        </is>
      </c>
      <c r="D141" s="117" t="inlineStr">
        <is>
          <t>1 Follow</t>
        </is>
      </c>
      <c r="E141" s="117" t="inlineStr">
        <is>
          <t>Intern</t>
        </is>
      </c>
      <c r="F141" s="117" t="inlineStr">
        <is>
          <t>Intern</t>
        </is>
      </c>
      <c r="G141" s="117" t="inlineStr">
        <is>
          <t>Intern</t>
        </is>
      </c>
      <c r="H141" s="117" t="inlineStr">
        <is>
          <t>Intern</t>
        </is>
      </c>
      <c r="I141" s="117" t="inlineStr">
        <is>
          <t>Intern</t>
        </is>
      </c>
      <c r="J141" s="117" t="inlineStr">
        <is>
          <t>Trainee</t>
        </is>
      </c>
      <c r="K141" s="117" t="inlineStr">
        <is>
          <t>C1Y ASE Trainee</t>
        </is>
      </c>
      <c r="L141" s="117" t="inlineStr">
        <is>
          <t>L12 Associate</t>
        </is>
      </c>
      <c r="M141" s="117" t="inlineStr">
        <is>
          <t>Intern / Trainee</t>
        </is>
      </c>
      <c r="N141" s="117" t="inlineStr">
        <is>
          <t>—</t>
        </is>
      </c>
    </row>
    <row r="142" ht="41" customHeight="1">
      <c r="A142" s="26" t="inlineStr">
        <is>
          <t>A2</t>
        </is>
      </c>
      <c r="B142" s="117" t="inlineStr">
        <is>
          <t>P1–P2</t>
        </is>
      </c>
      <c r="C142" s="117" t="inlineStr">
        <is>
          <t>Entry / Developing</t>
        </is>
      </c>
      <c r="D142" s="117" t="inlineStr">
        <is>
          <t>2 Assist</t>
        </is>
      </c>
      <c r="E142" s="117" t="inlineStr">
        <is>
          <t>Associate</t>
        </is>
      </c>
      <c r="F142" s="117" t="inlineStr">
        <is>
          <t>L3</t>
        </is>
      </c>
      <c r="G142" s="117" t="inlineStr">
        <is>
          <t>59–60</t>
        </is>
      </c>
      <c r="H142" s="117" t="inlineStr">
        <is>
          <t>L4 · SDE I</t>
        </is>
      </c>
      <c r="I142" s="117" t="inlineStr">
        <is>
          <t>Associate SE</t>
        </is>
      </c>
      <c r="J142" s="117" t="inlineStr">
        <is>
          <t>JL3B Systems Engineer</t>
        </is>
      </c>
      <c r="K142" s="117" t="inlineStr">
        <is>
          <t>C1 Assistant System Engineer</t>
        </is>
      </c>
      <c r="L142" s="117" t="inlineStr">
        <is>
          <t>L11 Analyst</t>
        </is>
      </c>
      <c r="M142" s="117" t="inlineStr">
        <is>
          <t>Analyst</t>
        </is>
      </c>
      <c r="N142" s="117" t="inlineStr">
        <is>
          <t>Associate</t>
        </is>
      </c>
    </row>
    <row r="143" ht="41" customHeight="1">
      <c r="A143" s="26" t="inlineStr">
        <is>
          <t>A3</t>
        </is>
      </c>
      <c r="B143" s="117" t="inlineStr">
        <is>
          <t>P2</t>
        </is>
      </c>
      <c r="C143" s="117" t="inlineStr">
        <is>
          <t>Developing</t>
        </is>
      </c>
      <c r="D143" s="117" t="inlineStr">
        <is>
          <t>3 Apply</t>
        </is>
      </c>
      <c r="E143" s="117" t="inlineStr">
        <is>
          <t>Intermediate</t>
        </is>
      </c>
      <c r="F143" s="117" t="inlineStr">
        <is>
          <t>L3–L4</t>
        </is>
      </c>
      <c r="G143" s="117" t="inlineStr">
        <is>
          <t>61–62</t>
        </is>
      </c>
      <c r="H143" s="117" t="inlineStr">
        <is>
          <t>L4</t>
        </is>
      </c>
      <c r="I143" s="117" t="inlineStr">
        <is>
          <t>Software Engineer</t>
        </is>
      </c>
      <c r="J143" s="117" t="inlineStr">
        <is>
          <t>JL3A Senior Systems Engineer</t>
        </is>
      </c>
      <c r="K143" s="117" t="inlineStr">
        <is>
          <t>C1 System Engineer</t>
        </is>
      </c>
      <c r="L143" s="117" t="inlineStr">
        <is>
          <t>L11–L10 · Senior Analyst</t>
        </is>
      </c>
      <c r="M143" s="117" t="inlineStr">
        <is>
          <t>Consultant</t>
        </is>
      </c>
      <c r="N143" s="117" t="inlineStr">
        <is>
          <t>Senior Associate · 2–5 yrs</t>
        </is>
      </c>
    </row>
    <row r="144" ht="54" customHeight="1">
      <c r="A144" s="20" t="inlineStr">
        <is>
          <t>B1</t>
        </is>
      </c>
      <c r="B144" s="18" t="inlineStr">
        <is>
          <t>P3 / M2</t>
        </is>
      </c>
      <c r="C144" s="18" t="inlineStr">
        <is>
          <t>Career / · Team Lead</t>
        </is>
      </c>
      <c r="D144" s="18" t="inlineStr">
        <is>
          <t>4 Enable</t>
        </is>
      </c>
      <c r="E144" s="18" t="inlineStr">
        <is>
          <t>Senior</t>
        </is>
      </c>
      <c r="F144" s="18" t="inlineStr">
        <is>
          <t>L4</t>
        </is>
      </c>
      <c r="G144" s="18" t="inlineStr">
        <is>
          <t>62</t>
        </is>
      </c>
      <c r="H144" s="18" t="inlineStr">
        <is>
          <t>L5 · SDE II</t>
        </is>
      </c>
      <c r="I144" s="18" t="inlineStr">
        <is>
          <t>Software Engineer – Senior SE</t>
        </is>
      </c>
      <c r="J144" s="18" t="inlineStr">
        <is>
          <t>JL4 Technology Analyst</t>
        </is>
      </c>
      <c r="K144" s="18" t="inlineStr">
        <is>
          <t>C2 IT Analyst</t>
        </is>
      </c>
      <c r="L144" s="18" t="inlineStr">
        <is>
          <t>L9 Team Lead / Consultant</t>
        </is>
      </c>
      <c r="M144" s="18" t="inlineStr">
        <is>
          <t>Senior Consultant / Assistant Manager</t>
        </is>
      </c>
      <c r="N144" s="18" t="inlineStr">
        <is>
          <t>—</t>
        </is>
      </c>
    </row>
    <row r="145" ht="41" customHeight="1">
      <c r="A145" s="20" t="inlineStr">
        <is>
          <t>B2</t>
        </is>
      </c>
      <c r="B145" s="18" t="inlineStr">
        <is>
          <t>P4 / M3</t>
        </is>
      </c>
      <c r="C145" s="18" t="inlineStr">
        <is>
          <t>Senior / Manager</t>
        </is>
      </c>
      <c r="D145" s="18" t="inlineStr">
        <is>
          <t>4–5</t>
        </is>
      </c>
      <c r="E145" s="18" t="inlineStr">
        <is>
          <t>Senior</t>
        </is>
      </c>
      <c r="F145" s="18" t="inlineStr">
        <is>
          <t>L5 · Senior</t>
        </is>
      </c>
      <c r="G145" s="18" t="inlineStr">
        <is>
          <t>63</t>
        </is>
      </c>
      <c r="H145" s="18" t="inlineStr">
        <is>
          <t>L5–L6</t>
        </is>
      </c>
      <c r="I145" s="18" t="inlineStr">
        <is>
          <t>Senior SE</t>
        </is>
      </c>
      <c r="J145" s="18" t="inlineStr">
        <is>
          <t>JL5 Technology Lead</t>
        </is>
      </c>
      <c r="K145" s="18" t="inlineStr">
        <is>
          <t>C3A Assistant Consultant</t>
        </is>
      </c>
      <c r="L145" s="18" t="inlineStr">
        <is>
          <t>L8 Associate Manager</t>
        </is>
      </c>
      <c r="M145" s="18" t="inlineStr">
        <is>
          <t>Manager</t>
        </is>
      </c>
      <c r="N145" s="18" t="inlineStr">
        <is>
          <t>—</t>
        </is>
      </c>
    </row>
    <row r="146" ht="41" customHeight="1">
      <c r="A146" s="20" t="inlineStr">
        <is>
          <t>B3</t>
        </is>
      </c>
      <c r="B146" s="18" t="inlineStr">
        <is>
          <t>P5 / M4</t>
        </is>
      </c>
      <c r="C146" s="18" t="inlineStr">
        <is>
          <t>Expert / Senior Manager</t>
        </is>
      </c>
      <c r="D146" s="18" t="inlineStr">
        <is>
          <t>5 Ensure, advise</t>
        </is>
      </c>
      <c r="E146" s="18" t="inlineStr">
        <is>
          <t>Senior–Staff / Manager</t>
        </is>
      </c>
      <c r="F146" s="18" t="inlineStr">
        <is>
          <t>L5 · Senior</t>
        </is>
      </c>
      <c r="G146" s="18" t="inlineStr">
        <is>
          <t>63–64</t>
        </is>
      </c>
      <c r="H146" s="18" t="inlineStr">
        <is>
          <t>L6 · Senior SDE</t>
        </is>
      </c>
      <c r="I146" s="18" t="inlineStr">
        <is>
          <t>Senior SE</t>
        </is>
      </c>
      <c r="J146" s="18" t="inlineStr">
        <is>
          <t>JL5–JL6B</t>
        </is>
      </c>
      <c r="K146" s="18" t="inlineStr">
        <is>
          <t>C3B Associate Consultant</t>
        </is>
      </c>
      <c r="L146" s="18" t="inlineStr">
        <is>
          <t>L7 Manager</t>
        </is>
      </c>
      <c r="M146" s="18" t="inlineStr">
        <is>
          <t>Senior Manager</t>
        </is>
      </c>
      <c r="N146" s="18" t="inlineStr">
        <is>
          <t>—</t>
        </is>
      </c>
    </row>
    <row r="147" ht="54" customHeight="1">
      <c r="A147" s="30" t="inlineStr">
        <is>
          <t>B+</t>
        </is>
      </c>
      <c r="B147" s="145" t="inlineStr">
        <is>
          <t>P5–P6 / M4–M5</t>
        </is>
      </c>
      <c r="C147" s="145" t="inlineStr">
        <is>
          <t>Expert / Senior Manager · player-coach</t>
        </is>
      </c>
      <c r="D147" s="145" t="inlineStr">
        <is>
          <t>5 Ensure, advise</t>
        </is>
      </c>
      <c r="E147" s="145" t="inlineStr">
        <is>
          <t>Staff ↔ Manager · player-coach</t>
        </is>
      </c>
      <c r="F147" s="145" t="inlineStr">
        <is>
          <t>L5–L6 · Tech Lead Manager</t>
        </is>
      </c>
      <c r="G147" s="145" t="inlineStr">
        <is>
          <t>64</t>
        </is>
      </c>
      <c r="H147" s="145" t="inlineStr">
        <is>
          <t>L6 · SDM / Senior SDE</t>
        </is>
      </c>
      <c r="I147" s="145" t="inlineStr">
        <is>
          <t>Senior–Staff SE</t>
        </is>
      </c>
      <c r="J147" s="145" t="inlineStr">
        <is>
          <t>JL6B Technology Architect / PM</t>
        </is>
      </c>
      <c r="K147" s="145" t="inlineStr">
        <is>
          <t>C3B–C4</t>
        </is>
      </c>
      <c r="L147" s="145" t="inlineStr">
        <is>
          <t>L7 Manager</t>
        </is>
      </c>
      <c r="M147" s="145" t="inlineStr">
        <is>
          <t>Senior Manager · billable</t>
        </is>
      </c>
      <c r="N147" s="145" t="inlineStr">
        <is>
          <t>—</t>
        </is>
      </c>
    </row>
    <row r="148" ht="41" customHeight="1">
      <c r="A148" s="39" t="inlineStr">
        <is>
          <t>D1</t>
        </is>
      </c>
      <c r="B148" s="152" t="inlineStr">
        <is>
          <t>E1–E2</t>
        </is>
      </c>
      <c r="C148" s="152" t="inlineStr">
        <is>
          <t>VP</t>
        </is>
      </c>
      <c r="D148" s="152" t="inlineStr">
        <is>
          <t>6–7</t>
        </is>
      </c>
      <c r="E148" s="152" t="inlineStr">
        <is>
          <t>Director – Senior Director</t>
        </is>
      </c>
      <c r="F148" s="152" t="inlineStr">
        <is>
          <t>L7</t>
        </is>
      </c>
      <c r="G148" s="152" t="inlineStr">
        <is>
          <t>67</t>
        </is>
      </c>
      <c r="H148" s="152" t="inlineStr">
        <is>
          <t>L7</t>
        </is>
      </c>
      <c r="I148" s="152" t="inlineStr">
        <is>
          <t>—</t>
        </is>
      </c>
      <c r="J148" s="152" t="inlineStr">
        <is>
          <t>JL7</t>
        </is>
      </c>
      <c r="K148" s="152" t="inlineStr">
        <is>
          <t>C5–SP1</t>
        </is>
      </c>
      <c r="L148" s="152" t="inlineStr">
        <is>
          <t>L5 Associate Director</t>
        </is>
      </c>
      <c r="M148" s="152" t="inlineStr">
        <is>
          <t>Director</t>
        </is>
      </c>
      <c r="N148" s="152" t="inlineStr">
        <is>
          <t>—</t>
        </is>
      </c>
    </row>
    <row r="149" ht="15" customHeight="1"/>
    <row r="150" ht="41" customHeight="1">
      <c r="A150" s="11" t="inlineStr">
        <is>
          <t>Equivalence of scope, not pay. Each company cell is the level whose typical experience matches the IRIS level's experience range, or one step lower where the IRIS role carries less scope than the same title at a much larger firm · global product companies from B3 up. It is never higher than the experience match. Google / Microsoft / Amazon / Workiva / Infosys / TCS titles are engineering-ladder titles; per role · sheets 6–7 non-technology roles show the grade code only.</t>
        </is>
      </c>
    </row>
    <row r="151" ht="15" customHeight="1">
      <c r="A151" s="12" t="inlineStr">
        <is>
          <t>Job family</t>
        </is>
      </c>
      <c r="B151" s="209" t="n"/>
      <c r="C151" s="12" t="inlineStr">
        <is>
          <t>IRIS IC ladder · A2 → C1</t>
        </is>
      </c>
      <c r="D151" s="210" t="n"/>
      <c r="E151" s="210" t="n"/>
      <c r="F151" s="209" t="n"/>
      <c r="G151" s="12" t="inlineStr">
        <is>
          <t>IRIS manager ladder</t>
        </is>
      </c>
      <c r="H151" s="210" t="n"/>
      <c r="I151" s="209" t="n"/>
      <c r="J151" s="12" t="inlineStr">
        <is>
          <t>Market comparison</t>
        </is>
      </c>
      <c r="K151" s="210" t="n"/>
      <c r="L151" s="209" t="n"/>
      <c r="M151" s="12" t="inlineStr">
        <is>
          <t>Reference</t>
        </is>
      </c>
      <c r="N151" s="12" t="inlineStr">
        <is>
          <t>People</t>
        </is>
      </c>
    </row>
    <row r="152" ht="54" customHeight="1">
      <c r="A152" s="13" t="inlineStr">
        <is>
          <t>Engineering &amp; Development</t>
        </is>
      </c>
      <c r="B152" s="209" t="n"/>
      <c r="C152" s="16" t="inlineStr">
        <is>
          <t>Software Engineer → Senior Software Engineer → Technical Specialist → Senior Technical Specialist → Lead Software Engineer → Principal Software Engineer</t>
        </is>
      </c>
      <c r="D152" s="210" t="n"/>
      <c r="E152" s="210" t="n"/>
      <c r="F152" s="209" t="n"/>
      <c r="G152" s="16" t="inlineStr">
        <is>
          <t>Team Lead → Engineering Manager → Senior Engineering Manager → Head – Product Engineering</t>
        </is>
      </c>
      <c r="H152" s="210" t="n"/>
      <c r="I152" s="209" t="n"/>
      <c r="J152" s="16" t="inlineStr">
        <is>
          <r>
            <rPr>
              <rFont val="Calibri"/>
              <b val="1"/>
              <sz val="10"/>
            </rPr>
            <t>Workiva:</t>
          </r>
          <r>
            <rPr>
              <rFont val="Calibri"/>
              <sz val="10"/>
            </rPr>
            <t xml:space="preserve"> Associate SE → SE → Senior → Staff; Radford engineering P1–P6 / M3–M6</t>
          </r>
        </is>
      </c>
      <c r="K152" s="210" t="n"/>
      <c r="L152" s="209" t="n"/>
      <c r="M152" s="16" t="inlineStr">
        <is>
          <t>Workiva · Levels.fyi, Radford / Pave</t>
        </is>
      </c>
      <c r="N152" s="15" t="n">
        <v>15</v>
      </c>
    </row>
    <row r="153" ht="41" customHeight="1">
      <c r="A153" s="13" t="inlineStr">
        <is>
          <t>Customer Success &amp; Support</t>
        </is>
      </c>
      <c r="B153" s="209" t="n"/>
      <c r="C153" s="16" t="inlineStr">
        <is>
          <t>Support / CS Executive → Senior Executive → Specialist → Senior Specialist → Lead Specialist</t>
        </is>
      </c>
      <c r="D153" s="210" t="n"/>
      <c r="E153" s="210" t="n"/>
      <c r="F153" s="209" t="n"/>
      <c r="G153" s="16" t="inlineStr">
        <is>
          <t>Team Lead → Support / Customer Success Manager → Senior Manager → Head – Customer Success</t>
        </is>
      </c>
      <c r="H153" s="210" t="n"/>
      <c r="I153" s="209" t="n"/>
      <c r="J153" s="16" t="inlineStr">
        <is>
          <t>Support P1–P5 / M3–M5</t>
        </is>
      </c>
      <c r="K153" s="210" t="n"/>
      <c r="L153" s="209" t="n"/>
      <c r="M153" s="16" t="inlineStr">
        <is>
          <t>Radford / Pave</t>
        </is>
      </c>
      <c r="N153" s="15" t="n">
        <v>4</v>
      </c>
    </row>
    <row r="154" ht="54" customHeight="1">
      <c r="A154" s="13" t="inlineStr">
        <is>
          <t>Sales &amp; Business Development</t>
        </is>
      </c>
      <c r="B154" s="209" t="n"/>
      <c r="C154" s="16" t="inlineStr">
        <is>
          <t>SDR → Senior SDR → Account Executive → Senior Account Executive → Lead Account Executive</t>
        </is>
      </c>
      <c r="D154" s="210" t="n"/>
      <c r="E154" s="210" t="n"/>
      <c r="F154" s="209" t="n"/>
      <c r="G154" s="16" t="inlineStr">
        <is>
          <t>Team Lead → Sales / SDR Manager → Senior Sales Manager → Head – Sales → AVP / VP Sales</t>
        </is>
      </c>
      <c r="H154" s="210" t="n"/>
      <c r="I154" s="209" t="n"/>
      <c r="J154" s="16" t="inlineStr">
        <is>
          <t>SDR → AE → Senior AE; Sales Manager M3; Head of Sales M5</t>
        </is>
      </c>
      <c r="K154" s="210" t="n"/>
      <c r="L154" s="209" t="n"/>
      <c r="M154" s="16" t="inlineStr">
        <is>
          <t>Radford / Pave, JobsPipe title hierarchy</t>
        </is>
      </c>
      <c r="N154" s="15" t="n">
        <v>3</v>
      </c>
    </row>
    <row r="155" ht="41" customHeight="1">
      <c r="A155" s="13" t="inlineStr">
        <is>
          <t>Marketing &amp; Communications</t>
        </is>
      </c>
      <c r="B155" s="209" t="n"/>
      <c r="C155" s="16" t="inlineStr">
        <is>
          <t>Marketing Associate → Senior Associate → Marketing Specialist → Senior Specialist → Lead Specialist</t>
        </is>
      </c>
      <c r="D155" s="210" t="n"/>
      <c r="E155" s="210" t="n"/>
      <c r="F155" s="209" t="n"/>
      <c r="G155" s="16" t="inlineStr">
        <is>
          <t>Team Lead → Marketing Manager → Senior Marketing Manager → Head – Marketing</t>
        </is>
      </c>
      <c r="H155" s="210" t="n"/>
      <c r="I155" s="209" t="n"/>
      <c r="J155" s="16" t="inlineStr">
        <is>
          <t>Specialist P2–P5; Manager M3–M5</t>
        </is>
      </c>
      <c r="K155" s="210" t="n"/>
      <c r="L155" s="209" t="n"/>
      <c r="M155" s="16" t="inlineStr">
        <is>
          <t>Radford / Pave</t>
        </is>
      </c>
      <c r="N155" s="15" t="n">
        <v>1</v>
      </c>
    </row>
    <row r="156" ht="41" customHeight="1">
      <c r="A156" s="13" t="inlineStr">
        <is>
          <t>Quality Assurance</t>
        </is>
      </c>
      <c r="B156" s="209" t="n"/>
      <c r="C156" s="16" t="inlineStr">
        <is>
          <t>QA Engineer → Senior QA Engineer → QA Specialist → Senior QA Specialist → Lead QA Engineer → Principal QA Engineer</t>
        </is>
      </c>
      <c r="D156" s="210" t="n"/>
      <c r="E156" s="210" t="n"/>
      <c r="F156" s="209" t="n"/>
      <c r="G156" s="16" t="inlineStr">
        <is>
          <t>Team Lead → QA Manager → Senior QA Manager → Head – Quality</t>
        </is>
      </c>
      <c r="H156" s="210" t="n"/>
      <c r="I156" s="209" t="n"/>
      <c r="J156" s="16" t="inlineStr">
        <is>
          <t>QA ladders follow engineering P1–P6 / M3–M6</t>
        </is>
      </c>
      <c r="K156" s="210" t="n"/>
      <c r="L156" s="209" t="n"/>
      <c r="M156" s="16" t="inlineStr">
        <is>
          <t>Radford / Pave</t>
        </is>
      </c>
      <c r="N156" s="15" t="n">
        <v>5</v>
      </c>
    </row>
    <row r="157" ht="41" customHeight="1">
      <c r="A157" s="13" t="inlineStr">
        <is>
          <t>Product Management</t>
        </is>
      </c>
      <c r="B157" s="209" t="n"/>
      <c r="C157" s="16" t="inlineStr">
        <is>
          <t>Product Associate → Senior Product Associate → Associate PM → Product Manager → Senior PM → Principal PM</t>
        </is>
      </c>
      <c r="D157" s="210" t="n"/>
      <c r="E157" s="210" t="n"/>
      <c r="F157" s="209" t="n"/>
      <c r="G157" s="16" t="inlineStr">
        <is>
          <t>Group Product Manager → Associate Head – Product → Head – Product</t>
        </is>
      </c>
      <c r="H157" s="210" t="n"/>
      <c r="I157" s="209" t="n"/>
      <c r="J157" s="16" t="inlineStr">
        <is>
          <t>APM → PM → Senior PM → Principal / Group PM</t>
        </is>
      </c>
      <c r="K157" s="210" t="n"/>
      <c r="L157" s="209" t="n"/>
      <c r="M157" s="16" t="inlineStr">
        <is>
          <t>Radford / Pave</t>
        </is>
      </c>
      <c r="N157" s="15" t="n">
        <v>3</v>
      </c>
    </row>
    <row r="158" ht="41" customHeight="1">
      <c r="A158" s="13" t="inlineStr">
        <is>
          <t>Executive Leadership</t>
        </is>
      </c>
      <c r="B158" s="209" t="n"/>
      <c r="C158" s="16" t="inlineStr">
        <is>
          <t>—</t>
        </is>
      </c>
      <c r="D158" s="210" t="n"/>
      <c r="E158" s="210" t="n"/>
      <c r="F158" s="209" t="n"/>
      <c r="G158" s="16" t="inlineStr">
        <is>
          <t>Associate Vice President / Business Head → Vice President → CXO → CEO</t>
        </is>
      </c>
      <c r="H158" s="210" t="n"/>
      <c r="I158" s="209" t="n"/>
      <c r="J158" s="16" t="inlineStr">
        <is>
          <t>Executive E1–E6</t>
        </is>
      </c>
      <c r="K158" s="210" t="n"/>
      <c r="L158" s="209" t="n"/>
      <c r="M158" s="16" t="inlineStr">
        <is>
          <t>Radford / Pave</t>
        </is>
      </c>
      <c r="N158" s="15" t="n">
        <v>1</v>
      </c>
    </row>
    <row r="159" ht="28" customHeight="1">
      <c r="A159" s="13" t="inlineStr">
        <is>
          <t>Business Analysis</t>
        </is>
      </c>
      <c r="B159" s="209" t="n"/>
      <c r="C159" s="16" t="inlineStr">
        <is>
          <t>Business Analyst → Senior BA → BA Specialist → Senior BA Specialist → Lead BA → Principal BA</t>
        </is>
      </c>
      <c r="D159" s="210" t="n"/>
      <c r="E159" s="210" t="n"/>
      <c r="F159" s="209" t="n"/>
      <c r="G159" s="16" t="inlineStr">
        <is>
          <t>Team Lead → BA Manager → Senior Manager – BA</t>
        </is>
      </c>
      <c r="H159" s="210" t="n"/>
      <c r="I159" s="209" t="n"/>
      <c r="J159" s="16" t="inlineStr">
        <is>
          <t>Analyst → Senior → Lead → Principal</t>
        </is>
      </c>
      <c r="K159" s="210" t="n"/>
      <c r="L159" s="209" t="n"/>
      <c r="M159" s="16" t="inlineStr">
        <is>
          <t>Radford / Pave</t>
        </is>
      </c>
      <c r="N159" s="15" t="n">
        <v>13</v>
      </c>
    </row>
    <row r="160" ht="41" customHeight="1">
      <c r="A160" s="13" t="inlineStr">
        <is>
          <t>Project &amp; Program Management</t>
        </is>
      </c>
      <c r="B160" s="209" t="n"/>
      <c r="C160" s="16" t="inlineStr">
        <is>
          <t>Project Coordinator → Senior Coordinator → Associate Project Manager → Project Manager → Program Manager → Senior Program Manager</t>
        </is>
      </c>
      <c r="D160" s="210" t="n"/>
      <c r="E160" s="210" t="n"/>
      <c r="F160" s="209" t="n"/>
      <c r="G160" s="16" t="inlineStr">
        <is>
          <t>Delivery Manager → Associate Head – Delivery → Head – Delivery</t>
        </is>
      </c>
      <c r="H160" s="210" t="n"/>
      <c r="I160" s="209" t="n"/>
      <c r="J160" s="16" t="inlineStr">
        <is>
          <t>Project / Program Manager P3–P6; Delivery Manager M3–M5</t>
        </is>
      </c>
      <c r="K160" s="210" t="n"/>
      <c r="L160" s="209" t="n"/>
      <c r="M160" s="16" t="inlineStr">
        <is>
          <t>Radford / Pave</t>
        </is>
      </c>
      <c r="N160" s="15" t="n">
        <v>1</v>
      </c>
    </row>
    <row r="161" ht="28" customHeight="1">
      <c r="A161" s="13" t="inlineStr">
        <is>
          <t>Engineering &amp; Architecture</t>
        </is>
      </c>
      <c r="B161" s="209" t="n"/>
      <c r="C161" s="16" t="inlineStr">
        <is>
          <t>Lead Software Engineer → Technical Architect → Senior Technical / Solution Architect</t>
        </is>
      </c>
      <c r="D161" s="210" t="n"/>
      <c r="E161" s="210" t="n"/>
      <c r="F161" s="209" t="n"/>
      <c r="G161" s="16" t="inlineStr">
        <is>
          <t>—</t>
        </is>
      </c>
      <c r="H161" s="210" t="n"/>
      <c r="I161" s="209" t="n"/>
      <c r="J161" s="16" t="inlineStr">
        <is>
          <t>Staff / Principal architect ≈ P6–P7</t>
        </is>
      </c>
      <c r="K161" s="210" t="n"/>
      <c r="L161" s="209" t="n"/>
      <c r="M161" s="16" t="inlineStr">
        <is>
          <t>Radford / Pave, Workiva</t>
        </is>
      </c>
      <c r="N161" s="15" t="n">
        <v>1</v>
      </c>
    </row>
    <row r="162" ht="15" customHeight="1"/>
    <row r="163" ht="20" customHeight="1">
      <c r="A163" s="6" t="inlineStr">
        <is>
          <t>8. STEPS 10–11 · Capability and development — headline</t>
        </is>
      </c>
    </row>
    <row r="164" ht="28" customHeight="1">
      <c r="A164" s="12" t="inlineStr">
        <is>
          <t>Department</t>
        </is>
      </c>
      <c r="B164" s="209" t="n"/>
      <c r="C164" s="12" t="inlineStr">
        <is>
          <t>People</t>
        </is>
      </c>
      <c r="D164" s="12" t="inlineStr">
        <is>
          <t>Avg competency index %</t>
        </is>
      </c>
      <c r="E164" s="12" t="inlineStr">
        <is>
          <t>Most common gaps</t>
        </is>
      </c>
      <c r="F164" s="210" t="n"/>
      <c r="G164" s="210" t="n"/>
      <c r="H164" s="209" t="n"/>
      <c r="I164" s="12" t="inlineStr">
        <is>
          <t>What helped people learn · survey</t>
        </is>
      </c>
      <c r="J164" s="210" t="n"/>
      <c r="K164" s="209" t="n"/>
      <c r="L164" s="12" t="inlineStr">
        <is>
          <t>AI / automation impact</t>
        </is>
      </c>
      <c r="M164" s="210" t="n"/>
      <c r="N164" s="209" t="n"/>
    </row>
    <row r="165" ht="54" customHeight="1">
      <c r="A165" s="13" t="inlineStr">
        <is>
          <t>Marketing</t>
        </is>
      </c>
      <c r="B165" s="209" t="n"/>
      <c r="C165" s="15" t="n">
        <v>1</v>
      </c>
      <c r="D165" s="15" t="n">
        <v>79</v>
      </c>
      <c r="E165" s="16" t="inlineStr">
        <is>
          <t>Analytics &amp; BI · AI / GenAI · Product &amp; domain</t>
        </is>
      </c>
      <c r="F165" s="210" t="n"/>
      <c r="G165" s="210" t="n"/>
      <c r="H165" s="209" t="n"/>
      <c r="I165" s="16" t="inlineStr">
        <is>
          <r>
            <rPr>
              <rFont val="Calibri"/>
              <b val="1"/>
              <sz val="10"/>
            </rPr>
            <t>Withheld:</t>
          </r>
          <r>
            <rPr>
              <rFont val="Calibri"/>
              <sz val="10"/>
            </rPr>
            <t xml:space="preserve"> fewer than 3 role-holders answered the survey, so answers would identify a person · IRIS role catalogue entry to follow</t>
          </r>
        </is>
      </c>
      <c r="J165" s="210" t="n"/>
      <c r="K165" s="209" t="n"/>
      <c r="L165" s="16" t="inlineStr">
        <is>
          <t>—</t>
        </is>
      </c>
      <c r="M165" s="210" t="n"/>
      <c r="N165" s="209" t="n"/>
    </row>
    <row r="166" ht="28" customHeight="1">
      <c r="A166" s="13" t="inlineStr">
        <is>
          <t>Product Management</t>
        </is>
      </c>
      <c r="B166" s="209" t="n"/>
      <c r="C166" s="15" t="n">
        <v>3</v>
      </c>
      <c r="D166" s="15" t="n">
        <v>103</v>
      </c>
      <c r="E166" s="16" t="inlineStr">
        <is>
          <t>Analytics &amp; BI · AI / GenAI</t>
        </is>
      </c>
      <c r="F166" s="210" t="n"/>
      <c r="G166" s="210" t="n"/>
      <c r="H166" s="209" t="n"/>
      <c r="I166" s="16" t="inlineStr">
        <is>
          <t>Mentoring / guidance from seniors · On-the-job / hands-on</t>
        </is>
      </c>
      <c r="J166" s="210" t="n"/>
      <c r="K166" s="209" t="n"/>
      <c r="L166" s="16" t="inlineStr">
        <is>
          <t>0 of 3 say the role is changing because of AI / automation</t>
        </is>
      </c>
      <c r="M166" s="210" t="n"/>
      <c r="N166" s="209" t="n"/>
    </row>
    <row r="167" ht="54" customHeight="1">
      <c r="A167" s="13" t="inlineStr">
        <is>
          <t>Quality Assurance</t>
        </is>
      </c>
      <c r="B167" s="209" t="n"/>
      <c r="C167" s="15" t="n">
        <v>5</v>
      </c>
      <c r="D167" s="15" t="n">
        <v>106</v>
      </c>
      <c r="E167" s="16" t="inlineStr">
        <is>
          <t>Product &amp; domain · Problem solving · Strategic acumen</t>
        </is>
      </c>
      <c r="F167" s="210" t="n"/>
      <c r="G167" s="210" t="n"/>
      <c r="H167" s="209" t="n"/>
      <c r="I167" s="16" t="inlineStr">
        <is>
          <t>Mentoring / guidance from seniors · Online courses / self-learning · Formal / classroom training · On-the-job / hands-on</t>
        </is>
      </c>
      <c r="J167" s="210" t="n"/>
      <c r="K167" s="209" t="n"/>
      <c r="L167" s="16" t="inlineStr">
        <is>
          <t>3 of 5 say the role is changing because of AI / automation</t>
        </is>
      </c>
      <c r="M167" s="210" t="n"/>
      <c r="N167" s="209" t="n"/>
    </row>
    <row r="168" ht="41" customHeight="1">
      <c r="A168" s="13" t="inlineStr">
        <is>
          <t>Sales</t>
        </is>
      </c>
      <c r="B168" s="209" t="n"/>
      <c r="C168" s="15" t="n">
        <v>4</v>
      </c>
      <c r="D168" s="15" t="n">
        <v>96</v>
      </c>
      <c r="E168" s="16" t="inlineStr">
        <is>
          <t>Ownership · Digital marketing · Problem solving · Communication</t>
        </is>
      </c>
      <c r="F168" s="210" t="n"/>
      <c r="G168" s="210" t="n"/>
      <c r="H168" s="209" t="n"/>
      <c r="I168" s="16" t="inlineStr">
        <is>
          <t>Formal / classroom training · Knowledge transfer · KT · Mentoring / guidance from seniors</t>
        </is>
      </c>
      <c r="J168" s="210" t="n"/>
      <c r="K168" s="209" t="n"/>
      <c r="L168" s="16" t="inlineStr">
        <is>
          <t>1 of 3 say the role is changing because of AI / automation</t>
        </is>
      </c>
      <c r="M168" s="210" t="n"/>
      <c r="N168" s="209" t="n"/>
    </row>
    <row r="169" ht="54" customHeight="1">
      <c r="A169" s="13" t="inlineStr">
        <is>
          <t>Technology</t>
        </is>
      </c>
      <c r="B169" s="209" t="n"/>
      <c r="C169" s="15" t="n">
        <v>33</v>
      </c>
      <c r="D169" s="15" t="n">
        <v>101</v>
      </c>
      <c r="E169" s="16" t="inlineStr">
        <is>
          <t>Learning agility · AI literacy · Digital fluency · Cloud &amp; DevOps</t>
        </is>
      </c>
      <c r="F169" s="210" t="n"/>
      <c r="G169" s="210" t="n"/>
      <c r="H169" s="209" t="n"/>
      <c r="I169" s="16" t="inlineStr">
        <is>
          <t>Mentoring / guidance from seniors · On-the-job / hands-on · Formal / classroom training · Online courses / self-learning</t>
        </is>
      </c>
      <c r="J169" s="210" t="n"/>
      <c r="K169" s="209" t="n"/>
      <c r="L169" s="16" t="inlineStr">
        <is>
          <t>20 of 30 say the role is changing because of AI / automation</t>
        </is>
      </c>
      <c r="M169" s="210" t="n"/>
      <c r="N169" s="209" t="n"/>
    </row>
    <row r="170" ht="54" customHeight="1">
      <c r="A170" s="13" t="inlineStr">
        <is>
          <t>iDEAL Business Head</t>
        </is>
      </c>
      <c r="B170" s="209" t="n"/>
      <c r="C170" s="15" t="n">
        <v>1</v>
      </c>
      <c r="D170" s="15" t="n">
        <v>89</v>
      </c>
      <c r="E170" s="16" t="inlineStr">
        <is>
          <t>People leadership · Stakeholder mgmt · Regulatory domain</t>
        </is>
      </c>
      <c r="F170" s="210" t="n"/>
      <c r="G170" s="210" t="n"/>
      <c r="H170" s="209" t="n"/>
      <c r="I170" s="16" t="inlineStr">
        <is>
          <r>
            <rPr>
              <rFont val="Calibri"/>
              <b val="1"/>
              <sz val="10"/>
            </rPr>
            <t>Withheld:</t>
          </r>
          <r>
            <rPr>
              <rFont val="Calibri"/>
              <sz val="10"/>
            </rPr>
            <t xml:space="preserve"> fewer than 3 role-holders answered the survey, so answers would identify a person · IRIS role catalogue entry to follow</t>
          </r>
        </is>
      </c>
      <c r="J170" s="210" t="n"/>
      <c r="K170" s="209" t="n"/>
      <c r="L170" s="16" t="inlineStr">
        <is>
          <t>—</t>
        </is>
      </c>
      <c r="M170" s="210" t="n"/>
      <c r="N170" s="209" t="n"/>
    </row>
    <row r="171" ht="15" customHeight="1"/>
    <row r="172" ht="20" customHeight="1">
      <c r="A172" s="6" t="inlineStr">
        <is>
          <t>9. STEP 12 · Validation, change log and open decisions</t>
        </is>
      </c>
    </row>
    <row r="173" ht="28" customHeight="1">
      <c r="A173" s="12" t="inlineStr">
        <is>
          <t>Person</t>
        </is>
      </c>
      <c r="B173" s="209" t="n"/>
      <c r="C173" s="12" t="inlineStr">
        <is>
          <t>Department</t>
        </is>
      </c>
      <c r="D173" s="209" t="n"/>
      <c r="E173" s="12" t="inlineStr">
        <is>
          <t>Earlier proposal</t>
        </is>
      </c>
      <c r="F173" s="12" t="inlineStr">
        <is>
          <t>Final</t>
        </is>
      </c>
      <c r="G173" s="12" t="inlineStr">
        <is>
          <t>Why</t>
        </is>
      </c>
      <c r="H173" s="210" t="n"/>
      <c r="I173" s="210" t="n"/>
      <c r="J173" s="210" t="n"/>
      <c r="K173" s="210" t="n"/>
      <c r="L173" s="210" t="n"/>
      <c r="M173" s="210" t="n"/>
      <c r="N173" s="209" t="n"/>
    </row>
    <row r="174" ht="15" customHeight="1">
      <c r="A174" s="13" t="inlineStr">
        <is>
          <t>Reena Gotal</t>
        </is>
      </c>
      <c r="B174" s="209" t="n"/>
      <c r="C174" s="16" t="inlineStr">
        <is>
          <t>Quality Assurance</t>
        </is>
      </c>
      <c r="D174" s="209" t="n"/>
      <c r="E174" s="15" t="inlineStr">
        <is>
          <t>B2</t>
        </is>
      </c>
      <c r="F174" s="15" t="inlineStr">
        <is>
          <t>B1</t>
        </is>
      </c>
      <c r="G174" s="16" t="inlineStr">
        <is>
          <t>Derived weight set TE-B-M gives 3.85; designation now QA Manager</t>
        </is>
      </c>
      <c r="H174" s="210" t="n"/>
      <c r="I174" s="210" t="n"/>
      <c r="J174" s="210" t="n"/>
      <c r="K174" s="210" t="n"/>
      <c r="L174" s="210" t="n"/>
      <c r="M174" s="210" t="n"/>
      <c r="N174" s="209" t="n"/>
    </row>
    <row r="175" ht="28" customHeight="1">
      <c r="A175" s="13" t="inlineStr">
        <is>
          <t>Jitendra Kumar</t>
        </is>
      </c>
      <c r="B175" s="209" t="n"/>
      <c r="C175" s="16" t="inlineStr">
        <is>
          <t>Technology</t>
        </is>
      </c>
      <c r="D175" s="209" t="n"/>
      <c r="E175" s="15" t="inlineStr">
        <is>
          <t>B3</t>
        </is>
      </c>
      <c r="F175" s="15" t="inlineStr">
        <is>
          <t>B+</t>
        </is>
      </c>
      <c r="G175" s="16" t="inlineStr">
        <is>
          <t>Derived weight set TE-PC-B+ gives 6.25; designation now Practice Lead – Solution &amp; Technical Architecture · Player-Coach</t>
        </is>
      </c>
      <c r="H175" s="210" t="n"/>
      <c r="I175" s="210" t="n"/>
      <c r="J175" s="210" t="n"/>
      <c r="K175" s="210" t="n"/>
      <c r="L175" s="210" t="n"/>
      <c r="M175" s="210" t="n"/>
      <c r="N175" s="209" t="n"/>
    </row>
    <row r="176" ht="15" customHeight="1">
      <c r="A176" s="13" t="inlineStr">
        <is>
          <t>Jay Gudhka</t>
        </is>
      </c>
      <c r="B176" s="209" t="n"/>
      <c r="C176" s="16" t="inlineStr">
        <is>
          <t>Technology</t>
        </is>
      </c>
      <c r="D176" s="209" t="n"/>
      <c r="E176" s="15" t="inlineStr">
        <is>
          <t>B1</t>
        </is>
      </c>
      <c r="F176" s="15" t="inlineStr">
        <is>
          <t>A3</t>
        </is>
      </c>
      <c r="G176" s="16" t="inlineStr">
        <is>
          <t>Derived weight set TE-A gives 3.52; designation now Technical Specialist</t>
        </is>
      </c>
      <c r="H176" s="210" t="n"/>
      <c r="I176" s="210" t="n"/>
      <c r="J176" s="210" t="n"/>
      <c r="K176" s="210" t="n"/>
      <c r="L176" s="210" t="n"/>
      <c r="M176" s="210" t="n"/>
      <c r="N176" s="209" t="n"/>
    </row>
    <row r="177" ht="15" customHeight="1">
      <c r="A177" s="13" t="inlineStr">
        <is>
          <t>Shreekanth Samala</t>
        </is>
      </c>
      <c r="B177" s="209" t="n"/>
      <c r="C177" s="16" t="inlineStr">
        <is>
          <t>Technology</t>
        </is>
      </c>
      <c r="D177" s="209" t="n"/>
      <c r="E177" s="15" t="inlineStr">
        <is>
          <t>B1</t>
        </is>
      </c>
      <c r="F177" s="15" t="inlineStr">
        <is>
          <t>A3</t>
        </is>
      </c>
      <c r="G177" s="16" t="inlineStr">
        <is>
          <t>Derived weight set TE-A gives 3.45; designation now Support Specialist</t>
        </is>
      </c>
      <c r="H177" s="210" t="n"/>
      <c r="I177" s="210" t="n"/>
      <c r="J177" s="210" t="n"/>
      <c r="K177" s="210" t="n"/>
      <c r="L177" s="210" t="n"/>
      <c r="M177" s="210" t="n"/>
      <c r="N177" s="209" t="n"/>
    </row>
    <row r="178" ht="15" customHeight="1">
      <c r="A178" s="13" t="inlineStr">
        <is>
          <t>Vishal Pingle</t>
        </is>
      </c>
      <c r="B178" s="209" t="n"/>
      <c r="C178" s="16" t="inlineStr">
        <is>
          <t>Technology</t>
        </is>
      </c>
      <c r="D178" s="209" t="n"/>
      <c r="E178" s="15" t="inlineStr">
        <is>
          <t>B2</t>
        </is>
      </c>
      <c r="F178" s="15" t="inlineStr">
        <is>
          <t>B1</t>
        </is>
      </c>
      <c r="G178" s="16" t="inlineStr">
        <is>
          <t>Derived weight set TE-B-IC gives 4.30; designation now Senior Business Analysis Specialist</t>
        </is>
      </c>
      <c r="H178" s="210" t="n"/>
      <c r="I178" s="210" t="n"/>
      <c r="J178" s="210" t="n"/>
      <c r="K178" s="210" t="n"/>
      <c r="L178" s="210" t="n"/>
      <c r="M178" s="210" t="n"/>
      <c r="N178" s="209" t="n"/>
    </row>
    <row r="179" ht="15" customHeight="1"/>
    <row r="180" ht="15" customHeight="1">
      <c r="A180" s="207" t="inlineStr">
        <is>
          <t>Close calls and near-gate cases for the calibration panel · 2; reasons on sheet 9, sections C and C2: Jitendra Kumar · B+, 6.25, Jay Gudhka · A3, 3.52</t>
        </is>
      </c>
    </row>
    <row r="181" ht="15" customHeight="1">
      <c r="A181" s="12" t="inlineStr">
        <is>
          <t>Open decision</t>
        </is>
      </c>
      <c r="B181" s="210" t="n"/>
      <c r="C181" s="209" t="n"/>
      <c r="D181" s="12" t="inlineStr">
        <is>
          <t>Facts here</t>
        </is>
      </c>
      <c r="E181" s="210" t="n"/>
      <c r="F181" s="210" t="n"/>
      <c r="G181" s="210" t="n"/>
      <c r="H181" s="209" t="n"/>
      <c r="I181" s="12" t="inlineStr">
        <is>
          <t>Recommendation</t>
        </is>
      </c>
      <c r="J181" s="210" t="n"/>
      <c r="K181" s="210" t="n"/>
      <c r="L181" s="210" t="n"/>
      <c r="M181" s="210" t="n"/>
      <c r="N181" s="209" t="n"/>
    </row>
    <row r="182" ht="28" customHeight="1">
      <c r="A182" s="13" t="inlineStr">
        <is>
          <t>Long-tenure people at A3</t>
        </is>
      </c>
      <c r="B182" s="210" t="n"/>
      <c r="C182" s="209" t="n"/>
      <c r="D182" s="16" t="inlineStr">
        <is>
          <t>3 people with 8+ yrs sit at A3 because their role shows Band A work.</t>
        </is>
      </c>
      <c r="E182" s="210" t="n"/>
      <c r="F182" s="210" t="n"/>
      <c r="G182" s="210" t="n"/>
      <c r="H182" s="209" t="n"/>
      <c r="I182" s="16" t="inlineStr">
        <is>
          <t>Keep the gate. Use the top of the A3 pay range for proven experts, and widen roles where real B1 work exists.</t>
        </is>
      </c>
      <c r="J182" s="210" t="n"/>
      <c r="K182" s="210" t="n"/>
      <c r="L182" s="210" t="n"/>
      <c r="M182" s="210" t="n"/>
      <c r="N182" s="209" t="n"/>
    </row>
    <row r="183" ht="28" customHeight="1">
      <c r="A183" s="13" t="inlineStr">
        <is>
          <t>Senior titles without a team</t>
        </is>
      </c>
      <c r="B183" s="210" t="n"/>
      <c r="C183" s="209" t="n"/>
      <c r="D183" s="16" t="inlineStr">
        <is>
          <t>Placed by role substance and structure; titles protected for one cycle.</t>
        </is>
      </c>
      <c r="E183" s="210" t="n"/>
      <c r="F183" s="210" t="n"/>
      <c r="G183" s="210" t="n"/>
      <c r="H183" s="209" t="n"/>
      <c r="I183" s="16" t="inlineStr">
        <is>
          <t>Business head to confirm scope.</t>
        </is>
      </c>
      <c r="J183" s="210" t="n"/>
      <c r="K183" s="210" t="n"/>
      <c r="L183" s="210" t="n"/>
      <c r="M183" s="210" t="n"/>
      <c r="N183" s="209" t="n"/>
    </row>
    <row r="184" ht="15" customHeight="1">
      <c r="A184" s="13" t="inlineStr">
        <is>
          <t>Pay ranges</t>
        </is>
      </c>
      <c r="B184" s="210" t="n"/>
      <c r="C184" s="209" t="n"/>
      <c r="D184" s="16" t="inlineStr">
        <is>
          <t>No pay data supplied.</t>
        </is>
      </c>
      <c r="E184" s="210" t="n"/>
      <c r="F184" s="210" t="n"/>
      <c r="G184" s="210" t="n"/>
      <c r="H184" s="209" t="n"/>
      <c r="I184" s="16" t="inlineStr">
        <is>
          <t>Buy one survey and apply Master M14.</t>
        </is>
      </c>
      <c r="J184" s="210" t="n"/>
      <c r="K184" s="210" t="n"/>
      <c r="L184" s="210" t="n"/>
      <c r="M184" s="210" t="n"/>
      <c r="N184" s="209" t="n"/>
    </row>
    <row r="185" ht="15" customHeight="1">
      <c r="A185" s="13" t="inlineStr">
        <is>
          <t>Consultants</t>
        </is>
      </c>
      <c r="B185" s="210" t="n"/>
      <c r="C185" s="209" t="n"/>
      <c r="D185" s="16" t="inlineStr">
        <is>
          <t>0 on statements of work.</t>
        </is>
      </c>
      <c r="E185" s="210" t="n"/>
      <c r="F185" s="210" t="n"/>
      <c r="G185" s="210" t="n"/>
      <c r="H185" s="209" t="n"/>
      <c r="I185" s="16" t="inlineStr">
        <is>
          <t>Confirm owner and SOW for each one.</t>
        </is>
      </c>
      <c r="J185" s="210" t="n"/>
      <c r="K185" s="210" t="n"/>
      <c r="L185" s="210" t="n"/>
      <c r="M185" s="210" t="n"/>
      <c r="N185" s="209" t="n"/>
    </row>
    <row r="186" ht="15" customHeight="1"/>
    <row r="187" ht="20" customHeight="1">
      <c r="A187" s="6" t="inlineStr">
        <is>
          <t>10. Data completeness</t>
        </is>
      </c>
    </row>
    <row r="188" ht="15" customHeight="1">
      <c r="A188" s="12" t="inlineStr">
        <is>
          <t>Input</t>
        </is>
      </c>
      <c r="B188" s="210" t="n"/>
      <c r="C188" s="210" t="n"/>
      <c r="D188" s="209" t="n"/>
      <c r="E188" s="12" t="inlineStr">
        <is>
          <t>Provided</t>
        </is>
      </c>
      <c r="F188" s="209" t="n"/>
      <c r="G188" s="12" t="inlineStr">
        <is>
          <t>Missing</t>
        </is>
      </c>
      <c r="H188" s="209" t="n"/>
      <c r="I188" s="12" t="inlineStr">
        <is>
          <t>Complete %</t>
        </is>
      </c>
      <c r="J188" s="209" t="n"/>
      <c r="K188" s="12" t="inlineStr">
        <is>
          <t>Who provides it</t>
        </is>
      </c>
      <c r="L188" s="210" t="n"/>
      <c r="M188" s="210" t="n"/>
      <c r="N188" s="209" t="n"/>
    </row>
    <row r="189" ht="15" customHeight="1">
      <c r="A189" s="13" t="inlineStr">
        <is>
          <t>Total experience</t>
        </is>
      </c>
      <c r="B189" s="210" t="n"/>
      <c r="C189" s="210" t="n"/>
      <c r="D189" s="209" t="n"/>
      <c r="E189" s="15" t="n">
        <v>46</v>
      </c>
      <c r="F189" s="209" t="n"/>
      <c r="G189" s="15" t="n">
        <v>1</v>
      </c>
      <c r="H189" s="209" t="n"/>
      <c r="I189" s="203" t="n">
        <v>0.9787234042553191</v>
      </c>
      <c r="J189" s="209" t="n"/>
      <c r="K189" s="16" t="inlineStr">
        <is>
          <t>HR · HRIS</t>
        </is>
      </c>
      <c r="L189" s="210" t="n"/>
      <c r="M189" s="210" t="n"/>
      <c r="N189" s="209" t="n"/>
    </row>
    <row r="190" ht="15" customHeight="1">
      <c r="A190" s="13" t="inlineStr">
        <is>
          <t>Qualification</t>
        </is>
      </c>
      <c r="B190" s="210" t="n"/>
      <c r="C190" s="210" t="n"/>
      <c r="D190" s="209" t="n"/>
      <c r="E190" s="15" t="n">
        <v>47</v>
      </c>
      <c r="F190" s="209" t="n"/>
      <c r="G190" s="15" t="n">
        <v>0</v>
      </c>
      <c r="H190" s="209" t="n"/>
      <c r="I190" s="203" t="n">
        <v>1</v>
      </c>
      <c r="J190" s="209" t="n"/>
      <c r="K190" s="16" t="inlineStr">
        <is>
          <t>HR · HRIS</t>
        </is>
      </c>
      <c r="L190" s="210" t="n"/>
      <c r="M190" s="210" t="n"/>
      <c r="N190" s="209" t="n"/>
    </row>
    <row r="191" ht="15" customHeight="1">
      <c r="A191" s="13" t="inlineStr">
        <is>
          <t>Survey: purpose / deliverables</t>
        </is>
      </c>
      <c r="B191" s="210" t="n"/>
      <c r="C191" s="210" t="n"/>
      <c r="D191" s="209" t="n"/>
      <c r="E191" s="15" t="n">
        <v>44</v>
      </c>
      <c r="F191" s="209" t="n"/>
      <c r="G191" s="15" t="n">
        <v>3</v>
      </c>
      <c r="H191" s="209" t="n"/>
      <c r="I191" s="203" t="n">
        <v>0.9361702127659575</v>
      </c>
      <c r="J191" s="209" t="n"/>
      <c r="K191" s="16" t="inlineStr">
        <is>
          <t>Employee survey</t>
        </is>
      </c>
      <c r="L191" s="210" t="n"/>
      <c r="M191" s="210" t="n"/>
      <c r="N191" s="209" t="n"/>
    </row>
    <row r="192" ht="15" customHeight="1">
      <c r="A192" s="13" t="inlineStr">
        <is>
          <t>KRAs · self or manager</t>
        </is>
      </c>
      <c r="B192" s="210" t="n"/>
      <c r="C192" s="210" t="n"/>
      <c r="D192" s="209" t="n"/>
      <c r="E192" s="15" t="n">
        <v>42</v>
      </c>
      <c r="F192" s="209" t="n"/>
      <c r="G192" s="15" t="n">
        <v>5</v>
      </c>
      <c r="H192" s="209" t="n"/>
      <c r="I192" s="203" t="n">
        <v>0.8936170212765957</v>
      </c>
      <c r="J192" s="209" t="n"/>
      <c r="K192" s="16" t="inlineStr">
        <is>
          <t>Talent-mapping files</t>
        </is>
      </c>
      <c r="L192" s="210" t="n"/>
      <c r="M192" s="210" t="n"/>
      <c r="N192" s="209" t="n"/>
    </row>
    <row r="193" ht="15" customHeight="1">
      <c r="A193" s="13" t="inlineStr">
        <is>
          <t>Manager training need</t>
        </is>
      </c>
      <c r="B193" s="210" t="n"/>
      <c r="C193" s="210" t="n"/>
      <c r="D193" s="209" t="n"/>
      <c r="E193" s="15" t="n">
        <v>44</v>
      </c>
      <c r="F193" s="209" t="n"/>
      <c r="G193" s="15" t="n">
        <v>3</v>
      </c>
      <c r="H193" s="209" t="n"/>
      <c r="I193" s="203" t="n">
        <v>0.9361702127659575</v>
      </c>
      <c r="J193" s="209" t="n"/>
      <c r="K193" s="16" t="inlineStr">
        <is>
          <t>Manager</t>
        </is>
      </c>
      <c r="L193" s="210" t="n"/>
      <c r="M193" s="210" t="n"/>
      <c r="N193" s="209" t="n"/>
    </row>
    <row r="194" ht="15" customHeight="1">
      <c r="A194" s="13" t="inlineStr">
        <is>
          <t>Rating</t>
        </is>
      </c>
      <c r="B194" s="210" t="n"/>
      <c r="C194" s="210" t="n"/>
      <c r="D194" s="209" t="n"/>
      <c r="E194" s="15" t="n">
        <v>47</v>
      </c>
      <c r="F194" s="209" t="n"/>
      <c r="G194" s="15" t="n">
        <v>0</v>
      </c>
      <c r="H194" s="209" t="n"/>
      <c r="I194" s="203" t="n">
        <v>1</v>
      </c>
      <c r="J194" s="209" t="n"/>
      <c r="K194" s="16" t="inlineStr">
        <is>
          <t>Manager</t>
        </is>
      </c>
      <c r="L194" s="210" t="n"/>
      <c r="M194" s="210" t="n"/>
      <c r="N194" s="209" t="n"/>
    </row>
    <row r="195" ht="15" customHeight="1">
      <c r="A195" s="13" t="inlineStr">
        <is>
          <t>9-box</t>
        </is>
      </c>
      <c r="B195" s="210" t="n"/>
      <c r="C195" s="210" t="n"/>
      <c r="D195" s="209" t="n"/>
      <c r="E195" s="15" t="n">
        <v>47</v>
      </c>
      <c r="F195" s="209" t="n"/>
      <c r="G195" s="15" t="n">
        <v>0</v>
      </c>
      <c r="H195" s="209" t="n"/>
      <c r="I195" s="203" t="n">
        <v>1</v>
      </c>
      <c r="J195" s="209" t="n"/>
      <c r="K195" s="16" t="inlineStr">
        <is>
          <t>Manager</t>
        </is>
      </c>
      <c r="L195" s="210" t="n"/>
      <c r="M195" s="210" t="n"/>
      <c r="N195" s="209" t="n"/>
    </row>
    <row r="196" ht="15" customHeight="1">
      <c r="A196" s="13" t="inlineStr">
        <is>
          <t>Pay range</t>
        </is>
      </c>
      <c r="B196" s="210" t="n"/>
      <c r="C196" s="210" t="n"/>
      <c r="D196" s="209" t="n"/>
      <c r="E196" s="15" t="n">
        <v>0</v>
      </c>
      <c r="F196" s="209" t="n"/>
      <c r="G196" s="15" t="n">
        <v>47</v>
      </c>
      <c r="H196" s="209" t="n"/>
      <c r="I196" s="203" t="n">
        <v>0</v>
      </c>
      <c r="J196" s="209" t="n"/>
      <c r="K196" s="16" t="inlineStr">
        <is>
          <t>HR · payroll</t>
        </is>
      </c>
      <c r="L196" s="210" t="n"/>
      <c r="M196" s="210" t="n"/>
      <c r="N196" s="209" t="n"/>
    </row>
    <row r="197" ht="15" customHeight="1"/>
    <row r="198" ht="20" customHeight="1">
      <c r="A198" s="6" t="inlineStr">
        <is>
          <t>11. Sources · full register: Master M16</t>
        </is>
      </c>
    </row>
    <row r="199" ht="15" customHeight="1">
      <c r="A199" s="12" t="inlineStr">
        <is>
          <t>ID</t>
        </is>
      </c>
      <c r="B199" s="12" t="inlineStr">
        <is>
          <t>Source</t>
        </is>
      </c>
      <c r="C199" s="210" t="n"/>
      <c r="D199" s="209" t="n"/>
      <c r="E199" s="12" t="inlineStr">
        <is>
          <t>What it contributed</t>
        </is>
      </c>
      <c r="F199" s="210" t="n"/>
      <c r="G199" s="210" t="n"/>
      <c r="H199" s="210" t="n"/>
      <c r="I199" s="209" t="n"/>
      <c r="J199" s="12" t="inlineStr">
        <is>
          <t>Link / where</t>
        </is>
      </c>
      <c r="K199" s="210" t="n"/>
      <c r="L199" s="210" t="n"/>
      <c r="M199" s="209" t="n"/>
      <c r="N199" s="12" t="inlineStr">
        <is>
          <t>Grade</t>
        </is>
      </c>
    </row>
    <row r="200" ht="28" customHeight="1">
      <c r="A200" s="13" t="inlineStr">
        <is>
          <t>S01</t>
        </is>
      </c>
      <c r="B200" s="16" t="inlineStr">
        <is>
          <t>Aon Radford — Global Job Architecture &amp; Leveling</t>
        </is>
      </c>
      <c r="C200" s="210" t="n"/>
      <c r="D200" s="209" t="n"/>
      <c r="E200" s="16" t="inlineStr">
        <is>
          <t>P1–P7 / M1–M6 / E1–E6 market codes on every IRIS level; dual IC / management streams</t>
        </is>
      </c>
      <c r="F200" s="210" t="n"/>
      <c r="G200" s="210" t="n"/>
      <c r="H200" s="210" t="n"/>
      <c r="I200" s="209" t="n"/>
      <c r="J200" s="16" t="inlineStr">
        <is>
          <t>https://radford.aon.com/en-us/products/release-notes/2021/radford-job-architecture-leveling</t>
        </is>
      </c>
      <c r="K200" s="210" t="n"/>
      <c r="L200" s="210" t="n"/>
      <c r="M200" s="209" t="n"/>
      <c r="N200" s="16" t="inlineStr">
        <is>
          <t>Primary</t>
        </is>
      </c>
    </row>
    <row r="201" ht="41" customHeight="1">
      <c r="A201" s="13" t="inlineStr">
        <is>
          <t>S02</t>
        </is>
      </c>
      <c r="B201" s="16" t="inlineStr">
        <is>
          <t>Pave — job levels and Radford / Mercer crosswalk</t>
        </is>
      </c>
      <c r="C201" s="210" t="n"/>
      <c r="D201" s="209" t="n"/>
      <c r="E201" s="16" t="inlineStr">
        <is>
          <t>Level names · P1 Entry, P2 Developing, P3 Career, P4 Senior, P5 Expert, P6 Principal; M3 Manager … M6 Senior Director and the Radford ↔ Mercer mapping</t>
        </is>
      </c>
      <c r="F201" s="210" t="n"/>
      <c r="G201" s="210" t="n"/>
      <c r="H201" s="210" t="n"/>
      <c r="I201" s="209" t="n"/>
      <c r="J201" s="16" t="inlineStr">
        <is>
          <t>https://support.pave.com/articles/understand-job-levels-SiKTjMHZtr.md</t>
        </is>
      </c>
      <c r="K201" s="210" t="n"/>
      <c r="L201" s="210" t="n"/>
      <c r="M201" s="209" t="n"/>
      <c r="N201" s="16" t="inlineStr">
        <is>
          <t>Primary</t>
        </is>
      </c>
    </row>
    <row r="202" ht="54" customHeight="1">
      <c r="A202" s="13" t="inlineStr">
        <is>
          <t>S03</t>
        </is>
      </c>
      <c r="B202" s="16" t="inlineStr">
        <is>
          <t>Mercer career levels · Executive, Management, Professional, Para-professional</t>
        </is>
      </c>
      <c r="C202" s="210" t="n"/>
      <c r="D202" s="209" t="n"/>
      <c r="E202" s="16" t="inlineStr">
        <is>
          <t>Management · M3+ = more time managing others' work than doing own work; M2 can be a team lead who also does the work; Mercer team-leader roles lead 2+ professionals → IRIS track rules · the 3-report manager threshold is IRIS's own rule</t>
        </is>
      </c>
      <c r="F202" s="210" t="n"/>
      <c r="G202" s="210" t="n"/>
      <c r="H202" s="210" t="n"/>
      <c r="I202" s="209" t="n"/>
      <c r="J202" s="16" t="inlineStr">
        <is>
          <t>https://help.figures.hr/en/articles/389223-mercer-levels ; https://info.mercer.com/rs/521-DEV-513/images/MLS-Job-Catalogue.pdf</t>
        </is>
      </c>
      <c r="K202" s="210" t="n"/>
      <c r="L202" s="210" t="n"/>
      <c r="M202" s="209" t="n"/>
      <c r="N202" s="16" t="inlineStr">
        <is>
          <t>Secondary</t>
        </is>
      </c>
    </row>
    <row r="203" ht="41" customHeight="1">
      <c r="A203" s="13" t="inlineStr">
        <is>
          <t>S04</t>
        </is>
      </c>
      <c r="B203" s="16" t="inlineStr">
        <is>
          <t>Mercer IPE · International Position Evaluation</t>
        </is>
      </c>
      <c r="C203" s="210" t="n"/>
      <c r="D203" s="209" t="n"/>
      <c r="E203" s="16" t="inlineStr">
        <is>
          <t>Factors Impact, Communication, Innovation, Knowledge · plus Effort &amp; Working Conditions, not used by IRIS → mapped to the IRIS six factors</t>
        </is>
      </c>
      <c r="F203" s="210" t="n"/>
      <c r="G203" s="210" t="n"/>
      <c r="H203" s="210" t="n"/>
      <c r="I203" s="209" t="n"/>
      <c r="J203" s="16" t="inlineStr">
        <is>
          <t>https://www.mercer.com/en-in/solutions/talent-and-rewards/job-architecture/job-evaluation-ipe/</t>
        </is>
      </c>
      <c r="K203" s="210" t="n"/>
      <c r="L203" s="210" t="n"/>
      <c r="M203" s="209" t="n"/>
      <c r="N203" s="16" t="inlineStr">
        <is>
          <t>Primary</t>
        </is>
      </c>
    </row>
    <row r="204" ht="67" customHeight="1">
      <c r="A204" s="13" t="inlineStr">
        <is>
          <t>S05</t>
        </is>
      </c>
      <c r="B204" s="16" t="inlineStr">
        <is>
          <t>Korn Ferry Hay Guide Chart-Profile method</t>
        </is>
      </c>
      <c r="C204" s="210" t="n"/>
      <c r="D204" s="209" t="n"/>
      <c r="E204" s="16" t="inlineStr">
        <is>
          <t>Factors Know-How, Problem Solving, Accountability · plus Working Conditions where it applies; used by 5,000+ private and public organisations</t>
        </is>
      </c>
      <c r="F204" s="210" t="n"/>
      <c r="G204" s="210" t="n"/>
      <c r="H204" s="210" t="n"/>
      <c r="I204" s="209" t="n"/>
      <c r="J204" s="16" t="inlineStr">
        <is>
          <t>https://www.gov.nl.ca/exec/tbs/department/branches/classification/what-is-the-korn-ferry-hay-group-guide-chart-profile-method-of-job-evaluation/ ; https://www.uwo.ca/humanresources/wjec/docs/hay_method_overview.pdf</t>
        </is>
      </c>
      <c r="K204" s="210" t="n"/>
      <c r="L204" s="210" t="n"/>
      <c r="M204" s="209" t="n"/>
      <c r="N204" s="16" t="inlineStr">
        <is>
          <t>Primary</t>
        </is>
      </c>
    </row>
    <row r="205" ht="54" customHeight="1">
      <c r="A205" s="13" t="inlineStr">
        <is>
          <t>S06</t>
        </is>
      </c>
      <c r="B205" s="16" t="inlineStr">
        <is>
          <t>Hay short profile · A / L / P</t>
        </is>
      </c>
      <c r="C205" s="210" t="n"/>
      <c r="D205" s="209" t="n"/>
      <c r="E205" s="16" t="inlineStr">
        <is>
          <t>A-profile = accountability exceeds problem solving · line, results-led; L = problem solving equals accountability · level profile; P = problem solving exceeds accountability · research, thinking-led → IRIS work-type tilts</t>
        </is>
      </c>
      <c r="F205" s="210" t="n"/>
      <c r="G205" s="210" t="n"/>
      <c r="H205" s="210" t="n"/>
      <c r="I205" s="209" t="n"/>
      <c r="J205" s="16" t="inlineStr">
        <is>
          <t>https://peoplecentre.wordpress.com/2016/10/02/hay-job-evaluation-methodology-the-short-profile/</t>
        </is>
      </c>
      <c r="K205" s="210" t="n"/>
      <c r="L205" s="210" t="n"/>
      <c r="M205" s="209" t="n"/>
      <c r="N205" s="16" t="inlineStr">
        <is>
          <t>Secondary</t>
        </is>
      </c>
    </row>
    <row r="206" ht="41" customHeight="1">
      <c r="A206" s="13" t="inlineStr">
        <is>
          <t>S07</t>
        </is>
      </c>
      <c r="B206" s="16" t="inlineStr">
        <is>
          <t>WTW Global Grading System</t>
        </is>
      </c>
      <c r="C206" s="210" t="n"/>
      <c r="D206" s="209" t="n"/>
      <c r="E206" s="16" t="inlineStr">
        <is>
          <t>Two-step banding then grading; separate management and IC paths; 16–25 grades by organisation size → IRIS band-then-level design</t>
        </is>
      </c>
      <c r="F206" s="210" t="n"/>
      <c r="G206" s="210" t="n"/>
      <c r="H206" s="210" t="n"/>
      <c r="I206" s="209" t="n"/>
      <c r="J206" s="16" t="inlineStr">
        <is>
          <t>https://assets.publishing.service.gov.uk/media/66a370440808eaf43b50d7b2/WTW_OME-STRB_Job_Levelling_FOR_PUBLICATION.pdf</t>
        </is>
      </c>
      <c r="K206" s="210" t="n"/>
      <c r="L206" s="210" t="n"/>
      <c r="M206" s="209" t="n"/>
      <c r="N206" s="16" t="inlineStr">
        <is>
          <t>Primary</t>
        </is>
      </c>
    </row>
    <row r="207" ht="54" customHeight="1">
      <c r="A207" s="13" t="inlineStr">
        <is>
          <t>S08</t>
        </is>
      </c>
      <c r="B207" s="16" t="inlineStr">
        <is>
          <t>SFIA 9 — levels of responsibility</t>
        </is>
      </c>
      <c r="C207" s="210" t="n"/>
      <c r="D207" s="209" t="n"/>
      <c r="E207" s="16" t="inlineStr">
        <is>
          <t>7 levels · Follow, Assist, Apply, Enable, Ensure/advise, Initiate/influence, Set strategy defined by autonomy, influence, complexity → factor anchors and the 1–5 proficiency scale</t>
        </is>
      </c>
      <c r="F207" s="210" t="n"/>
      <c r="G207" s="210" t="n"/>
      <c r="H207" s="210" t="n"/>
      <c r="I207" s="209" t="n"/>
      <c r="J207" s="16" t="inlineStr">
        <is>
          <t>https://sfia-online.org/en/about-sfia/how-sfia-works</t>
        </is>
      </c>
      <c r="K207" s="210" t="n"/>
      <c r="L207" s="210" t="n"/>
      <c r="M207" s="209" t="n"/>
      <c r="N207" s="16" t="inlineStr">
        <is>
          <t>Primary</t>
        </is>
      </c>
    </row>
    <row r="208" ht="54" customHeight="1">
      <c r="A208" s="13" t="inlineStr">
        <is>
          <t>S09</t>
        </is>
      </c>
      <c r="B208" s="16" t="inlineStr">
        <is>
          <t>McKinsey — spans of control archetypes</t>
        </is>
      </c>
      <c r="C208" s="210" t="n"/>
      <c r="D208" s="209" t="n"/>
      <c r="E208" s="16" t="inlineStr">
        <is>
          <t>Player/coach 3–5, coach 6–7, supervisor 8–10, facilitator 11–15, coordinator 15+ → IRIS span norms</t>
        </is>
      </c>
      <c r="F208" s="210" t="n"/>
      <c r="G208" s="210" t="n"/>
      <c r="H208" s="210" t="n"/>
      <c r="I208" s="209" t="n"/>
      <c r="J208" s="16" t="inlineStr">
        <is>
          <t>https://www.mckinsey.com/capabilities/people-and-organizational-performance/our-insights/how-to-identify-the-right-spans-of-control-for-your-organization</t>
        </is>
      </c>
      <c r="K208" s="210" t="n"/>
      <c r="L208" s="210" t="n"/>
      <c r="M208" s="209" t="n"/>
      <c r="N208" s="16" t="inlineStr">
        <is>
          <t>Primary</t>
        </is>
      </c>
    </row>
    <row r="209" ht="28" customHeight="1">
      <c r="A209" s="13" t="inlineStr">
        <is>
          <t>S10</t>
        </is>
      </c>
      <c r="B209" s="16" t="inlineStr">
        <is>
          <t>Levelling guides · Ravio, CareerBird, Careerminds</t>
        </is>
      </c>
      <c r="C209" s="210" t="n"/>
      <c r="D209" s="209" t="n"/>
      <c r="E209" s="16" t="inlineStr">
        <is>
          <t>≈ 12 levels suit 500–1,500 people → IRIS uses 12 employee levels</t>
        </is>
      </c>
      <c r="F209" s="210" t="n"/>
      <c r="G209" s="210" t="n"/>
      <c r="H209" s="210" t="n"/>
      <c r="I209" s="209" t="n"/>
      <c r="J209" s="16" t="inlineStr">
        <is>
          <t>Public web guides</t>
        </is>
      </c>
      <c r="K209" s="210" t="n"/>
      <c r="L209" s="210" t="n"/>
      <c r="M209" s="209" t="n"/>
      <c r="N209" s="16" t="inlineStr">
        <is>
          <t>Secondary</t>
        </is>
      </c>
    </row>
    <row r="210" ht="54" customHeight="1">
      <c r="A210" s="13" t="inlineStr">
        <is>
          <t>S11</t>
        </is>
      </c>
      <c r="B210" s="16" t="inlineStr">
        <is>
          <t>WorldatWork — salary structure policies and practices</t>
        </is>
      </c>
      <c r="C210" s="210" t="n"/>
      <c r="D210" s="209" t="n"/>
      <c r="E210" s="16" t="inlineStr">
        <is>
          <t>Graded salary structures, range spread and midpoint concepts. It does not give range spreads by level: the spreads and midpoint steps in M14 are IRIS working assumptions until a pay survey is bought</t>
        </is>
      </c>
      <c r="F210" s="210" t="n"/>
      <c r="G210" s="210" t="n"/>
      <c r="H210" s="210" t="n"/>
      <c r="I210" s="209" t="n"/>
      <c r="J210" s="16" t="inlineStr">
        <is>
          <t>https://worldatwork.org/media/CDN/dist/CDN2/documents/pdf/resources/research/Salary-Structure-Policies-Practices-2012.pdf</t>
        </is>
      </c>
      <c r="K210" s="210" t="n"/>
      <c r="L210" s="210" t="n"/>
      <c r="M210" s="209" t="n"/>
      <c r="N210" s="16" t="inlineStr">
        <is>
          <t>Secondary</t>
        </is>
      </c>
    </row>
    <row r="211" ht="54" customHeight="1">
      <c r="A211" s="13" t="inlineStr">
        <is>
          <t>S12</t>
        </is>
      </c>
      <c r="B211" s="16" t="inlineStr">
        <is>
          <t>World Economic Forum — Future of Jobs Report 2025</t>
        </is>
      </c>
      <c r="C211" s="210" t="n"/>
      <c r="D211" s="209" t="n"/>
      <c r="E211" s="16"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F211" s="210" t="n"/>
      <c r="G211" s="210" t="n"/>
      <c r="H211" s="210" t="n"/>
      <c r="I211" s="209" t="n"/>
      <c r="J211" s="16" t="inlineStr">
        <is>
          <t>https://www.weforum.org/publications/the-future-of-jobs-report-2025/digest/</t>
        </is>
      </c>
      <c r="K211" s="210" t="n"/>
      <c r="L211" s="210" t="n"/>
      <c r="M211" s="209" t="n"/>
      <c r="N211" s="16" t="inlineStr">
        <is>
          <t>Primary</t>
        </is>
      </c>
    </row>
    <row r="212" ht="28" customHeight="1">
      <c r="A212" s="13" t="inlineStr">
        <is>
          <t>S13</t>
        </is>
      </c>
      <c r="B212" s="16" t="inlineStr">
        <is>
          <t>PMI Talent Triangle</t>
        </is>
      </c>
      <c r="C212" s="210" t="n"/>
      <c r="D212" s="209" t="n"/>
      <c r="E212" s="16" t="inlineStr">
        <is>
          <t>Ways of Working, Power Skills, Business Acumen → leadership and project competencies</t>
        </is>
      </c>
      <c r="F212" s="210" t="n"/>
      <c r="G212" s="210" t="n"/>
      <c r="H212" s="210" t="n"/>
      <c r="I212" s="209" t="n"/>
      <c r="J212" s="16" t="inlineStr">
        <is>
          <t>https://www.pmi.org/certifications/certification-resources/maintain/talent-triangle</t>
        </is>
      </c>
      <c r="K212" s="210" t="n"/>
      <c r="L212" s="210" t="n"/>
      <c r="M212" s="209" t="n"/>
      <c r="N212" s="16" t="inlineStr">
        <is>
          <t>Primary</t>
        </is>
      </c>
    </row>
    <row r="213" ht="54" customHeight="1">
      <c r="A213" s="13" t="inlineStr">
        <is>
          <t>S14</t>
        </is>
      </c>
      <c r="B213" s="16" t="inlineStr">
        <is>
          <t>SHL Universal Competency Framework — the Great Eight</t>
        </is>
      </c>
      <c r="C213" s="210" t="n"/>
      <c r="D213" s="209" t="n"/>
      <c r="E213" s="16" t="inlineStr">
        <is>
          <t>Leading &amp; Deciding; Supporting &amp; Co-operating; Interacting &amp; Presenting; Analysing &amp; Interpreting; Creating &amp; Conceptualising; Organising &amp; Executing; Adapting &amp; Coping; Enterprising &amp; Performing → coverage check of the IRIS clusters</t>
        </is>
      </c>
      <c r="F213" s="210" t="n"/>
      <c r="G213" s="210" t="n"/>
      <c r="H213" s="210" t="n"/>
      <c r="I213" s="209" t="n"/>
      <c r="J213" s="16" t="inlineStr">
        <is>
          <t>https://www.shl.com/assets/campaigns/global/competency-fit/universal-competency-framework-whitepaper-en.pdf</t>
        </is>
      </c>
      <c r="K213" s="210" t="n"/>
      <c r="L213" s="210" t="n"/>
      <c r="M213" s="209" t="n"/>
      <c r="N213" s="16" t="inlineStr">
        <is>
          <t>Primary</t>
        </is>
      </c>
    </row>
    <row r="214" ht="41" customHeight="1">
      <c r="A214" s="13" t="inlineStr">
        <is>
          <t>S15</t>
        </is>
      </c>
      <c r="B214" s="16" t="inlineStr">
        <is>
          <t>Korn Ferry Leadership Architect · 38 competencies in four factors: Thought, Results, People, Self</t>
        </is>
      </c>
      <c r="C214" s="210" t="n"/>
      <c r="D214" s="209" t="n"/>
      <c r="E214" s="16" t="inlineStr">
        <is>
          <t>Behavioural anchors and coverage check for Core and Leadership clusters</t>
        </is>
      </c>
      <c r="F214" s="210" t="n"/>
      <c r="G214" s="210" t="n"/>
      <c r="H214" s="210" t="n"/>
      <c r="I214" s="209" t="n"/>
      <c r="J214" s="16" t="inlineStr">
        <is>
          <t>https://cardinalatwork.stanford.edu/careers/performance-management/competencies</t>
        </is>
      </c>
      <c r="K214" s="210" t="n"/>
      <c r="L214" s="210" t="n"/>
      <c r="M214" s="209" t="n"/>
      <c r="N214" s="16" t="inlineStr">
        <is>
          <t>Secondary</t>
        </is>
      </c>
    </row>
    <row r="215" ht="41" customHeight="1">
      <c r="A215" s="13" t="inlineStr">
        <is>
          <t>S16</t>
        </is>
      </c>
      <c r="B215" s="16" t="inlineStr">
        <is>
          <t>Google Project Oxygen — 10 behaviours of great managers</t>
        </is>
      </c>
      <c r="C215" s="210" t="n"/>
      <c r="D215" s="209" t="n"/>
      <c r="E215" s="16" t="inlineStr">
        <is>
          <t>Coach, empower, inclusive team, results, communicate, career development, vision, technical skill, collaborate, decide → Leadership cluster indicators</t>
        </is>
      </c>
      <c r="F215" s="210" t="n"/>
      <c r="G215" s="210" t="n"/>
      <c r="H215" s="210" t="n"/>
      <c r="I215" s="209" t="n"/>
      <c r="J215" s="16" t="inlineStr">
        <is>
          <t>https://rework.withgoogle.com/intl/en/guides/following-the-data-the-research-behind-great-managers</t>
        </is>
      </c>
      <c r="K215" s="210" t="n"/>
      <c r="L215" s="210" t="n"/>
      <c r="M215" s="209" t="n"/>
      <c r="N215" s="16" t="inlineStr">
        <is>
          <t>Secondary</t>
        </is>
      </c>
    </row>
    <row r="216" ht="28" customHeight="1">
      <c r="A216" s="13" t="inlineStr">
        <is>
          <t>S17</t>
        </is>
      </c>
      <c r="B216" s="16" t="inlineStr">
        <is>
          <t>Digital Education Council — AI literacy framework</t>
        </is>
      </c>
      <c r="C216" s="210" t="n"/>
      <c r="D216" s="209" t="n"/>
      <c r="E216" s="16" t="inlineStr">
        <is>
          <t>Understanding, critical evaluation and responsible use of AI → AI Literacy indicators</t>
        </is>
      </c>
      <c r="F216" s="210" t="n"/>
      <c r="G216" s="210" t="n"/>
      <c r="H216" s="210" t="n"/>
      <c r="I216" s="209" t="n"/>
      <c r="J216" s="16" t="inlineStr">
        <is>
          <t>Digital Education Council · public</t>
        </is>
      </c>
      <c r="K216" s="210" t="n"/>
      <c r="L216" s="210" t="n"/>
      <c r="M216" s="209" t="n"/>
      <c r="N216" s="16" t="inlineStr">
        <is>
          <t>Secondary</t>
        </is>
      </c>
    </row>
    <row r="217" ht="28" customHeight="1">
      <c r="A217" s="13" t="inlineStr">
        <is>
          <t>S18</t>
        </is>
      </c>
      <c r="B217" s="16" t="inlineStr">
        <is>
          <t>SHRM BASK</t>
        </is>
      </c>
      <c r="C217" s="210" t="n"/>
      <c r="D217" s="209" t="n"/>
      <c r="E217" s="16" t="inlineStr">
        <is>
          <t>HR department technical competencies</t>
        </is>
      </c>
      <c r="F217" s="210" t="n"/>
      <c r="G217" s="210" t="n"/>
      <c r="H217" s="210" t="n"/>
      <c r="I217" s="209" t="n"/>
      <c r="J217" s="16" t="inlineStr">
        <is>
          <t>https://www.shrm.org/credentials/certification/shrm-bask</t>
        </is>
      </c>
      <c r="K217" s="210" t="n"/>
      <c r="L217" s="210" t="n"/>
      <c r="M217" s="209" t="n"/>
      <c r="N217" s="16" t="inlineStr">
        <is>
          <t>Primary</t>
        </is>
      </c>
    </row>
    <row r="218" ht="28" customHeight="1">
      <c r="A218" s="13" t="inlineStr">
        <is>
          <t>S19</t>
        </is>
      </c>
      <c r="B218" s="16" t="inlineStr">
        <is>
          <t>CIPD Profession Map</t>
        </is>
      </c>
      <c r="C218" s="210" t="n"/>
      <c r="D218" s="209" t="n"/>
      <c r="E218" s="16" t="inlineStr">
        <is>
          <t>HR specialist areas</t>
        </is>
      </c>
      <c r="F218" s="210" t="n"/>
      <c r="G218" s="210" t="n"/>
      <c r="H218" s="210" t="n"/>
      <c r="I218" s="209" t="n"/>
      <c r="J218" s="16" t="inlineStr">
        <is>
          <t>https://www.cipd.org/en/the-people-profession/the-profession-map/</t>
        </is>
      </c>
      <c r="K218" s="210" t="n"/>
      <c r="L218" s="210" t="n"/>
      <c r="M218" s="209" t="n"/>
      <c r="N218" s="16" t="inlineStr">
        <is>
          <t>Primary</t>
        </is>
      </c>
    </row>
    <row r="219" ht="28" customHeight="1">
      <c r="A219" s="13" t="inlineStr">
        <is>
          <t>S20</t>
        </is>
      </c>
      <c r="B219" s="16" t="inlineStr">
        <is>
          <t>IMA Competency Framework · management accounting</t>
        </is>
      </c>
      <c r="C219" s="210" t="n"/>
      <c r="D219" s="209" t="n"/>
      <c r="E219" s="16" t="inlineStr">
        <is>
          <t>Finance department technical competencies</t>
        </is>
      </c>
      <c r="F219" s="210" t="n"/>
      <c r="G219" s="210" t="n"/>
      <c r="H219" s="210" t="n"/>
      <c r="I219" s="209" t="n"/>
      <c r="J219" s="16" t="inlineStr">
        <is>
          <t>https://www.imanet.org/framework</t>
        </is>
      </c>
      <c r="K219" s="210" t="n"/>
      <c r="L219" s="210" t="n"/>
      <c r="M219" s="209" t="n"/>
      <c r="N219" s="16" t="inlineStr">
        <is>
          <t>Primary</t>
        </is>
      </c>
    </row>
    <row r="220" ht="15" customHeight="1">
      <c r="A220" s="13" t="inlineStr">
        <is>
          <t>S21</t>
        </is>
      </c>
      <c r="B220" s="16" t="inlineStr">
        <is>
          <t>IIBA BABOK Guide v3</t>
        </is>
      </c>
      <c r="C220" s="210" t="n"/>
      <c r="D220" s="209" t="n"/>
      <c r="E220" s="16" t="inlineStr">
        <is>
          <t>Business Analysis competencies</t>
        </is>
      </c>
      <c r="F220" s="210" t="n"/>
      <c r="G220" s="210" t="n"/>
      <c r="H220" s="210" t="n"/>
      <c r="I220" s="209" t="n"/>
      <c r="J220" s="16" t="inlineStr">
        <is>
          <t>https://www.iiba.org</t>
        </is>
      </c>
      <c r="K220" s="210" t="n"/>
      <c r="L220" s="210" t="n"/>
      <c r="M220" s="209" t="n"/>
      <c r="N220" s="16" t="inlineStr">
        <is>
          <t>Primary</t>
        </is>
      </c>
    </row>
    <row r="221" ht="15" customHeight="1">
      <c r="A221" s="13" t="inlineStr">
        <is>
          <t>S22</t>
        </is>
      </c>
      <c r="B221" s="16" t="inlineStr">
        <is>
          <t>ISTQB</t>
        </is>
      </c>
      <c r="C221" s="210" t="n"/>
      <c r="D221" s="209" t="n"/>
      <c r="E221" s="16" t="inlineStr">
        <is>
          <t>Quality Assurance competencies and credentials</t>
        </is>
      </c>
      <c r="F221" s="210" t="n"/>
      <c r="G221" s="210" t="n"/>
      <c r="H221" s="210" t="n"/>
      <c r="I221" s="209" t="n"/>
      <c r="J221" s="16" t="inlineStr">
        <is>
          <t>https://www.istqb.org</t>
        </is>
      </c>
      <c r="K221" s="210" t="n"/>
      <c r="L221" s="210" t="n"/>
      <c r="M221" s="209" t="n"/>
      <c r="N221" s="16" t="inlineStr">
        <is>
          <t>Primary</t>
        </is>
      </c>
    </row>
    <row r="222" ht="15" customHeight="1">
      <c r="A222" s="13" t="inlineStr">
        <is>
          <t>S23</t>
        </is>
      </c>
      <c r="B222" s="16" t="inlineStr">
        <is>
          <t>ITIL 4 and ISO/IEC 27001:2022</t>
        </is>
      </c>
      <c r="C222" s="210" t="n"/>
      <c r="D222" s="209" t="n"/>
      <c r="E222" s="16" t="inlineStr">
        <is>
          <t>IT &amp; Infrastructure competencies</t>
        </is>
      </c>
      <c r="F222" s="210" t="n"/>
      <c r="G222" s="210" t="n"/>
      <c r="H222" s="210" t="n"/>
      <c r="I222" s="209" t="n"/>
      <c r="J222" s="16" t="inlineStr">
        <is>
          <t>https://www.iso.org/standard/27001</t>
        </is>
      </c>
      <c r="K222" s="210" t="n"/>
      <c r="L222" s="210" t="n"/>
      <c r="M222" s="209" t="n"/>
      <c r="N222" s="16" t="inlineStr">
        <is>
          <t>Primary</t>
        </is>
      </c>
    </row>
    <row r="223" ht="28" customHeight="1">
      <c r="A223" s="13" t="inlineStr">
        <is>
          <t>S24</t>
        </is>
      </c>
      <c r="B223" s="16" t="inlineStr">
        <is>
          <t>ICSI · Institute of Company Secretaries of India</t>
        </is>
      </c>
      <c r="C223" s="210" t="n"/>
      <c r="D223" s="209" t="n"/>
      <c r="E223" s="16" t="inlineStr">
        <is>
          <t>Secretarial &amp; Legal competencies; statutory gate for Company Secretary</t>
        </is>
      </c>
      <c r="F223" s="210" t="n"/>
      <c r="G223" s="210" t="n"/>
      <c r="H223" s="210" t="n"/>
      <c r="I223" s="209" t="n"/>
      <c r="J223" s="16" t="inlineStr">
        <is>
          <t>https://www.icsi.edu</t>
        </is>
      </c>
      <c r="K223" s="210" t="n"/>
      <c r="L223" s="210" t="n"/>
      <c r="M223" s="209" t="n"/>
      <c r="N223" s="16" t="inlineStr">
        <is>
          <t>Primary</t>
        </is>
      </c>
    </row>
    <row r="224" ht="28" customHeight="1">
      <c r="A224" s="13" t="inlineStr">
        <is>
          <t>S25</t>
        </is>
      </c>
      <c r="B224" s="16" t="inlineStr">
        <is>
          <t>AICPA &amp; XBRL US — XBRL US GAAP Certificate</t>
        </is>
      </c>
      <c r="C224" s="210" t="n"/>
      <c r="D224" s="209" t="n"/>
      <c r="E224" s="16" t="inlineStr">
        <is>
          <t>XBRL &amp; taxonomy competency and credential</t>
        </is>
      </c>
      <c r="F224" s="210" t="n"/>
      <c r="G224" s="210" t="n"/>
      <c r="H224" s="210" t="n"/>
      <c r="I224" s="209" t="n"/>
      <c r="J224" s="16" t="inlineStr">
        <is>
          <t>https://xbrl.us</t>
        </is>
      </c>
      <c r="K224" s="210" t="n"/>
      <c r="L224" s="210" t="n"/>
      <c r="M224" s="209" t="n"/>
      <c r="N224" s="16" t="inlineStr">
        <is>
          <t>Primary</t>
        </is>
      </c>
    </row>
    <row r="225" ht="28" customHeight="1">
      <c r="A225" s="13" t="inlineStr">
        <is>
          <t>S26</t>
        </is>
      </c>
      <c r="B225" s="16" t="inlineStr">
        <is>
          <t>ILO ISCO-08 · India's NCO-2015 follows the same structure</t>
        </is>
      </c>
      <c r="C225" s="210" t="n"/>
      <c r="D225" s="209" t="n"/>
      <c r="E225" s="16" t="inlineStr">
        <is>
          <t>Each job family is anchored to an ISCO-08 unit group so families are standard, not invented</t>
        </is>
      </c>
      <c r="F225" s="210" t="n"/>
      <c r="G225" s="210" t="n"/>
      <c r="H225" s="210" t="n"/>
      <c r="I225" s="209" t="n"/>
      <c r="J225" s="16" t="inlineStr">
        <is>
          <t>https://worldoftaxonomy.com/system/isco_08/node/251</t>
        </is>
      </c>
      <c r="K225" s="210" t="n"/>
      <c r="L225" s="210" t="n"/>
      <c r="M225" s="209" t="n"/>
      <c r="N225" s="16" t="inlineStr">
        <is>
          <t>Primary</t>
        </is>
      </c>
    </row>
    <row r="226" ht="54" customHeight="1">
      <c r="A226" s="13" t="inlineStr">
        <is>
          <t>S27</t>
        </is>
      </c>
      <c r="B226" s="16" t="inlineStr">
        <is>
          <t>Deloitte — The skills-based organization: a new operating model for work and the workforce</t>
        </is>
      </c>
      <c r="C226" s="210" t="n"/>
      <c r="D226" s="209" t="n"/>
      <c r="E226" s="16" t="inlineStr">
        <is>
          <t>71% of workers already perform some work outside the scope of their job descriptions · The skills-based organization, Deloitte Insights, 7 Sep 2022 → sub-families describe actual work; skills tracked per person</t>
        </is>
      </c>
      <c r="F226" s="210" t="n"/>
      <c r="G226" s="210" t="n"/>
      <c r="H226" s="210" t="n"/>
      <c r="I226" s="209" t="n"/>
      <c r="J226" s="16" t="inlineStr">
        <is>
          <t>https://www.deloitte.com/us/en/insights/topics/talent/organizational-skill-based-hiring.html</t>
        </is>
      </c>
      <c r="K226" s="210" t="n"/>
      <c r="L226" s="210" t="n"/>
      <c r="M226" s="209" t="n"/>
      <c r="N226" s="16" t="inlineStr">
        <is>
          <t>Primary</t>
        </is>
      </c>
    </row>
    <row r="227" ht="41" customHeight="1">
      <c r="A227" s="13" t="inlineStr">
        <is>
          <t>S30</t>
        </is>
      </c>
      <c r="B227" s="16" t="inlineStr">
        <is>
          <t>Workiva — engineering levels · Levels.fyi</t>
        </is>
      </c>
      <c r="C227" s="210" t="n"/>
      <c r="D227" s="209" t="n"/>
      <c r="E227" s="16" t="inlineStr">
        <is>
          <t>Associate SE → SE → Senior SE → Staff SE → Senior Staff SE · Levels.fyi pages could not be loaded; level names confirmed from Levels.fyi page titles and Workiva postings</t>
        </is>
      </c>
      <c r="F227" s="210" t="n"/>
      <c r="G227" s="210" t="n"/>
      <c r="H227" s="210" t="n"/>
      <c r="I227" s="209" t="n"/>
      <c r="J227" s="16" t="inlineStr">
        <is>
          <t>https://www.levels.fyi/companies/workiva/salaries/software-engineer</t>
        </is>
      </c>
      <c r="K227" s="210" t="n"/>
      <c r="L227" s="210" t="n"/>
      <c r="M227" s="209" t="n"/>
      <c r="N227" s="16" t="inlineStr">
        <is>
          <t>Secondary</t>
        </is>
      </c>
    </row>
    <row r="228" ht="28" customHeight="1">
      <c r="A228" s="13" t="inlineStr">
        <is>
          <t>S31</t>
        </is>
      </c>
      <c r="B228" s="16" t="inlineStr">
        <is>
          <t>DataTracks — careers site</t>
        </is>
      </c>
      <c r="C228" s="210" t="n"/>
      <c r="D228" s="209" t="n"/>
      <c r="E228" s="16" t="inlineStr">
        <is>
          <r>
            <rPr>
              <rFont val="Calibri"/>
              <b val="1"/>
              <sz val="10"/>
            </rPr>
            <t>Two published rungs:</t>
          </r>
          <r>
            <rPr>
              <rFont val="Calibri"/>
              <sz val="10"/>
            </rPr>
            <t xml:space="preserve"> Associate · freshers → Senior Associate · 2–5 yrs; nothing above is published</t>
          </r>
        </is>
      </c>
      <c r="F228" s="210" t="n"/>
      <c r="G228" s="210" t="n"/>
      <c r="H228" s="210" t="n"/>
      <c r="I228" s="209" t="n"/>
      <c r="J228" s="16" t="inlineStr">
        <is>
          <t>https://www.datatracks.com/in/careers/</t>
        </is>
      </c>
      <c r="K228" s="210" t="n"/>
      <c r="L228" s="210" t="n"/>
      <c r="M228" s="209" t="n"/>
      <c r="N228" s="16" t="inlineStr">
        <is>
          <t>Job postings</t>
        </is>
      </c>
    </row>
    <row r="229" ht="54" customHeight="1">
      <c r="A229" s="13" t="inlineStr">
        <is>
          <t>S32</t>
        </is>
      </c>
      <c r="B229" s="16" t="inlineStr">
        <is>
          <t>Google / Microsoft / Amazon engineering levels</t>
        </is>
      </c>
      <c r="C229" s="210" t="n"/>
      <c r="D229" s="209" t="n"/>
      <c r="E229" s="16"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F229" s="210" t="n"/>
      <c r="G229" s="210" t="n"/>
      <c r="H229" s="210" t="n"/>
      <c r="I229" s="209" t="n"/>
      <c r="J229" s="16" t="inlineStr">
        <is>
          <t>https://testrigor.com/blog/engineering-levels-in-different-companies-compared/ ; https://rajendrauppal.substack.com/p/understanding-levels-at-google-microsoft</t>
        </is>
      </c>
      <c r="K229" s="210" t="n"/>
      <c r="L229" s="210" t="n"/>
      <c r="M229" s="209" t="n"/>
      <c r="N229" s="16" t="inlineStr">
        <is>
          <t>Secondary</t>
        </is>
      </c>
    </row>
    <row r="230" ht="41" customHeight="1">
      <c r="A230" s="13" t="inlineStr">
        <is>
          <t>S33</t>
        </is>
      </c>
      <c r="B230" s="16" t="inlineStr">
        <is>
          <t>Infosys job levels</t>
        </is>
      </c>
      <c r="C230" s="210" t="n"/>
      <c r="D230" s="209" t="n"/>
      <c r="E230" s="16" t="inlineStr">
        <is>
          <t>JL3B Systems Engineer · 0–3 yrs → JL3A Senior SE → JL4 Technology Analyst → JL5 Technology Lead → JL6B Architect / PM → JL6A Senior Architect</t>
        </is>
      </c>
      <c r="F230" s="210" t="n"/>
      <c r="G230" s="210" t="n"/>
      <c r="H230" s="210" t="n"/>
      <c r="I230" s="209" t="n"/>
      <c r="J230" s="16" t="inlineStr">
        <is>
          <t>https://www.designgurus.io/blog/infosys-job-levels</t>
        </is>
      </c>
      <c r="K230" s="210" t="n"/>
      <c r="L230" s="210" t="n"/>
      <c r="M230" s="209" t="n"/>
      <c r="N230" s="16" t="inlineStr">
        <is>
          <t>Indicative</t>
        </is>
      </c>
    </row>
    <row r="231" ht="54" customHeight="1">
      <c r="A231" s="13" t="inlineStr">
        <is>
          <t>S34</t>
        </is>
      </c>
      <c r="B231" s="16" t="inlineStr">
        <is>
          <t>TCS grades</t>
        </is>
      </c>
      <c r="C231" s="210" t="n"/>
      <c r="D231" s="209" t="n"/>
      <c r="E231" s="16" t="inlineStr">
        <is>
          <t>C1Y ASE Trainee → C1 ASE / System Engineer → C2 IT Analyst → C3A Assistant Consultant → C3B Associate Consultant → C4 Consultant → C5 Senior Consultant → SP1 Principal Consultant</t>
        </is>
      </c>
      <c r="F231" s="210" t="n"/>
      <c r="G231" s="210" t="n"/>
      <c r="H231" s="210" t="n"/>
      <c r="I231" s="209" t="n"/>
      <c r="J231" s="16" t="inlineStr">
        <is>
          <t>https://www.designgurus.io/blog/tcs-job-levels</t>
        </is>
      </c>
      <c r="K231" s="210" t="n"/>
      <c r="L231" s="210" t="n"/>
      <c r="M231" s="209" t="n"/>
      <c r="N231" s="16" t="inlineStr">
        <is>
          <t>Indicative</t>
        </is>
      </c>
    </row>
    <row r="232" ht="54" customHeight="1">
      <c r="A232" s="13" t="inlineStr">
        <is>
          <t>S35</t>
        </is>
      </c>
      <c r="B232" s="16" t="inlineStr">
        <is>
          <t>Accenture India career levels</t>
        </is>
      </c>
      <c r="C232" s="210" t="n"/>
      <c r="D232" s="209" t="n"/>
      <c r="E232" s="16" t="inlineStr">
        <is>
          <t>L12 Associate · 0–1 yrs → L11 Analyst → L10 Senior Analyst → L9 Team Lead / Consultant → L8 Associate Manager → L7 Manager → L6 Senior Manager → L5+ leadership</t>
        </is>
      </c>
      <c r="F232" s="210" t="n"/>
      <c r="G232" s="210" t="n"/>
      <c r="H232" s="210" t="n"/>
      <c r="I232" s="209" t="n"/>
      <c r="J232" s="16" t="inlineStr">
        <is>
          <t>https://jobrise.io/hi/blog/accenture-salary-package-2026-india/</t>
        </is>
      </c>
      <c r="K232" s="210" t="n"/>
      <c r="L232" s="210" t="n"/>
      <c r="M232" s="209" t="n"/>
      <c r="N232" s="16" t="inlineStr">
        <is>
          <t>Indicative</t>
        </is>
      </c>
    </row>
    <row r="233" ht="41" customHeight="1">
      <c r="A233" s="13" t="inlineStr">
        <is>
          <t>S36</t>
        </is>
      </c>
      <c r="B233" s="16" t="inlineStr">
        <is>
          <t>Deloitte India / USI hierarchy</t>
        </is>
      </c>
      <c r="C233" s="210" t="n"/>
      <c r="D233" s="209" t="n"/>
      <c r="E233" s="16" t="inlineStr">
        <is>
          <t>Associate Analyst → Analyst → Consultant → Senior Consultant → Manager → Senior Manager → Managing Director → Partner / Principal</t>
        </is>
      </c>
      <c r="F233" s="210" t="n"/>
      <c r="G233" s="210" t="n"/>
      <c r="H233" s="210" t="n"/>
      <c r="I233" s="209" t="n"/>
      <c r="J233" s="16" t="inlineStr">
        <is>
          <t>https://networkinterview.com/technical-hierarchy-deloitte-india/</t>
        </is>
      </c>
      <c r="K233" s="210" t="n"/>
      <c r="L233" s="210" t="n"/>
      <c r="M233" s="209" t="n"/>
      <c r="N233" s="16" t="inlineStr">
        <is>
          <t>Indicative</t>
        </is>
      </c>
    </row>
    <row r="234" ht="41" customHeight="1">
      <c r="A234" s="13" t="inlineStr">
        <is>
          <t>S37</t>
        </is>
      </c>
      <c r="B234" s="16" t="inlineStr">
        <is>
          <t>GitLab — job frameworks and layers</t>
        </is>
      </c>
      <c r="C234" s="210" t="n"/>
      <c r="D234" s="209" t="n"/>
      <c r="E234" s="16" t="inlineStr">
        <is>
          <t>Two job frameworks · IC, people manager; ≤ 8 layers; Staff ↔ Manager, Principal ↔ Senior Manager, Distinguished ↔ Director, Fellow ↔ VP</t>
        </is>
      </c>
      <c r="F234" s="210" t="n"/>
      <c r="G234" s="210" t="n"/>
      <c r="H234" s="210" t="n"/>
      <c r="I234" s="209" t="n"/>
      <c r="J234" s="16" t="inlineStr">
        <is>
          <t>https://handbook.gitlab.com/handbook/company/structure/</t>
        </is>
      </c>
      <c r="K234" s="210" t="n"/>
      <c r="L234" s="210" t="n"/>
      <c r="M234" s="209" t="n"/>
      <c r="N234" s="16" t="inlineStr">
        <is>
          <t>Primary</t>
        </is>
      </c>
    </row>
    <row r="235" ht="28" customHeight="1">
      <c r="A235" s="13" t="inlineStr">
        <is>
          <t>S38</t>
        </is>
      </c>
      <c r="B235" s="16" t="inlineStr">
        <is>
          <t>Infosys, McKinsey, Unilever / HUL, Google — hiring practices</t>
        </is>
      </c>
      <c r="C235" s="210" t="n"/>
      <c r="D235" s="209" t="n"/>
      <c r="E235" s="16" t="inlineStr">
        <is>
          <t>Tiered campus entry; entry level by qualification; management-trainee programme; independent levelling panel</t>
        </is>
      </c>
      <c r="F235" s="210" t="n"/>
      <c r="G235" s="210" t="n"/>
      <c r="H235" s="210" t="n"/>
      <c r="I235" s="209" t="n"/>
      <c r="J235" s="16" t="inlineStr">
        <is>
          <t>Public careers / recruiting pages</t>
        </is>
      </c>
      <c r="K235" s="210" t="n"/>
      <c r="L235" s="210" t="n"/>
      <c r="M235" s="209" t="n"/>
      <c r="N235" s="16" t="inlineStr">
        <is>
          <t>Secondary</t>
        </is>
      </c>
    </row>
    <row r="236" ht="41" customHeight="1">
      <c r="A236" s="13" t="inlineStr">
        <is>
          <t>S44</t>
        </is>
      </c>
      <c r="B236" s="16" t="inlineStr">
        <is>
          <t>Software Engineering at Google — ch. 5 'How to Lead a Team' · Tech Lead Manager</t>
        </is>
      </c>
      <c r="C236" s="210" t="n"/>
      <c r="D236" s="209" t="n"/>
      <c r="E236" s="16" t="inlineStr">
        <is>
          <t>The Tech Lead Manager · TLM — a hybrid who leads a team and still contributes technically → B+ Player-Coach</t>
        </is>
      </c>
      <c r="F236" s="210" t="n"/>
      <c r="G236" s="210" t="n"/>
      <c r="H236" s="210" t="n"/>
      <c r="I236" s="209" t="n"/>
      <c r="J236" s="16" t="inlineStr">
        <is>
          <t>https://abseil.io/resources/swe-book/html/ch05.html ; https://newsletter.pragmaticengineer.com/p/leading-effective-engineering-teams</t>
        </is>
      </c>
      <c r="K236" s="210" t="n"/>
      <c r="L236" s="210" t="n"/>
      <c r="M236" s="209" t="n"/>
      <c r="N236" s="16" t="inlineStr">
        <is>
          <t>Primary</t>
        </is>
      </c>
    </row>
    <row r="237" ht="67" customHeight="1">
      <c r="A237" s="13" t="inlineStr">
        <is>
          <t>S45</t>
        </is>
      </c>
      <c r="B237" s="16" t="inlineStr">
        <is>
          <t>SaaS player-coach sales and revenue leaders · job postings</t>
        </is>
      </c>
      <c r="C237" s="210" t="n"/>
      <c r="D237" s="209" t="n"/>
      <c r="E237" s="16" t="inlineStr">
        <is>
          <t>Leaders who carry their own quota or book while building and coaching the team → C+ / B+ Player-Coach in commercial roles</t>
        </is>
      </c>
      <c r="F237" s="210" t="n"/>
      <c r="G237" s="210" t="n"/>
      <c r="H237" s="210" t="n"/>
      <c r="I237" s="209" t="n"/>
      <c r="J237" s="16" t="inlineStr">
        <is>
          <t>https://www.itjobswatch.co.uk/jv/Space-Executive/Sales-Lead-Player-Coach-HR-Tech-Job-City-of-London-Greater-London-UK-4vommq ; https://salesgravy.com/the-player-coach-problem-how-to-prospect-and-lead-at-the-same-time-ask-jeb/</t>
        </is>
      </c>
      <c r="K237" s="210" t="n"/>
      <c r="L237" s="210" t="n"/>
      <c r="M237" s="209" t="n"/>
      <c r="N237" s="16" t="inlineStr">
        <is>
          <t>Job postings</t>
        </is>
      </c>
    </row>
    <row r="238" ht="54" customHeight="1">
      <c r="A238" s="13" t="inlineStr">
        <is>
          <t>S46</t>
        </is>
      </c>
      <c r="B238" s="16" t="inlineStr">
        <is>
          <t>Canada Treasury Board — Executive Group Position Evaluation Plan, 2005</t>
        </is>
      </c>
      <c r="C238" s="210" t="n"/>
      <c r="D238" s="209" t="n"/>
      <c r="E238" s="16" t="inlineStr">
        <is>
          <t>Verified Hay point evaluations of real manager and executive jobs; the know-how / problem solving / accountability split by level used in the weight derivation</t>
        </is>
      </c>
      <c r="F238" s="210" t="n"/>
      <c r="G238" s="210" t="n"/>
      <c r="H238" s="210" t="n"/>
      <c r="I238" s="209" t="n"/>
      <c r="J238" s="16" t="inlineStr">
        <is>
          <t>https://www.canada.ca/en/treasury-board-secretariat/services/collective-agreements/job-evaluation/executive-group-position-evaluation-plan-september-2005.html</t>
        </is>
      </c>
      <c r="K238" s="210" t="n"/>
      <c r="L238" s="210" t="n"/>
      <c r="M238" s="209" t="n"/>
      <c r="N238" s="16" t="inlineStr">
        <is>
          <t>Primary</t>
        </is>
      </c>
    </row>
    <row r="239" ht="93" customHeight="1">
      <c r="A239" s="13" t="inlineStr">
        <is>
          <t>S47</t>
        </is>
      </c>
      <c r="B239" s="16" t="inlineStr">
        <is>
          <t>Canada Treasury Board — Executive Group Position Evaluation Plan, 2022</t>
        </is>
      </c>
      <c r="C239" s="210" t="n"/>
      <c r="D239" s="209" t="n"/>
      <c r="E239" s="16" t="inlineStr">
        <is>
          <t>Current version of the same plan with benchmark evaluations; confirms accountability's share rises with seniority</t>
        </is>
      </c>
      <c r="F239" s="210" t="n"/>
      <c r="G239" s="210" t="n"/>
      <c r="H239" s="210" t="n"/>
      <c r="I239" s="209" t="n"/>
      <c r="J239"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K239" s="210" t="n"/>
      <c r="L239" s="210" t="n"/>
      <c r="M239" s="209" t="n"/>
      <c r="N239" s="16" t="inlineStr">
        <is>
          <t>Primary</t>
        </is>
      </c>
    </row>
    <row r="240" ht="41" customHeight="1">
      <c r="A240" s="13" t="inlineStr">
        <is>
          <t>S48</t>
        </is>
      </c>
      <c r="B240" s="16" t="inlineStr">
        <is>
          <t>Hay Group — summary deck of the Guide Chart-Profile method</t>
        </is>
      </c>
      <c r="C240" s="210" t="n"/>
      <c r="D240" s="209" t="n"/>
      <c r="E240" s="16" t="inlineStr">
        <is>
          <t>Typical Hay profiles for clerical, specialist and supervisory jobs; the shares used for the junior and professional rows</t>
        </is>
      </c>
      <c r="F240" s="210" t="n"/>
      <c r="G240" s="210" t="n"/>
      <c r="H240" s="210" t="n"/>
      <c r="I240" s="209" t="n"/>
      <c r="J240" s="16" t="inlineStr">
        <is>
          <t>https://www.slideshare.net/slideshow/hay-summary/55196354</t>
        </is>
      </c>
      <c r="K240" s="210" t="n"/>
      <c r="L240" s="210" t="n"/>
      <c r="M240" s="209" t="n"/>
      <c r="N240" s="16" t="inlineStr">
        <is>
          <t>Secondary</t>
        </is>
      </c>
    </row>
    <row r="241" ht="28" customHeight="1">
      <c r="A241" s="13" t="inlineStr">
        <is>
          <t>S49</t>
        </is>
      </c>
      <c r="B241" s="16" t="inlineStr">
        <is>
          <t>Lincolnshire County Council — Hay Group job evaluation method</t>
        </is>
      </c>
      <c r="C241" s="210" t="n"/>
      <c r="D241" s="209" t="n"/>
      <c r="E241" s="16" t="inlineStr">
        <is>
          <t>Defines know-how as all knowledge and skill however acquired — the basis for not scoring experience on its own</t>
        </is>
      </c>
      <c r="F241" s="210" t="n"/>
      <c r="G241" s="210" t="n"/>
      <c r="H241" s="210" t="n"/>
      <c r="I241" s="209" t="n"/>
      <c r="J241" s="16" t="inlineStr">
        <is>
          <t>https://professionals.lincolnshire.gov.uk/downloads/file/576/hay-group-je-method</t>
        </is>
      </c>
      <c r="K241" s="210" t="n"/>
      <c r="L241" s="210" t="n"/>
      <c r="M241" s="209" t="n"/>
      <c r="N241" s="16" t="inlineStr">
        <is>
          <t>Primary</t>
        </is>
      </c>
    </row>
    <row r="242" ht="28" customHeight="1">
      <c r="A242" s="13" t="inlineStr">
        <is>
          <t>S50</t>
        </is>
      </c>
      <c r="B242" s="16" t="inlineStr">
        <is>
          <t>Western University — Hay method overview</t>
        </is>
      </c>
      <c r="C242" s="210" t="n"/>
      <c r="D242" s="209" t="n"/>
      <c r="E242" s="16" t="inlineStr">
        <is>
          <t>Plain explanation of the three Hay factors and the short profile; cross-check of the Hay shares</t>
        </is>
      </c>
      <c r="F242" s="210" t="n"/>
      <c r="G242" s="210" t="n"/>
      <c r="H242" s="210" t="n"/>
      <c r="I242" s="209" t="n"/>
      <c r="J242" s="16" t="inlineStr">
        <is>
          <t>https://www.uwo.ca/humanresources/wjec/docs/hay_method_overview.pdf</t>
        </is>
      </c>
      <c r="K242" s="210" t="n"/>
      <c r="L242" s="210" t="n"/>
      <c r="M242" s="209" t="n"/>
      <c r="N242" s="16" t="inlineStr">
        <is>
          <t>Secondary</t>
        </is>
      </c>
    </row>
    <row r="243" ht="41" customHeight="1">
      <c r="A243" s="13" t="inlineStr">
        <is>
          <t>S51</t>
        </is>
      </c>
      <c r="B243" s="16" t="inlineStr">
        <is>
          <t>Derbyshire County Council — Korn Ferry Hay scheme</t>
        </is>
      </c>
      <c r="C243" s="210" t="n"/>
      <c r="D243" s="209" t="n"/>
      <c r="E243" s="16" t="inlineStr">
        <is>
          <t>Confirms current Korn Ferry Hay use in UK public employers and the factor definitions</t>
        </is>
      </c>
      <c r="F243" s="210" t="n"/>
      <c r="G243" s="210" t="n"/>
      <c r="H243" s="210" t="n"/>
      <c r="I243" s="209" t="n"/>
      <c r="J243" s="16" t="inlineStr">
        <is>
          <t>https://staff.derbyshire.gov.uk/jobs-and-recruitment/job-evaluation/korn-ferry-hay-scheme/korn-ferry-hay-scheme.aspx</t>
        </is>
      </c>
      <c r="K243" s="210" t="n"/>
      <c r="L243" s="210" t="n"/>
      <c r="M243" s="209" t="n"/>
      <c r="N243" s="16" t="inlineStr">
        <is>
          <t>Secondary</t>
        </is>
      </c>
    </row>
    <row r="244" ht="41" customHeight="1">
      <c r="A244" s="13" t="inlineStr">
        <is>
          <t>S52</t>
        </is>
      </c>
      <c r="B244" s="16" t="inlineStr">
        <is>
          <t>Mercer IPE — position evaluation manual and factor sheet</t>
        </is>
      </c>
      <c r="C244" s="210" t="n"/>
      <c r="D244" s="209" t="n"/>
      <c r="E244" s="16" t="inlineStr">
        <is>
          <t>Maximum points per factor and the factor definitions — Impact, Communication, Innovation, Knowledge — used for the IPE column of the derivation</t>
        </is>
      </c>
      <c r="F244" s="210" t="n"/>
      <c r="G244" s="210" t="n"/>
      <c r="H244" s="210" t="n"/>
      <c r="I244" s="209" t="n"/>
      <c r="J244" s="16" t="inlineStr">
        <is>
          <t>https://www.karlancer.com/api/file/1685038954-V7Gx.pdf ; https://studylib.net/doc/25471018/197145561-evaluation-factors-mercer</t>
        </is>
      </c>
      <c r="K244" s="210" t="n"/>
      <c r="L244" s="210" t="n"/>
      <c r="M244" s="209" t="n"/>
      <c r="N244" s="16" t="inlineStr">
        <is>
          <t>Secondary</t>
        </is>
      </c>
    </row>
    <row r="245" ht="28" customHeight="1">
      <c r="A245" s="13" t="inlineStr">
        <is>
          <t>S53</t>
        </is>
      </c>
      <c r="B245" s="16" t="inlineStr">
        <is>
          <t>NHS Agenda for Change — Job Evaluation Handbook</t>
        </is>
      </c>
      <c r="C245" s="210" t="n"/>
      <c r="D245" s="209" t="n"/>
      <c r="E245" s="16" t="inlineStr">
        <is>
          <t>16 factors and 1,000 points with published weights; knowledge 24%, financial and physical resources 6%</t>
        </is>
      </c>
      <c r="F245" s="210" t="n"/>
      <c r="G245" s="210" t="n"/>
      <c r="H245" s="210" t="n"/>
      <c r="I245" s="209" t="n"/>
      <c r="J245" s="16" t="inlineStr">
        <is>
          <t>https://www.nhsemployers.org/sites/default/files/pdf/22/165.pdf</t>
        </is>
      </c>
      <c r="K245" s="210" t="n"/>
      <c r="L245" s="210" t="n"/>
      <c r="M245" s="209" t="n"/>
      <c r="N245" s="16" t="inlineStr">
        <is>
          <t>Primary</t>
        </is>
      </c>
    </row>
    <row r="246" ht="28" customHeight="1">
      <c r="A246" s="13" t="inlineStr">
        <is>
          <t>S54</t>
        </is>
      </c>
      <c r="B246" s="16" t="inlineStr">
        <is>
          <t>Police Staff Council — job evaluation handbook, NJC 13-factor scheme</t>
        </is>
      </c>
      <c r="C246" s="210" t="n"/>
      <c r="D246" s="209" t="n"/>
      <c r="E246" s="16" t="inlineStr">
        <is>
          <t>Published factor points for the UK local-government scheme; used for the public-plan average</t>
        </is>
      </c>
      <c r="F246" s="210" t="n"/>
      <c r="G246" s="210" t="n"/>
      <c r="H246" s="210" t="n"/>
      <c r="I246" s="209" t="n"/>
      <c r="J246" s="16" t="inlineStr">
        <is>
          <t>https://lb2.local.gov.uk/sites/default/files/documents/police-staff-council-13-f-342.pdf</t>
        </is>
      </c>
      <c r="K246" s="210" t="n"/>
      <c r="L246" s="210" t="n"/>
      <c r="M246" s="209" t="n"/>
      <c r="N246" s="16" t="inlineStr">
        <is>
          <t>Primary</t>
        </is>
      </c>
    </row>
    <row r="247" ht="41" customHeight="1">
      <c r="A247" s="13" t="inlineStr">
        <is>
          <t>S55</t>
        </is>
      </c>
      <c r="B247" s="16" t="inlineStr">
        <is>
          <t>Greater London Provincial Council — points weighting, Denbighshire County Council</t>
        </is>
      </c>
      <c r="C247" s="210" t="n"/>
      <c r="D247" s="209" t="n"/>
      <c r="E247" s="16" t="inlineStr">
        <is>
          <t>11 factors and 948 points with published weights</t>
        </is>
      </c>
      <c r="F247" s="210" t="n"/>
      <c r="G247" s="210" t="n"/>
      <c r="H247" s="210" t="n"/>
      <c r="I247" s="209" t="n"/>
      <c r="J247" s="16" t="inlineStr">
        <is>
          <t>https://www.sirddinbych.gov.uk/en/documents/jobs-and-employees/my-employment/reorganisation-and-change/glpc-points-weighting.pdf</t>
        </is>
      </c>
      <c r="K247" s="210" t="n"/>
      <c r="L247" s="210" t="n"/>
      <c r="M247" s="209" t="n"/>
      <c r="N247" s="16" t="inlineStr">
        <is>
          <t>Primary</t>
        </is>
      </c>
    </row>
    <row r="248" ht="28" customHeight="1">
      <c r="A248" s="13" t="inlineStr">
        <is>
          <t>S56</t>
        </is>
      </c>
      <c r="B248" s="16" t="inlineStr">
        <is>
          <t>Scottish Joint Council scheme — Highland Council scoring matrix</t>
        </is>
      </c>
      <c r="C248" s="210" t="n"/>
      <c r="D248" s="209" t="n"/>
      <c r="E248" s="16" t="inlineStr">
        <is>
          <t>13 factors and 1,000 points with published weights</t>
        </is>
      </c>
      <c r="F248" s="210" t="n"/>
      <c r="G248" s="210" t="n"/>
      <c r="H248" s="210" t="n"/>
      <c r="I248" s="209" t="n"/>
      <c r="J248" s="16" t="inlineStr">
        <is>
          <t>https://www.highland.gov.uk/download/downloads/id/3889/scoring_matrix.pdf</t>
        </is>
      </c>
      <c r="K248" s="210" t="n"/>
      <c r="L248" s="210" t="n"/>
      <c r="M248" s="209" t="n"/>
      <c r="N248" s="16" t="inlineStr">
        <is>
          <t>Primary</t>
        </is>
      </c>
    </row>
    <row r="249" ht="54" customHeight="1">
      <c r="A249" s="13" t="inlineStr">
        <is>
          <t>S57</t>
        </is>
      </c>
      <c r="B249" s="16" t="inlineStr">
        <is>
          <t>US OPM — Introduction to the Position Classification Standards, Factor Evaluation System</t>
        </is>
      </c>
      <c r="C249" s="210" t="n"/>
      <c r="D249" s="209" t="n"/>
      <c r="E249" s="16" t="inlineStr">
        <is>
          <t>9 factors and 4,480 points; the most knowledge-heavy plan, with no separate financial factor</t>
        </is>
      </c>
      <c r="F249" s="210" t="n"/>
      <c r="G249" s="210" t="n"/>
      <c r="H249" s="210" t="n"/>
      <c r="I249" s="209" t="n"/>
      <c r="J249" s="16" t="inlineStr">
        <is>
          <t>https://www.opm.gov/policy-data-oversight/classification-qualifications/classifying-general-schedule-positions/positionclassificationintro.pdf</t>
        </is>
      </c>
      <c r="K249" s="210" t="n"/>
      <c r="L249" s="210" t="n"/>
      <c r="M249" s="209" t="n"/>
      <c r="N249" s="16" t="inlineStr">
        <is>
          <t>Primary</t>
        </is>
      </c>
    </row>
    <row r="250" ht="80" customHeight="1">
      <c r="A250" s="13" t="inlineStr">
        <is>
          <t>S58</t>
        </is>
      </c>
      <c r="B250" s="16" t="inlineStr">
        <is>
          <t>McKinsey — Taking a skills-based approach to building the future workforce, 2022</t>
        </is>
      </c>
      <c r="C250" s="210" t="n"/>
      <c r="D250" s="209" t="n"/>
      <c r="E250" s="16" t="inlineStr">
        <is>
          <t>Hiring for skills is more than twice as predictive as hiring for work experience — support for a low Experience weight</t>
        </is>
      </c>
      <c r="F250" s="210" t="n"/>
      <c r="G250" s="210" t="n"/>
      <c r="H250" s="210" t="n"/>
      <c r="I250" s="209" t="n"/>
      <c r="J250" s="16" t="inlineStr">
        <is>
          <t>https://www.mckinsey.com/~/media/mckinsey/business%20functions/people%20and%20organizational%20performance/our%20insights/taking%20a%20skills%20based%20approach%20to%20building%20the%20future%20workforce/taking-a-skills-based-approach-to-building-the-future-workforce-vf.pdf</t>
        </is>
      </c>
      <c r="K250" s="210" t="n"/>
      <c r="L250" s="210" t="n"/>
      <c r="M250" s="209" t="n"/>
      <c r="N250" s="16" t="inlineStr">
        <is>
          <t>Primary</t>
        </is>
      </c>
    </row>
    <row r="251" ht="41" customHeight="1">
      <c r="A251" s="13" t="inlineStr">
        <is>
          <t>S59</t>
        </is>
      </c>
      <c r="B251" s="16" t="inlineStr">
        <is>
          <t>Deloitte — Human Capital Trends 2023, skills-based model</t>
        </is>
      </c>
      <c r="C251" s="210" t="n"/>
      <c r="D251" s="209" t="n"/>
      <c r="E251" s="16" t="inlineStr">
        <is>
          <t>Organisations moving to deploy and promote on skills rather than tenure or job history</t>
        </is>
      </c>
      <c r="F251" s="210" t="n"/>
      <c r="G251" s="210" t="n"/>
      <c r="H251" s="210" t="n"/>
      <c r="I251" s="209" t="n"/>
      <c r="J251" s="16" t="inlineStr">
        <is>
          <t>https://www.deloitte.com/us/en/insights/topics/talent/human-capital-trends/2023/skills-based-model-end-of-jobs.html</t>
        </is>
      </c>
      <c r="K251" s="210" t="n"/>
      <c r="L251" s="210" t="n"/>
      <c r="M251" s="209" t="n"/>
      <c r="N251" s="16" t="inlineStr">
        <is>
          <t>Primary</t>
        </is>
      </c>
    </row>
    <row r="252" ht="41" customHeight="1">
      <c r="A252" s="13" t="inlineStr">
        <is>
          <t>S60</t>
        </is>
      </c>
      <c r="B252" s="16" t="inlineStr">
        <is>
          <t>World Economic Forum — Skills-first: 6 success factors, 2024</t>
        </is>
      </c>
      <c r="C252" s="210" t="n"/>
      <c r="D252" s="209" t="n"/>
      <c r="E252" s="16" t="inlineStr">
        <is>
          <t>Rethink education and previous experience as proxies for ability</t>
        </is>
      </c>
      <c r="F252" s="210" t="n"/>
      <c r="G252" s="210" t="n"/>
      <c r="H252" s="210" t="n"/>
      <c r="I252" s="209" t="n"/>
      <c r="J252" s="16" t="inlineStr">
        <is>
          <t>https://www.weforum.org/stories/2024/01/skills-first-6-success-factors-recruiting-developing-talent/</t>
        </is>
      </c>
      <c r="K252" s="210" t="n"/>
      <c r="L252" s="210" t="n"/>
      <c r="M252" s="209" t="n"/>
      <c r="N252" s="16" t="inlineStr">
        <is>
          <t>Secondary</t>
        </is>
      </c>
    </row>
    <row r="253" ht="41" customHeight="1">
      <c r="A253" s="13" t="inlineStr">
        <is>
          <t>S61</t>
        </is>
      </c>
      <c r="B253" s="16" t="inlineStr">
        <is>
          <t>EY Future of Pay via People Matters — India's 2026 salary increases to reward skills over seniority</t>
        </is>
      </c>
      <c r="C253" s="210" t="n"/>
      <c r="D253" s="209" t="n"/>
      <c r="E253" s="16" t="inlineStr">
        <is>
          <t>India pay moving away from tenure-based increases towards skills-led, performance-driven frameworks</t>
        </is>
      </c>
      <c r="F253" s="210" t="n"/>
      <c r="G253" s="210" t="n"/>
      <c r="H253" s="210" t="n"/>
      <c r="I253" s="209" t="n"/>
      <c r="J253" s="16" t="inlineStr">
        <is>
          <t>https://www.peoplematters.in/news/compensation-benefits/indias-2026-salary-increases-to-reward-skills-over-seniority-ey-48541</t>
        </is>
      </c>
      <c r="K253" s="210" t="n"/>
      <c r="L253" s="210" t="n"/>
      <c r="M253" s="209" t="n"/>
      <c r="N253" s="16" t="inlineStr">
        <is>
          <t>Secondary</t>
        </is>
      </c>
    </row>
    <row r="254" ht="41" customHeight="1">
      <c r="A254" s="13" t="inlineStr">
        <is>
          <t>S62</t>
        </is>
      </c>
      <c r="B254" s="16" t="inlineStr">
        <is>
          <t>WTW — Building resilient career ecosystems, India 2023</t>
        </is>
      </c>
      <c r="C254" s="210" t="n"/>
      <c r="D254" s="209" t="n"/>
      <c r="E254" s="16" t="inlineStr">
        <is>
          <t>WTW's view of career architecture design in India; complements the WTW GGS factors in S07</t>
        </is>
      </c>
      <c r="F254" s="210" t="n"/>
      <c r="G254" s="210" t="n"/>
      <c r="H254" s="210" t="n"/>
      <c r="I254" s="209" t="n"/>
      <c r="J254" s="16" t="inlineStr">
        <is>
          <t>https://www.wtwco.com/en-in/insights/2023/09/building-resilient-career-ecosystems-with-robust-career-strategy-and-design</t>
        </is>
      </c>
      <c r="K254" s="210" t="n"/>
      <c r="L254" s="210" t="n"/>
      <c r="M254" s="209" t="n"/>
      <c r="N254" s="16" t="inlineStr">
        <is>
          <t>Secondary</t>
        </is>
      </c>
    </row>
    <row r="255" ht="28" customHeight="1">
      <c r="A255" s="13" t="inlineStr">
        <is>
          <t>S63</t>
        </is>
      </c>
      <c r="B255" s="16" t="inlineStr">
        <is>
          <t>iPleaders — Director under the Companies Act 2013</t>
        </is>
      </c>
      <c r="C255" s="210" t="n"/>
      <c r="D255" s="209" t="n"/>
      <c r="E255" s="16" t="inlineStr">
        <is>
          <r>
            <rPr>
              <rFont val="Calibri"/>
              <b val="1"/>
              <sz val="10"/>
            </rPr>
            <t>Section 2, clause 34:</t>
          </r>
          <r>
            <rPr>
              <rFont val="Calibri"/>
              <sz val="10"/>
            </rPr>
            <t xml:space="preserve"> 'director' means a director appointed to the Board — the reason IRIS uses no 'Director' title</t>
          </r>
        </is>
      </c>
      <c r="F255" s="210" t="n"/>
      <c r="G255" s="210" t="n"/>
      <c r="H255" s="210" t="n"/>
      <c r="I255" s="209" t="n"/>
      <c r="J255" s="16" t="inlineStr">
        <is>
          <t>https://blog.ipleaders.in/director-companies-act-2013/</t>
        </is>
      </c>
      <c r="K255" s="210" t="n"/>
      <c r="L255" s="210" t="n"/>
      <c r="M255" s="209" t="n"/>
      <c r="N255" s="16" t="inlineStr">
        <is>
          <t>Primary</t>
        </is>
      </c>
    </row>
    <row r="256" ht="41" customHeight="1">
      <c r="A256" s="13" t="inlineStr">
        <is>
          <t>S64</t>
        </is>
      </c>
      <c r="B256" s="16" t="inlineStr">
        <is>
          <t>Kaanoon — 'Director' as an HR designation but not under the Companies Act</t>
        </is>
      </c>
      <c r="C256" s="210" t="n"/>
      <c r="D256" s="209" t="n"/>
      <c r="E256" s="16" t="inlineStr">
        <is>
          <t>Practitioner view that a 'Director' designation for non-board staff causes confusion and disclosure risk</t>
        </is>
      </c>
      <c r="F256" s="210" t="n"/>
      <c r="G256" s="210" t="n"/>
      <c r="H256" s="210" t="n"/>
      <c r="I256" s="209" t="n"/>
      <c r="J256" s="16" t="inlineStr">
        <is>
          <t>https://www.kaanoon.com/241487/designation-with-word-director-as-per-hr-policy-but-not-as-per-companies-act</t>
        </is>
      </c>
      <c r="K256" s="210" t="n"/>
      <c r="L256" s="210" t="n"/>
      <c r="M256" s="209" t="n"/>
      <c r="N256" s="16" t="inlineStr">
        <is>
          <t>Secondary</t>
        </is>
      </c>
    </row>
    <row r="257" ht="28" customHeight="1">
      <c r="A257" s="13" t="inlineStr">
        <is>
          <t>S65</t>
        </is>
      </c>
      <c r="B257" s="16" t="inlineStr">
        <is>
          <t>Wipro — Distinguished Member of Technical Staff</t>
        </is>
      </c>
      <c r="C257" s="210" t="n"/>
      <c r="D257" s="209" t="n"/>
      <c r="E257" s="16" t="inlineStr">
        <is>
          <t>Indian example of the 'Distinguished' top-specialist title — Option B for the D1 title</t>
        </is>
      </c>
      <c r="F257" s="210" t="n"/>
      <c r="G257" s="210" t="n"/>
      <c r="H257" s="210" t="n"/>
      <c r="I257" s="209" t="n"/>
      <c r="J257" s="16" t="inlineStr">
        <is>
          <t>https://www.wipro.com/innovation/distinguished-member-of-technical-staff/</t>
        </is>
      </c>
      <c r="K257" s="210" t="n"/>
      <c r="L257" s="210" t="n"/>
      <c r="M257" s="209" t="n"/>
      <c r="N257" s="16" t="inlineStr">
        <is>
          <t>Primary</t>
        </is>
      </c>
    </row>
    <row r="258" ht="28" customHeight="1">
      <c r="A258" s="13" t="inlineStr">
        <is>
          <t>S66</t>
        </is>
      </c>
      <c r="B258" s="16" t="inlineStr">
        <is>
          <t>Salesforce engineering levels — AMTS to Distinguished Engineer</t>
        </is>
      </c>
      <c r="C258" s="210" t="n"/>
      <c r="D258" s="209" t="n"/>
      <c r="E258" s="16" t="inlineStr">
        <is>
          <t>Global SaaS example of the top-specialist title above Principal Architect</t>
        </is>
      </c>
      <c r="F258" s="210" t="n"/>
      <c r="G258" s="210" t="n"/>
      <c r="H258" s="210" t="n"/>
      <c r="I258" s="209" t="n"/>
      <c r="J258" s="16" t="inlineStr">
        <is>
          <t>https://www.designgurus.io/blog/salesforce-software-engineer-levels</t>
        </is>
      </c>
      <c r="K258" s="210" t="n"/>
      <c r="L258" s="210" t="n"/>
      <c r="M258" s="209" t="n"/>
      <c r="N258" s="16" t="inlineStr">
        <is>
          <t>Secondary</t>
        </is>
      </c>
    </row>
    <row r="259" ht="28" customHeight="1">
      <c r="A259" s="13" t="inlineStr">
        <is>
          <t>S67</t>
        </is>
      </c>
      <c r="B259" s="16" t="inlineStr">
        <is>
          <t>LeadDev — Who are staff, principal and distinguished engineers</t>
        </is>
      </c>
      <c r="C259" s="210" t="n"/>
      <c r="D259" s="209" t="n"/>
      <c r="E259" s="16" t="inlineStr">
        <is>
          <t>How Principal, Distinguished and Fellow tiers are used and how rare they are</t>
        </is>
      </c>
      <c r="F259" s="210" t="n"/>
      <c r="G259" s="210" t="n"/>
      <c r="H259" s="210" t="n"/>
      <c r="I259" s="209" t="n"/>
      <c r="J259" s="16" t="inlineStr">
        <is>
          <t>https://leaddev.com/career-ladders/who-are-staff-principal-and-distinguished-engineers</t>
        </is>
      </c>
      <c r="K259" s="210" t="n"/>
      <c r="L259" s="210" t="n"/>
      <c r="M259" s="209" t="n"/>
      <c r="N259" s="16" t="inlineStr">
        <is>
          <t>Secondary</t>
        </is>
      </c>
    </row>
    <row r="260" ht="28" customHeight="1">
      <c r="A260" s="13" t="inlineStr">
        <is>
          <t>S68</t>
        </is>
      </c>
      <c r="B260" s="16" t="inlineStr">
        <is>
          <t>Dropbox — engineering career framework</t>
        </is>
      </c>
      <c r="C260" s="210" t="n"/>
      <c r="D260" s="209" t="n"/>
      <c r="E260" s="16" t="inlineStr">
        <is>
          <t>Published IC ladder with top-specialist tiers and their scope</t>
        </is>
      </c>
      <c r="F260" s="210" t="n"/>
      <c r="G260" s="210" t="n"/>
      <c r="H260" s="210" t="n"/>
      <c r="I260" s="209" t="n"/>
      <c r="J260" s="16" t="inlineStr">
        <is>
          <t>https://dropbox.tech/culture/our-updated-engineering-career-framework</t>
        </is>
      </c>
      <c r="K260" s="210" t="n"/>
      <c r="L260" s="210" t="n"/>
      <c r="M260" s="209" t="n"/>
      <c r="N260" s="16" t="inlineStr">
        <is>
          <t>Secondary</t>
        </is>
      </c>
    </row>
    <row r="261" ht="41" customHeight="1">
      <c r="A261" s="13" t="inlineStr">
        <is>
          <t>S69</t>
        </is>
      </c>
      <c r="B261" s="16" t="inlineStr">
        <is>
          <t>Square — growth framework for engineers and engineering managers</t>
        </is>
      </c>
      <c r="C261" s="210" t="n"/>
      <c r="D261" s="209" t="n"/>
      <c r="E261" s="16" t="inlineStr">
        <is>
          <t>Published IC and manager ladders side by side</t>
        </is>
      </c>
      <c r="F261" s="210" t="n"/>
      <c r="G261" s="210" t="n"/>
      <c r="H261" s="210" t="n"/>
      <c r="I261" s="209" t="n"/>
      <c r="J261" s="16" t="inlineStr">
        <is>
          <t>https://developer.squareup.com/blog/squares-growth-framework-for-engineers-and-engineering-managers/</t>
        </is>
      </c>
      <c r="K261" s="210" t="n"/>
      <c r="L261" s="210" t="n"/>
      <c r="M261" s="209" t="n"/>
      <c r="N261" s="16" t="inlineStr">
        <is>
          <t>Secondary</t>
        </is>
      </c>
    </row>
    <row r="262" ht="41" customHeight="1">
      <c r="A262" s="13" t="inlineStr">
        <is>
          <t>S70</t>
        </is>
      </c>
      <c r="B262" s="16" t="inlineStr">
        <is>
          <t>Carta and Pave — job levelling frameworks</t>
        </is>
      </c>
      <c r="C262" s="210" t="n"/>
      <c r="D262" s="209" t="n"/>
      <c r="E262" s="16" t="inlineStr">
        <is>
          <t>Market levelling guides used to check the level count and the IC ↔ manager pairing</t>
        </is>
      </c>
      <c r="F262" s="210" t="n"/>
      <c r="G262" s="210" t="n"/>
      <c r="H262" s="210" t="n"/>
      <c r="I262" s="209" t="n"/>
      <c r="J262" s="16" t="inlineStr">
        <is>
          <t>https://carta.com/learn/startups/compensation/job-leveling/ ; https://pave.com/blog-posts/job-leveling-framework</t>
        </is>
      </c>
      <c r="K262" s="210" t="n"/>
      <c r="L262" s="210" t="n"/>
      <c r="M262" s="209" t="n"/>
      <c r="N262" s="16" t="inlineStr">
        <is>
          <t>Secondary</t>
        </is>
      </c>
    </row>
    <row r="263" ht="28" customHeight="1">
      <c r="A263" s="13" t="inlineStr">
        <is>
          <t>S71</t>
        </is>
      </c>
      <c r="B263" s="16" t="inlineStr">
        <is>
          <t>Figures — Figures levels</t>
        </is>
      </c>
      <c r="C263" s="210" t="n"/>
      <c r="D263" s="209" t="n"/>
      <c r="E263" s="16" t="inlineStr">
        <is>
          <t>Second levelling crosswalk alongside the Mercer levels in S03</t>
        </is>
      </c>
      <c r="F263" s="210" t="n"/>
      <c r="G263" s="210" t="n"/>
      <c r="H263" s="210" t="n"/>
      <c r="I263" s="209" t="n"/>
      <c r="J263" s="16" t="inlineStr">
        <is>
          <t>https://help.figures.hr/en/articles/389317-figures-levels</t>
        </is>
      </c>
      <c r="K263" s="210" t="n"/>
      <c r="L263" s="210" t="n"/>
      <c r="M263" s="209" t="n"/>
      <c r="N263" s="16" t="inlineStr">
        <is>
          <t>Secondary</t>
        </is>
      </c>
    </row>
    <row r="264" ht="28" customHeight="1">
      <c r="A264" s="13" t="inlineStr">
        <is>
          <t>S72</t>
        </is>
      </c>
      <c r="B264" s="16" t="inlineStr">
        <is>
          <t>PayScale India — Chief Architect, IT</t>
        </is>
      </c>
      <c r="C264" s="210" t="n"/>
      <c r="D264" s="209" t="n"/>
      <c r="E264" s="16" t="inlineStr">
        <is>
          <t>Shows Chief Architect, IT tracked as an experienced and late-career role in India — Option A for the D1 title</t>
        </is>
      </c>
      <c r="F264" s="210" t="n"/>
      <c r="G264" s="210" t="n"/>
      <c r="H264" s="210" t="n"/>
      <c r="I264" s="209" t="n"/>
      <c r="J264" s="16" t="inlineStr">
        <is>
          <t>https://www.payscale.com/research/IN/Job=Chief_Architect%2C_IT/Skill-Experience</t>
        </is>
      </c>
      <c r="K264" s="210" t="n"/>
      <c r="L264" s="210" t="n"/>
      <c r="M264" s="209" t="n"/>
      <c r="N264" s="16" t="inlineStr">
        <is>
          <t>Indicative</t>
        </is>
      </c>
    </row>
    <row r="265" ht="28" customHeight="1">
      <c r="A265" s="13" t="inlineStr">
        <is>
          <t>S40</t>
        </is>
      </c>
      <c r="B265" s="16" t="inlineStr">
        <is>
          <t>Employee Master_New_23092026 and Employee Master_OLD</t>
        </is>
      </c>
      <c r="C265" s="210" t="n"/>
      <c r="D265" s="209" t="n"/>
      <c r="E265" s="16" t="inlineStr">
        <is>
          <t>Roster, department, manager, experience, qualification, category</t>
        </is>
      </c>
      <c r="F265" s="210" t="n"/>
      <c r="G265" s="210" t="n"/>
      <c r="H265" s="210" t="n"/>
      <c r="I265" s="209" t="n"/>
      <c r="J265" s="16" t="inlineStr">
        <is>
          <t>Internal</t>
        </is>
      </c>
      <c r="K265" s="210" t="n"/>
      <c r="L265" s="210" t="n"/>
      <c r="M265" s="209" t="n"/>
      <c r="N265" s="16" t="inlineStr">
        <is>
          <t>Internal</t>
        </is>
      </c>
    </row>
    <row r="266" ht="28" customHeight="1">
      <c r="A266" s="13" t="inlineStr">
        <is>
          <t>S41</t>
        </is>
      </c>
      <c r="B266" s="16" t="inlineStr">
        <is>
          <t>How We Grow survey · 521 responses</t>
        </is>
      </c>
      <c r="C266" s="210" t="n"/>
      <c r="D266" s="209" t="n"/>
      <c r="E266" s="16" t="inlineStr">
        <is>
          <t>Purpose, deliverables, accountability, decision rights, skills, tools, learning needs</t>
        </is>
      </c>
      <c r="F266" s="210" t="n"/>
      <c r="G266" s="210" t="n"/>
      <c r="H266" s="210" t="n"/>
      <c r="I266" s="209" t="n"/>
      <c r="J266" s="16" t="inlineStr">
        <is>
          <t>Internal</t>
        </is>
      </c>
      <c r="K266" s="210" t="n"/>
      <c r="L266" s="210" t="n"/>
      <c r="M266" s="209" t="n"/>
      <c r="N266" s="16" t="inlineStr">
        <is>
          <t>Internal</t>
        </is>
      </c>
    </row>
    <row r="267" ht="28" customHeight="1">
      <c r="A267" s="13" t="inlineStr">
        <is>
          <t>S42</t>
        </is>
      </c>
      <c r="B267" s="16" t="inlineStr">
        <is>
          <t>Manager talent-mapping files</t>
        </is>
      </c>
      <c r="C267" s="210" t="n"/>
      <c r="D267" s="209" t="n"/>
      <c r="E267" s="16" t="inlineStr">
        <is>
          <t>KRAs, rating, potential, readiness, 9-box, manager training need</t>
        </is>
      </c>
      <c r="F267" s="210" t="n"/>
      <c r="G267" s="210" t="n"/>
      <c r="H267" s="210" t="n"/>
      <c r="I267" s="209" t="n"/>
      <c r="J267" s="16" t="inlineStr">
        <is>
          <t>Internal</t>
        </is>
      </c>
      <c r="K267" s="210" t="n"/>
      <c r="L267" s="210" t="n"/>
      <c r="M267" s="209" t="n"/>
      <c r="N267" s="16" t="inlineStr">
        <is>
          <t>Internal</t>
        </is>
      </c>
    </row>
    <row r="268" ht="28" customHeight="1">
      <c r="A268" s="13" t="inlineStr">
        <is>
          <t>S43</t>
        </is>
      </c>
      <c r="B268" s="16" t="inlineStr">
        <is>
          <t>IRIS talent-mapping workbooks v1 and v2</t>
        </is>
      </c>
      <c r="C268" s="210" t="n"/>
      <c r="D268" s="209" t="n"/>
      <c r="E268" s="16" t="inlineStr">
        <is>
          <t>Factor ratings, competency ratings, duplication and mobility analysis</t>
        </is>
      </c>
      <c r="F268" s="210" t="n"/>
      <c r="G268" s="210" t="n"/>
      <c r="H268" s="210" t="n"/>
      <c r="I268" s="209" t="n"/>
      <c r="J268" s="16" t="inlineStr">
        <is>
          <t>Internal</t>
        </is>
      </c>
      <c r="K268" s="210" t="n"/>
      <c r="L268" s="210" t="n"/>
      <c r="M268" s="209" t="n"/>
      <c r="N268" s="16" t="inlineStr">
        <is>
          <t>Internal</t>
        </is>
      </c>
    </row>
  </sheetData>
  <mergeCells count="726">
    <mergeCell ref="D60:E60"/>
    <mergeCell ref="B231:D231"/>
    <mergeCell ref="J151:L151"/>
    <mergeCell ref="E248:I248"/>
    <mergeCell ref="A178:B178"/>
    <mergeCell ref="J59:K59"/>
    <mergeCell ref="K191:N191"/>
    <mergeCell ref="A181:C181"/>
    <mergeCell ref="F111:H111"/>
    <mergeCell ref="C173:D173"/>
    <mergeCell ref="M99:N99"/>
    <mergeCell ref="A137:N137"/>
    <mergeCell ref="A37:N37"/>
    <mergeCell ref="B241:D241"/>
    <mergeCell ref="I182:N182"/>
    <mergeCell ref="D75:H75"/>
    <mergeCell ref="B213:D213"/>
    <mergeCell ref="E226:I226"/>
    <mergeCell ref="E201:I201"/>
    <mergeCell ref="A139:N139"/>
    <mergeCell ref="D181:H181"/>
    <mergeCell ref="B21:E21"/>
    <mergeCell ref="J241:M241"/>
    <mergeCell ref="B242:D242"/>
    <mergeCell ref="E228:I228"/>
    <mergeCell ref="J216:M216"/>
    <mergeCell ref="B23:E23"/>
    <mergeCell ref="H87:I87"/>
    <mergeCell ref="I193:J193"/>
    <mergeCell ref="B208:D208"/>
    <mergeCell ref="H62:I62"/>
    <mergeCell ref="E243:I243"/>
    <mergeCell ref="J62:K62"/>
    <mergeCell ref="A195:D195"/>
    <mergeCell ref="E53:F53"/>
    <mergeCell ref="J218:M218"/>
    <mergeCell ref="B219:D219"/>
    <mergeCell ref="B210:D210"/>
    <mergeCell ref="A130:E130"/>
    <mergeCell ref="E223:I223"/>
    <mergeCell ref="F13:I13"/>
    <mergeCell ref="J64:K64"/>
    <mergeCell ref="A188:D188"/>
    <mergeCell ref="E55:F55"/>
    <mergeCell ref="F114:H114"/>
    <mergeCell ref="F35:H35"/>
    <mergeCell ref="A132:E132"/>
    <mergeCell ref="A190:D190"/>
    <mergeCell ref="E48:F48"/>
    <mergeCell ref="E254:I254"/>
    <mergeCell ref="A153:B153"/>
    <mergeCell ref="A69:N69"/>
    <mergeCell ref="D124:E124"/>
    <mergeCell ref="B16:E16"/>
    <mergeCell ref="J244:M244"/>
    <mergeCell ref="A133:E133"/>
    <mergeCell ref="B201:D201"/>
    <mergeCell ref="B239:D239"/>
    <mergeCell ref="D66:E66"/>
    <mergeCell ref="G51:I51"/>
    <mergeCell ref="F66:G66"/>
    <mergeCell ref="D126:E126"/>
    <mergeCell ref="F117:H117"/>
    <mergeCell ref="B18:E18"/>
    <mergeCell ref="M105:N105"/>
    <mergeCell ref="E241:I241"/>
    <mergeCell ref="B203:D203"/>
    <mergeCell ref="J229:M229"/>
    <mergeCell ref="A58:C58"/>
    <mergeCell ref="J16:N16"/>
    <mergeCell ref="B11:E11"/>
    <mergeCell ref="B84:C84"/>
    <mergeCell ref="F119:H119"/>
    <mergeCell ref="E170:H170"/>
    <mergeCell ref="M101:N101"/>
    <mergeCell ref="B232:D232"/>
    <mergeCell ref="F61:G61"/>
    <mergeCell ref="A60:C60"/>
    <mergeCell ref="F112:H112"/>
    <mergeCell ref="C174:D174"/>
    <mergeCell ref="B215:D215"/>
    <mergeCell ref="B80:C80"/>
    <mergeCell ref="A38:N38"/>
    <mergeCell ref="I183:N183"/>
    <mergeCell ref="F127:H127"/>
    <mergeCell ref="B263:D263"/>
    <mergeCell ref="B79:C79"/>
    <mergeCell ref="E189:F189"/>
    <mergeCell ref="D79:E79"/>
    <mergeCell ref="B244:D244"/>
    <mergeCell ref="I196:J196"/>
    <mergeCell ref="I185:N185"/>
    <mergeCell ref="E267:I267"/>
    <mergeCell ref="B229:D229"/>
    <mergeCell ref="J255:M255"/>
    <mergeCell ref="B81:C81"/>
    <mergeCell ref="B6:E6"/>
    <mergeCell ref="D81:E81"/>
    <mergeCell ref="B258:D258"/>
    <mergeCell ref="E244:I244"/>
    <mergeCell ref="B245:D245"/>
    <mergeCell ref="J232:M232"/>
    <mergeCell ref="E231:I231"/>
    <mergeCell ref="J219:M219"/>
    <mergeCell ref="J6:N6"/>
    <mergeCell ref="B260:D260"/>
    <mergeCell ref="I166:K166"/>
    <mergeCell ref="C44:D44"/>
    <mergeCell ref="J65:K65"/>
    <mergeCell ref="K189:N189"/>
    <mergeCell ref="E245:I245"/>
    <mergeCell ref="L58:M58"/>
    <mergeCell ref="M95:N95"/>
    <mergeCell ref="K188:N188"/>
    <mergeCell ref="D71:H71"/>
    <mergeCell ref="B99:L99"/>
    <mergeCell ref="A135:E135"/>
    <mergeCell ref="L60:M60"/>
    <mergeCell ref="A193:D193"/>
    <mergeCell ref="M97:N97"/>
    <mergeCell ref="B17:E17"/>
    <mergeCell ref="D117:E117"/>
    <mergeCell ref="I191:J191"/>
    <mergeCell ref="I77:N77"/>
    <mergeCell ref="J250:M250"/>
    <mergeCell ref="D73:H73"/>
    <mergeCell ref="A156:B156"/>
    <mergeCell ref="A28:E28"/>
    <mergeCell ref="D67:E67"/>
    <mergeCell ref="B76:C76"/>
    <mergeCell ref="J237:M237"/>
    <mergeCell ref="B238:D238"/>
    <mergeCell ref="E199:I199"/>
    <mergeCell ref="E255:I255"/>
    <mergeCell ref="J18:N18"/>
    <mergeCell ref="B19:E19"/>
    <mergeCell ref="E242:I242"/>
    <mergeCell ref="B94:L94"/>
    <mergeCell ref="C49:D49"/>
    <mergeCell ref="A30:E30"/>
    <mergeCell ref="J239:M239"/>
    <mergeCell ref="J17:N17"/>
    <mergeCell ref="L166:N166"/>
    <mergeCell ref="I192:J192"/>
    <mergeCell ref="B240:D240"/>
    <mergeCell ref="E263:I263"/>
    <mergeCell ref="E195:F195"/>
    <mergeCell ref="C42:D42"/>
    <mergeCell ref="E42:F42"/>
    <mergeCell ref="J19:N19"/>
    <mergeCell ref="B20:E20"/>
    <mergeCell ref="E188:F188"/>
    <mergeCell ref="F122:H122"/>
    <mergeCell ref="F14:I14"/>
    <mergeCell ref="F28:H28"/>
    <mergeCell ref="J263:M263"/>
    <mergeCell ref="H64:I64"/>
    <mergeCell ref="E190:F190"/>
    <mergeCell ref="G154:I154"/>
    <mergeCell ref="C55:D55"/>
    <mergeCell ref="G190:H190"/>
    <mergeCell ref="A90:N90"/>
    <mergeCell ref="J55:K55"/>
    <mergeCell ref="A27:E27"/>
    <mergeCell ref="B266:D266"/>
    <mergeCell ref="E252:I252"/>
    <mergeCell ref="B87:C87"/>
    <mergeCell ref="D87:E87"/>
    <mergeCell ref="A151:B151"/>
    <mergeCell ref="D122:E122"/>
    <mergeCell ref="B268:D268"/>
    <mergeCell ref="B224:D224"/>
    <mergeCell ref="C52:D52"/>
    <mergeCell ref="C39:D39"/>
    <mergeCell ref="F67:G67"/>
    <mergeCell ref="B261:D261"/>
    <mergeCell ref="G151:I151"/>
    <mergeCell ref="D82:E82"/>
    <mergeCell ref="A152:B152"/>
    <mergeCell ref="F82:G82"/>
    <mergeCell ref="M103:N103"/>
    <mergeCell ref="K190:N190"/>
    <mergeCell ref="G173:N173"/>
    <mergeCell ref="E238:I238"/>
    <mergeCell ref="E47:F47"/>
    <mergeCell ref="M96:N96"/>
    <mergeCell ref="B100:L100"/>
    <mergeCell ref="I75:N75"/>
    <mergeCell ref="F110:H110"/>
    <mergeCell ref="C153:F153"/>
    <mergeCell ref="C159:F159"/>
    <mergeCell ref="B250:D250"/>
    <mergeCell ref="L66:M66"/>
    <mergeCell ref="M98:N98"/>
    <mergeCell ref="J251:M251"/>
    <mergeCell ref="B102:L102"/>
    <mergeCell ref="C161:F161"/>
    <mergeCell ref="B77:C77"/>
    <mergeCell ref="J238:M238"/>
    <mergeCell ref="E200:I200"/>
    <mergeCell ref="K193:N193"/>
    <mergeCell ref="B230:D230"/>
    <mergeCell ref="L168:N168"/>
    <mergeCell ref="I194:J194"/>
    <mergeCell ref="E265:I265"/>
    <mergeCell ref="J253:M253"/>
    <mergeCell ref="B254:D254"/>
    <mergeCell ref="D76:H76"/>
    <mergeCell ref="C50:D50"/>
    <mergeCell ref="J240:M240"/>
    <mergeCell ref="L167:N167"/>
    <mergeCell ref="A184:C184"/>
    <mergeCell ref="E202:I202"/>
    <mergeCell ref="B22:E22"/>
    <mergeCell ref="B256:D256"/>
    <mergeCell ref="J20:N20"/>
    <mergeCell ref="L169:N169"/>
    <mergeCell ref="E266:I266"/>
    <mergeCell ref="E260:I260"/>
    <mergeCell ref="F15:I15"/>
    <mergeCell ref="J22:N22"/>
    <mergeCell ref="H65:I65"/>
    <mergeCell ref="G155:I155"/>
    <mergeCell ref="E196:F196"/>
    <mergeCell ref="A91:N91"/>
    <mergeCell ref="D113:E113"/>
    <mergeCell ref="A180:N180"/>
    <mergeCell ref="J266:M266"/>
    <mergeCell ref="E193:F193"/>
    <mergeCell ref="G157:I157"/>
    <mergeCell ref="G193:H193"/>
    <mergeCell ref="D88:E88"/>
    <mergeCell ref="A93:N93"/>
    <mergeCell ref="F88:G88"/>
    <mergeCell ref="B259:D259"/>
    <mergeCell ref="J208:M208"/>
    <mergeCell ref="D115:E115"/>
    <mergeCell ref="A66:C66"/>
    <mergeCell ref="B225:D225"/>
    <mergeCell ref="E213:I213"/>
    <mergeCell ref="C45:D45"/>
    <mergeCell ref="J201:M201"/>
    <mergeCell ref="J13:N13"/>
    <mergeCell ref="I165:K165"/>
    <mergeCell ref="B267:D267"/>
    <mergeCell ref="G152:I152"/>
    <mergeCell ref="F83:G83"/>
    <mergeCell ref="H83:I83"/>
    <mergeCell ref="E215:I215"/>
    <mergeCell ref="J228:M228"/>
    <mergeCell ref="C47:D47"/>
    <mergeCell ref="J203:M203"/>
    <mergeCell ref="J15:N15"/>
    <mergeCell ref="G174:N174"/>
    <mergeCell ref="J49:K49"/>
    <mergeCell ref="F85:G85"/>
    <mergeCell ref="C40:D40"/>
    <mergeCell ref="H85:I85"/>
    <mergeCell ref="E40:F40"/>
    <mergeCell ref="J259:M259"/>
    <mergeCell ref="G54:I54"/>
    <mergeCell ref="B251:D251"/>
    <mergeCell ref="G41:I41"/>
    <mergeCell ref="B216:D216"/>
    <mergeCell ref="B103:L103"/>
    <mergeCell ref="J261:M261"/>
    <mergeCell ref="H80:I80"/>
    <mergeCell ref="G43:I43"/>
    <mergeCell ref="D118:E118"/>
    <mergeCell ref="B218:D218"/>
    <mergeCell ref="J254:M254"/>
    <mergeCell ref="A165:B165"/>
    <mergeCell ref="B264:D264"/>
    <mergeCell ref="E268:I268"/>
    <mergeCell ref="J256:M256"/>
    <mergeCell ref="A173:B173"/>
    <mergeCell ref="C53:D53"/>
    <mergeCell ref="A166:B166"/>
    <mergeCell ref="D63:E63"/>
    <mergeCell ref="E203:I203"/>
    <mergeCell ref="H58:I58"/>
    <mergeCell ref="B71:C71"/>
    <mergeCell ref="A168:B168"/>
    <mergeCell ref="C155:F155"/>
    <mergeCell ref="G176:N176"/>
    <mergeCell ref="I33:N33"/>
    <mergeCell ref="B211:D211"/>
    <mergeCell ref="A172:N172"/>
    <mergeCell ref="H60:I60"/>
    <mergeCell ref="A25:N25"/>
    <mergeCell ref="C157:F157"/>
    <mergeCell ref="E221:I221"/>
    <mergeCell ref="C151:F151"/>
    <mergeCell ref="J209:M209"/>
    <mergeCell ref="D116:E116"/>
    <mergeCell ref="I35:N35"/>
    <mergeCell ref="C46:D46"/>
    <mergeCell ref="A198:N198"/>
    <mergeCell ref="G44:I44"/>
    <mergeCell ref="E46:F46"/>
    <mergeCell ref="F7:I7"/>
    <mergeCell ref="J211:M211"/>
    <mergeCell ref="B212:D212"/>
    <mergeCell ref="A2:N2"/>
    <mergeCell ref="B206:D206"/>
    <mergeCell ref="G158:I158"/>
    <mergeCell ref="H84:I84"/>
    <mergeCell ref="C152:F152"/>
    <mergeCell ref="D184:H184"/>
    <mergeCell ref="E216:I216"/>
    <mergeCell ref="C48:D48"/>
    <mergeCell ref="I30:N30"/>
    <mergeCell ref="I168:K168"/>
    <mergeCell ref="A182:C182"/>
    <mergeCell ref="F34:H34"/>
    <mergeCell ref="J50:K50"/>
    <mergeCell ref="E54:F54"/>
    <mergeCell ref="H86:I86"/>
    <mergeCell ref="F8:I8"/>
    <mergeCell ref="E218:I218"/>
    <mergeCell ref="E41:F41"/>
    <mergeCell ref="J206:M206"/>
    <mergeCell ref="J42:K42"/>
    <mergeCell ref="F30:H30"/>
    <mergeCell ref="J52:K52"/>
    <mergeCell ref="J152:L152"/>
    <mergeCell ref="J39:K39"/>
    <mergeCell ref="E43:F43"/>
    <mergeCell ref="B9:E9"/>
    <mergeCell ref="J44:K44"/>
    <mergeCell ref="D119:E119"/>
    <mergeCell ref="G49:I49"/>
    <mergeCell ref="D111:E111"/>
    <mergeCell ref="J264:M264"/>
    <mergeCell ref="E234:I234"/>
    <mergeCell ref="F125:H125"/>
    <mergeCell ref="J9:N9"/>
    <mergeCell ref="A174:B174"/>
    <mergeCell ref="E236:I236"/>
    <mergeCell ref="M94:N94"/>
    <mergeCell ref="J224:M224"/>
    <mergeCell ref="J199:M199"/>
    <mergeCell ref="E229:I229"/>
    <mergeCell ref="B73:C73"/>
    <mergeCell ref="E165:H165"/>
    <mergeCell ref="G196:H196"/>
    <mergeCell ref="F120:H120"/>
    <mergeCell ref="A33:E33"/>
    <mergeCell ref="J63:K63"/>
    <mergeCell ref="L63:M63"/>
    <mergeCell ref="F21:I21"/>
    <mergeCell ref="A196:D196"/>
    <mergeCell ref="B237:D237"/>
    <mergeCell ref="I34:N34"/>
    <mergeCell ref="J47:K47"/>
    <mergeCell ref="B209:D209"/>
    <mergeCell ref="B74:C74"/>
    <mergeCell ref="A35:E35"/>
    <mergeCell ref="G39:I39"/>
    <mergeCell ref="B214:D214"/>
    <mergeCell ref="D59:E59"/>
    <mergeCell ref="J212:M212"/>
    <mergeCell ref="B253:D253"/>
    <mergeCell ref="F33:H33"/>
    <mergeCell ref="J214:M214"/>
    <mergeCell ref="E219:I219"/>
    <mergeCell ref="J60:K60"/>
    <mergeCell ref="E224:I224"/>
    <mergeCell ref="E51:F51"/>
    <mergeCell ref="A185:C185"/>
    <mergeCell ref="F115:H115"/>
    <mergeCell ref="F31:H31"/>
    <mergeCell ref="C177:D177"/>
    <mergeCell ref="J53:K53"/>
    <mergeCell ref="A164:B164"/>
    <mergeCell ref="D61:E61"/>
    <mergeCell ref="F16:I16"/>
    <mergeCell ref="J158:L158"/>
    <mergeCell ref="J45:K45"/>
    <mergeCell ref="B204:D204"/>
    <mergeCell ref="J230:M230"/>
    <mergeCell ref="G50:I50"/>
    <mergeCell ref="A63:C63"/>
    <mergeCell ref="D125:E125"/>
    <mergeCell ref="J160:L160"/>
    <mergeCell ref="J11:N11"/>
    <mergeCell ref="B12:E12"/>
    <mergeCell ref="D112:E112"/>
    <mergeCell ref="A129:E129"/>
    <mergeCell ref="D62:E62"/>
    <mergeCell ref="J159:L159"/>
    <mergeCell ref="B233:D233"/>
    <mergeCell ref="J153:L153"/>
    <mergeCell ref="G52:I52"/>
    <mergeCell ref="D127:E127"/>
    <mergeCell ref="B227:D227"/>
    <mergeCell ref="E250:I250"/>
    <mergeCell ref="B14:E14"/>
    <mergeCell ref="D114:E114"/>
    <mergeCell ref="E237:I237"/>
    <mergeCell ref="A131:E131"/>
    <mergeCell ref="B199:D199"/>
    <mergeCell ref="J225:M225"/>
    <mergeCell ref="D64:E64"/>
    <mergeCell ref="E212:I212"/>
    <mergeCell ref="J12:N12"/>
    <mergeCell ref="B13:E13"/>
    <mergeCell ref="I26:N26"/>
    <mergeCell ref="E166:H166"/>
    <mergeCell ref="E239:I239"/>
    <mergeCell ref="J58:K58"/>
    <mergeCell ref="F23:I23"/>
    <mergeCell ref="J227:M227"/>
    <mergeCell ref="B228:D228"/>
    <mergeCell ref="E251:I251"/>
    <mergeCell ref="E214:I214"/>
    <mergeCell ref="A183:C183"/>
    <mergeCell ref="F113:H113"/>
    <mergeCell ref="A34:E34"/>
    <mergeCell ref="C175:D175"/>
    <mergeCell ref="E168:H168"/>
    <mergeCell ref="I181:N181"/>
    <mergeCell ref="D183:H183"/>
    <mergeCell ref="A1:N1"/>
    <mergeCell ref="I167:K167"/>
    <mergeCell ref="B217:D217"/>
    <mergeCell ref="F27:H27"/>
    <mergeCell ref="E205:I205"/>
    <mergeCell ref="G55:I55"/>
    <mergeCell ref="D185:H185"/>
    <mergeCell ref="I169:K169"/>
    <mergeCell ref="F62:G62"/>
    <mergeCell ref="J220:M220"/>
    <mergeCell ref="J7:N7"/>
    <mergeCell ref="A67:C67"/>
    <mergeCell ref="E225:I225"/>
    <mergeCell ref="G192:H192"/>
    <mergeCell ref="F116:H116"/>
    <mergeCell ref="J222:M222"/>
    <mergeCell ref="D74:H74"/>
    <mergeCell ref="I164:K164"/>
    <mergeCell ref="A29:E29"/>
    <mergeCell ref="L59:M59"/>
    <mergeCell ref="F17:I17"/>
    <mergeCell ref="A192:D192"/>
    <mergeCell ref="J46:K46"/>
    <mergeCell ref="E227:I227"/>
    <mergeCell ref="F118:H118"/>
    <mergeCell ref="B95:L95"/>
    <mergeCell ref="A31:E31"/>
    <mergeCell ref="J61:K61"/>
    <mergeCell ref="L61:M61"/>
    <mergeCell ref="J161:L161"/>
    <mergeCell ref="A194:D194"/>
    <mergeCell ref="J48:K48"/>
    <mergeCell ref="F64:G64"/>
    <mergeCell ref="B235:D235"/>
    <mergeCell ref="E258:I258"/>
    <mergeCell ref="J246:M246"/>
    <mergeCell ref="B97:L97"/>
    <mergeCell ref="B72:C72"/>
    <mergeCell ref="J233:M233"/>
    <mergeCell ref="G53:I53"/>
    <mergeCell ref="J14:N14"/>
    <mergeCell ref="B15:E15"/>
    <mergeCell ref="I189:J189"/>
    <mergeCell ref="I71:N71"/>
    <mergeCell ref="J248:M248"/>
    <mergeCell ref="B249:D249"/>
    <mergeCell ref="B243:D243"/>
    <mergeCell ref="D65:E65"/>
    <mergeCell ref="J235:M235"/>
    <mergeCell ref="I188:J188"/>
    <mergeCell ref="E259:I259"/>
    <mergeCell ref="E253:I253"/>
    <mergeCell ref="F121:H121"/>
    <mergeCell ref="E240:I240"/>
    <mergeCell ref="K196:N196"/>
    <mergeCell ref="A62:C62"/>
    <mergeCell ref="B88:C88"/>
    <mergeCell ref="C176:D176"/>
    <mergeCell ref="F10:I10"/>
    <mergeCell ref="B82:C82"/>
    <mergeCell ref="J243:M243"/>
    <mergeCell ref="C51:D51"/>
    <mergeCell ref="E191:F191"/>
    <mergeCell ref="C178:D178"/>
    <mergeCell ref="M104:N104"/>
    <mergeCell ref="A59:C59"/>
    <mergeCell ref="B83:C83"/>
    <mergeCell ref="D83:E83"/>
    <mergeCell ref="A150:N150"/>
    <mergeCell ref="M106:N106"/>
    <mergeCell ref="A61:C61"/>
    <mergeCell ref="B220:D220"/>
    <mergeCell ref="B85:C85"/>
    <mergeCell ref="B247:D247"/>
    <mergeCell ref="J234:M234"/>
    <mergeCell ref="D85:E85"/>
    <mergeCell ref="E233:I233"/>
    <mergeCell ref="E208:I208"/>
    <mergeCell ref="J221:M221"/>
    <mergeCell ref="J157:L157"/>
    <mergeCell ref="G160:I160"/>
    <mergeCell ref="J8:N8"/>
    <mergeCell ref="B262:D262"/>
    <mergeCell ref="H67:I67"/>
    <mergeCell ref="J67:K67"/>
    <mergeCell ref="J236:M236"/>
    <mergeCell ref="L67:M67"/>
    <mergeCell ref="E210:I210"/>
    <mergeCell ref="E235:I235"/>
    <mergeCell ref="F65:G65"/>
    <mergeCell ref="J223:M223"/>
    <mergeCell ref="F126:H126"/>
    <mergeCell ref="E247:I247"/>
    <mergeCell ref="J10:N10"/>
    <mergeCell ref="D80:E80"/>
    <mergeCell ref="E164:H164"/>
    <mergeCell ref="I195:J195"/>
    <mergeCell ref="A70:N70"/>
    <mergeCell ref="B96:L96"/>
    <mergeCell ref="D77:H77"/>
    <mergeCell ref="B246:D246"/>
    <mergeCell ref="L62:M62"/>
    <mergeCell ref="J247:M247"/>
    <mergeCell ref="B98:L98"/>
    <mergeCell ref="I73:N73"/>
    <mergeCell ref="A158:B158"/>
    <mergeCell ref="L64:M64"/>
    <mergeCell ref="L164:N164"/>
    <mergeCell ref="I190:J190"/>
    <mergeCell ref="E261:I261"/>
    <mergeCell ref="A163:N163"/>
    <mergeCell ref="J249:M249"/>
    <mergeCell ref="D72:H72"/>
    <mergeCell ref="A160:B160"/>
    <mergeCell ref="D58:E58"/>
    <mergeCell ref="F58:G58"/>
    <mergeCell ref="I74:N74"/>
    <mergeCell ref="A159:B159"/>
    <mergeCell ref="B252:D252"/>
    <mergeCell ref="J21:N21"/>
    <mergeCell ref="E256:I256"/>
    <mergeCell ref="F124:H124"/>
    <mergeCell ref="F60:G60"/>
    <mergeCell ref="A161:B161"/>
    <mergeCell ref="A65:C65"/>
    <mergeCell ref="J23:N23"/>
    <mergeCell ref="E264:I264"/>
    <mergeCell ref="E192:F192"/>
    <mergeCell ref="H82:I82"/>
    <mergeCell ref="I28:N28"/>
    <mergeCell ref="J267:M267"/>
    <mergeCell ref="E194:F194"/>
    <mergeCell ref="D84:E84"/>
    <mergeCell ref="G194:H194"/>
    <mergeCell ref="F84:G84"/>
    <mergeCell ref="M107:N107"/>
    <mergeCell ref="J204:M204"/>
    <mergeCell ref="B234:D234"/>
    <mergeCell ref="B86:C86"/>
    <mergeCell ref="C54:D54"/>
    <mergeCell ref="D86:E86"/>
    <mergeCell ref="E209:I209"/>
    <mergeCell ref="F86:G86"/>
    <mergeCell ref="B257:D257"/>
    <mergeCell ref="C41:D41"/>
    <mergeCell ref="F80:G80"/>
    <mergeCell ref="J231:M231"/>
    <mergeCell ref="J262:M262"/>
    <mergeCell ref="E249:I249"/>
    <mergeCell ref="B101:L101"/>
    <mergeCell ref="G153:I153"/>
    <mergeCell ref="G189:H189"/>
    <mergeCell ref="F79:G79"/>
    <mergeCell ref="A154:B154"/>
    <mergeCell ref="H79:I79"/>
    <mergeCell ref="E211:I211"/>
    <mergeCell ref="C43:D43"/>
    <mergeCell ref="K192:N192"/>
    <mergeCell ref="A26:E26"/>
    <mergeCell ref="E257:I257"/>
    <mergeCell ref="B265:D265"/>
    <mergeCell ref="E49:F49"/>
    <mergeCell ref="F81:G81"/>
    <mergeCell ref="H81:I81"/>
    <mergeCell ref="K194:N194"/>
    <mergeCell ref="M100:N100"/>
    <mergeCell ref="G42:I42"/>
    <mergeCell ref="J257:M257"/>
    <mergeCell ref="B104:L104"/>
    <mergeCell ref="L65:M65"/>
    <mergeCell ref="M102:N102"/>
    <mergeCell ref="K195:N195"/>
    <mergeCell ref="A167:B167"/>
    <mergeCell ref="I76:N76"/>
    <mergeCell ref="B106:L106"/>
    <mergeCell ref="J242:M242"/>
    <mergeCell ref="J217:M217"/>
    <mergeCell ref="E204:I204"/>
    <mergeCell ref="F63:G63"/>
    <mergeCell ref="H63:I63"/>
    <mergeCell ref="J252:M252"/>
    <mergeCell ref="C158:F158"/>
    <mergeCell ref="A169:B169"/>
    <mergeCell ref="E206:I206"/>
    <mergeCell ref="E262:I262"/>
    <mergeCell ref="G191:H191"/>
    <mergeCell ref="A177:B177"/>
    <mergeCell ref="F19:I19"/>
    <mergeCell ref="A191:D191"/>
    <mergeCell ref="F6:I6"/>
    <mergeCell ref="I29:N29"/>
    <mergeCell ref="A3:N3"/>
    <mergeCell ref="B207:D207"/>
    <mergeCell ref="G159:I159"/>
    <mergeCell ref="G195:H195"/>
    <mergeCell ref="A57:N57"/>
    <mergeCell ref="I31:N31"/>
    <mergeCell ref="A32:E32"/>
    <mergeCell ref="L170:N170"/>
    <mergeCell ref="A5:N5"/>
    <mergeCell ref="F20:I20"/>
    <mergeCell ref="F29:H29"/>
    <mergeCell ref="G161:I161"/>
    <mergeCell ref="J245:M245"/>
    <mergeCell ref="J207:M207"/>
    <mergeCell ref="B202:D202"/>
    <mergeCell ref="J51:K51"/>
    <mergeCell ref="A155:B155"/>
    <mergeCell ref="E217:I217"/>
    <mergeCell ref="J205:M205"/>
    <mergeCell ref="L165:N165"/>
    <mergeCell ref="J265:M265"/>
    <mergeCell ref="G156:I156"/>
    <mergeCell ref="E50:F50"/>
    <mergeCell ref="I72:N72"/>
    <mergeCell ref="A157:B157"/>
    <mergeCell ref="F87:G87"/>
    <mergeCell ref="D182:H182"/>
    <mergeCell ref="F9:I9"/>
    <mergeCell ref="F32:H32"/>
    <mergeCell ref="G178:N178"/>
    <mergeCell ref="F26:H26"/>
    <mergeCell ref="I184:N184"/>
    <mergeCell ref="E52:F52"/>
    <mergeCell ref="E39:F39"/>
    <mergeCell ref="J40:K40"/>
    <mergeCell ref="E44:F44"/>
    <mergeCell ref="B105:L105"/>
    <mergeCell ref="B255:D255"/>
    <mergeCell ref="B226:D226"/>
    <mergeCell ref="G45:I45"/>
    <mergeCell ref="D120:E120"/>
    <mergeCell ref="A187:N187"/>
    <mergeCell ref="J200:M200"/>
    <mergeCell ref="B7:E7"/>
    <mergeCell ref="B107:L107"/>
    <mergeCell ref="E230:I230"/>
    <mergeCell ref="G175:N175"/>
    <mergeCell ref="C160:F160"/>
    <mergeCell ref="G47:I47"/>
    <mergeCell ref="B222:D222"/>
    <mergeCell ref="J202:M202"/>
    <mergeCell ref="J258:M258"/>
    <mergeCell ref="A175:B175"/>
    <mergeCell ref="E232:I232"/>
    <mergeCell ref="G177:N177"/>
    <mergeCell ref="G46:I46"/>
    <mergeCell ref="B221:D221"/>
    <mergeCell ref="F123:H123"/>
    <mergeCell ref="G40:I40"/>
    <mergeCell ref="E207:I207"/>
    <mergeCell ref="H66:I66"/>
    <mergeCell ref="J66:K66"/>
    <mergeCell ref="J260:M260"/>
    <mergeCell ref="A64:C64"/>
    <mergeCell ref="F18:I18"/>
    <mergeCell ref="A134:E134"/>
    <mergeCell ref="A170:B170"/>
    <mergeCell ref="B248:D248"/>
    <mergeCell ref="B75:C75"/>
    <mergeCell ref="F22:I22"/>
    <mergeCell ref="I32:N32"/>
    <mergeCell ref="J213:M213"/>
    <mergeCell ref="F59:G59"/>
    <mergeCell ref="B205:D205"/>
    <mergeCell ref="H59:I59"/>
    <mergeCell ref="C154:F154"/>
    <mergeCell ref="F11:I11"/>
    <mergeCell ref="I170:K170"/>
    <mergeCell ref="J215:M215"/>
    <mergeCell ref="H61:I61"/>
    <mergeCell ref="H88:I88"/>
    <mergeCell ref="C156:F156"/>
    <mergeCell ref="E220:I220"/>
    <mergeCell ref="J54:K54"/>
    <mergeCell ref="J154:L154"/>
    <mergeCell ref="F12:I12"/>
    <mergeCell ref="E222:I222"/>
    <mergeCell ref="J41:K41"/>
    <mergeCell ref="E45:F45"/>
    <mergeCell ref="J210:M210"/>
    <mergeCell ref="B200:D200"/>
    <mergeCell ref="J226:M226"/>
    <mergeCell ref="G188:H188"/>
    <mergeCell ref="D121:E121"/>
    <mergeCell ref="J156:L156"/>
    <mergeCell ref="A189:D189"/>
    <mergeCell ref="B8:E8"/>
    <mergeCell ref="J43:K43"/>
    <mergeCell ref="A109:N109"/>
    <mergeCell ref="I27:N27"/>
    <mergeCell ref="E167:H167"/>
    <mergeCell ref="B236:D236"/>
    <mergeCell ref="J155:L155"/>
    <mergeCell ref="G48:I48"/>
    <mergeCell ref="D123:E123"/>
    <mergeCell ref="B223:D223"/>
    <mergeCell ref="E246:I246"/>
    <mergeCell ref="B10:E10"/>
    <mergeCell ref="D110:E110"/>
    <mergeCell ref="A176:B176"/>
    <mergeCell ref="J268:M268"/>
    <mergeCell ref="E169:H169"/>
  </mergeCells>
  <conditionalFormatting sqref="J80:J89">
    <cfRule type="colorScale" priority="1">
      <colorScale>
        <cfvo type="num" val="0"/>
        <cfvo type="num" val="0.4"/>
        <color rgb="00FFFFFF"/>
        <color rgb="005B9BD5"/>
      </colorScale>
    </cfRule>
  </conditionalFormatting>
  <conditionalFormatting sqref="K80:K89">
    <cfRule type="colorScale" priority="2">
      <colorScale>
        <cfvo type="num" val="0"/>
        <cfvo type="num" val="0.4"/>
        <color rgb="00FFFFFF"/>
        <color rgb="005B9BD5"/>
      </colorScale>
    </cfRule>
  </conditionalFormatting>
  <conditionalFormatting sqref="L80:L89">
    <cfRule type="colorScale" priority="3">
      <colorScale>
        <cfvo type="num" val="0"/>
        <cfvo type="num" val="0.4"/>
        <color rgb="00FFFFFF"/>
        <color rgb="005B9BD5"/>
      </colorScale>
    </cfRule>
  </conditionalFormatting>
  <conditionalFormatting sqref="M80:M89">
    <cfRule type="colorScale" priority="4">
      <colorScale>
        <cfvo type="num" val="0"/>
        <cfvo type="num" val="0.4"/>
        <color rgb="00FFFFFF"/>
        <color rgb="005B9BD5"/>
      </colorScale>
    </cfRule>
  </conditionalFormatting>
  <conditionalFormatting sqref="N80:N89">
    <cfRule type="colorScale" priority="5">
      <colorScale>
        <cfvo type="num" val="0"/>
        <cfvo type="num" val="0.4"/>
        <color rgb="00FFFFFF"/>
        <color rgb="005B9BD5"/>
      </colorScale>
    </cfRule>
  </conditionalFormatting>
  <conditionalFormatting sqref="O80:O89">
    <cfRule type="colorScale" priority="6">
      <colorScale>
        <cfvo type="num" val="0"/>
        <cfvo type="num" val="0.4"/>
        <color rgb="00FFFFFF"/>
        <color rgb="005B9BD5"/>
      </colorScale>
    </cfRule>
  </conditionalFormatting>
  <hyperlinks>
    <hyperlink xmlns:r="http://schemas.openxmlformats.org/officeDocument/2006/relationships" ref="O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7.xml><?xml version="1.0" encoding="utf-8"?>
<worksheet xmlns="http://schemas.openxmlformats.org/spreadsheetml/2006/main">
  <sheetPr>
    <tabColor rgb="00806000"/>
    <outlinePr summaryBelow="1" summaryRight="1"/>
    <pageSetUpPr fitToPage="1"/>
  </sheetPr>
  <dimension ref="A1:P401"/>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34" customHeight="1">
      <c r="A1" s="1" t="inlineStr">
        <is>
          <t>References &amp; Benchmarks — competitors, regtech and SaaS leaders, standards, databases and sites</t>
        </is>
      </c>
      <c r="P1" s="241" t="inlineStr">
        <is>
          <t>◂ Contents</t>
        </is>
      </c>
    </row>
    <row r="2" ht="32" customHeight="1">
      <c r="A2" s="3" t="inlineStr">
        <is>
          <r>
            <rPr>
              <rFont val="Calibri"/>
              <b val="1"/>
              <i val="1"/>
              <color rgb="00404040"/>
              <sz val="10"/>
            </rPr>
            <t>Scope:</t>
          </r>
          <r>
            <rPr>
              <rFont val="Calibri"/>
              <i val="1"/>
              <color rgb="00404040"/>
              <sz val="10"/>
            </rPr>
            <t xml:space="preserve"> iDEAL. Every company, standard, database and website used, and — department by department — what the best standard looks like at each IRIS level · A1 → E2 at IRIS's direct competitors, regtech leaders and SaaS leaders. Peer titles are equivalences of scope, not of pay.</t>
          </r>
        </is>
      </c>
    </row>
    <row r="3">
      <c r="A3" s="4" t="inlineStr">
        <is>
          <t>IRIS · Job Architecture &amp; Job Design · Final v1.12 · October 2026 · Internal — Confidential</t>
        </is>
      </c>
    </row>
    <row r="4" ht="15" customHeight="1"/>
    <row r="5" ht="20" customHeight="1">
      <c r="A5" s="6" t="inlineStr">
        <is>
          <t>R0. How to read the evidence</t>
        </is>
      </c>
    </row>
    <row r="6" ht="15" customHeight="1">
      <c r="A6" s="12" t="inlineStr">
        <is>
          <t>Grade</t>
        </is>
      </c>
      <c r="B6" s="209" t="n"/>
      <c r="C6" s="12" t="inlineStr">
        <is>
          <t>Meaning</t>
        </is>
      </c>
      <c r="D6" s="210" t="n"/>
      <c r="E6" s="210" t="n"/>
      <c r="F6" s="210" t="n"/>
      <c r="G6" s="210" t="n"/>
      <c r="H6" s="210" t="n"/>
      <c r="I6" s="210" t="n"/>
      <c r="J6" s="209" t="n"/>
      <c r="K6" s="12" t="inlineStr">
        <is>
          <t>Use</t>
        </is>
      </c>
      <c r="L6" s="210" t="n"/>
      <c r="M6" s="210" t="n"/>
      <c r="N6" s="210" t="n"/>
      <c r="O6" s="209" t="n"/>
    </row>
    <row r="7" ht="15" customHeight="1">
      <c r="A7" s="13" t="inlineStr">
        <is>
          <t>Primary</t>
        </is>
      </c>
      <c r="B7" s="209" t="n"/>
      <c r="C7" s="16" t="inlineStr">
        <is>
          <t>Publisher's own material · standard body, method owner, company newsroom</t>
        </is>
      </c>
      <c r="D7" s="210" t="n"/>
      <c r="E7" s="210" t="n"/>
      <c r="F7" s="210" t="n"/>
      <c r="G7" s="210" t="n"/>
      <c r="H7" s="210" t="n"/>
      <c r="I7" s="210" t="n"/>
      <c r="J7" s="209" t="n"/>
      <c r="K7" s="16" t="inlineStr">
        <is>
          <t>Rely on</t>
        </is>
      </c>
      <c r="L7" s="210" t="n"/>
      <c r="M7" s="210" t="n"/>
      <c r="N7" s="210" t="n"/>
      <c r="O7" s="209" t="n"/>
    </row>
    <row r="8" ht="15" customHeight="1">
      <c r="A8" s="13" t="inlineStr">
        <is>
          <t>Levels.fyi</t>
        </is>
      </c>
      <c r="B8" s="209" t="n"/>
      <c r="C8" s="16" t="inlineStr">
        <is>
          <t>Crowd-sourced level ladder for a named company</t>
        </is>
      </c>
      <c r="D8" s="210" t="n"/>
      <c r="E8" s="210" t="n"/>
      <c r="F8" s="210" t="n"/>
      <c r="G8" s="210" t="n"/>
      <c r="H8" s="210" t="n"/>
      <c r="I8" s="210" t="n"/>
      <c r="J8" s="209" t="n"/>
      <c r="K8" s="16" t="inlineStr">
        <is>
          <t>Rely on for titles and level order; not for pay</t>
        </is>
      </c>
      <c r="L8" s="210" t="n"/>
      <c r="M8" s="210" t="n"/>
      <c r="N8" s="210" t="n"/>
      <c r="O8" s="209" t="n"/>
    </row>
    <row r="9" ht="15" customHeight="1">
      <c r="A9" s="13" t="inlineStr">
        <is>
          <t>Job postings</t>
        </is>
      </c>
      <c r="B9" s="209" t="n"/>
      <c r="C9" s="16" t="inlineStr">
        <is>
          <t>Titles and requirements taken from the company's own live postings</t>
        </is>
      </c>
      <c r="D9" s="210" t="n"/>
      <c r="E9" s="210" t="n"/>
      <c r="F9" s="210" t="n"/>
      <c r="G9" s="210" t="n"/>
      <c r="H9" s="210" t="n"/>
      <c r="I9" s="210" t="n"/>
      <c r="J9" s="209" t="n"/>
      <c r="K9" s="16" t="inlineStr">
        <is>
          <t>Rely on for titles and experience asked</t>
        </is>
      </c>
      <c r="L9" s="210" t="n"/>
      <c r="M9" s="210" t="n"/>
      <c r="N9" s="210" t="n"/>
      <c r="O9" s="209" t="n"/>
    </row>
    <row r="10" ht="15" customHeight="1">
      <c r="A10" s="13" t="inlineStr">
        <is>
          <t>Secondary</t>
        </is>
      </c>
      <c r="B10" s="209" t="n"/>
      <c r="C10" s="16" t="inlineStr">
        <is>
          <t>Reputable analysis or industry publication</t>
        </is>
      </c>
      <c r="D10" s="210" t="n"/>
      <c r="E10" s="210" t="n"/>
      <c r="F10" s="210" t="n"/>
      <c r="G10" s="210" t="n"/>
      <c r="H10" s="210" t="n"/>
      <c r="I10" s="210" t="n"/>
      <c r="J10" s="209" t="n"/>
      <c r="K10" s="16" t="inlineStr">
        <is>
          <t>Use with the primary sources</t>
        </is>
      </c>
      <c r="L10" s="210" t="n"/>
      <c r="M10" s="210" t="n"/>
      <c r="N10" s="210" t="n"/>
      <c r="O10" s="209" t="n"/>
    </row>
    <row r="11" ht="15" customHeight="1">
      <c r="A11" s="13" t="inlineStr">
        <is>
          <t>Indicative</t>
        </is>
      </c>
      <c r="B11" s="209" t="n"/>
      <c r="C11" s="16" t="inlineStr">
        <is>
          <t>Aggregator or forum; widely repeated</t>
        </is>
      </c>
      <c r="D11" s="210" t="n"/>
      <c r="E11" s="210" t="n"/>
      <c r="F11" s="210" t="n"/>
      <c r="G11" s="210" t="n"/>
      <c r="H11" s="210" t="n"/>
      <c r="I11" s="210" t="n"/>
      <c r="J11" s="209" t="n"/>
      <c r="K11" s="16" t="inlineStr">
        <is>
          <t>Confirm before any pay decision</t>
        </is>
      </c>
      <c r="L11" s="210" t="n"/>
      <c r="M11" s="210" t="n"/>
      <c r="N11" s="210" t="n"/>
      <c r="O11" s="209" t="n"/>
    </row>
    <row r="12" ht="15" customHeight="1">
      <c r="A12" s="13" t="inlineStr">
        <is>
          <t>Internal</t>
        </is>
      </c>
      <c r="B12" s="209" t="n"/>
      <c r="C12" s="16" t="inlineStr">
        <is>
          <t>IRIS data · HRIS, survey, manager mapping</t>
        </is>
      </c>
      <c r="D12" s="210" t="n"/>
      <c r="E12" s="210" t="n"/>
      <c r="F12" s="210" t="n"/>
      <c r="G12" s="210" t="n"/>
      <c r="H12" s="210" t="n"/>
      <c r="I12" s="210" t="n"/>
      <c r="J12" s="209" t="n"/>
      <c r="K12" s="16" t="inlineStr">
        <is>
          <t>Primary evidence for placement</t>
        </is>
      </c>
      <c r="L12" s="210" t="n"/>
      <c r="M12" s="210" t="n"/>
      <c r="N12" s="210" t="n"/>
      <c r="O12" s="209" t="n"/>
    </row>
    <row r="13" ht="28" customHeight="1">
      <c r="A13" s="13" t="inlineStr">
        <is>
          <t>IRIS composite</t>
        </is>
      </c>
      <c r="B13" s="209" t="n"/>
      <c r="C13" s="16" t="inlineStr">
        <is>
          <t>A ladder IRIS assembled from the titles and codes of the sources named in brackets; no single company or body publishes it</t>
        </is>
      </c>
      <c r="D13" s="210" t="n"/>
      <c r="E13" s="210" t="n"/>
      <c r="F13" s="210" t="n"/>
      <c r="G13" s="210" t="n"/>
      <c r="H13" s="210" t="n"/>
      <c r="I13" s="210" t="n"/>
      <c r="J13" s="209" t="n"/>
      <c r="K13" s="16" t="inlineStr">
        <is>
          <t>Orientation only; not market evidence</t>
        </is>
      </c>
      <c r="L13" s="210" t="n"/>
      <c r="M13" s="210" t="n"/>
      <c r="N13" s="210" t="n"/>
      <c r="O13" s="209" t="n"/>
    </row>
    <row r="14" ht="15" customHeight="1">
      <c r="A14" s="13" t="inlineStr">
        <is>
          <t>IRIS mapping</t>
        </is>
      </c>
      <c r="B14" s="209" t="n"/>
      <c r="C14" s="16" t="inlineStr">
        <is>
          <t>A published scale or certificate path · CIM, ISTQB, IIBA, XBRL US matched to IRIS levels by IRIS</t>
        </is>
      </c>
      <c r="D14" s="210" t="n"/>
      <c r="E14" s="210" t="n"/>
      <c r="F14" s="210" t="n"/>
      <c r="G14" s="210" t="n"/>
      <c r="H14" s="210" t="n"/>
      <c r="I14" s="210" t="n"/>
      <c r="J14" s="209" t="n"/>
      <c r="K14" s="16" t="inlineStr">
        <is>
          <t>Orientation only; the match is IRIS's</t>
        </is>
      </c>
      <c r="L14" s="210" t="n"/>
      <c r="M14" s="210" t="n"/>
      <c r="N14" s="210" t="n"/>
      <c r="O14" s="209" t="n"/>
    </row>
    <row r="15" ht="15" customHeight="1"/>
    <row r="16" ht="41" customHeight="1">
      <c r="A16" s="11" t="inlineStr">
        <is>
          <r>
            <rPr>
              <rFont val="Calibri"/>
              <b val="1"/>
              <i val="1"/>
              <color rgb="00595959"/>
              <sz val="10"/>
            </rPr>
            <t>Source check · October 2026:</t>
          </r>
          <r>
            <rPr>
              <rFont val="Calibri"/>
              <i val="1"/>
              <color rgb="00595959"/>
              <sz val="10"/>
            </rPr>
            <t xml:space="preserve"> 42 sources and peer ladders were opened and read against the claims made here. 19 support the claim as written; 20 were partly right and have been corrected in this register · wording, counts or link; DFIN's ladder had no supporting source and is no longer used for levels; the Zoho and ClearTax ladders could not be confirmed and are marked unverified. Levels.fyi pages cannot be read automatically, so ladder names there were confirmed from page titles and company postings.</t>
          </r>
        </is>
      </c>
    </row>
    <row r="17" ht="20" customHeight="1">
      <c r="A17" s="6" t="inlineStr">
        <is>
          <t>R1. Peer universe — who IRIS is benchmarked against, and why</t>
        </is>
      </c>
    </row>
    <row r="18" ht="15" customHeight="1">
      <c r="A18" s="11" t="inlineStr">
        <is>
          <t>Direct competitors of IRIS CARBON, iFile and iDEAL; regtech and suptech leaders; global and Indian SaaS leaders; India talent-market anchors.</t>
        </is>
      </c>
    </row>
    <row r="19" ht="28" customHeight="1">
      <c r="A19" s="12" t="inlineStr">
        <is>
          <t>ID · Company</t>
        </is>
      </c>
      <c r="B19" s="209" t="n"/>
      <c r="C19" s="12" t="inlineStr">
        <is>
          <t>Segment</t>
        </is>
      </c>
      <c r="D19" s="209" t="n"/>
      <c r="E19" s="12" t="inlineStr">
        <is>
          <t>Competes with / relevant to</t>
        </is>
      </c>
      <c r="F19" s="209" t="n"/>
      <c r="G19" s="12" t="inlineStr">
        <is>
          <t>Why benchmarked</t>
        </is>
      </c>
      <c r="H19" s="210" t="n"/>
      <c r="I19" s="209" t="n"/>
      <c r="J19" s="12" t="inlineStr">
        <is>
          <t>What we used</t>
        </is>
      </c>
      <c r="K19" s="210" t="n"/>
      <c r="L19" s="209" t="n"/>
      <c r="M19" s="12" t="inlineStr">
        <is>
          <t>Site / source</t>
        </is>
      </c>
      <c r="N19" s="209" t="n"/>
      <c r="O19" s="12" t="inlineStr">
        <is>
          <t>Grade</t>
        </is>
      </c>
    </row>
    <row r="20" ht="145" customHeight="1">
      <c r="A20" s="13" t="inlineStr">
        <is>
          <t>C01 · Workiva</t>
        </is>
      </c>
      <c r="B20" s="209" t="n"/>
      <c r="C20" s="16" t="inlineStr">
        <is>
          <t>Disclosure management, XBRL / iXBRL, ESG reporting SaaS · global leader</t>
        </is>
      </c>
      <c r="D20" s="209" t="n"/>
      <c r="E20" s="16" t="inlineStr">
        <is>
          <t>IRIS CARBON; iFile XBRL</t>
        </is>
      </c>
      <c r="F20" s="209" t="n"/>
      <c r="G20" s="16" t="inlineStr">
        <is>
          <r>
            <rPr>
              <rFont val="Calibri"/>
              <b val="1"/>
              <sz val="10"/>
            </rPr>
            <t>Category leader:</t>
          </r>
          <r>
            <rPr>
              <rFont val="Calibri"/>
              <sz val="10"/>
            </rPr>
            <t xml:space="preserve"> 6,600+ customers, over 85% of the Fortune 1000 · FY2025 10-K; leading ESG disclosure platform</t>
          </r>
        </is>
      </c>
      <c r="H20" s="210" t="n"/>
      <c r="I20" s="209" t="n"/>
      <c r="J20" s="16" t="inlineStr">
        <is>
          <t>Engineering ladder · Associate SE → SE → Senior SE → Staff SE → Senior Staff SE; customer-success titles · CSM, Product Success Manager, Customer Success Architect; Professional Services Manager · XBRL data modelling</t>
        </is>
      </c>
      <c r="K20" s="210" t="n"/>
      <c r="L20" s="209" t="n"/>
      <c r="M20" s="16" t="inlineStr">
        <is>
          <t>https://www.levels.fyi/companies/workiva/salaries/software-engineer ; https://builtin.com/job/professional-services-manager/3581840 ; https://www.cfoshortlist.com/reports/sec-reporting-software ; https://www.sec.gov/Archives/edgar/data/1445305/000144530526000016/wk-20251231.htm</t>
        </is>
      </c>
      <c r="N20" s="209" t="n"/>
      <c r="O20" s="16" t="inlineStr">
        <is>
          <t>Levels.fyi + job postings</t>
        </is>
      </c>
    </row>
    <row r="21" ht="54" customHeight="1">
      <c r="A21" s="13" t="inlineStr">
        <is>
          <t>C02 · Donnelley Financial Solutions · DFIN — ActiveDisclosure, Arc Suite</t>
        </is>
      </c>
      <c r="B21" s="209" t="n"/>
      <c r="C21" s="16" t="inlineStr">
        <is>
          <t>SEC / EDGAR filing, disclosure software and services</t>
        </is>
      </c>
      <c r="D21" s="209" t="n"/>
      <c r="E21" s="16" t="inlineStr">
        <is>
          <t>IRIS CARBON · US SEC filing services</t>
        </is>
      </c>
      <c r="F21" s="209" t="n"/>
      <c r="G21" s="16" t="inlineStr">
        <is>
          <t>Leading US financial-compliance and filing company</t>
        </is>
      </c>
      <c r="H21" s="210" t="n"/>
      <c r="I21" s="209" t="n"/>
      <c r="J21" s="16" t="inlineStr">
        <is>
          <r>
            <rPr>
              <rFont val="Calibri"/>
              <b val="1"/>
              <sz val="10"/>
            </rPr>
            <t>Not used for levels:</t>
          </r>
          <r>
            <rPr>
              <rFont val="Calibri"/>
              <sz val="10"/>
            </rPr>
            <t xml:space="preserve"> no public source for its ladder was found · the earlier link did not support it; kept as a pay-survey peer</t>
          </r>
        </is>
      </c>
      <c r="K21" s="210" t="n"/>
      <c r="L21" s="209" t="n"/>
      <c r="M21" s="16" t="inlineStr">
        <is>
          <t>https://www.dfinsolutions.com</t>
        </is>
      </c>
      <c r="N21" s="209" t="n"/>
      <c r="O21" s="16" t="inlineStr">
        <is>
          <t>Market positioning</t>
        </is>
      </c>
    </row>
    <row r="22" ht="80" customHeight="1">
      <c r="A22" s="13" t="inlineStr">
        <is>
          <t>C03 · Toppan Merrill — Toppan Merrill Bridge, XBRL services</t>
        </is>
      </c>
      <c r="B22" s="209" t="n"/>
      <c r="C22" s="16" t="inlineStr">
        <is>
          <t>EDGAR filing agent, iXBRL / XBRL services</t>
        </is>
      </c>
      <c r="D22" s="209" t="n"/>
      <c r="E22" s="16" t="inlineStr">
        <is>
          <t>IRIS CARBON services · US SEC, FPI filings</t>
        </is>
      </c>
      <c r="F22" s="209" t="n"/>
      <c r="G22" s="16" t="inlineStr">
        <is>
          <t>Direct competitor for XBRL tagging and filing services</t>
        </is>
      </c>
      <c r="H22" s="210" t="n"/>
      <c r="I22" s="209" t="n"/>
      <c r="J22" s="16" t="inlineStr">
        <is>
          <r>
            <rPr>
              <rFont val="Calibri"/>
              <b val="1"/>
              <sz val="10"/>
            </rPr>
            <t>Entry title only:</t>
          </r>
          <r>
            <rPr>
              <rFont val="Calibri"/>
              <sz val="10"/>
            </rPr>
            <t xml:space="preserve"> XBRL Financial Analyst, Associate · the posting gives no higher rung; finance titles</t>
          </r>
        </is>
      </c>
      <c r="K22" s="210" t="n"/>
      <c r="L22" s="209" t="n"/>
      <c r="M22" s="16" t="inlineStr">
        <is>
          <t>https://builtinbengaluru.in/job/xbrl-financial-analyst-assoc/4131532 · Coimbatore posting, closed July 2025; https://toppanmerrill.com/bridge/</t>
        </is>
      </c>
      <c r="N22" s="209" t="n"/>
      <c r="O22" s="16" t="inlineStr">
        <is>
          <t>Job postings</t>
        </is>
      </c>
    </row>
    <row r="23" ht="41" customHeight="1">
      <c r="A23" s="13" t="inlineStr">
        <is>
          <t>C04 · Certent · insightsoftware — Disclosure Management</t>
        </is>
      </c>
      <c r="B23" s="209" t="n"/>
      <c r="C23" s="16" t="inlineStr">
        <is>
          <t>Disclosure management for mid-market filers</t>
        </is>
      </c>
      <c r="D23" s="209" t="n"/>
      <c r="E23" s="16" t="inlineStr">
        <is>
          <t>IRIS CARBON</t>
        </is>
      </c>
      <c r="F23" s="209" t="n"/>
      <c r="G23" s="16" t="inlineStr">
        <is>
          <t>Named alongside IRIS CARBON for cost-driven filers</t>
        </is>
      </c>
      <c r="H23" s="210" t="n"/>
      <c r="I23" s="209" t="n"/>
      <c r="J23" s="16" t="inlineStr">
        <is>
          <t>Market positioning</t>
        </is>
      </c>
      <c r="K23" s="210" t="n"/>
      <c r="L23" s="209" t="n"/>
      <c r="M23" s="16" t="inlineStr">
        <is>
          <t>https://www.cfoshortlist.com/reports/sec-reporting-software</t>
        </is>
      </c>
      <c r="N23" s="209" t="n"/>
      <c r="O23" s="16" t="inlineStr">
        <is>
          <t>Secondary</t>
        </is>
      </c>
    </row>
    <row r="24" ht="67" customHeight="1">
      <c r="A24" s="13" t="inlineStr">
        <is>
          <t>C05 · DataTracks</t>
        </is>
      </c>
      <c r="B24" s="209" t="n"/>
      <c r="C24" s="16" t="inlineStr">
        <is>
          <t>XBRL / iXBRL compliance services and software · India-based</t>
        </is>
      </c>
      <c r="D24" s="209" t="n"/>
      <c r="E24" s="16" t="inlineStr">
        <is>
          <t>IRIS CARBON services · UK, EU, India, South Africa</t>
        </is>
      </c>
      <c r="F24" s="209" t="n"/>
      <c r="G24" s="16" t="inlineStr">
        <is>
          <t>Same services in the same Indian talent market; 30,000+ clients, 26 countries</t>
        </is>
      </c>
      <c r="H24" s="210" t="n"/>
      <c r="I24" s="209" t="n"/>
      <c r="J24" s="16" t="inlineStr">
        <is>
          <r>
            <rPr>
              <rFont val="Calibri"/>
              <b val="1"/>
              <sz val="10"/>
            </rPr>
            <t>Two rungs published on its careers site:</t>
          </r>
          <r>
            <rPr>
              <rFont val="Calibri"/>
              <sz val="10"/>
            </rPr>
            <t xml:space="preserve"> Associate · freshers → Senior Associate · 2–5 yrs. Nothing above is published, so no higher DataTracks equivalent is used</t>
          </r>
        </is>
      </c>
      <c r="K24" s="210" t="n"/>
      <c r="L24" s="209" t="n"/>
      <c r="M24" s="16" t="inlineStr">
        <is>
          <t>https://www.datatracks.com/in/careers/</t>
        </is>
      </c>
      <c r="N24" s="209" t="n"/>
      <c r="O24" s="16" t="inlineStr">
        <is>
          <t>Job postings</t>
        </is>
      </c>
    </row>
    <row r="25" ht="184" customHeight="1">
      <c r="A25" s="13" t="inlineStr">
        <is>
          <t>C06 · Regnology · incl. Vizor Software, BearingPoint RegTech, Vermeg AGILE, and Wolters Kluwer's Finance, Risk &amp; Regulatory Reporting business — OneSumX — acquired December 2025</t>
        </is>
      </c>
      <c r="B25" s="209" t="n"/>
      <c r="C25" s="16" t="inlineStr">
        <is>
          <t>Supervisory · SupTech and regulatory reporting — global leader</t>
        </is>
      </c>
      <c r="D25" s="209" t="n"/>
      <c r="E25" s="16" t="inlineStr">
        <is>
          <t>IRIS iFile · regulator platforms; IRIS iDEAL · bank reporting</t>
        </is>
      </c>
      <c r="F25" s="209" t="n"/>
      <c r="G25" s="16" t="inlineStr">
        <is>
          <t>2,000+ employees; serves regulators and institutions in 100+ countries; Chartis RiskTech100 SupTech category winner; Pune product centre; owns OneSumX since 1 December 2025</t>
        </is>
      </c>
      <c r="H25" s="210" t="n"/>
      <c r="I25" s="209" t="n"/>
      <c r="J25" s="16" t="inlineStr">
        <is>
          <t>Business-analysis ladder · Junior BA → BA → Senior BA, regulatory reporting; product support titles</t>
        </is>
      </c>
      <c r="K25" s="210" t="n"/>
      <c r="L25" s="209" t="n"/>
      <c r="M25" s="16" t="inlineStr">
        <is>
          <t>https://www.regnology.net/en/careers/detail/?id=2527504 ; https://www.businesswire.com/news/home/20241124525888/en/ ; https://www.centralbanking.com/awards/7941536/technology-services-regulatory-regnology ; https://www.regnology.net/en/resources/news/regnology-completes-acquisition-of-wolters-kluwers-finance-risk-regulatory-reporting/</t>
        </is>
      </c>
      <c r="N25" s="209" t="n"/>
      <c r="O25" s="16" t="inlineStr">
        <is>
          <t>Primary + job postings</t>
        </is>
      </c>
    </row>
    <row r="26" ht="54" customHeight="1">
      <c r="A26" s="13" t="inlineStr">
        <is>
          <t>C08 · Nasdaq · AxiomSL / Calypso — regulatory reporting</t>
        </is>
      </c>
      <c r="B26" s="209" t="n"/>
      <c r="C26" s="16" t="inlineStr">
        <is>
          <t>Regulatory reporting and risk for banks</t>
        </is>
      </c>
      <c r="D26" s="209" t="n"/>
      <c r="E26" s="16" t="inlineStr">
        <is>
          <t>IRIS iDEAL</t>
        </is>
      </c>
      <c r="F26" s="209" t="n"/>
      <c r="G26" s="16" t="inlineStr">
        <is>
          <t>AxiomSL is a leading bank regulatory-reporting platform</t>
        </is>
      </c>
      <c r="H26" s="210" t="n"/>
      <c r="I26" s="209" t="n"/>
      <c r="J26" s="16" t="inlineStr">
        <is>
          <t>Engineering ladder SE → Senior SE → Lead SE → Principal SE · Lead and Principal from Nasdaq postings; no Staff title found</t>
        </is>
      </c>
      <c r="K26" s="210" t="n"/>
      <c r="L26" s="209" t="n"/>
      <c r="M26" s="16" t="inlineStr">
        <is>
          <t>https://www.levels.fyi/companies/nasdaq/salaries/software-engineer/levels/senior-software-engineer</t>
        </is>
      </c>
      <c r="N26" s="209" t="n"/>
      <c r="O26" s="16" t="inlineStr">
        <is>
          <t>Levels.fyi + job postings</t>
        </is>
      </c>
    </row>
    <row r="27" ht="41" customHeight="1">
      <c r="A27" s="13" t="inlineStr">
        <is>
          <t>C09 · Broadridge</t>
        </is>
      </c>
      <c r="B27" s="209" t="n"/>
      <c r="C27" s="16" t="inlineStr">
        <is>
          <t>Regulatory, trade and transaction reporting; large India technology centres</t>
        </is>
      </c>
      <c r="D27" s="209" t="n"/>
      <c r="E27" s="16" t="inlineStr">
        <is>
          <t>IRIS iDEAL; IRIS engineering talent market</t>
        </is>
      </c>
      <c r="F27" s="209" t="n"/>
      <c r="G27" s="16" t="inlineStr">
        <is>
          <t>Regtech provider with major Hyderabad / Bengaluru hubs</t>
        </is>
      </c>
      <c r="H27" s="210" t="n"/>
      <c r="I27" s="209" t="n"/>
      <c r="J27" s="16" t="inlineStr">
        <is>
          <t>India engineering ladder SE → Senior SE → Lead SE → Senior Lead SE</t>
        </is>
      </c>
      <c r="K27" s="210" t="n"/>
      <c r="L27" s="209" t="n"/>
      <c r="M27" s="16" t="inlineStr">
        <is>
          <t>https://www.levels.fyi/am-et/companies/broadridge/salaries/software-engineer</t>
        </is>
      </c>
      <c r="N27" s="209" t="n"/>
      <c r="O27" s="16" t="inlineStr">
        <is>
          <t>Levels.fyi</t>
        </is>
      </c>
    </row>
    <row r="28" ht="41" customHeight="1">
      <c r="A28" s="13" t="inlineStr">
        <is>
          <t>C10 · Salesforce</t>
        </is>
      </c>
      <c r="B28" s="209" t="n"/>
      <c r="C28" s="16" t="inlineStr">
        <is>
          <t>Global SaaS leader</t>
        </is>
      </c>
      <c r="D28" s="209" t="n"/>
      <c r="E28" s="16" t="inlineStr">
        <is>
          <t>All SaaS businesses · CARBON, iFile, iDEAL, Datatech</t>
        </is>
      </c>
      <c r="F28" s="209" t="n"/>
      <c r="G28" s="16" t="inlineStr">
        <is>
          <t>Reference SaaS career architecture</t>
        </is>
      </c>
      <c r="H28" s="210" t="n"/>
      <c r="I28" s="209" t="n"/>
      <c r="J28" s="16" t="inlineStr">
        <is>
          <t>Technical ladder AMTS → MTS → SMTS → LMTS → PMTS → Architect → Principal Architect → Distinguished Engineer</t>
        </is>
      </c>
      <c r="K28" s="210" t="n"/>
      <c r="L28" s="209" t="n"/>
      <c r="M28" s="16" t="inlineStr">
        <is>
          <t>https://www.designgurus.io/blog/salesforce-software-engineer-levels</t>
        </is>
      </c>
      <c r="N28" s="209" t="n"/>
      <c r="O28" s="16" t="inlineStr">
        <is>
          <t>Secondary</t>
        </is>
      </c>
    </row>
    <row r="29" ht="80" customHeight="1">
      <c r="A29" s="13" t="inlineStr">
        <is>
          <t>C11 · Atlassian</t>
        </is>
      </c>
      <c r="B29" s="209" t="n"/>
      <c r="C29" s="16" t="inlineStr">
        <is>
          <t>Global SaaS leader with a published level system</t>
        </is>
      </c>
      <c r="D29" s="209" t="n"/>
      <c r="E29" s="16" t="inlineStr">
        <is>
          <t>All SaaS businesses; IT, finance and PM ladders</t>
        </is>
      </c>
      <c r="F29" s="209" t="n"/>
      <c r="G29" s="16" t="inlineStr">
        <is>
          <t>P30–P90 system used across engineering, PM, IT and finance</t>
        </is>
      </c>
      <c r="H29" s="210" t="n"/>
      <c r="I29" s="209" t="n"/>
      <c r="J29" s="16" t="inlineStr">
        <is>
          <t>P30 Junior · 0–2 yrs → P40 → P50 Senior → P60 Principal → P70 Senior Principal → P80 → P90; P-levels shared across job families</t>
        </is>
      </c>
      <c r="K29" s="210" t="n"/>
      <c r="L29" s="209" t="n"/>
      <c r="M29" s="16" t="inlineStr">
        <is>
          <t>https://www.designgurus.io/blog/atlassian-software-engineer-levels ; https://www.levels.fyi/en-gb/companies/atlassian/salaries/accountant/levels/p60</t>
        </is>
      </c>
      <c r="N29" s="209" t="n"/>
      <c r="O29" s="16" t="inlineStr">
        <is>
          <t>Levels.fyi + secondary</t>
        </is>
      </c>
    </row>
    <row r="30" ht="41" customHeight="1">
      <c r="A30" s="13" t="inlineStr">
        <is>
          <t>C12 · Freshworks</t>
        </is>
      </c>
      <c r="B30" s="209" t="n"/>
      <c r="C30" s="16" t="inlineStr">
        <is>
          <t>Indian-origin global SaaS leader · Chennai, Bengaluru, Hyderabad</t>
        </is>
      </c>
      <c r="D30" s="209" t="n"/>
      <c r="E30" s="16" t="inlineStr">
        <is>
          <t>IRIS engineering and SaaS talent market in India</t>
        </is>
      </c>
      <c r="F30" s="209" t="n"/>
      <c r="G30" s="16" t="inlineStr">
        <is>
          <t>Closest Indian SaaS employer brand</t>
        </is>
      </c>
      <c r="H30" s="210" t="n"/>
      <c r="I30" s="209" t="n"/>
      <c r="J30" s="16" t="inlineStr">
        <is>
          <t>SE → Senior SE → Lead SE → Staff SE → Senior Staff SE → Principal Engineer; manager ladder to Senior Director</t>
        </is>
      </c>
      <c r="K30" s="210" t="n"/>
      <c r="L30" s="209" t="n"/>
      <c r="M30" s="16" t="inlineStr">
        <is>
          <t>https://www.levels.fyi/companies/freshworks/salaries/software-engineer</t>
        </is>
      </c>
      <c r="N30" s="209" t="n"/>
      <c r="O30" s="16" t="inlineStr">
        <is>
          <t>Levels.fyi</t>
        </is>
      </c>
    </row>
    <row r="31" ht="54" customHeight="1">
      <c r="A31" s="13" t="inlineStr">
        <is>
          <t>C13 · Zoho</t>
        </is>
      </c>
      <c r="B31" s="209" t="n"/>
      <c r="C31" s="16" t="inlineStr">
        <is>
          <t>Indian SaaS leader</t>
        </is>
      </c>
      <c r="D31" s="209" t="n"/>
      <c r="E31" s="16" t="inlineStr">
        <is>
          <t>IRIS engineering talent market in India</t>
        </is>
      </c>
      <c r="F31" s="209" t="n"/>
      <c r="G31" s="16" t="inlineStr">
        <is>
          <t>Large Indian product employer</t>
        </is>
      </c>
      <c r="H31" s="210" t="n"/>
      <c r="I31" s="209" t="n"/>
      <c r="J31" s="16" t="inlineStr">
        <is>
          <t>Engineering levels L1 → L2 → L3 · L1 and L3 India pages confirmed; titles not confirmed</t>
        </is>
      </c>
      <c r="K31" s="210" t="n"/>
      <c r="L31" s="209" t="n"/>
      <c r="M31" s="16" t="inlineStr">
        <is>
          <t>https://www.levels.fyi/companies/zoho/salaries/software-engineer/levels/l1/locations/india</t>
        </is>
      </c>
      <c r="N31" s="209" t="n"/>
      <c r="O31" s="16" t="inlineStr">
        <is>
          <t>Levels.fyi</t>
        </is>
      </c>
    </row>
    <row r="32" ht="54" customHeight="1">
      <c r="A32" s="13" t="inlineStr">
        <is>
          <t>C14 · Clear · ClearTax</t>
        </is>
      </c>
      <c r="B32" s="209" t="n"/>
      <c r="C32" s="16" t="inlineStr">
        <is>
          <t>Indian compliance SaaS · GST, e-invoicing, tax</t>
        </is>
      </c>
      <c r="D32" s="209" t="n"/>
      <c r="E32" s="16" t="inlineStr">
        <is>
          <t>IRIS e-invoicing / GST · Datatech, Consume and India compliance talent</t>
        </is>
      </c>
      <c r="F32" s="209" t="n"/>
      <c r="G32" s="16" t="inlineStr">
        <is>
          <t>Direct India compliance-SaaS talent competitor</t>
        </is>
      </c>
      <c r="H32" s="210" t="n"/>
      <c r="I32" s="209" t="n"/>
      <c r="J32" s="16" t="inlineStr">
        <is>
          <t>SDE1 → SDE2 → SDE3 / Senior → Staff · unverified: the earlier link was a different company; ClearTax is under /cleartax/</t>
        </is>
      </c>
      <c r="K32" s="210" t="n"/>
      <c r="L32" s="209" t="n"/>
      <c r="M32" s="16" t="inlineStr">
        <is>
          <t>https://www.levels.fyi/companies/cleartax/salaries/software-engineering-manager</t>
        </is>
      </c>
      <c r="N32" s="209" t="n"/>
      <c r="O32" s="16" t="inlineStr">
        <is>
          <t>Indicative</t>
        </is>
      </c>
    </row>
    <row r="33" ht="145" customHeight="1">
      <c r="A33" s="13" t="inlineStr">
        <is>
          <t>C15 · Gainsight · customer-success category leader</t>
        </is>
      </c>
      <c r="B33" s="209" t="n"/>
      <c r="C33" s="16" t="inlineStr">
        <is>
          <t>Customer-success SaaS</t>
        </is>
      </c>
      <c r="D33" s="209" t="n"/>
      <c r="E33" s="16" t="inlineStr">
        <is>
          <t>IRIS Customer Success &amp; Support</t>
        </is>
      </c>
      <c r="F33" s="209" t="n"/>
      <c r="G33" s="16" t="inlineStr">
        <is>
          <t>Defines the customer-success profession</t>
        </is>
      </c>
      <c r="H33" s="210" t="n"/>
      <c r="I33" s="209" t="n"/>
      <c r="J33" s="16" t="inlineStr">
        <is>
          <t>CSM → Senior CSM → Strategic CSM / Enterprise Success Leader → Director CS → VP CS → Chief Customer Officer</t>
        </is>
      </c>
      <c r="K33" s="210" t="n"/>
      <c r="L33" s="209" t="n"/>
      <c r="M33" s="16" t="inlineStr">
        <is>
          <t>https://jobs.insightpartners.com/companies/gainsight/jobs/64120646-director-customer-success ; https://www.gainsight.com/blog/customer-success-career-opportunities/ ; https://www.gainsight.com/press/gainsight-expands-scope-of-executive-team-and-doubles-down-on-product-leadership/</t>
        </is>
      </c>
      <c r="N33" s="209" t="n"/>
      <c r="O33" s="16" t="inlineStr">
        <is>
          <t>Job postings</t>
        </is>
      </c>
    </row>
    <row r="34" ht="80" customHeight="1">
      <c r="A34" s="13" t="inlineStr">
        <is>
          <t>C16 · B2B SaaS sales benchmarks · SaaStr, sales-title hierarchies</t>
        </is>
      </c>
      <c r="B34" s="209" t="n"/>
      <c r="C34" s="16" t="inlineStr">
        <is>
          <t>SaaS go-to-market</t>
        </is>
      </c>
      <c r="D34" s="209" t="n"/>
      <c r="E34" s="16" t="inlineStr">
        <is>
          <t>IRIS Sales &amp; BD</t>
        </is>
      </c>
      <c r="F34" s="209" t="n"/>
      <c r="G34" s="16" t="inlineStr">
        <is>
          <t>Standard SaaS sales ladder and promotion timing</t>
        </is>
      </c>
      <c r="H34" s="210" t="n"/>
      <c r="I34" s="209" t="n"/>
      <c r="J34" s="16" t="inlineStr">
        <is>
          <t>SDR / BDR → AE · SMB → Mid-Market AE → Enterprise AE; Sales Manager → Director → VP Sales / CRO; SDR → AE usually within a year</t>
        </is>
      </c>
      <c r="K34" s="210" t="n"/>
      <c r="L34" s="209" t="n"/>
      <c r="M34" s="16" t="inlineStr">
        <is>
          <t>https://www.saastr.com/dear-saastr-do-i-have-to-provide-a-promotion-path-from-sdr-to-ae ; https://prospeo.io/s/sales-titles-hierarchy</t>
        </is>
      </c>
      <c r="N34" s="209" t="n"/>
      <c r="O34" s="16" t="inlineStr">
        <is>
          <t>Secondary</t>
        </is>
      </c>
    </row>
    <row r="35" ht="54" customHeight="1">
      <c r="A35" s="13" t="inlineStr">
        <is>
          <t>C17 · Google · Microsoft · Amazon</t>
        </is>
      </c>
      <c r="B35" s="209" t="n"/>
      <c r="C35" s="16" t="inlineStr">
        <is>
          <t>Global technology · scale anchors</t>
        </is>
      </c>
      <c r="D35" s="209" t="n"/>
      <c r="E35" s="16" t="inlineStr">
        <is>
          <t>Engineering levels</t>
        </is>
      </c>
      <c r="F35" s="209" t="n"/>
      <c r="G35" s="16" t="inlineStr">
        <is>
          <t>Most-cited cross-company level equivalences</t>
        </is>
      </c>
      <c r="H35" s="210" t="n"/>
      <c r="I35" s="209" t="n"/>
      <c r="J35" s="16" t="inlineStr">
        <is>
          <t>L3–L8 · 59–68 · L4–L8</t>
        </is>
      </c>
      <c r="K35" s="210" t="n"/>
      <c r="L35" s="209" t="n"/>
      <c r="M35" s="16" t="inlineStr">
        <is>
          <t>https://testrigor.com/blog/engineering-levels-in-different-companies-compared/</t>
        </is>
      </c>
      <c r="N35" s="209" t="n"/>
      <c r="O35" s="16" t="inlineStr">
        <is>
          <t>Secondary</t>
        </is>
      </c>
    </row>
    <row r="36" ht="93" customHeight="1">
      <c r="A36" s="13" t="inlineStr">
        <is>
          <t>C18 · Infosys · TCS · Accenture India</t>
        </is>
      </c>
      <c r="B36" s="209" t="n"/>
      <c r="C36" s="16" t="inlineStr">
        <is>
          <t>Indian IT services · talent-market anchors</t>
        </is>
      </c>
      <c r="D36" s="209" t="n"/>
      <c r="E36" s="16" t="inlineStr">
        <is>
          <t>Engineering, QA, BA, data operations</t>
        </is>
      </c>
      <c r="F36" s="209" t="n"/>
      <c r="G36" s="16" t="inlineStr">
        <is>
          <t>Largest employers in IRIS's talent market</t>
        </is>
      </c>
      <c r="H36" s="210" t="n"/>
      <c r="I36" s="209" t="n"/>
      <c r="J36" s="16" t="inlineStr">
        <is>
          <t>JL3B–JL6A · C1–SP1 · L12–L5 with experience ranges</t>
        </is>
      </c>
      <c r="K36" s="210" t="n"/>
      <c r="L36" s="209" t="n"/>
      <c r="M36" s="16" t="inlineStr">
        <is>
          <t>https://www.designgurus.io/blog/infosys-job-levels ; https://www.designgurus.io/blog/tcs-job-levels ; https://jobrise.io/hi/blog/accenture-salary-package-2026-india/</t>
        </is>
      </c>
      <c r="N36" s="209" t="n"/>
      <c r="O36" s="16" t="inlineStr">
        <is>
          <t>Indicative</t>
        </is>
      </c>
    </row>
    <row r="37" ht="41" customHeight="1">
      <c r="A37" s="13" t="inlineStr">
        <is>
          <t>C19 · Deloitte · EY · KPMG · PwC · Big Four</t>
        </is>
      </c>
      <c r="B37" s="209" t="n"/>
      <c r="C37" s="16" t="inlineStr">
        <is>
          <t>Professional services / regulatory consulting</t>
        </is>
      </c>
      <c r="D37" s="209" t="n"/>
      <c r="E37" s="16" t="inlineStr">
        <is>
          <t>XBRL consulting, BA, solution consulting, finance</t>
        </is>
      </c>
      <c r="F37" s="209" t="n"/>
      <c r="G37" s="16" t="inlineStr">
        <is>
          <t>Market reference for consulting titles</t>
        </is>
      </c>
      <c r="H37" s="210" t="n"/>
      <c r="I37" s="209" t="n"/>
      <c r="J37" s="16" t="inlineStr">
        <is>
          <t>Analyst → Consultant → Senior Consultant → Manager → Senior Manager / AD → Director → Partner</t>
        </is>
      </c>
      <c r="K37" s="210" t="n"/>
      <c r="L37" s="209" t="n"/>
      <c r="M37" s="16" t="inlineStr">
        <is>
          <t>https://networkinterview.com/technical-hierarchy-deloitte-india/</t>
        </is>
      </c>
      <c r="N37" s="209" t="n"/>
      <c r="O37" s="16" t="inlineStr">
        <is>
          <t>Indicative</t>
        </is>
      </c>
    </row>
    <row r="38" ht="41" customHeight="1">
      <c r="A38" s="13" t="inlineStr">
        <is>
          <t>C20 · GitLab</t>
        </is>
      </c>
      <c r="B38" s="209" t="n"/>
      <c r="C38" s="16" t="inlineStr">
        <is>
          <t>SaaS with a public handbook</t>
        </is>
      </c>
      <c r="D38" s="209" t="n"/>
      <c r="E38" s="16" t="inlineStr">
        <is>
          <t>IC ↔ manager equivalence; layers</t>
        </is>
      </c>
      <c r="F38" s="209" t="n"/>
      <c r="G38" s="16" t="inlineStr">
        <is>
          <t>Most transparent public job framework</t>
        </is>
      </c>
      <c r="H38" s="210" t="n"/>
      <c r="I38" s="209" t="n"/>
      <c r="J38" s="16" t="inlineStr">
        <is>
          <t>Staff ↔ Manager, Principal ↔ Senior Manager, Distinguished ↔ Director, Fellow ↔ VP; ≤ 8 layers</t>
        </is>
      </c>
      <c r="K38" s="210" t="n"/>
      <c r="L38" s="209" t="n"/>
      <c r="M38" s="16" t="inlineStr">
        <is>
          <t>https://handbook.gitlab.com/handbook/company/structure/</t>
        </is>
      </c>
      <c r="N38" s="209" t="n"/>
      <c r="O38" s="16" t="inlineStr">
        <is>
          <t>Primary</t>
        </is>
      </c>
    </row>
    <row r="39" ht="15" customHeight="1"/>
    <row r="40" ht="20" customHeight="1">
      <c r="A40" s="6" t="inlineStr">
        <is>
          <t>R2. Professional standard by job family — the best standard there is</t>
        </is>
      </c>
    </row>
    <row r="41" ht="15" customHeight="1">
      <c r="A41" s="12" t="inlineStr">
        <is>
          <t>Job family</t>
        </is>
      </c>
      <c r="B41" s="210" t="n"/>
      <c r="C41" s="209" t="n"/>
      <c r="D41" s="12" t="inlineStr">
        <is>
          <t>Standard / body / certification pathway</t>
        </is>
      </c>
      <c r="E41" s="210" t="n"/>
      <c r="F41" s="210" t="n"/>
      <c r="G41" s="210" t="n"/>
      <c r="H41" s="210" t="n"/>
      <c r="I41" s="209" t="n"/>
      <c r="J41" s="12" t="inlineStr">
        <is>
          <t>Site</t>
        </is>
      </c>
      <c r="K41" s="210" t="n"/>
      <c r="L41" s="210" t="n"/>
      <c r="M41" s="210" t="n"/>
      <c r="N41" s="209" t="n"/>
      <c r="O41" s="12" t="inlineStr">
        <is>
          <t>People here</t>
        </is>
      </c>
    </row>
    <row r="42" ht="28" customHeight="1">
      <c r="A42" s="13" t="inlineStr">
        <is>
          <t>Engineering &amp; Development</t>
        </is>
      </c>
      <c r="B42" s="210" t="n"/>
      <c r="C42" s="209" t="n"/>
      <c r="D42" s="16" t="inlineStr">
        <is>
          <t>SFIA 9 · software development, programming; OWASP secure coding; cloud vendor certifications</t>
        </is>
      </c>
      <c r="E42" s="210" t="n"/>
      <c r="F42" s="210" t="n"/>
      <c r="G42" s="210" t="n"/>
      <c r="H42" s="210" t="n"/>
      <c r="I42" s="209" t="n"/>
      <c r="J42" s="16" t="inlineStr">
        <is>
          <t>https://sfia-online.org</t>
        </is>
      </c>
      <c r="K42" s="210" t="n"/>
      <c r="L42" s="210" t="n"/>
      <c r="M42" s="210" t="n"/>
      <c r="N42" s="209" t="n"/>
      <c r="O42" s="15" t="n">
        <v>15</v>
      </c>
    </row>
    <row r="43" ht="15" customHeight="1">
      <c r="A43" s="13" t="inlineStr">
        <is>
          <t>Business Analysis</t>
        </is>
      </c>
      <c r="B43" s="210" t="n"/>
      <c r="C43" s="209" t="n"/>
      <c r="D43" s="16" t="inlineStr">
        <is>
          <t>IIBA BABOK v3; certifications ECBA · entry → CCBA → CBAP · senior</t>
        </is>
      </c>
      <c r="E43" s="210" t="n"/>
      <c r="F43" s="210" t="n"/>
      <c r="G43" s="210" t="n"/>
      <c r="H43" s="210" t="n"/>
      <c r="I43" s="209" t="n"/>
      <c r="J43" s="16" t="inlineStr">
        <is>
          <t>https://www.iiba.org</t>
        </is>
      </c>
      <c r="K43" s="210" t="n"/>
      <c r="L43" s="210" t="n"/>
      <c r="M43" s="210" t="n"/>
      <c r="N43" s="209" t="n"/>
      <c r="O43" s="15" t="n">
        <v>13</v>
      </c>
    </row>
    <row r="44" ht="15" customHeight="1">
      <c r="A44" s="13" t="inlineStr">
        <is>
          <t>Quality Assurance</t>
        </is>
      </c>
      <c r="B44" s="210" t="n"/>
      <c r="C44" s="209" t="n"/>
      <c r="D44" s="16" t="inlineStr">
        <is>
          <t>ISTQB Foundation → Advanced → Expert; SFIA testing</t>
        </is>
      </c>
      <c r="E44" s="210" t="n"/>
      <c r="F44" s="210" t="n"/>
      <c r="G44" s="210" t="n"/>
      <c r="H44" s="210" t="n"/>
      <c r="I44" s="209" t="n"/>
      <c r="J44" s="16" t="inlineStr">
        <is>
          <t>https://www.istqb.org</t>
        </is>
      </c>
      <c r="K44" s="210" t="n"/>
      <c r="L44" s="210" t="n"/>
      <c r="M44" s="210" t="n"/>
      <c r="N44" s="209" t="n"/>
      <c r="O44" s="15" t="n">
        <v>5</v>
      </c>
    </row>
    <row r="45" ht="28" customHeight="1">
      <c r="A45" s="13" t="inlineStr">
        <is>
          <t>Customer Success &amp; Support</t>
        </is>
      </c>
      <c r="B45" s="210" t="n"/>
      <c r="C45" s="209" t="n"/>
      <c r="D45" s="16" t="inlineStr">
        <is>
          <t>TSIA frameworks and benchmarks; ITIL 4 service desk; Gainsight customer-success practice</t>
        </is>
      </c>
      <c r="E45" s="210" t="n"/>
      <c r="F45" s="210" t="n"/>
      <c r="G45" s="210" t="n"/>
      <c r="H45" s="210" t="n"/>
      <c r="I45" s="209" t="n"/>
      <c r="J45" s="16" t="inlineStr">
        <is>
          <t>https://www.tsia.com</t>
        </is>
      </c>
      <c r="K45" s="210" t="n"/>
      <c r="L45" s="210" t="n"/>
      <c r="M45" s="210" t="n"/>
      <c r="N45" s="209" t="n"/>
      <c r="O45" s="15" t="n">
        <v>4</v>
      </c>
    </row>
    <row r="46" ht="15" customHeight="1">
      <c r="A46" s="13" t="inlineStr">
        <is>
          <t>Product Management</t>
        </is>
      </c>
      <c r="B46" s="210" t="n"/>
      <c r="C46" s="209" t="n"/>
      <c r="D46" s="16" t="inlineStr">
        <is>
          <t>Pragmatic Institute Framework · 37 activities, 7 categories; AIPMM</t>
        </is>
      </c>
      <c r="E46" s="210" t="n"/>
      <c r="F46" s="210" t="n"/>
      <c r="G46" s="210" t="n"/>
      <c r="H46" s="210" t="n"/>
      <c r="I46" s="209" t="n"/>
      <c r="J46" s="16" t="inlineStr">
        <is>
          <t>https://pragmaticinstitute.com/product/framework/launch</t>
        </is>
      </c>
      <c r="K46" s="210" t="n"/>
      <c r="L46" s="210" t="n"/>
      <c r="M46" s="210" t="n"/>
      <c r="N46" s="209" t="n"/>
      <c r="O46" s="15" t="n">
        <v>3</v>
      </c>
    </row>
    <row r="47" ht="28" customHeight="1">
      <c r="A47" s="13" t="inlineStr">
        <is>
          <t>Sales &amp; Business Development</t>
        </is>
      </c>
      <c r="B47" s="210" t="n"/>
      <c r="C47" s="209" t="n"/>
      <c r="D47" s="16" t="inlineStr">
        <is>
          <t>SaaS sales ladder · SDR → AE → Enterprise AE → VP / CRO; MEDDICC-style qualification</t>
        </is>
      </c>
      <c r="E47" s="210" t="n"/>
      <c r="F47" s="210" t="n"/>
      <c r="G47" s="210" t="n"/>
      <c r="H47" s="210" t="n"/>
      <c r="I47" s="209" t="n"/>
      <c r="J47" s="16" t="inlineStr">
        <is>
          <t>https://prospeo.io/s/sales-titles-hierarchy</t>
        </is>
      </c>
      <c r="K47" s="210" t="n"/>
      <c r="L47" s="210" t="n"/>
      <c r="M47" s="210" t="n"/>
      <c r="N47" s="209" t="n"/>
      <c r="O47" s="15" t="n">
        <v>3</v>
      </c>
    </row>
    <row r="48" ht="28" customHeight="1">
      <c r="A48" s="13" t="inlineStr">
        <is>
          <t>Marketing &amp; Communications</t>
        </is>
      </c>
      <c r="B48" s="210" t="n"/>
      <c r="C48" s="209" t="n"/>
      <c r="D48" s="16" t="inlineStr">
        <is>
          <t>CIM Global Professional Marketing Framework — proficiency Aware → Active learner → Able → Accomplished → Authoritative</t>
        </is>
      </c>
      <c r="E48" s="210" t="n"/>
      <c r="F48" s="210" t="n"/>
      <c r="G48" s="210" t="n"/>
      <c r="H48" s="210" t="n"/>
      <c r="I48" s="209" t="n"/>
      <c r="J48" s="16" t="inlineStr">
        <is>
          <t>https://www.cim.co.uk/more/professional-marketing-competencies</t>
        </is>
      </c>
      <c r="K48" s="210" t="n"/>
      <c r="L48" s="210" t="n"/>
      <c r="M48" s="210" t="n"/>
      <c r="N48" s="209" t="n"/>
      <c r="O48" s="15" t="n">
        <v>1</v>
      </c>
    </row>
    <row r="49" ht="15" customHeight="1">
      <c r="A49" s="13" t="inlineStr">
        <is>
          <t>Engineering &amp; Architecture</t>
        </is>
      </c>
      <c r="B49" s="210" t="n"/>
      <c r="C49" s="209" t="n"/>
      <c r="D49" s="16" t="inlineStr">
        <is>
          <t>SFIA 9 · solution architecture; TOGAF; AWS / Azure architect certifications</t>
        </is>
      </c>
      <c r="E49" s="210" t="n"/>
      <c r="F49" s="210" t="n"/>
      <c r="G49" s="210" t="n"/>
      <c r="H49" s="210" t="n"/>
      <c r="I49" s="209" t="n"/>
      <c r="J49" s="16" t="inlineStr">
        <is>
          <t>https://sfia-online.org</t>
        </is>
      </c>
      <c r="K49" s="210" t="n"/>
      <c r="L49" s="210" t="n"/>
      <c r="M49" s="210" t="n"/>
      <c r="N49" s="209" t="n"/>
      <c r="O49" s="15" t="n">
        <v>1</v>
      </c>
    </row>
    <row r="50" ht="15" customHeight="1">
      <c r="A50" s="13" t="inlineStr">
        <is>
          <t>Project &amp; Program Management</t>
        </is>
      </c>
      <c r="B50" s="210" t="n"/>
      <c r="C50" s="209" t="n"/>
      <c r="D50" s="16" t="inlineStr">
        <is>
          <t>PMI PMBOK and Talent Triangle; CAPM · entry → PMP → PgMP; Scrum / SAFe</t>
        </is>
      </c>
      <c r="E50" s="210" t="n"/>
      <c r="F50" s="210" t="n"/>
      <c r="G50" s="210" t="n"/>
      <c r="H50" s="210" t="n"/>
      <c r="I50" s="209" t="n"/>
      <c r="J50" s="16" t="inlineStr">
        <is>
          <t>https://www.pmi.org</t>
        </is>
      </c>
      <c r="K50" s="210" t="n"/>
      <c r="L50" s="210" t="n"/>
      <c r="M50" s="210" t="n"/>
      <c r="N50" s="209" t="n"/>
      <c r="O50" s="15" t="n">
        <v>1</v>
      </c>
    </row>
    <row r="51" ht="28" customHeight="1">
      <c r="A51" s="13" t="inlineStr">
        <is>
          <t>Executive Leadership</t>
        </is>
      </c>
      <c r="B51" s="210" t="n"/>
      <c r="C51" s="209" t="n"/>
      <c r="D51" s="16" t="inlineStr">
        <is>
          <t>Aon Radford executive levels E1–E6; Mercer ET1–ET3; Korn Ferry Leadership Architect</t>
        </is>
      </c>
      <c r="E51" s="210" t="n"/>
      <c r="F51" s="210" t="n"/>
      <c r="G51" s="210" t="n"/>
      <c r="H51" s="210" t="n"/>
      <c r="I51" s="209" t="n"/>
      <c r="J51" s="16" t="inlineStr">
        <is>
          <t>https://support.pave.com/articles/understand-job-levels-SiKTjMHZtr.md</t>
        </is>
      </c>
      <c r="K51" s="210" t="n"/>
      <c r="L51" s="210" t="n"/>
      <c r="M51" s="210" t="n"/>
      <c r="N51" s="209" t="n"/>
      <c r="O51" s="15" t="n">
        <v>1</v>
      </c>
    </row>
    <row r="52" ht="15" customHeight="1"/>
    <row r="53" ht="20" customHeight="1">
      <c r="A53" s="6" t="inlineStr">
        <is>
          <t>R3. Department × level benchmark — IRIS level vs competitors, regtech leaders and SaaS leaders · bottom to top</t>
        </is>
      </c>
    </row>
    <row r="54" ht="28" customHeight="1">
      <c r="A54" s="11" t="inlineStr">
        <is>
          <r>
            <rPr>
              <rFont val="Calibri"/>
              <b val="1"/>
              <i val="1"/>
              <color rgb="00595959"/>
              <sz val="10"/>
            </rPr>
            <t>For each department and each job family in it:</t>
          </r>
          <r>
            <rPr>
              <rFont val="Calibri"/>
              <i val="1"/>
              <color rgb="00595959"/>
              <sz val="10"/>
            </rPr>
            <t xml:space="preserve"> the IRIS title at each level, then the equivalent title at each benchmark company or standard. Blank = that company has no published equivalent at that level. Rows headed 'IRIS Vs Competitor Benchmark' · an IRIS composite or 'IRIS Vs Market Benchmark' · an IRIS mapping are IRIS's own assembly, not a published ladder.</t>
          </r>
        </is>
      </c>
    </row>
    <row r="55" ht="20" customHeight="1">
      <c r="A55" s="172" t="inlineStr">
        <is>
          <t>Technology — 33 people</t>
        </is>
      </c>
    </row>
    <row r="56" ht="15" customHeight="1">
      <c r="A56" s="208" t="inlineStr">
        <is>
          <t>IRIS Engineering &amp; Development Vs · Standard: SFIA 9 · software development, programming; OWASP secure coding; cloud vendor certifications · 15 here</t>
        </is>
      </c>
      <c r="B56" s="210" t="n"/>
      <c r="C56" s="210" t="n"/>
      <c r="D56" s="210" t="n"/>
      <c r="E56" s="210" t="n"/>
      <c r="F56" s="210" t="n"/>
      <c r="G56" s="210" t="n"/>
      <c r="H56" s="210" t="n"/>
      <c r="I56" s="210" t="n"/>
      <c r="J56" s="210" t="n"/>
      <c r="K56" s="210" t="n"/>
      <c r="L56" s="210" t="n"/>
      <c r="M56" s="210" t="n"/>
      <c r="N56" s="210" t="n"/>
      <c r="O56" s="209" t="n"/>
    </row>
    <row r="57" ht="15" customHeight="1">
      <c r="A57" s="92" t="inlineStr">
        <is>
          <t>Ladder / company</t>
        </is>
      </c>
      <c r="B57" s="92" t="inlineStr">
        <is>
          <t>A1</t>
        </is>
      </c>
      <c r="C57" s="92" t="inlineStr">
        <is>
          <t>A2</t>
        </is>
      </c>
      <c r="D57" s="92" t="inlineStr">
        <is>
          <t>A3</t>
        </is>
      </c>
      <c r="E57" s="92" t="inlineStr">
        <is>
          <t>B1</t>
        </is>
      </c>
      <c r="F57" s="92" t="inlineStr">
        <is>
          <t>B2</t>
        </is>
      </c>
      <c r="G57" s="92" t="inlineStr">
        <is>
          <t>B3</t>
        </is>
      </c>
      <c r="H57" s="92" t="inlineStr">
        <is>
          <t>B+</t>
        </is>
      </c>
      <c r="I57" s="92" t="inlineStr">
        <is>
          <t>C1</t>
        </is>
      </c>
      <c r="J57" s="92" t="inlineStr">
        <is>
          <t>C2</t>
        </is>
      </c>
      <c r="K57" s="92" t="inlineStr">
        <is>
          <t>C+</t>
        </is>
      </c>
      <c r="L57" s="92" t="inlineStr">
        <is>
          <t>D1</t>
        </is>
      </c>
      <c r="M57" s="92" t="inlineStr">
        <is>
          <t>D2</t>
        </is>
      </c>
      <c r="N57" s="92" t="inlineStr">
        <is>
          <t>E1</t>
        </is>
      </c>
      <c r="O57" s="92" t="inlineStr">
        <is>
          <t>E2</t>
        </is>
      </c>
    </row>
    <row r="58" ht="54" customHeight="1">
      <c r="A58" s="46" t="inlineStr">
        <is>
          <t>IRIS — IC title</t>
        </is>
      </c>
      <c r="B58" s="26" t="inlineStr">
        <is>
          <t>Intern / Trainee</t>
        </is>
      </c>
      <c r="C58" s="26" t="inlineStr">
        <is>
          <t>Associate</t>
        </is>
      </c>
      <c r="D58" s="26" t="inlineStr">
        <is>
          <t>Senior Associate</t>
        </is>
      </c>
      <c r="E58" s="20" t="inlineStr">
        <is>
          <t>Specialist</t>
        </is>
      </c>
      <c r="F58" s="20" t="inlineStr">
        <is>
          <t>Senior Specialist</t>
        </is>
      </c>
      <c r="G58" s="20" t="inlineStr">
        <is>
          <t>Lead Specialist</t>
        </is>
      </c>
      <c r="H58" s="30" t="inlineStr">
        <is>
          <t>Practice Lead · Player-Coach</t>
        </is>
      </c>
      <c r="I58" s="33" t="inlineStr">
        <is>
          <t>Principal</t>
        </is>
      </c>
      <c r="J58" s="33" t="inlineStr">
        <is>
          <t>Senior Principal / Architect</t>
        </is>
      </c>
      <c r="K58" s="36" t="inlineStr">
        <is>
          <t>Group Head · Player-Coach</t>
        </is>
      </c>
      <c r="L58" s="39" t="inlineStr">
        <is>
          <t>Chief Specialist / Distinguished Principal</t>
        </is>
      </c>
      <c r="M58" s="39" t="inlineStr">
        <is>
          <t>—</t>
        </is>
      </c>
      <c r="N58" s="42" t="inlineStr">
        <is>
          <t>—</t>
        </is>
      </c>
      <c r="O58" s="42" t="inlineStr">
        <is>
          <t>—</t>
        </is>
      </c>
    </row>
    <row r="59" ht="54" customHeight="1">
      <c r="A59" s="46" t="inlineStr">
        <is>
          <t>IRIS — Manager title</t>
        </is>
      </c>
      <c r="B59" s="26" t="inlineStr"/>
      <c r="C59" s="26" t="inlineStr"/>
      <c r="D59" s="26" t="inlineStr"/>
      <c r="E59" s="20" t="inlineStr">
        <is>
          <t>Team Lead</t>
        </is>
      </c>
      <c r="F59" s="20" t="inlineStr">
        <is>
          <t>Manager</t>
        </is>
      </c>
      <c r="G59" s="20" t="inlineStr">
        <is>
          <t>Senior Manager</t>
        </is>
      </c>
      <c r="H59" s="30" t="inlineStr">
        <is>
          <t>Practice Lead · Player-Coach</t>
        </is>
      </c>
      <c r="I59" s="33" t="inlineStr">
        <is>
          <t>Associate Head</t>
        </is>
      </c>
      <c r="J59" s="33" t="inlineStr">
        <is>
          <t>Head of Function</t>
        </is>
      </c>
      <c r="K59" s="36" t="inlineStr">
        <is>
          <t>Group Head · Player-Coach</t>
        </is>
      </c>
      <c r="L59" s="39" t="inlineStr">
        <is>
          <t>Associate Vice President / Business Head</t>
        </is>
      </c>
      <c r="M59" s="39" t="inlineStr">
        <is>
          <t>Vice President</t>
        </is>
      </c>
      <c r="N59" s="42" t="inlineStr">
        <is>
          <t>CXO / President</t>
        </is>
      </c>
      <c r="O59" s="42" t="inlineStr">
        <is>
          <t>Chief Executive Officer</t>
        </is>
      </c>
    </row>
    <row r="60" ht="15" customHeight="1">
      <c r="A60" s="46" t="inlineStr">
        <is>
          <t>IRIS — people at level</t>
        </is>
      </c>
      <c r="B60" s="26" t="n">
        <v>2</v>
      </c>
      <c r="C60" s="26" t="n">
        <v>2</v>
      </c>
      <c r="D60" s="26" t="n">
        <v>9</v>
      </c>
      <c r="E60" s="20" t="n">
        <v>1</v>
      </c>
      <c r="F60" s="20" t="inlineStr"/>
      <c r="G60" s="20" t="n">
        <v>1</v>
      </c>
      <c r="H60" s="30" t="inlineStr"/>
      <c r="I60" s="33" t="inlineStr"/>
      <c r="J60" s="33" t="inlineStr"/>
      <c r="K60" s="36" t="inlineStr"/>
      <c r="L60" s="39" t="inlineStr"/>
      <c r="M60" s="39" t="inlineStr"/>
      <c r="N60" s="42" t="inlineStr"/>
      <c r="O60" s="42" t="inlineStr"/>
    </row>
    <row r="61" ht="28" customHeight="1">
      <c r="A61" s="13" t="inlineStr">
        <is>
          <t>Workiva</t>
        </is>
      </c>
      <c r="B61" s="15" t="inlineStr"/>
      <c r="C61" s="15" t="inlineStr">
        <is>
          <t>Associate SE</t>
        </is>
      </c>
      <c r="D61" s="15" t="inlineStr">
        <is>
          <t>SE</t>
        </is>
      </c>
      <c r="E61" s="15" t="inlineStr">
        <is>
          <t>SE / Senior SE</t>
        </is>
      </c>
      <c r="F61" s="15" t="inlineStr">
        <is>
          <t>Senior SE</t>
        </is>
      </c>
      <c r="G61" s="15" t="inlineStr">
        <is>
          <t>Staff SE</t>
        </is>
      </c>
      <c r="H61" s="15" t="inlineStr"/>
      <c r="I61" s="15" t="inlineStr"/>
      <c r="J61" s="15" t="inlineStr"/>
      <c r="K61" s="15" t="inlineStr"/>
      <c r="L61" s="15" t="inlineStr"/>
      <c r="M61" s="15" t="inlineStr"/>
      <c r="N61" s="15" t="inlineStr"/>
      <c r="O61" s="15" t="inlineStr"/>
    </row>
    <row r="62" ht="28" customHeight="1">
      <c r="A62" s="13" t="inlineStr">
        <is>
          <t>Broadridge India</t>
        </is>
      </c>
      <c r="B62" s="15" t="inlineStr"/>
      <c r="C62" s="15" t="inlineStr">
        <is>
          <t>SE</t>
        </is>
      </c>
      <c r="D62" s="15" t="inlineStr">
        <is>
          <t>SE</t>
        </is>
      </c>
      <c r="E62" s="15" t="inlineStr">
        <is>
          <t>Senior SE</t>
        </is>
      </c>
      <c r="F62" s="15" t="inlineStr">
        <is>
          <t>Lead SE</t>
        </is>
      </c>
      <c r="G62" s="15" t="inlineStr">
        <is>
          <t>Senior Lead SE</t>
        </is>
      </c>
      <c r="H62" s="15" t="inlineStr"/>
      <c r="I62" s="15" t="inlineStr"/>
      <c r="J62" s="15" t="inlineStr"/>
      <c r="K62" s="15" t="inlineStr"/>
      <c r="L62" s="15" t="inlineStr"/>
      <c r="M62" s="15" t="inlineStr"/>
      <c r="N62" s="15" t="inlineStr"/>
      <c r="O62" s="15" t="inlineStr"/>
    </row>
    <row r="63" ht="15" customHeight="1">
      <c r="A63" s="13" t="inlineStr">
        <is>
          <t>Nasdaq / AxiomSL</t>
        </is>
      </c>
      <c r="B63" s="15" t="inlineStr"/>
      <c r="C63" s="15" t="inlineStr">
        <is>
          <t>SE</t>
        </is>
      </c>
      <c r="D63" s="15" t="inlineStr">
        <is>
          <t>SE</t>
        </is>
      </c>
      <c r="E63" s="15" t="inlineStr">
        <is>
          <t>Senior SE</t>
        </is>
      </c>
      <c r="F63" s="15" t="inlineStr">
        <is>
          <t>Senior SE</t>
        </is>
      </c>
      <c r="G63" s="15" t="inlineStr">
        <is>
          <t>Lead SE</t>
        </is>
      </c>
      <c r="H63" s="15" t="inlineStr"/>
      <c r="I63" s="15" t="inlineStr">
        <is>
          <t>Principal SE</t>
        </is>
      </c>
      <c r="J63" s="15" t="inlineStr"/>
      <c r="K63" s="15" t="inlineStr"/>
      <c r="L63" s="15" t="inlineStr"/>
      <c r="M63" s="15" t="inlineStr"/>
      <c r="N63" s="15" t="inlineStr"/>
      <c r="O63" s="15" t="inlineStr"/>
    </row>
    <row r="64" ht="41" customHeight="1">
      <c r="A64" s="13" t="inlineStr">
        <is>
          <t>Salesforce</t>
        </is>
      </c>
      <c r="B64" s="15" t="inlineStr"/>
      <c r="C64" s="15" t="inlineStr">
        <is>
          <t>AMTS</t>
        </is>
      </c>
      <c r="D64" s="15" t="inlineStr">
        <is>
          <t>MTS</t>
        </is>
      </c>
      <c r="E64" s="15" t="inlineStr">
        <is>
          <t>MTS</t>
        </is>
      </c>
      <c r="F64" s="15" t="inlineStr">
        <is>
          <t>SMTS</t>
        </is>
      </c>
      <c r="G64" s="15" t="inlineStr">
        <is>
          <t>LMTS</t>
        </is>
      </c>
      <c r="H64" s="15" t="inlineStr"/>
      <c r="I64" s="15" t="inlineStr">
        <is>
          <t>PMTS</t>
        </is>
      </c>
      <c r="J64" s="15" t="inlineStr">
        <is>
          <t>Architect / Principal Architect</t>
        </is>
      </c>
      <c r="K64" s="15" t="inlineStr"/>
      <c r="L64" s="15" t="inlineStr">
        <is>
          <t>Distinguished Engineer</t>
        </is>
      </c>
      <c r="M64" s="15" t="inlineStr"/>
      <c r="N64" s="15" t="inlineStr"/>
      <c r="O64" s="15" t="inlineStr"/>
    </row>
    <row r="65" ht="28" customHeight="1">
      <c r="A65" s="13" t="inlineStr">
        <is>
          <t>Atlassian</t>
        </is>
      </c>
      <c r="B65" s="15" t="inlineStr"/>
      <c r="C65" s="15" t="inlineStr">
        <is>
          <t>P30 Junior · 0–2 yrs</t>
        </is>
      </c>
      <c r="D65" s="15" t="inlineStr">
        <is>
          <t>P40 · 3–7 yrs</t>
        </is>
      </c>
      <c r="E65" s="15" t="inlineStr">
        <is>
          <t>P40</t>
        </is>
      </c>
      <c r="F65" s="15" t="inlineStr">
        <is>
          <t>P50 Senior · 6–12 yrs</t>
        </is>
      </c>
      <c r="G65" s="15" t="inlineStr">
        <is>
          <t>P50 Senior</t>
        </is>
      </c>
      <c r="H65" s="15" t="inlineStr"/>
      <c r="I65" s="15" t="inlineStr">
        <is>
          <t>P60 Principal · 10+ yrs</t>
        </is>
      </c>
      <c r="J65" s="15" t="inlineStr">
        <is>
          <t>P70</t>
        </is>
      </c>
      <c r="K65" s="15" t="inlineStr"/>
      <c r="L65" s="15" t="inlineStr"/>
      <c r="M65" s="15" t="inlineStr"/>
      <c r="N65" s="15" t="inlineStr"/>
      <c r="O65" s="15" t="inlineStr"/>
    </row>
    <row r="66" ht="28" customHeight="1">
      <c r="A66" s="13" t="inlineStr">
        <is>
          <t>Freshworks</t>
        </is>
      </c>
      <c r="B66" s="15" t="inlineStr"/>
      <c r="C66" s="15" t="inlineStr">
        <is>
          <t>SE</t>
        </is>
      </c>
      <c r="D66" s="15" t="inlineStr">
        <is>
          <t>Senior SE</t>
        </is>
      </c>
      <c r="E66" s="15" t="inlineStr">
        <is>
          <t>Senior SE</t>
        </is>
      </c>
      <c r="F66" s="15" t="inlineStr">
        <is>
          <t>Lead SE</t>
        </is>
      </c>
      <c r="G66" s="15" t="inlineStr">
        <is>
          <t>Staff SE</t>
        </is>
      </c>
      <c r="H66" s="15" t="inlineStr"/>
      <c r="I66" s="15" t="inlineStr">
        <is>
          <t>Senior Staff SE</t>
        </is>
      </c>
      <c r="J66" s="15" t="inlineStr">
        <is>
          <t>Principal Engineer</t>
        </is>
      </c>
      <c r="K66" s="15" t="inlineStr"/>
      <c r="L66" s="15" t="inlineStr"/>
      <c r="M66" s="15" t="inlineStr"/>
      <c r="N66" s="15" t="inlineStr"/>
      <c r="O66" s="15" t="inlineStr"/>
    </row>
    <row r="67" ht="28" customHeight="1">
      <c r="A67" s="13" t="inlineStr">
        <is>
          <t>Clear · C14; unverified</t>
        </is>
      </c>
      <c r="B67" s="15" t="inlineStr"/>
      <c r="C67" s="15" t="inlineStr">
        <is>
          <t>SDE1</t>
        </is>
      </c>
      <c r="D67" s="15" t="inlineStr">
        <is>
          <t>SDE2</t>
        </is>
      </c>
      <c r="E67" s="15" t="inlineStr">
        <is>
          <t>SDE2</t>
        </is>
      </c>
      <c r="F67" s="15" t="inlineStr">
        <is>
          <t>SDE3 / Senior</t>
        </is>
      </c>
      <c r="G67" s="15" t="inlineStr">
        <is>
          <t>Staff</t>
        </is>
      </c>
      <c r="H67" s="15" t="inlineStr"/>
      <c r="I67" s="15" t="inlineStr"/>
      <c r="J67" s="15" t="inlineStr"/>
      <c r="K67" s="15" t="inlineStr"/>
      <c r="L67" s="15" t="inlineStr"/>
      <c r="M67" s="15" t="inlineStr"/>
      <c r="N67" s="15" t="inlineStr"/>
      <c r="O67" s="15" t="inlineStr"/>
    </row>
    <row r="68" ht="28" customHeight="1">
      <c r="A68" s="13" t="inlineStr">
        <is>
          <t>Google Tech Lead Manager</t>
        </is>
      </c>
      <c r="B68" s="15" t="inlineStr"/>
      <c r="C68" s="15" t="inlineStr"/>
      <c r="D68" s="15" t="inlineStr"/>
      <c r="E68" s="15" t="inlineStr"/>
      <c r="F68" s="15" t="inlineStr"/>
      <c r="G68" s="15" t="inlineStr"/>
      <c r="H68" s="15" t="inlineStr">
        <is>
          <t>Tech Lead Manager · TLM</t>
        </is>
      </c>
      <c r="I68" s="15" t="inlineStr"/>
      <c r="J68" s="15" t="inlineStr"/>
      <c r="K68" s="15" t="inlineStr">
        <is>
          <t>Senior TLM / Director</t>
        </is>
      </c>
      <c r="L68" s="15" t="inlineStr"/>
      <c r="M68" s="15" t="inlineStr"/>
      <c r="N68" s="15" t="inlineStr"/>
      <c r="O68" s="15" t="inlineStr"/>
    </row>
    <row r="69" ht="54" customHeight="1">
      <c r="A69" s="13" t="inlineStr">
        <is>
          <t>IRIS Vs Competitor Benchmark — engineering managers · informed by Freshworks, GitLab; C12, C20</t>
        </is>
      </c>
      <c r="B69" s="15" t="inlineStr"/>
      <c r="C69" s="15" t="inlineStr"/>
      <c r="D69" s="15" t="inlineStr"/>
      <c r="E69" s="15" t="inlineStr"/>
      <c r="F69" s="15" t="inlineStr">
        <is>
          <t>Engineering Manager</t>
        </is>
      </c>
      <c r="G69" s="15" t="inlineStr">
        <is>
          <t>Senior EM</t>
        </is>
      </c>
      <c r="H69" s="15" t="inlineStr"/>
      <c r="I69" s="15" t="inlineStr">
        <is>
          <t>Senior EM / Director</t>
        </is>
      </c>
      <c r="J69" s="15" t="inlineStr">
        <is>
          <t>Director Engineering</t>
        </is>
      </c>
      <c r="K69" s="15" t="inlineStr"/>
      <c r="L69" s="15" t="inlineStr">
        <is>
          <t>Senior Director</t>
        </is>
      </c>
      <c r="M69" s="15" t="inlineStr">
        <is>
          <t>VP Engineering</t>
        </is>
      </c>
      <c r="N69" s="15" t="inlineStr">
        <is>
          <t>CTO</t>
        </is>
      </c>
      <c r="O69" s="15" t="inlineStr"/>
    </row>
    <row r="70" ht="15" customHeight="1"/>
    <row r="71" ht="15" customHeight="1">
      <c r="A71" s="208" t="inlineStr">
        <is>
          <t>IRIS Business Analysis Vs · Standard: IIBA BABOK v3; certifications ECBA · entry → CCBA → CBAP · senior · 13 here</t>
        </is>
      </c>
      <c r="B71" s="210" t="n"/>
      <c r="C71" s="210" t="n"/>
      <c r="D71" s="210" t="n"/>
      <c r="E71" s="210" t="n"/>
      <c r="F71" s="210" t="n"/>
      <c r="G71" s="210" t="n"/>
      <c r="H71" s="210" t="n"/>
      <c r="I71" s="210" t="n"/>
      <c r="J71" s="210" t="n"/>
      <c r="K71" s="210" t="n"/>
      <c r="L71" s="210" t="n"/>
      <c r="M71" s="210" t="n"/>
      <c r="N71" s="210" t="n"/>
      <c r="O71" s="209" t="n"/>
    </row>
    <row r="72" ht="15" customHeight="1">
      <c r="A72" s="92" t="inlineStr">
        <is>
          <t>Ladder / company</t>
        </is>
      </c>
      <c r="B72" s="92" t="inlineStr">
        <is>
          <t>A1</t>
        </is>
      </c>
      <c r="C72" s="92" t="inlineStr">
        <is>
          <t>A2</t>
        </is>
      </c>
      <c r="D72" s="92" t="inlineStr">
        <is>
          <t>A3</t>
        </is>
      </c>
      <c r="E72" s="92" t="inlineStr">
        <is>
          <t>B1</t>
        </is>
      </c>
      <c r="F72" s="92" t="inlineStr">
        <is>
          <t>B2</t>
        </is>
      </c>
      <c r="G72" s="92" t="inlineStr">
        <is>
          <t>B3</t>
        </is>
      </c>
      <c r="H72" s="92" t="inlineStr">
        <is>
          <t>B+</t>
        </is>
      </c>
      <c r="I72" s="92" t="inlineStr">
        <is>
          <t>C1</t>
        </is>
      </c>
      <c r="J72" s="92" t="inlineStr">
        <is>
          <t>C2</t>
        </is>
      </c>
      <c r="K72" s="92" t="inlineStr">
        <is>
          <t>C+</t>
        </is>
      </c>
      <c r="L72" s="92" t="inlineStr">
        <is>
          <t>D1</t>
        </is>
      </c>
      <c r="M72" s="92" t="inlineStr">
        <is>
          <t>D2</t>
        </is>
      </c>
      <c r="N72" s="92" t="inlineStr">
        <is>
          <t>E1</t>
        </is>
      </c>
      <c r="O72" s="92" t="inlineStr">
        <is>
          <t>E2</t>
        </is>
      </c>
    </row>
    <row r="73" ht="54" customHeight="1">
      <c r="A73" s="46" t="inlineStr">
        <is>
          <t>IRIS — IC title</t>
        </is>
      </c>
      <c r="B73" s="26" t="inlineStr">
        <is>
          <t>Intern / Trainee</t>
        </is>
      </c>
      <c r="C73" s="26" t="inlineStr">
        <is>
          <t>Associate</t>
        </is>
      </c>
      <c r="D73" s="26" t="inlineStr">
        <is>
          <t>Senior Associate</t>
        </is>
      </c>
      <c r="E73" s="20" t="inlineStr">
        <is>
          <t>Specialist</t>
        </is>
      </c>
      <c r="F73" s="20" t="inlineStr">
        <is>
          <t>Senior Specialist</t>
        </is>
      </c>
      <c r="G73" s="20" t="inlineStr">
        <is>
          <t>Lead Specialist</t>
        </is>
      </c>
      <c r="H73" s="30" t="inlineStr">
        <is>
          <t>Practice Lead · Player-Coach</t>
        </is>
      </c>
      <c r="I73" s="33" t="inlineStr">
        <is>
          <t>Principal</t>
        </is>
      </c>
      <c r="J73" s="33" t="inlineStr">
        <is>
          <t>Senior Principal / Architect</t>
        </is>
      </c>
      <c r="K73" s="36" t="inlineStr">
        <is>
          <t>Group Head · Player-Coach</t>
        </is>
      </c>
      <c r="L73" s="39" t="inlineStr">
        <is>
          <t>Chief Specialist / Distinguished Principal</t>
        </is>
      </c>
      <c r="M73" s="39" t="inlineStr">
        <is>
          <t>—</t>
        </is>
      </c>
      <c r="N73" s="42" t="inlineStr">
        <is>
          <t>—</t>
        </is>
      </c>
      <c r="O73" s="42" t="inlineStr">
        <is>
          <t>—</t>
        </is>
      </c>
    </row>
    <row r="74" ht="54" customHeight="1">
      <c r="A74" s="46" t="inlineStr">
        <is>
          <t>IRIS — Manager title</t>
        </is>
      </c>
      <c r="B74" s="26" t="inlineStr"/>
      <c r="C74" s="26" t="inlineStr"/>
      <c r="D74" s="26" t="inlineStr"/>
      <c r="E74" s="20" t="inlineStr">
        <is>
          <t>Team Lead</t>
        </is>
      </c>
      <c r="F74" s="20" t="inlineStr">
        <is>
          <t>Manager</t>
        </is>
      </c>
      <c r="G74" s="20" t="inlineStr">
        <is>
          <t>Senior Manager</t>
        </is>
      </c>
      <c r="H74" s="30" t="inlineStr">
        <is>
          <t>Practice Lead · Player-Coach</t>
        </is>
      </c>
      <c r="I74" s="33" t="inlineStr">
        <is>
          <t>Associate Head</t>
        </is>
      </c>
      <c r="J74" s="33" t="inlineStr">
        <is>
          <t>Head of Function</t>
        </is>
      </c>
      <c r="K74" s="36" t="inlineStr">
        <is>
          <t>Group Head · Player-Coach</t>
        </is>
      </c>
      <c r="L74" s="39" t="inlineStr">
        <is>
          <t>Associate Vice President / Business Head</t>
        </is>
      </c>
      <c r="M74" s="39" t="inlineStr">
        <is>
          <t>Vice President</t>
        </is>
      </c>
      <c r="N74" s="42" t="inlineStr">
        <is>
          <t>CXO / President</t>
        </is>
      </c>
      <c r="O74" s="42" t="inlineStr">
        <is>
          <t>Chief Executive Officer</t>
        </is>
      </c>
    </row>
    <row r="75" ht="15" customHeight="1">
      <c r="A75" s="46" t="inlineStr">
        <is>
          <t>IRIS — people at level</t>
        </is>
      </c>
      <c r="B75" s="26" t="inlineStr"/>
      <c r="C75" s="26" t="inlineStr"/>
      <c r="D75" s="26" t="n">
        <v>8</v>
      </c>
      <c r="E75" s="20" t="n">
        <v>5</v>
      </c>
      <c r="F75" s="20" t="inlineStr"/>
      <c r="G75" s="20" t="inlineStr"/>
      <c r="H75" s="30" t="inlineStr"/>
      <c r="I75" s="33" t="inlineStr"/>
      <c r="J75" s="33" t="inlineStr"/>
      <c r="K75" s="36" t="inlineStr"/>
      <c r="L75" s="39" t="inlineStr"/>
      <c r="M75" s="39" t="inlineStr"/>
      <c r="N75" s="42" t="inlineStr"/>
      <c r="O75" s="42" t="inlineStr"/>
    </row>
    <row r="76" ht="28" customHeight="1">
      <c r="A76" s="13" t="inlineStr">
        <is>
          <t>Regnology — regulatory reporting</t>
        </is>
      </c>
      <c r="B76" s="15" t="inlineStr"/>
      <c r="C76" s="15" t="inlineStr"/>
      <c r="D76" s="15" t="inlineStr">
        <is>
          <t>Junior BA · Reg Reporting</t>
        </is>
      </c>
      <c r="E76" s="15" t="inlineStr">
        <is>
          <t>BA · Reg Reporting</t>
        </is>
      </c>
      <c r="F76" s="15" t="inlineStr">
        <is>
          <t>Senior BA · Reg Reporting</t>
        </is>
      </c>
      <c r="G76" s="15" t="inlineStr"/>
      <c r="H76" s="15" t="inlineStr"/>
      <c r="I76" s="15" t="inlineStr"/>
      <c r="J76" s="15" t="inlineStr"/>
      <c r="K76" s="15" t="inlineStr"/>
      <c r="L76" s="15" t="inlineStr"/>
      <c r="M76" s="15" t="inlineStr"/>
      <c r="N76" s="15" t="inlineStr"/>
      <c r="O76" s="15" t="inlineStr"/>
    </row>
    <row r="77" ht="28" customHeight="1">
      <c r="A77" s="13" t="inlineStr">
        <is>
          <t>Big Four consulting</t>
        </is>
      </c>
      <c r="B77" s="15" t="inlineStr"/>
      <c r="C77" s="15" t="inlineStr">
        <is>
          <t>Analyst</t>
        </is>
      </c>
      <c r="D77" s="15" t="inlineStr">
        <is>
          <t>Consultant</t>
        </is>
      </c>
      <c r="E77" s="15" t="inlineStr">
        <is>
          <t>Senior Consultant</t>
        </is>
      </c>
      <c r="F77" s="15" t="inlineStr">
        <is>
          <t>Manager</t>
        </is>
      </c>
      <c r="G77" s="15" t="inlineStr">
        <is>
          <t>Senior Manager</t>
        </is>
      </c>
      <c r="H77" s="15" t="inlineStr"/>
      <c r="I77" s="15" t="inlineStr">
        <is>
          <t>Associate Director</t>
        </is>
      </c>
      <c r="J77" s="15" t="inlineStr">
        <is>
          <t>Director</t>
        </is>
      </c>
      <c r="K77" s="15" t="inlineStr"/>
      <c r="L77" s="15" t="inlineStr"/>
      <c r="M77" s="15" t="inlineStr"/>
      <c r="N77" s="15" t="inlineStr"/>
      <c r="O77" s="15" t="inlineStr"/>
    </row>
    <row r="78" ht="54" customHeight="1">
      <c r="A78" s="13" t="inlineStr">
        <is>
          <t>IRIS Vs Market Benchmark — IIBA certification pathway · IIBA sets the certificates, not the level match</t>
        </is>
      </c>
      <c r="B78" s="15" t="inlineStr"/>
      <c r="C78" s="15" t="inlineStr">
        <is>
          <t>ECBA</t>
        </is>
      </c>
      <c r="D78" s="15" t="inlineStr">
        <is>
          <t>ECBA</t>
        </is>
      </c>
      <c r="E78" s="15" t="inlineStr">
        <is>
          <t>CCBA</t>
        </is>
      </c>
      <c r="F78" s="15" t="inlineStr">
        <is>
          <t>CBAP</t>
        </is>
      </c>
      <c r="G78" s="15" t="inlineStr">
        <is>
          <t>CBAP</t>
        </is>
      </c>
      <c r="H78" s="15" t="inlineStr"/>
      <c r="I78" s="15" t="inlineStr">
        <is>
          <t>CBAP</t>
        </is>
      </c>
      <c r="J78" s="15" t="inlineStr"/>
      <c r="K78" s="15" t="inlineStr"/>
      <c r="L78" s="15" t="inlineStr"/>
      <c r="M78" s="15" t="inlineStr"/>
      <c r="N78" s="15" t="inlineStr"/>
      <c r="O78" s="15" t="inlineStr"/>
    </row>
    <row r="79" ht="41" customHeight="1">
      <c r="A79" s="13" t="inlineStr">
        <is>
          <t>Infosys / Accenture</t>
        </is>
      </c>
      <c r="B79" s="15" t="inlineStr"/>
      <c r="C79" s="15" t="inlineStr">
        <is>
          <t>JL3B · L11 Analyst</t>
        </is>
      </c>
      <c r="D79" s="15" t="inlineStr">
        <is>
          <t>JL3A · L10 Senior Analyst</t>
        </is>
      </c>
      <c r="E79" s="15" t="inlineStr">
        <is>
          <t>JL4 · L9 Consultant</t>
        </is>
      </c>
      <c r="F79" s="15" t="inlineStr">
        <is>
          <t>JL5 · L8 Associate Manager</t>
        </is>
      </c>
      <c r="G79" s="15" t="inlineStr">
        <is>
          <t>JL6B · L7 Manager</t>
        </is>
      </c>
      <c r="H79" s="15" t="inlineStr"/>
      <c r="I79" s="15" t="inlineStr"/>
      <c r="J79" s="15" t="inlineStr"/>
      <c r="K79" s="15" t="inlineStr"/>
      <c r="L79" s="15" t="inlineStr"/>
      <c r="M79" s="15" t="inlineStr"/>
      <c r="N79" s="15" t="inlineStr"/>
      <c r="O79" s="15" t="inlineStr"/>
    </row>
    <row r="80" ht="15" customHeight="1"/>
    <row r="81" ht="15" customHeight="1">
      <c r="A81" s="208" t="inlineStr">
        <is>
          <t>IRIS Customer Success &amp; Support Vs · Standard: TSIA frameworks and benchmarks; ITIL 4 service desk; Gainsight customer-success practice · 3 here</t>
        </is>
      </c>
      <c r="B81" s="210" t="n"/>
      <c r="C81" s="210" t="n"/>
      <c r="D81" s="210" t="n"/>
      <c r="E81" s="210" t="n"/>
      <c r="F81" s="210" t="n"/>
      <c r="G81" s="210" t="n"/>
      <c r="H81" s="210" t="n"/>
      <c r="I81" s="210" t="n"/>
      <c r="J81" s="210" t="n"/>
      <c r="K81" s="210" t="n"/>
      <c r="L81" s="210" t="n"/>
      <c r="M81" s="210" t="n"/>
      <c r="N81" s="210" t="n"/>
      <c r="O81" s="209" t="n"/>
    </row>
    <row r="82" ht="15" customHeight="1">
      <c r="A82" s="92" t="inlineStr">
        <is>
          <t>Ladder / company</t>
        </is>
      </c>
      <c r="B82" s="92" t="inlineStr">
        <is>
          <t>A1</t>
        </is>
      </c>
      <c r="C82" s="92" t="inlineStr">
        <is>
          <t>A2</t>
        </is>
      </c>
      <c r="D82" s="92" t="inlineStr">
        <is>
          <t>A3</t>
        </is>
      </c>
      <c r="E82" s="92" t="inlineStr">
        <is>
          <t>B1</t>
        </is>
      </c>
      <c r="F82" s="92" t="inlineStr">
        <is>
          <t>B2</t>
        </is>
      </c>
      <c r="G82" s="92" t="inlineStr">
        <is>
          <t>B3</t>
        </is>
      </c>
      <c r="H82" s="92" t="inlineStr">
        <is>
          <t>B+</t>
        </is>
      </c>
      <c r="I82" s="92" t="inlineStr">
        <is>
          <t>C1</t>
        </is>
      </c>
      <c r="J82" s="92" t="inlineStr">
        <is>
          <t>C2</t>
        </is>
      </c>
      <c r="K82" s="92" t="inlineStr">
        <is>
          <t>C+</t>
        </is>
      </c>
      <c r="L82" s="92" t="inlineStr">
        <is>
          <t>D1</t>
        </is>
      </c>
      <c r="M82" s="92" t="inlineStr">
        <is>
          <t>D2</t>
        </is>
      </c>
      <c r="N82" s="92" t="inlineStr">
        <is>
          <t>E1</t>
        </is>
      </c>
      <c r="O82" s="92" t="inlineStr">
        <is>
          <t>E2</t>
        </is>
      </c>
    </row>
    <row r="83" ht="54" customHeight="1">
      <c r="A83" s="46" t="inlineStr">
        <is>
          <t>IRIS — IC title</t>
        </is>
      </c>
      <c r="B83" s="26" t="inlineStr">
        <is>
          <t>Intern / Trainee</t>
        </is>
      </c>
      <c r="C83" s="26" t="inlineStr">
        <is>
          <t>Associate</t>
        </is>
      </c>
      <c r="D83" s="26" t="inlineStr">
        <is>
          <t>Senior Associate</t>
        </is>
      </c>
      <c r="E83" s="20" t="inlineStr">
        <is>
          <t>Specialist</t>
        </is>
      </c>
      <c r="F83" s="20" t="inlineStr">
        <is>
          <t>Senior Specialist</t>
        </is>
      </c>
      <c r="G83" s="20" t="inlineStr">
        <is>
          <t>Lead Specialist</t>
        </is>
      </c>
      <c r="H83" s="30" t="inlineStr">
        <is>
          <t>Practice Lead · Player-Coach</t>
        </is>
      </c>
      <c r="I83" s="33" t="inlineStr">
        <is>
          <t>Principal</t>
        </is>
      </c>
      <c r="J83" s="33" t="inlineStr">
        <is>
          <t>Senior Principal / Architect</t>
        </is>
      </c>
      <c r="K83" s="36" t="inlineStr">
        <is>
          <t>Group Head · Player-Coach</t>
        </is>
      </c>
      <c r="L83" s="39" t="inlineStr">
        <is>
          <t>Chief Specialist / Distinguished Principal</t>
        </is>
      </c>
      <c r="M83" s="39" t="inlineStr">
        <is>
          <t>—</t>
        </is>
      </c>
      <c r="N83" s="42" t="inlineStr">
        <is>
          <t>—</t>
        </is>
      </c>
      <c r="O83" s="42" t="inlineStr">
        <is>
          <t>—</t>
        </is>
      </c>
    </row>
    <row r="84" ht="54" customHeight="1">
      <c r="A84" s="46" t="inlineStr">
        <is>
          <t>IRIS — Manager title</t>
        </is>
      </c>
      <c r="B84" s="26" t="inlineStr"/>
      <c r="C84" s="26" t="inlineStr"/>
      <c r="D84" s="26" t="inlineStr"/>
      <c r="E84" s="20" t="inlineStr">
        <is>
          <t>Team Lead</t>
        </is>
      </c>
      <c r="F84" s="20" t="inlineStr">
        <is>
          <t>Manager</t>
        </is>
      </c>
      <c r="G84" s="20" t="inlineStr">
        <is>
          <t>Senior Manager</t>
        </is>
      </c>
      <c r="H84" s="30" t="inlineStr">
        <is>
          <t>Practice Lead · Player-Coach</t>
        </is>
      </c>
      <c r="I84" s="33" t="inlineStr">
        <is>
          <t>Associate Head</t>
        </is>
      </c>
      <c r="J84" s="33" t="inlineStr">
        <is>
          <t>Head of Function</t>
        </is>
      </c>
      <c r="K84" s="36" t="inlineStr">
        <is>
          <t>Group Head · Player-Coach</t>
        </is>
      </c>
      <c r="L84" s="39" t="inlineStr">
        <is>
          <t>Associate Vice President / Business Head</t>
        </is>
      </c>
      <c r="M84" s="39" t="inlineStr">
        <is>
          <t>Vice President</t>
        </is>
      </c>
      <c r="N84" s="42" t="inlineStr">
        <is>
          <t>CXO / President</t>
        </is>
      </c>
      <c r="O84" s="42" t="inlineStr">
        <is>
          <t>Chief Executive Officer</t>
        </is>
      </c>
    </row>
    <row r="85" ht="15" customHeight="1">
      <c r="A85" s="46" t="inlineStr">
        <is>
          <t>IRIS — people at level</t>
        </is>
      </c>
      <c r="B85" s="26" t="inlineStr"/>
      <c r="C85" s="26" t="n">
        <v>1</v>
      </c>
      <c r="D85" s="26" t="n">
        <v>2</v>
      </c>
      <c r="E85" s="20" t="inlineStr"/>
      <c r="F85" s="20" t="inlineStr"/>
      <c r="G85" s="20" t="inlineStr"/>
      <c r="H85" s="30" t="inlineStr"/>
      <c r="I85" s="33" t="inlineStr"/>
      <c r="J85" s="33" t="inlineStr"/>
      <c r="K85" s="36" t="inlineStr"/>
      <c r="L85" s="39" t="inlineStr"/>
      <c r="M85" s="39" t="inlineStr"/>
      <c r="N85" s="42" t="inlineStr"/>
      <c r="O85" s="42" t="inlineStr"/>
    </row>
    <row r="86" ht="41" customHeight="1">
      <c r="A86" s="13" t="inlineStr">
        <is>
          <t>Workiva</t>
        </is>
      </c>
      <c r="B86" s="15" t="inlineStr">
        <is>
          <t>Customer Success intern</t>
        </is>
      </c>
      <c r="C86" s="15" t="inlineStr"/>
      <c r="D86" s="15" t="inlineStr"/>
      <c r="E86" s="15" t="inlineStr">
        <is>
          <t>Customer Success Manager</t>
        </is>
      </c>
      <c r="F86" s="15" t="inlineStr">
        <is>
          <t>Product Success Manager</t>
        </is>
      </c>
      <c r="G86" s="15" t="inlineStr">
        <is>
          <t>Customer Success Architect</t>
        </is>
      </c>
      <c r="H86" s="15" t="inlineStr"/>
      <c r="I86" s="15" t="inlineStr"/>
      <c r="J86" s="15" t="inlineStr"/>
      <c r="K86" s="15" t="inlineStr"/>
      <c r="L86" s="15" t="inlineStr"/>
      <c r="M86" s="15" t="inlineStr"/>
      <c r="N86" s="15" t="inlineStr"/>
      <c r="O86" s="15" t="inlineStr"/>
    </row>
    <row r="87" ht="54" customHeight="1">
      <c r="A87" s="13" t="inlineStr">
        <is>
          <t>IRIS Vs Competitor Benchmark — SaaS customer-success ladder · informed by Gainsight postings, C15</t>
        </is>
      </c>
      <c r="B87" s="15" t="inlineStr"/>
      <c r="C87" s="15" t="inlineStr">
        <is>
          <t>Support Associate</t>
        </is>
      </c>
      <c r="D87" s="15" t="inlineStr">
        <is>
          <t>Associate CSM</t>
        </is>
      </c>
      <c r="E87" s="15" t="inlineStr">
        <is>
          <t>CSM</t>
        </is>
      </c>
      <c r="F87" s="15" t="inlineStr">
        <is>
          <t>Senior CSM</t>
        </is>
      </c>
      <c r="G87" s="15" t="inlineStr">
        <is>
          <t>Strategic CSM</t>
        </is>
      </c>
      <c r="H87" s="15" t="inlineStr"/>
      <c r="I87" s="15" t="inlineStr">
        <is>
          <t>Senior Manager CS</t>
        </is>
      </c>
      <c r="J87" s="15" t="inlineStr">
        <is>
          <t>Director Customer Success</t>
        </is>
      </c>
      <c r="K87" s="15" t="inlineStr"/>
      <c r="L87" s="15" t="inlineStr"/>
      <c r="M87" s="15" t="inlineStr">
        <is>
          <t>VP Customer Success</t>
        </is>
      </c>
      <c r="N87" s="15" t="inlineStr">
        <is>
          <t>Chief Customer Officer</t>
        </is>
      </c>
      <c r="O87" s="15" t="inlineStr"/>
    </row>
    <row r="88" ht="54" customHeight="1">
      <c r="A88" s="13" t="inlineStr">
        <is>
          <t>Regnology</t>
        </is>
      </c>
      <c r="B88" s="15" t="inlineStr"/>
      <c r="C88" s="15" t="inlineStr"/>
      <c r="D88" s="15" t="inlineStr">
        <is>
          <t>Product Support Specialist · Reg Reporting</t>
        </is>
      </c>
      <c r="E88" s="15" t="inlineStr"/>
      <c r="F88" s="15" t="inlineStr"/>
      <c r="G88" s="15" t="inlineStr"/>
      <c r="H88" s="15" t="inlineStr"/>
      <c r="I88" s="15" t="inlineStr"/>
      <c r="J88" s="15" t="inlineStr"/>
      <c r="K88" s="15" t="inlineStr"/>
      <c r="L88" s="15" t="inlineStr"/>
      <c r="M88" s="15" t="inlineStr"/>
      <c r="N88" s="15" t="inlineStr"/>
      <c r="O88" s="15" t="inlineStr"/>
    </row>
    <row r="89" ht="54" customHeight="1">
      <c r="A89" s="13" t="inlineStr">
        <is>
          <t>IRIS Vs Competitor Benchmark — support tiers · informed by ITIL 4, which defines practices, not titles</t>
        </is>
      </c>
      <c r="B89" s="15" t="inlineStr"/>
      <c r="C89" s="15" t="inlineStr">
        <is>
          <t>L1 Service Desk</t>
        </is>
      </c>
      <c r="D89" s="15" t="inlineStr">
        <is>
          <t>L2 Application Support</t>
        </is>
      </c>
      <c r="E89" s="15" t="inlineStr">
        <is>
          <t>L3 / Problem Analyst</t>
        </is>
      </c>
      <c r="F89" s="15" t="inlineStr">
        <is>
          <t>Support Team Manager</t>
        </is>
      </c>
      <c r="G89" s="15" t="inlineStr">
        <is>
          <t>Service Delivery Manager</t>
        </is>
      </c>
      <c r="H89" s="15" t="inlineStr"/>
      <c r="I89" s="15" t="inlineStr"/>
      <c r="J89" s="15" t="inlineStr"/>
      <c r="K89" s="15" t="inlineStr"/>
      <c r="L89" s="15" t="inlineStr"/>
      <c r="M89" s="15" t="inlineStr"/>
      <c r="N89" s="15" t="inlineStr"/>
      <c r="O89" s="15" t="inlineStr"/>
    </row>
    <row r="90" ht="15" customHeight="1"/>
    <row r="91" ht="15" customHeight="1">
      <c r="A91" s="208" t="inlineStr">
        <is>
          <t>IRIS Engineering &amp; Architecture Vs · Standard: SFIA 9 · solution architecture; TOGAF; AWS / Azure architect certifications · 1 here</t>
        </is>
      </c>
      <c r="B91" s="210" t="n"/>
      <c r="C91" s="210" t="n"/>
      <c r="D91" s="210" t="n"/>
      <c r="E91" s="210" t="n"/>
      <c r="F91" s="210" t="n"/>
      <c r="G91" s="210" t="n"/>
      <c r="H91" s="210" t="n"/>
      <c r="I91" s="210" t="n"/>
      <c r="J91" s="210" t="n"/>
      <c r="K91" s="210" t="n"/>
      <c r="L91" s="210" t="n"/>
      <c r="M91" s="210" t="n"/>
      <c r="N91" s="210" t="n"/>
      <c r="O91" s="209" t="n"/>
    </row>
    <row r="92" ht="15" customHeight="1">
      <c r="A92" s="92" t="inlineStr">
        <is>
          <t>Ladder / company</t>
        </is>
      </c>
      <c r="B92" s="92" t="inlineStr">
        <is>
          <t>A1</t>
        </is>
      </c>
      <c r="C92" s="92" t="inlineStr">
        <is>
          <t>A2</t>
        </is>
      </c>
      <c r="D92" s="92" t="inlineStr">
        <is>
          <t>A3</t>
        </is>
      </c>
      <c r="E92" s="92" t="inlineStr">
        <is>
          <t>B1</t>
        </is>
      </c>
      <c r="F92" s="92" t="inlineStr">
        <is>
          <t>B2</t>
        </is>
      </c>
      <c r="G92" s="92" t="inlineStr">
        <is>
          <t>B3</t>
        </is>
      </c>
      <c r="H92" s="92" t="inlineStr">
        <is>
          <t>B+</t>
        </is>
      </c>
      <c r="I92" s="92" t="inlineStr">
        <is>
          <t>C1</t>
        </is>
      </c>
      <c r="J92" s="92" t="inlineStr">
        <is>
          <t>C2</t>
        </is>
      </c>
      <c r="K92" s="92" t="inlineStr">
        <is>
          <t>C+</t>
        </is>
      </c>
      <c r="L92" s="92" t="inlineStr">
        <is>
          <t>D1</t>
        </is>
      </c>
      <c r="M92" s="92" t="inlineStr">
        <is>
          <t>D2</t>
        </is>
      </c>
      <c r="N92" s="92" t="inlineStr">
        <is>
          <t>E1</t>
        </is>
      </c>
      <c r="O92" s="92" t="inlineStr">
        <is>
          <t>E2</t>
        </is>
      </c>
    </row>
    <row r="93" ht="54" customHeight="1">
      <c r="A93" s="46" t="inlineStr">
        <is>
          <t>IRIS — IC title</t>
        </is>
      </c>
      <c r="B93" s="26" t="inlineStr">
        <is>
          <t>Intern / Trainee</t>
        </is>
      </c>
      <c r="C93" s="26" t="inlineStr">
        <is>
          <t>Associate</t>
        </is>
      </c>
      <c r="D93" s="26" t="inlineStr">
        <is>
          <t>Senior Associate</t>
        </is>
      </c>
      <c r="E93" s="20" t="inlineStr">
        <is>
          <t>Specialist</t>
        </is>
      </c>
      <c r="F93" s="20" t="inlineStr">
        <is>
          <t>Senior Specialist</t>
        </is>
      </c>
      <c r="G93" s="20" t="inlineStr">
        <is>
          <t>Lead Specialist</t>
        </is>
      </c>
      <c r="H93" s="30" t="inlineStr">
        <is>
          <t>Practice Lead · Player-Coach</t>
        </is>
      </c>
      <c r="I93" s="33" t="inlineStr">
        <is>
          <t>Principal</t>
        </is>
      </c>
      <c r="J93" s="33" t="inlineStr">
        <is>
          <t>Senior Principal / Architect</t>
        </is>
      </c>
      <c r="K93" s="36" t="inlineStr">
        <is>
          <t>Group Head · Player-Coach</t>
        </is>
      </c>
      <c r="L93" s="39" t="inlineStr">
        <is>
          <t>Chief Specialist / Distinguished Principal</t>
        </is>
      </c>
      <c r="M93" s="39" t="inlineStr">
        <is>
          <t>—</t>
        </is>
      </c>
      <c r="N93" s="42" t="inlineStr">
        <is>
          <t>—</t>
        </is>
      </c>
      <c r="O93" s="42" t="inlineStr">
        <is>
          <t>—</t>
        </is>
      </c>
    </row>
    <row r="94" ht="54" customHeight="1">
      <c r="A94" s="46" t="inlineStr">
        <is>
          <t>IRIS — Manager title</t>
        </is>
      </c>
      <c r="B94" s="26" t="inlineStr"/>
      <c r="C94" s="26" t="inlineStr"/>
      <c r="D94" s="26" t="inlineStr"/>
      <c r="E94" s="20" t="inlineStr">
        <is>
          <t>Team Lead</t>
        </is>
      </c>
      <c r="F94" s="20" t="inlineStr">
        <is>
          <t>Manager</t>
        </is>
      </c>
      <c r="G94" s="20" t="inlineStr">
        <is>
          <t>Senior Manager</t>
        </is>
      </c>
      <c r="H94" s="30" t="inlineStr">
        <is>
          <t>Practice Lead · Player-Coach</t>
        </is>
      </c>
      <c r="I94" s="33" t="inlineStr">
        <is>
          <t>Associate Head</t>
        </is>
      </c>
      <c r="J94" s="33" t="inlineStr">
        <is>
          <t>Head of Function</t>
        </is>
      </c>
      <c r="K94" s="36" t="inlineStr">
        <is>
          <t>Group Head · Player-Coach</t>
        </is>
      </c>
      <c r="L94" s="39" t="inlineStr">
        <is>
          <t>Associate Vice President / Business Head</t>
        </is>
      </c>
      <c r="M94" s="39" t="inlineStr">
        <is>
          <t>Vice President</t>
        </is>
      </c>
      <c r="N94" s="42" t="inlineStr">
        <is>
          <t>CXO / President</t>
        </is>
      </c>
      <c r="O94" s="42" t="inlineStr">
        <is>
          <t>Chief Executive Officer</t>
        </is>
      </c>
    </row>
    <row r="95" ht="15" customHeight="1">
      <c r="A95" s="46" t="inlineStr">
        <is>
          <t>IRIS — people at level</t>
        </is>
      </c>
      <c r="B95" s="26" t="inlineStr"/>
      <c r="C95" s="26" t="inlineStr"/>
      <c r="D95" s="26" t="inlineStr"/>
      <c r="E95" s="20" t="inlineStr"/>
      <c r="F95" s="20" t="inlineStr"/>
      <c r="G95" s="20" t="inlineStr"/>
      <c r="H95" s="30" t="n">
        <v>1</v>
      </c>
      <c r="I95" s="33" t="inlineStr"/>
      <c r="J95" s="33" t="inlineStr"/>
      <c r="K95" s="36" t="inlineStr"/>
      <c r="L95" s="39" t="inlineStr"/>
      <c r="M95" s="39" t="inlineStr"/>
      <c r="N95" s="42" t="inlineStr"/>
      <c r="O95" s="42" t="inlineStr"/>
    </row>
    <row r="96" ht="28" customHeight="1">
      <c r="A96" s="13" t="inlineStr">
        <is>
          <t>Workiva</t>
        </is>
      </c>
      <c r="B96" s="15" t="inlineStr"/>
      <c r="C96" s="15" t="inlineStr">
        <is>
          <t>Associate SE</t>
        </is>
      </c>
      <c r="D96" s="15" t="inlineStr">
        <is>
          <t>SE</t>
        </is>
      </c>
      <c r="E96" s="15" t="inlineStr">
        <is>
          <t>SE / Senior SE</t>
        </is>
      </c>
      <c r="F96" s="15" t="inlineStr">
        <is>
          <t>Senior SE</t>
        </is>
      </c>
      <c r="G96" s="15" t="inlineStr">
        <is>
          <t>Staff SE</t>
        </is>
      </c>
      <c r="H96" s="15" t="inlineStr"/>
      <c r="I96" s="15" t="inlineStr"/>
      <c r="J96" s="15" t="inlineStr"/>
      <c r="K96" s="15" t="inlineStr"/>
      <c r="L96" s="15" t="inlineStr"/>
      <c r="M96" s="15" t="inlineStr"/>
      <c r="N96" s="15" t="inlineStr"/>
      <c r="O96" s="15" t="inlineStr"/>
    </row>
    <row r="97" ht="28" customHeight="1">
      <c r="A97" s="13" t="inlineStr">
        <is>
          <t>Broadridge India</t>
        </is>
      </c>
      <c r="B97" s="15" t="inlineStr"/>
      <c r="C97" s="15" t="inlineStr">
        <is>
          <t>SE</t>
        </is>
      </c>
      <c r="D97" s="15" t="inlineStr">
        <is>
          <t>SE</t>
        </is>
      </c>
      <c r="E97" s="15" t="inlineStr">
        <is>
          <t>Senior SE</t>
        </is>
      </c>
      <c r="F97" s="15" t="inlineStr">
        <is>
          <t>Lead SE</t>
        </is>
      </c>
      <c r="G97" s="15" t="inlineStr">
        <is>
          <t>Senior Lead SE</t>
        </is>
      </c>
      <c r="H97" s="15" t="inlineStr"/>
      <c r="I97" s="15" t="inlineStr"/>
      <c r="J97" s="15" t="inlineStr"/>
      <c r="K97" s="15" t="inlineStr"/>
      <c r="L97" s="15" t="inlineStr"/>
      <c r="M97" s="15" t="inlineStr"/>
      <c r="N97" s="15" t="inlineStr"/>
      <c r="O97" s="15" t="inlineStr"/>
    </row>
    <row r="98" ht="15" customHeight="1">
      <c r="A98" s="13" t="inlineStr">
        <is>
          <t>Nasdaq / AxiomSL</t>
        </is>
      </c>
      <c r="B98" s="15" t="inlineStr"/>
      <c r="C98" s="15" t="inlineStr">
        <is>
          <t>SE</t>
        </is>
      </c>
      <c r="D98" s="15" t="inlineStr">
        <is>
          <t>SE</t>
        </is>
      </c>
      <c r="E98" s="15" t="inlineStr">
        <is>
          <t>Senior SE</t>
        </is>
      </c>
      <c r="F98" s="15" t="inlineStr">
        <is>
          <t>Senior SE</t>
        </is>
      </c>
      <c r="G98" s="15" t="inlineStr">
        <is>
          <t>Lead SE</t>
        </is>
      </c>
      <c r="H98" s="15" t="inlineStr"/>
      <c r="I98" s="15" t="inlineStr">
        <is>
          <t>Principal SE</t>
        </is>
      </c>
      <c r="J98" s="15" t="inlineStr"/>
      <c r="K98" s="15" t="inlineStr"/>
      <c r="L98" s="15" t="inlineStr"/>
      <c r="M98" s="15" t="inlineStr"/>
      <c r="N98" s="15" t="inlineStr"/>
      <c r="O98" s="15" t="inlineStr"/>
    </row>
    <row r="99" ht="41" customHeight="1">
      <c r="A99" s="13" t="inlineStr">
        <is>
          <t>Salesforce</t>
        </is>
      </c>
      <c r="B99" s="15" t="inlineStr"/>
      <c r="C99" s="15" t="inlineStr">
        <is>
          <t>AMTS</t>
        </is>
      </c>
      <c r="D99" s="15" t="inlineStr">
        <is>
          <t>MTS</t>
        </is>
      </c>
      <c r="E99" s="15" t="inlineStr">
        <is>
          <t>MTS</t>
        </is>
      </c>
      <c r="F99" s="15" t="inlineStr">
        <is>
          <t>SMTS</t>
        </is>
      </c>
      <c r="G99" s="15" t="inlineStr">
        <is>
          <t>LMTS</t>
        </is>
      </c>
      <c r="H99" s="15" t="inlineStr"/>
      <c r="I99" s="15" t="inlineStr">
        <is>
          <t>PMTS</t>
        </is>
      </c>
      <c r="J99" s="15" t="inlineStr">
        <is>
          <t>Architect / Principal Architect</t>
        </is>
      </c>
      <c r="K99" s="15" t="inlineStr"/>
      <c r="L99" s="15" t="inlineStr">
        <is>
          <t>Distinguished Engineer</t>
        </is>
      </c>
      <c r="M99" s="15" t="inlineStr"/>
      <c r="N99" s="15" t="inlineStr"/>
      <c r="O99" s="15" t="inlineStr"/>
    </row>
    <row r="100" ht="28" customHeight="1">
      <c r="A100" s="13" t="inlineStr">
        <is>
          <t>Atlassian</t>
        </is>
      </c>
      <c r="B100" s="15" t="inlineStr"/>
      <c r="C100" s="15" t="inlineStr">
        <is>
          <t>P30 Junior · 0–2 yrs</t>
        </is>
      </c>
      <c r="D100" s="15" t="inlineStr">
        <is>
          <t>P40 · 3–7 yrs</t>
        </is>
      </c>
      <c r="E100" s="15" t="inlineStr">
        <is>
          <t>P40</t>
        </is>
      </c>
      <c r="F100" s="15" t="inlineStr">
        <is>
          <t>P50 Senior · 6–12 yrs</t>
        </is>
      </c>
      <c r="G100" s="15" t="inlineStr">
        <is>
          <t>P50 Senior</t>
        </is>
      </c>
      <c r="H100" s="15" t="inlineStr"/>
      <c r="I100" s="15" t="inlineStr">
        <is>
          <t>P60 Principal · 10+ yrs</t>
        </is>
      </c>
      <c r="J100" s="15" t="inlineStr">
        <is>
          <t>P70</t>
        </is>
      </c>
      <c r="K100" s="15" t="inlineStr"/>
      <c r="L100" s="15" t="inlineStr"/>
      <c r="M100" s="15" t="inlineStr"/>
      <c r="N100" s="15" t="inlineStr"/>
      <c r="O100" s="15" t="inlineStr"/>
    </row>
    <row r="101" ht="28" customHeight="1">
      <c r="A101" s="13" t="inlineStr">
        <is>
          <t>Freshworks</t>
        </is>
      </c>
      <c r="B101" s="15" t="inlineStr"/>
      <c r="C101" s="15" t="inlineStr">
        <is>
          <t>SE</t>
        </is>
      </c>
      <c r="D101" s="15" t="inlineStr">
        <is>
          <t>Senior SE</t>
        </is>
      </c>
      <c r="E101" s="15" t="inlineStr">
        <is>
          <t>Senior SE</t>
        </is>
      </c>
      <c r="F101" s="15" t="inlineStr">
        <is>
          <t>Lead SE</t>
        </is>
      </c>
      <c r="G101" s="15" t="inlineStr">
        <is>
          <t>Staff SE</t>
        </is>
      </c>
      <c r="H101" s="15" t="inlineStr"/>
      <c r="I101" s="15" t="inlineStr">
        <is>
          <t>Senior Staff SE</t>
        </is>
      </c>
      <c r="J101" s="15" t="inlineStr">
        <is>
          <t>Principal Engineer</t>
        </is>
      </c>
      <c r="K101" s="15" t="inlineStr"/>
      <c r="L101" s="15" t="inlineStr"/>
      <c r="M101" s="15" t="inlineStr"/>
      <c r="N101" s="15" t="inlineStr"/>
      <c r="O101" s="15" t="inlineStr"/>
    </row>
    <row r="102" ht="28" customHeight="1">
      <c r="A102" s="13" t="inlineStr">
        <is>
          <t>Clear · C14; unverified</t>
        </is>
      </c>
      <c r="B102" s="15" t="inlineStr"/>
      <c r="C102" s="15" t="inlineStr">
        <is>
          <t>SDE1</t>
        </is>
      </c>
      <c r="D102" s="15" t="inlineStr">
        <is>
          <t>SDE2</t>
        </is>
      </c>
      <c r="E102" s="15" t="inlineStr">
        <is>
          <t>SDE2</t>
        </is>
      </c>
      <c r="F102" s="15" t="inlineStr">
        <is>
          <t>SDE3 / Senior</t>
        </is>
      </c>
      <c r="G102" s="15" t="inlineStr">
        <is>
          <t>Staff</t>
        </is>
      </c>
      <c r="H102" s="15" t="inlineStr"/>
      <c r="I102" s="15" t="inlineStr"/>
      <c r="J102" s="15" t="inlineStr"/>
      <c r="K102" s="15" t="inlineStr"/>
      <c r="L102" s="15" t="inlineStr"/>
      <c r="M102" s="15" t="inlineStr"/>
      <c r="N102" s="15" t="inlineStr"/>
      <c r="O102" s="15" t="inlineStr"/>
    </row>
    <row r="103" ht="28" customHeight="1">
      <c r="A103" s="13" t="inlineStr">
        <is>
          <t>Google Tech Lead Manager</t>
        </is>
      </c>
      <c r="B103" s="15" t="inlineStr"/>
      <c r="C103" s="15" t="inlineStr"/>
      <c r="D103" s="15" t="inlineStr"/>
      <c r="E103" s="15" t="inlineStr"/>
      <c r="F103" s="15" t="inlineStr"/>
      <c r="G103" s="15" t="inlineStr"/>
      <c r="H103" s="15" t="inlineStr">
        <is>
          <t>Tech Lead Manager · TLM</t>
        </is>
      </c>
      <c r="I103" s="15" t="inlineStr"/>
      <c r="J103" s="15" t="inlineStr"/>
      <c r="K103" s="15" t="inlineStr">
        <is>
          <t>Senior TLM / Director</t>
        </is>
      </c>
      <c r="L103" s="15" t="inlineStr"/>
      <c r="M103" s="15" t="inlineStr"/>
      <c r="N103" s="15" t="inlineStr"/>
      <c r="O103" s="15" t="inlineStr"/>
    </row>
    <row r="104" ht="54" customHeight="1">
      <c r="A104" s="13" t="inlineStr">
        <is>
          <t>IRIS Vs Competitor Benchmark — engineering managers · informed by Freshworks, GitLab; C12, C20</t>
        </is>
      </c>
      <c r="B104" s="15" t="inlineStr"/>
      <c r="C104" s="15" t="inlineStr"/>
      <c r="D104" s="15" t="inlineStr"/>
      <c r="E104" s="15" t="inlineStr"/>
      <c r="F104" s="15" t="inlineStr">
        <is>
          <t>Engineering Manager</t>
        </is>
      </c>
      <c r="G104" s="15" t="inlineStr">
        <is>
          <t>Senior EM</t>
        </is>
      </c>
      <c r="H104" s="15" t="inlineStr"/>
      <c r="I104" s="15" t="inlineStr">
        <is>
          <t>Senior EM / Director</t>
        </is>
      </c>
      <c r="J104" s="15" t="inlineStr">
        <is>
          <t>Director Engineering</t>
        </is>
      </c>
      <c r="K104" s="15" t="inlineStr"/>
      <c r="L104" s="15" t="inlineStr">
        <is>
          <t>Senior Director</t>
        </is>
      </c>
      <c r="M104" s="15" t="inlineStr">
        <is>
          <t>VP Engineering</t>
        </is>
      </c>
      <c r="N104" s="15" t="inlineStr">
        <is>
          <t>CTO</t>
        </is>
      </c>
      <c r="O104" s="15" t="inlineStr"/>
    </row>
    <row r="105" ht="15" customHeight="1"/>
    <row r="106" ht="15" customHeight="1">
      <c r="A106" s="208" t="inlineStr">
        <is>
          <t>IRIS Project &amp; Program Management Vs · Standard: PMI PMBOK and Talent Triangle; CAPM · entry → PMP → PgMP; Scrum / SAFe · 1 here</t>
        </is>
      </c>
      <c r="B106" s="210" t="n"/>
      <c r="C106" s="210" t="n"/>
      <c r="D106" s="210" t="n"/>
      <c r="E106" s="210" t="n"/>
      <c r="F106" s="210" t="n"/>
      <c r="G106" s="210" t="n"/>
      <c r="H106" s="210" t="n"/>
      <c r="I106" s="210" t="n"/>
      <c r="J106" s="210" t="n"/>
      <c r="K106" s="210" t="n"/>
      <c r="L106" s="210" t="n"/>
      <c r="M106" s="210" t="n"/>
      <c r="N106" s="210" t="n"/>
      <c r="O106" s="209" t="n"/>
    </row>
    <row r="107" ht="15" customHeight="1">
      <c r="A107" s="92" t="inlineStr">
        <is>
          <t>Ladder / company</t>
        </is>
      </c>
      <c r="B107" s="92" t="inlineStr">
        <is>
          <t>A1</t>
        </is>
      </c>
      <c r="C107" s="92" t="inlineStr">
        <is>
          <t>A2</t>
        </is>
      </c>
      <c r="D107" s="92" t="inlineStr">
        <is>
          <t>A3</t>
        </is>
      </c>
      <c r="E107" s="92" t="inlineStr">
        <is>
          <t>B1</t>
        </is>
      </c>
      <c r="F107" s="92" t="inlineStr">
        <is>
          <t>B2</t>
        </is>
      </c>
      <c r="G107" s="92" t="inlineStr">
        <is>
          <t>B3</t>
        </is>
      </c>
      <c r="H107" s="92" t="inlineStr">
        <is>
          <t>B+</t>
        </is>
      </c>
      <c r="I107" s="92" t="inlineStr">
        <is>
          <t>C1</t>
        </is>
      </c>
      <c r="J107" s="92" t="inlineStr">
        <is>
          <t>C2</t>
        </is>
      </c>
      <c r="K107" s="92" t="inlineStr">
        <is>
          <t>C+</t>
        </is>
      </c>
      <c r="L107" s="92" t="inlineStr">
        <is>
          <t>D1</t>
        </is>
      </c>
      <c r="M107" s="92" t="inlineStr">
        <is>
          <t>D2</t>
        </is>
      </c>
      <c r="N107" s="92" t="inlineStr">
        <is>
          <t>E1</t>
        </is>
      </c>
      <c r="O107" s="92" t="inlineStr">
        <is>
          <t>E2</t>
        </is>
      </c>
    </row>
    <row r="108" ht="54" customHeight="1">
      <c r="A108" s="46" t="inlineStr">
        <is>
          <t>IRIS — IC title</t>
        </is>
      </c>
      <c r="B108" s="26" t="inlineStr">
        <is>
          <t>Intern / Trainee</t>
        </is>
      </c>
      <c r="C108" s="26" t="inlineStr">
        <is>
          <t>Associate</t>
        </is>
      </c>
      <c r="D108" s="26" t="inlineStr">
        <is>
          <t>Senior Associate</t>
        </is>
      </c>
      <c r="E108" s="20" t="inlineStr">
        <is>
          <t>Specialist</t>
        </is>
      </c>
      <c r="F108" s="20" t="inlineStr">
        <is>
          <t>Senior Specialist</t>
        </is>
      </c>
      <c r="G108" s="20" t="inlineStr">
        <is>
          <t>Lead Specialist</t>
        </is>
      </c>
      <c r="H108" s="30" t="inlineStr">
        <is>
          <t>Practice Lead · Player-Coach</t>
        </is>
      </c>
      <c r="I108" s="33" t="inlineStr">
        <is>
          <t>Principal</t>
        </is>
      </c>
      <c r="J108" s="33" t="inlineStr">
        <is>
          <t>Senior Principal / Architect</t>
        </is>
      </c>
      <c r="K108" s="36" t="inlineStr">
        <is>
          <t>Group Head · Player-Coach</t>
        </is>
      </c>
      <c r="L108" s="39" t="inlineStr">
        <is>
          <t>Chief Specialist / Distinguished Principal</t>
        </is>
      </c>
      <c r="M108" s="39" t="inlineStr">
        <is>
          <t>—</t>
        </is>
      </c>
      <c r="N108" s="42" t="inlineStr">
        <is>
          <t>—</t>
        </is>
      </c>
      <c r="O108" s="42" t="inlineStr">
        <is>
          <t>—</t>
        </is>
      </c>
    </row>
    <row r="109" ht="54" customHeight="1">
      <c r="A109" s="46" t="inlineStr">
        <is>
          <t>IRIS — Manager title</t>
        </is>
      </c>
      <c r="B109" s="26" t="inlineStr"/>
      <c r="C109" s="26" t="inlineStr"/>
      <c r="D109" s="26" t="inlineStr"/>
      <c r="E109" s="20" t="inlineStr">
        <is>
          <t>Team Lead</t>
        </is>
      </c>
      <c r="F109" s="20" t="inlineStr">
        <is>
          <t>Manager</t>
        </is>
      </c>
      <c r="G109" s="20" t="inlineStr">
        <is>
          <t>Senior Manager</t>
        </is>
      </c>
      <c r="H109" s="30" t="inlineStr">
        <is>
          <t>Practice Lead · Player-Coach</t>
        </is>
      </c>
      <c r="I109" s="33" t="inlineStr">
        <is>
          <t>Associate Head</t>
        </is>
      </c>
      <c r="J109" s="33" t="inlineStr">
        <is>
          <t>Head of Function</t>
        </is>
      </c>
      <c r="K109" s="36" t="inlineStr">
        <is>
          <t>Group Head · Player-Coach</t>
        </is>
      </c>
      <c r="L109" s="39" t="inlineStr">
        <is>
          <t>Associate Vice President / Business Head</t>
        </is>
      </c>
      <c r="M109" s="39" t="inlineStr">
        <is>
          <t>Vice President</t>
        </is>
      </c>
      <c r="N109" s="42" t="inlineStr">
        <is>
          <t>CXO / President</t>
        </is>
      </c>
      <c r="O109" s="42" t="inlineStr">
        <is>
          <t>Chief Executive Officer</t>
        </is>
      </c>
    </row>
    <row r="110" ht="15" customHeight="1">
      <c r="A110" s="46" t="inlineStr">
        <is>
          <t>IRIS — people at level</t>
        </is>
      </c>
      <c r="B110" s="26" t="inlineStr"/>
      <c r="C110" s="26" t="inlineStr"/>
      <c r="D110" s="26" t="inlineStr"/>
      <c r="E110" s="20" t="n">
        <v>1</v>
      </c>
      <c r="F110" s="20" t="inlineStr"/>
      <c r="G110" s="20" t="inlineStr"/>
      <c r="H110" s="30" t="inlineStr"/>
      <c r="I110" s="33" t="inlineStr"/>
      <c r="J110" s="33" t="inlineStr"/>
      <c r="K110" s="36" t="inlineStr"/>
      <c r="L110" s="39" t="inlineStr"/>
      <c r="M110" s="39" t="inlineStr"/>
      <c r="N110" s="42" t="inlineStr"/>
      <c r="O110" s="42" t="inlineStr"/>
    </row>
    <row r="111" ht="41" customHeight="1">
      <c r="A111" s="13" t="inlineStr">
        <is>
          <t>IRIS Vs Competitor Benchmark — PMI pathway + SaaS delivery ladder</t>
        </is>
      </c>
      <c r="B111" s="15" t="inlineStr"/>
      <c r="C111" s="15" t="inlineStr">
        <is>
          <t>Project Coordinator · CAPM</t>
        </is>
      </c>
      <c r="D111" s="15" t="inlineStr">
        <is>
          <t>Associate PM</t>
        </is>
      </c>
      <c r="E111" s="15" t="inlineStr">
        <is>
          <t>Project Manager · PMP</t>
        </is>
      </c>
      <c r="F111" s="15" t="inlineStr">
        <is>
          <t>Senior PM</t>
        </is>
      </c>
      <c r="G111" s="15" t="inlineStr">
        <is>
          <t>Program Manager · PgMP</t>
        </is>
      </c>
      <c r="H111" s="15" t="inlineStr"/>
      <c r="I111" s="15" t="inlineStr">
        <is>
          <t>Senior Program Manager</t>
        </is>
      </c>
      <c r="J111" s="15" t="inlineStr">
        <is>
          <t>Director PMO / Delivery</t>
        </is>
      </c>
      <c r="K111" s="15" t="inlineStr"/>
      <c r="L111" s="15" t="inlineStr"/>
      <c r="M111" s="15" t="inlineStr"/>
      <c r="N111" s="15" t="inlineStr"/>
      <c r="O111" s="15" t="inlineStr"/>
    </row>
    <row r="112" ht="54" customHeight="1">
      <c r="A112" s="13" t="inlineStr">
        <is>
          <t>Infosys / Accenture</t>
        </is>
      </c>
      <c r="B112" s="15" t="inlineStr"/>
      <c r="C112" s="15" t="inlineStr"/>
      <c r="D112" s="15" t="inlineStr"/>
      <c r="E112" s="15" t="inlineStr"/>
      <c r="F112" s="15" t="inlineStr"/>
      <c r="G112" s="15" t="inlineStr">
        <is>
          <t>JL6B Project Manager · L7 Manager</t>
        </is>
      </c>
      <c r="H112" s="15" t="inlineStr"/>
      <c r="I112" s="15" t="inlineStr">
        <is>
          <t>JL7 Delivery Manager · L6 Senior Manager</t>
        </is>
      </c>
      <c r="J112" s="15" t="inlineStr"/>
      <c r="K112" s="15" t="inlineStr"/>
      <c r="L112" s="15" t="inlineStr"/>
      <c r="M112" s="15" t="inlineStr"/>
      <c r="N112" s="15" t="inlineStr"/>
      <c r="O112" s="15" t="inlineStr"/>
    </row>
    <row r="113" ht="15" customHeight="1"/>
    <row r="114" ht="20" customHeight="1">
      <c r="A114" s="172" t="inlineStr">
        <is>
          <t>Quality Assurance — 5 people</t>
        </is>
      </c>
    </row>
    <row r="115" ht="15" customHeight="1">
      <c r="A115" s="208" t="inlineStr">
        <is>
          <t>IRIS Quality Assurance Vs · Standard: ISTQB Foundation → Advanced → Expert; SFIA testing · 5 here</t>
        </is>
      </c>
      <c r="B115" s="210" t="n"/>
      <c r="C115" s="210" t="n"/>
      <c r="D115" s="210" t="n"/>
      <c r="E115" s="210" t="n"/>
      <c r="F115" s="210" t="n"/>
      <c r="G115" s="210" t="n"/>
      <c r="H115" s="210" t="n"/>
      <c r="I115" s="210" t="n"/>
      <c r="J115" s="210" t="n"/>
      <c r="K115" s="210" t="n"/>
      <c r="L115" s="210" t="n"/>
      <c r="M115" s="210" t="n"/>
      <c r="N115" s="210" t="n"/>
      <c r="O115" s="209" t="n"/>
    </row>
    <row r="116" ht="15" customHeight="1">
      <c r="A116" s="92" t="inlineStr">
        <is>
          <t>Ladder / company</t>
        </is>
      </c>
      <c r="B116" s="92" t="inlineStr">
        <is>
          <t>A1</t>
        </is>
      </c>
      <c r="C116" s="92" t="inlineStr">
        <is>
          <t>A2</t>
        </is>
      </c>
      <c r="D116" s="92" t="inlineStr">
        <is>
          <t>A3</t>
        </is>
      </c>
      <c r="E116" s="92" t="inlineStr">
        <is>
          <t>B1</t>
        </is>
      </c>
      <c r="F116" s="92" t="inlineStr">
        <is>
          <t>B2</t>
        </is>
      </c>
      <c r="G116" s="92" t="inlineStr">
        <is>
          <t>B3</t>
        </is>
      </c>
      <c r="H116" s="92" t="inlineStr">
        <is>
          <t>B+</t>
        </is>
      </c>
      <c r="I116" s="92" t="inlineStr">
        <is>
          <t>C1</t>
        </is>
      </c>
      <c r="J116" s="92" t="inlineStr">
        <is>
          <t>C2</t>
        </is>
      </c>
      <c r="K116" s="92" t="inlineStr">
        <is>
          <t>C+</t>
        </is>
      </c>
      <c r="L116" s="92" t="inlineStr">
        <is>
          <t>D1</t>
        </is>
      </c>
      <c r="M116" s="92" t="inlineStr">
        <is>
          <t>D2</t>
        </is>
      </c>
      <c r="N116" s="92" t="inlineStr">
        <is>
          <t>E1</t>
        </is>
      </c>
      <c r="O116" s="92" t="inlineStr">
        <is>
          <t>E2</t>
        </is>
      </c>
    </row>
    <row r="117" ht="54" customHeight="1">
      <c r="A117" s="46" t="inlineStr">
        <is>
          <t>IRIS — IC title</t>
        </is>
      </c>
      <c r="B117" s="26" t="inlineStr">
        <is>
          <t>Intern / Trainee</t>
        </is>
      </c>
      <c r="C117" s="26" t="inlineStr">
        <is>
          <t>Associate</t>
        </is>
      </c>
      <c r="D117" s="26" t="inlineStr">
        <is>
          <t>Senior Associate</t>
        </is>
      </c>
      <c r="E117" s="20" t="inlineStr">
        <is>
          <t>Specialist</t>
        </is>
      </c>
      <c r="F117" s="20" t="inlineStr">
        <is>
          <t>Senior Specialist</t>
        </is>
      </c>
      <c r="G117" s="20" t="inlineStr">
        <is>
          <t>Lead Specialist</t>
        </is>
      </c>
      <c r="H117" s="30" t="inlineStr">
        <is>
          <t>Practice Lead · Player-Coach</t>
        </is>
      </c>
      <c r="I117" s="33" t="inlineStr">
        <is>
          <t>Principal</t>
        </is>
      </c>
      <c r="J117" s="33" t="inlineStr">
        <is>
          <t>Senior Principal / Architect</t>
        </is>
      </c>
      <c r="K117" s="36" t="inlineStr">
        <is>
          <t>Group Head · Player-Coach</t>
        </is>
      </c>
      <c r="L117" s="39" t="inlineStr">
        <is>
          <t>Chief Specialist / Distinguished Principal</t>
        </is>
      </c>
      <c r="M117" s="39" t="inlineStr">
        <is>
          <t>—</t>
        </is>
      </c>
      <c r="N117" s="42" t="inlineStr">
        <is>
          <t>—</t>
        </is>
      </c>
      <c r="O117" s="42" t="inlineStr">
        <is>
          <t>—</t>
        </is>
      </c>
    </row>
    <row r="118" ht="54" customHeight="1">
      <c r="A118" s="46" t="inlineStr">
        <is>
          <t>IRIS — Manager title</t>
        </is>
      </c>
      <c r="B118" s="26" t="inlineStr"/>
      <c r="C118" s="26" t="inlineStr"/>
      <c r="D118" s="26" t="inlineStr"/>
      <c r="E118" s="20" t="inlineStr">
        <is>
          <t>Team Lead</t>
        </is>
      </c>
      <c r="F118" s="20" t="inlineStr">
        <is>
          <t>Manager</t>
        </is>
      </c>
      <c r="G118" s="20" t="inlineStr">
        <is>
          <t>Senior Manager</t>
        </is>
      </c>
      <c r="H118" s="30" t="inlineStr">
        <is>
          <t>Practice Lead · Player-Coach</t>
        </is>
      </c>
      <c r="I118" s="33" t="inlineStr">
        <is>
          <t>Associate Head</t>
        </is>
      </c>
      <c r="J118" s="33" t="inlineStr">
        <is>
          <t>Head of Function</t>
        </is>
      </c>
      <c r="K118" s="36" t="inlineStr">
        <is>
          <t>Group Head · Player-Coach</t>
        </is>
      </c>
      <c r="L118" s="39" t="inlineStr">
        <is>
          <t>Associate Vice President / Business Head</t>
        </is>
      </c>
      <c r="M118" s="39" t="inlineStr">
        <is>
          <t>Vice President</t>
        </is>
      </c>
      <c r="N118" s="42" t="inlineStr">
        <is>
          <t>CXO / President</t>
        </is>
      </c>
      <c r="O118" s="42" t="inlineStr">
        <is>
          <t>Chief Executive Officer</t>
        </is>
      </c>
    </row>
    <row r="119" ht="15" customHeight="1">
      <c r="A119" s="46" t="inlineStr">
        <is>
          <t>IRIS — people at level</t>
        </is>
      </c>
      <c r="B119" s="26" t="inlineStr"/>
      <c r="C119" s="26" t="inlineStr"/>
      <c r="D119" s="26" t="n">
        <v>4</v>
      </c>
      <c r="E119" s="20" t="n">
        <v>1</v>
      </c>
      <c r="F119" s="20" t="inlineStr"/>
      <c r="G119" s="20" t="inlineStr"/>
      <c r="H119" s="30" t="inlineStr"/>
      <c r="I119" s="33" t="inlineStr"/>
      <c r="J119" s="33" t="inlineStr"/>
      <c r="K119" s="36" t="inlineStr"/>
      <c r="L119" s="39" t="inlineStr"/>
      <c r="M119" s="39" t="inlineStr"/>
      <c r="N119" s="42" t="inlineStr"/>
      <c r="O119" s="42" t="inlineStr"/>
    </row>
    <row r="120" ht="28" customHeight="1">
      <c r="A120" s="13" t="inlineStr">
        <is>
          <t>Workiva — QA follows the engineering ladder</t>
        </is>
      </c>
      <c r="B120" s="15" t="inlineStr"/>
      <c r="C120" s="15" t="inlineStr">
        <is>
          <t>Associate SE</t>
        </is>
      </c>
      <c r="D120" s="15" t="inlineStr">
        <is>
          <t>SE</t>
        </is>
      </c>
      <c r="E120" s="15" t="inlineStr">
        <is>
          <t>SE / Senior SE</t>
        </is>
      </c>
      <c r="F120" s="15" t="inlineStr">
        <is>
          <t>Senior SE</t>
        </is>
      </c>
      <c r="G120" s="15" t="inlineStr">
        <is>
          <t>Staff SE</t>
        </is>
      </c>
      <c r="H120" s="15" t="inlineStr"/>
      <c r="I120" s="15" t="inlineStr"/>
      <c r="J120" s="15" t="inlineStr"/>
      <c r="K120" s="15" t="inlineStr"/>
      <c r="L120" s="15" t="inlineStr"/>
      <c r="M120" s="15" t="inlineStr"/>
      <c r="N120" s="15" t="inlineStr"/>
      <c r="O120" s="15" t="inlineStr"/>
    </row>
    <row r="121" ht="28" customHeight="1">
      <c r="A121" s="13" t="inlineStr">
        <is>
          <t>Broadridge India — QA follows the engineering ladder</t>
        </is>
      </c>
      <c r="B121" s="15" t="inlineStr"/>
      <c r="C121" s="15" t="inlineStr">
        <is>
          <t>SE</t>
        </is>
      </c>
      <c r="D121" s="15" t="inlineStr">
        <is>
          <t>SE</t>
        </is>
      </c>
      <c r="E121" s="15" t="inlineStr">
        <is>
          <t>Senior SE</t>
        </is>
      </c>
      <c r="F121" s="15" t="inlineStr">
        <is>
          <t>Lead SE</t>
        </is>
      </c>
      <c r="G121" s="15" t="inlineStr">
        <is>
          <t>Senior Lead SE</t>
        </is>
      </c>
      <c r="H121" s="15" t="inlineStr"/>
      <c r="I121" s="15" t="inlineStr"/>
      <c r="J121" s="15" t="inlineStr"/>
      <c r="K121" s="15" t="inlineStr"/>
      <c r="L121" s="15" t="inlineStr"/>
      <c r="M121" s="15" t="inlineStr"/>
      <c r="N121" s="15" t="inlineStr"/>
      <c r="O121" s="15" t="inlineStr"/>
    </row>
    <row r="122" ht="28" customHeight="1">
      <c r="A122" s="13" t="inlineStr">
        <is>
          <t>Nasdaq / AxiomSL — QA follows the engineering ladder</t>
        </is>
      </c>
      <c r="B122" s="15" t="inlineStr"/>
      <c r="C122" s="15" t="inlineStr">
        <is>
          <t>SE</t>
        </is>
      </c>
      <c r="D122" s="15" t="inlineStr">
        <is>
          <t>SE</t>
        </is>
      </c>
      <c r="E122" s="15" t="inlineStr">
        <is>
          <t>Senior SE</t>
        </is>
      </c>
      <c r="F122" s="15" t="inlineStr">
        <is>
          <t>Senior SE</t>
        </is>
      </c>
      <c r="G122" s="15" t="inlineStr">
        <is>
          <t>Lead SE</t>
        </is>
      </c>
      <c r="H122" s="15" t="inlineStr"/>
      <c r="I122" s="15" t="inlineStr">
        <is>
          <t>Principal SE</t>
        </is>
      </c>
      <c r="J122" s="15" t="inlineStr"/>
      <c r="K122" s="15" t="inlineStr"/>
      <c r="L122" s="15" t="inlineStr"/>
      <c r="M122" s="15" t="inlineStr"/>
      <c r="N122" s="15" t="inlineStr"/>
      <c r="O122" s="15" t="inlineStr"/>
    </row>
    <row r="123" ht="54" customHeight="1">
      <c r="A123" s="13" t="inlineStr">
        <is>
          <t>IRIS Vs Market Benchmark — ISTQB certification pathway · ISTQB sets the certificates, not the level match</t>
        </is>
      </c>
      <c r="B123" s="15" t="inlineStr"/>
      <c r="C123" s="15" t="inlineStr">
        <is>
          <t>Foundation</t>
        </is>
      </c>
      <c r="D123" s="15" t="inlineStr">
        <is>
          <t>Foundation</t>
        </is>
      </c>
      <c r="E123" s="15" t="inlineStr">
        <is>
          <t>Advanced · Test Analyst</t>
        </is>
      </c>
      <c r="F123" s="15" t="inlineStr">
        <is>
          <t>Advanced · Test Manager / TAE</t>
        </is>
      </c>
      <c r="G123" s="15" t="inlineStr">
        <is>
          <t>Expert</t>
        </is>
      </c>
      <c r="H123" s="15" t="inlineStr"/>
      <c r="I123" s="15" t="inlineStr">
        <is>
          <t>Expert</t>
        </is>
      </c>
      <c r="J123" s="15" t="inlineStr"/>
      <c r="K123" s="15" t="inlineStr"/>
      <c r="L123" s="15" t="inlineStr"/>
      <c r="M123" s="15" t="inlineStr"/>
      <c r="N123" s="15" t="inlineStr"/>
      <c r="O123" s="15" t="inlineStr"/>
    </row>
    <row r="124" ht="54" customHeight="1">
      <c r="A124" s="13" t="inlineStr">
        <is>
          <t>IRIS Vs Competitor Benchmark — testing managers · informed by Radford codes and SaaS postings</t>
        </is>
      </c>
      <c r="B124" s="15" t="inlineStr"/>
      <c r="C124" s="15" t="inlineStr"/>
      <c r="D124" s="15" t="inlineStr"/>
      <c r="E124" s="15" t="inlineStr"/>
      <c r="F124" s="15" t="inlineStr">
        <is>
          <t>QA Manager</t>
        </is>
      </c>
      <c r="G124" s="15" t="inlineStr">
        <is>
          <t>Senior QA Manager</t>
        </is>
      </c>
      <c r="H124" s="15" t="inlineStr"/>
      <c r="I124" s="15" t="inlineStr">
        <is>
          <t>Head of Quality</t>
        </is>
      </c>
      <c r="J124" s="15" t="inlineStr">
        <is>
          <t>Director Quality Engineering</t>
        </is>
      </c>
      <c r="K124" s="15" t="inlineStr"/>
      <c r="L124" s="15" t="inlineStr"/>
      <c r="M124" s="15" t="inlineStr"/>
      <c r="N124" s="15" t="inlineStr"/>
      <c r="O124" s="15" t="inlineStr"/>
    </row>
    <row r="125" ht="15" customHeight="1"/>
    <row r="126" ht="20" customHeight="1">
      <c r="A126" s="172" t="inlineStr">
        <is>
          <t>Sales — 4 people</t>
        </is>
      </c>
    </row>
    <row r="127" ht="15" customHeight="1">
      <c r="A127" s="208" t="inlineStr">
        <is>
          <t>IRIS Sales &amp; Business Development Vs · Standard: SaaS sales ladder · SDR → AE → Enterprise AE → VP / CRO; MEDDICC-style qualification · 3 here</t>
        </is>
      </c>
      <c r="B127" s="210" t="n"/>
      <c r="C127" s="210" t="n"/>
      <c r="D127" s="210" t="n"/>
      <c r="E127" s="210" t="n"/>
      <c r="F127" s="210" t="n"/>
      <c r="G127" s="210" t="n"/>
      <c r="H127" s="210" t="n"/>
      <c r="I127" s="210" t="n"/>
      <c r="J127" s="210" t="n"/>
      <c r="K127" s="210" t="n"/>
      <c r="L127" s="210" t="n"/>
      <c r="M127" s="210" t="n"/>
      <c r="N127" s="210" t="n"/>
      <c r="O127" s="209" t="n"/>
    </row>
    <row r="128" ht="15" customHeight="1">
      <c r="A128" s="92" t="inlineStr">
        <is>
          <t>Ladder / company</t>
        </is>
      </c>
      <c r="B128" s="92" t="inlineStr">
        <is>
          <t>A1</t>
        </is>
      </c>
      <c r="C128" s="92" t="inlineStr">
        <is>
          <t>A2</t>
        </is>
      </c>
      <c r="D128" s="92" t="inlineStr">
        <is>
          <t>A3</t>
        </is>
      </c>
      <c r="E128" s="92" t="inlineStr">
        <is>
          <t>B1</t>
        </is>
      </c>
      <c r="F128" s="92" t="inlineStr">
        <is>
          <t>B2</t>
        </is>
      </c>
      <c r="G128" s="92" t="inlineStr">
        <is>
          <t>B3</t>
        </is>
      </c>
      <c r="H128" s="92" t="inlineStr">
        <is>
          <t>B+</t>
        </is>
      </c>
      <c r="I128" s="92" t="inlineStr">
        <is>
          <t>C1</t>
        </is>
      </c>
      <c r="J128" s="92" t="inlineStr">
        <is>
          <t>C2</t>
        </is>
      </c>
      <c r="K128" s="92" t="inlineStr">
        <is>
          <t>C+</t>
        </is>
      </c>
      <c r="L128" s="92" t="inlineStr">
        <is>
          <t>D1</t>
        </is>
      </c>
      <c r="M128" s="92" t="inlineStr">
        <is>
          <t>D2</t>
        </is>
      </c>
      <c r="N128" s="92" t="inlineStr">
        <is>
          <t>E1</t>
        </is>
      </c>
      <c r="O128" s="92" t="inlineStr">
        <is>
          <t>E2</t>
        </is>
      </c>
    </row>
    <row r="129" ht="54" customHeight="1">
      <c r="A129" s="46" t="inlineStr">
        <is>
          <t>IRIS — IC title</t>
        </is>
      </c>
      <c r="B129" s="26" t="inlineStr">
        <is>
          <t>Intern / Trainee</t>
        </is>
      </c>
      <c r="C129" s="26" t="inlineStr">
        <is>
          <t>Associate</t>
        </is>
      </c>
      <c r="D129" s="26" t="inlineStr">
        <is>
          <t>Senior Associate</t>
        </is>
      </c>
      <c r="E129" s="20" t="inlineStr">
        <is>
          <t>Specialist</t>
        </is>
      </c>
      <c r="F129" s="20" t="inlineStr">
        <is>
          <t>Senior Specialist</t>
        </is>
      </c>
      <c r="G129" s="20" t="inlineStr">
        <is>
          <t>Lead Specialist</t>
        </is>
      </c>
      <c r="H129" s="30" t="inlineStr">
        <is>
          <t>Practice Lead · Player-Coach</t>
        </is>
      </c>
      <c r="I129" s="33" t="inlineStr">
        <is>
          <t>Principal</t>
        </is>
      </c>
      <c r="J129" s="33" t="inlineStr">
        <is>
          <t>Senior Principal / Architect</t>
        </is>
      </c>
      <c r="K129" s="36" t="inlineStr">
        <is>
          <t>Group Head · Player-Coach</t>
        </is>
      </c>
      <c r="L129" s="39" t="inlineStr">
        <is>
          <t>Chief Specialist / Distinguished Principal</t>
        </is>
      </c>
      <c r="M129" s="39" t="inlineStr">
        <is>
          <t>—</t>
        </is>
      </c>
      <c r="N129" s="42" t="inlineStr">
        <is>
          <t>—</t>
        </is>
      </c>
      <c r="O129" s="42" t="inlineStr">
        <is>
          <t>—</t>
        </is>
      </c>
    </row>
    <row r="130" ht="54" customHeight="1">
      <c r="A130" s="46" t="inlineStr">
        <is>
          <t>IRIS — Manager title</t>
        </is>
      </c>
      <c r="B130" s="26" t="inlineStr"/>
      <c r="C130" s="26" t="inlineStr"/>
      <c r="D130" s="26" t="inlineStr"/>
      <c r="E130" s="20" t="inlineStr">
        <is>
          <t>Team Lead</t>
        </is>
      </c>
      <c r="F130" s="20" t="inlineStr">
        <is>
          <t>Manager</t>
        </is>
      </c>
      <c r="G130" s="20" t="inlineStr">
        <is>
          <t>Senior Manager</t>
        </is>
      </c>
      <c r="H130" s="30" t="inlineStr">
        <is>
          <t>Practice Lead · Player-Coach</t>
        </is>
      </c>
      <c r="I130" s="33" t="inlineStr">
        <is>
          <t>Associate Head</t>
        </is>
      </c>
      <c r="J130" s="33" t="inlineStr">
        <is>
          <t>Head of Function</t>
        </is>
      </c>
      <c r="K130" s="36" t="inlineStr">
        <is>
          <t>Group Head · Player-Coach</t>
        </is>
      </c>
      <c r="L130" s="39" t="inlineStr">
        <is>
          <t>Associate Vice President / Business Head</t>
        </is>
      </c>
      <c r="M130" s="39" t="inlineStr">
        <is>
          <t>Vice President</t>
        </is>
      </c>
      <c r="N130" s="42" t="inlineStr">
        <is>
          <t>CXO / President</t>
        </is>
      </c>
      <c r="O130" s="42" t="inlineStr">
        <is>
          <t>Chief Executive Officer</t>
        </is>
      </c>
    </row>
    <row r="131" ht="15" customHeight="1">
      <c r="A131" s="46" t="inlineStr">
        <is>
          <t>IRIS — people at level</t>
        </is>
      </c>
      <c r="B131" s="26" t="inlineStr"/>
      <c r="C131" s="26" t="inlineStr"/>
      <c r="D131" s="26" t="n">
        <v>1</v>
      </c>
      <c r="E131" s="20" t="n">
        <v>1</v>
      </c>
      <c r="F131" s="20" t="n">
        <v>1</v>
      </c>
      <c r="G131" s="20" t="inlineStr"/>
      <c r="H131" s="30" t="inlineStr"/>
      <c r="I131" s="33" t="inlineStr"/>
      <c r="J131" s="33" t="inlineStr"/>
      <c r="K131" s="36" t="inlineStr"/>
      <c r="L131" s="39" t="inlineStr"/>
      <c r="M131" s="39" t="inlineStr"/>
      <c r="N131" s="42" t="inlineStr"/>
      <c r="O131" s="42" t="inlineStr"/>
    </row>
    <row r="132" ht="54" customHeight="1">
      <c r="A132" s="13" t="inlineStr">
        <is>
          <t>IRIS Vs Competitor Benchmark — SaaS sales ladder — IC · informed by SaaStr and title guides, C16</t>
        </is>
      </c>
      <c r="B132" s="15" t="inlineStr"/>
      <c r="C132" s="15" t="inlineStr">
        <is>
          <t>SDR / BDR</t>
        </is>
      </c>
      <c r="D132" s="15" t="inlineStr">
        <is>
          <t>Senior SDR</t>
        </is>
      </c>
      <c r="E132" s="15" t="inlineStr">
        <is>
          <t>Account Executive · SMB</t>
        </is>
      </c>
      <c r="F132" s="15" t="inlineStr">
        <is>
          <t>Mid-Market AE</t>
        </is>
      </c>
      <c r="G132" s="15" t="inlineStr">
        <is>
          <t>Enterprise AE</t>
        </is>
      </c>
      <c r="H132" s="15" t="inlineStr"/>
      <c r="I132" s="15" t="inlineStr">
        <is>
          <t>Strategic / Principal AE</t>
        </is>
      </c>
      <c r="J132" s="15" t="inlineStr"/>
      <c r="K132" s="15" t="inlineStr"/>
      <c r="L132" s="15" t="inlineStr"/>
      <c r="M132" s="15" t="inlineStr"/>
      <c r="N132" s="15" t="inlineStr"/>
      <c r="O132" s="15" t="inlineStr"/>
    </row>
    <row r="133" ht="54" customHeight="1">
      <c r="A133" s="13" t="inlineStr">
        <is>
          <t>Job postings: player-coach sales leaders</t>
        </is>
      </c>
      <c r="B133" s="15" t="inlineStr"/>
      <c r="C133" s="15" t="inlineStr"/>
      <c r="D133" s="15" t="inlineStr"/>
      <c r="E133" s="15" t="inlineStr"/>
      <c r="F133" s="15" t="inlineStr"/>
      <c r="G133" s="15" t="inlineStr"/>
      <c r="H133" s="15" t="inlineStr">
        <is>
          <t>Sales Lead — Player/Coach · carries quota</t>
        </is>
      </c>
      <c r="I133" s="15" t="inlineStr"/>
      <c r="J133" s="15" t="inlineStr"/>
      <c r="K133" s="15" t="inlineStr">
        <is>
          <t>Head of Revenue — Player/Coach</t>
        </is>
      </c>
      <c r="L133" s="15" t="inlineStr"/>
      <c r="M133" s="15" t="inlineStr"/>
      <c r="N133" s="15" t="inlineStr"/>
      <c r="O133" s="15" t="inlineStr"/>
    </row>
    <row r="134" ht="54" customHeight="1">
      <c r="A134" s="13" t="inlineStr">
        <is>
          <t>IRIS Vs Competitor Benchmark — SaaS sales ladder — management · informed by title guides, C16</t>
        </is>
      </c>
      <c r="B134" s="15" t="inlineStr"/>
      <c r="C134" s="15" t="inlineStr"/>
      <c r="D134" s="15" t="inlineStr"/>
      <c r="E134" s="15" t="inlineStr">
        <is>
          <t>SDR Team Lead</t>
        </is>
      </c>
      <c r="F134" s="15" t="inlineStr">
        <is>
          <t>Sales Manager</t>
        </is>
      </c>
      <c r="G134" s="15" t="inlineStr">
        <is>
          <t>Senior Sales Manager</t>
        </is>
      </c>
      <c r="H134" s="15" t="inlineStr"/>
      <c r="I134" s="15" t="inlineStr">
        <is>
          <t>Regional Sales Head</t>
        </is>
      </c>
      <c r="J134" s="15" t="inlineStr">
        <is>
          <t>Director of Sales</t>
        </is>
      </c>
      <c r="K134" s="15" t="inlineStr"/>
      <c r="L134" s="15" t="inlineStr">
        <is>
          <t>VP Sales</t>
        </is>
      </c>
      <c r="M134" s="15" t="inlineStr">
        <is>
          <t>SVP Sales</t>
        </is>
      </c>
      <c r="N134" s="15" t="inlineStr">
        <is>
          <t>Chief Revenue Officer</t>
        </is>
      </c>
      <c r="O134" s="15" t="inlineStr"/>
    </row>
    <row r="135" ht="15" customHeight="1"/>
    <row r="136" ht="15" customHeight="1">
      <c r="A136" s="208" t="inlineStr">
        <is>
          <t>IRIS Customer Success &amp; Support Vs · Standard: TSIA frameworks and benchmarks; ITIL 4 service desk; Gainsight customer-success practice · 1 here</t>
        </is>
      </c>
      <c r="B136" s="210" t="n"/>
      <c r="C136" s="210" t="n"/>
      <c r="D136" s="210" t="n"/>
      <c r="E136" s="210" t="n"/>
      <c r="F136" s="210" t="n"/>
      <c r="G136" s="210" t="n"/>
      <c r="H136" s="210" t="n"/>
      <c r="I136" s="210" t="n"/>
      <c r="J136" s="210" t="n"/>
      <c r="K136" s="210" t="n"/>
      <c r="L136" s="210" t="n"/>
      <c r="M136" s="210" t="n"/>
      <c r="N136" s="210" t="n"/>
      <c r="O136" s="209" t="n"/>
    </row>
    <row r="137" ht="15" customHeight="1">
      <c r="A137" s="92" t="inlineStr">
        <is>
          <t>Ladder / company</t>
        </is>
      </c>
      <c r="B137" s="92" t="inlineStr">
        <is>
          <t>A1</t>
        </is>
      </c>
      <c r="C137" s="92" t="inlineStr">
        <is>
          <t>A2</t>
        </is>
      </c>
      <c r="D137" s="92" t="inlineStr">
        <is>
          <t>A3</t>
        </is>
      </c>
      <c r="E137" s="92" t="inlineStr">
        <is>
          <t>B1</t>
        </is>
      </c>
      <c r="F137" s="92" t="inlineStr">
        <is>
          <t>B2</t>
        </is>
      </c>
      <c r="G137" s="92" t="inlineStr">
        <is>
          <t>B3</t>
        </is>
      </c>
      <c r="H137" s="92" t="inlineStr">
        <is>
          <t>B+</t>
        </is>
      </c>
      <c r="I137" s="92" t="inlineStr">
        <is>
          <t>C1</t>
        </is>
      </c>
      <c r="J137" s="92" t="inlineStr">
        <is>
          <t>C2</t>
        </is>
      </c>
      <c r="K137" s="92" t="inlineStr">
        <is>
          <t>C+</t>
        </is>
      </c>
      <c r="L137" s="92" t="inlineStr">
        <is>
          <t>D1</t>
        </is>
      </c>
      <c r="M137" s="92" t="inlineStr">
        <is>
          <t>D2</t>
        </is>
      </c>
      <c r="N137" s="92" t="inlineStr">
        <is>
          <t>E1</t>
        </is>
      </c>
      <c r="O137" s="92" t="inlineStr">
        <is>
          <t>E2</t>
        </is>
      </c>
    </row>
    <row r="138" ht="54" customHeight="1">
      <c r="A138" s="46" t="inlineStr">
        <is>
          <t>IRIS — IC title</t>
        </is>
      </c>
      <c r="B138" s="26" t="inlineStr">
        <is>
          <t>Intern / Trainee</t>
        </is>
      </c>
      <c r="C138" s="26" t="inlineStr">
        <is>
          <t>Associate</t>
        </is>
      </c>
      <c r="D138" s="26" t="inlineStr">
        <is>
          <t>Senior Associate</t>
        </is>
      </c>
      <c r="E138" s="20" t="inlineStr">
        <is>
          <t>Specialist</t>
        </is>
      </c>
      <c r="F138" s="20" t="inlineStr">
        <is>
          <t>Senior Specialist</t>
        </is>
      </c>
      <c r="G138" s="20" t="inlineStr">
        <is>
          <t>Lead Specialist</t>
        </is>
      </c>
      <c r="H138" s="30" t="inlineStr">
        <is>
          <t>Practice Lead · Player-Coach</t>
        </is>
      </c>
      <c r="I138" s="33" t="inlineStr">
        <is>
          <t>Principal</t>
        </is>
      </c>
      <c r="J138" s="33" t="inlineStr">
        <is>
          <t>Senior Principal / Architect</t>
        </is>
      </c>
      <c r="K138" s="36" t="inlineStr">
        <is>
          <t>Group Head · Player-Coach</t>
        </is>
      </c>
      <c r="L138" s="39" t="inlineStr">
        <is>
          <t>Chief Specialist / Distinguished Principal</t>
        </is>
      </c>
      <c r="M138" s="39" t="inlineStr">
        <is>
          <t>—</t>
        </is>
      </c>
      <c r="N138" s="42" t="inlineStr">
        <is>
          <t>—</t>
        </is>
      </c>
      <c r="O138" s="42" t="inlineStr">
        <is>
          <t>—</t>
        </is>
      </c>
    </row>
    <row r="139" ht="54" customHeight="1">
      <c r="A139" s="46" t="inlineStr">
        <is>
          <t>IRIS — Manager title</t>
        </is>
      </c>
      <c r="B139" s="26" t="inlineStr"/>
      <c r="C139" s="26" t="inlineStr"/>
      <c r="D139" s="26" t="inlineStr"/>
      <c r="E139" s="20" t="inlineStr">
        <is>
          <t>Team Lead</t>
        </is>
      </c>
      <c r="F139" s="20" t="inlineStr">
        <is>
          <t>Manager</t>
        </is>
      </c>
      <c r="G139" s="20" t="inlineStr">
        <is>
          <t>Senior Manager</t>
        </is>
      </c>
      <c r="H139" s="30" t="inlineStr">
        <is>
          <t>Practice Lead · Player-Coach</t>
        </is>
      </c>
      <c r="I139" s="33" t="inlineStr">
        <is>
          <t>Associate Head</t>
        </is>
      </c>
      <c r="J139" s="33" t="inlineStr">
        <is>
          <t>Head of Function</t>
        </is>
      </c>
      <c r="K139" s="36" t="inlineStr">
        <is>
          <t>Group Head · Player-Coach</t>
        </is>
      </c>
      <c r="L139" s="39" t="inlineStr">
        <is>
          <t>Associate Vice President / Business Head</t>
        </is>
      </c>
      <c r="M139" s="39" t="inlineStr">
        <is>
          <t>Vice President</t>
        </is>
      </c>
      <c r="N139" s="42" t="inlineStr">
        <is>
          <t>CXO / President</t>
        </is>
      </c>
      <c r="O139" s="42" t="inlineStr">
        <is>
          <t>Chief Executive Officer</t>
        </is>
      </c>
    </row>
    <row r="140" ht="15" customHeight="1">
      <c r="A140" s="46" t="inlineStr">
        <is>
          <t>IRIS — people at level</t>
        </is>
      </c>
      <c r="B140" s="26" t="n">
        <v>1</v>
      </c>
      <c r="C140" s="26" t="inlineStr"/>
      <c r="D140" s="26" t="inlineStr"/>
      <c r="E140" s="20" t="inlineStr"/>
      <c r="F140" s="20" t="inlineStr"/>
      <c r="G140" s="20" t="inlineStr"/>
      <c r="H140" s="30" t="inlineStr"/>
      <c r="I140" s="33" t="inlineStr"/>
      <c r="J140" s="33" t="inlineStr"/>
      <c r="K140" s="36" t="inlineStr"/>
      <c r="L140" s="39" t="inlineStr"/>
      <c r="M140" s="39" t="inlineStr"/>
      <c r="N140" s="42" t="inlineStr"/>
      <c r="O140" s="42" t="inlineStr"/>
    </row>
    <row r="141" ht="41" customHeight="1">
      <c r="A141" s="13" t="inlineStr">
        <is>
          <t>Workiva</t>
        </is>
      </c>
      <c r="B141" s="15" t="inlineStr">
        <is>
          <t>Customer Success intern</t>
        </is>
      </c>
      <c r="C141" s="15" t="inlineStr"/>
      <c r="D141" s="15" t="inlineStr"/>
      <c r="E141" s="15" t="inlineStr">
        <is>
          <t>Customer Success Manager</t>
        </is>
      </c>
      <c r="F141" s="15" t="inlineStr">
        <is>
          <t>Product Success Manager</t>
        </is>
      </c>
      <c r="G141" s="15" t="inlineStr">
        <is>
          <t>Customer Success Architect</t>
        </is>
      </c>
      <c r="H141" s="15" t="inlineStr"/>
      <c r="I141" s="15" t="inlineStr"/>
      <c r="J141" s="15" t="inlineStr"/>
      <c r="K141" s="15" t="inlineStr"/>
      <c r="L141" s="15" t="inlineStr"/>
      <c r="M141" s="15" t="inlineStr"/>
      <c r="N141" s="15" t="inlineStr"/>
      <c r="O141" s="15" t="inlineStr"/>
    </row>
    <row r="142" ht="54" customHeight="1">
      <c r="A142" s="13" t="inlineStr">
        <is>
          <t>IRIS Vs Competitor Benchmark — SaaS customer-success ladder · informed by Gainsight postings, C15</t>
        </is>
      </c>
      <c r="B142" s="15" t="inlineStr"/>
      <c r="C142" s="15" t="inlineStr">
        <is>
          <t>Support Associate</t>
        </is>
      </c>
      <c r="D142" s="15" t="inlineStr">
        <is>
          <t>Associate CSM</t>
        </is>
      </c>
      <c r="E142" s="15" t="inlineStr">
        <is>
          <t>CSM</t>
        </is>
      </c>
      <c r="F142" s="15" t="inlineStr">
        <is>
          <t>Senior CSM</t>
        </is>
      </c>
      <c r="G142" s="15" t="inlineStr">
        <is>
          <t>Strategic CSM</t>
        </is>
      </c>
      <c r="H142" s="15" t="inlineStr"/>
      <c r="I142" s="15" t="inlineStr">
        <is>
          <t>Senior Manager CS</t>
        </is>
      </c>
      <c r="J142" s="15" t="inlineStr">
        <is>
          <t>Director Customer Success</t>
        </is>
      </c>
      <c r="K142" s="15" t="inlineStr"/>
      <c r="L142" s="15" t="inlineStr"/>
      <c r="M142" s="15" t="inlineStr">
        <is>
          <t>VP Customer Success</t>
        </is>
      </c>
      <c r="N142" s="15" t="inlineStr">
        <is>
          <t>Chief Customer Officer</t>
        </is>
      </c>
      <c r="O142" s="15" t="inlineStr"/>
    </row>
    <row r="143" ht="54" customHeight="1">
      <c r="A143" s="13" t="inlineStr">
        <is>
          <t>Regnology</t>
        </is>
      </c>
      <c r="B143" s="15" t="inlineStr"/>
      <c r="C143" s="15" t="inlineStr"/>
      <c r="D143" s="15" t="inlineStr">
        <is>
          <t>Product Support Specialist · Reg Reporting</t>
        </is>
      </c>
      <c r="E143" s="15" t="inlineStr"/>
      <c r="F143" s="15" t="inlineStr"/>
      <c r="G143" s="15" t="inlineStr"/>
      <c r="H143" s="15" t="inlineStr"/>
      <c r="I143" s="15" t="inlineStr"/>
      <c r="J143" s="15" t="inlineStr"/>
      <c r="K143" s="15" t="inlineStr"/>
      <c r="L143" s="15" t="inlineStr"/>
      <c r="M143" s="15" t="inlineStr"/>
      <c r="N143" s="15" t="inlineStr"/>
      <c r="O143" s="15" t="inlineStr"/>
    </row>
    <row r="144" ht="54" customHeight="1">
      <c r="A144" s="13" t="inlineStr">
        <is>
          <t>IRIS Vs Competitor Benchmark — support tiers · informed by ITIL 4, which defines practices, not titles</t>
        </is>
      </c>
      <c r="B144" s="15" t="inlineStr"/>
      <c r="C144" s="15" t="inlineStr">
        <is>
          <t>L1 Service Desk</t>
        </is>
      </c>
      <c r="D144" s="15" t="inlineStr">
        <is>
          <t>L2 Application Support</t>
        </is>
      </c>
      <c r="E144" s="15" t="inlineStr">
        <is>
          <t>L3 / Problem Analyst</t>
        </is>
      </c>
      <c r="F144" s="15" t="inlineStr">
        <is>
          <t>Support Team Manager</t>
        </is>
      </c>
      <c r="G144" s="15" t="inlineStr">
        <is>
          <t>Service Delivery Manager</t>
        </is>
      </c>
      <c r="H144" s="15" t="inlineStr"/>
      <c r="I144" s="15" t="inlineStr"/>
      <c r="J144" s="15" t="inlineStr"/>
      <c r="K144" s="15" t="inlineStr"/>
      <c r="L144" s="15" t="inlineStr"/>
      <c r="M144" s="15" t="inlineStr"/>
      <c r="N144" s="15" t="inlineStr"/>
      <c r="O144" s="15" t="inlineStr"/>
    </row>
    <row r="145" ht="15" customHeight="1"/>
    <row r="146" ht="20" customHeight="1">
      <c r="A146" s="172" t="inlineStr">
        <is>
          <t>Product Management — 3 people</t>
        </is>
      </c>
    </row>
    <row r="147" ht="15" customHeight="1">
      <c r="A147" s="208" t="inlineStr">
        <is>
          <t>IRIS Product Management Vs · Standard: Pragmatic Institute Framework · 37 activities, 7 categories; AIPMM · 3 here</t>
        </is>
      </c>
      <c r="B147" s="210" t="n"/>
      <c r="C147" s="210" t="n"/>
      <c r="D147" s="210" t="n"/>
      <c r="E147" s="210" t="n"/>
      <c r="F147" s="210" t="n"/>
      <c r="G147" s="210" t="n"/>
      <c r="H147" s="210" t="n"/>
      <c r="I147" s="210" t="n"/>
      <c r="J147" s="210" t="n"/>
      <c r="K147" s="210" t="n"/>
      <c r="L147" s="210" t="n"/>
      <c r="M147" s="210" t="n"/>
      <c r="N147" s="210" t="n"/>
      <c r="O147" s="209" t="n"/>
    </row>
    <row r="148" ht="15" customHeight="1">
      <c r="A148" s="92" t="inlineStr">
        <is>
          <t>Ladder / company</t>
        </is>
      </c>
      <c r="B148" s="92" t="inlineStr">
        <is>
          <t>A1</t>
        </is>
      </c>
      <c r="C148" s="92" t="inlineStr">
        <is>
          <t>A2</t>
        </is>
      </c>
      <c r="D148" s="92" t="inlineStr">
        <is>
          <t>A3</t>
        </is>
      </c>
      <c r="E148" s="92" t="inlineStr">
        <is>
          <t>B1</t>
        </is>
      </c>
      <c r="F148" s="92" t="inlineStr">
        <is>
          <t>B2</t>
        </is>
      </c>
      <c r="G148" s="92" t="inlineStr">
        <is>
          <t>B3</t>
        </is>
      </c>
      <c r="H148" s="92" t="inlineStr">
        <is>
          <t>B+</t>
        </is>
      </c>
      <c r="I148" s="92" t="inlineStr">
        <is>
          <t>C1</t>
        </is>
      </c>
      <c r="J148" s="92" t="inlineStr">
        <is>
          <t>C2</t>
        </is>
      </c>
      <c r="K148" s="92" t="inlineStr">
        <is>
          <t>C+</t>
        </is>
      </c>
      <c r="L148" s="92" t="inlineStr">
        <is>
          <t>D1</t>
        </is>
      </c>
      <c r="M148" s="92" t="inlineStr">
        <is>
          <t>D2</t>
        </is>
      </c>
      <c r="N148" s="92" t="inlineStr">
        <is>
          <t>E1</t>
        </is>
      </c>
      <c r="O148" s="92" t="inlineStr">
        <is>
          <t>E2</t>
        </is>
      </c>
    </row>
    <row r="149" ht="54" customHeight="1">
      <c r="A149" s="46" t="inlineStr">
        <is>
          <t>IRIS — IC title</t>
        </is>
      </c>
      <c r="B149" s="26" t="inlineStr">
        <is>
          <t>Intern / Trainee</t>
        </is>
      </c>
      <c r="C149" s="26" t="inlineStr">
        <is>
          <t>Associate</t>
        </is>
      </c>
      <c r="D149" s="26" t="inlineStr">
        <is>
          <t>Senior Associate</t>
        </is>
      </c>
      <c r="E149" s="20" t="inlineStr">
        <is>
          <t>Specialist</t>
        </is>
      </c>
      <c r="F149" s="20" t="inlineStr">
        <is>
          <t>Senior Specialist</t>
        </is>
      </c>
      <c r="G149" s="20" t="inlineStr">
        <is>
          <t>Lead Specialist</t>
        </is>
      </c>
      <c r="H149" s="30" t="inlineStr">
        <is>
          <t>Practice Lead · Player-Coach</t>
        </is>
      </c>
      <c r="I149" s="33" t="inlineStr">
        <is>
          <t>Principal</t>
        </is>
      </c>
      <c r="J149" s="33" t="inlineStr">
        <is>
          <t>Senior Principal / Architect</t>
        </is>
      </c>
      <c r="K149" s="36" t="inlineStr">
        <is>
          <t>Group Head · Player-Coach</t>
        </is>
      </c>
      <c r="L149" s="39" t="inlineStr">
        <is>
          <t>Chief Specialist / Distinguished Principal</t>
        </is>
      </c>
      <c r="M149" s="39" t="inlineStr">
        <is>
          <t>—</t>
        </is>
      </c>
      <c r="N149" s="42" t="inlineStr">
        <is>
          <t>—</t>
        </is>
      </c>
      <c r="O149" s="42" t="inlineStr">
        <is>
          <t>—</t>
        </is>
      </c>
    </row>
    <row r="150" ht="54" customHeight="1">
      <c r="A150" s="46" t="inlineStr">
        <is>
          <t>IRIS — Manager title</t>
        </is>
      </c>
      <c r="B150" s="26" t="inlineStr"/>
      <c r="C150" s="26" t="inlineStr"/>
      <c r="D150" s="26" t="inlineStr"/>
      <c r="E150" s="20" t="inlineStr">
        <is>
          <t>Team Lead</t>
        </is>
      </c>
      <c r="F150" s="20" t="inlineStr">
        <is>
          <t>Manager</t>
        </is>
      </c>
      <c r="G150" s="20" t="inlineStr">
        <is>
          <t>Senior Manager</t>
        </is>
      </c>
      <c r="H150" s="30" t="inlineStr">
        <is>
          <t>Practice Lead · Player-Coach</t>
        </is>
      </c>
      <c r="I150" s="33" t="inlineStr">
        <is>
          <t>Associate Head</t>
        </is>
      </c>
      <c r="J150" s="33" t="inlineStr">
        <is>
          <t>Head of Function</t>
        </is>
      </c>
      <c r="K150" s="36" t="inlineStr">
        <is>
          <t>Group Head · Player-Coach</t>
        </is>
      </c>
      <c r="L150" s="39" t="inlineStr">
        <is>
          <t>Associate Vice President / Business Head</t>
        </is>
      </c>
      <c r="M150" s="39" t="inlineStr">
        <is>
          <t>Vice President</t>
        </is>
      </c>
      <c r="N150" s="42" t="inlineStr">
        <is>
          <t>CXO / President</t>
        </is>
      </c>
      <c r="O150" s="42" t="inlineStr">
        <is>
          <t>Chief Executive Officer</t>
        </is>
      </c>
    </row>
    <row r="151" ht="15" customHeight="1">
      <c r="A151" s="46" t="inlineStr">
        <is>
          <t>IRIS — people at level</t>
        </is>
      </c>
      <c r="B151" s="26" t="inlineStr"/>
      <c r="C151" s="26" t="inlineStr"/>
      <c r="D151" s="26" t="n">
        <v>1</v>
      </c>
      <c r="E151" s="20" t="inlineStr"/>
      <c r="F151" s="20" t="n">
        <v>2</v>
      </c>
      <c r="G151" s="20" t="inlineStr"/>
      <c r="H151" s="30" t="inlineStr"/>
      <c r="I151" s="33" t="inlineStr"/>
      <c r="J151" s="33" t="inlineStr"/>
      <c r="K151" s="36" t="inlineStr"/>
      <c r="L151" s="39" t="inlineStr"/>
      <c r="M151" s="39" t="inlineStr"/>
      <c r="N151" s="42" t="inlineStr"/>
      <c r="O151" s="42" t="inlineStr"/>
    </row>
    <row r="152" ht="41" customHeight="1">
      <c r="A152" s="13" t="inlineStr">
        <is>
          <t>IRIS Vs Competitor Benchmark — SaaS product ladder · informed by Atlassian, Pragmatic</t>
        </is>
      </c>
      <c r="B152" s="15" t="inlineStr"/>
      <c r="C152" s="15" t="inlineStr"/>
      <c r="D152" s="15" t="inlineStr">
        <is>
          <t>Associate PM</t>
        </is>
      </c>
      <c r="E152" s="15" t="inlineStr">
        <is>
          <t>Product Manager</t>
        </is>
      </c>
      <c r="F152" s="15" t="inlineStr">
        <is>
          <t>Senior PM</t>
        </is>
      </c>
      <c r="G152" s="15" t="inlineStr">
        <is>
          <t>Principal / Group PM</t>
        </is>
      </c>
      <c r="H152" s="15" t="inlineStr"/>
      <c r="I152" s="15" t="inlineStr">
        <is>
          <t>Group PM / Head of Product</t>
        </is>
      </c>
      <c r="J152" s="15" t="inlineStr">
        <is>
          <t>Director of Product</t>
        </is>
      </c>
      <c r="K152" s="15" t="inlineStr"/>
      <c r="L152" s="15" t="inlineStr">
        <is>
          <t>VP Product</t>
        </is>
      </c>
      <c r="M152" s="15" t="inlineStr"/>
      <c r="N152" s="15" t="inlineStr">
        <is>
          <t>Chief Product Officer</t>
        </is>
      </c>
      <c r="O152" s="15" t="inlineStr"/>
    </row>
    <row r="153" ht="15" customHeight="1"/>
    <row r="154" ht="20" customHeight="1">
      <c r="A154" s="172" t="inlineStr">
        <is>
          <t>Marketing — 1 person</t>
        </is>
      </c>
    </row>
    <row r="155" ht="15" customHeight="1">
      <c r="A155" s="208" t="inlineStr">
        <is>
          <t>IRIS Marketing &amp; Communications Vs · Standard: CIM Global Professional Marketing Framework — proficiency Aware → Active learner → Able → Accomplished → Authoritative · 1 here</t>
        </is>
      </c>
      <c r="B155" s="210" t="n"/>
      <c r="C155" s="210" t="n"/>
      <c r="D155" s="210" t="n"/>
      <c r="E155" s="210" t="n"/>
      <c r="F155" s="210" t="n"/>
      <c r="G155" s="210" t="n"/>
      <c r="H155" s="210" t="n"/>
      <c r="I155" s="210" t="n"/>
      <c r="J155" s="210" t="n"/>
      <c r="K155" s="210" t="n"/>
      <c r="L155" s="210" t="n"/>
      <c r="M155" s="210" t="n"/>
      <c r="N155" s="210" t="n"/>
      <c r="O155" s="209" t="n"/>
    </row>
    <row r="156" ht="15" customHeight="1">
      <c r="A156" s="92" t="inlineStr">
        <is>
          <t>Ladder / company</t>
        </is>
      </c>
      <c r="B156" s="92" t="inlineStr">
        <is>
          <t>A1</t>
        </is>
      </c>
      <c r="C156" s="92" t="inlineStr">
        <is>
          <t>A2</t>
        </is>
      </c>
      <c r="D156" s="92" t="inlineStr">
        <is>
          <t>A3</t>
        </is>
      </c>
      <c r="E156" s="92" t="inlineStr">
        <is>
          <t>B1</t>
        </is>
      </c>
      <c r="F156" s="92" t="inlineStr">
        <is>
          <t>B2</t>
        </is>
      </c>
      <c r="G156" s="92" t="inlineStr">
        <is>
          <t>B3</t>
        </is>
      </c>
      <c r="H156" s="92" t="inlineStr">
        <is>
          <t>B+</t>
        </is>
      </c>
      <c r="I156" s="92" t="inlineStr">
        <is>
          <t>C1</t>
        </is>
      </c>
      <c r="J156" s="92" t="inlineStr">
        <is>
          <t>C2</t>
        </is>
      </c>
      <c r="K156" s="92" t="inlineStr">
        <is>
          <t>C+</t>
        </is>
      </c>
      <c r="L156" s="92" t="inlineStr">
        <is>
          <t>D1</t>
        </is>
      </c>
      <c r="M156" s="92" t="inlineStr">
        <is>
          <t>D2</t>
        </is>
      </c>
      <c r="N156" s="92" t="inlineStr">
        <is>
          <t>E1</t>
        </is>
      </c>
      <c r="O156" s="92" t="inlineStr">
        <is>
          <t>E2</t>
        </is>
      </c>
    </row>
    <row r="157" ht="54" customHeight="1">
      <c r="A157" s="46" t="inlineStr">
        <is>
          <t>IRIS — IC title</t>
        </is>
      </c>
      <c r="B157" s="26" t="inlineStr">
        <is>
          <t>Intern / Trainee</t>
        </is>
      </c>
      <c r="C157" s="26" t="inlineStr">
        <is>
          <t>Associate</t>
        </is>
      </c>
      <c r="D157" s="26" t="inlineStr">
        <is>
          <t>Senior Associate</t>
        </is>
      </c>
      <c r="E157" s="20" t="inlineStr">
        <is>
          <t>Specialist</t>
        </is>
      </c>
      <c r="F157" s="20" t="inlineStr">
        <is>
          <t>Senior Specialist</t>
        </is>
      </c>
      <c r="G157" s="20" t="inlineStr">
        <is>
          <t>Lead Specialist</t>
        </is>
      </c>
      <c r="H157" s="30" t="inlineStr">
        <is>
          <t>Practice Lead · Player-Coach</t>
        </is>
      </c>
      <c r="I157" s="33" t="inlineStr">
        <is>
          <t>Principal</t>
        </is>
      </c>
      <c r="J157" s="33" t="inlineStr">
        <is>
          <t>Senior Principal / Architect</t>
        </is>
      </c>
      <c r="K157" s="36" t="inlineStr">
        <is>
          <t>Group Head · Player-Coach</t>
        </is>
      </c>
      <c r="L157" s="39" t="inlineStr">
        <is>
          <t>Chief Specialist / Distinguished Principal</t>
        </is>
      </c>
      <c r="M157" s="39" t="inlineStr">
        <is>
          <t>—</t>
        </is>
      </c>
      <c r="N157" s="42" t="inlineStr">
        <is>
          <t>—</t>
        </is>
      </c>
      <c r="O157" s="42" t="inlineStr">
        <is>
          <t>—</t>
        </is>
      </c>
    </row>
    <row r="158" ht="54" customHeight="1">
      <c r="A158" s="46" t="inlineStr">
        <is>
          <t>IRIS — Manager title</t>
        </is>
      </c>
      <c r="B158" s="26" t="inlineStr"/>
      <c r="C158" s="26" t="inlineStr"/>
      <c r="D158" s="26" t="inlineStr"/>
      <c r="E158" s="20" t="inlineStr">
        <is>
          <t>Team Lead</t>
        </is>
      </c>
      <c r="F158" s="20" t="inlineStr">
        <is>
          <t>Manager</t>
        </is>
      </c>
      <c r="G158" s="20" t="inlineStr">
        <is>
          <t>Senior Manager</t>
        </is>
      </c>
      <c r="H158" s="30" t="inlineStr">
        <is>
          <t>Practice Lead · Player-Coach</t>
        </is>
      </c>
      <c r="I158" s="33" t="inlineStr">
        <is>
          <t>Associate Head</t>
        </is>
      </c>
      <c r="J158" s="33" t="inlineStr">
        <is>
          <t>Head of Function</t>
        </is>
      </c>
      <c r="K158" s="36" t="inlineStr">
        <is>
          <t>Group Head · Player-Coach</t>
        </is>
      </c>
      <c r="L158" s="39" t="inlineStr">
        <is>
          <t>Associate Vice President / Business Head</t>
        </is>
      </c>
      <c r="M158" s="39" t="inlineStr">
        <is>
          <t>Vice President</t>
        </is>
      </c>
      <c r="N158" s="42" t="inlineStr">
        <is>
          <t>CXO / President</t>
        </is>
      </c>
      <c r="O158" s="42" t="inlineStr">
        <is>
          <t>Chief Executive Officer</t>
        </is>
      </c>
    </row>
    <row r="159" ht="15" customHeight="1">
      <c r="A159" s="46" t="inlineStr">
        <is>
          <t>IRIS — people at level</t>
        </is>
      </c>
      <c r="B159" s="26" t="inlineStr"/>
      <c r="C159" s="26" t="n">
        <v>1</v>
      </c>
      <c r="D159" s="26" t="inlineStr"/>
      <c r="E159" s="20" t="inlineStr"/>
      <c r="F159" s="20" t="inlineStr"/>
      <c r="G159" s="20" t="inlineStr"/>
      <c r="H159" s="30" t="inlineStr"/>
      <c r="I159" s="33" t="inlineStr"/>
      <c r="J159" s="33" t="inlineStr"/>
      <c r="K159" s="36" t="inlineStr"/>
      <c r="L159" s="39" t="inlineStr"/>
      <c r="M159" s="39" t="inlineStr"/>
      <c r="N159" s="42" t="inlineStr"/>
      <c r="O159" s="42" t="inlineStr"/>
    </row>
    <row r="160" ht="54" customHeight="1">
      <c r="A160" s="13" t="inlineStr">
        <is>
          <t>IRIS Vs Market Benchmark — CIM proficiency scale · CIM sets the scale, not the level match</t>
        </is>
      </c>
      <c r="B160" s="15" t="inlineStr">
        <is>
          <t>1 Aware</t>
        </is>
      </c>
      <c r="C160" s="15" t="inlineStr">
        <is>
          <t>2 Active learner</t>
        </is>
      </c>
      <c r="D160" s="15" t="inlineStr">
        <is>
          <t>2–3</t>
        </is>
      </c>
      <c r="E160" s="15" t="inlineStr">
        <is>
          <t>3 Able</t>
        </is>
      </c>
      <c r="F160" s="15" t="inlineStr">
        <is>
          <t>3–4</t>
        </is>
      </c>
      <c r="G160" s="15" t="inlineStr">
        <is>
          <t>4 Accomplished</t>
        </is>
      </c>
      <c r="H160" s="15" t="inlineStr"/>
      <c r="I160" s="15" t="inlineStr">
        <is>
          <t>4</t>
        </is>
      </c>
      <c r="J160" s="15" t="inlineStr">
        <is>
          <t>5 Authoritative</t>
        </is>
      </c>
      <c r="K160" s="15" t="inlineStr"/>
      <c r="L160" s="15" t="inlineStr"/>
      <c r="M160" s="15" t="inlineStr"/>
      <c r="N160" s="15" t="inlineStr"/>
      <c r="O160" s="15" t="inlineStr"/>
    </row>
    <row r="161" ht="41" customHeight="1">
      <c r="A161" s="13" t="inlineStr">
        <is>
          <t>IRIS Vs Competitor Benchmark — SaaS marketing ladder · informed by Radford codes</t>
        </is>
      </c>
      <c r="B161" s="15" t="inlineStr"/>
      <c r="C161" s="15" t="inlineStr">
        <is>
          <t>Marketing Associate</t>
        </is>
      </c>
      <c r="D161" s="15" t="inlineStr">
        <is>
          <t>Marketing Specialist</t>
        </is>
      </c>
      <c r="E161" s="15" t="inlineStr">
        <is>
          <t>Senior Marketing Specialist</t>
        </is>
      </c>
      <c r="F161" s="15" t="inlineStr">
        <is>
          <t>Marketing Manager</t>
        </is>
      </c>
      <c r="G161" s="15" t="inlineStr">
        <is>
          <t>Senior Marketing Manager</t>
        </is>
      </c>
      <c r="H161" s="15" t="inlineStr"/>
      <c r="I161" s="15" t="inlineStr">
        <is>
          <t>Head of Marketing · function</t>
        </is>
      </c>
      <c r="J161" s="15" t="inlineStr">
        <is>
          <t>Director of Marketing</t>
        </is>
      </c>
      <c r="K161" s="15" t="inlineStr"/>
      <c r="L161" s="15" t="inlineStr">
        <is>
          <t>VP Marketing</t>
        </is>
      </c>
      <c r="M161" s="15" t="inlineStr"/>
      <c r="N161" s="15" t="inlineStr">
        <is>
          <t>CMO</t>
        </is>
      </c>
      <c r="O161" s="15" t="inlineStr"/>
    </row>
    <row r="162" ht="15" customHeight="1"/>
    <row r="163" ht="20" customHeight="1">
      <c r="A163" s="172" t="inlineStr">
        <is>
          <t>iDEAL Business Head — 1 person</t>
        </is>
      </c>
    </row>
    <row r="164" ht="15" customHeight="1">
      <c r="A164" s="208" t="inlineStr">
        <is>
          <t>IRIS Executive Leadership Vs · Standard: Aon Radford executive levels E1–E6; Mercer ET1–ET3; Korn Ferry Leadership Architect · 1 here</t>
        </is>
      </c>
      <c r="B164" s="210" t="n"/>
      <c r="C164" s="210" t="n"/>
      <c r="D164" s="210" t="n"/>
      <c r="E164" s="210" t="n"/>
      <c r="F164" s="210" t="n"/>
      <c r="G164" s="210" t="n"/>
      <c r="H164" s="210" t="n"/>
      <c r="I164" s="210" t="n"/>
      <c r="J164" s="210" t="n"/>
      <c r="K164" s="210" t="n"/>
      <c r="L164" s="210" t="n"/>
      <c r="M164" s="210" t="n"/>
      <c r="N164" s="210" t="n"/>
      <c r="O164" s="209" t="n"/>
    </row>
    <row r="165" ht="15" customHeight="1">
      <c r="A165" s="92" t="inlineStr">
        <is>
          <t>Ladder / company</t>
        </is>
      </c>
      <c r="B165" s="92" t="inlineStr">
        <is>
          <t>A1</t>
        </is>
      </c>
      <c r="C165" s="92" t="inlineStr">
        <is>
          <t>A2</t>
        </is>
      </c>
      <c r="D165" s="92" t="inlineStr">
        <is>
          <t>A3</t>
        </is>
      </c>
      <c r="E165" s="92" t="inlineStr">
        <is>
          <t>B1</t>
        </is>
      </c>
      <c r="F165" s="92" t="inlineStr">
        <is>
          <t>B2</t>
        </is>
      </c>
      <c r="G165" s="92" t="inlineStr">
        <is>
          <t>B3</t>
        </is>
      </c>
      <c r="H165" s="92" t="inlineStr">
        <is>
          <t>B+</t>
        </is>
      </c>
      <c r="I165" s="92" t="inlineStr">
        <is>
          <t>C1</t>
        </is>
      </c>
      <c r="J165" s="92" t="inlineStr">
        <is>
          <t>C2</t>
        </is>
      </c>
      <c r="K165" s="92" t="inlineStr">
        <is>
          <t>C+</t>
        </is>
      </c>
      <c r="L165" s="92" t="inlineStr">
        <is>
          <t>D1</t>
        </is>
      </c>
      <c r="M165" s="92" t="inlineStr">
        <is>
          <t>D2</t>
        </is>
      </c>
      <c r="N165" s="92" t="inlineStr">
        <is>
          <t>E1</t>
        </is>
      </c>
      <c r="O165" s="92" t="inlineStr">
        <is>
          <t>E2</t>
        </is>
      </c>
    </row>
    <row r="166" ht="41" customHeight="1">
      <c r="A166" s="46" t="inlineStr">
        <is>
          <t>IRIS — IC title</t>
        </is>
      </c>
      <c r="B166" s="26" t="inlineStr">
        <is>
          <t>Intern / Trainee</t>
        </is>
      </c>
      <c r="C166" s="26" t="inlineStr">
        <is>
          <t>Associate</t>
        </is>
      </c>
      <c r="D166" s="26" t="inlineStr">
        <is>
          <t>Senior Associate</t>
        </is>
      </c>
      <c r="E166" s="20" t="inlineStr">
        <is>
          <t>Specialist</t>
        </is>
      </c>
      <c r="F166" s="20" t="inlineStr">
        <is>
          <t>Senior Specialist</t>
        </is>
      </c>
      <c r="G166" s="20" t="inlineStr">
        <is>
          <t>Lead Specialist</t>
        </is>
      </c>
      <c r="H166" s="30" t="inlineStr">
        <is>
          <t>Practice Lead · Player-Coach</t>
        </is>
      </c>
      <c r="I166" s="33" t="inlineStr">
        <is>
          <t>Principal</t>
        </is>
      </c>
      <c r="J166" s="33" t="inlineStr">
        <is>
          <t>Senior Principal / Architect</t>
        </is>
      </c>
      <c r="K166" s="36" t="inlineStr">
        <is>
          <t>Group Head · Player-Coach</t>
        </is>
      </c>
      <c r="L166" s="39" t="inlineStr">
        <is>
          <t>—</t>
        </is>
      </c>
      <c r="M166" s="39" t="inlineStr">
        <is>
          <t>—</t>
        </is>
      </c>
      <c r="N166" s="42" t="inlineStr">
        <is>
          <t>—</t>
        </is>
      </c>
      <c r="O166" s="42" t="inlineStr">
        <is>
          <t>—</t>
        </is>
      </c>
    </row>
    <row r="167" ht="41" customHeight="1">
      <c r="A167" s="46" t="inlineStr">
        <is>
          <t>IRIS — Manager title</t>
        </is>
      </c>
      <c r="B167" s="26" t="inlineStr"/>
      <c r="C167" s="26" t="inlineStr"/>
      <c r="D167" s="26" t="inlineStr"/>
      <c r="E167" s="20" t="inlineStr">
        <is>
          <t>Team Lead</t>
        </is>
      </c>
      <c r="F167" s="20" t="inlineStr">
        <is>
          <t>Manager</t>
        </is>
      </c>
      <c r="G167" s="20" t="inlineStr">
        <is>
          <t>Senior Manager</t>
        </is>
      </c>
      <c r="H167" s="30" t="inlineStr">
        <is>
          <t>Practice Lead · Player-Coach</t>
        </is>
      </c>
      <c r="I167" s="33" t="inlineStr">
        <is>
          <t>Associate Head</t>
        </is>
      </c>
      <c r="J167" s="33" t="inlineStr">
        <is>
          <t>Head of Function</t>
        </is>
      </c>
      <c r="K167" s="36" t="inlineStr">
        <is>
          <t>Group Head · Player-Coach</t>
        </is>
      </c>
      <c r="L167" s="39" t="inlineStr">
        <is>
          <t>Business Head</t>
        </is>
      </c>
      <c r="M167" s="39" t="inlineStr">
        <is>
          <t>Vice President</t>
        </is>
      </c>
      <c r="N167" s="42" t="inlineStr">
        <is>
          <t>CXO / President</t>
        </is>
      </c>
      <c r="O167" s="42" t="inlineStr">
        <is>
          <t>Chief Executive Officer</t>
        </is>
      </c>
    </row>
    <row r="168" ht="15" customHeight="1">
      <c r="A168" s="46" t="inlineStr">
        <is>
          <t>IRIS — people at level</t>
        </is>
      </c>
      <c r="B168" s="26" t="inlineStr"/>
      <c r="C168" s="26" t="inlineStr"/>
      <c r="D168" s="26" t="inlineStr"/>
      <c r="E168" s="20" t="inlineStr"/>
      <c r="F168" s="20" t="inlineStr"/>
      <c r="G168" s="20" t="inlineStr"/>
      <c r="H168" s="30" t="inlineStr"/>
      <c r="I168" s="33" t="inlineStr"/>
      <c r="J168" s="33" t="inlineStr"/>
      <c r="K168" s="36" t="inlineStr"/>
      <c r="L168" s="39" t="n">
        <v>1</v>
      </c>
      <c r="M168" s="39" t="inlineStr"/>
      <c r="N168" s="42" t="inlineStr"/>
      <c r="O168" s="42" t="inlineStr"/>
    </row>
    <row r="169" ht="41" customHeight="1">
      <c r="A169" s="13" t="inlineStr">
        <is>
          <t>IRIS Vs Market Benchmark — Aon Radford / Mercer executive codes</t>
        </is>
      </c>
      <c r="B169" s="15" t="inlineStr"/>
      <c r="C169" s="15" t="inlineStr"/>
      <c r="D169" s="15" t="inlineStr"/>
      <c r="E169" s="15" t="inlineStr"/>
      <c r="F169" s="15" t="inlineStr"/>
      <c r="G169" s="15" t="inlineStr"/>
      <c r="H169" s="15" t="inlineStr"/>
      <c r="I169" s="15" t="inlineStr"/>
      <c r="J169" s="15" t="inlineStr"/>
      <c r="K169" s="15" t="inlineStr"/>
      <c r="L169" s="15" t="inlineStr">
        <is>
          <t>E1–E2 VP / Business Head</t>
        </is>
      </c>
      <c r="M169" s="15" t="inlineStr">
        <is>
          <t>E3–E4 SVP</t>
        </is>
      </c>
      <c r="N169" s="15" t="inlineStr">
        <is>
          <t>E5 C-level · functional</t>
        </is>
      </c>
      <c r="O169" s="15" t="inlineStr">
        <is>
          <t>E6 CEO</t>
        </is>
      </c>
    </row>
    <row r="170" ht="41" customHeight="1">
      <c r="A170" s="13" t="inlineStr">
        <is>
          <t>IRIS Vs Competitor Benchmark — regtech / SaaS executive titles</t>
        </is>
      </c>
      <c r="B170" s="15" t="inlineStr"/>
      <c r="C170" s="15" t="inlineStr"/>
      <c r="D170" s="15" t="inlineStr"/>
      <c r="E170" s="15" t="inlineStr"/>
      <c r="F170" s="15" t="inlineStr"/>
      <c r="G170" s="15" t="inlineStr"/>
      <c r="H170" s="15" t="inlineStr"/>
      <c r="I170" s="15" t="inlineStr"/>
      <c r="J170" s="15" t="inlineStr"/>
      <c r="K170" s="15" t="inlineStr"/>
      <c r="L170" s="15" t="inlineStr">
        <is>
          <t>General Manager / VP</t>
        </is>
      </c>
      <c r="M170" s="15" t="inlineStr">
        <is>
          <t>SVP</t>
        </is>
      </c>
      <c r="N170" s="15" t="inlineStr">
        <is>
          <t>CTO · CFO · CRO · CCO · COO</t>
        </is>
      </c>
      <c r="O170" s="15" t="inlineStr">
        <is>
          <t>CEO</t>
        </is>
      </c>
    </row>
    <row r="171" ht="15" customHeight="1"/>
    <row r="172" ht="20" customHeight="1">
      <c r="A172" s="6" t="inlineStr">
        <is>
          <t>R4. Levelling and market databases used</t>
        </is>
      </c>
    </row>
    <row r="173" ht="15" customHeight="1">
      <c r="A173" s="12" t="inlineStr">
        <is>
          <t>Database / method</t>
        </is>
      </c>
      <c r="B173" s="210" t="n"/>
      <c r="C173" s="209" t="n"/>
      <c r="D173" s="12" t="inlineStr">
        <is>
          <t>What it gave</t>
        </is>
      </c>
      <c r="E173" s="210" t="n"/>
      <c r="F173" s="210" t="n"/>
      <c r="G173" s="210" t="n"/>
      <c r="H173" s="210" t="n"/>
      <c r="I173" s="209" t="n"/>
      <c r="J173" s="12" t="inlineStr">
        <is>
          <t>Site</t>
        </is>
      </c>
      <c r="K173" s="210" t="n"/>
      <c r="L173" s="210" t="n"/>
      <c r="M173" s="209" t="n"/>
      <c r="N173" s="12" t="inlineStr">
        <is>
          <t>Status</t>
        </is>
      </c>
      <c r="O173" s="209" t="n"/>
    </row>
    <row r="174" ht="28" customHeight="1">
      <c r="A174" s="13" t="inlineStr">
        <is>
          <t>Aon Radford · Global Technology Survey</t>
        </is>
      </c>
      <c r="B174" s="210" t="n"/>
      <c r="C174" s="209" t="n"/>
      <c r="D174" s="16" t="inlineStr">
        <is>
          <t>Survey levels P1–P7 / M1–M6 / E1–E6 used on every IRIS level</t>
        </is>
      </c>
      <c r="E174" s="210" t="n"/>
      <c r="F174" s="210" t="n"/>
      <c r="G174" s="210" t="n"/>
      <c r="H174" s="210" t="n"/>
      <c r="I174" s="209" t="n"/>
      <c r="J174" s="16" t="inlineStr">
        <is>
          <t>https://radford.aon.com</t>
        </is>
      </c>
      <c r="K174" s="210" t="n"/>
      <c r="L174" s="210" t="n"/>
      <c r="M174" s="209" t="n"/>
      <c r="N174" s="16" t="inlineStr">
        <is>
          <t>Used — codes; pay data to buy</t>
        </is>
      </c>
      <c r="O174" s="209" t="n"/>
    </row>
    <row r="175" ht="28" customHeight="1">
      <c r="A175" s="13" t="inlineStr">
        <is>
          <t>Mercer TRS / Mercer IPE</t>
        </is>
      </c>
      <c r="B175" s="210" t="n"/>
      <c r="C175" s="209" t="n"/>
      <c r="D175" s="16" t="inlineStr">
        <is>
          <t>Career levels and position evaluation</t>
        </is>
      </c>
      <c r="E175" s="210" t="n"/>
      <c r="F175" s="210" t="n"/>
      <c r="G175" s="210" t="n"/>
      <c r="H175" s="210" t="n"/>
      <c r="I175" s="209" t="n"/>
      <c r="J175" s="16" t="inlineStr">
        <is>
          <t>https://www.mercer.com</t>
        </is>
      </c>
      <c r="K175" s="210" t="n"/>
      <c r="L175" s="210" t="n"/>
      <c r="M175" s="209" t="n"/>
      <c r="N175" s="16" t="inlineStr">
        <is>
          <t>Used — method; pay data to buy</t>
        </is>
      </c>
      <c r="O175" s="209" t="n"/>
    </row>
    <row r="176" ht="15" customHeight="1">
      <c r="A176" s="13" t="inlineStr">
        <is>
          <t>WTW Global Grading System</t>
        </is>
      </c>
      <c r="B176" s="210" t="n"/>
      <c r="C176" s="209" t="n"/>
      <c r="D176" s="16" t="inlineStr">
        <is>
          <t>Banding-then-grading logic</t>
        </is>
      </c>
      <c r="E176" s="210" t="n"/>
      <c r="F176" s="210" t="n"/>
      <c r="G176" s="210" t="n"/>
      <c r="H176" s="210" t="n"/>
      <c r="I176" s="209" t="n"/>
      <c r="J176" s="16" t="inlineStr">
        <is>
          <t>https://www.wtwco.com</t>
        </is>
      </c>
      <c r="K176" s="210" t="n"/>
      <c r="L176" s="210" t="n"/>
      <c r="M176" s="209" t="n"/>
      <c r="N176" s="16" t="inlineStr">
        <is>
          <t>Used — method</t>
        </is>
      </c>
      <c r="O176" s="209" t="n"/>
    </row>
    <row r="177" ht="15" customHeight="1">
      <c r="A177" s="13" t="inlineStr">
        <is>
          <t>Korn Ferry Hay Guide Chart-Profile</t>
        </is>
      </c>
      <c r="B177" s="210" t="n"/>
      <c r="C177" s="209" t="n"/>
      <c r="D177" s="16" t="inlineStr">
        <is>
          <t>Factors and A / L / P profiles</t>
        </is>
      </c>
      <c r="E177" s="210" t="n"/>
      <c r="F177" s="210" t="n"/>
      <c r="G177" s="210" t="n"/>
      <c r="H177" s="210" t="n"/>
      <c r="I177" s="209" t="n"/>
      <c r="J177" s="16" t="inlineStr">
        <is>
          <t>https://www.kornferry.com</t>
        </is>
      </c>
      <c r="K177" s="210" t="n"/>
      <c r="L177" s="210" t="n"/>
      <c r="M177" s="209" t="n"/>
      <c r="N177" s="16" t="inlineStr">
        <is>
          <t>Used — method</t>
        </is>
      </c>
      <c r="O177" s="209" t="n"/>
    </row>
    <row r="178" ht="15" customHeight="1">
      <c r="A178" s="13" t="inlineStr">
        <is>
          <t>Pave</t>
        </is>
      </c>
      <c r="B178" s="210" t="n"/>
      <c r="C178" s="209" t="n"/>
      <c r="D178" s="16" t="inlineStr">
        <is>
          <t>Radford / Mercer level crosswalk</t>
        </is>
      </c>
      <c r="E178" s="210" t="n"/>
      <c r="F178" s="210" t="n"/>
      <c r="G178" s="210" t="n"/>
      <c r="H178" s="210" t="n"/>
      <c r="I178" s="209" t="n"/>
      <c r="J178" s="16" t="inlineStr">
        <is>
          <t>https://support.pave.com</t>
        </is>
      </c>
      <c r="K178" s="210" t="n"/>
      <c r="L178" s="210" t="n"/>
      <c r="M178" s="209" t="n"/>
      <c r="N178" s="16" t="inlineStr">
        <is>
          <t>Used</t>
        </is>
      </c>
      <c r="O178" s="209" t="n"/>
    </row>
    <row r="179" ht="67" customHeight="1">
      <c r="A179" s="13" t="inlineStr">
        <is>
          <t>Levels.fyi</t>
        </is>
      </c>
      <c r="B179" s="210" t="n"/>
      <c r="C179" s="209" t="n"/>
      <c r="D179" s="16" t="inlineStr">
        <is>
          <t>Company level ladders · Workiva, Broadridge, Nasdaq, Freshworks, Zoho, Clear, Atlassian</t>
        </is>
      </c>
      <c r="E179" s="210" t="n"/>
      <c r="F179" s="210" t="n"/>
      <c r="G179" s="210" t="n"/>
      <c r="H179" s="210" t="n"/>
      <c r="I179" s="209" t="n"/>
      <c r="J179" s="16" t="inlineStr">
        <is>
          <t>https://www.levels.fyi</t>
        </is>
      </c>
      <c r="K179" s="210" t="n"/>
      <c r="L179" s="210" t="n"/>
      <c r="M179" s="209" t="n"/>
      <c r="N179" s="16" t="inlineStr">
        <is>
          <t>Used — titles and levels only, not pay; pages did not load in the October 2026 source check, so unverified</t>
        </is>
      </c>
      <c r="O179" s="209" t="n"/>
    </row>
    <row r="180" ht="15" customHeight="1">
      <c r="A180" s="13" t="inlineStr">
        <is>
          <t>SFIA Foundation</t>
        </is>
      </c>
      <c r="B180" s="210" t="n"/>
      <c r="C180" s="209" t="n"/>
      <c r="D180" s="16" t="inlineStr">
        <is>
          <t>Levels of responsibility; skills</t>
        </is>
      </c>
      <c r="E180" s="210" t="n"/>
      <c r="F180" s="210" t="n"/>
      <c r="G180" s="210" t="n"/>
      <c r="H180" s="210" t="n"/>
      <c r="I180" s="209" t="n"/>
      <c r="J180" s="16" t="inlineStr">
        <is>
          <t>https://sfia-online.org</t>
        </is>
      </c>
      <c r="K180" s="210" t="n"/>
      <c r="L180" s="210" t="n"/>
      <c r="M180" s="209" t="n"/>
      <c r="N180" s="16" t="inlineStr">
        <is>
          <t>Used</t>
        </is>
      </c>
      <c r="O180" s="209" t="n"/>
    </row>
    <row r="181" ht="28" customHeight="1">
      <c r="A181" s="13" t="inlineStr">
        <is>
          <t>Built In / company career sites / Personio</t>
        </is>
      </c>
      <c r="B181" s="210" t="n"/>
      <c r="C181" s="209" t="n"/>
      <c r="D181" s="16" t="inlineStr">
        <is>
          <r>
            <rPr>
              <rFont val="Calibri"/>
              <b val="1"/>
              <sz val="10"/>
            </rPr>
            <t>Job postings:</t>
          </r>
          <r>
            <rPr>
              <rFont val="Calibri"/>
              <sz val="10"/>
            </rPr>
            <t xml:space="preserve"> Workiva, DFIN, Toppan Merrill, Regnology, Gainsight</t>
          </r>
        </is>
      </c>
      <c r="E181" s="210" t="n"/>
      <c r="F181" s="210" t="n"/>
      <c r="G181" s="210" t="n"/>
      <c r="H181" s="210" t="n"/>
      <c r="I181" s="209" t="n"/>
      <c r="J181" s="16" t="inlineStr">
        <is>
          <t>https://builtin.com ; https://www.regnology.net/en/careers</t>
        </is>
      </c>
      <c r="K181" s="210" t="n"/>
      <c r="L181" s="210" t="n"/>
      <c r="M181" s="209" t="n"/>
      <c r="N181" s="16" t="inlineStr">
        <is>
          <t>Used — titles and requirements</t>
        </is>
      </c>
      <c r="O181" s="209" t="n"/>
    </row>
    <row r="182" ht="28" customHeight="1">
      <c r="A182" s="13" t="inlineStr">
        <is>
          <t>Chartis RiskTech100, Central Banking awards, CFO Shortlist</t>
        </is>
      </c>
      <c r="B182" s="210" t="n"/>
      <c r="C182" s="209" t="n"/>
      <c r="D182" s="16" t="inlineStr">
        <is>
          <t>Regtech and disclosure-management market leadership</t>
        </is>
      </c>
      <c r="E182" s="210" t="n"/>
      <c r="F182" s="210" t="n"/>
      <c r="G182" s="210" t="n"/>
      <c r="H182" s="210" t="n"/>
      <c r="I182" s="209" t="n"/>
      <c r="J182" s="16" t="inlineStr">
        <is>
          <t>https://www.centralbanking.com ; https://www.cfoshortlist.com</t>
        </is>
      </c>
      <c r="K182" s="210" t="n"/>
      <c r="L182" s="210" t="n"/>
      <c r="M182" s="209" t="n"/>
      <c r="N182" s="16" t="inlineStr">
        <is>
          <t>Used — peer selection</t>
        </is>
      </c>
      <c r="O182" s="209" t="n"/>
    </row>
    <row r="183" ht="15" customHeight="1"/>
    <row r="184" ht="20" customHeight="1">
      <c r="A184" s="6" t="inlineStr">
        <is>
          <t>R5. Full source register · also in the Master, M16</t>
        </is>
      </c>
    </row>
    <row r="185" ht="41" customHeight="1">
      <c r="A185" s="11" t="inlineStr">
        <is>
          <r>
            <rPr>
              <rFont val="Calibri"/>
              <b val="1"/>
              <i val="1"/>
              <color rgb="00595959"/>
              <sz val="10"/>
            </rPr>
            <t>About the references:</t>
          </r>
          <r>
            <rPr>
              <rFont val="Calibri"/>
              <i val="1"/>
              <color rgb="00595959"/>
              <sz val="10"/>
            </rPr>
            <t xml:space="preserve"> each row names the source, what kind of source it is, what it contributed to the IRIS job architecture and where to find it. Grade: Primary = the original publisher or official document; Secondary = a summary, guide or third-party copy of the original; Indicative = used for direction only; Job postings = live adverts used as examples; Internal = IRIS data. S46–S72 were added in v1.12 for the default weights, the Experience and Business Impact evidence, and the title decisions: no Director, and the two D1 specialist-title options.</t>
          </r>
        </is>
      </c>
    </row>
    <row r="186" ht="15" customHeight="1">
      <c r="A186" s="12" t="inlineStr">
        <is>
          <t>ID</t>
        </is>
      </c>
      <c r="B186" s="12" t="inlineStr">
        <is>
          <t>Source</t>
        </is>
      </c>
      <c r="C186" s="210" t="n"/>
      <c r="D186" s="209" t="n"/>
      <c r="E186" s="12" t="inlineStr">
        <is>
          <t>Type</t>
        </is>
      </c>
      <c r="F186" s="209" t="n"/>
      <c r="G186" s="12" t="inlineStr">
        <is>
          <t>What it contributed</t>
        </is>
      </c>
      <c r="H186" s="210" t="n"/>
      <c r="I186" s="210" t="n"/>
      <c r="J186" s="209" t="n"/>
      <c r="K186" s="12" t="inlineStr">
        <is>
          <t>Link / where</t>
        </is>
      </c>
      <c r="L186" s="210" t="n"/>
      <c r="M186" s="210" t="n"/>
      <c r="N186" s="209" t="n"/>
      <c r="O186" s="12" t="inlineStr">
        <is>
          <t>Grade</t>
        </is>
      </c>
    </row>
    <row r="187" ht="28" customHeight="1">
      <c r="A187" s="13" t="inlineStr">
        <is>
          <t>S01</t>
        </is>
      </c>
      <c r="B187" s="16" t="inlineStr">
        <is>
          <t>Aon Radford — Global Job Architecture &amp; Leveling</t>
        </is>
      </c>
      <c r="C187" s="210" t="n"/>
      <c r="D187" s="209" t="n"/>
      <c r="E187" s="16" t="inlineStr">
        <is>
          <t>Salary-survey levelling system</t>
        </is>
      </c>
      <c r="F187" s="209" t="n"/>
      <c r="G187" s="16" t="inlineStr">
        <is>
          <t>P1–P7 / M1–M6 / E1–E6 market codes on every IRIS level; dual IC / management streams</t>
        </is>
      </c>
      <c r="H187" s="210" t="n"/>
      <c r="I187" s="210" t="n"/>
      <c r="J187" s="209" t="n"/>
      <c r="K187" s="16" t="inlineStr">
        <is>
          <t>https://radford.aon.com/en-us/products/release-notes/2021/radford-job-architecture-leveling</t>
        </is>
      </c>
      <c r="L187" s="210" t="n"/>
      <c r="M187" s="210" t="n"/>
      <c r="N187" s="209" t="n"/>
      <c r="O187" s="16" t="inlineStr">
        <is>
          <t>Primary</t>
        </is>
      </c>
    </row>
    <row r="188" ht="41" customHeight="1">
      <c r="A188" s="13" t="inlineStr">
        <is>
          <t>S02</t>
        </is>
      </c>
      <c r="B188" s="16" t="inlineStr">
        <is>
          <t>Pave — job levels and Radford / Mercer crosswalk</t>
        </is>
      </c>
      <c r="C188" s="210" t="n"/>
      <c r="D188" s="209" t="n"/>
      <c r="E188" s="16" t="inlineStr">
        <is>
          <t>Compensation platform</t>
        </is>
      </c>
      <c r="F188" s="209" t="n"/>
      <c r="G188" s="16" t="inlineStr">
        <is>
          <t>Level names · P1 Entry, P2 Developing, P3 Career, P4 Senior, P5 Expert, P6 Principal; M3 Manager … M6 Senior Director and the Radford ↔ Mercer mapping</t>
        </is>
      </c>
      <c r="H188" s="210" t="n"/>
      <c r="I188" s="210" t="n"/>
      <c r="J188" s="209" t="n"/>
      <c r="K188" s="16" t="inlineStr">
        <is>
          <t>https://support.pave.com/articles/understand-job-levels-SiKTjMHZtr.md</t>
        </is>
      </c>
      <c r="L188" s="210" t="n"/>
      <c r="M188" s="210" t="n"/>
      <c r="N188" s="209" t="n"/>
      <c r="O188" s="16" t="inlineStr">
        <is>
          <t>Primary</t>
        </is>
      </c>
    </row>
    <row r="189" ht="67" customHeight="1">
      <c r="A189" s="13" t="inlineStr">
        <is>
          <t>S03</t>
        </is>
      </c>
      <c r="B189" s="16" t="inlineStr">
        <is>
          <t>Mercer career levels · Executive, Management, Professional, Para-professional</t>
        </is>
      </c>
      <c r="C189" s="210" t="n"/>
      <c r="D189" s="209" t="n"/>
      <c r="E189" s="16" t="inlineStr">
        <is>
          <t>Survey levelling system</t>
        </is>
      </c>
      <c r="F189" s="209" t="n"/>
      <c r="G189" s="16" t="inlineStr">
        <is>
          <t>Management · M3+ = more time managing others' work than doing own work; M2 can be a team lead who also does the work; Mercer team-leader roles lead 2+ professionals → IRIS track rules · the 3-report manager threshold is IRIS's own rule</t>
        </is>
      </c>
      <c r="H189" s="210" t="n"/>
      <c r="I189" s="210" t="n"/>
      <c r="J189" s="209" t="n"/>
      <c r="K189" s="16" t="inlineStr">
        <is>
          <t>https://help.figures.hr/en/articles/389223-mercer-levels ; https://info.mercer.com/rs/521-DEV-513/images/MLS-Job-Catalogue.pdf</t>
        </is>
      </c>
      <c r="L189" s="210" t="n"/>
      <c r="M189" s="210" t="n"/>
      <c r="N189" s="209" t="n"/>
      <c r="O189" s="16" t="inlineStr">
        <is>
          <t>Secondary</t>
        </is>
      </c>
    </row>
    <row r="190" ht="41" customHeight="1">
      <c r="A190" s="13" t="inlineStr">
        <is>
          <t>S04</t>
        </is>
      </c>
      <c r="B190" s="16" t="inlineStr">
        <is>
          <t>Mercer IPE · International Position Evaluation</t>
        </is>
      </c>
      <c r="C190" s="210" t="n"/>
      <c r="D190" s="209" t="n"/>
      <c r="E190" s="16" t="inlineStr">
        <is>
          <t>Job-evaluation method</t>
        </is>
      </c>
      <c r="F190" s="209" t="n"/>
      <c r="G190" s="16" t="inlineStr">
        <is>
          <t>Factors Impact, Communication, Innovation, Knowledge · plus Effort &amp; Working Conditions, not used by IRIS → mapped to the IRIS six factors</t>
        </is>
      </c>
      <c r="H190" s="210" t="n"/>
      <c r="I190" s="210" t="n"/>
      <c r="J190" s="209" t="n"/>
      <c r="K190" s="16" t="inlineStr">
        <is>
          <t>https://www.mercer.com/en-in/solutions/talent-and-rewards/job-architecture/job-evaluation-ipe/</t>
        </is>
      </c>
      <c r="L190" s="210" t="n"/>
      <c r="M190" s="210" t="n"/>
      <c r="N190" s="209" t="n"/>
      <c r="O190" s="16" t="inlineStr">
        <is>
          <t>Primary</t>
        </is>
      </c>
    </row>
    <row r="191" ht="67" customHeight="1">
      <c r="A191" s="13" t="inlineStr">
        <is>
          <t>S05</t>
        </is>
      </c>
      <c r="B191" s="16" t="inlineStr">
        <is>
          <t>Korn Ferry Hay Guide Chart-Profile method</t>
        </is>
      </c>
      <c r="C191" s="210" t="n"/>
      <c r="D191" s="209" t="n"/>
      <c r="E191" s="16" t="inlineStr">
        <is>
          <t>Job-evaluation method</t>
        </is>
      </c>
      <c r="F191" s="209" t="n"/>
      <c r="G191" s="16" t="inlineStr">
        <is>
          <t>Factors Know-How, Problem Solving, Accountability · plus Working Conditions where it applies; used by 5,000+ private and public organisations</t>
        </is>
      </c>
      <c r="H191" s="210" t="n"/>
      <c r="I191" s="210" t="n"/>
      <c r="J191" s="209" t="n"/>
      <c r="K191" s="16" t="inlineStr">
        <is>
          <t>https://www.gov.nl.ca/exec/tbs/department/branches/classification/what-is-the-korn-ferry-hay-group-guide-chart-profile-method-of-job-evaluation/ ; https://www.uwo.ca/humanresources/wjec/docs/hay_method_overview.pdf</t>
        </is>
      </c>
      <c r="L191" s="210" t="n"/>
      <c r="M191" s="210" t="n"/>
      <c r="N191" s="209" t="n"/>
      <c r="O191" s="16" t="inlineStr">
        <is>
          <t>Primary</t>
        </is>
      </c>
    </row>
    <row r="192" ht="67" customHeight="1">
      <c r="A192" s="13" t="inlineStr">
        <is>
          <t>S06</t>
        </is>
      </c>
      <c r="B192" s="16" t="inlineStr">
        <is>
          <t>Hay short profile · A / L / P</t>
        </is>
      </c>
      <c r="C192" s="210" t="n"/>
      <c r="D192" s="209" t="n"/>
      <c r="E192" s="16" t="inlineStr">
        <is>
          <t>Job-evaluation method</t>
        </is>
      </c>
      <c r="F192" s="209" t="n"/>
      <c r="G192" s="16" t="inlineStr">
        <is>
          <t>A-profile = accountability exceeds problem solving · line, results-led; L = problem solving equals accountability · level profile; P = problem solving exceeds accountability · research, thinking-led → IRIS work-type tilts</t>
        </is>
      </c>
      <c r="H192" s="210" t="n"/>
      <c r="I192" s="210" t="n"/>
      <c r="J192" s="209" t="n"/>
      <c r="K192" s="16" t="inlineStr">
        <is>
          <t>https://peoplecentre.wordpress.com/2016/10/02/hay-job-evaluation-methodology-the-short-profile/</t>
        </is>
      </c>
      <c r="L192" s="210" t="n"/>
      <c r="M192" s="210" t="n"/>
      <c r="N192" s="209" t="n"/>
      <c r="O192" s="16" t="inlineStr">
        <is>
          <t>Secondary</t>
        </is>
      </c>
    </row>
    <row r="193" ht="41" customHeight="1">
      <c r="A193" s="13" t="inlineStr">
        <is>
          <t>S07</t>
        </is>
      </c>
      <c r="B193" s="16" t="inlineStr">
        <is>
          <t>WTW Global Grading System</t>
        </is>
      </c>
      <c r="C193" s="210" t="n"/>
      <c r="D193" s="209" t="n"/>
      <c r="E193" s="16" t="inlineStr">
        <is>
          <t>Job-levelling method</t>
        </is>
      </c>
      <c r="F193" s="209" t="n"/>
      <c r="G193" s="16" t="inlineStr">
        <is>
          <t>Two-step banding then grading; separate management and IC paths; 16–25 grades by organisation size → IRIS band-then-level design</t>
        </is>
      </c>
      <c r="H193" s="210" t="n"/>
      <c r="I193" s="210" t="n"/>
      <c r="J193" s="209" t="n"/>
      <c r="K193" s="16" t="inlineStr">
        <is>
          <t>https://assets.publishing.service.gov.uk/media/66a370440808eaf43b50d7b2/WTW_OME-STRB_Job_Levelling_FOR_PUBLICATION.pdf</t>
        </is>
      </c>
      <c r="L193" s="210" t="n"/>
      <c r="M193" s="210" t="n"/>
      <c r="N193" s="209" t="n"/>
      <c r="O193" s="16" t="inlineStr">
        <is>
          <t>Primary</t>
        </is>
      </c>
    </row>
    <row r="194" ht="54" customHeight="1">
      <c r="A194" s="13" t="inlineStr">
        <is>
          <t>S08</t>
        </is>
      </c>
      <c r="B194" s="16" t="inlineStr">
        <is>
          <t>SFIA 9 — levels of responsibility</t>
        </is>
      </c>
      <c r="C194" s="210" t="n"/>
      <c r="D194" s="209" t="n"/>
      <c r="E194" s="16" t="inlineStr">
        <is>
          <t>Skills framework</t>
        </is>
      </c>
      <c r="F194" s="209" t="n"/>
      <c r="G194" s="16" t="inlineStr">
        <is>
          <t>7 levels · Follow, Assist, Apply, Enable, Ensure/advise, Initiate/influence, Set strategy defined by autonomy, influence, complexity → factor anchors and the 1–5 proficiency scale</t>
        </is>
      </c>
      <c r="H194" s="210" t="n"/>
      <c r="I194" s="210" t="n"/>
      <c r="J194" s="209" t="n"/>
      <c r="K194" s="16" t="inlineStr">
        <is>
          <t>https://sfia-online.org/en/about-sfia/how-sfia-works</t>
        </is>
      </c>
      <c r="L194" s="210" t="n"/>
      <c r="M194" s="210" t="n"/>
      <c r="N194" s="209" t="n"/>
      <c r="O194" s="16" t="inlineStr">
        <is>
          <t>Primary</t>
        </is>
      </c>
    </row>
    <row r="195" ht="54" customHeight="1">
      <c r="A195" s="13" t="inlineStr">
        <is>
          <t>S09</t>
        </is>
      </c>
      <c r="B195" s="16" t="inlineStr">
        <is>
          <t>McKinsey — spans of control archetypes</t>
        </is>
      </c>
      <c r="C195" s="210" t="n"/>
      <c r="D195" s="209" t="n"/>
      <c r="E195" s="16" t="inlineStr">
        <is>
          <t>Organisation-design research</t>
        </is>
      </c>
      <c r="F195" s="209" t="n"/>
      <c r="G195" s="16" t="inlineStr">
        <is>
          <t>Player/coach 3–5, coach 6–7, supervisor 8–10, facilitator 11–15, coordinator 15+ → IRIS span norms</t>
        </is>
      </c>
      <c r="H195" s="210" t="n"/>
      <c r="I195" s="210" t="n"/>
      <c r="J195" s="209" t="n"/>
      <c r="K195" s="16" t="inlineStr">
        <is>
          <t>https://www.mckinsey.com/capabilities/people-and-organizational-performance/our-insights/how-to-identify-the-right-spans-of-control-for-your-organization</t>
        </is>
      </c>
      <c r="L195" s="210" t="n"/>
      <c r="M195" s="210" t="n"/>
      <c r="N195" s="209" t="n"/>
      <c r="O195" s="16" t="inlineStr">
        <is>
          <t>Primary</t>
        </is>
      </c>
    </row>
    <row r="196" ht="28" customHeight="1">
      <c r="A196" s="13" t="inlineStr">
        <is>
          <t>S10</t>
        </is>
      </c>
      <c r="B196" s="16" t="inlineStr">
        <is>
          <t>Levelling guides · Ravio, CareerBird, Careerminds</t>
        </is>
      </c>
      <c r="C196" s="210" t="n"/>
      <c r="D196" s="209" t="n"/>
      <c r="E196" s="16" t="inlineStr">
        <is>
          <t>Published guidance</t>
        </is>
      </c>
      <c r="F196" s="209" t="n"/>
      <c r="G196" s="16" t="inlineStr">
        <is>
          <t>≈ 12 levels suit 500–1,500 people → IRIS uses 12 employee levels</t>
        </is>
      </c>
      <c r="H196" s="210" t="n"/>
      <c r="I196" s="210" t="n"/>
      <c r="J196" s="209" t="n"/>
      <c r="K196" s="16" t="inlineStr">
        <is>
          <t>Public web guides</t>
        </is>
      </c>
      <c r="L196" s="210" t="n"/>
      <c r="M196" s="210" t="n"/>
      <c r="N196" s="209" t="n"/>
      <c r="O196" s="16" t="inlineStr">
        <is>
          <t>Secondary</t>
        </is>
      </c>
    </row>
    <row r="197" ht="54" customHeight="1">
      <c r="A197" s="13" t="inlineStr">
        <is>
          <t>S11</t>
        </is>
      </c>
      <c r="B197" s="16" t="inlineStr">
        <is>
          <t>WorldatWork — salary structure policies and practices</t>
        </is>
      </c>
      <c r="C197" s="210" t="n"/>
      <c r="D197" s="209" t="n"/>
      <c r="E197" s="16" t="inlineStr">
        <is>
          <t>Pay-structure research</t>
        </is>
      </c>
      <c r="F197" s="209" t="n"/>
      <c r="G197" s="16" t="inlineStr">
        <is>
          <t>Graded salary structures, range spread and midpoint concepts. It does not give range spreads by level: the spreads and midpoint steps in M14 are IRIS working assumptions until a pay survey is bought</t>
        </is>
      </c>
      <c r="H197" s="210" t="n"/>
      <c r="I197" s="210" t="n"/>
      <c r="J197" s="209" t="n"/>
      <c r="K197" s="16" t="inlineStr">
        <is>
          <t>https://worldatwork.org/media/CDN/dist/CDN2/documents/pdf/resources/research/Salary-Structure-Policies-Practices-2012.pdf</t>
        </is>
      </c>
      <c r="L197" s="210" t="n"/>
      <c r="M197" s="210" t="n"/>
      <c r="N197" s="209" t="n"/>
      <c r="O197" s="16" t="inlineStr">
        <is>
          <t>Secondary</t>
        </is>
      </c>
    </row>
    <row r="198" ht="54" customHeight="1">
      <c r="A198" s="13" t="inlineStr">
        <is>
          <t>S12</t>
        </is>
      </c>
      <c r="B198" s="16" t="inlineStr">
        <is>
          <t>World Economic Forum — Future of Jobs Report 2025</t>
        </is>
      </c>
      <c r="C198" s="210" t="n"/>
      <c r="D198" s="209" t="n"/>
      <c r="E198" s="16" t="inlineStr">
        <is>
          <t>Skills outlook</t>
        </is>
      </c>
      <c r="F198" s="209" t="n"/>
      <c r="G198" s="16"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H198" s="210" t="n"/>
      <c r="I198" s="210" t="n"/>
      <c r="J198" s="209" t="n"/>
      <c r="K198" s="16" t="inlineStr">
        <is>
          <t>https://www.weforum.org/publications/the-future-of-jobs-report-2025/digest/</t>
        </is>
      </c>
      <c r="L198" s="210" t="n"/>
      <c r="M198" s="210" t="n"/>
      <c r="N198" s="209" t="n"/>
      <c r="O198" s="16" t="inlineStr">
        <is>
          <t>Primary</t>
        </is>
      </c>
    </row>
    <row r="199" ht="28" customHeight="1">
      <c r="A199" s="13" t="inlineStr">
        <is>
          <t>S13</t>
        </is>
      </c>
      <c r="B199" s="16" t="inlineStr">
        <is>
          <t>PMI Talent Triangle</t>
        </is>
      </c>
      <c r="C199" s="210" t="n"/>
      <c r="D199" s="209" t="n"/>
      <c r="E199" s="16" t="inlineStr">
        <is>
          <t>Competency model</t>
        </is>
      </c>
      <c r="F199" s="209" t="n"/>
      <c r="G199" s="16" t="inlineStr">
        <is>
          <t>Ways of Working, Power Skills, Business Acumen → leadership and project competencies</t>
        </is>
      </c>
      <c r="H199" s="210" t="n"/>
      <c r="I199" s="210" t="n"/>
      <c r="J199" s="209" t="n"/>
      <c r="K199" s="16" t="inlineStr">
        <is>
          <t>https://www.pmi.org/certifications/certification-resources/maintain/talent-triangle</t>
        </is>
      </c>
      <c r="L199" s="210" t="n"/>
      <c r="M199" s="210" t="n"/>
      <c r="N199" s="209" t="n"/>
      <c r="O199" s="16" t="inlineStr">
        <is>
          <t>Primary</t>
        </is>
      </c>
    </row>
    <row r="200" ht="67" customHeight="1">
      <c r="A200" s="13" t="inlineStr">
        <is>
          <t>S14</t>
        </is>
      </c>
      <c r="B200" s="16" t="inlineStr">
        <is>
          <t>SHL Universal Competency Framework — the Great Eight</t>
        </is>
      </c>
      <c r="C200" s="210" t="n"/>
      <c r="D200" s="209" t="n"/>
      <c r="E200" s="16" t="inlineStr">
        <is>
          <t>Competency model</t>
        </is>
      </c>
      <c r="F200" s="209" t="n"/>
      <c r="G200" s="16" t="inlineStr">
        <is>
          <t>Leading &amp; Deciding; Supporting &amp; Co-operating; Interacting &amp; Presenting; Analysing &amp; Interpreting; Creating &amp; Conceptualising; Organising &amp; Executing; Adapting &amp; Coping; Enterprising &amp; Performing → coverage check of the IRIS clusters</t>
        </is>
      </c>
      <c r="H200" s="210" t="n"/>
      <c r="I200" s="210" t="n"/>
      <c r="J200" s="209" t="n"/>
      <c r="K200" s="16" t="inlineStr">
        <is>
          <t>https://www.shl.com/assets/campaigns/global/competency-fit/universal-competency-framework-whitepaper-en.pdf</t>
        </is>
      </c>
      <c r="L200" s="210" t="n"/>
      <c r="M200" s="210" t="n"/>
      <c r="N200" s="209" t="n"/>
      <c r="O200" s="16" t="inlineStr">
        <is>
          <t>Primary</t>
        </is>
      </c>
    </row>
    <row r="201" ht="41" customHeight="1">
      <c r="A201" s="13" t="inlineStr">
        <is>
          <t>S15</t>
        </is>
      </c>
      <c r="B201" s="16" t="inlineStr">
        <is>
          <t>Korn Ferry Leadership Architect · 38 competencies in four factors: Thought, Results, People, Self</t>
        </is>
      </c>
      <c r="C201" s="210" t="n"/>
      <c r="D201" s="209" t="n"/>
      <c r="E201" s="16" t="inlineStr">
        <is>
          <t>Competency model</t>
        </is>
      </c>
      <c r="F201" s="209" t="n"/>
      <c r="G201" s="16" t="inlineStr">
        <is>
          <t>Behavioural anchors and coverage check for Core and Leadership clusters</t>
        </is>
      </c>
      <c r="H201" s="210" t="n"/>
      <c r="I201" s="210" t="n"/>
      <c r="J201" s="209" t="n"/>
      <c r="K201" s="16" t="inlineStr">
        <is>
          <t>https://cardinalatwork.stanford.edu/careers/performance-management/competencies</t>
        </is>
      </c>
      <c r="L201" s="210" t="n"/>
      <c r="M201" s="210" t="n"/>
      <c r="N201" s="209" t="n"/>
      <c r="O201" s="16" t="inlineStr">
        <is>
          <t>Secondary</t>
        </is>
      </c>
    </row>
    <row r="202" ht="41" customHeight="1">
      <c r="A202" s="13" t="inlineStr">
        <is>
          <t>S16</t>
        </is>
      </c>
      <c r="B202" s="16" t="inlineStr">
        <is>
          <t>Google Project Oxygen — 10 behaviours of great managers</t>
        </is>
      </c>
      <c r="C202" s="210" t="n"/>
      <c r="D202" s="209" t="n"/>
      <c r="E202" s="16" t="inlineStr">
        <is>
          <t>Manager research</t>
        </is>
      </c>
      <c r="F202" s="209" t="n"/>
      <c r="G202" s="16" t="inlineStr">
        <is>
          <t>Coach, empower, inclusive team, results, communicate, career development, vision, technical skill, collaborate, decide → Leadership cluster indicators</t>
        </is>
      </c>
      <c r="H202" s="210" t="n"/>
      <c r="I202" s="210" t="n"/>
      <c r="J202" s="209" t="n"/>
      <c r="K202" s="16" t="inlineStr">
        <is>
          <t>https://rework.withgoogle.com/intl/en/guides/following-the-data-the-research-behind-great-managers</t>
        </is>
      </c>
      <c r="L202" s="210" t="n"/>
      <c r="M202" s="210" t="n"/>
      <c r="N202" s="209" t="n"/>
      <c r="O202" s="16" t="inlineStr">
        <is>
          <t>Secondary</t>
        </is>
      </c>
    </row>
    <row r="203" ht="28" customHeight="1">
      <c r="A203" s="13" t="inlineStr">
        <is>
          <t>S17</t>
        </is>
      </c>
      <c r="B203" s="16" t="inlineStr">
        <is>
          <t>Digital Education Council — AI literacy framework</t>
        </is>
      </c>
      <c r="C203" s="210" t="n"/>
      <c r="D203" s="209" t="n"/>
      <c r="E203" s="16" t="inlineStr">
        <is>
          <t>AI literacy model</t>
        </is>
      </c>
      <c r="F203" s="209" t="n"/>
      <c r="G203" s="16" t="inlineStr">
        <is>
          <t>Understanding, critical evaluation and responsible use of AI → AI Literacy indicators</t>
        </is>
      </c>
      <c r="H203" s="210" t="n"/>
      <c r="I203" s="210" t="n"/>
      <c r="J203" s="209" t="n"/>
      <c r="K203" s="16" t="inlineStr">
        <is>
          <t>Digital Education Council · public</t>
        </is>
      </c>
      <c r="L203" s="210" t="n"/>
      <c r="M203" s="210" t="n"/>
      <c r="N203" s="209" t="n"/>
      <c r="O203" s="16" t="inlineStr">
        <is>
          <t>Secondary</t>
        </is>
      </c>
    </row>
    <row r="204" ht="28" customHeight="1">
      <c r="A204" s="13" t="inlineStr">
        <is>
          <t>S18</t>
        </is>
      </c>
      <c r="B204" s="16" t="inlineStr">
        <is>
          <t>SHRM BASK</t>
        </is>
      </c>
      <c r="C204" s="210" t="n"/>
      <c r="D204" s="209" t="n"/>
      <c r="E204" s="16" t="inlineStr">
        <is>
          <t>HR competency model</t>
        </is>
      </c>
      <c r="F204" s="209" t="n"/>
      <c r="G204" s="16" t="inlineStr">
        <is>
          <t>HR department technical competencies</t>
        </is>
      </c>
      <c r="H204" s="210" t="n"/>
      <c r="I204" s="210" t="n"/>
      <c r="J204" s="209" t="n"/>
      <c r="K204" s="16" t="inlineStr">
        <is>
          <t>https://www.shrm.org/credentials/certification/shrm-bask</t>
        </is>
      </c>
      <c r="L204" s="210" t="n"/>
      <c r="M204" s="210" t="n"/>
      <c r="N204" s="209" t="n"/>
      <c r="O204" s="16" t="inlineStr">
        <is>
          <t>Primary</t>
        </is>
      </c>
    </row>
    <row r="205" ht="28" customHeight="1">
      <c r="A205" s="13" t="inlineStr">
        <is>
          <t>S19</t>
        </is>
      </c>
      <c r="B205" s="16" t="inlineStr">
        <is>
          <t>CIPD Profession Map</t>
        </is>
      </c>
      <c r="C205" s="210" t="n"/>
      <c r="D205" s="209" t="n"/>
      <c r="E205" s="16" t="inlineStr">
        <is>
          <t>HR profession standard</t>
        </is>
      </c>
      <c r="F205" s="209" t="n"/>
      <c r="G205" s="16" t="inlineStr">
        <is>
          <t>HR specialist areas</t>
        </is>
      </c>
      <c r="H205" s="210" t="n"/>
      <c r="I205" s="210" t="n"/>
      <c r="J205" s="209" t="n"/>
      <c r="K205" s="16" t="inlineStr">
        <is>
          <t>https://www.cipd.org/en/the-people-profession/the-profession-map/</t>
        </is>
      </c>
      <c r="L205" s="210" t="n"/>
      <c r="M205" s="210" t="n"/>
      <c r="N205" s="209" t="n"/>
      <c r="O205" s="16" t="inlineStr">
        <is>
          <t>Primary</t>
        </is>
      </c>
    </row>
    <row r="206" ht="28" customHeight="1">
      <c r="A206" s="13" t="inlineStr">
        <is>
          <t>S20</t>
        </is>
      </c>
      <c r="B206" s="16" t="inlineStr">
        <is>
          <t>IMA Competency Framework · management accounting</t>
        </is>
      </c>
      <c r="C206" s="210" t="n"/>
      <c r="D206" s="209" t="n"/>
      <c r="E206" s="16" t="inlineStr">
        <is>
          <t>Finance competency model</t>
        </is>
      </c>
      <c r="F206" s="209" t="n"/>
      <c r="G206" s="16" t="inlineStr">
        <is>
          <t>Finance department technical competencies</t>
        </is>
      </c>
      <c r="H206" s="210" t="n"/>
      <c r="I206" s="210" t="n"/>
      <c r="J206" s="209" t="n"/>
      <c r="K206" s="16" t="inlineStr">
        <is>
          <t>https://www.imanet.org/framework</t>
        </is>
      </c>
      <c r="L206" s="210" t="n"/>
      <c r="M206" s="210" t="n"/>
      <c r="N206" s="209" t="n"/>
      <c r="O206" s="16" t="inlineStr">
        <is>
          <t>Primary</t>
        </is>
      </c>
    </row>
    <row r="207" ht="28" customHeight="1">
      <c r="A207" s="13" t="inlineStr">
        <is>
          <t>S21</t>
        </is>
      </c>
      <c r="B207" s="16" t="inlineStr">
        <is>
          <t>IIBA BABOK Guide v3</t>
        </is>
      </c>
      <c r="C207" s="210" t="n"/>
      <c r="D207" s="209" t="n"/>
      <c r="E207" s="16" t="inlineStr">
        <is>
          <t>Business-analysis standard</t>
        </is>
      </c>
      <c r="F207" s="209" t="n"/>
      <c r="G207" s="16" t="inlineStr">
        <is>
          <t>Business Analysis competencies</t>
        </is>
      </c>
      <c r="H207" s="210" t="n"/>
      <c r="I207" s="210" t="n"/>
      <c r="J207" s="209" t="n"/>
      <c r="K207" s="16" t="inlineStr">
        <is>
          <t>https://www.iiba.org</t>
        </is>
      </c>
      <c r="L207" s="210" t="n"/>
      <c r="M207" s="210" t="n"/>
      <c r="N207" s="209" t="n"/>
      <c r="O207" s="16" t="inlineStr">
        <is>
          <t>Primary</t>
        </is>
      </c>
    </row>
    <row r="208" ht="15" customHeight="1">
      <c r="A208" s="13" t="inlineStr">
        <is>
          <t>S22</t>
        </is>
      </c>
      <c r="B208" s="16" t="inlineStr">
        <is>
          <t>ISTQB</t>
        </is>
      </c>
      <c r="C208" s="210" t="n"/>
      <c r="D208" s="209" t="n"/>
      <c r="E208" s="16" t="inlineStr">
        <is>
          <t>Testing standard</t>
        </is>
      </c>
      <c r="F208" s="209" t="n"/>
      <c r="G208" s="16" t="inlineStr">
        <is>
          <t>Quality Assurance competencies and credentials</t>
        </is>
      </c>
      <c r="H208" s="210" t="n"/>
      <c r="I208" s="210" t="n"/>
      <c r="J208" s="209" t="n"/>
      <c r="K208" s="16" t="inlineStr">
        <is>
          <t>https://www.istqb.org</t>
        </is>
      </c>
      <c r="L208" s="210" t="n"/>
      <c r="M208" s="210" t="n"/>
      <c r="N208" s="209" t="n"/>
      <c r="O208" s="16" t="inlineStr">
        <is>
          <t>Primary</t>
        </is>
      </c>
    </row>
    <row r="209" ht="28" customHeight="1">
      <c r="A209" s="13" t="inlineStr">
        <is>
          <t>S23</t>
        </is>
      </c>
      <c r="B209" s="16" t="inlineStr">
        <is>
          <t>ITIL 4 and ISO/IEC 27001:2022</t>
        </is>
      </c>
      <c r="C209" s="210" t="n"/>
      <c r="D209" s="209" t="n"/>
      <c r="E209" s="16" t="inlineStr">
        <is>
          <t>IT service / security standards</t>
        </is>
      </c>
      <c r="F209" s="209" t="n"/>
      <c r="G209" s="16" t="inlineStr">
        <is>
          <t>IT &amp; Infrastructure competencies</t>
        </is>
      </c>
      <c r="H209" s="210" t="n"/>
      <c r="I209" s="210" t="n"/>
      <c r="J209" s="209" t="n"/>
      <c r="K209" s="16" t="inlineStr">
        <is>
          <t>https://www.iso.org/standard/27001</t>
        </is>
      </c>
      <c r="L209" s="210" t="n"/>
      <c r="M209" s="210" t="n"/>
      <c r="N209" s="209" t="n"/>
      <c r="O209" s="16" t="inlineStr">
        <is>
          <t>Primary</t>
        </is>
      </c>
    </row>
    <row r="210" ht="28" customHeight="1">
      <c r="A210" s="13" t="inlineStr">
        <is>
          <t>S24</t>
        </is>
      </c>
      <c r="B210" s="16" t="inlineStr">
        <is>
          <t>ICSI · Institute of Company Secretaries of India</t>
        </is>
      </c>
      <c r="C210" s="210" t="n"/>
      <c r="D210" s="209" t="n"/>
      <c r="E210" s="16" t="inlineStr">
        <is>
          <t>Statutory body</t>
        </is>
      </c>
      <c r="F210" s="209" t="n"/>
      <c r="G210" s="16" t="inlineStr">
        <is>
          <t>Secretarial &amp; Legal competencies; statutory gate for Company Secretary</t>
        </is>
      </c>
      <c r="H210" s="210" t="n"/>
      <c r="I210" s="210" t="n"/>
      <c r="J210" s="209" t="n"/>
      <c r="K210" s="16" t="inlineStr">
        <is>
          <t>https://www.icsi.edu</t>
        </is>
      </c>
      <c r="L210" s="210" t="n"/>
      <c r="M210" s="210" t="n"/>
      <c r="N210" s="209" t="n"/>
      <c r="O210" s="16" t="inlineStr">
        <is>
          <t>Primary</t>
        </is>
      </c>
    </row>
    <row r="211" ht="28" customHeight="1">
      <c r="A211" s="13" t="inlineStr">
        <is>
          <t>S25</t>
        </is>
      </c>
      <c r="B211" s="16" t="inlineStr">
        <is>
          <t>AICPA &amp; XBRL US — XBRL US GAAP Certificate</t>
        </is>
      </c>
      <c r="C211" s="210" t="n"/>
      <c r="D211" s="209" t="n"/>
      <c r="E211" s="16" t="inlineStr">
        <is>
          <t>Professional credential</t>
        </is>
      </c>
      <c r="F211" s="209" t="n"/>
      <c r="G211" s="16" t="inlineStr">
        <is>
          <t>XBRL &amp; taxonomy competency and credential</t>
        </is>
      </c>
      <c r="H211" s="210" t="n"/>
      <c r="I211" s="210" t="n"/>
      <c r="J211" s="209" t="n"/>
      <c r="K211" s="16" t="inlineStr">
        <is>
          <t>https://xbrl.us</t>
        </is>
      </c>
      <c r="L211" s="210" t="n"/>
      <c r="M211" s="210" t="n"/>
      <c r="N211" s="209" t="n"/>
      <c r="O211" s="16" t="inlineStr">
        <is>
          <t>Primary</t>
        </is>
      </c>
    </row>
    <row r="212" ht="28" customHeight="1">
      <c r="A212" s="13" t="inlineStr">
        <is>
          <t>S26</t>
        </is>
      </c>
      <c r="B212" s="16" t="inlineStr">
        <is>
          <t>ILO ISCO-08 · India's NCO-2015 follows the same structure</t>
        </is>
      </c>
      <c r="C212" s="210" t="n"/>
      <c r="D212" s="209" t="n"/>
      <c r="E212" s="16" t="inlineStr">
        <is>
          <t>Occupation classification</t>
        </is>
      </c>
      <c r="F212" s="209" t="n"/>
      <c r="G212" s="16" t="inlineStr">
        <is>
          <t>Each job family is anchored to an ISCO-08 unit group so families are standard, not invented</t>
        </is>
      </c>
      <c r="H212" s="210" t="n"/>
      <c r="I212" s="210" t="n"/>
      <c r="J212" s="209" t="n"/>
      <c r="K212" s="16" t="inlineStr">
        <is>
          <t>https://worldoftaxonomy.com/system/isco_08/node/251</t>
        </is>
      </c>
      <c r="L212" s="210" t="n"/>
      <c r="M212" s="210" t="n"/>
      <c r="N212" s="209" t="n"/>
      <c r="O212" s="16" t="inlineStr">
        <is>
          <t>Primary</t>
        </is>
      </c>
    </row>
    <row r="213" ht="67" customHeight="1">
      <c r="A213" s="13" t="inlineStr">
        <is>
          <t>S27</t>
        </is>
      </c>
      <c r="B213" s="16" t="inlineStr">
        <is>
          <t>Deloitte — The skills-based organization: a new operating model for work and the workforce</t>
        </is>
      </c>
      <c r="C213" s="210" t="n"/>
      <c r="D213" s="209" t="n"/>
      <c r="E213" s="16" t="inlineStr">
        <is>
          <t>Workforce research</t>
        </is>
      </c>
      <c r="F213" s="209" t="n"/>
      <c r="G213" s="16" t="inlineStr">
        <is>
          <t>71% of workers already perform some work outside the scope of their job descriptions · The skills-based organization, Deloitte Insights, 7 Sep 2022 → sub-families describe actual work; skills tracked per person</t>
        </is>
      </c>
      <c r="H213" s="210" t="n"/>
      <c r="I213" s="210" t="n"/>
      <c r="J213" s="209" t="n"/>
      <c r="K213" s="16" t="inlineStr">
        <is>
          <t>https://www.deloitte.com/us/en/insights/topics/talent/organizational-skill-based-hiring.html</t>
        </is>
      </c>
      <c r="L213" s="210" t="n"/>
      <c r="M213" s="210" t="n"/>
      <c r="N213" s="209" t="n"/>
      <c r="O213" s="16" t="inlineStr">
        <is>
          <t>Primary</t>
        </is>
      </c>
    </row>
    <row r="214" ht="54" customHeight="1">
      <c r="A214" s="13" t="inlineStr">
        <is>
          <t>S30</t>
        </is>
      </c>
      <c r="B214" s="16" t="inlineStr">
        <is>
          <t>Workiva — engineering levels · Levels.fyi</t>
        </is>
      </c>
      <c r="C214" s="210" t="n"/>
      <c r="D214" s="209" t="n"/>
      <c r="E214" s="16" t="inlineStr">
        <is>
          <t>Product peer · XBRL / regtech SaaS</t>
        </is>
      </c>
      <c r="F214" s="209" t="n"/>
      <c r="G214" s="16" t="inlineStr">
        <is>
          <t>Associate SE → SE → Senior SE → Staff SE → Senior Staff SE · Levels.fyi pages could not be loaded; level names confirmed from Levels.fyi page titles and Workiva postings</t>
        </is>
      </c>
      <c r="H214" s="210" t="n"/>
      <c r="I214" s="210" t="n"/>
      <c r="J214" s="209" t="n"/>
      <c r="K214" s="16" t="inlineStr">
        <is>
          <t>https://www.levels.fyi/companies/workiva/salaries/software-engineer</t>
        </is>
      </c>
      <c r="L214" s="210" t="n"/>
      <c r="M214" s="210" t="n"/>
      <c r="N214" s="209" t="n"/>
      <c r="O214" s="16" t="inlineStr">
        <is>
          <t>Secondary</t>
        </is>
      </c>
    </row>
    <row r="215" ht="28" customHeight="1">
      <c r="A215" s="13" t="inlineStr">
        <is>
          <t>S31</t>
        </is>
      </c>
      <c r="B215" s="16" t="inlineStr">
        <is>
          <t>DataTracks — careers site</t>
        </is>
      </c>
      <c r="C215" s="210" t="n"/>
      <c r="D215" s="209" t="n"/>
      <c r="E215" s="16" t="inlineStr">
        <is>
          <t>Services peer · XBRL / iXBRL filing, India</t>
        </is>
      </c>
      <c r="F215" s="209" t="n"/>
      <c r="G215" s="16" t="inlineStr">
        <is>
          <r>
            <rPr>
              <rFont val="Calibri"/>
              <b val="1"/>
              <sz val="10"/>
            </rPr>
            <t>Two published rungs:</t>
          </r>
          <r>
            <rPr>
              <rFont val="Calibri"/>
              <sz val="10"/>
            </rPr>
            <t xml:space="preserve"> Associate · freshers → Senior Associate · 2–5 yrs; nothing above is published</t>
          </r>
        </is>
      </c>
      <c r="H215" s="210" t="n"/>
      <c r="I215" s="210" t="n"/>
      <c r="J215" s="209" t="n"/>
      <c r="K215" s="16" t="inlineStr">
        <is>
          <t>https://www.datatracks.com/in/careers/</t>
        </is>
      </c>
      <c r="L215" s="210" t="n"/>
      <c r="M215" s="210" t="n"/>
      <c r="N215" s="209" t="n"/>
      <c r="O215" s="16" t="inlineStr">
        <is>
          <t>Job postings</t>
        </is>
      </c>
    </row>
    <row r="216" ht="54" customHeight="1">
      <c r="A216" s="13" t="inlineStr">
        <is>
          <t>S32</t>
        </is>
      </c>
      <c r="B216" s="16" t="inlineStr">
        <is>
          <t>Google / Microsoft / Amazon engineering levels</t>
        </is>
      </c>
      <c r="C216" s="210" t="n"/>
      <c r="D216" s="209" t="n"/>
      <c r="E216" s="16" t="inlineStr">
        <is>
          <t>Global product companies</t>
        </is>
      </c>
      <c r="F216" s="209" t="n"/>
      <c r="G216" s="16"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H216" s="210" t="n"/>
      <c r="I216" s="210" t="n"/>
      <c r="J216" s="209" t="n"/>
      <c r="K216" s="16" t="inlineStr">
        <is>
          <t>https://testrigor.com/blog/engineering-levels-in-different-companies-compared/ ; https://rajendrauppal.substack.com/p/understanding-levels-at-google-microsoft</t>
        </is>
      </c>
      <c r="L216" s="210" t="n"/>
      <c r="M216" s="210" t="n"/>
      <c r="N216" s="209" t="n"/>
      <c r="O216" s="16" t="inlineStr">
        <is>
          <t>Secondary</t>
        </is>
      </c>
    </row>
    <row r="217" ht="54" customHeight="1">
      <c r="A217" s="13" t="inlineStr">
        <is>
          <t>S33</t>
        </is>
      </c>
      <c r="B217" s="16" t="inlineStr">
        <is>
          <t>Infosys job levels</t>
        </is>
      </c>
      <c r="C217" s="210" t="n"/>
      <c r="D217" s="209" t="n"/>
      <c r="E217" s="16" t="inlineStr">
        <is>
          <t>Indian IT services</t>
        </is>
      </c>
      <c r="F217" s="209" t="n"/>
      <c r="G217" s="16" t="inlineStr">
        <is>
          <t>JL3B Systems Engineer · 0–3 yrs → JL3A Senior SE → JL4 Technology Analyst → JL5 Technology Lead → JL6B Architect / PM → JL6A Senior Architect</t>
        </is>
      </c>
      <c r="H217" s="210" t="n"/>
      <c r="I217" s="210" t="n"/>
      <c r="J217" s="209" t="n"/>
      <c r="K217" s="16" t="inlineStr">
        <is>
          <t>https://www.designgurus.io/blog/infosys-job-levels</t>
        </is>
      </c>
      <c r="L217" s="210" t="n"/>
      <c r="M217" s="210" t="n"/>
      <c r="N217" s="209" t="n"/>
      <c r="O217" s="16" t="inlineStr">
        <is>
          <t>Indicative</t>
        </is>
      </c>
    </row>
    <row r="218" ht="54" customHeight="1">
      <c r="A218" s="13" t="inlineStr">
        <is>
          <t>S34</t>
        </is>
      </c>
      <c r="B218" s="16" t="inlineStr">
        <is>
          <t>TCS grades</t>
        </is>
      </c>
      <c r="C218" s="210" t="n"/>
      <c r="D218" s="209" t="n"/>
      <c r="E218" s="16" t="inlineStr">
        <is>
          <t>Indian IT services</t>
        </is>
      </c>
      <c r="F218" s="209" t="n"/>
      <c r="G218" s="16" t="inlineStr">
        <is>
          <t>C1Y ASE Trainee → C1 ASE / System Engineer → C2 IT Analyst → C3A Assistant Consultant → C3B Associate Consultant → C4 Consultant → C5 Senior Consultant → SP1 Principal Consultant</t>
        </is>
      </c>
      <c r="H218" s="210" t="n"/>
      <c r="I218" s="210" t="n"/>
      <c r="J218" s="209" t="n"/>
      <c r="K218" s="16" t="inlineStr">
        <is>
          <t>https://www.designgurus.io/blog/tcs-job-levels</t>
        </is>
      </c>
      <c r="L218" s="210" t="n"/>
      <c r="M218" s="210" t="n"/>
      <c r="N218" s="209" t="n"/>
      <c r="O218" s="16" t="inlineStr">
        <is>
          <t>Indicative</t>
        </is>
      </c>
    </row>
    <row r="219" ht="54" customHeight="1">
      <c r="A219" s="13" t="inlineStr">
        <is>
          <t>S35</t>
        </is>
      </c>
      <c r="B219" s="16" t="inlineStr">
        <is>
          <t>Accenture India career levels</t>
        </is>
      </c>
      <c r="C219" s="210" t="n"/>
      <c r="D219" s="209" t="n"/>
      <c r="E219" s="16" t="inlineStr">
        <is>
          <t>Global IT services</t>
        </is>
      </c>
      <c r="F219" s="209" t="n"/>
      <c r="G219" s="16" t="inlineStr">
        <is>
          <t>L12 Associate · 0–1 yrs → L11 Analyst → L10 Senior Analyst → L9 Team Lead / Consultant → L8 Associate Manager → L7 Manager → L6 Senior Manager → L5+ leadership</t>
        </is>
      </c>
      <c r="H219" s="210" t="n"/>
      <c r="I219" s="210" t="n"/>
      <c r="J219" s="209" t="n"/>
      <c r="K219" s="16" t="inlineStr">
        <is>
          <t>https://jobrise.io/hi/blog/accenture-salary-package-2026-india/</t>
        </is>
      </c>
      <c r="L219" s="210" t="n"/>
      <c r="M219" s="210" t="n"/>
      <c r="N219" s="209" t="n"/>
      <c r="O219" s="16" t="inlineStr">
        <is>
          <t>Indicative</t>
        </is>
      </c>
    </row>
    <row r="220" ht="41" customHeight="1">
      <c r="A220" s="13" t="inlineStr">
        <is>
          <t>S36</t>
        </is>
      </c>
      <c r="B220" s="16" t="inlineStr">
        <is>
          <t>Deloitte India / USI hierarchy</t>
        </is>
      </c>
      <c r="C220" s="210" t="n"/>
      <c r="D220" s="209" t="n"/>
      <c r="E220" s="16" t="inlineStr">
        <is>
          <t>Big Four consulting</t>
        </is>
      </c>
      <c r="F220" s="209" t="n"/>
      <c r="G220" s="16" t="inlineStr">
        <is>
          <t>Associate Analyst → Analyst → Consultant → Senior Consultant → Manager → Senior Manager → Managing Director → Partner / Principal</t>
        </is>
      </c>
      <c r="H220" s="210" t="n"/>
      <c r="I220" s="210" t="n"/>
      <c r="J220" s="209" t="n"/>
      <c r="K220" s="16" t="inlineStr">
        <is>
          <t>https://networkinterview.com/technical-hierarchy-deloitte-india/</t>
        </is>
      </c>
      <c r="L220" s="210" t="n"/>
      <c r="M220" s="210" t="n"/>
      <c r="N220" s="209" t="n"/>
      <c r="O220" s="16" t="inlineStr">
        <is>
          <t>Indicative</t>
        </is>
      </c>
    </row>
    <row r="221" ht="41" customHeight="1">
      <c r="A221" s="13" t="inlineStr">
        <is>
          <t>S37</t>
        </is>
      </c>
      <c r="B221" s="16" t="inlineStr">
        <is>
          <t>GitLab — job frameworks and layers</t>
        </is>
      </c>
      <c r="C221" s="210" t="n"/>
      <c r="D221" s="209" t="n"/>
      <c r="E221" s="16" t="inlineStr">
        <is>
          <t>Product company · public handbook</t>
        </is>
      </c>
      <c r="F221" s="209" t="n"/>
      <c r="G221" s="16" t="inlineStr">
        <is>
          <t>Two job frameworks · IC, people manager; ≤ 8 layers; Staff ↔ Manager, Principal ↔ Senior Manager, Distinguished ↔ Director, Fellow ↔ VP</t>
        </is>
      </c>
      <c r="H221" s="210" t="n"/>
      <c r="I221" s="210" t="n"/>
      <c r="J221" s="209" t="n"/>
      <c r="K221" s="16" t="inlineStr">
        <is>
          <t>https://handbook.gitlab.com/handbook/company/structure/</t>
        </is>
      </c>
      <c r="L221" s="210" t="n"/>
      <c r="M221" s="210" t="n"/>
      <c r="N221" s="209" t="n"/>
      <c r="O221" s="16" t="inlineStr">
        <is>
          <t>Primary</t>
        </is>
      </c>
    </row>
    <row r="222" ht="41" customHeight="1">
      <c r="A222" s="13" t="inlineStr">
        <is>
          <t>S38</t>
        </is>
      </c>
      <c r="B222" s="16" t="inlineStr">
        <is>
          <t>Infosys, McKinsey, Unilever / HUL, Google — hiring practices</t>
        </is>
      </c>
      <c r="C222" s="210" t="n"/>
      <c r="D222" s="209" t="n"/>
      <c r="E222" s="16" t="inlineStr">
        <is>
          <t>Practice benchmarks</t>
        </is>
      </c>
      <c r="F222" s="209" t="n"/>
      <c r="G222" s="16" t="inlineStr">
        <is>
          <t>Tiered campus entry; entry level by qualification; management-trainee programme; independent levelling panel</t>
        </is>
      </c>
      <c r="H222" s="210" t="n"/>
      <c r="I222" s="210" t="n"/>
      <c r="J222" s="209" t="n"/>
      <c r="K222" s="16" t="inlineStr">
        <is>
          <t>Public careers / recruiting pages</t>
        </is>
      </c>
      <c r="L222" s="210" t="n"/>
      <c r="M222" s="210" t="n"/>
      <c r="N222" s="209" t="n"/>
      <c r="O222" s="16" t="inlineStr">
        <is>
          <t>Secondary</t>
        </is>
      </c>
    </row>
    <row r="223" ht="41" customHeight="1">
      <c r="A223" s="13" t="inlineStr">
        <is>
          <t>S44</t>
        </is>
      </c>
      <c r="B223" s="16" t="inlineStr">
        <is>
          <t>Software Engineering at Google — ch. 5 'How to Lead a Team' · Tech Lead Manager</t>
        </is>
      </c>
      <c r="C223" s="210" t="n"/>
      <c r="D223" s="209" t="n"/>
      <c r="E223" s="16" t="inlineStr">
        <is>
          <t>Practice benchmark</t>
        </is>
      </c>
      <c r="F223" s="209" t="n"/>
      <c r="G223" s="16" t="inlineStr">
        <is>
          <t>The Tech Lead Manager · TLM — a hybrid who leads a team and still contributes technically → B+ Player-Coach</t>
        </is>
      </c>
      <c r="H223" s="210" t="n"/>
      <c r="I223" s="210" t="n"/>
      <c r="J223" s="209" t="n"/>
      <c r="K223" s="16" t="inlineStr">
        <is>
          <t>https://abseil.io/resources/swe-book/html/ch05.html ; https://newsletter.pragmaticengineer.com/p/leading-effective-engineering-teams</t>
        </is>
      </c>
      <c r="L223" s="210" t="n"/>
      <c r="M223" s="210" t="n"/>
      <c r="N223" s="209" t="n"/>
      <c r="O223" s="16" t="inlineStr">
        <is>
          <t>Primary</t>
        </is>
      </c>
    </row>
    <row r="224" ht="67" customHeight="1">
      <c r="A224" s="13" t="inlineStr">
        <is>
          <t>S45</t>
        </is>
      </c>
      <c r="B224" s="16" t="inlineStr">
        <is>
          <t>SaaS player-coach sales and revenue leaders · job postings</t>
        </is>
      </c>
      <c r="C224" s="210" t="n"/>
      <c r="D224" s="209" t="n"/>
      <c r="E224" s="16" t="inlineStr">
        <is>
          <t>Practice benchmark</t>
        </is>
      </c>
      <c r="F224" s="209" t="n"/>
      <c r="G224" s="16" t="inlineStr">
        <is>
          <t>Leaders who carry their own quota or book while building and coaching the team → C+ / B+ Player-Coach in commercial roles</t>
        </is>
      </c>
      <c r="H224" s="210" t="n"/>
      <c r="I224" s="210" t="n"/>
      <c r="J224" s="209" t="n"/>
      <c r="K224" s="16" t="inlineStr">
        <is>
          <t>https://www.itjobswatch.co.uk/jv/Space-Executive/Sales-Lead-Player-Coach-HR-Tech-Job-City-of-London-Greater-London-UK-4vommq ; https://salesgravy.com/the-player-coach-problem-how-to-prospect-and-lead-at-the-same-time-ask-jeb/</t>
        </is>
      </c>
      <c r="L224" s="210" t="n"/>
      <c r="M224" s="210" t="n"/>
      <c r="N224" s="209" t="n"/>
      <c r="O224" s="16" t="inlineStr">
        <is>
          <t>Job postings</t>
        </is>
      </c>
    </row>
    <row r="225" ht="54" customHeight="1">
      <c r="A225" s="13" t="inlineStr">
        <is>
          <t>S46</t>
        </is>
      </c>
      <c r="B225" s="16" t="inlineStr">
        <is>
          <t>Canada Treasury Board — Executive Group Position Evaluation Plan, 2005</t>
        </is>
      </c>
      <c r="C225" s="210" t="n"/>
      <c r="D225" s="209" t="n"/>
      <c r="E225" s="16" t="inlineStr">
        <is>
          <t>Job-evaluation plan · Hay-based</t>
        </is>
      </c>
      <c r="F225" s="209" t="n"/>
      <c r="G225" s="16" t="inlineStr">
        <is>
          <t>Verified Hay point evaluations of real manager and executive jobs; the know-how / problem solving / accountability split by level used in the weight derivation</t>
        </is>
      </c>
      <c r="H225" s="210" t="n"/>
      <c r="I225" s="210" t="n"/>
      <c r="J225" s="209" t="n"/>
      <c r="K225" s="16" t="inlineStr">
        <is>
          <t>https://www.canada.ca/en/treasury-board-secretariat/services/collective-agreements/job-evaluation/executive-group-position-evaluation-plan-september-2005.html</t>
        </is>
      </c>
      <c r="L225" s="210" t="n"/>
      <c r="M225" s="210" t="n"/>
      <c r="N225" s="209" t="n"/>
      <c r="O225" s="16" t="inlineStr">
        <is>
          <t>Primary</t>
        </is>
      </c>
    </row>
    <row r="226" ht="80" customHeight="1">
      <c r="A226" s="13" t="inlineStr">
        <is>
          <t>S47</t>
        </is>
      </c>
      <c r="B226" s="16" t="inlineStr">
        <is>
          <t>Canada Treasury Board — Executive Group Position Evaluation Plan, 2022</t>
        </is>
      </c>
      <c r="C226" s="210" t="n"/>
      <c r="D226" s="209" t="n"/>
      <c r="E226" s="16" t="inlineStr">
        <is>
          <t>Job-evaluation plan · Hay-based</t>
        </is>
      </c>
      <c r="F226" s="209" t="n"/>
      <c r="G226" s="16" t="inlineStr">
        <is>
          <t>Current version of the same plan with benchmark evaluations; confirms accountability's share rises with seniority</t>
        </is>
      </c>
      <c r="H226" s="210" t="n"/>
      <c r="I226" s="210" t="n"/>
      <c r="J226" s="209" t="n"/>
      <c r="K226"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L226" s="210" t="n"/>
      <c r="M226" s="210" t="n"/>
      <c r="N226" s="209" t="n"/>
      <c r="O226" s="16" t="inlineStr">
        <is>
          <t>Primary</t>
        </is>
      </c>
    </row>
    <row r="227" ht="41" customHeight="1">
      <c r="A227" s="13" t="inlineStr">
        <is>
          <t>S48</t>
        </is>
      </c>
      <c r="B227" s="16" t="inlineStr">
        <is>
          <t>Hay Group — summary deck of the Guide Chart-Profile method</t>
        </is>
      </c>
      <c r="C227" s="210" t="n"/>
      <c r="D227" s="209" t="n"/>
      <c r="E227" s="16" t="inlineStr">
        <is>
          <t>Method summary</t>
        </is>
      </c>
      <c r="F227" s="209" t="n"/>
      <c r="G227" s="16" t="inlineStr">
        <is>
          <t>Typical Hay profiles for clerical, specialist and supervisory jobs; the shares used for the junior and professional rows</t>
        </is>
      </c>
      <c r="H227" s="210" t="n"/>
      <c r="I227" s="210" t="n"/>
      <c r="J227" s="209" t="n"/>
      <c r="K227" s="16" t="inlineStr">
        <is>
          <t>https://www.slideshare.net/slideshow/hay-summary/55196354</t>
        </is>
      </c>
      <c r="L227" s="210" t="n"/>
      <c r="M227" s="210" t="n"/>
      <c r="N227" s="209" t="n"/>
      <c r="O227" s="16" t="inlineStr">
        <is>
          <t>Secondary</t>
        </is>
      </c>
    </row>
    <row r="228" ht="41" customHeight="1">
      <c r="A228" s="13" t="inlineStr">
        <is>
          <t>S49</t>
        </is>
      </c>
      <c r="B228" s="16" t="inlineStr">
        <is>
          <t>Lincolnshire County Council — Hay Group job evaluation method</t>
        </is>
      </c>
      <c r="C228" s="210" t="n"/>
      <c r="D228" s="209" t="n"/>
      <c r="E228" s="16" t="inlineStr">
        <is>
          <t>Public-sector Hay guide</t>
        </is>
      </c>
      <c r="F228" s="209" t="n"/>
      <c r="G228" s="16" t="inlineStr">
        <is>
          <t>Defines know-how as all knowledge and skill however acquired — the basis for not scoring experience on its own</t>
        </is>
      </c>
      <c r="H228" s="210" t="n"/>
      <c r="I228" s="210" t="n"/>
      <c r="J228" s="209" t="n"/>
      <c r="K228" s="16" t="inlineStr">
        <is>
          <t>https://professionals.lincolnshire.gov.uk/downloads/file/576/hay-group-je-method</t>
        </is>
      </c>
      <c r="L228" s="210" t="n"/>
      <c r="M228" s="210" t="n"/>
      <c r="N228" s="209" t="n"/>
      <c r="O228" s="16" t="inlineStr">
        <is>
          <t>Primary</t>
        </is>
      </c>
    </row>
    <row r="229" ht="28" customHeight="1">
      <c r="A229" s="13" t="inlineStr">
        <is>
          <t>S50</t>
        </is>
      </c>
      <c r="B229" s="16" t="inlineStr">
        <is>
          <t>Western University — Hay method overview</t>
        </is>
      </c>
      <c r="C229" s="210" t="n"/>
      <c r="D229" s="209" t="n"/>
      <c r="E229" s="16" t="inlineStr">
        <is>
          <t>University Hay guide</t>
        </is>
      </c>
      <c r="F229" s="209" t="n"/>
      <c r="G229" s="16" t="inlineStr">
        <is>
          <t>Plain explanation of the three Hay factors and the short profile; cross-check of the Hay shares</t>
        </is>
      </c>
      <c r="H229" s="210" t="n"/>
      <c r="I229" s="210" t="n"/>
      <c r="J229" s="209" t="n"/>
      <c r="K229" s="16" t="inlineStr">
        <is>
          <t>https://www.uwo.ca/humanresources/wjec/docs/hay_method_overview.pdf</t>
        </is>
      </c>
      <c r="L229" s="210" t="n"/>
      <c r="M229" s="210" t="n"/>
      <c r="N229" s="209" t="n"/>
      <c r="O229" s="16" t="inlineStr">
        <is>
          <t>Secondary</t>
        </is>
      </c>
    </row>
    <row r="230" ht="41" customHeight="1">
      <c r="A230" s="13" t="inlineStr">
        <is>
          <t>S51</t>
        </is>
      </c>
      <c r="B230" s="16" t="inlineStr">
        <is>
          <t>Derbyshire County Council — Korn Ferry Hay scheme</t>
        </is>
      </c>
      <c r="C230" s="210" t="n"/>
      <c r="D230" s="209" t="n"/>
      <c r="E230" s="16" t="inlineStr">
        <is>
          <t>Public-sector Hay guide</t>
        </is>
      </c>
      <c r="F230" s="209" t="n"/>
      <c r="G230" s="16" t="inlineStr">
        <is>
          <t>Confirms current Korn Ferry Hay use in UK public employers and the factor definitions</t>
        </is>
      </c>
      <c r="H230" s="210" t="n"/>
      <c r="I230" s="210" t="n"/>
      <c r="J230" s="209" t="n"/>
      <c r="K230" s="16" t="inlineStr">
        <is>
          <t>https://staff.derbyshire.gov.uk/jobs-and-recruitment/job-evaluation/korn-ferry-hay-scheme/korn-ferry-hay-scheme.aspx</t>
        </is>
      </c>
      <c r="L230" s="210" t="n"/>
      <c r="M230" s="210" t="n"/>
      <c r="N230" s="209" t="n"/>
      <c r="O230" s="16" t="inlineStr">
        <is>
          <t>Secondary</t>
        </is>
      </c>
    </row>
    <row r="231" ht="41" customHeight="1">
      <c r="A231" s="13" t="inlineStr">
        <is>
          <t>S52</t>
        </is>
      </c>
      <c r="B231" s="16" t="inlineStr">
        <is>
          <t>Mercer IPE — position evaluation manual and factor sheet</t>
        </is>
      </c>
      <c r="C231" s="210" t="n"/>
      <c r="D231" s="209" t="n"/>
      <c r="E231" s="16" t="inlineStr">
        <is>
          <t>Job-evaluation method · third-party copies</t>
        </is>
      </c>
      <c r="F231" s="209" t="n"/>
      <c r="G231" s="16" t="inlineStr">
        <is>
          <t>Maximum points per factor and the factor definitions — Impact, Communication, Innovation, Knowledge — used for the IPE column of the derivation</t>
        </is>
      </c>
      <c r="H231" s="210" t="n"/>
      <c r="I231" s="210" t="n"/>
      <c r="J231" s="209" t="n"/>
      <c r="K231" s="16" t="inlineStr">
        <is>
          <t>https://www.karlancer.com/api/file/1685038954-V7Gx.pdf ; https://studylib.net/doc/25471018/197145561-evaluation-factors-mercer</t>
        </is>
      </c>
      <c r="L231" s="210" t="n"/>
      <c r="M231" s="210" t="n"/>
      <c r="N231" s="209" t="n"/>
      <c r="O231" s="16" t="inlineStr">
        <is>
          <t>Secondary</t>
        </is>
      </c>
    </row>
    <row r="232" ht="41" customHeight="1">
      <c r="A232" s="13" t="inlineStr">
        <is>
          <t>S53</t>
        </is>
      </c>
      <c r="B232" s="16" t="inlineStr">
        <is>
          <t>NHS Agenda for Change — Job Evaluation Handbook</t>
        </is>
      </c>
      <c r="C232" s="210" t="n"/>
      <c r="D232" s="209" t="n"/>
      <c r="E232" s="16" t="inlineStr">
        <is>
          <t>Public point-factor plan</t>
        </is>
      </c>
      <c r="F232" s="209" t="n"/>
      <c r="G232" s="16" t="inlineStr">
        <is>
          <t>16 factors and 1,000 points with published weights; knowledge 24%, financial and physical resources 6%</t>
        </is>
      </c>
      <c r="H232" s="210" t="n"/>
      <c r="I232" s="210" t="n"/>
      <c r="J232" s="209" t="n"/>
      <c r="K232" s="16" t="inlineStr">
        <is>
          <t>https://www.nhsemployers.org/sites/default/files/pdf/22/165.pdf</t>
        </is>
      </c>
      <c r="L232" s="210" t="n"/>
      <c r="M232" s="210" t="n"/>
      <c r="N232" s="209" t="n"/>
      <c r="O232" s="16" t="inlineStr">
        <is>
          <t>Primary</t>
        </is>
      </c>
    </row>
    <row r="233" ht="28" customHeight="1">
      <c r="A233" s="13" t="inlineStr">
        <is>
          <t>S54</t>
        </is>
      </c>
      <c r="B233" s="16" t="inlineStr">
        <is>
          <t>Police Staff Council — job evaluation handbook, NJC 13-factor scheme</t>
        </is>
      </c>
      <c r="C233" s="210" t="n"/>
      <c r="D233" s="209" t="n"/>
      <c r="E233" s="16" t="inlineStr">
        <is>
          <t>Public point-factor plan</t>
        </is>
      </c>
      <c r="F233" s="209" t="n"/>
      <c r="G233" s="16" t="inlineStr">
        <is>
          <t>Published factor points for the UK local-government scheme; used for the public-plan average</t>
        </is>
      </c>
      <c r="H233" s="210" t="n"/>
      <c r="I233" s="210" t="n"/>
      <c r="J233" s="209" t="n"/>
      <c r="K233" s="16" t="inlineStr">
        <is>
          <t>https://lb2.local.gov.uk/sites/default/files/documents/police-staff-council-13-f-342.pdf</t>
        </is>
      </c>
      <c r="L233" s="210" t="n"/>
      <c r="M233" s="210" t="n"/>
      <c r="N233" s="209" t="n"/>
      <c r="O233" s="16" t="inlineStr">
        <is>
          <t>Primary</t>
        </is>
      </c>
    </row>
    <row r="234" ht="41" customHeight="1">
      <c r="A234" s="13" t="inlineStr">
        <is>
          <t>S55</t>
        </is>
      </c>
      <c r="B234" s="16" t="inlineStr">
        <is>
          <t>Greater London Provincial Council — points weighting, Denbighshire County Council</t>
        </is>
      </c>
      <c r="C234" s="210" t="n"/>
      <c r="D234" s="209" t="n"/>
      <c r="E234" s="16" t="inlineStr">
        <is>
          <t>Public point-factor plan</t>
        </is>
      </c>
      <c r="F234" s="209" t="n"/>
      <c r="G234" s="16" t="inlineStr">
        <is>
          <t>11 factors and 948 points with published weights</t>
        </is>
      </c>
      <c r="H234" s="210" t="n"/>
      <c r="I234" s="210" t="n"/>
      <c r="J234" s="209" t="n"/>
      <c r="K234" s="16" t="inlineStr">
        <is>
          <t>https://www.sirddinbych.gov.uk/en/documents/jobs-and-employees/my-employment/reorganisation-and-change/glpc-points-weighting.pdf</t>
        </is>
      </c>
      <c r="L234" s="210" t="n"/>
      <c r="M234" s="210" t="n"/>
      <c r="N234" s="209" t="n"/>
      <c r="O234" s="16" t="inlineStr">
        <is>
          <t>Primary</t>
        </is>
      </c>
    </row>
    <row r="235" ht="28" customHeight="1">
      <c r="A235" s="13" t="inlineStr">
        <is>
          <t>S56</t>
        </is>
      </c>
      <c r="B235" s="16" t="inlineStr">
        <is>
          <t>Scottish Joint Council scheme — Highland Council scoring matrix</t>
        </is>
      </c>
      <c r="C235" s="210" t="n"/>
      <c r="D235" s="209" t="n"/>
      <c r="E235" s="16" t="inlineStr">
        <is>
          <t>Public point-factor plan</t>
        </is>
      </c>
      <c r="F235" s="209" t="n"/>
      <c r="G235" s="16" t="inlineStr">
        <is>
          <t>13 factors and 1,000 points with published weights</t>
        </is>
      </c>
      <c r="H235" s="210" t="n"/>
      <c r="I235" s="210" t="n"/>
      <c r="J235" s="209" t="n"/>
      <c r="K235" s="16" t="inlineStr">
        <is>
          <t>https://www.highland.gov.uk/download/downloads/id/3889/scoring_matrix.pdf</t>
        </is>
      </c>
      <c r="L235" s="210" t="n"/>
      <c r="M235" s="210" t="n"/>
      <c r="N235" s="209" t="n"/>
      <c r="O235" s="16" t="inlineStr">
        <is>
          <t>Primary</t>
        </is>
      </c>
    </row>
    <row r="236" ht="41" customHeight="1">
      <c r="A236" s="13" t="inlineStr">
        <is>
          <t>S57</t>
        </is>
      </c>
      <c r="B236" s="16" t="inlineStr">
        <is>
          <t>US OPM — Introduction to the Position Classification Standards, Factor Evaluation System</t>
        </is>
      </c>
      <c r="C236" s="210" t="n"/>
      <c r="D236" s="209" t="n"/>
      <c r="E236" s="16" t="inlineStr">
        <is>
          <t>Public point-factor plan</t>
        </is>
      </c>
      <c r="F236" s="209" t="n"/>
      <c r="G236" s="16" t="inlineStr">
        <is>
          <t>9 factors and 4,480 points; the most knowledge-heavy plan, with no separate financial factor</t>
        </is>
      </c>
      <c r="H236" s="210" t="n"/>
      <c r="I236" s="210" t="n"/>
      <c r="J236" s="209" t="n"/>
      <c r="K236" s="16" t="inlineStr">
        <is>
          <t>https://www.opm.gov/policy-data-oversight/classification-qualifications/classifying-general-schedule-positions/positionclassificationintro.pdf</t>
        </is>
      </c>
      <c r="L236" s="210" t="n"/>
      <c r="M236" s="210" t="n"/>
      <c r="N236" s="209" t="n"/>
      <c r="O236" s="16" t="inlineStr">
        <is>
          <t>Primary</t>
        </is>
      </c>
    </row>
    <row r="237" ht="80" customHeight="1">
      <c r="A237" s="13" t="inlineStr">
        <is>
          <t>S58</t>
        </is>
      </c>
      <c r="B237" s="16" t="inlineStr">
        <is>
          <t>McKinsey — Taking a skills-based approach to building the future workforce, 2022</t>
        </is>
      </c>
      <c r="C237" s="210" t="n"/>
      <c r="D237" s="209" t="n"/>
      <c r="E237" s="16" t="inlineStr">
        <is>
          <t>Research report</t>
        </is>
      </c>
      <c r="F237" s="209" t="n"/>
      <c r="G237" s="16" t="inlineStr">
        <is>
          <t>Hiring for skills is more than twice as predictive as hiring for work experience — support for a low Experience weight</t>
        </is>
      </c>
      <c r="H237" s="210" t="n"/>
      <c r="I237" s="210" t="n"/>
      <c r="J237" s="209" t="n"/>
      <c r="K237" s="16" t="inlineStr">
        <is>
          <t>https://www.mckinsey.com/~/media/mckinsey/business%20functions/people%20and%20organizational%20performance/our%20insights/taking%20a%20skills%20based%20approach%20to%20building%20the%20future%20workforce/taking-a-skills-based-approach-to-building-the-future-workforce-vf.pdf</t>
        </is>
      </c>
      <c r="L237" s="210" t="n"/>
      <c r="M237" s="210" t="n"/>
      <c r="N237" s="209" t="n"/>
      <c r="O237" s="16" t="inlineStr">
        <is>
          <t>Primary</t>
        </is>
      </c>
    </row>
    <row r="238" ht="41" customHeight="1">
      <c r="A238" s="13" t="inlineStr">
        <is>
          <t>S59</t>
        </is>
      </c>
      <c r="B238" s="16" t="inlineStr">
        <is>
          <t>Deloitte — Human Capital Trends 2023, skills-based model</t>
        </is>
      </c>
      <c r="C238" s="210" t="n"/>
      <c r="D238" s="209" t="n"/>
      <c r="E238" s="16" t="inlineStr">
        <is>
          <t>Research report</t>
        </is>
      </c>
      <c r="F238" s="209" t="n"/>
      <c r="G238" s="16" t="inlineStr">
        <is>
          <t>Organisations moving to deploy and promote on skills rather than tenure or job history</t>
        </is>
      </c>
      <c r="H238" s="210" t="n"/>
      <c r="I238" s="210" t="n"/>
      <c r="J238" s="209" t="n"/>
      <c r="K238" s="16" t="inlineStr">
        <is>
          <t>https://www.deloitte.com/us/en/insights/topics/talent/human-capital-trends/2023/skills-based-model-end-of-jobs.html</t>
        </is>
      </c>
      <c r="L238" s="210" t="n"/>
      <c r="M238" s="210" t="n"/>
      <c r="N238" s="209" t="n"/>
      <c r="O238" s="16" t="inlineStr">
        <is>
          <t>Primary</t>
        </is>
      </c>
    </row>
    <row r="239" ht="28" customHeight="1">
      <c r="A239" s="13" t="inlineStr">
        <is>
          <t>S60</t>
        </is>
      </c>
      <c r="B239" s="16" t="inlineStr">
        <is>
          <t>World Economic Forum — Skills-first: 6 success factors, 2024</t>
        </is>
      </c>
      <c r="C239" s="210" t="n"/>
      <c r="D239" s="209" t="n"/>
      <c r="E239" s="16" t="inlineStr">
        <is>
          <t>Research article</t>
        </is>
      </c>
      <c r="F239" s="209" t="n"/>
      <c r="G239" s="16" t="inlineStr">
        <is>
          <t>Rethink education and previous experience as proxies for ability</t>
        </is>
      </c>
      <c r="H239" s="210" t="n"/>
      <c r="I239" s="210" t="n"/>
      <c r="J239" s="209" t="n"/>
      <c r="K239" s="16" t="inlineStr">
        <is>
          <t>https://www.weforum.org/stories/2024/01/skills-first-6-success-factors-recruiting-developing-talent/</t>
        </is>
      </c>
      <c r="L239" s="210" t="n"/>
      <c r="M239" s="210" t="n"/>
      <c r="N239" s="209" t="n"/>
      <c r="O239" s="16" t="inlineStr">
        <is>
          <t>Secondary</t>
        </is>
      </c>
    </row>
    <row r="240" ht="41" customHeight="1">
      <c r="A240" s="13" t="inlineStr">
        <is>
          <t>S61</t>
        </is>
      </c>
      <c r="B240" s="16" t="inlineStr">
        <is>
          <t>EY Future of Pay via People Matters — India's 2026 salary increases to reward skills over seniority</t>
        </is>
      </c>
      <c r="C240" s="210" t="n"/>
      <c r="D240" s="209" t="n"/>
      <c r="E240" s="16" t="inlineStr">
        <is>
          <t>India market news</t>
        </is>
      </c>
      <c r="F240" s="209" t="n"/>
      <c r="G240" s="16" t="inlineStr">
        <is>
          <t>India pay moving away from tenure-based increases towards skills-led, performance-driven frameworks</t>
        </is>
      </c>
      <c r="H240" s="210" t="n"/>
      <c r="I240" s="210" t="n"/>
      <c r="J240" s="209" t="n"/>
      <c r="K240" s="16" t="inlineStr">
        <is>
          <t>https://www.peoplematters.in/news/compensation-benefits/indias-2026-salary-increases-to-reward-skills-over-seniority-ey-48541</t>
        </is>
      </c>
      <c r="L240" s="210" t="n"/>
      <c r="M240" s="210" t="n"/>
      <c r="N240" s="209" t="n"/>
      <c r="O240" s="16" t="inlineStr">
        <is>
          <t>Secondary</t>
        </is>
      </c>
    </row>
    <row r="241" ht="41" customHeight="1">
      <c r="A241" s="13" t="inlineStr">
        <is>
          <t>S62</t>
        </is>
      </c>
      <c r="B241" s="16" t="inlineStr">
        <is>
          <t>WTW — Building resilient career ecosystems, India 2023</t>
        </is>
      </c>
      <c r="C241" s="210" t="n"/>
      <c r="D241" s="209" t="n"/>
      <c r="E241" s="16" t="inlineStr">
        <is>
          <t>Consulting insight · India</t>
        </is>
      </c>
      <c r="F241" s="209" t="n"/>
      <c r="G241" s="16" t="inlineStr">
        <is>
          <t>WTW's view of career architecture design in India; complements the WTW GGS factors in S07</t>
        </is>
      </c>
      <c r="H241" s="210" t="n"/>
      <c r="I241" s="210" t="n"/>
      <c r="J241" s="209" t="n"/>
      <c r="K241" s="16" t="inlineStr">
        <is>
          <t>https://www.wtwco.com/en-in/insights/2023/09/building-resilient-career-ecosystems-with-robust-career-strategy-and-design</t>
        </is>
      </c>
      <c r="L241" s="210" t="n"/>
      <c r="M241" s="210" t="n"/>
      <c r="N241" s="209" t="n"/>
      <c r="O241" s="16" t="inlineStr">
        <is>
          <t>Secondary</t>
        </is>
      </c>
    </row>
    <row r="242" ht="41" customHeight="1">
      <c r="A242" s="13" t="inlineStr">
        <is>
          <t>S63</t>
        </is>
      </c>
      <c r="B242" s="16" t="inlineStr">
        <is>
          <t>iPleaders — Director under the Companies Act 2013</t>
        </is>
      </c>
      <c r="C242" s="210" t="n"/>
      <c r="D242" s="209" t="n"/>
      <c r="E242" s="16" t="inlineStr">
        <is>
          <t>Legal explainer · India</t>
        </is>
      </c>
      <c r="F242" s="209" t="n"/>
      <c r="G242" s="16" t="inlineStr">
        <is>
          <r>
            <rPr>
              <rFont val="Calibri"/>
              <b val="1"/>
              <sz val="10"/>
            </rPr>
            <t>Section 2, clause 34:</t>
          </r>
          <r>
            <rPr>
              <rFont val="Calibri"/>
              <sz val="10"/>
            </rPr>
            <t xml:space="preserve"> 'director' means a director appointed to the Board — the reason IRIS uses no 'Director' title</t>
          </r>
        </is>
      </c>
      <c r="H242" s="210" t="n"/>
      <c r="I242" s="210" t="n"/>
      <c r="J242" s="209" t="n"/>
      <c r="K242" s="16" t="inlineStr">
        <is>
          <t>https://blog.ipleaders.in/director-companies-act-2013/</t>
        </is>
      </c>
      <c r="L242" s="210" t="n"/>
      <c r="M242" s="210" t="n"/>
      <c r="N242" s="209" t="n"/>
      <c r="O242" s="16" t="inlineStr">
        <is>
          <t>Primary</t>
        </is>
      </c>
    </row>
    <row r="243" ht="41" customHeight="1">
      <c r="A243" s="13" t="inlineStr">
        <is>
          <t>S64</t>
        </is>
      </c>
      <c r="B243" s="16" t="inlineStr">
        <is>
          <t>Kaanoon — 'Director' as an HR designation but not under the Companies Act</t>
        </is>
      </c>
      <c r="C243" s="210" t="n"/>
      <c r="D243" s="209" t="n"/>
      <c r="E243" s="16" t="inlineStr">
        <is>
          <t>Legal Q&amp;A · India</t>
        </is>
      </c>
      <c r="F243" s="209" t="n"/>
      <c r="G243" s="16" t="inlineStr">
        <is>
          <t>Practitioner view that a 'Director' designation for non-board staff causes confusion and disclosure risk</t>
        </is>
      </c>
      <c r="H243" s="210" t="n"/>
      <c r="I243" s="210" t="n"/>
      <c r="J243" s="209" t="n"/>
      <c r="K243" s="16" t="inlineStr">
        <is>
          <t>https://www.kaanoon.com/241487/designation-with-word-director-as-per-hr-policy-but-not-as-per-companies-act</t>
        </is>
      </c>
      <c r="L243" s="210" t="n"/>
      <c r="M243" s="210" t="n"/>
      <c r="N243" s="209" t="n"/>
      <c r="O243" s="16" t="inlineStr">
        <is>
          <t>Secondary</t>
        </is>
      </c>
    </row>
    <row r="244" ht="28" customHeight="1">
      <c r="A244" s="13" t="inlineStr">
        <is>
          <t>S65</t>
        </is>
      </c>
      <c r="B244" s="16" t="inlineStr">
        <is>
          <t>Wipro — Distinguished Member of Technical Staff</t>
        </is>
      </c>
      <c r="C244" s="210" t="n"/>
      <c r="D244" s="209" t="n"/>
      <c r="E244" s="16" t="inlineStr">
        <is>
          <t>Indian IT company programme</t>
        </is>
      </c>
      <c r="F244" s="209" t="n"/>
      <c r="G244" s="16" t="inlineStr">
        <is>
          <t>Indian example of the 'Distinguished' top-specialist title — Option B for the D1 title</t>
        </is>
      </c>
      <c r="H244" s="210" t="n"/>
      <c r="I244" s="210" t="n"/>
      <c r="J244" s="209" t="n"/>
      <c r="K244" s="16" t="inlineStr">
        <is>
          <t>https://www.wipro.com/innovation/distinguished-member-of-technical-staff/</t>
        </is>
      </c>
      <c r="L244" s="210" t="n"/>
      <c r="M244" s="210" t="n"/>
      <c r="N244" s="209" t="n"/>
      <c r="O244" s="16" t="inlineStr">
        <is>
          <t>Primary</t>
        </is>
      </c>
    </row>
    <row r="245" ht="28" customHeight="1">
      <c r="A245" s="13" t="inlineStr">
        <is>
          <t>S66</t>
        </is>
      </c>
      <c r="B245" s="16" t="inlineStr">
        <is>
          <t>Salesforce engineering levels — AMTS to Distinguished Engineer</t>
        </is>
      </c>
      <c r="C245" s="210" t="n"/>
      <c r="D245" s="209" t="n"/>
      <c r="E245" s="16" t="inlineStr">
        <is>
          <t>Company ladder · Design Gurus</t>
        </is>
      </c>
      <c r="F245" s="209" t="n"/>
      <c r="G245" s="16" t="inlineStr">
        <is>
          <t>Global SaaS example of the top-specialist title above Principal Architect</t>
        </is>
      </c>
      <c r="H245" s="210" t="n"/>
      <c r="I245" s="210" t="n"/>
      <c r="J245" s="209" t="n"/>
      <c r="K245" s="16" t="inlineStr">
        <is>
          <t>https://www.designgurus.io/blog/salesforce-software-engineer-levels</t>
        </is>
      </c>
      <c r="L245" s="210" t="n"/>
      <c r="M245" s="210" t="n"/>
      <c r="N245" s="209" t="n"/>
      <c r="O245" s="16" t="inlineStr">
        <is>
          <t>Secondary</t>
        </is>
      </c>
    </row>
    <row r="246" ht="28" customHeight="1">
      <c r="A246" s="13" t="inlineStr">
        <is>
          <t>S67</t>
        </is>
      </c>
      <c r="B246" s="16" t="inlineStr">
        <is>
          <t>LeadDev — Who are staff, principal and distinguished engineers</t>
        </is>
      </c>
      <c r="C246" s="210" t="n"/>
      <c r="D246" s="209" t="n"/>
      <c r="E246" s="16" t="inlineStr">
        <is>
          <t>Practice article</t>
        </is>
      </c>
      <c r="F246" s="209" t="n"/>
      <c r="G246" s="16" t="inlineStr">
        <is>
          <t>How Principal, Distinguished and Fellow tiers are used and how rare they are</t>
        </is>
      </c>
      <c r="H246" s="210" t="n"/>
      <c r="I246" s="210" t="n"/>
      <c r="J246" s="209" t="n"/>
      <c r="K246" s="16" t="inlineStr">
        <is>
          <t>https://leaddev.com/career-ladders/who-are-staff-principal-and-distinguished-engineers</t>
        </is>
      </c>
      <c r="L246" s="210" t="n"/>
      <c r="M246" s="210" t="n"/>
      <c r="N246" s="209" t="n"/>
      <c r="O246" s="16" t="inlineStr">
        <is>
          <t>Secondary</t>
        </is>
      </c>
    </row>
    <row r="247" ht="28" customHeight="1">
      <c r="A247" s="13" t="inlineStr">
        <is>
          <t>S68</t>
        </is>
      </c>
      <c r="B247" s="16" t="inlineStr">
        <is>
          <t>Dropbox — engineering career framework</t>
        </is>
      </c>
      <c r="C247" s="210" t="n"/>
      <c r="D247" s="209" t="n"/>
      <c r="E247" s="16" t="inlineStr">
        <is>
          <t>Company framework</t>
        </is>
      </c>
      <c r="F247" s="209" t="n"/>
      <c r="G247" s="16" t="inlineStr">
        <is>
          <t>Published IC ladder with top-specialist tiers and their scope</t>
        </is>
      </c>
      <c r="H247" s="210" t="n"/>
      <c r="I247" s="210" t="n"/>
      <c r="J247" s="209" t="n"/>
      <c r="K247" s="16" t="inlineStr">
        <is>
          <t>https://dropbox.tech/culture/our-updated-engineering-career-framework</t>
        </is>
      </c>
      <c r="L247" s="210" t="n"/>
      <c r="M247" s="210" t="n"/>
      <c r="N247" s="209" t="n"/>
      <c r="O247" s="16" t="inlineStr">
        <is>
          <t>Secondary</t>
        </is>
      </c>
    </row>
    <row r="248" ht="28" customHeight="1">
      <c r="A248" s="13" t="inlineStr">
        <is>
          <t>S69</t>
        </is>
      </c>
      <c r="B248" s="16" t="inlineStr">
        <is>
          <t>Square — growth framework for engineers and engineering managers</t>
        </is>
      </c>
      <c r="C248" s="210" t="n"/>
      <c r="D248" s="209" t="n"/>
      <c r="E248" s="16" t="inlineStr">
        <is>
          <t>Company framework</t>
        </is>
      </c>
      <c r="F248" s="209" t="n"/>
      <c r="G248" s="16" t="inlineStr">
        <is>
          <t>Published IC and manager ladders side by side</t>
        </is>
      </c>
      <c r="H248" s="210" t="n"/>
      <c r="I248" s="210" t="n"/>
      <c r="J248" s="209" t="n"/>
      <c r="K248" s="16" t="inlineStr">
        <is>
          <t>https://developer.squareup.com/blog/squares-growth-framework-for-engineers-and-engineering-managers/</t>
        </is>
      </c>
      <c r="L248" s="210" t="n"/>
      <c r="M248" s="210" t="n"/>
      <c r="N248" s="209" t="n"/>
      <c r="O248" s="16" t="inlineStr">
        <is>
          <t>Secondary</t>
        </is>
      </c>
    </row>
    <row r="249" ht="41" customHeight="1">
      <c r="A249" s="13" t="inlineStr">
        <is>
          <t>S70</t>
        </is>
      </c>
      <c r="B249" s="16" t="inlineStr">
        <is>
          <t>Carta and Pave — job levelling frameworks</t>
        </is>
      </c>
      <c r="C249" s="210" t="n"/>
      <c r="D249" s="209" t="n"/>
      <c r="E249" s="16" t="inlineStr">
        <is>
          <t>Compensation platforms</t>
        </is>
      </c>
      <c r="F249" s="209" t="n"/>
      <c r="G249" s="16" t="inlineStr">
        <is>
          <t>Market levelling guides used to check the level count and the IC ↔ manager pairing</t>
        </is>
      </c>
      <c r="H249" s="210" t="n"/>
      <c r="I249" s="210" t="n"/>
      <c r="J249" s="209" t="n"/>
      <c r="K249" s="16" t="inlineStr">
        <is>
          <t>https://carta.com/learn/startups/compensation/job-leveling/ ; https://pave.com/blog-posts/job-leveling-framework</t>
        </is>
      </c>
      <c r="L249" s="210" t="n"/>
      <c r="M249" s="210" t="n"/>
      <c r="N249" s="209" t="n"/>
      <c r="O249" s="16" t="inlineStr">
        <is>
          <t>Secondary</t>
        </is>
      </c>
    </row>
    <row r="250" ht="28" customHeight="1">
      <c r="A250" s="13" t="inlineStr">
        <is>
          <t>S71</t>
        </is>
      </c>
      <c r="B250" s="16" t="inlineStr">
        <is>
          <t>Figures — Figures levels</t>
        </is>
      </c>
      <c r="C250" s="210" t="n"/>
      <c r="D250" s="209" t="n"/>
      <c r="E250" s="16" t="inlineStr">
        <is>
          <t>Compensation platform</t>
        </is>
      </c>
      <c r="F250" s="209" t="n"/>
      <c r="G250" s="16" t="inlineStr">
        <is>
          <t>Second levelling crosswalk alongside the Mercer levels in S03</t>
        </is>
      </c>
      <c r="H250" s="210" t="n"/>
      <c r="I250" s="210" t="n"/>
      <c r="J250" s="209" t="n"/>
      <c r="K250" s="16" t="inlineStr">
        <is>
          <t>https://help.figures.hr/en/articles/389317-figures-levels</t>
        </is>
      </c>
      <c r="L250" s="210" t="n"/>
      <c r="M250" s="210" t="n"/>
      <c r="N250" s="209" t="n"/>
      <c r="O250" s="16" t="inlineStr">
        <is>
          <t>Secondary</t>
        </is>
      </c>
    </row>
    <row r="251" ht="41" customHeight="1">
      <c r="A251" s="13" t="inlineStr">
        <is>
          <t>S72</t>
        </is>
      </c>
      <c r="B251" s="16" t="inlineStr">
        <is>
          <t>PayScale India — Chief Architect, IT</t>
        </is>
      </c>
      <c r="C251" s="210" t="n"/>
      <c r="D251" s="209" t="n"/>
      <c r="E251" s="16" t="inlineStr">
        <is>
          <t>Salary data site · India</t>
        </is>
      </c>
      <c r="F251" s="209" t="n"/>
      <c r="G251" s="16" t="inlineStr">
        <is>
          <t>Shows Chief Architect, IT tracked as an experienced and late-career role in India — Option A for the D1 title</t>
        </is>
      </c>
      <c r="H251" s="210" t="n"/>
      <c r="I251" s="210" t="n"/>
      <c r="J251" s="209" t="n"/>
      <c r="K251" s="16" t="inlineStr">
        <is>
          <t>https://www.payscale.com/research/IN/Job=Chief_Architect%2C_IT/Skill-Experience</t>
        </is>
      </c>
      <c r="L251" s="210" t="n"/>
      <c r="M251" s="210" t="n"/>
      <c r="N251" s="209" t="n"/>
      <c r="O251" s="16" t="inlineStr">
        <is>
          <t>Indicative</t>
        </is>
      </c>
    </row>
    <row r="252" ht="28" customHeight="1">
      <c r="A252" s="13" t="inlineStr">
        <is>
          <t>S40</t>
        </is>
      </c>
      <c r="B252" s="16" t="inlineStr">
        <is>
          <t>Employee Master_New_23092026 and Employee Master_OLD</t>
        </is>
      </c>
      <c r="C252" s="210" t="n"/>
      <c r="D252" s="209" t="n"/>
      <c r="E252" s="16" t="inlineStr">
        <is>
          <t>IRIS HRIS</t>
        </is>
      </c>
      <c r="F252" s="209" t="n"/>
      <c r="G252" s="16" t="inlineStr">
        <is>
          <t>Roster, department, manager, experience, qualification, category</t>
        </is>
      </c>
      <c r="H252" s="210" t="n"/>
      <c r="I252" s="210" t="n"/>
      <c r="J252" s="209" t="n"/>
      <c r="K252" s="16" t="inlineStr">
        <is>
          <t>Internal</t>
        </is>
      </c>
      <c r="L252" s="210" t="n"/>
      <c r="M252" s="210" t="n"/>
      <c r="N252" s="209" t="n"/>
      <c r="O252" s="16" t="inlineStr">
        <is>
          <t>Internal</t>
        </is>
      </c>
    </row>
    <row r="253" ht="28" customHeight="1">
      <c r="A253" s="13" t="inlineStr">
        <is>
          <t>S41</t>
        </is>
      </c>
      <c r="B253" s="16" t="inlineStr">
        <is>
          <t>How We Grow survey · 521 responses</t>
        </is>
      </c>
      <c r="C253" s="210" t="n"/>
      <c r="D253" s="209" t="n"/>
      <c r="E253" s="16" t="inlineStr">
        <is>
          <t>IRIS employees</t>
        </is>
      </c>
      <c r="F253" s="209" t="n"/>
      <c r="G253" s="16" t="inlineStr">
        <is>
          <t>Purpose, deliverables, accountability, decision rights, skills, tools, learning needs</t>
        </is>
      </c>
      <c r="H253" s="210" t="n"/>
      <c r="I253" s="210" t="n"/>
      <c r="J253" s="209" t="n"/>
      <c r="K253" s="16" t="inlineStr">
        <is>
          <t>Internal</t>
        </is>
      </c>
      <c r="L253" s="210" t="n"/>
      <c r="M253" s="210" t="n"/>
      <c r="N253" s="209" t="n"/>
      <c r="O253" s="16" t="inlineStr">
        <is>
          <t>Internal</t>
        </is>
      </c>
    </row>
    <row r="254" ht="28" customHeight="1">
      <c r="A254" s="13" t="inlineStr">
        <is>
          <t>S42</t>
        </is>
      </c>
      <c r="B254" s="16" t="inlineStr">
        <is>
          <t>Manager talent-mapping files</t>
        </is>
      </c>
      <c r="C254" s="210" t="n"/>
      <c r="D254" s="209" t="n"/>
      <c r="E254" s="16" t="inlineStr">
        <is>
          <t>IRIS managers</t>
        </is>
      </c>
      <c r="F254" s="209" t="n"/>
      <c r="G254" s="16" t="inlineStr">
        <is>
          <t>KRAs, rating, potential, readiness, 9-box, manager training need</t>
        </is>
      </c>
      <c r="H254" s="210" t="n"/>
      <c r="I254" s="210" t="n"/>
      <c r="J254" s="209" t="n"/>
      <c r="K254" s="16" t="inlineStr">
        <is>
          <t>Internal</t>
        </is>
      </c>
      <c r="L254" s="210" t="n"/>
      <c r="M254" s="210" t="n"/>
      <c r="N254" s="209" t="n"/>
      <c r="O254" s="16" t="inlineStr">
        <is>
          <t>Internal</t>
        </is>
      </c>
    </row>
    <row r="255" ht="28" customHeight="1">
      <c r="A255" s="13" t="inlineStr">
        <is>
          <t>S43</t>
        </is>
      </c>
      <c r="B255" s="16" t="inlineStr">
        <is>
          <t>IRIS talent-mapping workbooks v1 and v2</t>
        </is>
      </c>
      <c r="C255" s="210" t="n"/>
      <c r="D255" s="209" t="n"/>
      <c r="E255" s="16" t="inlineStr">
        <is>
          <t>This exercise</t>
        </is>
      </c>
      <c r="F255" s="209" t="n"/>
      <c r="G255" s="16" t="inlineStr">
        <is>
          <t>Factor ratings, competency ratings, duplication and mobility analysis</t>
        </is>
      </c>
      <c r="H255" s="210" t="n"/>
      <c r="I255" s="210" t="n"/>
      <c r="J255" s="209" t="n"/>
      <c r="K255" s="16" t="inlineStr">
        <is>
          <t>Internal</t>
        </is>
      </c>
      <c r="L255" s="210" t="n"/>
      <c r="M255" s="210" t="n"/>
      <c r="N255" s="209" t="n"/>
      <c r="O255" s="16" t="inlineStr">
        <is>
          <t>Internal</t>
        </is>
      </c>
    </row>
    <row r="256" ht="15" customHeight="1"/>
    <row r="257" ht="20" customHeight="1">
      <c r="A257" s="6" t="inlineStr">
        <is>
          <t>R5b. Career Architecture V2 evidence register · HR research, 7 Oct 2026</t>
        </is>
      </c>
    </row>
    <row r="258" ht="28" customHeight="1">
      <c r="A258" s="11"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259" ht="28" customHeight="1">
      <c r="A259" s="12" t="inlineStr">
        <is>
          <t>ID</t>
        </is>
      </c>
      <c r="B259" s="12" t="inlineStr">
        <is>
          <t>Lens</t>
        </is>
      </c>
      <c r="C259" s="209" t="n"/>
      <c r="D259" s="12" t="inlineStr">
        <is>
          <t>Organisation</t>
        </is>
      </c>
      <c r="E259" s="209" t="n"/>
      <c r="F259" s="12" t="inlineStr">
        <is>
          <t>Observed title / publication</t>
        </is>
      </c>
      <c r="G259" s="209" t="n"/>
      <c r="H259" s="12" t="inlineStr">
        <is>
          <t>What it supports</t>
        </is>
      </c>
      <c r="I259" s="210" t="n"/>
      <c r="J259" s="209" t="n"/>
      <c r="K259" s="12" t="inlineStr">
        <is>
          <t>Transfer limit</t>
        </is>
      </c>
      <c r="L259" s="210" t="n"/>
      <c r="M259" s="209" t="n"/>
      <c r="N259" s="12" t="inlineStr">
        <is>
          <t>Geography</t>
        </is>
      </c>
      <c r="O259" s="12" t="inlineStr">
        <is>
          <t>Link</t>
        </is>
      </c>
    </row>
    <row r="260" ht="54" customHeight="1">
      <c r="A260" s="13" t="inlineStr">
        <is>
          <t>N01</t>
        </is>
      </c>
      <c r="B260" s="16" t="inlineStr">
        <is>
          <t>Lens 1 direct peer</t>
        </is>
      </c>
      <c r="C260" s="209" t="n"/>
      <c r="D260" s="16" t="inlineStr">
        <is>
          <t>Regnology</t>
        </is>
      </c>
      <c r="E260" s="209" t="n"/>
      <c r="F260" s="16" t="inlineStr">
        <is>
          <t>Senior Software Engineer, Pune</t>
        </is>
      </c>
      <c r="G260" s="209" t="n"/>
      <c r="H260" s="16" t="inlineStr">
        <is>
          <t>Java delivery, design, code review and junior mentoring.</t>
        </is>
      </c>
      <c r="I260" s="210" t="n"/>
      <c r="J260" s="209" t="n"/>
      <c r="K260" s="16" t="inlineStr">
        <is>
          <t>Selected senior role only; tenure requirement is not a grading rule.</t>
        </is>
      </c>
      <c r="L260" s="210" t="n"/>
      <c r="M260" s="209" t="n"/>
      <c r="N260" s="16" t="inlineStr">
        <is>
          <t>India</t>
        </is>
      </c>
      <c r="O260" s="16" t="inlineStr">
        <is>
          <t>https://regnology.jobs.personio.de/job/2374470</t>
        </is>
      </c>
    </row>
    <row r="261" ht="67" customHeight="1">
      <c r="A261" s="13" t="inlineStr">
        <is>
          <t>N02</t>
        </is>
      </c>
      <c r="B261" s="16" t="inlineStr">
        <is>
          <t>Lens 1 direct peer</t>
        </is>
      </c>
      <c r="C261" s="209" t="n"/>
      <c r="D261" s="16" t="inlineStr">
        <is>
          <t>Regnology</t>
        </is>
      </c>
      <c r="E261" s="209" t="n"/>
      <c r="F261" s="16" t="inlineStr">
        <is>
          <t>Release Engineer, Pune</t>
        </is>
      </c>
      <c r="G261" s="209" t="n"/>
      <c r="H261" s="16" t="inlineStr">
        <is>
          <t>Independent cross-team release coordination and quality/risk trade-offs.</t>
        </is>
      </c>
      <c r="I261" s="210" t="n"/>
      <c r="J261" s="209" t="n"/>
      <c r="K261" s="16" t="inlineStr">
        <is>
          <t>Supports release scope, not a standalone QA career ladder.</t>
        </is>
      </c>
      <c r="L261" s="210" t="n"/>
      <c r="M261" s="209" t="n"/>
      <c r="N261" s="16" t="inlineStr">
        <is>
          <t>India</t>
        </is>
      </c>
      <c r="O261" s="16" t="inlineStr">
        <is>
          <t>https://regnology.jobs.personio.de/job/2605587?language=en</t>
        </is>
      </c>
    </row>
    <row r="262" ht="106" customHeight="1">
      <c r="A262" s="13" t="inlineStr">
        <is>
          <t>N03</t>
        </is>
      </c>
      <c r="B262" s="16" t="inlineStr">
        <is>
          <t>Lens 1 direct peer</t>
        </is>
      </c>
      <c r="C262" s="209" t="n"/>
      <c r="D262" s="16" t="inlineStr">
        <is>
          <t>Workiva</t>
        </is>
      </c>
      <c r="E262" s="209" t="n"/>
      <c r="F262" s="16" t="inlineStr">
        <is>
          <t>Principal Security Engineer</t>
        </is>
      </c>
      <c r="G262" s="209" t="n"/>
      <c r="H262" s="16" t="inlineStr">
        <is>
          <t>Cross-platform cloud security architecture and enterprise technical influence.</t>
        </is>
      </c>
      <c r="I262" s="210" t="n"/>
      <c r="J262" s="209" t="n"/>
      <c r="K262" s="16" t="inlineStr">
        <is>
          <t>Selected expert role; no verified internal grade or India title match.</t>
        </is>
      </c>
      <c r="L262" s="210" t="n"/>
      <c r="M262" s="209" t="n"/>
      <c r="N262" s="16" t="inlineStr">
        <is>
          <t>USA</t>
        </is>
      </c>
      <c r="O262" s="16" t="inlineStr">
        <is>
          <t>https://workiva.wd503.myworkdayjobs.com/en-US/careers/job/Principal-Security-Engineer_R11408</t>
        </is>
      </c>
    </row>
    <row r="263" ht="119" customHeight="1">
      <c r="A263" s="13" t="inlineStr">
        <is>
          <t>N04</t>
        </is>
      </c>
      <c r="B263" s="16" t="inlineStr">
        <is>
          <t>Lens 1 direct peer</t>
        </is>
      </c>
      <c r="C263" s="209" t="n"/>
      <c r="D263" s="16" t="inlineStr">
        <is>
          <t>Workiva</t>
        </is>
      </c>
      <c r="E263" s="209" t="n"/>
      <c r="F263" s="16" t="inlineStr">
        <is>
          <t>Senior People Business Partner</t>
        </is>
      </c>
      <c r="G263" s="209" t="n"/>
      <c r="H263" s="16" t="inlineStr">
        <is>
          <t>Regional GTM partnership, organisation design, employee relations and leadership advice.</t>
        </is>
      </c>
      <c r="I263" s="210" t="n"/>
      <c r="J263" s="209" t="n"/>
      <c r="K263" s="16" t="inlineStr">
        <is>
          <t>Supports HRBP and adjacent OD work, not every HR speciality.</t>
        </is>
      </c>
      <c r="L263" s="210" t="n"/>
      <c r="M263" s="209" t="n"/>
      <c r="N263" s="16" t="inlineStr">
        <is>
          <t>UK / EMEA</t>
        </is>
      </c>
      <c r="O263" s="16" t="inlineStr">
        <is>
          <t>https://workiva.wd503.myworkdayjobs.com/en-US/careers/job/Senior-People-Business-Partner---GTM---Sales_R11653</t>
        </is>
      </c>
    </row>
    <row r="264" ht="106" customHeight="1">
      <c r="A264" s="13" t="inlineStr">
        <is>
          <t>N05</t>
        </is>
      </c>
      <c r="B264" s="16" t="inlineStr">
        <is>
          <t>Lens 1 direct peer</t>
        </is>
      </c>
      <c r="C264" s="209" t="n"/>
      <c r="D264" s="16" t="inlineStr">
        <is>
          <t>Workiva</t>
        </is>
      </c>
      <c r="E264" s="209" t="n"/>
      <c r="F264" s="16" t="inlineStr">
        <is>
          <t>Principal Product Designer</t>
        </is>
      </c>
      <c r="G264" s="209" t="n"/>
      <c r="H264" s="16" t="inlineStr">
        <is>
          <t>Multi-product UX strategy, hands-on design and mentoring senior designers.</t>
        </is>
      </c>
      <c r="I264" s="210" t="n"/>
      <c r="J264" s="209" t="n"/>
      <c r="K264" s="16" t="inlineStr">
        <is>
          <t>Observed expert role; unrelated to brand-design seniority.</t>
        </is>
      </c>
      <c r="L264" s="210" t="n"/>
      <c r="M264" s="209" t="n"/>
      <c r="N264" s="16" t="inlineStr">
        <is>
          <t>USA</t>
        </is>
      </c>
      <c r="O264" s="16" t="inlineStr">
        <is>
          <t>https://workiva.wd503.myworkdayjobs.com/en-US/careers/job/Principal-Product-Designer_R11461</t>
        </is>
      </c>
    </row>
    <row r="265" ht="119" customHeight="1">
      <c r="A265" s="13" t="inlineStr">
        <is>
          <t>N06</t>
        </is>
      </c>
      <c r="B265" s="16" t="inlineStr">
        <is>
          <t>Lens 1 direct peer</t>
        </is>
      </c>
      <c r="C265" s="209" t="n"/>
      <c r="D265" s="16" t="inlineStr">
        <is>
          <t>Workiva</t>
        </is>
      </c>
      <c r="E265" s="209" t="n"/>
      <c r="F265" s="16" t="inlineStr">
        <is>
          <t>Senior Learning and Development Partner</t>
        </is>
      </c>
      <c r="G265" s="209" t="n"/>
      <c r="H265" s="16" t="inlineStr">
        <is>
          <t>Explicit IC role owning a learning portfolio, facilitation and evaluation.</t>
        </is>
      </c>
      <c r="I265" s="210" t="n"/>
      <c r="J265" s="209" t="n"/>
      <c r="K265" s="16" t="inlineStr">
        <is>
          <t>People-management experience is preferred, not evidence of direct reports in this job.</t>
        </is>
      </c>
      <c r="L265" s="210" t="n"/>
      <c r="M265" s="209" t="n"/>
      <c r="N265" s="16" t="inlineStr">
        <is>
          <t>UK / global remit</t>
        </is>
      </c>
      <c r="O265" s="16" t="inlineStr">
        <is>
          <t>https://workiva.wd503.myworkdayjobs.com/en-US/careers/job/Senior-Learning-and-Development-Partner_R11848</t>
        </is>
      </c>
    </row>
    <row r="266" ht="119" customHeight="1">
      <c r="A266" s="13" t="inlineStr">
        <is>
          <t>N07</t>
        </is>
      </c>
      <c r="B266" s="16" t="inlineStr">
        <is>
          <t>Lens 1 direct peer</t>
        </is>
      </c>
      <c r="C266" s="209" t="n"/>
      <c r="D266" s="16" t="inlineStr">
        <is>
          <t>Workiva</t>
        </is>
      </c>
      <c r="E266" s="209" t="n"/>
      <c r="F266" s="16" t="inlineStr">
        <is>
          <t>Brand Graphic Design Intern, 2027 cohort</t>
        </is>
      </c>
      <c r="G266" s="209" t="n"/>
      <c r="H266" s="16" t="inlineStr">
        <is>
          <t>Mentored brand asset production with review before stakeholder release.</t>
        </is>
      </c>
      <c r="I266" s="210" t="n"/>
      <c r="J266" s="209" t="n"/>
      <c r="K266" s="16" t="inlineStr">
        <is>
          <t>Advertised 2027 programme; listed application deadline predates review. Not an active-vacancy claim.</t>
        </is>
      </c>
      <c r="L266" s="210" t="n"/>
      <c r="M266" s="209" t="n"/>
      <c r="N266" s="16" t="inlineStr">
        <is>
          <t>USA</t>
        </is>
      </c>
      <c r="O266" s="16" t="inlineStr">
        <is>
          <t>https://workiva.wd503.myworkdayjobs.com/en-US/careers/job/Spring---Summer-2027-Intern---Brand-Design_R12318</t>
        </is>
      </c>
    </row>
    <row r="267" ht="119" customHeight="1">
      <c r="A267" s="13" t="inlineStr">
        <is>
          <t>N08</t>
        </is>
      </c>
      <c r="B267" s="16" t="inlineStr">
        <is>
          <t>Lens 1 direct peer</t>
        </is>
      </c>
      <c r="C267" s="209" t="n"/>
      <c r="D267" s="16" t="inlineStr">
        <is>
          <t>Workiva</t>
        </is>
      </c>
      <c r="E267" s="209" t="n"/>
      <c r="F267" s="16" t="inlineStr">
        <is>
          <t>Marketing Intern, 2027 cohort</t>
        </is>
      </c>
      <c r="G267" s="209" t="n"/>
      <c r="H267" s="16" t="inlineStr">
        <is>
          <t>Entry tasks span campaigns, CRM data, automation, content and events.</t>
        </is>
      </c>
      <c r="I267" s="210" t="n"/>
      <c r="J267" s="209" t="n"/>
      <c r="K267" s="16" t="inlineStr">
        <is>
          <t>Entry exposure only; listed September 2026 deadline has passed.</t>
        </is>
      </c>
      <c r="L267" s="210" t="n"/>
      <c r="M267" s="209" t="n"/>
      <c r="N267" s="16" t="inlineStr">
        <is>
          <t>USA</t>
        </is>
      </c>
      <c r="O267" s="16" t="inlineStr">
        <is>
          <t>https://workiva.wd503.myworkdayjobs.com/careers/job/usa---remote/spring---summer-2027-intern---marketing_r12193</t>
        </is>
      </c>
    </row>
    <row r="268" ht="106" customHeight="1">
      <c r="A268" s="13" t="inlineStr">
        <is>
          <t>N09</t>
        </is>
      </c>
      <c r="B268" s="16" t="inlineStr">
        <is>
          <t>Lens 1 direct peer</t>
        </is>
      </c>
      <c r="C268" s="209" t="n"/>
      <c r="D268" s="16" t="inlineStr">
        <is>
          <t>Workiva</t>
        </is>
      </c>
      <c r="E268" s="209" t="n"/>
      <c r="F268" s="16" t="inlineStr">
        <is>
          <t>Senior Campaign Manager</t>
        </is>
      </c>
      <c r="G268" s="209" t="n"/>
      <c r="H268" s="16" t="inlineStr">
        <is>
          <t>Integrated campaign ownership, channel decisions and pipeline accountability.</t>
        </is>
      </c>
      <c r="I268" s="210" t="n"/>
      <c r="J268" s="209" t="n"/>
      <c r="K268" s="16" t="inlineStr">
        <is>
          <t>Manager title does not establish direct reports.</t>
        </is>
      </c>
      <c r="L268" s="210" t="n"/>
      <c r="M268" s="209" t="n"/>
      <c r="N268" s="16" t="inlineStr">
        <is>
          <t>USA</t>
        </is>
      </c>
      <c r="O268" s="16" t="inlineStr">
        <is>
          <t>https://workiva.wd503.myworkdayjobs.com/careers/job/usa---remote/senior-campaign-manager_r12423-1</t>
        </is>
      </c>
    </row>
    <row r="269" ht="119" customHeight="1">
      <c r="A269" s="13" t="inlineStr">
        <is>
          <t>N10</t>
        </is>
      </c>
      <c r="B269" s="16" t="inlineStr">
        <is>
          <t>Lens 1 direct peer</t>
        </is>
      </c>
      <c r="C269" s="209" t="n"/>
      <c r="D269" s="16" t="inlineStr">
        <is>
          <t>Workiva</t>
        </is>
      </c>
      <c r="E269" s="209" t="n"/>
      <c r="F269" s="16" t="inlineStr">
        <is>
          <t>Product Marketing Operations Director</t>
        </is>
      </c>
      <c r="G269" s="209" t="n"/>
      <c r="H269" s="16" t="inlineStr">
        <is>
          <t>Explicit IC director role owning planning, budgets and cross-functional operating cadence.</t>
        </is>
      </c>
      <c r="I269" s="210" t="n"/>
      <c r="J269" s="209" t="n"/>
      <c r="K269" s="16" t="inlineStr">
        <is>
          <t>Not the same job as marketing automation; important title/track counterexample.</t>
        </is>
      </c>
      <c r="L269" s="210" t="n"/>
      <c r="M269" s="209" t="n"/>
      <c r="N269" s="16" t="inlineStr">
        <is>
          <t>USA</t>
        </is>
      </c>
      <c r="O269" s="16" t="inlineStr">
        <is>
          <t>https://workiva.wd503.myworkdayjobs.com/en-US/careers/job/Product-Marketing-Operations-Director_R12164</t>
        </is>
      </c>
    </row>
    <row r="270" ht="145" customHeight="1">
      <c r="A270" s="13" t="inlineStr">
        <is>
          <t>N11</t>
        </is>
      </c>
      <c r="B270" s="16" t="inlineStr">
        <is>
          <t>Lens 1 direct peer</t>
        </is>
      </c>
      <c r="C270" s="209" t="n"/>
      <c r="D270" s="16" t="inlineStr">
        <is>
          <t>Workiva</t>
        </is>
      </c>
      <c r="E270" s="209" t="n"/>
      <c r="F270" s="16" t="inlineStr">
        <is>
          <t>Sales Development Representative, SLED</t>
        </is>
      </c>
      <c r="G270" s="209" t="n"/>
      <c r="H270" s="16" t="inlineStr">
        <is>
          <t>Prospecting and qualification feed account executives.</t>
        </is>
      </c>
      <c r="I270" s="210" t="n"/>
      <c r="J270" s="209" t="n"/>
      <c r="K270" s="16" t="inlineStr">
        <is>
          <t>US public-sector segment; do not transplant activity quotas.</t>
        </is>
      </c>
      <c r="L270" s="210" t="n"/>
      <c r="M270" s="209" t="n"/>
      <c r="N270" s="16" t="inlineStr">
        <is>
          <t>USA</t>
        </is>
      </c>
      <c r="O270" s="16" t="inlineStr">
        <is>
          <t>https://workiva.wd503.myworkdayjobs.com/en-US/careers/job/Territory-Development-Representative---State--Local---Education--SLED-_R12066</t>
        </is>
      </c>
    </row>
    <row r="271" ht="132" customHeight="1">
      <c r="A271" s="13" t="inlineStr">
        <is>
          <t>N12</t>
        </is>
      </c>
      <c r="B271" s="16" t="inlineStr">
        <is>
          <t>Lens 1 direct peer</t>
        </is>
      </c>
      <c r="C271" s="209" t="n"/>
      <c r="D271" s="16" t="inlineStr">
        <is>
          <t>Workiva</t>
        </is>
      </c>
      <c r="E271" s="209" t="n"/>
      <c r="F271" s="16" t="inlineStr">
        <is>
          <t>Account Executive, SLED</t>
        </is>
      </c>
      <c r="G271" s="209" t="n"/>
      <c r="H271" s="16" t="inlineStr">
        <is>
          <t>Owns acquisition, expansion, commercial forecasting and closing.</t>
        </is>
      </c>
      <c r="I271" s="210" t="n"/>
      <c r="J271" s="209" t="n"/>
      <c r="K271" s="16" t="inlineStr">
        <is>
          <t>Account sales is distinct from SDR qualification; no grade inferred.</t>
        </is>
      </c>
      <c r="L271" s="210" t="n"/>
      <c r="M271" s="209" t="n"/>
      <c r="N271" s="16" t="inlineStr">
        <is>
          <t>USA</t>
        </is>
      </c>
      <c r="O271" s="16" t="inlineStr">
        <is>
          <t>https://workiva.wd503.myworkdayjobs.com/careers/job/usa---remote/account-executive---state--local---education--sled-_r12020</t>
        </is>
      </c>
    </row>
    <row r="272" ht="106" customHeight="1">
      <c r="A272" s="13" t="inlineStr">
        <is>
          <t>N13</t>
        </is>
      </c>
      <c r="B272" s="16" t="inlineStr">
        <is>
          <t>Lens 1 direct peer</t>
        </is>
      </c>
      <c r="C272" s="209" t="n"/>
      <c r="D272" s="16" t="inlineStr">
        <is>
          <t>Workiva</t>
        </is>
      </c>
      <c r="E272" s="209" t="n"/>
      <c r="F272" s="16" t="inlineStr">
        <is>
          <t>Senior Account Executive, SLED</t>
        </is>
      </c>
      <c r="G272" s="209" t="n"/>
      <c r="H272" s="16" t="inlineStr">
        <is>
          <t>Senior account-executive title and enterprise sales duties are published.</t>
        </is>
      </c>
      <c r="I272" s="210" t="n"/>
      <c r="J272" s="209" t="n"/>
      <c r="K272" s="16" t="inlineStr">
        <is>
          <r>
            <rPr>
              <rFont val="Calibri"/>
              <b val="1"/>
              <sz val="10"/>
            </rPr>
            <t>Similar duties to AE listing:</t>
          </r>
          <r>
            <rPr>
              <rFont val="Calibri"/>
              <sz val="10"/>
            </rPr>
            <t xml:space="preserve"> precise step-up in scope is not established.</t>
          </r>
        </is>
      </c>
      <c r="L272" s="210" t="n"/>
      <c r="M272" s="209" t="n"/>
      <c r="N272" s="16" t="inlineStr">
        <is>
          <t>USA</t>
        </is>
      </c>
      <c r="O272" s="16" t="inlineStr">
        <is>
          <t>https://workiva.wd503.myworkdayjobs.com/en-US/careers/job/Senior-Account-Executive---SLED_R12096</t>
        </is>
      </c>
    </row>
    <row r="273" ht="119" customHeight="1">
      <c r="A273" s="13" t="inlineStr">
        <is>
          <t>N14</t>
        </is>
      </c>
      <c r="B273" s="16" t="inlineStr">
        <is>
          <t>Lens 1 direct peer</t>
        </is>
      </c>
      <c r="C273" s="209" t="n"/>
      <c r="D273" s="16" t="inlineStr">
        <is>
          <t>Workiva</t>
        </is>
      </c>
      <c r="E273" s="209" t="n"/>
      <c r="F273" s="16" t="inlineStr">
        <is>
          <t>Senior Partner Sales Executive</t>
        </is>
      </c>
      <c r="G273" s="209" t="n"/>
      <c r="H273" s="16" t="inlineStr">
        <is>
          <t>Partner GTM responsibility with a partnerships director reporting line.</t>
        </is>
      </c>
      <c r="I273" s="210" t="n"/>
      <c r="J273" s="209" t="n"/>
      <c r="K273" s="16" t="inlineStr">
        <is>
          <t>Brazil-specific role; not proof of the full alliance hierarchy.</t>
        </is>
      </c>
      <c r="L273" s="210" t="n"/>
      <c r="M273" s="209" t="n"/>
      <c r="N273" s="16" t="inlineStr">
        <is>
          <t>Brazil</t>
        </is>
      </c>
      <c r="O273" s="16" t="inlineStr">
        <is>
          <t>https://workiva.wd503.myworkdayjobs.com/careers/job/remote---brazil/senior-partner-sales-executive---brazil_r12195</t>
        </is>
      </c>
    </row>
    <row r="274" ht="119" customHeight="1">
      <c r="A274" s="13" t="inlineStr">
        <is>
          <t>N15</t>
        </is>
      </c>
      <c r="B274" s="16" t="inlineStr">
        <is>
          <t>Lens 1 direct peer</t>
        </is>
      </c>
      <c r="C274" s="209" t="n"/>
      <c r="D274" s="16" t="inlineStr">
        <is>
          <t>Workiva</t>
        </is>
      </c>
      <c r="E274" s="209" t="n"/>
      <c r="F274" s="16" t="inlineStr">
        <is>
          <t>Customer Success Manager</t>
        </is>
      </c>
      <c r="G274" s="209" t="n"/>
      <c r="H274" s="16" t="inlineStr">
        <is>
          <t>Assigned accounts, adoption, customer outcomes and renewal coordination.</t>
        </is>
      </c>
      <c r="I274" s="210" t="n"/>
      <c r="J274" s="209" t="n"/>
      <c r="K274" s="16" t="inlineStr">
        <is>
          <t>Language and territory requirements are local overlays.</t>
        </is>
      </c>
      <c r="L274" s="210" t="n"/>
      <c r="M274" s="209" t="n"/>
      <c r="N274" s="16" t="inlineStr">
        <is>
          <t>Netherlands / Sweden</t>
        </is>
      </c>
      <c r="O274" s="16" t="inlineStr">
        <is>
          <t>https://workiva.wd503.myworkdayjobs.com/en-US/careers/job/Customer-Success-Manager---Finnish-Speaker_R11553-1</t>
        </is>
      </c>
    </row>
    <row r="275" ht="132" customHeight="1">
      <c r="A275" s="13" t="inlineStr">
        <is>
          <t>N16</t>
        </is>
      </c>
      <c r="B275" s="16" t="inlineStr">
        <is>
          <t>Lens 1 direct peer</t>
        </is>
      </c>
      <c r="C275" s="209" t="n"/>
      <c r="D275" s="16" t="inlineStr">
        <is>
          <t>Workiva</t>
        </is>
      </c>
      <c r="E275" s="209" t="n"/>
      <c r="F275" s="16" t="inlineStr">
        <is>
          <t>Lead Customer Success Manager, Public Sector</t>
        </is>
      </c>
      <c r="G275" s="209" t="n"/>
      <c r="H275" s="16" t="inlineStr">
        <is>
          <t>Complex public-sector account portfolios, executive engagement and escalations.</t>
        </is>
      </c>
      <c r="I275" s="210" t="n"/>
      <c r="J275" s="209" t="n"/>
      <c r="K275" s="16" t="inlineStr">
        <is>
          <t>Cross-geography comparison with N15 is directional, not a certified promotion sequence.</t>
        </is>
      </c>
      <c r="L275" s="210" t="n"/>
      <c r="M275" s="209" t="n"/>
      <c r="N275" s="16" t="inlineStr">
        <is>
          <t>USA</t>
        </is>
      </c>
      <c r="O275" s="16" t="inlineStr">
        <is>
          <t>https://workiva.wd503.myworkdayjobs.com/careers/job/usa---remote/lead-customer-success-manager--public-sector_r12417</t>
        </is>
      </c>
    </row>
    <row r="276" ht="106" customHeight="1">
      <c r="A276" s="13" t="inlineStr">
        <is>
          <t>N17</t>
        </is>
      </c>
      <c r="B276" s="16" t="inlineStr">
        <is>
          <t>Lens 1 direct peer</t>
        </is>
      </c>
      <c r="C276" s="209" t="n"/>
      <c r="D276" s="16" t="inlineStr">
        <is>
          <t>Workiva</t>
        </is>
      </c>
      <c r="E276" s="209" t="n"/>
      <c r="F276" s="16" t="inlineStr">
        <is>
          <t>VP of Customer Experience</t>
        </is>
      </c>
      <c r="G276" s="209" t="n"/>
      <c r="H276" s="16" t="inlineStr">
        <is>
          <t>Broad support, customer education, community and digital-experience leadership.</t>
        </is>
      </c>
      <c r="I276" s="210" t="n"/>
      <c r="J276" s="209" t="n"/>
      <c r="K276" s="16" t="inlineStr">
        <is>
          <t>A shared functional destination, not a separate VP for every support specialism.</t>
        </is>
      </c>
      <c r="L276" s="210" t="n"/>
      <c r="M276" s="209" t="n"/>
      <c r="N276" s="16" t="inlineStr">
        <is>
          <t>USA</t>
        </is>
      </c>
      <c r="O276" s="16" t="inlineStr">
        <is>
          <t>https://workiva.wd503.myworkdayjobs.com/careers/job/USA---Remote/VP-of-Customer-Experience_R11897</t>
        </is>
      </c>
    </row>
    <row r="277" ht="93" customHeight="1">
      <c r="A277" s="13" t="inlineStr">
        <is>
          <t>N18</t>
        </is>
      </c>
      <c r="B277" s="16" t="inlineStr">
        <is>
          <t>Lens 1 direct peer</t>
        </is>
      </c>
      <c r="C277" s="209" t="n"/>
      <c r="D277" s="16" t="inlineStr">
        <is>
          <t>Workiva</t>
        </is>
      </c>
      <c r="E277" s="209" t="n"/>
      <c r="F277" s="16" t="inlineStr">
        <is>
          <t>Product Support Engineer</t>
        </is>
      </c>
      <c r="G277" s="209" t="n"/>
      <c r="H277" s="16" t="inlineStr">
        <is>
          <t>Product diagnosis, customer cases, knowledge articles and junior mentoring.</t>
        </is>
      </c>
      <c r="I277" s="210" t="n"/>
      <c r="J277" s="209" t="n"/>
      <c r="K277" s="16" t="inlineStr">
        <is>
          <t>Customer product support, not internal employee IT.</t>
        </is>
      </c>
      <c r="L277" s="210" t="n"/>
      <c r="M277" s="209" t="n"/>
      <c r="N277" s="16" t="inlineStr">
        <is>
          <t>UK / Netherlands</t>
        </is>
      </c>
      <c r="O277" s="16" t="inlineStr">
        <is>
          <t>https://workiva.wd503.myworkdayjobs.com/en-US/careers/job/Product-Support-Engineer_R11734</t>
        </is>
      </c>
    </row>
    <row r="278" ht="132" customHeight="1">
      <c r="A278" s="13" t="inlineStr">
        <is>
          <t>N19</t>
        </is>
      </c>
      <c r="B278" s="16" t="inlineStr">
        <is>
          <t>Lens 1 direct peer</t>
        </is>
      </c>
      <c r="C278" s="209" t="n"/>
      <c r="D278" s="16" t="inlineStr">
        <is>
          <t>Workiva</t>
        </is>
      </c>
      <c r="E278" s="209" t="n"/>
      <c r="F278" s="16" t="inlineStr">
        <is>
          <t>Senior Manager of Product Support</t>
        </is>
      </c>
      <c r="G278" s="209" t="n"/>
      <c r="H278" s="16" t="inlineStr">
        <is>
          <t>Formal support-team leadership and full performance-cycle ownership.</t>
        </is>
      </c>
      <c r="I278" s="210" t="n"/>
      <c r="J278" s="209" t="n"/>
      <c r="K278" s="16" t="inlineStr">
        <is>
          <t>Evidence distinguishes people management from technical case leadership.</t>
        </is>
      </c>
      <c r="L278" s="210" t="n"/>
      <c r="M278" s="209" t="n"/>
      <c r="N278" s="16" t="inlineStr">
        <is>
          <t>Netherlands</t>
        </is>
      </c>
      <c r="O278" s="16" t="inlineStr">
        <is>
          <t>https://workiva.wd503.myworkdayjobs.com/en-US/careers/job/Senior-Manager-of-Product-Support---FRX---Capital-Markets_R11869</t>
        </is>
      </c>
    </row>
    <row r="279" ht="119" customHeight="1">
      <c r="A279" s="13" t="inlineStr">
        <is>
          <t>N20</t>
        </is>
      </c>
      <c r="B279" s="16" t="inlineStr">
        <is>
          <t>Lens 1 direct peer</t>
        </is>
      </c>
      <c r="C279" s="209" t="n"/>
      <c r="D279" s="16" t="inlineStr">
        <is>
          <t>Workiva</t>
        </is>
      </c>
      <c r="E279" s="209" t="n"/>
      <c r="F279" s="16" t="inlineStr">
        <is>
          <t>Senior AV Engineer</t>
        </is>
      </c>
      <c r="G279" s="209" t="n"/>
      <c r="H279" s="16" t="inlineStr">
        <is>
          <t>Independently recommends equipment and coordinates vendors without purchasing authority.</t>
        </is>
      </c>
      <c r="I279" s="210" t="n"/>
      <c r="J279" s="209" t="n"/>
      <c r="K279" s="16" t="inlineStr">
        <is>
          <t>Adjacent to workplace/IT, not a facilities or procurement ladder.</t>
        </is>
      </c>
      <c r="L279" s="210" t="n"/>
      <c r="M279" s="209" t="n"/>
      <c r="N279" s="16" t="inlineStr">
        <is>
          <t>USA</t>
        </is>
      </c>
      <c r="O279" s="16" t="inlineStr">
        <is>
          <t>https://workiva.wd503.myworkdayjobs.com/en-US/careers/job/Senior-AV-Engineer---Hybrid--Ames--IA-Office-_R11923</t>
        </is>
      </c>
    </row>
    <row r="280" ht="67" customHeight="1">
      <c r="A280" s="13" t="inlineStr">
        <is>
          <t>N21</t>
        </is>
      </c>
      <c r="B280" s="16" t="inlineStr">
        <is>
          <t>Lens 1 direct peer</t>
        </is>
      </c>
      <c r="C280" s="209" t="n"/>
      <c r="D280" s="16" t="inlineStr">
        <is>
          <t>Regnology</t>
        </is>
      </c>
      <c r="E280" s="209" t="n"/>
      <c r="F280" s="16" t="inlineStr">
        <is>
          <t>IT Technical Writer</t>
        </is>
      </c>
      <c r="G280" s="209" t="n"/>
      <c r="H280" s="16" t="inlineStr">
        <is>
          <t>Banking-product documentation, domain accuracy and documentation-as-code.</t>
        </is>
      </c>
      <c r="I280" s="210" t="n"/>
      <c r="J280" s="209" t="n"/>
      <c r="K280" s="16" t="inlineStr">
        <is>
          <t>Distinct from document conversion; supports a proposed technical-writing branch.</t>
        </is>
      </c>
      <c r="L280" s="210" t="n"/>
      <c r="M280" s="209" t="n"/>
      <c r="N280" s="16" t="inlineStr">
        <is>
          <t>Tunisia</t>
        </is>
      </c>
      <c r="O280" s="16" t="inlineStr">
        <is>
          <t>https://www.regnology.net/en/careers/detail/?id=2644483</t>
        </is>
      </c>
    </row>
    <row r="281" ht="67" customHeight="1">
      <c r="A281" s="13" t="inlineStr">
        <is>
          <t>N22</t>
        </is>
      </c>
      <c r="B281" s="16" t="inlineStr">
        <is>
          <t>Lens 2 domain practice</t>
        </is>
      </c>
      <c r="C281" s="209" t="n"/>
      <c r="D281" s="16" t="inlineStr">
        <is>
          <t>Dropbox</t>
        </is>
      </c>
      <c r="E281" s="209" t="n"/>
      <c r="F281" s="16" t="inlineStr">
        <is>
          <t>Engineering career framework v2.9.1</t>
        </is>
      </c>
      <c r="G281" s="209" t="n"/>
      <c r="H281" s="16" t="inlineStr">
        <is>
          <t>Separate software, QA, SDET, reliability, ML, data, security and management paths.</t>
        </is>
      </c>
      <c r="I281" s="210" t="n"/>
      <c r="J281" s="209" t="n"/>
      <c r="K281" s="16" t="inlineStr">
        <is>
          <t>Published discipline paths differ in length. Neither Dropbox codes nor pay levels are copied.</t>
        </is>
      </c>
      <c r="L281" s="210" t="n"/>
      <c r="M281" s="209" t="n"/>
      <c r="N281" s="16" t="inlineStr">
        <is>
          <t>Global</t>
        </is>
      </c>
      <c r="O281" s="16" t="inlineStr">
        <is>
          <t>https://dropbox.github.io/dbx-career-framework/index.html</t>
        </is>
      </c>
    </row>
    <row r="282" ht="41" customHeight="1">
      <c r="A282" s="13" t="inlineStr">
        <is>
          <t>N23</t>
        </is>
      </c>
      <c r="B282" s="16" t="inlineStr">
        <is>
          <t>Lens 2 other sector</t>
        </is>
      </c>
      <c r="C282" s="209" t="n"/>
      <c r="D282" s="16" t="inlineStr">
        <is>
          <t>Wise</t>
        </is>
      </c>
      <c r="E282" s="209" t="n"/>
      <c r="F282" s="16" t="inlineStr">
        <is>
          <t>Product career map</t>
        </is>
      </c>
      <c r="G282" s="209" t="n"/>
      <c r="H282" s="16" t="inlineStr">
        <is>
          <t>Product ownership expands from features through broader product and team portfolios.</t>
        </is>
      </c>
      <c r="I282" s="210" t="n"/>
      <c r="J282" s="209" t="n"/>
      <c r="K282" s="16" t="inlineStr">
        <is>
          <t>Company-specific path; leadership terms do not automatically mean people management.</t>
        </is>
      </c>
      <c r="L282" s="210" t="n"/>
      <c r="M282" s="209" t="n"/>
      <c r="N282" s="16" t="inlineStr">
        <is>
          <t>Global</t>
        </is>
      </c>
      <c r="O282" s="16" t="inlineStr">
        <is>
          <t>https://wise.jobs/product-career-map</t>
        </is>
      </c>
    </row>
    <row r="283" ht="41" customHeight="1">
      <c r="A283" s="13" t="inlineStr">
        <is>
          <t>N24</t>
        </is>
      </c>
      <c r="B283" s="16" t="inlineStr">
        <is>
          <t>Lens 2 other sector</t>
        </is>
      </c>
      <c r="C283" s="209" t="n"/>
      <c r="D283" s="16" t="inlineStr">
        <is>
          <t>Wise</t>
        </is>
      </c>
      <c r="E283" s="209" t="n"/>
      <c r="F283" s="16" t="inlineStr">
        <is>
          <t>Analytics career map</t>
        </is>
      </c>
      <c r="G283" s="209" t="n"/>
      <c r="H283" s="16" t="inlineStr">
        <is>
          <t>Separate IC and analytics leadership paths; responsibility and skills are distinct.</t>
        </is>
      </c>
      <c r="I283" s="210" t="n"/>
      <c r="J283" s="209" t="n"/>
      <c r="K283" s="16" t="inlineStr">
        <is>
          <t>Published job expectations support scope design; salary figures excluded.</t>
        </is>
      </c>
      <c r="L283" s="210" t="n"/>
      <c r="M283" s="209" t="n"/>
      <c r="N283" s="16" t="inlineStr">
        <is>
          <t>Global</t>
        </is>
      </c>
      <c r="O283" s="16" t="inlineStr">
        <is>
          <t>https://wise.jobs/analytics-career-map</t>
        </is>
      </c>
    </row>
    <row r="284" ht="54" customHeight="1">
      <c r="A284" s="13" t="inlineStr">
        <is>
          <t>N25</t>
        </is>
      </c>
      <c r="B284" s="16" t="inlineStr">
        <is>
          <t>Lens 2 other sector</t>
        </is>
      </c>
      <c r="C284" s="209" t="n"/>
      <c r="D284" s="16" t="inlineStr">
        <is>
          <t>Wise</t>
        </is>
      </c>
      <c r="E284" s="209" t="n"/>
      <c r="F284" s="16" t="inlineStr">
        <is>
          <t>Data science career map</t>
        </is>
      </c>
      <c r="G284" s="209" t="n"/>
      <c r="H284" s="16" t="inlineStr">
        <is>
          <t>Published data-science levels describe wider ownership, problem solving and influence.</t>
        </is>
      </c>
      <c r="I284" s="210" t="n"/>
      <c r="J284" s="209" t="n"/>
      <c r="K284" s="16" t="inlineStr">
        <is>
          <t>Data-science evidence replaces the V1 use of data-engineering titles for this discipline.</t>
        </is>
      </c>
      <c r="L284" s="210" t="n"/>
      <c r="M284" s="209" t="n"/>
      <c r="N284" s="16" t="inlineStr">
        <is>
          <t>Global</t>
        </is>
      </c>
      <c r="O284" s="16" t="inlineStr">
        <is>
          <t>https://wise.jobs/data-science-career-map</t>
        </is>
      </c>
    </row>
    <row r="285" ht="119" customHeight="1">
      <c r="A285" s="13" t="inlineStr">
        <is>
          <t>N26</t>
        </is>
      </c>
      <c r="B285" s="16" t="inlineStr">
        <is>
          <t>Lens 2 professional standard</t>
        </is>
      </c>
      <c r="C285" s="209" t="n"/>
      <c r="D285" s="16" t="inlineStr">
        <is>
          <t>NIST</t>
        </is>
      </c>
      <c r="E285" s="209" t="n"/>
      <c r="F285" s="16" t="inlineStr">
        <is>
          <t>NICE framework current components</t>
        </is>
      </c>
      <c r="G285" s="209" t="n"/>
      <c r="H285" s="16" t="inlineStr">
        <is>
          <t>Separates cybersecurity work roles, tasks, knowledge and skills; current listed components v2.2.0.</t>
        </is>
      </c>
      <c r="I285" s="210" t="n"/>
      <c r="J285" s="209" t="n"/>
      <c r="K285" s="16" t="inlineStr">
        <is>
          <t>Work roles are not corporate grades. Retain version and do not infer maturity from title.</t>
        </is>
      </c>
      <c r="L285" s="210" t="n"/>
      <c r="M285" s="209" t="n"/>
      <c r="N285" s="16" t="inlineStr">
        <is>
          <t>Global</t>
        </is>
      </c>
      <c r="O285" s="16" t="inlineStr">
        <is>
          <t>https://www.nist.gov/itl/applied-cybersecurity/nice/nice-framework-resource-center/nice-framework-current-versions</t>
        </is>
      </c>
    </row>
    <row r="286" ht="132" customHeight="1">
      <c r="A286" s="13" t="inlineStr">
        <is>
          <t>N27</t>
        </is>
      </c>
      <c r="B286" s="16" t="inlineStr">
        <is>
          <t>Method</t>
        </is>
      </c>
      <c r="C286" s="209" t="n"/>
      <c r="D286" s="16" t="inlineStr">
        <is>
          <t>ILO</t>
        </is>
      </c>
      <c r="E286" s="209" t="n"/>
      <c r="F286" s="16" t="inlineStr">
        <is>
          <t>Gender-neutral job evaluation guide</t>
        </is>
      </c>
      <c r="G286" s="209" t="n"/>
      <c r="H286" s="16" t="inlineStr">
        <is>
          <t>Analytical evaluation considers skills, effort, responsibility and working conditions.</t>
        </is>
      </c>
      <c r="I286" s="210" t="n"/>
      <c r="J286" s="209" t="n"/>
      <c r="K286" s="16" t="inlineStr">
        <is>
          <t>2009 methodology, not a validation of the proposed weights or current legal advice.</t>
        </is>
      </c>
      <c r="L286" s="210" t="n"/>
      <c r="M286" s="209" t="n"/>
      <c r="N286" s="16" t="inlineStr">
        <is>
          <t>Global</t>
        </is>
      </c>
      <c r="O286" s="16" t="inlineStr">
        <is>
          <t>https://www.ilo.org/sites/default/files/wcmsp5/groups/public/%40ed_norm/%40declaration/documents/publication/wcms_122372.pdf</t>
        </is>
      </c>
    </row>
    <row r="287" ht="80" customHeight="1">
      <c r="A287" s="13" t="inlineStr">
        <is>
          <t>N28</t>
        </is>
      </c>
      <c r="B287" s="16" t="inlineStr">
        <is>
          <t>Lens 2 professional standard</t>
        </is>
      </c>
      <c r="C287" s="209" t="n"/>
      <c r="D287" s="16" t="inlineStr">
        <is>
          <t>Chartered Governance Institute</t>
        </is>
      </c>
      <c r="E287" s="209" t="n"/>
      <c r="F287" s="16" t="inlineStr">
        <is>
          <t>Governance competency framework</t>
        </is>
      </c>
      <c r="G287" s="209" t="n"/>
      <c r="H287" s="16" t="inlineStr">
        <is>
          <t>Governance capability develops through entry, emerging, established and expert stages.</t>
        </is>
      </c>
      <c r="I287" s="210" t="n"/>
      <c r="J287" s="209" t="n"/>
      <c r="K287" s="16" t="inlineStr">
        <is>
          <t>Competence stages are not statutory appointments or corporate grades.</t>
        </is>
      </c>
      <c r="L287" s="210" t="n"/>
      <c r="M287" s="209" t="n"/>
      <c r="N287" s="16" t="inlineStr">
        <is>
          <t>Global</t>
        </is>
      </c>
      <c r="O287" s="16" t="inlineStr">
        <is>
          <t>https://www.cgi.org.uk/qualifications-training/competency-framework/</t>
        </is>
      </c>
    </row>
    <row r="288" ht="80" customHeight="1">
      <c r="A288" s="13" t="inlineStr">
        <is>
          <t>N29</t>
        </is>
      </c>
      <c r="B288" s="16" t="inlineStr">
        <is>
          <t>Lens 2 professional standard</t>
        </is>
      </c>
      <c r="C288" s="209" t="n"/>
      <c r="D288" s="16" t="inlineStr">
        <is>
          <t>Association of Corporate Treasurers</t>
        </is>
      </c>
      <c r="E288" s="209" t="n"/>
      <c r="F288" s="16" t="inlineStr">
        <is>
          <t>Treasury competency framework</t>
        </is>
      </c>
      <c r="G288" s="209" t="n"/>
      <c r="H288" s="16" t="inlineStr">
        <is>
          <t>Treasury has tactical, operational, managerial and strategic responsibility contexts.</t>
        </is>
      </c>
      <c r="I288" s="210" t="n"/>
      <c r="J288" s="209" t="n"/>
      <c r="K288" s="16" t="inlineStr">
        <is>
          <t>Use treasury scope; salary guidance and external level codes are excluded.</t>
        </is>
      </c>
      <c r="L288" s="210" t="n"/>
      <c r="M288" s="209" t="n"/>
      <c r="N288" s="16" t="inlineStr">
        <is>
          <t>Global</t>
        </is>
      </c>
      <c r="O288" s="16" t="inlineStr">
        <is>
          <t>https://www.treasurers.org/cpd-and-training/competency-framework/</t>
        </is>
      </c>
    </row>
    <row r="289" ht="80" customHeight="1">
      <c r="A289" s="13" t="inlineStr">
        <is>
          <t>N30</t>
        </is>
      </c>
      <c r="B289" s="16" t="inlineStr">
        <is>
          <t>Lens 2 professional standard</t>
        </is>
      </c>
      <c r="C289" s="209" t="n"/>
      <c r="D289" s="16" t="inlineStr">
        <is>
          <t>APM</t>
        </is>
      </c>
      <c r="E289" s="209" t="n"/>
      <c r="F289" s="16" t="inlineStr">
        <is>
          <t>Competence framework</t>
        </is>
      </c>
      <c r="G289" s="209" t="n"/>
      <c r="H289" s="16" t="inlineStr">
        <is>
          <t>Separate project, programme, portfolio and PMO roles with knowledge/application criteria.</t>
        </is>
      </c>
      <c r="I289" s="210" t="n"/>
      <c r="J289" s="209" t="n"/>
      <c r="K289" s="16" t="inlineStr">
        <is>
          <t>Competency ratings are not job-size grades or a compulsory career sequence.</t>
        </is>
      </c>
      <c r="L289" s="210" t="n"/>
      <c r="M289" s="209" t="n"/>
      <c r="N289" s="16" t="inlineStr">
        <is>
          <t>Global</t>
        </is>
      </c>
      <c r="O289" s="16" t="inlineStr">
        <is>
          <t>https://www.apm.org.uk/resources/find-a-resource/competence-framework/</t>
        </is>
      </c>
    </row>
    <row r="290" ht="93" customHeight="1">
      <c r="A290" s="13" t="inlineStr">
        <is>
          <t>N31</t>
        </is>
      </c>
      <c r="B290" s="16" t="inlineStr">
        <is>
          <t>Lens 2 professional standard</t>
        </is>
      </c>
      <c r="C290" s="209" t="n"/>
      <c r="D290" s="16" t="inlineStr">
        <is>
          <t>ATD</t>
        </is>
      </c>
      <c r="E290" s="209" t="n"/>
      <c r="F290" s="16" t="inlineStr">
        <is>
          <t>Talent Development Capability Model</t>
        </is>
      </c>
      <c r="G290" s="209" t="n"/>
      <c r="H290" s="16" t="inlineStr">
        <is>
          <t>Development capabilities cover personal, professional and organisational practice.</t>
        </is>
      </c>
      <c r="I290" s="210" t="n"/>
      <c r="J290" s="209" t="n"/>
      <c r="K290" s="16" t="inlineStr">
        <is>
          <t>Capability model guides L&amp;D role content; does not grade jobs.</t>
        </is>
      </c>
      <c r="L290" s="210" t="n"/>
      <c r="M290" s="209" t="n"/>
      <c r="N290" s="16" t="inlineStr">
        <is>
          <t>Global</t>
        </is>
      </c>
      <c r="O290" s="16" t="inlineStr">
        <is>
          <t>https://www.td.org/chapters/clc/talent-development-capability-model-chapter-resources</t>
        </is>
      </c>
    </row>
    <row r="291" ht="80" customHeight="1">
      <c r="A291" s="13" t="inlineStr">
        <is>
          <t>N32</t>
        </is>
      </c>
      <c r="B291" s="16" t="inlineStr">
        <is>
          <t>Lens 2 professional standard</t>
        </is>
      </c>
      <c r="C291" s="209" t="n"/>
      <c r="D291" s="16" t="inlineStr">
        <is>
          <t>CIPS</t>
        </is>
      </c>
      <c r="E291" s="209" t="n"/>
      <c r="F291" s="16" t="inlineStr">
        <is>
          <t>Global Standard for procurement and supply</t>
        </is>
      </c>
      <c r="G291" s="209" t="n"/>
      <c r="H291" s="16" t="inlineStr">
        <is>
          <t>Current overview uses Delivering, Managing, Leading and Influencing bands.</t>
        </is>
      </c>
      <c r="I291" s="210" t="n"/>
      <c r="J291" s="209" t="n"/>
      <c r="K291" s="16" t="inlineStr">
        <is>
          <t>Do not carry forward an older five-band model or map qualification levels to grades.</t>
        </is>
      </c>
      <c r="L291" s="210" t="n"/>
      <c r="M291" s="209" t="n"/>
      <c r="N291" s="16" t="inlineStr">
        <is>
          <t>Global</t>
        </is>
      </c>
      <c r="O291" s="16" t="inlineStr">
        <is>
          <t>https://www.cips.org/intelligence-hub/global-standard-for-procurement-supply</t>
        </is>
      </c>
    </row>
    <row r="292" ht="80" customHeight="1">
      <c r="A292" s="13" t="inlineStr">
        <is>
          <t>N33</t>
        </is>
      </c>
      <c r="B292" s="16" t="inlineStr">
        <is>
          <t>Lens 2 professional standard</t>
        </is>
      </c>
      <c r="C292" s="209" t="n"/>
      <c r="D292" s="16" t="inlineStr">
        <is>
          <t>IIA</t>
        </is>
      </c>
      <c r="E292" s="209" t="n"/>
      <c r="F292" s="16" t="inlineStr">
        <is>
          <t>Internal Auditing Competency Framework, 2025</t>
        </is>
      </c>
      <c r="G292" s="209" t="n"/>
      <c r="H292" s="16" t="inlineStr">
        <is>
          <t>Updated guidance identifies audit knowledge, skills and proficiency expectations.</t>
        </is>
      </c>
      <c r="I292" s="210" t="n"/>
      <c r="J292" s="209" t="n"/>
      <c r="K292" s="16" t="inlineStr">
        <is>
          <t>Overview only; detailed member templates not inspected.</t>
        </is>
      </c>
      <c r="L292" s="210" t="n"/>
      <c r="M292" s="209" t="n"/>
      <c r="N292" s="16" t="inlineStr">
        <is>
          <t>Global</t>
        </is>
      </c>
      <c r="O292" s="16" t="inlineStr">
        <is>
          <t>https://www.theiia.org/en/content/guidance/global/competency-framework/</t>
        </is>
      </c>
    </row>
    <row r="293" ht="158" customHeight="1">
      <c r="A293" s="13" t="inlineStr">
        <is>
          <t>N34</t>
        </is>
      </c>
      <c r="B293" s="16" t="inlineStr">
        <is>
          <t>Lens 2 professional standard</t>
        </is>
      </c>
      <c r="C293" s="209" t="n"/>
      <c r="D293" s="16" t="inlineStr">
        <is>
          <t>ACCA</t>
        </is>
      </c>
      <c r="E293" s="209" t="n"/>
      <c r="F293" s="16" t="inlineStr">
        <is>
          <t>Career Navigator capability model</t>
        </is>
      </c>
      <c r="G293" s="209" t="n"/>
      <c r="H293" s="16" t="inlineStr">
        <is>
          <t>Role requirements combine technical and wider business capabilities across finance careers.</t>
        </is>
      </c>
      <c r="I293" s="210" t="n"/>
      <c r="J293" s="209" t="n"/>
      <c r="K293" s="16" t="inlineStr">
        <is>
          <t>Qualification completion is not automatic corporate seniority.</t>
        </is>
      </c>
      <c r="L293" s="210" t="n"/>
      <c r="M293" s="209" t="n"/>
      <c r="N293" s="16" t="inlineStr">
        <is>
          <t>Global</t>
        </is>
      </c>
      <c r="O293" s="16" t="inlineStr">
        <is>
          <t>https://www.accaglobal.com/gb/en/employer/train-and-develop-finance-talent/what-skills-and-competencies-does-the-acca-qualification-develop.html</t>
        </is>
      </c>
    </row>
    <row r="294" ht="80" customHeight="1">
      <c r="A294" s="13" t="inlineStr">
        <is>
          <t>N35</t>
        </is>
      </c>
      <c r="B294" s="16" t="inlineStr">
        <is>
          <t>Lens 2 other sector</t>
        </is>
      </c>
      <c r="C294" s="209" t="n"/>
      <c r="D294" s="16" t="inlineStr">
        <is>
          <t>Skills England</t>
        </is>
      </c>
      <c r="E294" s="209" t="n"/>
      <c r="F294" s="16" t="inlineStr">
        <is>
          <t>Sales executive occupational standard</t>
        </is>
      </c>
      <c r="G294" s="209" t="n"/>
      <c r="H294" s="16" t="inlineStr">
        <is>
          <t>Sales work includes needs analysis, end-to-end selling and growing accounts.</t>
        </is>
      </c>
      <c r="I294" s="210" t="n"/>
      <c r="J294" s="209" t="n"/>
      <c r="K294" s="16" t="inlineStr">
        <is>
          <t>Apprenticeship level is educational and must not become a job grade.</t>
        </is>
      </c>
      <c r="L294" s="210" t="n"/>
      <c r="M294" s="209" t="n"/>
      <c r="N294" s="16" t="inlineStr">
        <is>
          <t>UK</t>
        </is>
      </c>
      <c r="O294" s="16" t="inlineStr">
        <is>
          <t>https://skillsengland.education.gov.uk/apprenticeship-standards/st0572-v1-1</t>
        </is>
      </c>
    </row>
    <row r="295" ht="41" customHeight="1">
      <c r="A295" s="13" t="inlineStr">
        <is>
          <t>N36</t>
        </is>
      </c>
      <c r="B295" s="16" t="inlineStr">
        <is>
          <t>Lens 2 professional standard</t>
        </is>
      </c>
      <c r="C295" s="209" t="n"/>
      <c r="D295" s="16" t="inlineStr">
        <is>
          <t>IIA</t>
        </is>
      </c>
      <c r="E295" s="209" t="n"/>
      <c r="F295" s="16" t="inlineStr">
        <is>
          <t>Global Internal Audit Standards</t>
        </is>
      </c>
      <c r="G295" s="209" t="n"/>
      <c r="H295" s="16" t="inlineStr">
        <is>
          <t>Professional standards address the effective governance and practice of internal audit.</t>
        </is>
      </c>
      <c r="I295" s="210" t="n"/>
      <c r="J295" s="209" t="n"/>
      <c r="K295" s="16" t="inlineStr">
        <is>
          <t>A role taxonomy must preserve audit independence; it is not a reporting-line mandate for every firm.</t>
        </is>
      </c>
      <c r="L295" s="210" t="n"/>
      <c r="M295" s="209" t="n"/>
      <c r="N295" s="16" t="inlineStr">
        <is>
          <t>Global</t>
        </is>
      </c>
      <c r="O295" s="16" t="inlineStr">
        <is>
          <t>https://www.theiia.org/en/standards/</t>
        </is>
      </c>
    </row>
    <row r="296" ht="54" customHeight="1">
      <c r="A296" s="13" t="inlineStr">
        <is>
          <t>R03</t>
        </is>
      </c>
      <c r="B296" s="16" t="inlineStr">
        <is>
          <t>Lens 1</t>
        </is>
      </c>
      <c r="C296" s="209" t="n"/>
      <c r="D296" s="16" t="inlineStr">
        <is>
          <t>DataTracks</t>
        </is>
      </c>
      <c r="E296" s="209" t="n"/>
      <c r="F296" s="16" t="inlineStr">
        <is>
          <t>Published career openings</t>
        </is>
      </c>
      <c r="G296" s="209" t="n"/>
      <c r="H296" s="16" t="inlineStr">
        <is>
          <t>Associate Document Specialist, Senior Associate Document Specialist and Business Development Executive are published in Chennai.</t>
        </is>
      </c>
      <c r="I296" s="210" t="n"/>
      <c r="J296" s="209" t="n"/>
      <c r="K296" s="16" t="inlineStr">
        <is>
          <t>Observable role titles only. No complete manager-to-executive ladder is published on this page.</t>
        </is>
      </c>
      <c r="L296" s="210" t="n"/>
      <c r="M296" s="209" t="n"/>
      <c r="N296" s="16" t="inlineStr">
        <is>
          <t>India</t>
        </is>
      </c>
      <c r="O296" s="16" t="inlineStr">
        <is>
          <t>https://datatracks.com/careers/</t>
        </is>
      </c>
    </row>
    <row r="297" ht="67" customHeight="1">
      <c r="A297" s="13" t="inlineStr">
        <is>
          <t>R05</t>
        </is>
      </c>
      <c r="B297" s="16" t="inlineStr">
        <is>
          <t>Lens 1</t>
        </is>
      </c>
      <c r="C297" s="209" t="n"/>
      <c r="D297" s="16" t="inlineStr">
        <is>
          <t>Regnology</t>
        </is>
      </c>
      <c r="E297" s="209" t="n"/>
      <c r="F297" s="16" t="inlineStr">
        <is>
          <t>Senior risk consultant</t>
        </is>
      </c>
      <c r="G297" s="209" t="n"/>
      <c r="H297" s="16" t="inlineStr">
        <is>
          <t>A senior risk consultant is described as a domain expert delivering functional financial-institution implementations.</t>
        </is>
      </c>
      <c r="I297" s="210" t="n"/>
      <c r="J297" s="209" t="n"/>
      <c r="K297" s="16" t="inlineStr">
        <is>
          <t>Risk implementation example from Poland; adjacent to XBRL advisory, not identical. No employer grade equivalence.</t>
        </is>
      </c>
      <c r="L297" s="210" t="n"/>
      <c r="M297" s="209" t="n"/>
      <c r="N297" s="16" t="inlineStr">
        <is>
          <t>Global</t>
        </is>
      </c>
      <c r="O297" s="16" t="inlineStr">
        <is>
          <t>https://regnology.jobs.personio.de/job/2645750?language=en</t>
        </is>
      </c>
    </row>
    <row r="298" ht="93" customHeight="1">
      <c r="A298" s="13" t="inlineStr">
        <is>
          <t>R06</t>
        </is>
      </c>
      <c r="B298" s="16" t="inlineStr">
        <is>
          <t>Lens 1</t>
        </is>
      </c>
      <c r="C298" s="209" t="n"/>
      <c r="D298" s="16" t="inlineStr">
        <is>
          <t>Workiva</t>
        </is>
      </c>
      <c r="E298" s="209" t="n"/>
      <c r="F298" s="16" t="inlineStr">
        <is>
          <t>Staff data engineer</t>
        </is>
      </c>
      <c r="G298" s="209" t="n"/>
      <c r="H298" s="16" t="inlineStr">
        <is>
          <t>The posting assigns ownership of data foundations across GRC engineering.</t>
        </is>
      </c>
      <c r="I298" s="210" t="n"/>
      <c r="J298" s="209" t="n"/>
      <c r="K298" s="16" t="inlineStr">
        <is>
          <t>Same requisition has inconsistent indexed text across locale URLs. Use the data-specific canonical extract; title and full grade remain uncertain.</t>
        </is>
      </c>
      <c r="L298" s="210" t="n"/>
      <c r="M298" s="209" t="n"/>
      <c r="N298" s="16" t="inlineStr">
        <is>
          <t>USA</t>
        </is>
      </c>
      <c r="O298" s="16" t="inlineStr">
        <is>
          <t>https://workiva.wd503.myworkdayjobs.com/careers/job/Staff-Data-Engineer_R12046</t>
        </is>
      </c>
    </row>
    <row r="299" ht="119" customHeight="1">
      <c r="A299" s="13" t="inlineStr">
        <is>
          <t>R08</t>
        </is>
      </c>
      <c r="B299" s="16" t="inlineStr">
        <is>
          <t>Lens 1</t>
        </is>
      </c>
      <c r="C299" s="209" t="n"/>
      <c r="D299" s="16" t="inlineStr">
        <is>
          <t>Workiva</t>
        </is>
      </c>
      <c r="E299" s="209" t="n"/>
      <c r="F299" s="16" t="inlineStr">
        <is>
          <t>Vice president product marketing</t>
        </is>
      </c>
      <c r="G299" s="209" t="n"/>
      <c r="H299" s="16" t="inlineStr">
        <is>
          <t>The position leads portfolio positioning, go-to-market strategy and a large product-marketing team.</t>
        </is>
      </c>
      <c r="I299" s="210" t="n"/>
      <c r="J299" s="209" t="n"/>
      <c r="K299" s="16" t="inlineStr">
        <is>
          <t>Supports functional executive scope. Does not mean every marketing speciality needs a VP.</t>
        </is>
      </c>
      <c r="L299" s="210" t="n"/>
      <c r="M299" s="209" t="n"/>
      <c r="N299" s="16" t="inlineStr">
        <is>
          <t>USA</t>
        </is>
      </c>
      <c r="O299" s="16" t="inlineStr">
        <is>
          <t>https://workiva.wd503.myworkdayjobs.com/careers/job/usa---remote/vice-president-of-product-marketing_r12408</t>
        </is>
      </c>
    </row>
    <row r="300" ht="119" customHeight="1">
      <c r="A300" s="13" t="inlineStr">
        <is>
          <t>R09</t>
        </is>
      </c>
      <c r="B300" s="16" t="inlineStr">
        <is>
          <t>Lens 1</t>
        </is>
      </c>
      <c r="C300" s="209" t="n"/>
      <c r="D300" s="16" t="inlineStr">
        <is>
          <t>Workiva</t>
        </is>
      </c>
      <c r="E300" s="209" t="n"/>
      <c r="F300" s="16" t="inlineStr">
        <is>
          <t>Lead program manager</t>
        </is>
      </c>
      <c r="G300" s="209" t="n"/>
      <c r="H300" s="16" t="inlineStr">
        <is>
          <t>The role coordinates complex cross-functional revenue programs, dependencies, adoption and outcomes.</t>
        </is>
      </c>
      <c r="I300" s="210" t="n"/>
      <c r="J300" s="209" t="n"/>
      <c r="K300" s="16" t="inlineStr">
        <is>
          <t>Program leadership can operate through influence without formal reporting authority.</t>
        </is>
      </c>
      <c r="L300" s="210" t="n"/>
      <c r="M300" s="209" t="n"/>
      <c r="N300" s="16" t="inlineStr">
        <is>
          <t>USA</t>
        </is>
      </c>
      <c r="O300" s="16" t="inlineStr">
        <is>
          <t>https://workiva.wd503.myworkdayjobs.com/careers/job/USA---Remote/Lead-Program-Manager---GTM-Acceleration_R11909</t>
        </is>
      </c>
    </row>
    <row r="301" ht="106" customHeight="1">
      <c r="A301" s="13" t="inlineStr">
        <is>
          <t>R10</t>
        </is>
      </c>
      <c r="B301" s="16" t="inlineStr">
        <is>
          <t>Lens 1</t>
        </is>
      </c>
      <c r="C301" s="209" t="n"/>
      <c r="D301" s="16" t="inlineStr">
        <is>
          <t>Workiva</t>
        </is>
      </c>
      <c r="E301" s="209" t="n"/>
      <c r="F301" s="16" t="inlineStr">
        <is>
          <t>Lead data product manager</t>
        </is>
      </c>
      <c r="G301" s="209" t="n"/>
      <c r="H301" s="16" t="inlineStr">
        <is>
          <t>The position owns data-product requirements, quality and adoption with finance and people stakeholders.</t>
        </is>
      </c>
      <c r="I301" s="210" t="n"/>
      <c r="J301" s="209" t="n"/>
      <c r="K301" s="16" t="inlineStr">
        <is>
          <t>Product ownership is distinct from engineering or people management.</t>
        </is>
      </c>
      <c r="L301" s="210" t="n"/>
      <c r="M301" s="209" t="n"/>
      <c r="N301" s="16" t="inlineStr">
        <is>
          <t>USA</t>
        </is>
      </c>
      <c r="O301" s="16" t="inlineStr">
        <is>
          <t>https://workiva.wd503.myworkdayjobs.com/en-US/careers/job/Lead-Data-Product-Manager_R12042</t>
        </is>
      </c>
    </row>
    <row r="302" ht="54" customHeight="1">
      <c r="A302" s="13" t="inlineStr">
        <is>
          <t>R13</t>
        </is>
      </c>
      <c r="B302" s="16" t="inlineStr">
        <is>
          <t>Lens 1</t>
        </is>
      </c>
      <c r="C302" s="209" t="n"/>
      <c r="D302" s="16" t="inlineStr">
        <is>
          <t>CoreFiling</t>
        </is>
      </c>
      <c r="E302" s="209" t="n"/>
      <c r="F302" s="16" t="inlineStr">
        <is>
          <t>Careers and technical context</t>
        </is>
      </c>
      <c r="G302" s="209" t="n"/>
      <c r="H302" s="16" t="inlineStr">
        <is>
          <t>Careers content links regulatory-domain expertise with Java, microservices, Kubernetes, training and rotations.</t>
        </is>
      </c>
      <c r="I302" s="210" t="n"/>
      <c r="J302" s="209" t="n"/>
      <c r="K302" s="16" t="inlineStr">
        <is>
          <t>Describes development practice but does not publish a full level hierarchy.</t>
        </is>
      </c>
      <c r="L302" s="210" t="n"/>
      <c r="M302" s="209" t="n"/>
      <c r="N302" s="16" t="inlineStr">
        <is>
          <t>Global</t>
        </is>
      </c>
      <c r="O302" s="16" t="inlineStr">
        <is>
          <t>https://www.corefiling.com/company/careers/</t>
        </is>
      </c>
    </row>
    <row r="303" ht="67" customHeight="1">
      <c r="A303" s="13" t="inlineStr">
        <is>
          <t>R16</t>
        </is>
      </c>
      <c r="B303" s="16" t="inlineStr">
        <is>
          <t>Lens 1 adjacent</t>
        </is>
      </c>
      <c r="C303" s="209" t="n"/>
      <c r="D303" s="16" t="inlineStr">
        <is>
          <t>S&amp;P Global</t>
        </is>
      </c>
      <c r="E303" s="209" t="n"/>
      <c r="F303" s="16" t="inlineStr">
        <is>
          <t>Lead data analyst</t>
        </is>
      </c>
      <c r="G303" s="209" t="n"/>
      <c r="H303" s="16" t="inlineStr">
        <is>
          <t>The listed duties include financial-data sourcing, validation, reconciliation and escalation within SOPs.</t>
        </is>
      </c>
      <c r="I303" s="210" t="n"/>
      <c r="J303" s="209" t="n"/>
      <c r="K303" s="16" t="inlineStr">
        <is>
          <t>Lead title coexists with bounded operating duties. Title alone cannot size the role; direct fetch returned 403.</t>
        </is>
      </c>
      <c r="L303" s="210" t="n"/>
      <c r="M303" s="209" t="n"/>
      <c r="N303" s="16" t="inlineStr">
        <is>
          <t>India</t>
        </is>
      </c>
      <c r="O303" s="16" t="inlineStr">
        <is>
          <t>https://careers.spglobal.com/jobs/330702?lang=en-us</t>
        </is>
      </c>
    </row>
    <row r="304" ht="67" customHeight="1">
      <c r="A304" s="13" t="inlineStr">
        <is>
          <t>R19</t>
        </is>
      </c>
      <c r="B304" s="16" t="inlineStr">
        <is>
          <t>Lens 1 adjacent</t>
        </is>
      </c>
      <c r="C304" s="209" t="n"/>
      <c r="D304" s="16" t="inlineStr">
        <is>
          <t>SAP</t>
        </is>
      </c>
      <c r="E304" s="209" t="n"/>
      <c r="F304" s="16" t="inlineStr">
        <is>
          <t>Legal counsel</t>
        </is>
      </c>
      <c r="G304" s="209" t="n"/>
      <c r="H304" s="16" t="inlineStr">
        <is>
          <t>Bangalore counsel role covers independent privacy/AI legal advice, documentation and risk ownership.</t>
        </is>
      </c>
      <c r="I304" s="210" t="n"/>
      <c r="J304" s="209" t="n"/>
      <c r="K304" s="16" t="inlineStr">
        <is>
          <t>Privacy counsel is a legal sub-specialism, not company-secretarial work or the full commercial legal hierarchy.</t>
        </is>
      </c>
      <c r="L304" s="210" t="n"/>
      <c r="M304" s="209" t="n"/>
      <c r="N304" s="16" t="inlineStr">
        <is>
          <t>India</t>
        </is>
      </c>
      <c r="O304" s="16" t="inlineStr">
        <is>
          <t>https://jobs.sap.com/en/jobs/744000153442007/legal-counsel/</t>
        </is>
      </c>
    </row>
    <row r="305" ht="145" customHeight="1">
      <c r="A305" s="13" t="inlineStr">
        <is>
          <t>R20</t>
        </is>
      </c>
      <c r="B305" s="16" t="inlineStr">
        <is>
          <t>Lens 1 adjacent</t>
        </is>
      </c>
      <c r="C305" s="209" t="n"/>
      <c r="D305" s="16" t="inlineStr">
        <is>
          <t>Thomson Reuters</t>
        </is>
      </c>
      <c r="E305" s="209" t="n"/>
      <c r="F305" s="16" t="inlineStr">
        <is>
          <t>Senior accountant</t>
        </is>
      </c>
      <c r="G305" s="209" t="n"/>
      <c r="H305" s="16" t="inlineStr">
        <is>
          <t>An India posting provides senior-accountant nomenclature in an information-services employer.</t>
        </is>
      </c>
      <c r="I305" s="210" t="n"/>
      <c r="J305" s="209" t="n"/>
      <c r="K305" s="16" t="inlineStr">
        <is>
          <t>Adjacent sector example and selected accounting scope, not a universal finance level.</t>
        </is>
      </c>
      <c r="L305" s="210" t="n"/>
      <c r="M305" s="209" t="n"/>
      <c r="N305" s="16" t="inlineStr">
        <is>
          <t>India</t>
        </is>
      </c>
      <c r="O305" s="16" t="inlineStr">
        <is>
          <t>https://thomsonreuters.wd5.myworkdayjobs.com/en-US/External_Career_Site/job/Senior-Accountant---Fixed-Asset---Project-Accounting_JREQ200356</t>
        </is>
      </c>
    </row>
    <row r="306" ht="67" customHeight="1">
      <c r="A306" s="13" t="inlineStr">
        <is>
          <t>R21</t>
        </is>
      </c>
      <c r="B306" s="16" t="inlineStr">
        <is>
          <t>Lens 2</t>
        </is>
      </c>
      <c r="C306" s="209" t="n"/>
      <c r="D306" s="16" t="inlineStr">
        <is>
          <t>GitLab</t>
        </is>
      </c>
      <c r="E306" s="209" t="n"/>
      <c r="F306" s="16" t="inlineStr">
        <is>
          <t>Organizational structure</t>
        </is>
      </c>
      <c r="G306" s="209" t="n"/>
      <c r="H306" s="16" t="inlineStr">
        <is>
          <t>Public structure material separates IC and manager frameworks and links progression to business need and scope.</t>
        </is>
      </c>
      <c r="I306" s="210" t="n"/>
      <c r="J306" s="209" t="n"/>
      <c r="K306" s="16" t="inlineStr">
        <is>
          <t>Use the design principles; do not copy GitLab grades or spans automatically.</t>
        </is>
      </c>
      <c r="L306" s="210" t="n"/>
      <c r="M306" s="209" t="n"/>
      <c r="N306" s="16" t="inlineStr">
        <is>
          <t>Global</t>
        </is>
      </c>
      <c r="O306" s="16" t="inlineStr">
        <is>
          <t>https://handbook.gitlab.com/handbook/company/structure/</t>
        </is>
      </c>
    </row>
    <row r="307" ht="93" customHeight="1">
      <c r="A307" s="13" t="inlineStr">
        <is>
          <t>R24</t>
        </is>
      </c>
      <c r="B307" s="16" t="inlineStr">
        <is>
          <t>Lens 2</t>
        </is>
      </c>
      <c r="C307" s="209" t="n"/>
      <c r="D307" s="16" t="inlineStr">
        <is>
          <t>GitLab</t>
        </is>
      </c>
      <c r="E307" s="209" t="n"/>
      <c r="F307" s="16" t="inlineStr">
        <is>
          <t>Product design</t>
        </is>
      </c>
      <c r="G307" s="209" t="n"/>
      <c r="H307" s="16" t="inlineStr">
        <is>
          <t>Staff, principal and distinguished design roles broaden influence from a group to company-level direction.</t>
        </is>
      </c>
      <c r="I307" s="210" t="n"/>
      <c r="J307" s="209" t="n"/>
      <c r="K307" s="16" t="inlineStr">
        <is>
          <t>Provides an expert path, not a requirement for every design team to create those positions.</t>
        </is>
      </c>
      <c r="L307" s="210" t="n"/>
      <c r="M307" s="209" t="n"/>
      <c r="N307" s="16" t="inlineStr">
        <is>
          <t>Global</t>
        </is>
      </c>
      <c r="O307" s="16" t="inlineStr">
        <is>
          <t>https://handbook.gitlab.com/job-description-library/product/product-designer/</t>
        </is>
      </c>
    </row>
    <row r="308" ht="93" customHeight="1">
      <c r="A308" s="13" t="inlineStr">
        <is>
          <t>R26</t>
        </is>
      </c>
      <c r="B308" s="16" t="inlineStr">
        <is>
          <t>Lens 2</t>
        </is>
      </c>
      <c r="C308" s="209" t="n"/>
      <c r="D308" s="16" t="inlineStr">
        <is>
          <t>GitLab</t>
        </is>
      </c>
      <c r="E308" s="209" t="n"/>
      <c r="F308" s="16" t="inlineStr">
        <is>
          <t>Solutions architect</t>
        </is>
      </c>
      <c r="G308" s="209" t="n"/>
      <c r="H308" s="16" t="inlineStr">
        <is>
          <t>The role supports technical evaluation, solution validation and customer business value; an associate level is published.</t>
        </is>
      </c>
      <c r="I308" s="210" t="n"/>
      <c r="J308" s="209" t="n"/>
      <c r="K308" s="16" t="inlineStr">
        <is>
          <t>Sales solutions architecture is distinct from internal platform architecture.</t>
        </is>
      </c>
      <c r="L308" s="210" t="n"/>
      <c r="M308" s="209" t="n"/>
      <c r="N308" s="16" t="inlineStr">
        <is>
          <t>Global</t>
        </is>
      </c>
      <c r="O308" s="16" t="inlineStr">
        <is>
          <t>https://handbook.gitlab.com/job-description-library/sales/solutions-architect/</t>
        </is>
      </c>
    </row>
    <row r="309" ht="93" customHeight="1">
      <c r="A309" s="13" t="inlineStr">
        <is>
          <t>R27</t>
        </is>
      </c>
      <c r="B309" s="16" t="inlineStr">
        <is>
          <t>Lens 2</t>
        </is>
      </c>
      <c r="C309" s="209" t="n"/>
      <c r="D309" s="16" t="inlineStr">
        <is>
          <t>GitLab</t>
        </is>
      </c>
      <c r="E309" s="209" t="n"/>
      <c r="F309" s="16" t="inlineStr">
        <is>
          <t>Support engineer</t>
        </is>
      </c>
      <c r="G309" s="209" t="n"/>
      <c r="H309" s="16" t="inlineStr">
        <is>
          <t>The role handles product problems through customer tickets; associate and other support-engineering levels are documented.</t>
        </is>
      </c>
      <c r="I309" s="210" t="n"/>
      <c r="J309" s="209" t="n"/>
      <c r="K309" s="16" t="inlineStr">
        <is>
          <t>Do not treat customer support as the same discipline as IT service desk.</t>
        </is>
      </c>
      <c r="L309" s="210" t="n"/>
      <c r="M309" s="209" t="n"/>
      <c r="N309" s="16" t="inlineStr">
        <is>
          <t>Global</t>
        </is>
      </c>
      <c r="O309" s="16" t="inlineStr">
        <is>
          <t>https://handbook.gitlab.com/job-description-library/engineering/support-engineer/</t>
        </is>
      </c>
    </row>
    <row r="310" ht="106" customHeight="1">
      <c r="A310" s="13" t="inlineStr">
        <is>
          <t>R32</t>
        </is>
      </c>
      <c r="B310" s="16" t="inlineStr">
        <is>
          <t>Lens 2</t>
        </is>
      </c>
      <c r="C310" s="209" t="n"/>
      <c r="D310" s="16" t="inlineStr">
        <is>
          <t>GitLab</t>
        </is>
      </c>
      <c r="E310" s="209" t="n"/>
      <c r="F310" s="16" t="inlineStr">
        <is>
          <t>Legal counsel</t>
        </is>
      </c>
      <c r="G310" s="209" t="n"/>
      <c r="H310" s="16" t="inlineStr">
        <is>
          <t>Associate and counsel responsibilities are published; the page explicitly leaves the next career step undefined.</t>
        </is>
      </c>
      <c r="I310" s="210" t="n"/>
      <c r="J310" s="209" t="n"/>
      <c r="K310" s="16" t="inlineStr">
        <is>
          <t>Higher legal roles in the proposal are synthesized, not represented as GitLab's published full ladder.</t>
        </is>
      </c>
      <c r="L310" s="210" t="n"/>
      <c r="M310" s="209" t="n"/>
      <c r="N310" s="16" t="inlineStr">
        <is>
          <t>Global</t>
        </is>
      </c>
      <c r="O310" s="16" t="inlineStr">
        <is>
          <t>https://handbook.gitlab.com/job-description-library/legal-and-corporate-affairs/legal-counsel/</t>
        </is>
      </c>
    </row>
    <row r="311" ht="119" customHeight="1">
      <c r="A311" s="13" t="inlineStr">
        <is>
          <t>R33</t>
        </is>
      </c>
      <c r="B311" s="16" t="inlineStr">
        <is>
          <t>Lens 2</t>
        </is>
      </c>
      <c r="C311" s="209" t="n"/>
      <c r="D311" s="16" t="inlineStr">
        <is>
          <t>Whatfix</t>
        </is>
      </c>
      <c r="E311" s="209" t="n"/>
      <c r="F311" s="16" t="inlineStr">
        <is>
          <t>Sales development framework</t>
        </is>
      </c>
      <c r="G311" s="209" t="n"/>
      <c r="H311" s="16" t="inlineStr">
        <is>
          <t>The published framework distinguishes descriptive title, scope and competency expectations for sales development.</t>
        </is>
      </c>
      <c r="I311" s="210" t="n"/>
      <c r="J311" s="209" t="n"/>
      <c r="K311" s="16" t="inlineStr">
        <is>
          <t>Version history is 2023–2024. It is a dated India SaaS practice example, not current internal policy.</t>
        </is>
      </c>
      <c r="L311" s="210" t="n"/>
      <c r="M311" s="209" t="n"/>
      <c r="N311" s="16" t="inlineStr">
        <is>
          <t>Global</t>
        </is>
      </c>
      <c r="O311" s="16" t="inlineStr">
        <is>
          <t>https://whatfix.com/wp-content/uploads/2024/06/sales_development_team_-_career___competency_framework.pdf</t>
        </is>
      </c>
    </row>
    <row r="312" ht="54" customHeight="1">
      <c r="A312" s="13" t="inlineStr">
        <is>
          <t>R35</t>
        </is>
      </c>
      <c r="B312" s="16" t="inlineStr">
        <is>
          <t>Professional overlay</t>
        </is>
      </c>
      <c r="C312" s="209" t="n"/>
      <c r="D312" s="16" t="inlineStr">
        <is>
          <t>SFIA Foundation</t>
        </is>
      </c>
      <c r="E312" s="209" t="n"/>
      <c r="F312" s="16" t="inlineStr">
        <is>
          <t>SFIA 9 responsibility levels</t>
        </is>
      </c>
      <c r="G312" s="209" t="n"/>
      <c r="H312" s="16" t="inlineStr">
        <is>
          <t>Seven responsibility levels distinguish autonomy, influence, complexity and broader accountability.</t>
        </is>
      </c>
      <c r="I312" s="210" t="n"/>
      <c r="J312" s="209" t="n"/>
      <c r="K312" s="16" t="inlineStr">
        <is>
          <t>SFIA levels are skills/responsibility anchors, not salary grades or this model's 13 levels.</t>
        </is>
      </c>
      <c r="L312" s="210" t="n"/>
      <c r="M312" s="209" t="n"/>
      <c r="N312" s="16" t="inlineStr">
        <is>
          <t>Global</t>
        </is>
      </c>
      <c r="O312" s="16" t="inlineStr">
        <is>
          <t>https://sfia-online.org/en/sfia-9/responsibilities</t>
        </is>
      </c>
    </row>
    <row r="313" ht="106" customHeight="1">
      <c r="A313" s="13" t="inlineStr">
        <is>
          <t>R36</t>
        </is>
      </c>
      <c r="B313" s="16" t="inlineStr">
        <is>
          <t>Professional overlay</t>
        </is>
      </c>
      <c r="C313" s="209" t="n"/>
      <c r="D313" s="16" t="inlineStr">
        <is>
          <t>CIPD</t>
        </is>
      </c>
      <c r="E313" s="209" t="n"/>
      <c r="F313" s="16" t="inlineStr">
        <is>
          <t>Profession map impact levels</t>
        </is>
      </c>
      <c r="G313" s="209" t="n"/>
      <c r="H313" s="16" t="inlineStr">
        <is>
          <t>The four impact levels move from tactical work through operational complexity to strategic and sustained value.</t>
        </is>
      </c>
      <c r="I313" s="210" t="n"/>
      <c r="J313" s="209" t="n"/>
      <c r="K313" s="16" t="inlineStr">
        <is>
          <t>Membership designations and impact levels are not corporate job titles.</t>
        </is>
      </c>
      <c r="L313" s="210" t="n"/>
      <c r="M313" s="209" t="n"/>
      <c r="N313" s="16" t="inlineStr">
        <is>
          <t>Global</t>
        </is>
      </c>
      <c r="O313" s="16" t="inlineStr">
        <is>
          <t>https://www.cipd.org/en/the-people-profession/the-profession-map/explore-the-profession-map/levels/</t>
        </is>
      </c>
    </row>
    <row r="314" ht="106" customHeight="1">
      <c r="A314" s="13" t="inlineStr">
        <is>
          <t>R40</t>
        </is>
      </c>
      <c r="B314" s="16" t="inlineStr">
        <is>
          <t>Professional overlay</t>
        </is>
      </c>
      <c r="C314" s="209" t="n"/>
      <c r="D314" s="16" t="inlineStr">
        <is>
          <t>CIM</t>
        </is>
      </c>
      <c r="E314" s="209" t="n"/>
      <c r="F314" s="16" t="inlineStr">
        <is>
          <t>Global professional marketing framework</t>
        </is>
      </c>
      <c r="G314" s="209" t="n"/>
      <c r="H314" s="16" t="inlineStr">
        <is>
          <t>The framework differentiates marketing capabilities and five competency stages from aware to expert.</t>
        </is>
      </c>
      <c r="I314" s="210" t="n"/>
      <c r="J314" s="209" t="n"/>
      <c r="K314" s="16" t="inlineStr">
        <is>
          <t>Use concepts and attribution; this proposal does not reproduce or modify the licensed framework.</t>
        </is>
      </c>
      <c r="L314" s="210" t="n"/>
      <c r="M314" s="209" t="n"/>
      <c r="N314" s="16" t="inlineStr">
        <is>
          <t>Global</t>
        </is>
      </c>
      <c r="O314" s="16" t="inlineStr">
        <is>
          <t>https://www.cim.co.uk/membership/cim-standards/global-professional-marketing-framework-gpmf/</t>
        </is>
      </c>
    </row>
    <row r="315" ht="67" customHeight="1">
      <c r="A315" s="13" t="inlineStr">
        <is>
          <t>R42</t>
        </is>
      </c>
      <c r="B315" s="16" t="inlineStr">
        <is>
          <t>Professional overlay</t>
        </is>
      </c>
      <c r="C315" s="209" t="n"/>
      <c r="D315" s="16" t="inlineStr">
        <is>
          <t>XBRL International</t>
        </is>
      </c>
      <c r="E315" s="209" t="n"/>
      <c r="F315" s="16" t="inlineStr">
        <is>
          <t>Taxonomy quick start guide</t>
        </is>
      </c>
      <c r="G315" s="209" t="n"/>
      <c r="H315" s="16" t="inlineStr">
        <is>
          <t>Taxonomy development involves content, architecture, testing, documentation and lifecycle governance.</t>
        </is>
      </c>
      <c r="I315" s="210" t="n"/>
      <c r="J315" s="209" t="n"/>
      <c r="K315" s="16" t="inlineStr">
        <is>
          <t>The page labels the guide a review draft published in 2023. Role design uses its technical process concepts.</t>
        </is>
      </c>
      <c r="L315" s="210" t="n"/>
      <c r="M315" s="209" t="n"/>
      <c r="N315" s="16" t="inlineStr">
        <is>
          <t>Global</t>
        </is>
      </c>
      <c r="O315" s="16" t="inlineStr">
        <is>
          <t>https://www.xbrl.org/guidance/taxonomy-quick-start-guide/</t>
        </is>
      </c>
    </row>
    <row r="316" ht="41" customHeight="1">
      <c r="A316" s="13" t="inlineStr">
        <is>
          <t>R44</t>
        </is>
      </c>
      <c r="B316" s="16" t="inlineStr">
        <is>
          <t>Professional overlay</t>
        </is>
      </c>
      <c r="C316" s="209" t="n"/>
      <c r="D316" s="16" t="inlineStr">
        <is>
          <t>IFMA</t>
        </is>
      </c>
      <c r="E316" s="209" t="n"/>
      <c r="F316" s="16" t="inlineStr">
        <is>
          <t>Facility management competencies</t>
        </is>
      </c>
      <c r="G316" s="209" t="n"/>
      <c r="H316" s="16" t="inlineStr">
        <is>
          <t>Facility management integrates people, places and processes and spans several competence domains.</t>
        </is>
      </c>
      <c r="I316" s="210" t="n"/>
      <c r="J316" s="209" t="n"/>
      <c r="K316" s="16" t="inlineStr">
        <is>
          <t>Facilities and workplace roles have broader scope than general office administration.</t>
        </is>
      </c>
      <c r="L316" s="210" t="n"/>
      <c r="M316" s="209" t="n"/>
      <c r="N316" s="16" t="inlineStr">
        <is>
          <t>Global</t>
        </is>
      </c>
      <c r="O316" s="16" t="inlineStr">
        <is>
          <t>https://www.ifma.org/about/what-is-fm/</t>
        </is>
      </c>
    </row>
    <row r="317" ht="93" customHeight="1">
      <c r="A317" s="13" t="inlineStr">
        <is>
          <t>R49</t>
        </is>
      </c>
      <c r="B317" s="16" t="inlineStr">
        <is>
          <t>Lens 2 other</t>
        </is>
      </c>
      <c r="C317" s="209" t="n"/>
      <c r="D317" s="16" t="inlineStr">
        <is>
          <t>UK Government</t>
        </is>
      </c>
      <c r="E317" s="209" t="n"/>
      <c r="F317" s="16" t="inlineStr">
        <is>
          <t>Business analyst role levels</t>
        </is>
      </c>
      <c r="G317" s="209" t="n"/>
      <c r="H317" s="16" t="inlineStr">
        <is>
          <t>The current public framework identifies trainee, junior, practitioner, senior, lead and head roles.</t>
        </is>
      </c>
      <c r="I317" s="210" t="n"/>
      <c r="J317" s="209" t="n"/>
      <c r="K317" s="16" t="inlineStr">
        <is>
          <t>Updated August 2026. Civil Service grades are not private-sector corporate levels.</t>
        </is>
      </c>
      <c r="L317" s="210" t="n"/>
      <c r="M317" s="209" t="n"/>
      <c r="N317" s="16" t="inlineStr">
        <is>
          <t>Global</t>
        </is>
      </c>
      <c r="O317" s="16" t="inlineStr">
        <is>
          <t>https://understand-digital-data-roles-skills.service.gov.uk/role/business-analyst/</t>
        </is>
      </c>
    </row>
    <row r="318" ht="15" customHeight="1"/>
    <row r="319" ht="20" customHeight="1">
      <c r="A319" s="6" t="inlineStr">
        <is>
          <t>R6. Websites referenced</t>
        </is>
      </c>
    </row>
    <row r="320" ht="15" customHeight="1">
      <c r="A320" s="12" t="inlineStr">
        <is>
          <t>Website</t>
        </is>
      </c>
      <c r="B320" s="210" t="n"/>
      <c r="C320" s="209" t="n"/>
      <c r="D320" s="12" t="inlineStr">
        <is>
          <t>References</t>
        </is>
      </c>
      <c r="E320" s="12" t="inlineStr">
        <is>
          <t>Example link</t>
        </is>
      </c>
      <c r="F320" s="210" t="n"/>
      <c r="G320" s="210" t="n"/>
      <c r="H320" s="210" t="n"/>
      <c r="I320" s="210" t="n"/>
      <c r="J320" s="210" t="n"/>
      <c r="K320" s="210" t="n"/>
      <c r="L320" s="210" t="n"/>
      <c r="M320" s="210" t="n"/>
      <c r="N320" s="210" t="n"/>
      <c r="O320" s="209" t="n"/>
    </row>
    <row r="321" ht="15" customHeight="1">
      <c r="A321" s="13" t="inlineStr">
        <is>
          <t>levels.fyi</t>
        </is>
      </c>
      <c r="B321" s="210" t="n"/>
      <c r="C321" s="209" t="n"/>
      <c r="D321" s="15" t="n">
        <v>9</v>
      </c>
      <c r="E321" s="16" t="inlineStr">
        <is>
          <t>https://www.levels.fyi/companies/workiva/salaries/software-engineer</t>
        </is>
      </c>
      <c r="F321" s="210" t="n"/>
      <c r="G321" s="210" t="n"/>
      <c r="H321" s="210" t="n"/>
      <c r="I321" s="210" t="n"/>
      <c r="J321" s="210" t="n"/>
      <c r="K321" s="210" t="n"/>
      <c r="L321" s="210" t="n"/>
      <c r="M321" s="210" t="n"/>
      <c r="N321" s="210" t="n"/>
      <c r="O321" s="209" t="n"/>
    </row>
    <row r="322" ht="15" customHeight="1">
      <c r="A322" s="13" t="inlineStr">
        <is>
          <t>designgurus.io</t>
        </is>
      </c>
      <c r="B322" s="210" t="n"/>
      <c r="C322" s="209" t="n"/>
      <c r="D322" s="15" t="n">
        <v>7</v>
      </c>
      <c r="E322" s="16" t="inlineStr">
        <is>
          <t>https://www.designgurus.io/blog/salesforce-software-engineer-levels</t>
        </is>
      </c>
      <c r="F322" s="210" t="n"/>
      <c r="G322" s="210" t="n"/>
      <c r="H322" s="210" t="n"/>
      <c r="I322" s="210" t="n"/>
      <c r="J322" s="210" t="n"/>
      <c r="K322" s="210" t="n"/>
      <c r="L322" s="210" t="n"/>
      <c r="M322" s="210" t="n"/>
      <c r="N322" s="210" t="n"/>
      <c r="O322" s="209" t="n"/>
    </row>
    <row r="323" ht="15" customHeight="1">
      <c r="A323" s="13" t="inlineStr">
        <is>
          <t>sfia-online.org</t>
        </is>
      </c>
      <c r="B323" s="210" t="n"/>
      <c r="C323" s="209" t="n"/>
      <c r="D323" s="15" t="n">
        <v>4</v>
      </c>
      <c r="E323" s="16" t="inlineStr">
        <is>
          <t>https://sfia-online.org/en/about-sfia/how-sfia-works</t>
        </is>
      </c>
      <c r="F323" s="210" t="n"/>
      <c r="G323" s="210" t="n"/>
      <c r="H323" s="210" t="n"/>
      <c r="I323" s="210" t="n"/>
      <c r="J323" s="210" t="n"/>
      <c r="K323" s="210" t="n"/>
      <c r="L323" s="210" t="n"/>
      <c r="M323" s="210" t="n"/>
      <c r="N323" s="210" t="n"/>
      <c r="O323" s="209" t="n"/>
    </row>
    <row r="324" ht="28" customHeight="1">
      <c r="A324" s="13" t="inlineStr">
        <is>
          <t>canada.ca</t>
        </is>
      </c>
      <c r="B324" s="210" t="n"/>
      <c r="C324" s="209" t="n"/>
      <c r="D324" s="15" t="n">
        <v>3</v>
      </c>
      <c r="E324" s="16" t="inlineStr">
        <is>
          <t>https://www.canada.ca/en/treasury-board-secretariat/services/collective-agreements/job-evaluation/executive-group-position-evaluation-plan-september-2005.html</t>
        </is>
      </c>
      <c r="F324" s="210" t="n"/>
      <c r="G324" s="210" t="n"/>
      <c r="H324" s="210" t="n"/>
      <c r="I324" s="210" t="n"/>
      <c r="J324" s="210" t="n"/>
      <c r="K324" s="210" t="n"/>
      <c r="L324" s="210" t="n"/>
      <c r="M324" s="210" t="n"/>
      <c r="N324" s="210" t="n"/>
      <c r="O324" s="209" t="n"/>
    </row>
    <row r="325" ht="15" customHeight="1">
      <c r="A325" s="13" t="inlineStr">
        <is>
          <t>cfoshortlist.com</t>
        </is>
      </c>
      <c r="B325" s="210" t="n"/>
      <c r="C325" s="209" t="n"/>
      <c r="D325" s="15" t="n">
        <v>3</v>
      </c>
      <c r="E325" s="16" t="inlineStr">
        <is>
          <t>https://www.cfoshortlist.com/reports/sec-reporting-software</t>
        </is>
      </c>
      <c r="F325" s="210" t="n"/>
      <c r="G325" s="210" t="n"/>
      <c r="H325" s="210" t="n"/>
      <c r="I325" s="210" t="n"/>
      <c r="J325" s="210" t="n"/>
      <c r="K325" s="210" t="n"/>
      <c r="L325" s="210" t="n"/>
      <c r="M325" s="210" t="n"/>
      <c r="N325" s="210" t="n"/>
      <c r="O325" s="209" t="n"/>
    </row>
    <row r="326" ht="15" customHeight="1">
      <c r="A326" s="13" t="inlineStr">
        <is>
          <t>regnology.net</t>
        </is>
      </c>
      <c r="B326" s="210" t="n"/>
      <c r="C326" s="209" t="n"/>
      <c r="D326" s="15" t="n">
        <v>3</v>
      </c>
      <c r="E326" s="16" t="inlineStr">
        <is>
          <t>https://www.regnology.net/en/careers/detail/?id=2527504</t>
        </is>
      </c>
      <c r="F326" s="210" t="n"/>
      <c r="G326" s="210" t="n"/>
      <c r="H326" s="210" t="n"/>
      <c r="I326" s="210" t="n"/>
      <c r="J326" s="210" t="n"/>
      <c r="K326" s="210" t="n"/>
      <c r="L326" s="210" t="n"/>
      <c r="M326" s="210" t="n"/>
      <c r="N326" s="210" t="n"/>
      <c r="O326" s="209" t="n"/>
    </row>
    <row r="327" ht="15" customHeight="1">
      <c r="A327" s="13" t="inlineStr">
        <is>
          <t>support.pave.com</t>
        </is>
      </c>
      <c r="B327" s="210" t="n"/>
      <c r="C327" s="209" t="n"/>
      <c r="D327" s="15" t="n">
        <v>3</v>
      </c>
      <c r="E327" s="16" t="inlineStr">
        <is>
          <t>https://support.pave.com/articles/understand-job-levels-SiKTjMHZtr.md</t>
        </is>
      </c>
      <c r="F327" s="210" t="n"/>
      <c r="G327" s="210" t="n"/>
      <c r="H327" s="210" t="n"/>
      <c r="I327" s="210" t="n"/>
      <c r="J327" s="210" t="n"/>
      <c r="K327" s="210" t="n"/>
      <c r="L327" s="210" t="n"/>
      <c r="M327" s="210" t="n"/>
      <c r="N327" s="210" t="n"/>
      <c r="O327" s="209" t="n"/>
    </row>
    <row r="328" ht="15" customHeight="1">
      <c r="A328" s="13" t="inlineStr">
        <is>
          <t>builtin.com</t>
        </is>
      </c>
      <c r="B328" s="210" t="n"/>
      <c r="C328" s="209" t="n"/>
      <c r="D328" s="15" t="n">
        <v>2</v>
      </c>
      <c r="E328" s="16" t="inlineStr">
        <is>
          <t>https://builtin.com/job/professional-services-manager/3581840</t>
        </is>
      </c>
      <c r="F328" s="210" t="n"/>
      <c r="G328" s="210" t="n"/>
      <c r="H328" s="210" t="n"/>
      <c r="I328" s="210" t="n"/>
      <c r="J328" s="210" t="n"/>
      <c r="K328" s="210" t="n"/>
      <c r="L328" s="210" t="n"/>
      <c r="M328" s="210" t="n"/>
      <c r="N328" s="210" t="n"/>
      <c r="O328" s="209" t="n"/>
    </row>
    <row r="329" ht="15" customHeight="1">
      <c r="A329" s="13" t="inlineStr">
        <is>
          <t>centralbanking.com</t>
        </is>
      </c>
      <c r="B329" s="210" t="n"/>
      <c r="C329" s="209" t="n"/>
      <c r="D329" s="15" t="n">
        <v>2</v>
      </c>
      <c r="E329" s="16" t="inlineStr">
        <is>
          <t>https://www.centralbanking.com/awards/7941536/technology-services-regulatory-regnology</t>
        </is>
      </c>
      <c r="F329" s="210" t="n"/>
      <c r="G329" s="210" t="n"/>
      <c r="H329" s="210" t="n"/>
      <c r="I329" s="210" t="n"/>
      <c r="J329" s="210" t="n"/>
      <c r="K329" s="210" t="n"/>
      <c r="L329" s="210" t="n"/>
      <c r="M329" s="210" t="n"/>
      <c r="N329" s="210" t="n"/>
      <c r="O329" s="209" t="n"/>
    </row>
    <row r="330" ht="15" customHeight="1">
      <c r="A330" s="13" t="inlineStr">
        <is>
          <t>datatracks.com</t>
        </is>
      </c>
      <c r="B330" s="210" t="n"/>
      <c r="C330" s="209" t="n"/>
      <c r="D330" s="15" t="n">
        <v>2</v>
      </c>
      <c r="E330" s="16" t="inlineStr">
        <is>
          <t>https://www.datatracks.com/in/careers/</t>
        </is>
      </c>
      <c r="F330" s="210" t="n"/>
      <c r="G330" s="210" t="n"/>
      <c r="H330" s="210" t="n"/>
      <c r="I330" s="210" t="n"/>
      <c r="J330" s="210" t="n"/>
      <c r="K330" s="210" t="n"/>
      <c r="L330" s="210" t="n"/>
      <c r="M330" s="210" t="n"/>
      <c r="N330" s="210" t="n"/>
      <c r="O330" s="209" t="n"/>
    </row>
    <row r="331" ht="15" customHeight="1">
      <c r="A331" s="13" t="inlineStr">
        <is>
          <t>deloitte.com</t>
        </is>
      </c>
      <c r="B331" s="210" t="n"/>
      <c r="C331" s="209" t="n"/>
      <c r="D331" s="15" t="n">
        <v>2</v>
      </c>
      <c r="E331" s="16" t="inlineStr">
        <is>
          <t>https://www.deloitte.com/us/en/insights/topics/talent/organizational-skill-based-hiring.html</t>
        </is>
      </c>
      <c r="F331" s="210" t="n"/>
      <c r="G331" s="210" t="n"/>
      <c r="H331" s="210" t="n"/>
      <c r="I331" s="210" t="n"/>
      <c r="J331" s="210" t="n"/>
      <c r="K331" s="210" t="n"/>
      <c r="L331" s="210" t="n"/>
      <c r="M331" s="210" t="n"/>
      <c r="N331" s="210" t="n"/>
      <c r="O331" s="209" t="n"/>
    </row>
    <row r="332" ht="15" customHeight="1">
      <c r="A332" s="13" t="inlineStr">
        <is>
          <t>gainsight.com</t>
        </is>
      </c>
      <c r="B332" s="210" t="n"/>
      <c r="C332" s="209" t="n"/>
      <c r="D332" s="15" t="n">
        <v>2</v>
      </c>
      <c r="E332" s="16" t="inlineStr">
        <is>
          <t>https://www.gainsight.com/blog/customer-success-career-opportunities/</t>
        </is>
      </c>
      <c r="F332" s="210" t="n"/>
      <c r="G332" s="210" t="n"/>
      <c r="H332" s="210" t="n"/>
      <c r="I332" s="210" t="n"/>
      <c r="J332" s="210" t="n"/>
      <c r="K332" s="210" t="n"/>
      <c r="L332" s="210" t="n"/>
      <c r="M332" s="210" t="n"/>
      <c r="N332" s="210" t="n"/>
      <c r="O332" s="209" t="n"/>
    </row>
    <row r="333" ht="15" customHeight="1">
      <c r="A333" s="13" t="inlineStr">
        <is>
          <t>handbook.gitlab.com</t>
        </is>
      </c>
      <c r="B333" s="210" t="n"/>
      <c r="C333" s="209" t="n"/>
      <c r="D333" s="15" t="n">
        <v>2</v>
      </c>
      <c r="E333" s="16" t="inlineStr">
        <is>
          <t>https://handbook.gitlab.com/handbook/company/structure/</t>
        </is>
      </c>
      <c r="F333" s="210" t="n"/>
      <c r="G333" s="210" t="n"/>
      <c r="H333" s="210" t="n"/>
      <c r="I333" s="210" t="n"/>
      <c r="J333" s="210" t="n"/>
      <c r="K333" s="210" t="n"/>
      <c r="L333" s="210" t="n"/>
      <c r="M333" s="210" t="n"/>
      <c r="N333" s="210" t="n"/>
      <c r="O333" s="209" t="n"/>
    </row>
    <row r="334" ht="15" customHeight="1">
      <c r="A334" s="13" t="inlineStr">
        <is>
          <t>help.figures.hr</t>
        </is>
      </c>
      <c r="B334" s="210" t="n"/>
      <c r="C334" s="209" t="n"/>
      <c r="D334" s="15" t="n">
        <v>2</v>
      </c>
      <c r="E334" s="16" t="inlineStr">
        <is>
          <t>https://help.figures.hr/en/articles/389223-mercer-levels</t>
        </is>
      </c>
      <c r="F334" s="210" t="n"/>
      <c r="G334" s="210" t="n"/>
      <c r="H334" s="210" t="n"/>
      <c r="I334" s="210" t="n"/>
      <c r="J334" s="210" t="n"/>
      <c r="K334" s="210" t="n"/>
      <c r="L334" s="210" t="n"/>
      <c r="M334" s="210" t="n"/>
      <c r="N334" s="210" t="n"/>
      <c r="O334" s="209" t="n"/>
    </row>
    <row r="335" ht="15" customHeight="1">
      <c r="A335" s="13" t="inlineStr">
        <is>
          <t>icsi.edu</t>
        </is>
      </c>
      <c r="B335" s="210" t="n"/>
      <c r="C335" s="209" t="n"/>
      <c r="D335" s="15" t="n">
        <v>2</v>
      </c>
      <c r="E335" s="16" t="inlineStr">
        <is>
          <t>https://www.icsi.edu</t>
        </is>
      </c>
      <c r="F335" s="210" t="n"/>
      <c r="G335" s="210" t="n"/>
      <c r="H335" s="210" t="n"/>
      <c r="I335" s="210" t="n"/>
      <c r="J335" s="210" t="n"/>
      <c r="K335" s="210" t="n"/>
      <c r="L335" s="210" t="n"/>
      <c r="M335" s="210" t="n"/>
      <c r="N335" s="210" t="n"/>
      <c r="O335" s="209" t="n"/>
    </row>
    <row r="336" ht="15" customHeight="1">
      <c r="A336" s="13" t="inlineStr">
        <is>
          <t>iiba.org</t>
        </is>
      </c>
      <c r="B336" s="210" t="n"/>
      <c r="C336" s="209" t="n"/>
      <c r="D336" s="15" t="n">
        <v>2</v>
      </c>
      <c r="E336" s="16" t="inlineStr">
        <is>
          <t>https://www.iiba.org</t>
        </is>
      </c>
      <c r="F336" s="210" t="n"/>
      <c r="G336" s="210" t="n"/>
      <c r="H336" s="210" t="n"/>
      <c r="I336" s="210" t="n"/>
      <c r="J336" s="210" t="n"/>
      <c r="K336" s="210" t="n"/>
      <c r="L336" s="210" t="n"/>
      <c r="M336" s="210" t="n"/>
      <c r="N336" s="210" t="n"/>
      <c r="O336" s="209" t="n"/>
    </row>
    <row r="337" ht="15" customHeight="1">
      <c r="A337" s="13" t="inlineStr">
        <is>
          <t>imanet.org</t>
        </is>
      </c>
      <c r="B337" s="210" t="n"/>
      <c r="C337" s="209" t="n"/>
      <c r="D337" s="15" t="n">
        <v>2</v>
      </c>
      <c r="E337" s="16" t="inlineStr">
        <is>
          <t>https://www.imanet.org/framework</t>
        </is>
      </c>
      <c r="F337" s="210" t="n"/>
      <c r="G337" s="210" t="n"/>
      <c r="H337" s="210" t="n"/>
      <c r="I337" s="210" t="n"/>
      <c r="J337" s="210" t="n"/>
      <c r="K337" s="210" t="n"/>
      <c r="L337" s="210" t="n"/>
      <c r="M337" s="210" t="n"/>
      <c r="N337" s="210" t="n"/>
      <c r="O337" s="209" t="n"/>
    </row>
    <row r="338" ht="15" customHeight="1">
      <c r="A338" s="13" t="inlineStr">
        <is>
          <t>iso.org</t>
        </is>
      </c>
      <c r="B338" s="210" t="n"/>
      <c r="C338" s="209" t="n"/>
      <c r="D338" s="15" t="n">
        <v>2</v>
      </c>
      <c r="E338" s="16" t="inlineStr">
        <is>
          <t>https://www.iso.org/standard/27001</t>
        </is>
      </c>
      <c r="F338" s="210" t="n"/>
      <c r="G338" s="210" t="n"/>
      <c r="H338" s="210" t="n"/>
      <c r="I338" s="210" t="n"/>
      <c r="J338" s="210" t="n"/>
      <c r="K338" s="210" t="n"/>
      <c r="L338" s="210" t="n"/>
      <c r="M338" s="210" t="n"/>
      <c r="N338" s="210" t="n"/>
      <c r="O338" s="209" t="n"/>
    </row>
    <row r="339" ht="15" customHeight="1">
      <c r="A339" s="13" t="inlineStr">
        <is>
          <t>istqb.org</t>
        </is>
      </c>
      <c r="B339" s="210" t="n"/>
      <c r="C339" s="209" t="n"/>
      <c r="D339" s="15" t="n">
        <v>2</v>
      </c>
      <c r="E339" s="16" t="inlineStr">
        <is>
          <t>https://www.istqb.org</t>
        </is>
      </c>
      <c r="F339" s="210" t="n"/>
      <c r="G339" s="210" t="n"/>
      <c r="H339" s="210" t="n"/>
      <c r="I339" s="210" t="n"/>
      <c r="J339" s="210" t="n"/>
      <c r="K339" s="210" t="n"/>
      <c r="L339" s="210" t="n"/>
      <c r="M339" s="210" t="n"/>
      <c r="N339" s="210" t="n"/>
      <c r="O339" s="209" t="n"/>
    </row>
    <row r="340" ht="15" customHeight="1">
      <c r="A340" s="13" t="inlineStr">
        <is>
          <t>jobrise.io</t>
        </is>
      </c>
      <c r="B340" s="210" t="n"/>
      <c r="C340" s="209" t="n"/>
      <c r="D340" s="15" t="n">
        <v>2</v>
      </c>
      <c r="E340" s="16" t="inlineStr">
        <is>
          <t>https://jobrise.io/hi/blog/accenture-salary-package-2026-india/</t>
        </is>
      </c>
      <c r="F340" s="210" t="n"/>
      <c r="G340" s="210" t="n"/>
      <c r="H340" s="210" t="n"/>
      <c r="I340" s="210" t="n"/>
      <c r="J340" s="210" t="n"/>
      <c r="K340" s="210" t="n"/>
      <c r="L340" s="210" t="n"/>
      <c r="M340" s="210" t="n"/>
      <c r="N340" s="210" t="n"/>
      <c r="O340" s="209" t="n"/>
    </row>
    <row r="341" ht="28" customHeight="1">
      <c r="A341" s="13" t="inlineStr">
        <is>
          <t>mckinsey.com</t>
        </is>
      </c>
      <c r="B341" s="210" t="n"/>
      <c r="C341" s="209" t="n"/>
      <c r="D341" s="15" t="n">
        <v>2</v>
      </c>
      <c r="E341" s="16" t="inlineStr">
        <is>
          <t>https://www.mckinsey.com/capabilities/people-and-organizational-performance/our-insights/how-to-identify-the-right-spans-of-control-for-your-organization</t>
        </is>
      </c>
      <c r="F341" s="210" t="n"/>
      <c r="G341" s="210" t="n"/>
      <c r="H341" s="210" t="n"/>
      <c r="I341" s="210" t="n"/>
      <c r="J341" s="210" t="n"/>
      <c r="K341" s="210" t="n"/>
      <c r="L341" s="210" t="n"/>
      <c r="M341" s="210" t="n"/>
      <c r="N341" s="210" t="n"/>
      <c r="O341" s="209" t="n"/>
    </row>
    <row r="342" ht="15" customHeight="1">
      <c r="A342" s="13" t="inlineStr">
        <is>
          <t>mercer.com</t>
        </is>
      </c>
      <c r="B342" s="210" t="n"/>
      <c r="C342" s="209" t="n"/>
      <c r="D342" s="15" t="n">
        <v>2</v>
      </c>
      <c r="E342" s="16" t="inlineStr">
        <is>
          <t>https://info.mercer.com/rs/521-DEV-513/images/MLS-Job-Catalogue.pdf</t>
        </is>
      </c>
      <c r="F342" s="210" t="n"/>
      <c r="G342" s="210" t="n"/>
      <c r="H342" s="210" t="n"/>
      <c r="I342" s="210" t="n"/>
      <c r="J342" s="210" t="n"/>
      <c r="K342" s="210" t="n"/>
      <c r="L342" s="210" t="n"/>
      <c r="M342" s="210" t="n"/>
      <c r="N342" s="210" t="n"/>
      <c r="O342" s="209" t="n"/>
    </row>
    <row r="343" ht="15" customHeight="1">
      <c r="A343" s="13" t="inlineStr">
        <is>
          <t>networkinterview.com</t>
        </is>
      </c>
      <c r="B343" s="210" t="n"/>
      <c r="C343" s="209" t="n"/>
      <c r="D343" s="15" t="n">
        <v>2</v>
      </c>
      <c r="E343" s="16" t="inlineStr">
        <is>
          <t>https://networkinterview.com/technical-hierarchy-deloitte-india/</t>
        </is>
      </c>
      <c r="F343" s="210" t="n"/>
      <c r="G343" s="210" t="n"/>
      <c r="H343" s="210" t="n"/>
      <c r="I343" s="210" t="n"/>
      <c r="J343" s="210" t="n"/>
      <c r="K343" s="210" t="n"/>
      <c r="L343" s="210" t="n"/>
      <c r="M343" s="210" t="n"/>
      <c r="N343" s="210" t="n"/>
      <c r="O343" s="209" t="n"/>
    </row>
    <row r="344" ht="15" customHeight="1">
      <c r="A344" s="13" t="inlineStr">
        <is>
          <t>pmi.org</t>
        </is>
      </c>
      <c r="B344" s="210" t="n"/>
      <c r="C344" s="209" t="n"/>
      <c r="D344" s="15" t="n">
        <v>2</v>
      </c>
      <c r="E344" s="16" t="inlineStr">
        <is>
          <t>https://www.pmi.org/certifications/certification-resources/maintain/talent-triangle</t>
        </is>
      </c>
      <c r="F344" s="210" t="n"/>
      <c r="G344" s="210" t="n"/>
      <c r="H344" s="210" t="n"/>
      <c r="I344" s="210" t="n"/>
      <c r="J344" s="210" t="n"/>
      <c r="K344" s="210" t="n"/>
      <c r="L344" s="210" t="n"/>
      <c r="M344" s="210" t="n"/>
      <c r="N344" s="210" t="n"/>
      <c r="O344" s="209" t="n"/>
    </row>
    <row r="345" ht="15" customHeight="1">
      <c r="A345" s="13" t="inlineStr">
        <is>
          <t>prospeo.io</t>
        </is>
      </c>
      <c r="B345" s="210" t="n"/>
      <c r="C345" s="209" t="n"/>
      <c r="D345" s="15" t="n">
        <v>2</v>
      </c>
      <c r="E345" s="16" t="inlineStr">
        <is>
          <t>https://prospeo.io/s/sales-titles-hierarchy</t>
        </is>
      </c>
      <c r="F345" s="210" t="n"/>
      <c r="G345" s="210" t="n"/>
      <c r="H345" s="210" t="n"/>
      <c r="I345" s="210" t="n"/>
      <c r="J345" s="210" t="n"/>
      <c r="K345" s="210" t="n"/>
      <c r="L345" s="210" t="n"/>
      <c r="M345" s="210" t="n"/>
      <c r="N345" s="210" t="n"/>
      <c r="O345" s="209" t="n"/>
    </row>
    <row r="346" ht="15" customHeight="1">
      <c r="A346" s="13" t="inlineStr">
        <is>
          <t>radford.aon.com</t>
        </is>
      </c>
      <c r="B346" s="210" t="n"/>
      <c r="C346" s="209" t="n"/>
      <c r="D346" s="15" t="n">
        <v>2</v>
      </c>
      <c r="E346" s="16" t="inlineStr">
        <is>
          <t>https://radford.aon.com/en-us/products/release-notes/2021/radford-job-architecture-leveling</t>
        </is>
      </c>
      <c r="F346" s="210" t="n"/>
      <c r="G346" s="210" t="n"/>
      <c r="H346" s="210" t="n"/>
      <c r="I346" s="210" t="n"/>
      <c r="J346" s="210" t="n"/>
      <c r="K346" s="210" t="n"/>
      <c r="L346" s="210" t="n"/>
      <c r="M346" s="210" t="n"/>
      <c r="N346" s="210" t="n"/>
      <c r="O346" s="209" t="n"/>
    </row>
    <row r="347" ht="15" customHeight="1">
      <c r="A347" s="13" t="inlineStr">
        <is>
          <t>shrm.org</t>
        </is>
      </c>
      <c r="B347" s="210" t="n"/>
      <c r="C347" s="209" t="n"/>
      <c r="D347" s="15" t="n">
        <v>2</v>
      </c>
      <c r="E347" s="16" t="inlineStr">
        <is>
          <t>https://www.shrm.org/credentials/certification/shrm-bask</t>
        </is>
      </c>
      <c r="F347" s="210" t="n"/>
      <c r="G347" s="210" t="n"/>
      <c r="H347" s="210" t="n"/>
      <c r="I347" s="210" t="n"/>
      <c r="J347" s="210" t="n"/>
      <c r="K347" s="210" t="n"/>
      <c r="L347" s="210" t="n"/>
      <c r="M347" s="210" t="n"/>
      <c r="N347" s="210" t="n"/>
      <c r="O347" s="209" t="n"/>
    </row>
    <row r="348" ht="15" customHeight="1">
      <c r="A348" s="13" t="inlineStr">
        <is>
          <t>testrigor.com</t>
        </is>
      </c>
      <c r="B348" s="210" t="n"/>
      <c r="C348" s="209" t="n"/>
      <c r="D348" s="15" t="n">
        <v>2</v>
      </c>
      <c r="E348" s="16" t="inlineStr">
        <is>
          <t>https://testrigor.com/blog/engineering-levels-in-different-companies-compared/</t>
        </is>
      </c>
      <c r="F348" s="210" t="n"/>
      <c r="G348" s="210" t="n"/>
      <c r="H348" s="210" t="n"/>
      <c r="I348" s="210" t="n"/>
      <c r="J348" s="210" t="n"/>
      <c r="K348" s="210" t="n"/>
      <c r="L348" s="210" t="n"/>
      <c r="M348" s="210" t="n"/>
      <c r="N348" s="210" t="n"/>
      <c r="O348" s="209" t="n"/>
    </row>
    <row r="349" ht="15" customHeight="1">
      <c r="A349" s="13" t="inlineStr">
        <is>
          <t>tsia.com</t>
        </is>
      </c>
      <c r="B349" s="210" t="n"/>
      <c r="C349" s="209" t="n"/>
      <c r="D349" s="15" t="n">
        <v>2</v>
      </c>
      <c r="E349" s="16" t="inlineStr">
        <is>
          <t>https://www.tsia.com</t>
        </is>
      </c>
      <c r="F349" s="210" t="n"/>
      <c r="G349" s="210" t="n"/>
      <c r="H349" s="210" t="n"/>
      <c r="I349" s="210" t="n"/>
      <c r="J349" s="210" t="n"/>
      <c r="K349" s="210" t="n"/>
      <c r="L349" s="210" t="n"/>
      <c r="M349" s="210" t="n"/>
      <c r="N349" s="210" t="n"/>
      <c r="O349" s="209" t="n"/>
    </row>
    <row r="350" ht="15" customHeight="1">
      <c r="A350" s="13" t="inlineStr">
        <is>
          <t>uwo.ca</t>
        </is>
      </c>
      <c r="B350" s="210" t="n"/>
      <c r="C350" s="209" t="n"/>
      <c r="D350" s="15" t="n">
        <v>2</v>
      </c>
      <c r="E350" s="16" t="inlineStr">
        <is>
          <t>https://www.uwo.ca/humanresources/wjec/docs/hay_method_overview.pdf</t>
        </is>
      </c>
      <c r="F350" s="210" t="n"/>
      <c r="G350" s="210" t="n"/>
      <c r="H350" s="210" t="n"/>
      <c r="I350" s="210" t="n"/>
      <c r="J350" s="210" t="n"/>
      <c r="K350" s="210" t="n"/>
      <c r="L350" s="210" t="n"/>
      <c r="M350" s="210" t="n"/>
      <c r="N350" s="210" t="n"/>
      <c r="O350" s="209" t="n"/>
    </row>
    <row r="351" ht="15" customHeight="1">
      <c r="A351" s="13" t="inlineStr">
        <is>
          <t>weforum.org</t>
        </is>
      </c>
      <c r="B351" s="210" t="n"/>
      <c r="C351" s="209" t="n"/>
      <c r="D351" s="15" t="n">
        <v>2</v>
      </c>
      <c r="E351" s="16" t="inlineStr">
        <is>
          <t>https://www.weforum.org/publications/the-future-of-jobs-report-2025/digest/</t>
        </is>
      </c>
      <c r="F351" s="210" t="n"/>
      <c r="G351" s="210" t="n"/>
      <c r="H351" s="210" t="n"/>
      <c r="I351" s="210" t="n"/>
      <c r="J351" s="210" t="n"/>
      <c r="K351" s="210" t="n"/>
      <c r="L351" s="210" t="n"/>
      <c r="M351" s="210" t="n"/>
      <c r="N351" s="210" t="n"/>
      <c r="O351" s="209" t="n"/>
    </row>
    <row r="352" ht="15" customHeight="1">
      <c r="A352" s="13" t="inlineStr">
        <is>
          <t>wtwco.com</t>
        </is>
      </c>
      <c r="B352" s="210" t="n"/>
      <c r="C352" s="209" t="n"/>
      <c r="D352" s="15" t="n">
        <v>2</v>
      </c>
      <c r="E352" s="16" t="inlineStr">
        <is>
          <t>https://www.wtwco.com/en-in/insights/2023/09/building-resilient-career-ecosystems-with-robust-career-strategy-and-design</t>
        </is>
      </c>
      <c r="F352" s="210" t="n"/>
      <c r="G352" s="210" t="n"/>
      <c r="H352" s="210" t="n"/>
      <c r="I352" s="210" t="n"/>
      <c r="J352" s="210" t="n"/>
      <c r="K352" s="210" t="n"/>
      <c r="L352" s="210" t="n"/>
      <c r="M352" s="210" t="n"/>
      <c r="N352" s="210" t="n"/>
      <c r="O352" s="209" t="n"/>
    </row>
    <row r="353" ht="15" customHeight="1">
      <c r="A353" s="13" t="inlineStr">
        <is>
          <t>xbrl.us</t>
        </is>
      </c>
      <c r="B353" s="210" t="n"/>
      <c r="C353" s="209" t="n"/>
      <c r="D353" s="15" t="n">
        <v>2</v>
      </c>
      <c r="E353" s="16" t="inlineStr">
        <is>
          <t>https://xbrl.us</t>
        </is>
      </c>
      <c r="F353" s="210" t="n"/>
      <c r="G353" s="210" t="n"/>
      <c r="H353" s="210" t="n"/>
      <c r="I353" s="210" t="n"/>
      <c r="J353" s="210" t="n"/>
      <c r="K353" s="210" t="n"/>
      <c r="L353" s="210" t="n"/>
      <c r="M353" s="210" t="n"/>
      <c r="N353" s="210" t="n"/>
      <c r="O353" s="209" t="n"/>
    </row>
    <row r="354" ht="15" customHeight="1">
      <c r="A354" s="13" t="inlineStr">
        <is>
          <t>abseil.io</t>
        </is>
      </c>
      <c r="B354" s="210" t="n"/>
      <c r="C354" s="209" t="n"/>
      <c r="D354" s="15" t="n">
        <v>1</v>
      </c>
      <c r="E354" s="16" t="inlineStr">
        <is>
          <t>https://abseil.io/resources/swe-book/html/ch05.html</t>
        </is>
      </c>
      <c r="F354" s="210" t="n"/>
      <c r="G354" s="210" t="n"/>
      <c r="H354" s="210" t="n"/>
      <c r="I354" s="210" t="n"/>
      <c r="J354" s="210" t="n"/>
      <c r="K354" s="210" t="n"/>
      <c r="L354" s="210" t="n"/>
      <c r="M354" s="210" t="n"/>
      <c r="N354" s="210" t="n"/>
      <c r="O354" s="209" t="n"/>
    </row>
    <row r="355" ht="15" customHeight="1">
      <c r="A355" s="13" t="inlineStr">
        <is>
          <t>assets.publishing.service.gov.uk</t>
        </is>
      </c>
      <c r="B355" s="210" t="n"/>
      <c r="C355" s="209" t="n"/>
      <c r="D355" s="15" t="n">
        <v>1</v>
      </c>
      <c r="E355" s="16" t="inlineStr">
        <is>
          <t>https://assets.publishing.service.gov.uk/media/66a370440808eaf43b50d7b2/WTW_OME-STRB_Job_Levelling_FOR_PUBLICATION.pdf</t>
        </is>
      </c>
      <c r="F355" s="210" t="n"/>
      <c r="G355" s="210" t="n"/>
      <c r="H355" s="210" t="n"/>
      <c r="I355" s="210" t="n"/>
      <c r="J355" s="210" t="n"/>
      <c r="K355" s="210" t="n"/>
      <c r="L355" s="210" t="n"/>
      <c r="M355" s="210" t="n"/>
      <c r="N355" s="210" t="n"/>
      <c r="O355" s="209" t="n"/>
    </row>
    <row r="356" ht="15" customHeight="1">
      <c r="A356" s="13" t="inlineStr">
        <is>
          <t>blog.ipleaders.in</t>
        </is>
      </c>
      <c r="B356" s="210" t="n"/>
      <c r="C356" s="209" t="n"/>
      <c r="D356" s="15" t="n">
        <v>1</v>
      </c>
      <c r="E356" s="16" t="inlineStr">
        <is>
          <t>https://blog.ipleaders.in/director-companies-act-2013/</t>
        </is>
      </c>
      <c r="F356" s="210" t="n"/>
      <c r="G356" s="210" t="n"/>
      <c r="H356" s="210" t="n"/>
      <c r="I356" s="210" t="n"/>
      <c r="J356" s="210" t="n"/>
      <c r="K356" s="210" t="n"/>
      <c r="L356" s="210" t="n"/>
      <c r="M356" s="210" t="n"/>
      <c r="N356" s="210" t="n"/>
      <c r="O356" s="209" t="n"/>
    </row>
    <row r="357" ht="15" customHeight="1">
      <c r="A357" s="13" t="inlineStr">
        <is>
          <t>bootcamp.uxdesign.cc</t>
        </is>
      </c>
      <c r="B357" s="210" t="n"/>
      <c r="C357" s="209" t="n"/>
      <c r="D357" s="15" t="n">
        <v>1</v>
      </c>
      <c r="E357" s="16" t="inlineStr">
        <is>
          <t>https://bootcamp.uxdesign.cc/career-ladder-from-junior-to-director-guidance-for-ux-professionals-1b5f9b2bd6b8</t>
        </is>
      </c>
      <c r="F357" s="210" t="n"/>
      <c r="G357" s="210" t="n"/>
      <c r="H357" s="210" t="n"/>
      <c r="I357" s="210" t="n"/>
      <c r="J357" s="210" t="n"/>
      <c r="K357" s="210" t="n"/>
      <c r="L357" s="210" t="n"/>
      <c r="M357" s="210" t="n"/>
      <c r="N357" s="210" t="n"/>
      <c r="O357" s="209" t="n"/>
    </row>
    <row r="358" ht="15" customHeight="1">
      <c r="A358" s="13" t="inlineStr">
        <is>
          <t>builtinbengaluru.in</t>
        </is>
      </c>
      <c r="B358" s="210" t="n"/>
      <c r="C358" s="209" t="n"/>
      <c r="D358" s="15" t="n">
        <v>1</v>
      </c>
      <c r="E358" s="16" t="inlineStr">
        <is>
          <t>https://builtinbengaluru.in/job/xbrl-financial-analyst-assoc/4131532</t>
        </is>
      </c>
      <c r="F358" s="210" t="n"/>
      <c r="G358" s="210" t="n"/>
      <c r="H358" s="210" t="n"/>
      <c r="I358" s="210" t="n"/>
      <c r="J358" s="210" t="n"/>
      <c r="K358" s="210" t="n"/>
      <c r="L358" s="210" t="n"/>
      <c r="M358" s="210" t="n"/>
      <c r="N358" s="210" t="n"/>
      <c r="O358" s="209" t="n"/>
    </row>
    <row r="359" ht="15" customHeight="1">
      <c r="A359" s="13" t="inlineStr">
        <is>
          <t>businesswire.com</t>
        </is>
      </c>
      <c r="B359" s="210" t="n"/>
      <c r="C359" s="209" t="n"/>
      <c r="D359" s="15" t="n">
        <v>1</v>
      </c>
      <c r="E359" s="16" t="inlineStr">
        <is>
          <t>https://www.businesswire.com/news/home/20241124525888/en/</t>
        </is>
      </c>
      <c r="F359" s="210" t="n"/>
      <c r="G359" s="210" t="n"/>
      <c r="H359" s="210" t="n"/>
      <c r="I359" s="210" t="n"/>
      <c r="J359" s="210" t="n"/>
      <c r="K359" s="210" t="n"/>
      <c r="L359" s="210" t="n"/>
      <c r="M359" s="210" t="n"/>
      <c r="N359" s="210" t="n"/>
      <c r="O359" s="209" t="n"/>
    </row>
    <row r="360" ht="15" customHeight="1">
      <c r="A360" s="13" t="inlineStr">
        <is>
          <t>cardinalatwork.stanford.edu</t>
        </is>
      </c>
      <c r="B360" s="210" t="n"/>
      <c r="C360" s="209" t="n"/>
      <c r="D360" s="15" t="n">
        <v>1</v>
      </c>
      <c r="E360" s="16" t="inlineStr">
        <is>
          <t>https://cardinalatwork.stanford.edu/careers/performance-management/competencies</t>
        </is>
      </c>
      <c r="F360" s="210" t="n"/>
      <c r="G360" s="210" t="n"/>
      <c r="H360" s="210" t="n"/>
      <c r="I360" s="210" t="n"/>
      <c r="J360" s="210" t="n"/>
      <c r="K360" s="210" t="n"/>
      <c r="L360" s="210" t="n"/>
      <c r="M360" s="210" t="n"/>
      <c r="N360" s="210" t="n"/>
      <c r="O360" s="209" t="n"/>
    </row>
    <row r="361" ht="15" customHeight="1">
      <c r="A361" s="13" t="inlineStr">
        <is>
          <t>carta.com</t>
        </is>
      </c>
      <c r="B361" s="210" t="n"/>
      <c r="C361" s="209" t="n"/>
      <c r="D361" s="15" t="n">
        <v>1</v>
      </c>
      <c r="E361" s="16" t="inlineStr">
        <is>
          <t>https://carta.com/learn/startups/compensation/job-leveling/</t>
        </is>
      </c>
      <c r="F361" s="210" t="n"/>
      <c r="G361" s="210" t="n"/>
      <c r="H361" s="210" t="n"/>
      <c r="I361" s="210" t="n"/>
      <c r="J361" s="210" t="n"/>
      <c r="K361" s="210" t="n"/>
      <c r="L361" s="210" t="n"/>
      <c r="M361" s="210" t="n"/>
      <c r="N361" s="210" t="n"/>
      <c r="O361" s="209" t="n"/>
    </row>
    <row r="362" ht="15" customHeight="1">
      <c r="A362" s="13" t="inlineStr">
        <is>
          <t>cim.co.uk</t>
        </is>
      </c>
      <c r="B362" s="210" t="n"/>
      <c r="C362" s="209" t="n"/>
      <c r="D362" s="15" t="n">
        <v>1</v>
      </c>
      <c r="E362" s="16" t="inlineStr">
        <is>
          <t>https://www.cim.co.uk/more/professional-marketing-competencies</t>
        </is>
      </c>
      <c r="F362" s="210" t="n"/>
      <c r="G362" s="210" t="n"/>
      <c r="H362" s="210" t="n"/>
      <c r="I362" s="210" t="n"/>
      <c r="J362" s="210" t="n"/>
      <c r="K362" s="210" t="n"/>
      <c r="L362" s="210" t="n"/>
      <c r="M362" s="210" t="n"/>
      <c r="N362" s="210" t="n"/>
      <c r="O362" s="209" t="n"/>
    </row>
    <row r="363" ht="15" customHeight="1">
      <c r="A363" s="13" t="inlineStr">
        <is>
          <t>cipd.org</t>
        </is>
      </c>
      <c r="B363" s="210" t="n"/>
      <c r="C363" s="209" t="n"/>
      <c r="D363" s="15" t="n">
        <v>1</v>
      </c>
      <c r="E363" s="16" t="inlineStr">
        <is>
          <t>https://www.cipd.org/en/the-people-profession/the-profession-map/</t>
        </is>
      </c>
      <c r="F363" s="210" t="n"/>
      <c r="G363" s="210" t="n"/>
      <c r="H363" s="210" t="n"/>
      <c r="I363" s="210" t="n"/>
      <c r="J363" s="210" t="n"/>
      <c r="K363" s="210" t="n"/>
      <c r="L363" s="210" t="n"/>
      <c r="M363" s="210" t="n"/>
      <c r="N363" s="210" t="n"/>
      <c r="O363" s="209" t="n"/>
    </row>
    <row r="364" ht="15" customHeight="1">
      <c r="A364" s="13" t="inlineStr">
        <is>
          <t>copc.com</t>
        </is>
      </c>
      <c r="B364" s="210" t="n"/>
      <c r="C364" s="209" t="n"/>
      <c r="D364" s="15" t="n">
        <v>1</v>
      </c>
      <c r="E364" s="16" t="inlineStr">
        <is>
          <t>https://copc.com/copc-standards</t>
        </is>
      </c>
      <c r="F364" s="210" t="n"/>
      <c r="G364" s="210" t="n"/>
      <c r="H364" s="210" t="n"/>
      <c r="I364" s="210" t="n"/>
      <c r="J364" s="210" t="n"/>
      <c r="K364" s="210" t="n"/>
      <c r="L364" s="210" t="n"/>
      <c r="M364" s="210" t="n"/>
      <c r="N364" s="210" t="n"/>
      <c r="O364" s="209" t="n"/>
    </row>
    <row r="365" ht="15" customHeight="1">
      <c r="A365" s="13" t="inlineStr">
        <is>
          <t>developer.squareup.com</t>
        </is>
      </c>
      <c r="B365" s="210" t="n"/>
      <c r="C365" s="209" t="n"/>
      <c r="D365" s="15" t="n">
        <v>1</v>
      </c>
      <c r="E365" s="16" t="inlineStr">
        <is>
          <t>https://developer.squareup.com/blog/squares-growth-framework-for-engineers-and-engineering-managers/</t>
        </is>
      </c>
      <c r="F365" s="210" t="n"/>
      <c r="G365" s="210" t="n"/>
      <c r="H365" s="210" t="n"/>
      <c r="I365" s="210" t="n"/>
      <c r="J365" s="210" t="n"/>
      <c r="K365" s="210" t="n"/>
      <c r="L365" s="210" t="n"/>
      <c r="M365" s="210" t="n"/>
      <c r="N365" s="210" t="n"/>
      <c r="O365" s="209" t="n"/>
    </row>
    <row r="366" ht="15" customHeight="1">
      <c r="A366" s="13" t="inlineStr">
        <is>
          <t>dfinsolutions.com</t>
        </is>
      </c>
      <c r="B366" s="210" t="n"/>
      <c r="C366" s="209" t="n"/>
      <c r="D366" s="15" t="n">
        <v>1</v>
      </c>
      <c r="E366" s="16" t="inlineStr">
        <is>
          <t>https://www.dfinsolutions.com</t>
        </is>
      </c>
      <c r="F366" s="210" t="n"/>
      <c r="G366" s="210" t="n"/>
      <c r="H366" s="210" t="n"/>
      <c r="I366" s="210" t="n"/>
      <c r="J366" s="210" t="n"/>
      <c r="K366" s="210" t="n"/>
      <c r="L366" s="210" t="n"/>
      <c r="M366" s="210" t="n"/>
      <c r="N366" s="210" t="n"/>
      <c r="O366" s="209" t="n"/>
    </row>
    <row r="367" ht="15" customHeight="1">
      <c r="A367" s="13" t="inlineStr">
        <is>
          <t>dropbox.tech</t>
        </is>
      </c>
      <c r="B367" s="210" t="n"/>
      <c r="C367" s="209" t="n"/>
      <c r="D367" s="15" t="n">
        <v>1</v>
      </c>
      <c r="E367" s="16" t="inlineStr">
        <is>
          <t>https://dropbox.tech/culture/our-updated-engineering-career-framework</t>
        </is>
      </c>
      <c r="F367" s="210" t="n"/>
      <c r="G367" s="210" t="n"/>
      <c r="H367" s="210" t="n"/>
      <c r="I367" s="210" t="n"/>
      <c r="J367" s="210" t="n"/>
      <c r="K367" s="210" t="n"/>
      <c r="L367" s="210" t="n"/>
      <c r="M367" s="210" t="n"/>
      <c r="N367" s="210" t="n"/>
      <c r="O367" s="209" t="n"/>
    </row>
    <row r="368" ht="28" customHeight="1">
      <c r="A368" s="13" t="inlineStr">
        <is>
          <t>gov.nl.ca</t>
        </is>
      </c>
      <c r="B368" s="210" t="n"/>
      <c r="C368" s="209" t="n"/>
      <c r="D368" s="15" t="n">
        <v>1</v>
      </c>
      <c r="E368" s="16" t="inlineStr">
        <is>
          <t>https://www.gov.nl.ca/exec/tbs/department/branches/classification/what-is-the-korn-ferry-hay-group-guide-chart-profile-method-of-job-evaluation/</t>
        </is>
      </c>
      <c r="F368" s="210" t="n"/>
      <c r="G368" s="210" t="n"/>
      <c r="H368" s="210" t="n"/>
      <c r="I368" s="210" t="n"/>
      <c r="J368" s="210" t="n"/>
      <c r="K368" s="210" t="n"/>
      <c r="L368" s="210" t="n"/>
      <c r="M368" s="210" t="n"/>
      <c r="N368" s="210" t="n"/>
      <c r="O368" s="209" t="n"/>
    </row>
    <row r="369" ht="15" customHeight="1">
      <c r="A369" s="13" t="inlineStr">
        <is>
          <t>highland.gov.uk</t>
        </is>
      </c>
      <c r="B369" s="210" t="n"/>
      <c r="C369" s="209" t="n"/>
      <c r="D369" s="15" t="n">
        <v>1</v>
      </c>
      <c r="E369" s="16" t="inlineStr">
        <is>
          <t>https://www.highland.gov.uk/download/downloads/id/3889/scoring_matrix.pdf</t>
        </is>
      </c>
      <c r="F369" s="210" t="n"/>
      <c r="G369" s="210" t="n"/>
      <c r="H369" s="210" t="n"/>
      <c r="I369" s="210" t="n"/>
      <c r="J369" s="210" t="n"/>
      <c r="K369" s="210" t="n"/>
      <c r="L369" s="210" t="n"/>
      <c r="M369" s="210" t="n"/>
      <c r="N369" s="210" t="n"/>
      <c r="O369" s="209" t="n"/>
    </row>
    <row r="370" ht="15" customHeight="1">
      <c r="A370" s="13" t="inlineStr">
        <is>
          <t>info.mercer.com</t>
        </is>
      </c>
      <c r="B370" s="210" t="n"/>
      <c r="C370" s="209" t="n"/>
      <c r="D370" s="15" t="n">
        <v>1</v>
      </c>
      <c r="E370" s="16" t="inlineStr">
        <is>
          <t>https://info.mercer.com/rs/521-DEV-513/images/MLS-Job-Catalogue.pdf</t>
        </is>
      </c>
      <c r="F370" s="210" t="n"/>
      <c r="G370" s="210" t="n"/>
      <c r="H370" s="210" t="n"/>
      <c r="I370" s="210" t="n"/>
      <c r="J370" s="210" t="n"/>
      <c r="K370" s="210" t="n"/>
      <c r="L370" s="210" t="n"/>
      <c r="M370" s="210" t="n"/>
      <c r="N370" s="210" t="n"/>
      <c r="O370" s="209" t="n"/>
    </row>
    <row r="371" ht="15" customHeight="1">
      <c r="A371" s="13" t="inlineStr">
        <is>
          <t>itjobswatch.co.uk</t>
        </is>
      </c>
      <c r="B371" s="210" t="n"/>
      <c r="C371" s="209" t="n"/>
      <c r="D371" s="15" t="n">
        <v>1</v>
      </c>
      <c r="E371" s="16" t="inlineStr">
        <is>
          <t>https://www.itjobswatch.co.uk/jv/Space-Executive/Sales-Lead-Player-Coach-HR-Tech-Job-City-of-London-Greater-London-UK-4vommq</t>
        </is>
      </c>
      <c r="F371" s="210" t="n"/>
      <c r="G371" s="210" t="n"/>
      <c r="H371" s="210" t="n"/>
      <c r="I371" s="210" t="n"/>
      <c r="J371" s="210" t="n"/>
      <c r="K371" s="210" t="n"/>
      <c r="L371" s="210" t="n"/>
      <c r="M371" s="210" t="n"/>
      <c r="N371" s="210" t="n"/>
      <c r="O371" s="209" t="n"/>
    </row>
    <row r="372" ht="15" customHeight="1">
      <c r="A372" s="13" t="inlineStr">
        <is>
          <t>jobs.insightpartners.com</t>
        </is>
      </c>
      <c r="B372" s="210" t="n"/>
      <c r="C372" s="209" t="n"/>
      <c r="D372" s="15" t="n">
        <v>1</v>
      </c>
      <c r="E372" s="16" t="inlineStr">
        <is>
          <t>https://jobs.insightpartners.com/companies/gainsight/jobs/64120646-director-customer-success</t>
        </is>
      </c>
      <c r="F372" s="210" t="n"/>
      <c r="G372" s="210" t="n"/>
      <c r="H372" s="210" t="n"/>
      <c r="I372" s="210" t="n"/>
      <c r="J372" s="210" t="n"/>
      <c r="K372" s="210" t="n"/>
      <c r="L372" s="210" t="n"/>
      <c r="M372" s="210" t="n"/>
      <c r="N372" s="210" t="n"/>
      <c r="O372" s="209" t="n"/>
    </row>
    <row r="373" ht="15" customHeight="1">
      <c r="A373" s="13" t="inlineStr">
        <is>
          <t>kaanoon.com</t>
        </is>
      </c>
      <c r="B373" s="210" t="n"/>
      <c r="C373" s="209" t="n"/>
      <c r="D373" s="15" t="n">
        <v>1</v>
      </c>
      <c r="E373" s="16" t="inlineStr">
        <is>
          <t>https://www.kaanoon.com/241487/designation-with-word-director-as-per-hr-policy-but-not-as-per-companies-act</t>
        </is>
      </c>
      <c r="F373" s="210" t="n"/>
      <c r="G373" s="210" t="n"/>
      <c r="H373" s="210" t="n"/>
      <c r="I373" s="210" t="n"/>
      <c r="J373" s="210" t="n"/>
      <c r="K373" s="210" t="n"/>
      <c r="L373" s="210" t="n"/>
      <c r="M373" s="210" t="n"/>
      <c r="N373" s="210" t="n"/>
      <c r="O373" s="209" t="n"/>
    </row>
    <row r="374" ht="15" customHeight="1">
      <c r="A374" s="13" t="inlineStr">
        <is>
          <t>karlancer.com</t>
        </is>
      </c>
      <c r="B374" s="210" t="n"/>
      <c r="C374" s="209" t="n"/>
      <c r="D374" s="15" t="n">
        <v>1</v>
      </c>
      <c r="E374" s="16" t="inlineStr">
        <is>
          <t>https://www.karlancer.com/api/file/1685038954-V7Gx.pdf</t>
        </is>
      </c>
      <c r="F374" s="210" t="n"/>
      <c r="G374" s="210" t="n"/>
      <c r="H374" s="210" t="n"/>
      <c r="I374" s="210" t="n"/>
      <c r="J374" s="210" t="n"/>
      <c r="K374" s="210" t="n"/>
      <c r="L374" s="210" t="n"/>
      <c r="M374" s="210" t="n"/>
      <c r="N374" s="210" t="n"/>
      <c r="O374" s="209" t="n"/>
    </row>
    <row r="375" ht="15" customHeight="1">
      <c r="A375" s="13" t="inlineStr">
        <is>
          <t>kornferry.com</t>
        </is>
      </c>
      <c r="B375" s="210" t="n"/>
      <c r="C375" s="209" t="n"/>
      <c r="D375" s="15" t="n">
        <v>1</v>
      </c>
      <c r="E375" s="16" t="inlineStr">
        <is>
          <t>https://www.kornferry.com</t>
        </is>
      </c>
      <c r="F375" s="210" t="n"/>
      <c r="G375" s="210" t="n"/>
      <c r="H375" s="210" t="n"/>
      <c r="I375" s="210" t="n"/>
      <c r="J375" s="210" t="n"/>
      <c r="K375" s="210" t="n"/>
      <c r="L375" s="210" t="n"/>
      <c r="M375" s="210" t="n"/>
      <c r="N375" s="210" t="n"/>
      <c r="O375" s="209" t="n"/>
    </row>
    <row r="376" ht="15" customHeight="1">
      <c r="A376" s="13" t="inlineStr">
        <is>
          <t>lb2.local.gov.uk</t>
        </is>
      </c>
      <c r="B376" s="210" t="n"/>
      <c r="C376" s="209" t="n"/>
      <c r="D376" s="15" t="n">
        <v>1</v>
      </c>
      <c r="E376" s="16" t="inlineStr">
        <is>
          <t>https://lb2.local.gov.uk/sites/default/files/documents/police-staff-council-13-f-342.pdf</t>
        </is>
      </c>
      <c r="F376" s="210" t="n"/>
      <c r="G376" s="210" t="n"/>
      <c r="H376" s="210" t="n"/>
      <c r="I376" s="210" t="n"/>
      <c r="J376" s="210" t="n"/>
      <c r="K376" s="210" t="n"/>
      <c r="L376" s="210" t="n"/>
      <c r="M376" s="210" t="n"/>
      <c r="N376" s="210" t="n"/>
      <c r="O376" s="209" t="n"/>
    </row>
    <row r="377" ht="15" customHeight="1">
      <c r="A377" s="13" t="inlineStr">
        <is>
          <t>leaddev.com</t>
        </is>
      </c>
      <c r="B377" s="210" t="n"/>
      <c r="C377" s="209" t="n"/>
      <c r="D377" s="15" t="n">
        <v>1</v>
      </c>
      <c r="E377" s="16" t="inlineStr">
        <is>
          <t>https://leaddev.com/career-ladders/who-are-staff-principal-and-distinguished-engineers</t>
        </is>
      </c>
      <c r="F377" s="210" t="n"/>
      <c r="G377" s="210" t="n"/>
      <c r="H377" s="210" t="n"/>
      <c r="I377" s="210" t="n"/>
      <c r="J377" s="210" t="n"/>
      <c r="K377" s="210" t="n"/>
      <c r="L377" s="210" t="n"/>
      <c r="M377" s="210" t="n"/>
      <c r="N377" s="210" t="n"/>
      <c r="O377" s="209" t="n"/>
    </row>
    <row r="378" ht="15" customHeight="1">
      <c r="A378" s="13" t="inlineStr">
        <is>
          <t>newsletter.pragmaticengineer.com</t>
        </is>
      </c>
      <c r="B378" s="210" t="n"/>
      <c r="C378" s="209" t="n"/>
      <c r="D378" s="15" t="n">
        <v>1</v>
      </c>
      <c r="E378" s="16" t="inlineStr">
        <is>
          <t>https://newsletter.pragmaticengineer.com/p/leading-effective-engineering-teams</t>
        </is>
      </c>
      <c r="F378" s="210" t="n"/>
      <c r="G378" s="210" t="n"/>
      <c r="H378" s="210" t="n"/>
      <c r="I378" s="210" t="n"/>
      <c r="J378" s="210" t="n"/>
      <c r="K378" s="210" t="n"/>
      <c r="L378" s="210" t="n"/>
      <c r="M378" s="210" t="n"/>
      <c r="N378" s="210" t="n"/>
      <c r="O378" s="209" t="n"/>
    </row>
    <row r="379" ht="15" customHeight="1">
      <c r="A379" s="13" t="inlineStr">
        <is>
          <t>nhsemployers.org</t>
        </is>
      </c>
      <c r="B379" s="210" t="n"/>
      <c r="C379" s="209" t="n"/>
      <c r="D379" s="15" t="n">
        <v>1</v>
      </c>
      <c r="E379" s="16" t="inlineStr">
        <is>
          <t>https://www.nhsemployers.org/sites/default/files/pdf/22/165.pdf</t>
        </is>
      </c>
      <c r="F379" s="210" t="n"/>
      <c r="G379" s="210" t="n"/>
      <c r="H379" s="210" t="n"/>
      <c r="I379" s="210" t="n"/>
      <c r="J379" s="210" t="n"/>
      <c r="K379" s="210" t="n"/>
      <c r="L379" s="210" t="n"/>
      <c r="M379" s="210" t="n"/>
      <c r="N379" s="210" t="n"/>
      <c r="O379" s="209" t="n"/>
    </row>
    <row r="380" ht="28" customHeight="1">
      <c r="A380" s="13" t="inlineStr">
        <is>
          <t>opm.gov</t>
        </is>
      </c>
      <c r="B380" s="210" t="n"/>
      <c r="C380" s="209" t="n"/>
      <c r="D380" s="15" t="n">
        <v>1</v>
      </c>
      <c r="E380" s="16" t="inlineStr">
        <is>
          <t>https://www.opm.gov/policy-data-oversight/classification-qualifications/classifying-general-schedule-positions/positionclassificationintro.pdf</t>
        </is>
      </c>
      <c r="F380" s="210" t="n"/>
      <c r="G380" s="210" t="n"/>
      <c r="H380" s="210" t="n"/>
      <c r="I380" s="210" t="n"/>
      <c r="J380" s="210" t="n"/>
      <c r="K380" s="210" t="n"/>
      <c r="L380" s="210" t="n"/>
      <c r="M380" s="210" t="n"/>
      <c r="N380" s="210" t="n"/>
      <c r="O380" s="209" t="n"/>
    </row>
    <row r="381" ht="15" customHeight="1">
      <c r="A381" s="13" t="inlineStr">
        <is>
          <t>pave.com</t>
        </is>
      </c>
      <c r="B381" s="210" t="n"/>
      <c r="C381" s="209" t="n"/>
      <c r="D381" s="15" t="n">
        <v>1</v>
      </c>
      <c r="E381" s="16" t="inlineStr">
        <is>
          <t>https://support.pave.com/articles/understand-job-levels-SiKTjMHZtr.md</t>
        </is>
      </c>
      <c r="F381" s="210" t="n"/>
      <c r="G381" s="210" t="n"/>
      <c r="H381" s="210" t="n"/>
      <c r="I381" s="210" t="n"/>
      <c r="J381" s="210" t="n"/>
      <c r="K381" s="210" t="n"/>
      <c r="L381" s="210" t="n"/>
      <c r="M381" s="210" t="n"/>
      <c r="N381" s="210" t="n"/>
      <c r="O381" s="209" t="n"/>
    </row>
    <row r="382" ht="15" customHeight="1">
      <c r="A382" s="13" t="inlineStr">
        <is>
          <t>payscale.com</t>
        </is>
      </c>
      <c r="B382" s="210" t="n"/>
      <c r="C382" s="209" t="n"/>
      <c r="D382" s="15" t="n">
        <v>1</v>
      </c>
      <c r="E382" s="16" t="inlineStr">
        <is>
          <t>https://www.payscale.com/research/IN/Job=Chief_Architect%2C_IT/Skill-Experience</t>
        </is>
      </c>
      <c r="F382" s="210" t="n"/>
      <c r="G382" s="210" t="n"/>
      <c r="H382" s="210" t="n"/>
      <c r="I382" s="210" t="n"/>
      <c r="J382" s="210" t="n"/>
      <c r="K382" s="210" t="n"/>
      <c r="L382" s="210" t="n"/>
      <c r="M382" s="210" t="n"/>
      <c r="N382" s="210" t="n"/>
      <c r="O382" s="209" t="n"/>
    </row>
    <row r="383" ht="15" customHeight="1">
      <c r="A383" s="13" t="inlineStr">
        <is>
          <t>peoplecentre.wordpress.com</t>
        </is>
      </c>
      <c r="B383" s="210" t="n"/>
      <c r="C383" s="209" t="n"/>
      <c r="D383" s="15" t="n">
        <v>1</v>
      </c>
      <c r="E383" s="16" t="inlineStr">
        <is>
          <t>https://peoplecentre.wordpress.com/2016/10/02/hay-job-evaluation-methodology-the-short-profile/</t>
        </is>
      </c>
      <c r="F383" s="210" t="n"/>
      <c r="G383" s="210" t="n"/>
      <c r="H383" s="210" t="n"/>
      <c r="I383" s="210" t="n"/>
      <c r="J383" s="210" t="n"/>
      <c r="K383" s="210" t="n"/>
      <c r="L383" s="210" t="n"/>
      <c r="M383" s="210" t="n"/>
      <c r="N383" s="210" t="n"/>
      <c r="O383" s="209" t="n"/>
    </row>
    <row r="384" ht="15" customHeight="1">
      <c r="A384" s="13" t="inlineStr">
        <is>
          <t>peoplematters.in</t>
        </is>
      </c>
      <c r="B384" s="210" t="n"/>
      <c r="C384" s="209" t="n"/>
      <c r="D384" s="15" t="n">
        <v>1</v>
      </c>
      <c r="E384" s="16" t="inlineStr">
        <is>
          <t>https://www.peoplematters.in/news/compensation-benefits/indias-2026-salary-increases-to-reward-skills-over-seniority-ey-48541</t>
        </is>
      </c>
      <c r="F384" s="210" t="n"/>
      <c r="G384" s="210" t="n"/>
      <c r="H384" s="210" t="n"/>
      <c r="I384" s="210" t="n"/>
      <c r="J384" s="210" t="n"/>
      <c r="K384" s="210" t="n"/>
      <c r="L384" s="210" t="n"/>
      <c r="M384" s="210" t="n"/>
      <c r="N384" s="210" t="n"/>
      <c r="O384" s="209" t="n"/>
    </row>
    <row r="385" ht="15" customHeight="1">
      <c r="A385" s="13" t="inlineStr">
        <is>
          <t>pragmaticinstitute.com</t>
        </is>
      </c>
      <c r="B385" s="210" t="n"/>
      <c r="C385" s="209" t="n"/>
      <c r="D385" s="15" t="n">
        <v>1</v>
      </c>
      <c r="E385" s="16" t="inlineStr">
        <is>
          <t>https://pragmaticinstitute.com/product/framework/launch</t>
        </is>
      </c>
      <c r="F385" s="210" t="n"/>
      <c r="G385" s="210" t="n"/>
      <c r="H385" s="210" t="n"/>
      <c r="I385" s="210" t="n"/>
      <c r="J385" s="210" t="n"/>
      <c r="K385" s="210" t="n"/>
      <c r="L385" s="210" t="n"/>
      <c r="M385" s="210" t="n"/>
      <c r="N385" s="210" t="n"/>
      <c r="O385" s="209" t="n"/>
    </row>
    <row r="386" ht="15" customHeight="1">
      <c r="A386" s="13" t="inlineStr">
        <is>
          <t>professionals.lincolnshire.gov.uk</t>
        </is>
      </c>
      <c r="B386" s="210" t="n"/>
      <c r="C386" s="209" t="n"/>
      <c r="D386" s="15" t="n">
        <v>1</v>
      </c>
      <c r="E386" s="16" t="inlineStr">
        <is>
          <t>https://professionals.lincolnshire.gov.uk/downloads/file/576/hay-group-je-method</t>
        </is>
      </c>
      <c r="F386" s="210" t="n"/>
      <c r="G386" s="210" t="n"/>
      <c r="H386" s="210" t="n"/>
      <c r="I386" s="210" t="n"/>
      <c r="J386" s="210" t="n"/>
      <c r="K386" s="210" t="n"/>
      <c r="L386" s="210" t="n"/>
      <c r="M386" s="210" t="n"/>
      <c r="N386" s="210" t="n"/>
      <c r="O386" s="209" t="n"/>
    </row>
    <row r="387" ht="15" customHeight="1">
      <c r="A387" s="13" t="inlineStr">
        <is>
          <t>rajendrauppal.substack.com</t>
        </is>
      </c>
      <c r="B387" s="210" t="n"/>
      <c r="C387" s="209" t="n"/>
      <c r="D387" s="15" t="n">
        <v>1</v>
      </c>
      <c r="E387" s="16" t="inlineStr">
        <is>
          <t>https://rajendrauppal.substack.com/p/understanding-levels-at-google-microsoft</t>
        </is>
      </c>
      <c r="F387" s="210" t="n"/>
      <c r="G387" s="210" t="n"/>
      <c r="H387" s="210" t="n"/>
      <c r="I387" s="210" t="n"/>
      <c r="J387" s="210" t="n"/>
      <c r="K387" s="210" t="n"/>
      <c r="L387" s="210" t="n"/>
      <c r="M387" s="210" t="n"/>
      <c r="N387" s="210" t="n"/>
      <c r="O387" s="209" t="n"/>
    </row>
    <row r="388" ht="15" customHeight="1">
      <c r="A388" s="13" t="inlineStr">
        <is>
          <t>rework.withgoogle.com</t>
        </is>
      </c>
      <c r="B388" s="210" t="n"/>
      <c r="C388" s="209" t="n"/>
      <c r="D388" s="15" t="n">
        <v>1</v>
      </c>
      <c r="E388" s="16" t="inlineStr">
        <is>
          <t>https://rework.withgoogle.com/intl/en/guides/following-the-data-the-research-behind-great-managers</t>
        </is>
      </c>
      <c r="F388" s="210" t="n"/>
      <c r="G388" s="210" t="n"/>
      <c r="H388" s="210" t="n"/>
      <c r="I388" s="210" t="n"/>
      <c r="J388" s="210" t="n"/>
      <c r="K388" s="210" t="n"/>
      <c r="L388" s="210" t="n"/>
      <c r="M388" s="210" t="n"/>
      <c r="N388" s="210" t="n"/>
      <c r="O388" s="209" t="n"/>
    </row>
    <row r="389" ht="15" customHeight="1">
      <c r="A389" s="13" t="inlineStr">
        <is>
          <t>saastr.com</t>
        </is>
      </c>
      <c r="B389" s="210" t="n"/>
      <c r="C389" s="209" t="n"/>
      <c r="D389" s="15" t="n">
        <v>1</v>
      </c>
      <c r="E389" s="16" t="inlineStr">
        <is>
          <t>https://www.saastr.com/dear-saastr-do-i-have-to-provide-a-promotion-path-from-sdr-to-ae</t>
        </is>
      </c>
      <c r="F389" s="210" t="n"/>
      <c r="G389" s="210" t="n"/>
      <c r="H389" s="210" t="n"/>
      <c r="I389" s="210" t="n"/>
      <c r="J389" s="210" t="n"/>
      <c r="K389" s="210" t="n"/>
      <c r="L389" s="210" t="n"/>
      <c r="M389" s="210" t="n"/>
      <c r="N389" s="210" t="n"/>
      <c r="O389" s="209" t="n"/>
    </row>
    <row r="390" ht="15" customHeight="1">
      <c r="A390" s="13" t="inlineStr">
        <is>
          <t>salesgravy.com</t>
        </is>
      </c>
      <c r="B390" s="210" t="n"/>
      <c r="C390" s="209" t="n"/>
      <c r="D390" s="15" t="n">
        <v>1</v>
      </c>
      <c r="E390" s="16" t="inlineStr">
        <is>
          <t>https://salesgravy.com/the-player-coach-problem-how-to-prospect-and-lead-at-the-same-time-ask-jeb/</t>
        </is>
      </c>
      <c r="F390" s="210" t="n"/>
      <c r="G390" s="210" t="n"/>
      <c r="H390" s="210" t="n"/>
      <c r="I390" s="210" t="n"/>
      <c r="J390" s="210" t="n"/>
      <c r="K390" s="210" t="n"/>
      <c r="L390" s="210" t="n"/>
      <c r="M390" s="210" t="n"/>
      <c r="N390" s="210" t="n"/>
      <c r="O390" s="209" t="n"/>
    </row>
    <row r="391" ht="15" customHeight="1">
      <c r="A391" s="13" t="inlineStr">
        <is>
          <t>sec.gov</t>
        </is>
      </c>
      <c r="B391" s="210" t="n"/>
      <c r="C391" s="209" t="n"/>
      <c r="D391" s="15" t="n">
        <v>1</v>
      </c>
      <c r="E391" s="16" t="inlineStr">
        <is>
          <t>https://www.sec.gov/Archives/edgar/data/1445305/000144530526000016/wk-20251231.htm</t>
        </is>
      </c>
      <c r="F391" s="210" t="n"/>
      <c r="G391" s="210" t="n"/>
      <c r="H391" s="210" t="n"/>
      <c r="I391" s="210" t="n"/>
      <c r="J391" s="210" t="n"/>
      <c r="K391" s="210" t="n"/>
      <c r="L391" s="210" t="n"/>
      <c r="M391" s="210" t="n"/>
      <c r="N391" s="210" t="n"/>
      <c r="O391" s="209" t="n"/>
    </row>
    <row r="392" ht="15" customHeight="1">
      <c r="A392" s="13" t="inlineStr">
        <is>
          <t>shl.com</t>
        </is>
      </c>
      <c r="B392" s="210" t="n"/>
      <c r="C392" s="209" t="n"/>
      <c r="D392" s="15" t="n">
        <v>1</v>
      </c>
      <c r="E392" s="16" t="inlineStr">
        <is>
          <t>https://www.shl.com/assets/campaigns/global/competency-fit/universal-competency-framework-whitepaper-en.pdf</t>
        </is>
      </c>
      <c r="F392" s="210" t="n"/>
      <c r="G392" s="210" t="n"/>
      <c r="H392" s="210" t="n"/>
      <c r="I392" s="210" t="n"/>
      <c r="J392" s="210" t="n"/>
      <c r="K392" s="210" t="n"/>
      <c r="L392" s="210" t="n"/>
      <c r="M392" s="210" t="n"/>
      <c r="N392" s="210" t="n"/>
      <c r="O392" s="209" t="n"/>
    </row>
    <row r="393" ht="15" customHeight="1">
      <c r="A393" s="13" t="inlineStr">
        <is>
          <t>sirddinbych.gov.uk</t>
        </is>
      </c>
      <c r="B393" s="210" t="n"/>
      <c r="C393" s="209" t="n"/>
      <c r="D393" s="15" t="n">
        <v>1</v>
      </c>
      <c r="E393" s="16" t="inlineStr">
        <is>
          <t>https://www.sirddinbych.gov.uk/en/documents/jobs-and-employees/my-employment/reorganisation-and-change/glpc-points-weighting.pdf</t>
        </is>
      </c>
      <c r="F393" s="210" t="n"/>
      <c r="G393" s="210" t="n"/>
      <c r="H393" s="210" t="n"/>
      <c r="I393" s="210" t="n"/>
      <c r="J393" s="210" t="n"/>
      <c r="K393" s="210" t="n"/>
      <c r="L393" s="210" t="n"/>
      <c r="M393" s="210" t="n"/>
      <c r="N393" s="210" t="n"/>
      <c r="O393" s="209" t="n"/>
    </row>
    <row r="394" ht="15" customHeight="1">
      <c r="A394" s="13" t="inlineStr">
        <is>
          <t>slideshare.net</t>
        </is>
      </c>
      <c r="B394" s="210" t="n"/>
      <c r="C394" s="209" t="n"/>
      <c r="D394" s="15" t="n">
        <v>1</v>
      </c>
      <c r="E394" s="16" t="inlineStr">
        <is>
          <t>https://www.slideshare.net/slideshow/hay-summary/55196354</t>
        </is>
      </c>
      <c r="F394" s="210" t="n"/>
      <c r="G394" s="210" t="n"/>
      <c r="H394" s="210" t="n"/>
      <c r="I394" s="210" t="n"/>
      <c r="J394" s="210" t="n"/>
      <c r="K394" s="210" t="n"/>
      <c r="L394" s="210" t="n"/>
      <c r="M394" s="210" t="n"/>
      <c r="N394" s="210" t="n"/>
      <c r="O394" s="209" t="n"/>
    </row>
    <row r="395" ht="15" customHeight="1">
      <c r="A395" s="13" t="inlineStr">
        <is>
          <t>snowflake.com</t>
        </is>
      </c>
      <c r="B395" s="210" t="n"/>
      <c r="C395" s="209" t="n"/>
      <c r="D395" s="15" t="n">
        <v>1</v>
      </c>
      <c r="E395" s="16" t="inlineStr">
        <is>
          <t>https://www.snowflake.com/en/fundamentals/data-governance/framework/dama-dmbok/</t>
        </is>
      </c>
      <c r="F395" s="210" t="n"/>
      <c r="G395" s="210" t="n"/>
      <c r="H395" s="210" t="n"/>
      <c r="I395" s="210" t="n"/>
      <c r="J395" s="210" t="n"/>
      <c r="K395" s="210" t="n"/>
      <c r="L395" s="210" t="n"/>
      <c r="M395" s="210" t="n"/>
      <c r="N395" s="210" t="n"/>
      <c r="O395" s="209" t="n"/>
    </row>
    <row r="396" ht="15" customHeight="1">
      <c r="A396" s="13" t="inlineStr">
        <is>
          <t>staff.derbyshire.gov.uk</t>
        </is>
      </c>
      <c r="B396" s="210" t="n"/>
      <c r="C396" s="209" t="n"/>
      <c r="D396" s="15" t="n">
        <v>1</v>
      </c>
      <c r="E396" s="16" t="inlineStr">
        <is>
          <t>https://staff.derbyshire.gov.uk/jobs-and-recruitment/job-evaluation/korn-ferry-hay-scheme/korn-ferry-hay-scheme.aspx</t>
        </is>
      </c>
      <c r="F396" s="210" t="n"/>
      <c r="G396" s="210" t="n"/>
      <c r="H396" s="210" t="n"/>
      <c r="I396" s="210" t="n"/>
      <c r="J396" s="210" t="n"/>
      <c r="K396" s="210" t="n"/>
      <c r="L396" s="210" t="n"/>
      <c r="M396" s="210" t="n"/>
      <c r="N396" s="210" t="n"/>
      <c r="O396" s="209" t="n"/>
    </row>
    <row r="397" ht="15" customHeight="1">
      <c r="A397" s="13" t="inlineStr">
        <is>
          <t>studylib.net</t>
        </is>
      </c>
      <c r="B397" s="210" t="n"/>
      <c r="C397" s="209" t="n"/>
      <c r="D397" s="15" t="n">
        <v>1</v>
      </c>
      <c r="E397" s="16" t="inlineStr">
        <is>
          <t>https://studylib.net/doc/25471018/197145561-evaluation-factors-mercer</t>
        </is>
      </c>
      <c r="F397" s="210" t="n"/>
      <c r="G397" s="210" t="n"/>
      <c r="H397" s="210" t="n"/>
      <c r="I397" s="210" t="n"/>
      <c r="J397" s="210" t="n"/>
      <c r="K397" s="210" t="n"/>
      <c r="L397" s="210" t="n"/>
      <c r="M397" s="210" t="n"/>
      <c r="N397" s="210" t="n"/>
      <c r="O397" s="209" t="n"/>
    </row>
    <row r="398" ht="15" customHeight="1">
      <c r="A398" s="13" t="inlineStr">
        <is>
          <t>toppanmerrill.com</t>
        </is>
      </c>
      <c r="B398" s="210" t="n"/>
      <c r="C398" s="209" t="n"/>
      <c r="D398" s="15" t="n">
        <v>1</v>
      </c>
      <c r="E398" s="16" t="inlineStr">
        <is>
          <t>https://toppanmerrill.com/bridge/</t>
        </is>
      </c>
      <c r="F398" s="210" t="n"/>
      <c r="G398" s="210" t="n"/>
      <c r="H398" s="210" t="n"/>
      <c r="I398" s="210" t="n"/>
      <c r="J398" s="210" t="n"/>
      <c r="K398" s="210" t="n"/>
      <c r="L398" s="210" t="n"/>
      <c r="M398" s="210" t="n"/>
      <c r="N398" s="210" t="n"/>
      <c r="O398" s="209" t="n"/>
    </row>
    <row r="399" ht="15" customHeight="1">
      <c r="A399" s="13" t="inlineStr">
        <is>
          <t>wipro.com</t>
        </is>
      </c>
      <c r="B399" s="210" t="n"/>
      <c r="C399" s="209" t="n"/>
      <c r="D399" s="15" t="n">
        <v>1</v>
      </c>
      <c r="E399" s="16" t="inlineStr">
        <is>
          <t>https://www.wipro.com/innovation/distinguished-member-of-technical-staff/</t>
        </is>
      </c>
      <c r="F399" s="210" t="n"/>
      <c r="G399" s="210" t="n"/>
      <c r="H399" s="210" t="n"/>
      <c r="I399" s="210" t="n"/>
      <c r="J399" s="210" t="n"/>
      <c r="K399" s="210" t="n"/>
      <c r="L399" s="210" t="n"/>
      <c r="M399" s="210" t="n"/>
      <c r="N399" s="210" t="n"/>
      <c r="O399" s="209" t="n"/>
    </row>
    <row r="400" ht="15" customHeight="1">
      <c r="A400" s="13" t="inlineStr">
        <is>
          <t>worldatwork.org</t>
        </is>
      </c>
      <c r="B400" s="210" t="n"/>
      <c r="C400" s="209" t="n"/>
      <c r="D400" s="15" t="n">
        <v>1</v>
      </c>
      <c r="E400" s="16" t="inlineStr">
        <is>
          <t>https://worldatwork.org/media/CDN/dist/CDN2/documents/pdf/resources/research/Salary-Structure-Policies-Practices-2012.pdf</t>
        </is>
      </c>
      <c r="F400" s="210" t="n"/>
      <c r="G400" s="210" t="n"/>
      <c r="H400" s="210" t="n"/>
      <c r="I400" s="210" t="n"/>
      <c r="J400" s="210" t="n"/>
      <c r="K400" s="210" t="n"/>
      <c r="L400" s="210" t="n"/>
      <c r="M400" s="210" t="n"/>
      <c r="N400" s="210" t="n"/>
      <c r="O400" s="209" t="n"/>
    </row>
    <row r="401" ht="15" customHeight="1">
      <c r="A401" s="13" t="inlineStr">
        <is>
          <t>worldoftaxonomy.com</t>
        </is>
      </c>
      <c r="B401" s="210" t="n"/>
      <c r="C401" s="209" t="n"/>
      <c r="D401" s="15" t="n">
        <v>1</v>
      </c>
      <c r="E401" s="16" t="inlineStr">
        <is>
          <t>https://worldoftaxonomy.com/system/isco_08/node/251</t>
        </is>
      </c>
      <c r="F401" s="210" t="n"/>
      <c r="G401" s="210" t="n"/>
      <c r="H401" s="210" t="n"/>
      <c r="I401" s="210" t="n"/>
      <c r="J401" s="210" t="n"/>
      <c r="K401" s="210" t="n"/>
      <c r="L401" s="210" t="n"/>
      <c r="M401" s="210" t="n"/>
      <c r="N401" s="210" t="n"/>
      <c r="O401" s="209" t="n"/>
    </row>
  </sheetData>
  <mergeCells count="992">
    <mergeCell ref="G225:J225"/>
    <mergeCell ref="B231:D231"/>
    <mergeCell ref="E376:O376"/>
    <mergeCell ref="A326:C326"/>
    <mergeCell ref="A364:C364"/>
    <mergeCell ref="G200:J200"/>
    <mergeCell ref="E234:F234"/>
    <mergeCell ref="K191:N191"/>
    <mergeCell ref="G227:J227"/>
    <mergeCell ref="H278:J278"/>
    <mergeCell ref="G202:J202"/>
    <mergeCell ref="E244:F244"/>
    <mergeCell ref="D281:E281"/>
    <mergeCell ref="M35:N35"/>
    <mergeCell ref="B297:C297"/>
    <mergeCell ref="K255:N255"/>
    <mergeCell ref="K218:N218"/>
    <mergeCell ref="E236:F236"/>
    <mergeCell ref="D297:E297"/>
    <mergeCell ref="K316:M316"/>
    <mergeCell ref="E371:O371"/>
    <mergeCell ref="A181:C181"/>
    <mergeCell ref="H317:J317"/>
    <mergeCell ref="E358:O358"/>
    <mergeCell ref="H304:J304"/>
    <mergeCell ref="B312:C312"/>
    <mergeCell ref="B241:D241"/>
    <mergeCell ref="E229:F229"/>
    <mergeCell ref="D263:E263"/>
    <mergeCell ref="F263:G263"/>
    <mergeCell ref="B299:C299"/>
    <mergeCell ref="D312:E312"/>
    <mergeCell ref="H273:J273"/>
    <mergeCell ref="D173:I173"/>
    <mergeCell ref="B213:D213"/>
    <mergeCell ref="K232:N232"/>
    <mergeCell ref="B314:C314"/>
    <mergeCell ref="A33:B33"/>
    <mergeCell ref="C11:J11"/>
    <mergeCell ref="K219:N219"/>
    <mergeCell ref="E335:O335"/>
    <mergeCell ref="A352:C352"/>
    <mergeCell ref="K305:M305"/>
    <mergeCell ref="A40:O40"/>
    <mergeCell ref="B242:D242"/>
    <mergeCell ref="D307:E307"/>
    <mergeCell ref="A35:B35"/>
    <mergeCell ref="B190:D190"/>
    <mergeCell ref="A368:C368"/>
    <mergeCell ref="D174:I174"/>
    <mergeCell ref="A257:O257"/>
    <mergeCell ref="G36:I36"/>
    <mergeCell ref="A49:C49"/>
    <mergeCell ref="B208:D208"/>
    <mergeCell ref="H306:J306"/>
    <mergeCell ref="J46:N46"/>
    <mergeCell ref="A334:C334"/>
    <mergeCell ref="A28:B28"/>
    <mergeCell ref="A383:C383"/>
    <mergeCell ref="C28:D28"/>
    <mergeCell ref="D45:I45"/>
    <mergeCell ref="A370:C370"/>
    <mergeCell ref="B219:D219"/>
    <mergeCell ref="G222:J222"/>
    <mergeCell ref="A146:O146"/>
    <mergeCell ref="B210:D210"/>
    <mergeCell ref="K271:M271"/>
    <mergeCell ref="K300:M300"/>
    <mergeCell ref="A174:C174"/>
    <mergeCell ref="E326:O326"/>
    <mergeCell ref="J48:N48"/>
    <mergeCell ref="H297:J297"/>
    <mergeCell ref="A30:B30"/>
    <mergeCell ref="H291:J291"/>
    <mergeCell ref="C30:D30"/>
    <mergeCell ref="E361:O361"/>
    <mergeCell ref="G215:J215"/>
    <mergeCell ref="K250:N250"/>
    <mergeCell ref="K273:M273"/>
    <mergeCell ref="K9:O9"/>
    <mergeCell ref="E219:F219"/>
    <mergeCell ref="K230:N230"/>
    <mergeCell ref="H305:J305"/>
    <mergeCell ref="H292:J292"/>
    <mergeCell ref="K11:O11"/>
    <mergeCell ref="B287:C287"/>
    <mergeCell ref="D287:E287"/>
    <mergeCell ref="B201:D201"/>
    <mergeCell ref="B239:D239"/>
    <mergeCell ref="N179:O179"/>
    <mergeCell ref="B289:C289"/>
    <mergeCell ref="G241:J241"/>
    <mergeCell ref="E252:F252"/>
    <mergeCell ref="A44:C44"/>
    <mergeCell ref="D289:E289"/>
    <mergeCell ref="A357:C357"/>
    <mergeCell ref="B203:D203"/>
    <mergeCell ref="G228:J228"/>
    <mergeCell ref="E379:O379"/>
    <mergeCell ref="A329:C329"/>
    <mergeCell ref="E366:O366"/>
    <mergeCell ref="F317:G317"/>
    <mergeCell ref="E250:F250"/>
    <mergeCell ref="G243:J243"/>
    <mergeCell ref="E237:F237"/>
    <mergeCell ref="B232:D232"/>
    <mergeCell ref="E381:O381"/>
    <mergeCell ref="A358:C358"/>
    <mergeCell ref="E187:F187"/>
    <mergeCell ref="B313:C313"/>
    <mergeCell ref="B215:D215"/>
    <mergeCell ref="E380:O380"/>
    <mergeCell ref="E239:F239"/>
    <mergeCell ref="E251:F251"/>
    <mergeCell ref="H314:J314"/>
    <mergeCell ref="E189:F189"/>
    <mergeCell ref="K286:M286"/>
    <mergeCell ref="A360:C360"/>
    <mergeCell ref="B315:C315"/>
    <mergeCell ref="A34:B34"/>
    <mergeCell ref="E238:F238"/>
    <mergeCell ref="B244:D244"/>
    <mergeCell ref="C34:D34"/>
    <mergeCell ref="K261:M261"/>
    <mergeCell ref="F266:G266"/>
    <mergeCell ref="B302:C302"/>
    <mergeCell ref="B229:D229"/>
    <mergeCell ref="A54:O54"/>
    <mergeCell ref="D302:E302"/>
    <mergeCell ref="D315:E315"/>
    <mergeCell ref="G19:I19"/>
    <mergeCell ref="G246:J246"/>
    <mergeCell ref="A36:B36"/>
    <mergeCell ref="C14:J14"/>
    <mergeCell ref="A385:C385"/>
    <mergeCell ref="G221:J221"/>
    <mergeCell ref="A50:C50"/>
    <mergeCell ref="D300:E300"/>
    <mergeCell ref="A56:O56"/>
    <mergeCell ref="A154:O154"/>
    <mergeCell ref="A42:C42"/>
    <mergeCell ref="B245:D245"/>
    <mergeCell ref="A384:C384"/>
    <mergeCell ref="C29:D29"/>
    <mergeCell ref="E29:F29"/>
    <mergeCell ref="K187:N187"/>
    <mergeCell ref="G198:J198"/>
    <mergeCell ref="E205:F205"/>
    <mergeCell ref="G223:J223"/>
    <mergeCell ref="A386:C386"/>
    <mergeCell ref="C31:D31"/>
    <mergeCell ref="M31:N31"/>
    <mergeCell ref="E31:F31"/>
    <mergeCell ref="K251:N251"/>
    <mergeCell ref="K189:N189"/>
    <mergeCell ref="K238:N238"/>
    <mergeCell ref="H313:J313"/>
    <mergeCell ref="D284:E284"/>
    <mergeCell ref="H307:J307"/>
    <mergeCell ref="E329:O329"/>
    <mergeCell ref="K188:N188"/>
    <mergeCell ref="D259:E259"/>
    <mergeCell ref="H294:J294"/>
    <mergeCell ref="F259:G259"/>
    <mergeCell ref="K253:N253"/>
    <mergeCell ref="B270:C270"/>
    <mergeCell ref="E393:O393"/>
    <mergeCell ref="K240:N240"/>
    <mergeCell ref="E331:O331"/>
    <mergeCell ref="D313:E313"/>
    <mergeCell ref="M26:N26"/>
    <mergeCell ref="F261:G261"/>
    <mergeCell ref="J179:M179"/>
    <mergeCell ref="G249:J249"/>
    <mergeCell ref="B238:D238"/>
    <mergeCell ref="A1:O1"/>
    <mergeCell ref="D303:E303"/>
    <mergeCell ref="D290:E290"/>
    <mergeCell ref="F290:G290"/>
    <mergeCell ref="A355:C355"/>
    <mergeCell ref="J174:M174"/>
    <mergeCell ref="G234:J234"/>
    <mergeCell ref="B240:D240"/>
    <mergeCell ref="A24:B24"/>
    <mergeCell ref="A330:C330"/>
    <mergeCell ref="A379:C379"/>
    <mergeCell ref="C24:D24"/>
    <mergeCell ref="A366:C366"/>
    <mergeCell ref="E24:F24"/>
    <mergeCell ref="E195:F195"/>
    <mergeCell ref="K292:M292"/>
    <mergeCell ref="A397:C397"/>
    <mergeCell ref="E382:O382"/>
    <mergeCell ref="A381:C381"/>
    <mergeCell ref="K307:M307"/>
    <mergeCell ref="E188:F188"/>
    <mergeCell ref="C26:D26"/>
    <mergeCell ref="H262:J262"/>
    <mergeCell ref="E253:F253"/>
    <mergeCell ref="B263:C263"/>
    <mergeCell ref="F285:G285"/>
    <mergeCell ref="E240:F240"/>
    <mergeCell ref="A374:C374"/>
    <mergeCell ref="K260:M260"/>
    <mergeCell ref="A361:C361"/>
    <mergeCell ref="E19:F19"/>
    <mergeCell ref="E190:F190"/>
    <mergeCell ref="K287:M287"/>
    <mergeCell ref="D316:E316"/>
    <mergeCell ref="K201:N201"/>
    <mergeCell ref="D272:E272"/>
    <mergeCell ref="F272:G272"/>
    <mergeCell ref="J21:L21"/>
    <mergeCell ref="D308:E308"/>
    <mergeCell ref="G25:I25"/>
    <mergeCell ref="A91:O91"/>
    <mergeCell ref="K289:M289"/>
    <mergeCell ref="A392:C392"/>
    <mergeCell ref="D274:E274"/>
    <mergeCell ref="D301:E301"/>
    <mergeCell ref="F274:G274"/>
    <mergeCell ref="M28:N28"/>
    <mergeCell ref="J23:L23"/>
    <mergeCell ref="A155:O155"/>
    <mergeCell ref="B197:D197"/>
    <mergeCell ref="B224:D224"/>
    <mergeCell ref="K213:N213"/>
    <mergeCell ref="B260:C260"/>
    <mergeCell ref="A350:C350"/>
    <mergeCell ref="H275:J275"/>
    <mergeCell ref="J175:M175"/>
    <mergeCell ref="A45:C45"/>
    <mergeCell ref="N177:O177"/>
    <mergeCell ref="A343:C343"/>
    <mergeCell ref="M32:N32"/>
    <mergeCell ref="G239:J239"/>
    <mergeCell ref="C37:D37"/>
    <mergeCell ref="F269:G269"/>
    <mergeCell ref="E37:F37"/>
    <mergeCell ref="K190:N190"/>
    <mergeCell ref="E208:F208"/>
    <mergeCell ref="E330:O330"/>
    <mergeCell ref="E401:O401"/>
    <mergeCell ref="E395:O395"/>
    <mergeCell ref="B309:C309"/>
    <mergeCell ref="A345:C345"/>
    <mergeCell ref="G38:I38"/>
    <mergeCell ref="K254:N254"/>
    <mergeCell ref="B271:C271"/>
    <mergeCell ref="E210:F210"/>
    <mergeCell ref="A46:C46"/>
    <mergeCell ref="F300:G300"/>
    <mergeCell ref="H316:J316"/>
    <mergeCell ref="E332:O332"/>
    <mergeCell ref="H310:J310"/>
    <mergeCell ref="K282:M282"/>
    <mergeCell ref="B250:D250"/>
    <mergeCell ref="B311:C311"/>
    <mergeCell ref="E203:F203"/>
    <mergeCell ref="A376:C376"/>
    <mergeCell ref="G242:J242"/>
    <mergeCell ref="A7:B7"/>
    <mergeCell ref="B230:D230"/>
    <mergeCell ref="K193:N193"/>
    <mergeCell ref="B254:D254"/>
    <mergeCell ref="G208:J208"/>
    <mergeCell ref="E398:O398"/>
    <mergeCell ref="A380:C380"/>
    <mergeCell ref="G244:J244"/>
    <mergeCell ref="D306:E306"/>
    <mergeCell ref="A371:C371"/>
    <mergeCell ref="A106:O106"/>
    <mergeCell ref="G194:J194"/>
    <mergeCell ref="A81:O81"/>
    <mergeCell ref="H288:J288"/>
    <mergeCell ref="G237:J237"/>
    <mergeCell ref="A382:C382"/>
    <mergeCell ref="K259:M259"/>
    <mergeCell ref="C27:D27"/>
    <mergeCell ref="H263:J263"/>
    <mergeCell ref="E27:F27"/>
    <mergeCell ref="A173:C173"/>
    <mergeCell ref="E350:O350"/>
    <mergeCell ref="K209:N209"/>
    <mergeCell ref="G245:J245"/>
    <mergeCell ref="E325:O325"/>
    <mergeCell ref="K203:N203"/>
    <mergeCell ref="B316:C316"/>
    <mergeCell ref="K310:M310"/>
    <mergeCell ref="J29:L29"/>
    <mergeCell ref="H265:J265"/>
    <mergeCell ref="E196:F196"/>
    <mergeCell ref="G189:J189"/>
    <mergeCell ref="B266:C266"/>
    <mergeCell ref="F293:G293"/>
    <mergeCell ref="E389:O389"/>
    <mergeCell ref="D260:E260"/>
    <mergeCell ref="E327:O327"/>
    <mergeCell ref="D309:E309"/>
    <mergeCell ref="M19:N19"/>
    <mergeCell ref="E22:F22"/>
    <mergeCell ref="K186:N186"/>
    <mergeCell ref="E193:F193"/>
    <mergeCell ref="E345:O345"/>
    <mergeCell ref="E198:F198"/>
    <mergeCell ref="B268:C268"/>
    <mergeCell ref="K204:N204"/>
    <mergeCell ref="E391:O391"/>
    <mergeCell ref="F275:G275"/>
    <mergeCell ref="G207:J207"/>
    <mergeCell ref="J24:L24"/>
    <mergeCell ref="D311:E311"/>
    <mergeCell ref="A172:O172"/>
    <mergeCell ref="G28:I28"/>
    <mergeCell ref="B225:D225"/>
    <mergeCell ref="B261:C261"/>
    <mergeCell ref="D261:E261"/>
    <mergeCell ref="A351:C351"/>
    <mergeCell ref="N174:O174"/>
    <mergeCell ref="F277:G277"/>
    <mergeCell ref="F304:G304"/>
    <mergeCell ref="J26:L26"/>
    <mergeCell ref="G30:I30"/>
    <mergeCell ref="A163:O163"/>
    <mergeCell ref="A393:C393"/>
    <mergeCell ref="A331:C331"/>
    <mergeCell ref="F276:G276"/>
    <mergeCell ref="K279:M279"/>
    <mergeCell ref="E38:F38"/>
    <mergeCell ref="A2:O2"/>
    <mergeCell ref="E209:F209"/>
    <mergeCell ref="F306:G306"/>
    <mergeCell ref="H293:J293"/>
    <mergeCell ref="B187:D187"/>
    <mergeCell ref="A395:C395"/>
    <mergeCell ref="E211:F211"/>
    <mergeCell ref="K308:M308"/>
    <mergeCell ref="C9:J9"/>
    <mergeCell ref="A332:C332"/>
    <mergeCell ref="E338:O338"/>
    <mergeCell ref="E186:F186"/>
    <mergeCell ref="A26:B26"/>
    <mergeCell ref="K12:O12"/>
    <mergeCell ref="D42:I42"/>
    <mergeCell ref="B251:D251"/>
    <mergeCell ref="B189:D189"/>
    <mergeCell ref="K274:M274"/>
    <mergeCell ref="B216:D216"/>
    <mergeCell ref="B279:C279"/>
    <mergeCell ref="K298:M298"/>
    <mergeCell ref="F303:G303"/>
    <mergeCell ref="B188:D188"/>
    <mergeCell ref="D50:I50"/>
    <mergeCell ref="G191:J191"/>
    <mergeCell ref="K14:O14"/>
    <mergeCell ref="D44:I44"/>
    <mergeCell ref="A127:O127"/>
    <mergeCell ref="A8:B8"/>
    <mergeCell ref="K285:M285"/>
    <mergeCell ref="B218:D218"/>
    <mergeCell ref="E340:O340"/>
    <mergeCell ref="A114:O114"/>
    <mergeCell ref="M24:N24"/>
    <mergeCell ref="B281:C281"/>
    <mergeCell ref="B193:D193"/>
    <mergeCell ref="K7:O7"/>
    <mergeCell ref="F288:G288"/>
    <mergeCell ref="G220:J220"/>
    <mergeCell ref="J37:L37"/>
    <mergeCell ref="A10:B10"/>
    <mergeCell ref="H271:J271"/>
    <mergeCell ref="G195:J195"/>
    <mergeCell ref="K211:N211"/>
    <mergeCell ref="F271:G271"/>
    <mergeCell ref="E351:O351"/>
    <mergeCell ref="K301:M301"/>
    <mergeCell ref="G197:J197"/>
    <mergeCell ref="C6:J6"/>
    <mergeCell ref="D179:I179"/>
    <mergeCell ref="B292:C292"/>
    <mergeCell ref="K311:M311"/>
    <mergeCell ref="H266:J266"/>
    <mergeCell ref="G34:I34"/>
    <mergeCell ref="K267:M267"/>
    <mergeCell ref="E353:O353"/>
    <mergeCell ref="H302:J302"/>
    <mergeCell ref="K303:M303"/>
    <mergeCell ref="B307:C307"/>
    <mergeCell ref="K212:N212"/>
    <mergeCell ref="E328:O328"/>
    <mergeCell ref="K206:N206"/>
    <mergeCell ref="E224:F224"/>
    <mergeCell ref="F283:G283"/>
    <mergeCell ref="B294:C294"/>
    <mergeCell ref="J32:L32"/>
    <mergeCell ref="A47:C47"/>
    <mergeCell ref="H268:J268"/>
    <mergeCell ref="B211:D211"/>
    <mergeCell ref="K269:M269"/>
    <mergeCell ref="K296:M296"/>
    <mergeCell ref="D180:I180"/>
    <mergeCell ref="F298:G298"/>
    <mergeCell ref="K214:N214"/>
    <mergeCell ref="K235:N235"/>
    <mergeCell ref="G29:I29"/>
    <mergeCell ref="F291:G291"/>
    <mergeCell ref="A401:C401"/>
    <mergeCell ref="A21:B21"/>
    <mergeCell ref="C21:D21"/>
    <mergeCell ref="A115:O115"/>
    <mergeCell ref="M37:N37"/>
    <mergeCell ref="B212:D212"/>
    <mergeCell ref="G31:I31"/>
    <mergeCell ref="B206:D206"/>
    <mergeCell ref="A32:B32"/>
    <mergeCell ref="D264:E264"/>
    <mergeCell ref="J41:N41"/>
    <mergeCell ref="F264:G264"/>
    <mergeCell ref="A23:B23"/>
    <mergeCell ref="K280:M280"/>
    <mergeCell ref="H284:J284"/>
    <mergeCell ref="C23:D23"/>
    <mergeCell ref="A182:C182"/>
    <mergeCell ref="K295:M295"/>
    <mergeCell ref="K266:M266"/>
    <mergeCell ref="E346:O346"/>
    <mergeCell ref="K224:N224"/>
    <mergeCell ref="A396:C396"/>
    <mergeCell ref="J43:N43"/>
    <mergeCell ref="M38:N38"/>
    <mergeCell ref="E212:F212"/>
    <mergeCell ref="H286:J286"/>
    <mergeCell ref="K309:M309"/>
    <mergeCell ref="G210:J210"/>
    <mergeCell ref="K13:O13"/>
    <mergeCell ref="E348:O348"/>
    <mergeCell ref="B305:C305"/>
    <mergeCell ref="A398:C398"/>
    <mergeCell ref="H279:J279"/>
    <mergeCell ref="E214:F214"/>
    <mergeCell ref="B280:C280"/>
    <mergeCell ref="A177:C177"/>
    <mergeCell ref="D280:E280"/>
    <mergeCell ref="G192:J192"/>
    <mergeCell ref="K225:N225"/>
    <mergeCell ref="A335:C335"/>
    <mergeCell ref="E341:O341"/>
    <mergeCell ref="F296:G296"/>
    <mergeCell ref="B295:C295"/>
    <mergeCell ref="K200:N200"/>
    <mergeCell ref="H281:J281"/>
    <mergeCell ref="B282:C282"/>
    <mergeCell ref="J20:L20"/>
    <mergeCell ref="D282:E282"/>
    <mergeCell ref="A136:O136"/>
    <mergeCell ref="B196:D196"/>
    <mergeCell ref="D47:I47"/>
    <mergeCell ref="E372:O372"/>
    <mergeCell ref="A322:C322"/>
    <mergeCell ref="K202:N202"/>
    <mergeCell ref="D275:E275"/>
    <mergeCell ref="H312:J312"/>
    <mergeCell ref="J22:L22"/>
    <mergeCell ref="G236:J236"/>
    <mergeCell ref="F297:G297"/>
    <mergeCell ref="E230:F230"/>
    <mergeCell ref="E374:O374"/>
    <mergeCell ref="A324:C324"/>
    <mergeCell ref="A180:C180"/>
    <mergeCell ref="K231:N231"/>
    <mergeCell ref="D277:E277"/>
    <mergeCell ref="F302:G302"/>
    <mergeCell ref="C12:J12"/>
    <mergeCell ref="E367:O367"/>
    <mergeCell ref="E232:F232"/>
    <mergeCell ref="K317:M317"/>
    <mergeCell ref="E354:O354"/>
    <mergeCell ref="E207:F207"/>
    <mergeCell ref="K304:M304"/>
    <mergeCell ref="A353:C353"/>
    <mergeCell ref="B308:C308"/>
    <mergeCell ref="B237:D237"/>
    <mergeCell ref="E225:F225"/>
    <mergeCell ref="D182:I182"/>
    <mergeCell ref="A328:C328"/>
    <mergeCell ref="E369:O369"/>
    <mergeCell ref="A48:C48"/>
    <mergeCell ref="B300:C300"/>
    <mergeCell ref="E356:O356"/>
    <mergeCell ref="B209:D209"/>
    <mergeCell ref="K306:M306"/>
    <mergeCell ref="B310:C310"/>
    <mergeCell ref="A29:B29"/>
    <mergeCell ref="C7:J7"/>
    <mergeCell ref="D46:I46"/>
    <mergeCell ref="G187:J187"/>
    <mergeCell ref="E227:F227"/>
    <mergeCell ref="B214:D214"/>
    <mergeCell ref="G205:J205"/>
    <mergeCell ref="A31:B31"/>
    <mergeCell ref="G216:J216"/>
    <mergeCell ref="D295:E295"/>
    <mergeCell ref="B253:D253"/>
    <mergeCell ref="G188:J188"/>
    <mergeCell ref="D41:I41"/>
    <mergeCell ref="G218:J218"/>
    <mergeCell ref="J35:L35"/>
    <mergeCell ref="E347:O347"/>
    <mergeCell ref="E322:O322"/>
    <mergeCell ref="H300:J300"/>
    <mergeCell ref="A55:O55"/>
    <mergeCell ref="D43:I43"/>
    <mergeCell ref="H287:J287"/>
    <mergeCell ref="G211:J211"/>
    <mergeCell ref="K288:M288"/>
    <mergeCell ref="K246:N246"/>
    <mergeCell ref="E362:O362"/>
    <mergeCell ref="K233:N233"/>
    <mergeCell ref="E324:O324"/>
    <mergeCell ref="E349:O349"/>
    <mergeCell ref="K227:N227"/>
    <mergeCell ref="F287:G287"/>
    <mergeCell ref="H289:J289"/>
    <mergeCell ref="N180:O180"/>
    <mergeCell ref="E220:F220"/>
    <mergeCell ref="B290:C290"/>
    <mergeCell ref="E364:O364"/>
    <mergeCell ref="A43:C43"/>
    <mergeCell ref="K226:N226"/>
    <mergeCell ref="H301:J301"/>
    <mergeCell ref="B204:D204"/>
    <mergeCell ref="B198:D198"/>
    <mergeCell ref="E363:O363"/>
    <mergeCell ref="B283:C283"/>
    <mergeCell ref="K241:N241"/>
    <mergeCell ref="N182:O182"/>
    <mergeCell ref="E222:F222"/>
    <mergeCell ref="D283:E283"/>
    <mergeCell ref="F312:G312"/>
    <mergeCell ref="K228:N228"/>
    <mergeCell ref="H303:J303"/>
    <mergeCell ref="H290:J290"/>
    <mergeCell ref="B233:D233"/>
    <mergeCell ref="K252:N252"/>
    <mergeCell ref="A258:O258"/>
    <mergeCell ref="B227:D227"/>
    <mergeCell ref="B298:C298"/>
    <mergeCell ref="B285:C285"/>
    <mergeCell ref="D285:E285"/>
    <mergeCell ref="J50:N50"/>
    <mergeCell ref="B199:D199"/>
    <mergeCell ref="E375:O375"/>
    <mergeCell ref="G229:J229"/>
    <mergeCell ref="A325:C325"/>
    <mergeCell ref="A19:B19"/>
    <mergeCell ref="C19:D19"/>
    <mergeCell ref="F313:G313"/>
    <mergeCell ref="H315:J315"/>
    <mergeCell ref="E246:F246"/>
    <mergeCell ref="F278:G278"/>
    <mergeCell ref="K281:M281"/>
    <mergeCell ref="C13:J13"/>
    <mergeCell ref="E233:F233"/>
    <mergeCell ref="B228:D228"/>
    <mergeCell ref="A367:C367"/>
    <mergeCell ref="E377:O377"/>
    <mergeCell ref="A354:C354"/>
    <mergeCell ref="E248:F248"/>
    <mergeCell ref="E235:F235"/>
    <mergeCell ref="K264:M264"/>
    <mergeCell ref="B301:C301"/>
    <mergeCell ref="A369:C369"/>
    <mergeCell ref="E368:O368"/>
    <mergeCell ref="E247:F247"/>
    <mergeCell ref="G213:J213"/>
    <mergeCell ref="A356:C356"/>
    <mergeCell ref="K221:N221"/>
    <mergeCell ref="D267:E267"/>
    <mergeCell ref="K215:N215"/>
    <mergeCell ref="F267:G267"/>
    <mergeCell ref="H283:J283"/>
    <mergeCell ref="B303:C303"/>
    <mergeCell ref="G255:J255"/>
    <mergeCell ref="H277:J277"/>
    <mergeCell ref="B217:D217"/>
    <mergeCell ref="K236:N236"/>
    <mergeCell ref="C10:J10"/>
    <mergeCell ref="A37:B37"/>
    <mergeCell ref="K223:N223"/>
    <mergeCell ref="D269:E269"/>
    <mergeCell ref="A126:O126"/>
    <mergeCell ref="D296:E296"/>
    <mergeCell ref="J180:M180"/>
    <mergeCell ref="H308:J308"/>
    <mergeCell ref="D51:I51"/>
    <mergeCell ref="F262:G262"/>
    <mergeCell ref="E201:F201"/>
    <mergeCell ref="G219:J219"/>
    <mergeCell ref="D298:E298"/>
    <mergeCell ref="A372:C372"/>
    <mergeCell ref="K248:N248"/>
    <mergeCell ref="D273:E273"/>
    <mergeCell ref="E388:O388"/>
    <mergeCell ref="F273:G273"/>
    <mergeCell ref="M27:N27"/>
    <mergeCell ref="A338:C338"/>
    <mergeCell ref="K247:N247"/>
    <mergeCell ref="A51:C51"/>
    <mergeCell ref="H309:J309"/>
    <mergeCell ref="E399:O399"/>
    <mergeCell ref="A349:C349"/>
    <mergeCell ref="E390:O390"/>
    <mergeCell ref="A340:C340"/>
    <mergeCell ref="E25:F25"/>
    <mergeCell ref="K249:N249"/>
    <mergeCell ref="E365:O365"/>
    <mergeCell ref="K243:N243"/>
    <mergeCell ref="H311:J311"/>
    <mergeCell ref="B306:C306"/>
    <mergeCell ref="B235:D235"/>
    <mergeCell ref="E223:F223"/>
    <mergeCell ref="E394:O394"/>
    <mergeCell ref="G201:J201"/>
    <mergeCell ref="N175:O175"/>
    <mergeCell ref="G250:J250"/>
    <mergeCell ref="J177:M177"/>
    <mergeCell ref="E254:F254"/>
    <mergeCell ref="B249:D249"/>
    <mergeCell ref="G203:J203"/>
    <mergeCell ref="B243:D243"/>
    <mergeCell ref="G230:J230"/>
    <mergeCell ref="C20:D20"/>
    <mergeCell ref="E20:F20"/>
    <mergeCell ref="E343:O343"/>
    <mergeCell ref="G238:J238"/>
    <mergeCell ref="K196:N196"/>
    <mergeCell ref="G232:J232"/>
    <mergeCell ref="A377:C377"/>
    <mergeCell ref="C22:D22"/>
    <mergeCell ref="E249:F249"/>
    <mergeCell ref="E320:O320"/>
    <mergeCell ref="E241:F241"/>
    <mergeCell ref="K198:N198"/>
    <mergeCell ref="H260:J260"/>
    <mergeCell ref="A362:C362"/>
    <mergeCell ref="E191:F191"/>
    <mergeCell ref="B317:C317"/>
    <mergeCell ref="G233:J233"/>
    <mergeCell ref="D317:E317"/>
    <mergeCell ref="E384:O384"/>
    <mergeCell ref="B304:C304"/>
    <mergeCell ref="E378:O378"/>
    <mergeCell ref="D304:E304"/>
    <mergeCell ref="G21:I21"/>
    <mergeCell ref="K237:N237"/>
    <mergeCell ref="N178:O178"/>
    <mergeCell ref="J182:M182"/>
    <mergeCell ref="A38:B38"/>
    <mergeCell ref="H299:J299"/>
    <mergeCell ref="C38:D38"/>
    <mergeCell ref="F270:G270"/>
    <mergeCell ref="J19:L19"/>
    <mergeCell ref="G23:I23"/>
    <mergeCell ref="B220:D220"/>
    <mergeCell ref="K239:N239"/>
    <mergeCell ref="B247:D247"/>
    <mergeCell ref="A359:C359"/>
    <mergeCell ref="E396:O396"/>
    <mergeCell ref="A346:C346"/>
    <mergeCell ref="K272:M272"/>
    <mergeCell ref="D299:E299"/>
    <mergeCell ref="F299:G299"/>
    <mergeCell ref="N173:O173"/>
    <mergeCell ref="A41:C41"/>
    <mergeCell ref="A388:C388"/>
    <mergeCell ref="K277:M277"/>
    <mergeCell ref="D314:E314"/>
    <mergeCell ref="C33:D33"/>
    <mergeCell ref="F265:G265"/>
    <mergeCell ref="E33:F33"/>
    <mergeCell ref="E204:F204"/>
    <mergeCell ref="F314:G314"/>
    <mergeCell ref="A375:C375"/>
    <mergeCell ref="K276:M276"/>
    <mergeCell ref="A341:C341"/>
    <mergeCell ref="A390:C390"/>
    <mergeCell ref="A6:B6"/>
    <mergeCell ref="G226:J226"/>
    <mergeCell ref="C35:D35"/>
    <mergeCell ref="E231:F231"/>
    <mergeCell ref="E35:F35"/>
    <mergeCell ref="E206:F206"/>
    <mergeCell ref="G217:J217"/>
    <mergeCell ref="B272:C272"/>
    <mergeCell ref="K242:N242"/>
    <mergeCell ref="B259:C259"/>
    <mergeCell ref="K278:M278"/>
    <mergeCell ref="D288:E288"/>
    <mergeCell ref="B246:D246"/>
    <mergeCell ref="A71:O71"/>
    <mergeCell ref="E333:O333"/>
    <mergeCell ref="E28:F28"/>
    <mergeCell ref="B274:C274"/>
    <mergeCell ref="G251:J251"/>
    <mergeCell ref="N176:O176"/>
    <mergeCell ref="E245:F245"/>
    <mergeCell ref="A184:O184"/>
    <mergeCell ref="A147:O147"/>
    <mergeCell ref="M30:N30"/>
    <mergeCell ref="E30:F30"/>
    <mergeCell ref="B267:C267"/>
    <mergeCell ref="D292:E292"/>
    <mergeCell ref="G253:J253"/>
    <mergeCell ref="J176:M176"/>
    <mergeCell ref="G240:J240"/>
    <mergeCell ref="B269:C269"/>
    <mergeCell ref="G190:J190"/>
    <mergeCell ref="D294:E294"/>
    <mergeCell ref="B252:D252"/>
    <mergeCell ref="F294:G294"/>
    <mergeCell ref="J178:M178"/>
    <mergeCell ref="E359:O359"/>
    <mergeCell ref="H259:J259"/>
    <mergeCell ref="G254:J254"/>
    <mergeCell ref="E199:F199"/>
    <mergeCell ref="E255:F255"/>
    <mergeCell ref="G248:J248"/>
    <mergeCell ref="F260:G260"/>
    <mergeCell ref="E321:O321"/>
    <mergeCell ref="E242:F242"/>
    <mergeCell ref="K199:N199"/>
    <mergeCell ref="E217:F217"/>
    <mergeCell ref="G235:J235"/>
    <mergeCell ref="E386:O386"/>
    <mergeCell ref="E392:O392"/>
    <mergeCell ref="H261:J261"/>
    <mergeCell ref="K262:M262"/>
    <mergeCell ref="E192:F192"/>
    <mergeCell ref="E21:F21"/>
    <mergeCell ref="K245:N245"/>
    <mergeCell ref="A363:C363"/>
    <mergeCell ref="F289:G289"/>
    <mergeCell ref="J173:M173"/>
    <mergeCell ref="K207:N207"/>
    <mergeCell ref="E323:O323"/>
    <mergeCell ref="A378:C378"/>
    <mergeCell ref="J27:L27"/>
    <mergeCell ref="A365:C365"/>
    <mergeCell ref="E23:F23"/>
    <mergeCell ref="E194:F194"/>
    <mergeCell ref="B264:C264"/>
    <mergeCell ref="K291:M291"/>
    <mergeCell ref="E387:O387"/>
    <mergeCell ref="A3:O3"/>
    <mergeCell ref="B234:D234"/>
    <mergeCell ref="A179:C179"/>
    <mergeCell ref="G24:I24"/>
    <mergeCell ref="J25:L25"/>
    <mergeCell ref="B186:D186"/>
    <mergeCell ref="B262:C262"/>
    <mergeCell ref="K268:M268"/>
    <mergeCell ref="A5:O5"/>
    <mergeCell ref="G26:I26"/>
    <mergeCell ref="J49:N49"/>
    <mergeCell ref="A27:B27"/>
    <mergeCell ref="A389:C389"/>
    <mergeCell ref="K217:N217"/>
    <mergeCell ref="A327:C327"/>
    <mergeCell ref="K275:M275"/>
    <mergeCell ref="F315:G315"/>
    <mergeCell ref="E34:F34"/>
    <mergeCell ref="M25:N25"/>
    <mergeCell ref="K192:N192"/>
    <mergeCell ref="A391:C391"/>
    <mergeCell ref="E397:O397"/>
    <mergeCell ref="C36:D36"/>
    <mergeCell ref="M36:N36"/>
    <mergeCell ref="H272:J272"/>
    <mergeCell ref="M33:N33"/>
    <mergeCell ref="E36:F36"/>
    <mergeCell ref="K194:N194"/>
    <mergeCell ref="E334:O334"/>
    <mergeCell ref="A22:B22"/>
    <mergeCell ref="J38:L38"/>
    <mergeCell ref="H274:J274"/>
    <mergeCell ref="B275:C275"/>
    <mergeCell ref="E336:O336"/>
    <mergeCell ref="K10:O10"/>
    <mergeCell ref="A9:B9"/>
    <mergeCell ref="K195:N195"/>
    <mergeCell ref="G231:J231"/>
    <mergeCell ref="B277:C277"/>
    <mergeCell ref="E400:O400"/>
    <mergeCell ref="F284:G284"/>
    <mergeCell ref="A16:O16"/>
    <mergeCell ref="G37:I37"/>
    <mergeCell ref="A11:B11"/>
    <mergeCell ref="D305:E305"/>
    <mergeCell ref="D270:E270"/>
    <mergeCell ref="F292:G292"/>
    <mergeCell ref="F286:G286"/>
    <mergeCell ref="A18:O18"/>
    <mergeCell ref="D310:E310"/>
    <mergeCell ref="K270:M270"/>
    <mergeCell ref="F310:G310"/>
    <mergeCell ref="A175:C175"/>
    <mergeCell ref="G193:J193"/>
    <mergeCell ref="E200:F200"/>
    <mergeCell ref="K297:M297"/>
    <mergeCell ref="J181:M181"/>
    <mergeCell ref="G247:J247"/>
    <mergeCell ref="A321:C321"/>
    <mergeCell ref="K205:N205"/>
    <mergeCell ref="K263:M263"/>
    <mergeCell ref="K312:M312"/>
    <mergeCell ref="H267:J267"/>
    <mergeCell ref="A373:C373"/>
    <mergeCell ref="E202:F202"/>
    <mergeCell ref="K299:M299"/>
    <mergeCell ref="K293:M293"/>
    <mergeCell ref="A323:C323"/>
    <mergeCell ref="D177:I177"/>
    <mergeCell ref="H264:J264"/>
    <mergeCell ref="G32:I32"/>
    <mergeCell ref="M21:N21"/>
    <mergeCell ref="J33:L33"/>
    <mergeCell ref="B207:D207"/>
    <mergeCell ref="K265:M265"/>
    <mergeCell ref="H269:J269"/>
    <mergeCell ref="K314:M314"/>
    <mergeCell ref="K8:O8"/>
    <mergeCell ref="B288:C288"/>
    <mergeCell ref="G209:J209"/>
    <mergeCell ref="E26:F26"/>
    <mergeCell ref="E197:F197"/>
    <mergeCell ref="K294:M294"/>
    <mergeCell ref="D178:I178"/>
    <mergeCell ref="K208:N208"/>
    <mergeCell ref="D279:E279"/>
    <mergeCell ref="F279:G279"/>
    <mergeCell ref="G27:I27"/>
    <mergeCell ref="J28:L28"/>
    <mergeCell ref="B202:D202"/>
    <mergeCell ref="B265:C265"/>
    <mergeCell ref="A399:C399"/>
    <mergeCell ref="D265:E265"/>
    <mergeCell ref="J42:N42"/>
    <mergeCell ref="H280:J280"/>
    <mergeCell ref="G204:J204"/>
    <mergeCell ref="F281:G281"/>
    <mergeCell ref="J30:L30"/>
    <mergeCell ref="E342:O342"/>
    <mergeCell ref="K220:N220"/>
    <mergeCell ref="H295:J295"/>
    <mergeCell ref="F280:G280"/>
    <mergeCell ref="M34:N34"/>
    <mergeCell ref="J44:N44"/>
    <mergeCell ref="H282:J282"/>
    <mergeCell ref="E213:F213"/>
    <mergeCell ref="G206:J206"/>
    <mergeCell ref="E357:O357"/>
    <mergeCell ref="A164:O164"/>
    <mergeCell ref="E344:O344"/>
    <mergeCell ref="A394:C394"/>
    <mergeCell ref="G252:J252"/>
    <mergeCell ref="D48:I48"/>
    <mergeCell ref="B191:D191"/>
    <mergeCell ref="K222:N222"/>
    <mergeCell ref="D175:I175"/>
    <mergeCell ref="B276:C276"/>
    <mergeCell ref="K234:N234"/>
    <mergeCell ref="K197:N197"/>
    <mergeCell ref="E215:F215"/>
    <mergeCell ref="D276:E276"/>
    <mergeCell ref="F305:G305"/>
    <mergeCell ref="F309:G309"/>
    <mergeCell ref="H296:J296"/>
    <mergeCell ref="E337:O337"/>
    <mergeCell ref="B255:D255"/>
    <mergeCell ref="B226:D226"/>
    <mergeCell ref="E373:O373"/>
    <mergeCell ref="B278:C278"/>
    <mergeCell ref="E352:O352"/>
    <mergeCell ref="D278:E278"/>
    <mergeCell ref="G20:I20"/>
    <mergeCell ref="F307:G307"/>
    <mergeCell ref="E339:O339"/>
    <mergeCell ref="B192:D192"/>
    <mergeCell ref="A17:O17"/>
    <mergeCell ref="D176:I176"/>
    <mergeCell ref="A12:B12"/>
    <mergeCell ref="A53:O53"/>
    <mergeCell ref="B222:D222"/>
    <mergeCell ref="A348:C348"/>
    <mergeCell ref="G22:I22"/>
    <mergeCell ref="E226:F226"/>
    <mergeCell ref="B221:D221"/>
    <mergeCell ref="E370:O370"/>
    <mergeCell ref="G224:J224"/>
    <mergeCell ref="A320:C320"/>
    <mergeCell ref="A14:B14"/>
    <mergeCell ref="A176:C176"/>
    <mergeCell ref="F311:G311"/>
    <mergeCell ref="F308:G308"/>
    <mergeCell ref="A347:C347"/>
    <mergeCell ref="G199:J199"/>
    <mergeCell ref="C8:J8"/>
    <mergeCell ref="J47:N47"/>
    <mergeCell ref="G186:J186"/>
    <mergeCell ref="E228:F228"/>
    <mergeCell ref="K313:M313"/>
    <mergeCell ref="A387:C387"/>
    <mergeCell ref="A319:O319"/>
    <mergeCell ref="C32:D32"/>
    <mergeCell ref="M29:N29"/>
    <mergeCell ref="E32:F32"/>
    <mergeCell ref="A178:C178"/>
    <mergeCell ref="M23:N23"/>
    <mergeCell ref="E355:O355"/>
    <mergeCell ref="E243:F243"/>
    <mergeCell ref="B296:C296"/>
    <mergeCell ref="H276:J276"/>
    <mergeCell ref="J34:L34"/>
    <mergeCell ref="K315:M315"/>
    <mergeCell ref="H270:J270"/>
    <mergeCell ref="K302:M302"/>
    <mergeCell ref="B248:D248"/>
    <mergeCell ref="D271:E271"/>
    <mergeCell ref="D49:I49"/>
    <mergeCell ref="K216:N216"/>
    <mergeCell ref="D262:E262"/>
    <mergeCell ref="K210:N210"/>
    <mergeCell ref="J36:L36"/>
    <mergeCell ref="B273:C273"/>
    <mergeCell ref="B291:C291"/>
    <mergeCell ref="G212:J212"/>
    <mergeCell ref="D291:E291"/>
    <mergeCell ref="G33:I33"/>
    <mergeCell ref="F316:G316"/>
    <mergeCell ref="B205:D205"/>
    <mergeCell ref="F301:G301"/>
    <mergeCell ref="D266:E266"/>
    <mergeCell ref="D181:I181"/>
    <mergeCell ref="F295:G295"/>
    <mergeCell ref="M20:N20"/>
    <mergeCell ref="A25:B25"/>
    <mergeCell ref="C25:D25"/>
    <mergeCell ref="F282:G282"/>
    <mergeCell ref="E221:F221"/>
    <mergeCell ref="A185:O185"/>
    <mergeCell ref="J31:L31"/>
    <mergeCell ref="G214:J214"/>
    <mergeCell ref="B293:C293"/>
    <mergeCell ref="G35:I35"/>
    <mergeCell ref="D293:E293"/>
    <mergeCell ref="A342:C342"/>
    <mergeCell ref="D268:E268"/>
    <mergeCell ref="A336:C336"/>
    <mergeCell ref="J45:N45"/>
    <mergeCell ref="F268:G268"/>
    <mergeCell ref="M22:N22"/>
    <mergeCell ref="K284:M284"/>
    <mergeCell ref="A333:C333"/>
    <mergeCell ref="N181:O181"/>
    <mergeCell ref="E383:O383"/>
    <mergeCell ref="H298:J298"/>
    <mergeCell ref="A344:C344"/>
    <mergeCell ref="A400:C400"/>
    <mergeCell ref="E385:O385"/>
    <mergeCell ref="H285:J285"/>
    <mergeCell ref="E216:F216"/>
    <mergeCell ref="K244:N244"/>
    <mergeCell ref="E360:O360"/>
    <mergeCell ref="A337:C337"/>
    <mergeCell ref="B200:D200"/>
    <mergeCell ref="K283:M283"/>
    <mergeCell ref="B194:D194"/>
    <mergeCell ref="A20:B20"/>
    <mergeCell ref="E218:F218"/>
    <mergeCell ref="B284:C284"/>
    <mergeCell ref="J51:N51"/>
    <mergeCell ref="G196:J196"/>
    <mergeCell ref="K229:N229"/>
    <mergeCell ref="B236:D236"/>
    <mergeCell ref="K290:M290"/>
    <mergeCell ref="A339:C339"/>
    <mergeCell ref="A13:B13"/>
    <mergeCell ref="B223:D223"/>
    <mergeCell ref="K6:O6"/>
    <mergeCell ref="B286:C286"/>
    <mergeCell ref="D286:E286"/>
    <mergeCell ref="B195:D195"/>
  </mergeCells>
  <hyperlinks>
    <hyperlink xmlns:r="http://schemas.openxmlformats.org/officeDocument/2006/relationships" ref="P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8.xml><?xml version="1.0" encoding="utf-8"?>
<worksheet xmlns="http://schemas.openxmlformats.org/spreadsheetml/2006/main">
  <sheetPr>
    <tabColor rgb="00C55A11"/>
    <outlinePr summaryBelow="1" summaryRight="1"/>
    <pageSetUpPr fitToPage="1"/>
  </sheetPr>
  <dimension ref="A1:H30"/>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2" customWidth="1" min="3" max="3"/>
    <col width="12" customWidth="1" min="4" max="4"/>
    <col width="12" customWidth="1" min="5" max="5"/>
    <col width="12" customWidth="1" min="6" max="6"/>
    <col width="40" customWidth="1" min="7" max="7"/>
    <col width="13" customWidth="1" min="8" max="8"/>
  </cols>
  <sheetData>
    <row r="1" ht="34" customHeight="1">
      <c r="A1" s="1" t="inlineStr">
        <is>
          <t>Org health — spans, layers and overlap, with the people behind them</t>
        </is>
      </c>
      <c r="H1" s="241" t="inlineStr">
        <is>
          <t>◂ Contents</t>
        </is>
      </c>
    </row>
    <row r="2" ht="32" customHeight="1">
      <c r="A2" s="3" t="inlineStr">
        <is>
          <t>Sheet 12 · Managers with very small or very large teams, the deepest reporting chains, and the sub-family overlap across businesses. Counts and charts: Leadership Dashboard, sheet 0b.</t>
        </is>
      </c>
    </row>
    <row r="3">
      <c r="A3" s="4" t="inlineStr">
        <is>
          <t>IRIS · Job Architecture &amp; Job Design · Final v1.12 · October 2026 · Internal — Confidential</t>
        </is>
      </c>
    </row>
    <row r="4"/>
    <row r="5" ht="20" customHeight="1">
      <c r="A5" s="6" t="inlineStr">
        <is>
          <t>Managers with 2 or fewer, or 10 or more, direct reports — 2</t>
        </is>
      </c>
    </row>
    <row r="6" ht="28" customHeight="1">
      <c r="A6" s="12" t="inlineStr">
        <is>
          <t>Manager</t>
        </is>
      </c>
      <c r="B6" s="12" t="inlineStr">
        <is>
          <t>Business</t>
        </is>
      </c>
      <c r="C6" s="12" t="inlineStr">
        <is>
          <t>Department</t>
        </is>
      </c>
      <c r="D6" s="12" t="inlineStr">
        <is>
          <t>Level</t>
        </is>
      </c>
      <c r="E6" s="12" t="inlineStr">
        <is>
          <t>Direct reports</t>
        </is>
      </c>
      <c r="F6" s="12" t="inlineStr">
        <is>
          <t>Layer</t>
        </is>
      </c>
      <c r="G6" s="12" t="inlineStr">
        <is>
          <t>What to look at</t>
        </is>
      </c>
    </row>
    <row r="7" ht="28" customHeight="1">
      <c r="A7" s="13" t="inlineStr">
        <is>
          <t>Jignasha Sawla</t>
        </is>
      </c>
      <c r="B7" s="16" t="inlineStr">
        <is>
          <t>iDEAL</t>
        </is>
      </c>
      <c r="C7" s="16" t="inlineStr">
        <is>
          <t>Technology</t>
        </is>
      </c>
      <c r="D7" s="15" t="inlineStr">
        <is>
          <t>B1</t>
        </is>
      </c>
      <c r="E7" s="15" t="n">
        <v>1</v>
      </c>
      <c r="F7" s="15" t="n">
        <v>3</v>
      </c>
      <c r="G7" s="16" t="inlineStr">
        <is>
          <r>
            <rPr>
              <rFont val="Calibri"/>
              <b val="1"/>
              <sz val="10"/>
            </rPr>
            <t>Very small team:</t>
          </r>
          <r>
            <rPr>
              <rFont val="Calibri"/>
              <sz val="10"/>
            </rPr>
            <t xml:space="preserve"> merge with a neighbouring team or make a POD Lead role</t>
          </r>
        </is>
      </c>
    </row>
    <row r="8" ht="28" customHeight="1">
      <c r="A8" s="13" t="inlineStr">
        <is>
          <t>Phuzel Siddiqui</t>
        </is>
      </c>
      <c r="B8" s="16" t="inlineStr">
        <is>
          <t>iDEAL</t>
        </is>
      </c>
      <c r="C8" s="16" t="inlineStr">
        <is>
          <t>Technology</t>
        </is>
      </c>
      <c r="D8" s="15" t="inlineStr">
        <is>
          <t>B1</t>
        </is>
      </c>
      <c r="E8" s="15" t="n">
        <v>1</v>
      </c>
      <c r="F8" s="15" t="n">
        <v>3</v>
      </c>
      <c r="G8" s="16" t="inlineStr">
        <is>
          <r>
            <rPr>
              <rFont val="Calibri"/>
              <b val="1"/>
              <sz val="10"/>
            </rPr>
            <t>Very small team:</t>
          </r>
          <r>
            <rPr>
              <rFont val="Calibri"/>
              <sz val="10"/>
            </rPr>
            <t xml:space="preserve"> merge with a neighbouring team or make a POD Lead role</t>
          </r>
        </is>
      </c>
    </row>
    <row r="9" ht="15" customHeight="1"/>
    <row r="10" ht="20" customHeight="1">
      <c r="A10" s="6" t="inlineStr">
        <is>
          <t>People 8 or more layers from the top — 0</t>
        </is>
      </c>
    </row>
    <row r="11" ht="15" customHeight="1">
      <c r="A11" s="11" t="inlineStr">
        <is>
          <t>Check whether every layer above them is a real management step.</t>
        </is>
      </c>
    </row>
    <row r="12" ht="15" customHeight="1">
      <c r="A12" s="12" t="inlineStr">
        <is>
          <t>Person</t>
        </is>
      </c>
      <c r="B12" s="12" t="inlineStr">
        <is>
          <t>Business</t>
        </is>
      </c>
      <c r="C12" s="12" t="inlineStr">
        <is>
          <t>Department</t>
        </is>
      </c>
      <c r="D12" s="12" t="inlineStr">
        <is>
          <t>Level</t>
        </is>
      </c>
      <c r="E12" s="12" t="inlineStr">
        <is>
          <t>Layer</t>
        </is>
      </c>
      <c r="F12" s="12" t="inlineStr">
        <is>
          <t>Reporting manager</t>
        </is>
      </c>
      <c r="G12" s="209" t="n"/>
    </row>
    <row r="13" ht="15" customHeight="1"/>
    <row r="14" ht="20" customHeight="1">
      <c r="A14" s="6" t="inlineStr">
        <is>
          <t>Sub-family overlap across businesses · people</t>
        </is>
      </c>
    </row>
    <row r="15" ht="15" customHeight="1">
      <c r="A15" s="12" t="inlineStr">
        <is>
          <t>Sub-family · family</t>
        </is>
      </c>
      <c r="B15" s="12" t="inlineStr">
        <is>
          <t>CARBON</t>
        </is>
      </c>
      <c r="C15" s="12" t="inlineStr">
        <is>
          <t>iFile</t>
        </is>
      </c>
      <c r="D15" s="12" t="inlineStr">
        <is>
          <t>iDEAL</t>
        </is>
      </c>
      <c r="E15" s="12" t="inlineStr">
        <is>
          <t>Datatech</t>
        </is>
      </c>
      <c r="F15" s="12" t="inlineStr">
        <is>
          <t>Consume</t>
        </is>
      </c>
      <c r="G15" s="12" t="inlineStr">
        <is>
          <t>Corporate</t>
        </is>
      </c>
    </row>
    <row r="16" ht="41" customHeight="1">
      <c r="A16" s="13" t="inlineStr">
        <is>
          <t>Application &amp; Product Support · Customer Success &amp; Support</t>
        </is>
      </c>
      <c r="B16" s="15" t="n"/>
      <c r="C16" s="15" t="n"/>
      <c r="D16" s="15" t="n">
        <v>4</v>
      </c>
      <c r="E16" s="15" t="n"/>
      <c r="F16" s="15" t="n"/>
      <c r="G16" s="15" t="n"/>
    </row>
    <row r="17" ht="28" customHeight="1">
      <c r="A17" s="13" t="inlineStr">
        <is>
          <t>Backend Development · Engineering &amp; Development</t>
        </is>
      </c>
      <c r="B17" s="15" t="n"/>
      <c r="C17" s="15" t="n"/>
      <c r="D17" s="15" t="n">
        <v>9</v>
      </c>
      <c r="E17" s="15" t="n"/>
      <c r="F17" s="15" t="n"/>
      <c r="G17" s="15" t="n"/>
    </row>
    <row r="18" ht="41" customHeight="1">
      <c r="A18" s="13" t="inlineStr">
        <is>
          <t>Business &amp; Functional Leadership · Executive Leadership</t>
        </is>
      </c>
      <c r="B18" s="15" t="n"/>
      <c r="C18" s="15" t="n"/>
      <c r="D18" s="15" t="n">
        <v>1</v>
      </c>
      <c r="E18" s="15" t="n"/>
      <c r="F18" s="15" t="n"/>
      <c r="G18" s="15" t="n"/>
    </row>
    <row r="19" ht="28" customHeight="1">
      <c r="A19" s="13" t="inlineStr">
        <is>
          <t>Business Analysis · Business Analysis</t>
        </is>
      </c>
      <c r="B19" s="15" t="n"/>
      <c r="C19" s="15" t="n"/>
      <c r="D19" s="15" t="n">
        <v>13</v>
      </c>
      <c r="E19" s="15" t="n"/>
      <c r="F19" s="15" t="n"/>
      <c r="G19" s="15" t="n"/>
    </row>
    <row r="20" ht="28" customHeight="1">
      <c r="A20" s="13" t="inlineStr">
        <is>
          <t>Content Marketing · Marketing &amp; Communications</t>
        </is>
      </c>
      <c r="B20" s="15" t="n"/>
      <c r="C20" s="15" t="n"/>
      <c r="D20" s="15" t="n">
        <v>1</v>
      </c>
      <c r="E20" s="15" t="n"/>
      <c r="F20" s="15" t="n"/>
      <c r="G20" s="15" t="n"/>
    </row>
    <row r="21" ht="41" customHeight="1">
      <c r="A21" s="13" t="inlineStr">
        <is>
          <t>Data Engineering &amp; Database Development · Engineering &amp; Development</t>
        </is>
      </c>
      <c r="B21" s="15" t="n"/>
      <c r="C21" s="15" t="n"/>
      <c r="D21" s="15" t="n">
        <v>4</v>
      </c>
      <c r="E21" s="15" t="n"/>
      <c r="F21" s="15" t="n"/>
      <c r="G21" s="15" t="n"/>
    </row>
    <row r="22" ht="41" customHeight="1">
      <c r="A22" s="13" t="inlineStr">
        <is>
          <t>Enterprise Sales &amp; Account Management · Sales &amp; Business Development</t>
        </is>
      </c>
      <c r="B22" s="15" t="n"/>
      <c r="C22" s="15" t="n"/>
      <c r="D22" s="15" t="n">
        <v>2</v>
      </c>
      <c r="E22" s="15" t="n"/>
      <c r="F22" s="15" t="n"/>
      <c r="G22" s="15" t="n"/>
    </row>
    <row r="23" ht="41" customHeight="1">
      <c r="A23" s="13" t="inlineStr">
        <is>
          <t>Full-Stack Development · Engineering &amp; Development</t>
        </is>
      </c>
      <c r="B23" s="15" t="n"/>
      <c r="C23" s="15" t="n"/>
      <c r="D23" s="15" t="n">
        <v>2</v>
      </c>
      <c r="E23" s="15" t="n"/>
      <c r="F23" s="15" t="n"/>
      <c r="G23" s="15" t="n"/>
    </row>
    <row r="24" ht="28" customHeight="1">
      <c r="A24" s="13" t="inlineStr">
        <is>
          <t>Functional &amp; Domain Testing · Quality Assurance</t>
        </is>
      </c>
      <c r="B24" s="15" t="n"/>
      <c r="C24" s="15" t="n"/>
      <c r="D24" s="15" t="n">
        <v>2</v>
      </c>
      <c r="E24" s="15" t="n"/>
      <c r="F24" s="15" t="n"/>
      <c r="G24" s="15" t="n"/>
    </row>
    <row r="25" ht="41" customHeight="1">
      <c r="A25" s="13" t="inlineStr">
        <is>
          <t>Partnerships &amp; Alliances · Sales &amp; Business Development</t>
        </is>
      </c>
      <c r="B25" s="15" t="n"/>
      <c r="C25" s="15" t="n"/>
      <c r="D25" s="15" t="n">
        <v>1</v>
      </c>
      <c r="E25" s="15" t="n"/>
      <c r="F25" s="15" t="n"/>
      <c r="G25" s="15" t="n"/>
    </row>
    <row r="26" ht="28" customHeight="1">
      <c r="A26" s="13" t="inlineStr">
        <is>
          <t>Product Management · Product Management</t>
        </is>
      </c>
      <c r="B26" s="15" t="n"/>
      <c r="C26" s="15" t="n"/>
      <c r="D26" s="15" t="n">
        <v>2</v>
      </c>
      <c r="E26" s="15" t="n"/>
      <c r="F26" s="15" t="n"/>
      <c r="G26" s="15" t="n"/>
    </row>
    <row r="27" ht="41" customHeight="1">
      <c r="A27" s="13" t="inlineStr">
        <is>
          <t>Product Operations &amp; Research · Product Management</t>
        </is>
      </c>
      <c r="B27" s="15" t="n"/>
      <c r="C27" s="15" t="n"/>
      <c r="D27" s="15" t="n">
        <v>1</v>
      </c>
      <c r="E27" s="15" t="n"/>
      <c r="F27" s="15" t="n"/>
      <c r="G27" s="15" t="n"/>
    </row>
    <row r="28" ht="41" customHeight="1">
      <c r="A28" s="13" t="inlineStr">
        <is>
          <t>Project &amp; Program Delivery · Project &amp; Program Management</t>
        </is>
      </c>
      <c r="B28" s="15" t="n"/>
      <c r="C28" s="15" t="n"/>
      <c r="D28" s="15" t="n">
        <v>1</v>
      </c>
      <c r="E28" s="15" t="n"/>
      <c r="F28" s="15" t="n"/>
      <c r="G28" s="15" t="n"/>
    </row>
    <row r="29" ht="41" customHeight="1">
      <c r="A29" s="13" t="inlineStr">
        <is>
          <t>Solution &amp; Technical Architecture · Engineering &amp; Architecture</t>
        </is>
      </c>
      <c r="B29" s="15" t="n"/>
      <c r="C29" s="15" t="n"/>
      <c r="D29" s="15" t="n">
        <v>1</v>
      </c>
      <c r="E29" s="15" t="n"/>
      <c r="F29" s="15" t="n"/>
      <c r="G29" s="15" t="n"/>
    </row>
    <row r="30" ht="28" customHeight="1">
      <c r="A30" s="13" t="inlineStr">
        <is>
          <t>Test Automation · Quality Assurance</t>
        </is>
      </c>
      <c r="B30" s="15" t="n"/>
      <c r="C30" s="15" t="n"/>
      <c r="D30" s="15" t="n">
        <v>3</v>
      </c>
      <c r="E30" s="15" t="n"/>
      <c r="F30" s="15" t="n"/>
      <c r="G30" s="15" t="n"/>
    </row>
  </sheetData>
  <mergeCells count="8">
    <mergeCell ref="A14:G14"/>
    <mergeCell ref="F12:G12"/>
    <mergeCell ref="A1:G1"/>
    <mergeCell ref="A3:G3"/>
    <mergeCell ref="A2:G2"/>
    <mergeCell ref="A11:G11"/>
    <mergeCell ref="A10:G10"/>
    <mergeCell ref="A5:G5"/>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2">
    <tablePart xmlns:r="http://schemas.openxmlformats.org/officeDocument/2006/relationships" r:id="rId2"/>
    <tablePart xmlns:r="http://schemas.openxmlformats.org/officeDocument/2006/relationships" r:id="rId3"/>
  </tableParts>
</worksheet>
</file>

<file path=xl/worksheets/sheet19.xml><?xml version="1.0" encoding="utf-8"?>
<worksheet xmlns="http://schemas.openxmlformats.org/spreadsheetml/2006/main">
  <sheetPr>
    <tabColor rgb="001F3864"/>
    <outlinePr summaryBelow="1" summaryRight="1"/>
    <pageSetUpPr fitToPage="1"/>
  </sheetPr>
  <dimension ref="A1:H45"/>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22" customWidth="1" min="3" max="3"/>
    <col width="10" customWidth="1" min="4" max="4"/>
    <col width="10" customWidth="1" min="5" max="5"/>
    <col width="12" customWidth="1" min="6" max="6"/>
    <col width="44" customWidth="1" min="7" max="7"/>
    <col width="13" customWidth="1" min="8" max="8"/>
  </cols>
  <sheetData>
    <row r="1" ht="34" customHeight="1">
      <c r="A1" s="1" t="inlineStr">
        <is>
          <t>Weight sensitivity — would the levels change if the weights moved?</t>
        </is>
      </c>
      <c r="H1" s="241" t="inlineStr">
        <is>
          <t>◂ Contents</t>
        </is>
      </c>
    </row>
    <row r="2" ht="32" customHeight="1">
      <c r="A2" s="3" t="inlineStr">
        <is>
          <t>Sheet 13 · Every placement re-run 30 times, each time moving 5 weight points from one factor to another in every weight set. 37 of 44 scored people keep their level in all 30 runs. Below: each test, then the people whose level moves in 5 or more tests.</t>
        </is>
      </c>
    </row>
    <row r="3">
      <c r="A3" s="4" t="inlineStr">
        <is>
          <t>IRIS · Job Architecture &amp; Job Design · Final v1.12 · October 2026 · Internal — Confidential</t>
        </is>
      </c>
    </row>
    <row r="4"/>
    <row r="5" ht="20" customHeight="1">
      <c r="A5" s="6" t="inlineStr">
        <is>
          <t>The 30 tests</t>
        </is>
      </c>
    </row>
    <row r="6" ht="15" customHeight="1">
      <c r="A6" s="12" t="inlineStr">
        <is>
          <t>Weight change · all sets</t>
        </is>
      </c>
      <c r="B6" s="12" t="inlineStr">
        <is>
          <t>Levels that change</t>
        </is>
      </c>
      <c r="C6" s="209" t="n"/>
      <c r="D6" s="12" t="inlineStr">
        <is>
          <t>Up</t>
        </is>
      </c>
      <c r="E6" s="12" t="inlineStr">
        <is>
          <t>Down</t>
        </is>
      </c>
      <c r="F6" s="12" t="inlineStr">
        <is>
          <t>Share</t>
        </is>
      </c>
      <c r="G6" s="209" t="n"/>
    </row>
    <row r="7" ht="28" customHeight="1">
      <c r="A7" s="16" t="inlineStr">
        <is>
          <t>−5 Complexity → +5 Autonomy</t>
        </is>
      </c>
      <c r="B7" s="15" t="n">
        <v>0</v>
      </c>
      <c r="C7" s="209" t="n"/>
      <c r="D7" s="15" t="n">
        <v>0</v>
      </c>
      <c r="E7" s="15" t="n">
        <v>0</v>
      </c>
      <c r="F7" s="15" t="inlineStr">
        <is>
          <t>0.0%</t>
        </is>
      </c>
      <c r="G7" s="209" t="n"/>
    </row>
    <row r="8" ht="28" customHeight="1">
      <c r="A8" s="16" t="inlineStr">
        <is>
          <t>−5 Complexity → +5 Accountability</t>
        </is>
      </c>
      <c r="B8" s="15" t="n">
        <v>0</v>
      </c>
      <c r="C8" s="209" t="n"/>
      <c r="D8" s="15" t="n">
        <v>0</v>
      </c>
      <c r="E8" s="15" t="n">
        <v>0</v>
      </c>
      <c r="F8" s="15" t="inlineStr">
        <is>
          <t>0.0%</t>
        </is>
      </c>
      <c r="G8" s="209" t="n"/>
    </row>
    <row r="9" ht="28" customHeight="1">
      <c r="A9" s="16" t="inlineStr">
        <is>
          <t>−5 Complexity → +5 Leadership</t>
        </is>
      </c>
      <c r="B9" s="15" t="n">
        <v>1</v>
      </c>
      <c r="C9" s="209" t="n"/>
      <c r="D9" s="15" t="n">
        <v>0</v>
      </c>
      <c r="E9" s="15" t="n">
        <v>1</v>
      </c>
      <c r="F9" s="15" t="inlineStr">
        <is>
          <t>2.3%</t>
        </is>
      </c>
      <c r="G9" s="209" t="n"/>
    </row>
    <row r="10" ht="28" customHeight="1">
      <c r="A10" s="16" t="inlineStr">
        <is>
          <t>−5 Complexity → +5 Experience</t>
        </is>
      </c>
      <c r="B10" s="15" t="n">
        <v>3</v>
      </c>
      <c r="C10" s="209" t="n"/>
      <c r="D10" s="15" t="n">
        <v>3</v>
      </c>
      <c r="E10" s="15" t="n">
        <v>0</v>
      </c>
      <c r="F10" s="15" t="inlineStr">
        <is>
          <t>6.8%</t>
        </is>
      </c>
      <c r="G10" s="209" t="n"/>
    </row>
    <row r="11" ht="28" customHeight="1">
      <c r="A11" s="16" t="inlineStr">
        <is>
          <t>−5 Complexity → +5 Business impact</t>
        </is>
      </c>
      <c r="B11" s="15" t="n">
        <v>0</v>
      </c>
      <c r="C11" s="209" t="n"/>
      <c r="D11" s="15" t="n">
        <v>0</v>
      </c>
      <c r="E11" s="15" t="n">
        <v>0</v>
      </c>
      <c r="F11" s="15" t="inlineStr">
        <is>
          <t>0.0%</t>
        </is>
      </c>
      <c r="G11" s="209" t="n"/>
    </row>
    <row r="12" ht="28" customHeight="1">
      <c r="A12" s="16" t="inlineStr">
        <is>
          <t>−5 Autonomy → +5 Complexity</t>
        </is>
      </c>
      <c r="B12" s="15" t="n">
        <v>0</v>
      </c>
      <c r="C12" s="209" t="n"/>
      <c r="D12" s="15" t="n">
        <v>0</v>
      </c>
      <c r="E12" s="15" t="n">
        <v>0</v>
      </c>
      <c r="F12" s="15" t="inlineStr">
        <is>
          <t>0.0%</t>
        </is>
      </c>
      <c r="G12" s="209" t="n"/>
    </row>
    <row r="13" ht="28" customHeight="1">
      <c r="A13" s="16" t="inlineStr">
        <is>
          <t>−5 Autonomy → +5 Accountability</t>
        </is>
      </c>
      <c r="B13" s="15" t="n">
        <v>0</v>
      </c>
      <c r="C13" s="209" t="n"/>
      <c r="D13" s="15" t="n">
        <v>0</v>
      </c>
      <c r="E13" s="15" t="n">
        <v>0</v>
      </c>
      <c r="F13" s="15" t="inlineStr">
        <is>
          <t>0.0%</t>
        </is>
      </c>
      <c r="G13" s="209" t="n"/>
    </row>
    <row r="14" ht="28" customHeight="1">
      <c r="A14" s="16" t="inlineStr">
        <is>
          <t>−5 Autonomy → +5 Leadership</t>
        </is>
      </c>
      <c r="B14" s="15" t="n">
        <v>1</v>
      </c>
      <c r="C14" s="209" t="n"/>
      <c r="D14" s="15" t="n">
        <v>0</v>
      </c>
      <c r="E14" s="15" t="n">
        <v>1</v>
      </c>
      <c r="F14" s="15" t="inlineStr">
        <is>
          <t>2.3%</t>
        </is>
      </c>
      <c r="G14" s="209" t="n"/>
    </row>
    <row r="15" ht="28" customHeight="1">
      <c r="A15" s="16" t="inlineStr">
        <is>
          <t>−5 Autonomy → +5 Experience</t>
        </is>
      </c>
      <c r="B15" s="15" t="n">
        <v>3</v>
      </c>
      <c r="C15" s="209" t="n"/>
      <c r="D15" s="15" t="n">
        <v>3</v>
      </c>
      <c r="E15" s="15" t="n">
        <v>0</v>
      </c>
      <c r="F15" s="15" t="inlineStr">
        <is>
          <t>6.8%</t>
        </is>
      </c>
      <c r="G15" s="209" t="n"/>
    </row>
    <row r="16" ht="28" customHeight="1">
      <c r="A16" s="16" t="inlineStr">
        <is>
          <t>−5 Autonomy → +5 Business impact</t>
        </is>
      </c>
      <c r="B16" s="15" t="n">
        <v>0</v>
      </c>
      <c r="C16" s="209" t="n"/>
      <c r="D16" s="15" t="n">
        <v>0</v>
      </c>
      <c r="E16" s="15" t="n">
        <v>0</v>
      </c>
      <c r="F16" s="15" t="inlineStr">
        <is>
          <t>0.0%</t>
        </is>
      </c>
      <c r="G16" s="209" t="n"/>
    </row>
    <row r="17" ht="28" customHeight="1">
      <c r="A17" s="16" t="inlineStr">
        <is>
          <t>−5 Accountability → +5 Complexity</t>
        </is>
      </c>
      <c r="B17" s="15" t="n">
        <v>0</v>
      </c>
      <c r="C17" s="209" t="n"/>
      <c r="D17" s="15" t="n">
        <v>0</v>
      </c>
      <c r="E17" s="15" t="n">
        <v>0</v>
      </c>
      <c r="F17" s="15" t="inlineStr">
        <is>
          <t>0.0%</t>
        </is>
      </c>
      <c r="G17" s="209" t="n"/>
    </row>
    <row r="18" ht="28" customHeight="1">
      <c r="A18" s="16" t="inlineStr">
        <is>
          <t>−5 Accountability → +5 Autonomy</t>
        </is>
      </c>
      <c r="B18" s="15" t="n">
        <v>0</v>
      </c>
      <c r="C18" s="209" t="n"/>
      <c r="D18" s="15" t="n">
        <v>0</v>
      </c>
      <c r="E18" s="15" t="n">
        <v>0</v>
      </c>
      <c r="F18" s="15" t="inlineStr">
        <is>
          <t>0.0%</t>
        </is>
      </c>
      <c r="G18" s="209" t="n"/>
    </row>
    <row r="19" ht="28" customHeight="1">
      <c r="A19" s="16" t="inlineStr">
        <is>
          <t>−5 Accountability → +5 Leadership</t>
        </is>
      </c>
      <c r="B19" s="15" t="n">
        <v>0</v>
      </c>
      <c r="C19" s="209" t="n"/>
      <c r="D19" s="15" t="n">
        <v>0</v>
      </c>
      <c r="E19" s="15" t="n">
        <v>0</v>
      </c>
      <c r="F19" s="15" t="inlineStr">
        <is>
          <t>0.0%</t>
        </is>
      </c>
      <c r="G19" s="209" t="n"/>
    </row>
    <row r="20" ht="28" customHeight="1">
      <c r="A20" s="16" t="inlineStr">
        <is>
          <t>−5 Accountability → +5 Experience</t>
        </is>
      </c>
      <c r="B20" s="15" t="n">
        <v>3</v>
      </c>
      <c r="C20" s="209" t="n"/>
      <c r="D20" s="15" t="n">
        <v>3</v>
      </c>
      <c r="E20" s="15" t="n">
        <v>0</v>
      </c>
      <c r="F20" s="15" t="inlineStr">
        <is>
          <t>6.8%</t>
        </is>
      </c>
      <c r="G20" s="209" t="n"/>
    </row>
    <row r="21" ht="28" customHeight="1">
      <c r="A21" s="16" t="inlineStr">
        <is>
          <t>−5 Accountability → +5 Business impact</t>
        </is>
      </c>
      <c r="B21" s="15" t="n">
        <v>0</v>
      </c>
      <c r="C21" s="209" t="n"/>
      <c r="D21" s="15" t="n">
        <v>0</v>
      </c>
      <c r="E21" s="15" t="n">
        <v>0</v>
      </c>
      <c r="F21" s="15" t="inlineStr">
        <is>
          <t>0.0%</t>
        </is>
      </c>
      <c r="G21" s="209" t="n"/>
    </row>
    <row r="22" ht="28" customHeight="1">
      <c r="A22" s="16" t="inlineStr">
        <is>
          <t>−5 Leadership → +5 Complexity</t>
        </is>
      </c>
      <c r="B22" s="15" t="n">
        <v>1</v>
      </c>
      <c r="C22" s="209" t="n"/>
      <c r="D22" s="15" t="n">
        <v>1</v>
      </c>
      <c r="E22" s="15" t="n">
        <v>0</v>
      </c>
      <c r="F22" s="15" t="inlineStr">
        <is>
          <t>2.3%</t>
        </is>
      </c>
      <c r="G22" s="209" t="n"/>
    </row>
    <row r="23" ht="28" customHeight="1">
      <c r="A23" s="16" t="inlineStr">
        <is>
          <t>−5 Leadership → +5 Autonomy</t>
        </is>
      </c>
      <c r="B23" s="15" t="n">
        <v>0</v>
      </c>
      <c r="C23" s="209" t="n"/>
      <c r="D23" s="15" t="n">
        <v>0</v>
      </c>
      <c r="E23" s="15" t="n">
        <v>0</v>
      </c>
      <c r="F23" s="15" t="inlineStr">
        <is>
          <t>0.0%</t>
        </is>
      </c>
      <c r="G23" s="209" t="n"/>
    </row>
    <row r="24" ht="28" customHeight="1">
      <c r="A24" s="16" t="inlineStr">
        <is>
          <t>−5 Leadership → +5 Accountability</t>
        </is>
      </c>
      <c r="B24" s="15" t="n">
        <v>0</v>
      </c>
      <c r="C24" s="209" t="n"/>
      <c r="D24" s="15" t="n">
        <v>0</v>
      </c>
      <c r="E24" s="15" t="n">
        <v>0</v>
      </c>
      <c r="F24" s="15" t="inlineStr">
        <is>
          <t>0.0%</t>
        </is>
      </c>
      <c r="G24" s="209" t="n"/>
    </row>
    <row r="25" ht="28" customHeight="1">
      <c r="A25" s="16" t="inlineStr">
        <is>
          <t>−5 Leadership → +5 Experience</t>
        </is>
      </c>
      <c r="B25" s="15" t="n">
        <v>3</v>
      </c>
      <c r="C25" s="209" t="n"/>
      <c r="D25" s="15" t="n">
        <v>3</v>
      </c>
      <c r="E25" s="15" t="n">
        <v>0</v>
      </c>
      <c r="F25" s="15" t="inlineStr">
        <is>
          <t>6.8%</t>
        </is>
      </c>
      <c r="G25" s="209" t="n"/>
    </row>
    <row r="26" ht="28" customHeight="1">
      <c r="A26" s="16" t="inlineStr">
        <is>
          <t>−5 Leadership → +5 Business impact</t>
        </is>
      </c>
      <c r="B26" s="15" t="n">
        <v>0</v>
      </c>
      <c r="C26" s="209" t="n"/>
      <c r="D26" s="15" t="n">
        <v>0</v>
      </c>
      <c r="E26" s="15" t="n">
        <v>0</v>
      </c>
      <c r="F26" s="15" t="inlineStr">
        <is>
          <t>0.0%</t>
        </is>
      </c>
      <c r="G26" s="209" t="n"/>
    </row>
    <row r="27" ht="28" customHeight="1">
      <c r="A27" s="16" t="inlineStr">
        <is>
          <t>−5 Experience → +5 Complexity</t>
        </is>
      </c>
      <c r="B27" s="15" t="n">
        <v>2</v>
      </c>
      <c r="C27" s="209" t="n"/>
      <c r="D27" s="15" t="n">
        <v>0</v>
      </c>
      <c r="E27" s="15" t="n">
        <v>2</v>
      </c>
      <c r="F27" s="15" t="inlineStr">
        <is>
          <t>4.5%</t>
        </is>
      </c>
      <c r="G27" s="209" t="n"/>
    </row>
    <row r="28" ht="28" customHeight="1">
      <c r="A28" s="16" t="inlineStr">
        <is>
          <t>−5 Experience → +5 Autonomy</t>
        </is>
      </c>
      <c r="B28" s="15" t="n">
        <v>2</v>
      </c>
      <c r="C28" s="209" t="n"/>
      <c r="D28" s="15" t="n">
        <v>0</v>
      </c>
      <c r="E28" s="15" t="n">
        <v>2</v>
      </c>
      <c r="F28" s="15" t="inlineStr">
        <is>
          <t>4.5%</t>
        </is>
      </c>
      <c r="G28" s="209" t="n"/>
    </row>
    <row r="29" ht="28" customHeight="1">
      <c r="A29" s="16" t="inlineStr">
        <is>
          <t>−5 Experience → +5 Accountability</t>
        </is>
      </c>
      <c r="B29" s="15" t="n">
        <v>2</v>
      </c>
      <c r="C29" s="209" t="n"/>
      <c r="D29" s="15" t="n">
        <v>0</v>
      </c>
      <c r="E29" s="15" t="n">
        <v>2</v>
      </c>
      <c r="F29" s="15" t="inlineStr">
        <is>
          <t>4.5%</t>
        </is>
      </c>
      <c r="G29" s="209" t="n"/>
    </row>
    <row r="30" ht="28" customHeight="1">
      <c r="A30" s="16" t="inlineStr">
        <is>
          <t>−5 Experience → +5 Leadership</t>
        </is>
      </c>
      <c r="B30" s="15" t="n">
        <v>4</v>
      </c>
      <c r="C30" s="209" t="n"/>
      <c r="D30" s="15" t="n">
        <v>0</v>
      </c>
      <c r="E30" s="15" t="n">
        <v>4</v>
      </c>
      <c r="F30" s="15" t="inlineStr">
        <is>
          <t>9.1%</t>
        </is>
      </c>
      <c r="G30" s="209" t="n"/>
    </row>
    <row r="31" ht="28" customHeight="1">
      <c r="A31" s="16" t="inlineStr">
        <is>
          <t>−5 Experience → +5 Business impact</t>
        </is>
      </c>
      <c r="B31" s="15" t="n">
        <v>2</v>
      </c>
      <c r="C31" s="209" t="n"/>
      <c r="D31" s="15" t="n">
        <v>0</v>
      </c>
      <c r="E31" s="15" t="n">
        <v>2</v>
      </c>
      <c r="F31" s="15" t="inlineStr">
        <is>
          <t>4.5%</t>
        </is>
      </c>
      <c r="G31" s="209" t="n"/>
    </row>
    <row r="32" ht="28" customHeight="1">
      <c r="A32" s="16" t="inlineStr">
        <is>
          <t>−5 Business impact → +5 Complexity</t>
        </is>
      </c>
      <c r="B32" s="15" t="n">
        <v>0</v>
      </c>
      <c r="C32" s="209" t="n"/>
      <c r="D32" s="15" t="n">
        <v>0</v>
      </c>
      <c r="E32" s="15" t="n">
        <v>0</v>
      </c>
      <c r="F32" s="15" t="inlineStr">
        <is>
          <t>0.0%</t>
        </is>
      </c>
      <c r="G32" s="209" t="n"/>
    </row>
    <row r="33" ht="28" customHeight="1">
      <c r="A33" s="16" t="inlineStr">
        <is>
          <t>−5 Business impact → +5 Autonomy</t>
        </is>
      </c>
      <c r="B33" s="15" t="n">
        <v>0</v>
      </c>
      <c r="C33" s="209" t="n"/>
      <c r="D33" s="15" t="n">
        <v>0</v>
      </c>
      <c r="E33" s="15" t="n">
        <v>0</v>
      </c>
      <c r="F33" s="15" t="inlineStr">
        <is>
          <t>0.0%</t>
        </is>
      </c>
      <c r="G33" s="209" t="n"/>
    </row>
    <row r="34" ht="28" customHeight="1">
      <c r="A34" s="16" t="inlineStr">
        <is>
          <t>−5 Business impact → +5 Accountability</t>
        </is>
      </c>
      <c r="B34" s="15" t="n">
        <v>0</v>
      </c>
      <c r="C34" s="209" t="n"/>
      <c r="D34" s="15" t="n">
        <v>0</v>
      </c>
      <c r="E34" s="15" t="n">
        <v>0</v>
      </c>
      <c r="F34" s="15" t="inlineStr">
        <is>
          <t>0.0%</t>
        </is>
      </c>
      <c r="G34" s="209" t="n"/>
    </row>
    <row r="35" ht="28" customHeight="1">
      <c r="A35" s="16" t="inlineStr">
        <is>
          <t>−5 Business impact → +5 Leadership</t>
        </is>
      </c>
      <c r="B35" s="15" t="n">
        <v>1</v>
      </c>
      <c r="C35" s="209" t="n"/>
      <c r="D35" s="15" t="n">
        <v>0</v>
      </c>
      <c r="E35" s="15" t="n">
        <v>1</v>
      </c>
      <c r="F35" s="15" t="inlineStr">
        <is>
          <t>2.3%</t>
        </is>
      </c>
      <c r="G35" s="209" t="n"/>
    </row>
    <row r="36" ht="28" customHeight="1">
      <c r="A36" s="16" t="inlineStr">
        <is>
          <t>−5 Business impact → +5 Experience</t>
        </is>
      </c>
      <c r="B36" s="15" t="n">
        <v>3</v>
      </c>
      <c r="C36" s="209" t="n"/>
      <c r="D36" s="15" t="n">
        <v>3</v>
      </c>
      <c r="E36" s="15" t="n">
        <v>0</v>
      </c>
      <c r="F36" s="15" t="inlineStr">
        <is>
          <t>6.8%</t>
        </is>
      </c>
      <c r="G36" s="209" t="n"/>
    </row>
    <row r="37" ht="15" customHeight="1"/>
    <row r="38" ht="20" customHeight="1">
      <c r="A38" s="6" t="inlineStr">
        <is>
          <t>People whose level moves in 5 or more of the 30 tests — 5</t>
        </is>
      </c>
    </row>
    <row r="39" ht="15" customHeight="1">
      <c r="A39" s="11" t="inlineStr">
        <is>
          <r>
            <rPr>
              <rFont val="Calibri"/>
              <b val="1"/>
              <i val="1"/>
              <color rgb="00595959"/>
              <sz val="10"/>
            </rPr>
            <t>Their placement depends on the exact weights:</t>
          </r>
          <r>
            <rPr>
              <rFont val="Calibri"/>
              <i val="1"/>
              <color rgb="00595959"/>
              <sz val="10"/>
            </rPr>
            <t xml:space="preserve"> calibrate them first.</t>
          </r>
        </is>
      </c>
    </row>
    <row r="40" ht="28" customHeight="1">
      <c r="A40" s="12" t="inlineStr">
        <is>
          <t>Person</t>
        </is>
      </c>
      <c r="B40" s="12" t="inlineStr">
        <is>
          <t>Business</t>
        </is>
      </c>
      <c r="C40" s="12" t="inlineStr">
        <is>
          <t>Department</t>
        </is>
      </c>
      <c r="D40" s="12" t="inlineStr">
        <is>
          <t>Level</t>
        </is>
      </c>
      <c r="E40" s="12" t="inlineStr">
        <is>
          <t>Score</t>
        </is>
      </c>
      <c r="F40" s="12" t="inlineStr">
        <is>
          <t>Tests that move it</t>
        </is>
      </c>
      <c r="G40" s="12" t="inlineStr">
        <is>
          <t>Final designation</t>
        </is>
      </c>
    </row>
    <row r="41" ht="15" customHeight="1">
      <c r="A41" s="13" t="inlineStr">
        <is>
          <t>Jay Gudhka</t>
        </is>
      </c>
      <c r="B41" s="16" t="inlineStr">
        <is>
          <t>iDEAL</t>
        </is>
      </c>
      <c r="C41" s="16" t="inlineStr">
        <is>
          <t>Technology</t>
        </is>
      </c>
      <c r="D41" s="15" t="inlineStr">
        <is>
          <t>A3</t>
        </is>
      </c>
      <c r="E41" s="15" t="n">
        <v>3.52</v>
      </c>
      <c r="F41" s="15" t="n">
        <v>6</v>
      </c>
      <c r="G41" s="16" t="inlineStr">
        <is>
          <t>Technical Specialist</t>
        </is>
      </c>
    </row>
    <row r="42" ht="15" customHeight="1">
      <c r="A42" s="13" t="inlineStr">
        <is>
          <t>Ravi Ranjan</t>
        </is>
      </c>
      <c r="B42" s="16" t="inlineStr">
        <is>
          <t>iDEAL</t>
        </is>
      </c>
      <c r="C42" s="16" t="inlineStr">
        <is>
          <t>Technology</t>
        </is>
      </c>
      <c r="D42" s="15" t="inlineStr">
        <is>
          <t>B3</t>
        </is>
      </c>
      <c r="E42" s="15" t="n">
        <v>5.69</v>
      </c>
      <c r="F42" s="15" t="n">
        <v>5</v>
      </c>
      <c r="G42" s="16" t="inlineStr">
        <is>
          <t>Lead Software Engineer</t>
        </is>
      </c>
    </row>
    <row r="43" ht="15" customHeight="1">
      <c r="A43" s="13" t="inlineStr">
        <is>
          <t>Kailash Sahu</t>
        </is>
      </c>
      <c r="B43" s="16" t="inlineStr">
        <is>
          <t>iDEAL</t>
        </is>
      </c>
      <c r="C43" s="16" t="inlineStr">
        <is>
          <t>Technology</t>
        </is>
      </c>
      <c r="D43" s="15" t="inlineStr">
        <is>
          <t>B1</t>
        </is>
      </c>
      <c r="E43" s="15" t="n">
        <v>3.69</v>
      </c>
      <c r="F43" s="15" t="n">
        <v>5</v>
      </c>
      <c r="G43" s="16" t="inlineStr">
        <is>
          <t>Business Analysis Specialist</t>
        </is>
      </c>
    </row>
    <row r="44" ht="15" customHeight="1">
      <c r="A44" s="13" t="inlineStr">
        <is>
          <t>Shreekanth Samala</t>
        </is>
      </c>
      <c r="B44" s="16" t="inlineStr">
        <is>
          <t>iDEAL</t>
        </is>
      </c>
      <c r="C44" s="16" t="inlineStr">
        <is>
          <t>Technology</t>
        </is>
      </c>
      <c r="D44" s="15" t="inlineStr">
        <is>
          <t>A3</t>
        </is>
      </c>
      <c r="E44" s="15" t="n">
        <v>3.45</v>
      </c>
      <c r="F44" s="15" t="n">
        <v>5</v>
      </c>
      <c r="G44" s="16" t="inlineStr">
        <is>
          <t>Support Specialist</t>
        </is>
      </c>
    </row>
    <row r="45" ht="15" customHeight="1">
      <c r="A45" s="13" t="inlineStr">
        <is>
          <t>Vishal Pingle</t>
        </is>
      </c>
      <c r="B45" s="16" t="inlineStr">
        <is>
          <t>iDEAL</t>
        </is>
      </c>
      <c r="C45" s="16" t="inlineStr">
        <is>
          <t>Technology</t>
        </is>
      </c>
      <c r="D45" s="15" t="inlineStr">
        <is>
          <t>B1</t>
        </is>
      </c>
      <c r="E45" s="15" t="n">
        <v>4.3</v>
      </c>
      <c r="F45" s="15" t="n">
        <v>5</v>
      </c>
      <c r="G45" s="16" t="inlineStr">
        <is>
          <t>Senior Business Analysis Specialist</t>
        </is>
      </c>
    </row>
  </sheetData>
  <mergeCells count="68">
    <mergeCell ref="F11:G11"/>
    <mergeCell ref="B16:C16"/>
    <mergeCell ref="B7:C7"/>
    <mergeCell ref="B25:C25"/>
    <mergeCell ref="F10:G10"/>
    <mergeCell ref="F16:G16"/>
    <mergeCell ref="F29:G29"/>
    <mergeCell ref="F19:G19"/>
    <mergeCell ref="F25:G25"/>
    <mergeCell ref="F34:G34"/>
    <mergeCell ref="B22:C22"/>
    <mergeCell ref="F6:G6"/>
    <mergeCell ref="A38:G38"/>
    <mergeCell ref="B31:C31"/>
    <mergeCell ref="B27:C27"/>
    <mergeCell ref="B18:C18"/>
    <mergeCell ref="F7:G7"/>
    <mergeCell ref="B12:C12"/>
    <mergeCell ref="F21:G21"/>
    <mergeCell ref="B21:C21"/>
    <mergeCell ref="F12:G12"/>
    <mergeCell ref="F24:G24"/>
    <mergeCell ref="F30:G30"/>
    <mergeCell ref="B11:C11"/>
    <mergeCell ref="F15:G15"/>
    <mergeCell ref="A39:G39"/>
    <mergeCell ref="F20:G20"/>
    <mergeCell ref="F18:G18"/>
    <mergeCell ref="B23:C23"/>
    <mergeCell ref="F33:G33"/>
    <mergeCell ref="B14:C14"/>
    <mergeCell ref="F36:G36"/>
    <mergeCell ref="F32:G32"/>
    <mergeCell ref="B17:C17"/>
    <mergeCell ref="F26:G26"/>
    <mergeCell ref="B8:C8"/>
    <mergeCell ref="F17:G17"/>
    <mergeCell ref="F35:G35"/>
    <mergeCell ref="F8:G8"/>
    <mergeCell ref="B13:C13"/>
    <mergeCell ref="A1:G1"/>
    <mergeCell ref="B29:C29"/>
    <mergeCell ref="B19:C19"/>
    <mergeCell ref="B34:C34"/>
    <mergeCell ref="B10:C10"/>
    <mergeCell ref="F23:G23"/>
    <mergeCell ref="B28:C28"/>
    <mergeCell ref="F31:G31"/>
    <mergeCell ref="F22:G22"/>
    <mergeCell ref="F28:G28"/>
    <mergeCell ref="F13:G13"/>
    <mergeCell ref="B9:C9"/>
    <mergeCell ref="F27:G27"/>
    <mergeCell ref="F9:G9"/>
    <mergeCell ref="B6:C6"/>
    <mergeCell ref="B24:C24"/>
    <mergeCell ref="B30:C30"/>
    <mergeCell ref="B15:C15"/>
    <mergeCell ref="B33:C33"/>
    <mergeCell ref="A3:G3"/>
    <mergeCell ref="B20:C20"/>
    <mergeCell ref="B36:C36"/>
    <mergeCell ref="A2:G2"/>
    <mergeCell ref="B32:C32"/>
    <mergeCell ref="F14:G14"/>
    <mergeCell ref="B26:C26"/>
    <mergeCell ref="B35:C35"/>
    <mergeCell ref="A5:G5"/>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0.xml><?xml version="1.0" encoding="utf-8"?>
<worksheet xmlns="http://schemas.openxmlformats.org/spreadsheetml/2006/main">
  <sheetPr>
    <tabColor rgb="00C55A11"/>
    <outlinePr summaryBelow="1" summaryRight="1"/>
    <pageSetUpPr fitToPage="1"/>
  </sheetPr>
  <dimension ref="A1:I31"/>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2" customWidth="1" min="3" max="3"/>
    <col width="26" customWidth="1" min="4" max="4"/>
    <col width="10" customWidth="1" min="5" max="5"/>
    <col width="10" customWidth="1" min="6" max="6"/>
    <col width="10" customWidth="1" min="7" max="7"/>
    <col width="30" customWidth="1" min="8" max="8"/>
    <col width="13" customWidth="1" min="9" max="9"/>
  </cols>
  <sheetData>
    <row r="1" ht="34" customHeight="1">
      <c r="A1" s="1" t="inlineStr">
        <is>
          <t>A3 deep-dive — who is close to B1?</t>
        </is>
      </c>
      <c r="I1" s="241" t="inlineStr">
        <is>
          <t>◂ Contents</t>
        </is>
      </c>
    </row>
    <row r="2" ht="32" customHeight="1">
      <c r="A2" s="3" t="inlineStr">
        <is>
          <t>Sheet 14 · 25 employees at A3. 'Gap to B1' = 3.5 minus the person's score on Band B's own weights · B's entry point. Within 0.25: check whether the role already carries B1 work. Long tenure at A3 with a large gap: widen the role, or pay at the top of the A3 range.</t>
        </is>
      </c>
    </row>
    <row r="3">
      <c r="A3" s="4" t="inlineStr">
        <is>
          <t>IRIS · Job Architecture &amp; Job Design · Final v1.12 · October 2026 · Internal — Confidential</t>
        </is>
      </c>
    </row>
    <row r="4"/>
    <row r="5" ht="20" customHeight="1">
      <c r="A5" s="6" t="inlineStr">
        <is>
          <t>Everyone at A3, closest to B1 first</t>
        </is>
      </c>
    </row>
    <row r="6" ht="28" customHeight="1">
      <c r="A6" s="12" t="inlineStr">
        <is>
          <t>Person</t>
        </is>
      </c>
      <c r="B6" s="12" t="inlineStr">
        <is>
          <t>Business</t>
        </is>
      </c>
      <c r="C6" s="12" t="inlineStr">
        <is>
          <t>Department</t>
        </is>
      </c>
      <c r="D6" s="12" t="inlineStr">
        <is>
          <t>Designation</t>
        </is>
      </c>
      <c r="E6" s="12" t="inlineStr">
        <is>
          <t>Total exp. · yrs</t>
        </is>
      </c>
      <c r="F6" s="12" t="inlineStr">
        <is>
          <t>Score</t>
        </is>
      </c>
      <c r="G6" s="12" t="inlineStr">
        <is>
          <t>Gap to B1</t>
        </is>
      </c>
      <c r="H6" s="12" t="inlineStr">
        <is>
          <t>Group</t>
        </is>
      </c>
    </row>
    <row r="7" ht="15" customHeight="1">
      <c r="A7" s="13" t="inlineStr">
        <is>
          <t>Jay Gudhka</t>
        </is>
      </c>
      <c r="B7" s="16" t="inlineStr">
        <is>
          <t>iDEAL</t>
        </is>
      </c>
      <c r="C7" s="16" t="inlineStr">
        <is>
          <t>Technology</t>
        </is>
      </c>
      <c r="D7" s="16" t="inlineStr">
        <is>
          <t>Technical Specialist</t>
        </is>
      </c>
      <c r="E7" s="15" t="n">
        <v>7.2</v>
      </c>
      <c r="F7" s="15" t="n">
        <v>3.52</v>
      </c>
      <c r="G7" s="15" t="n">
        <v>0.04</v>
      </c>
      <c r="H7" s="16" t="inlineStr">
        <is>
          <t>Within 0.25 of B1</t>
        </is>
      </c>
    </row>
    <row r="8" ht="15" customHeight="1">
      <c r="A8" s="13" t="inlineStr">
        <is>
          <t>Shreekanth Samala</t>
        </is>
      </c>
      <c r="B8" s="16" t="inlineStr">
        <is>
          <t>iDEAL</t>
        </is>
      </c>
      <c r="C8" s="16" t="inlineStr">
        <is>
          <t>Technology</t>
        </is>
      </c>
      <c r="D8" s="16" t="inlineStr">
        <is>
          <t>Support Specialist</t>
        </is>
      </c>
      <c r="E8" s="15" t="n">
        <v>13.4</v>
      </c>
      <c r="F8" s="15" t="n">
        <v>3.45</v>
      </c>
      <c r="G8" s="15" t="n">
        <v>0.1</v>
      </c>
      <c r="H8" s="16" t="inlineStr">
        <is>
          <t>Within 0.25 of B1</t>
        </is>
      </c>
    </row>
    <row r="9" ht="15" customHeight="1">
      <c r="A9" s="13" t="inlineStr">
        <is>
          <t>Anishaa Mahesh Kukreja</t>
        </is>
      </c>
      <c r="B9" s="16" t="inlineStr">
        <is>
          <t>iDEAL</t>
        </is>
      </c>
      <c r="C9" s="16" t="inlineStr">
        <is>
          <t>Technology</t>
        </is>
      </c>
      <c r="D9" s="16" t="inlineStr">
        <is>
          <t>Senior Business Analyst</t>
        </is>
      </c>
      <c r="E9" s="15" t="n">
        <v>6.5</v>
      </c>
      <c r="F9" s="15" t="n">
        <v>3.23</v>
      </c>
      <c r="G9" s="15" t="n">
        <v>0.3</v>
      </c>
      <c r="H9" s="16" t="inlineStr">
        <is>
          <t>0.25–0.5 from B1</t>
        </is>
      </c>
    </row>
    <row r="10" ht="15" customHeight="1">
      <c r="A10" s="13" t="inlineStr">
        <is>
          <t>Neetu Rani Paul</t>
        </is>
      </c>
      <c r="B10" s="16" t="inlineStr">
        <is>
          <t>iDEAL</t>
        </is>
      </c>
      <c r="C10" s="16" t="inlineStr">
        <is>
          <t>Technology</t>
        </is>
      </c>
      <c r="D10" s="16" t="inlineStr">
        <is>
          <t>Senior Business Analyst</t>
        </is>
      </c>
      <c r="E10" s="15" t="n">
        <v>5.9</v>
      </c>
      <c r="F10" s="15" t="n">
        <v>3.13</v>
      </c>
      <c r="G10" s="15" t="n">
        <v>0.41</v>
      </c>
      <c r="H10" s="16" t="inlineStr">
        <is>
          <t>0.25–0.5 from B1</t>
        </is>
      </c>
    </row>
    <row r="11" ht="15" customHeight="1">
      <c r="A11" s="13" t="inlineStr">
        <is>
          <t>Shivani Mishra</t>
        </is>
      </c>
      <c r="B11" s="16" t="inlineStr">
        <is>
          <t>iDEAL</t>
        </is>
      </c>
      <c r="C11" s="16" t="inlineStr">
        <is>
          <t>Technology</t>
        </is>
      </c>
      <c r="D11" s="16" t="inlineStr">
        <is>
          <t>Senior Business Analyst</t>
        </is>
      </c>
      <c r="E11" s="15" t="n">
        <v>7.5</v>
      </c>
      <c r="F11" s="15" t="n">
        <v>3.15</v>
      </c>
      <c r="G11" s="15" t="n">
        <v>0.42</v>
      </c>
      <c r="H11" s="16" t="inlineStr">
        <is>
          <t>0.25–0.5 from B1</t>
        </is>
      </c>
    </row>
    <row r="12" ht="15" customHeight="1">
      <c r="A12" s="13" t="inlineStr">
        <is>
          <t>Swapnil Shirke</t>
        </is>
      </c>
      <c r="B12" s="16" t="inlineStr">
        <is>
          <t>iDEAL</t>
        </is>
      </c>
      <c r="C12" s="16" t="inlineStr">
        <is>
          <t>Technology</t>
        </is>
      </c>
      <c r="D12" s="16" t="inlineStr">
        <is>
          <t>Senior Software Engineer</t>
        </is>
      </c>
      <c r="E12" s="15" t="n">
        <v>4.2</v>
      </c>
      <c r="F12" s="15" t="n">
        <v>2.91</v>
      </c>
      <c r="G12" s="15" t="n">
        <v>0.46</v>
      </c>
      <c r="H12" s="16" t="inlineStr">
        <is>
          <t>0.25–0.5 from B1</t>
        </is>
      </c>
    </row>
    <row r="13" ht="15" customHeight="1">
      <c r="A13" s="13" t="inlineStr">
        <is>
          <t>Silky Agarwal</t>
        </is>
      </c>
      <c r="B13" s="16" t="inlineStr">
        <is>
          <t>iDEAL</t>
        </is>
      </c>
      <c r="C13" s="16" t="inlineStr">
        <is>
          <t>Technology</t>
        </is>
      </c>
      <c r="D13" s="16" t="inlineStr">
        <is>
          <t>Senior Business Analyst</t>
        </is>
      </c>
      <c r="E13" s="15" t="n">
        <v>4.3</v>
      </c>
      <c r="F13" s="15" t="n">
        <v>3.08</v>
      </c>
      <c r="G13" s="15" t="n">
        <v>0.46</v>
      </c>
      <c r="H13" s="16" t="inlineStr">
        <is>
          <t>0.25–0.5 from B1</t>
        </is>
      </c>
    </row>
    <row r="14" ht="28" customHeight="1">
      <c r="A14" s="13" t="inlineStr">
        <is>
          <t>Shreya Sharma</t>
        </is>
      </c>
      <c r="B14" s="16" t="inlineStr">
        <is>
          <t>iDEAL</t>
        </is>
      </c>
      <c r="C14" s="16" t="inlineStr">
        <is>
          <t>Sales</t>
        </is>
      </c>
      <c r="D14" s="16" t="inlineStr">
        <is>
          <t>Senior Alliances Executive</t>
        </is>
      </c>
      <c r="E14" s="15" t="n">
        <v>4.4</v>
      </c>
      <c r="F14" s="15" t="n">
        <v>3.08</v>
      </c>
      <c r="G14" s="15" t="n">
        <v>0.49</v>
      </c>
      <c r="H14" s="16" t="inlineStr">
        <is>
          <t>0.25–0.5 from B1</t>
        </is>
      </c>
    </row>
    <row r="15" ht="28" customHeight="1">
      <c r="A15" s="13" t="inlineStr">
        <is>
          <t>Shubham Kamble</t>
        </is>
      </c>
      <c r="B15" s="16" t="inlineStr">
        <is>
          <t>iDEAL</t>
        </is>
      </c>
      <c r="C15" s="16" t="inlineStr">
        <is>
          <t>Quality Assurance</t>
        </is>
      </c>
      <c r="D15" s="16" t="inlineStr">
        <is>
          <t>Senior QA Automation Engineer</t>
        </is>
      </c>
      <c r="E15" s="15" t="n">
        <v>4.3</v>
      </c>
      <c r="F15" s="15" t="n">
        <v>3.05</v>
      </c>
      <c r="G15" s="15" t="n">
        <v>0.52</v>
      </c>
      <c r="H15" s="16" t="inlineStr">
        <is>
          <t>0.5–1.0 from B1</t>
        </is>
      </c>
    </row>
    <row r="16" ht="15" customHeight="1">
      <c r="A16" s="13" t="inlineStr">
        <is>
          <t>Nilam Anandrao Kadam</t>
        </is>
      </c>
      <c r="B16" s="16" t="inlineStr">
        <is>
          <t>iDEAL</t>
        </is>
      </c>
      <c r="C16" s="16" t="inlineStr">
        <is>
          <t>Technology</t>
        </is>
      </c>
      <c r="D16" s="16" t="inlineStr">
        <is>
          <t>Senior Business Analyst</t>
        </is>
      </c>
      <c r="E16" s="15" t="n">
        <v>5.9</v>
      </c>
      <c r="F16" s="15" t="n">
        <v>3.05</v>
      </c>
      <c r="G16" s="15" t="n">
        <v>0.52</v>
      </c>
      <c r="H16" s="16" t="inlineStr">
        <is>
          <t>0.5–1.0 from B1</t>
        </is>
      </c>
    </row>
    <row r="17" ht="28" customHeight="1">
      <c r="A17" s="13" t="inlineStr">
        <is>
          <t>Tulasiram Chand</t>
        </is>
      </c>
      <c r="B17" s="16" t="inlineStr">
        <is>
          <t>iDEAL</t>
        </is>
      </c>
      <c r="C17" s="16" t="inlineStr">
        <is>
          <t>Quality Assurance</t>
        </is>
      </c>
      <c r="D17" s="16" t="inlineStr">
        <is>
          <t>Senior QA Automation Engineer</t>
        </is>
      </c>
      <c r="E17" s="15" t="n">
        <v>4.4</v>
      </c>
      <c r="F17" s="15" t="n">
        <v>2.97</v>
      </c>
      <c r="G17" s="15" t="n">
        <v>0.62</v>
      </c>
      <c r="H17" s="16" t="inlineStr">
        <is>
          <t>0.5–1.0 from B1</t>
        </is>
      </c>
    </row>
    <row r="18" ht="15" customHeight="1">
      <c r="A18" s="13" t="inlineStr">
        <is>
          <t>Vidyasagar Reddy</t>
        </is>
      </c>
      <c r="B18" s="16" t="inlineStr">
        <is>
          <t>iDEAL</t>
        </is>
      </c>
      <c r="C18" s="16" t="inlineStr">
        <is>
          <t>Technology</t>
        </is>
      </c>
      <c r="D18" s="16" t="inlineStr">
        <is>
          <t>Senior Business Analyst</t>
        </is>
      </c>
      <c r="E18" s="15" t="n">
        <v>2.2</v>
      </c>
      <c r="F18" s="15" t="n">
        <v>2.87</v>
      </c>
      <c r="G18" s="15" t="n">
        <v>0.68</v>
      </c>
      <c r="H18" s="16" t="inlineStr">
        <is>
          <t>0.5–1.0 from B1</t>
        </is>
      </c>
    </row>
    <row r="19" ht="15" customHeight="1">
      <c r="A19" s="13" t="inlineStr">
        <is>
          <t>H Marenna</t>
        </is>
      </c>
      <c r="B19" s="16" t="inlineStr">
        <is>
          <t>iDEAL</t>
        </is>
      </c>
      <c r="C19" s="16" t="inlineStr">
        <is>
          <t>Technology</t>
        </is>
      </c>
      <c r="D19" s="16" t="inlineStr">
        <is>
          <t>Senior Database Engineer</t>
        </is>
      </c>
      <c r="E19" s="15" t="n">
        <v>9.199999999999999</v>
      </c>
      <c r="F19" s="15" t="n">
        <v>2.8</v>
      </c>
      <c r="G19" s="15" t="n">
        <v>0.75</v>
      </c>
      <c r="H19" s="16" t="inlineStr">
        <is>
          <t>0.5–1.0 from B1</t>
        </is>
      </c>
    </row>
    <row r="20" ht="15" customHeight="1">
      <c r="A20" s="13" t="inlineStr">
        <is>
          <t>Srijith Menon</t>
        </is>
      </c>
      <c r="B20" s="16" t="inlineStr">
        <is>
          <t>iDEAL</t>
        </is>
      </c>
      <c r="C20" s="16" t="inlineStr">
        <is>
          <t>Product Management</t>
        </is>
      </c>
      <c r="D20" s="16" t="inlineStr">
        <is>
          <t>Senior Product Analyst</t>
        </is>
      </c>
      <c r="E20" s="15" t="n">
        <v>8</v>
      </c>
      <c r="F20" s="15" t="n">
        <v>2.67</v>
      </c>
      <c r="G20" s="15" t="n">
        <v>0.9</v>
      </c>
      <c r="H20" s="16" t="inlineStr">
        <is>
          <t>0.5–1.0 from B1</t>
        </is>
      </c>
    </row>
    <row r="21" ht="15" customHeight="1">
      <c r="A21" s="13" t="inlineStr">
        <is>
          <t>Prasad Bhoite</t>
        </is>
      </c>
      <c r="B21" s="16" t="inlineStr">
        <is>
          <t>iDEAL</t>
        </is>
      </c>
      <c r="C21" s="16" t="inlineStr">
        <is>
          <t>Technology</t>
        </is>
      </c>
      <c r="D21" s="16" t="inlineStr">
        <is>
          <t>Senior Database Engineer</t>
        </is>
      </c>
      <c r="E21" s="15" t="n">
        <v>6.9</v>
      </c>
      <c r="F21" s="15" t="n">
        <v>2.65</v>
      </c>
      <c r="G21" s="15" t="n">
        <v>0.92</v>
      </c>
      <c r="H21" s="16" t="inlineStr">
        <is>
          <t>0.5–1.0 from B1</t>
        </is>
      </c>
    </row>
    <row r="22" ht="15" customHeight="1">
      <c r="A22" s="13" t="inlineStr">
        <is>
          <t>Mohin Patel</t>
        </is>
      </c>
      <c r="B22" s="16" t="inlineStr">
        <is>
          <t>iDEAL</t>
        </is>
      </c>
      <c r="C22" s="16" t="inlineStr">
        <is>
          <t>Technology</t>
        </is>
      </c>
      <c r="D22" s="16" t="inlineStr">
        <is>
          <t>Senior Business Analyst</t>
        </is>
      </c>
      <c r="E22" s="15" t="n">
        <v>2.7</v>
      </c>
      <c r="F22" s="15" t="n">
        <v>2.55</v>
      </c>
      <c r="G22" s="15" t="n">
        <v>1</v>
      </c>
      <c r="H22" s="16" t="inlineStr">
        <is>
          <t>0.5–1.0 from B1</t>
        </is>
      </c>
    </row>
    <row r="23" ht="15" customHeight="1">
      <c r="A23" s="13" t="inlineStr">
        <is>
          <t>Tushar Kadu Nimbolkar</t>
        </is>
      </c>
      <c r="B23" s="16" t="inlineStr">
        <is>
          <t>iDEAL</t>
        </is>
      </c>
      <c r="C23" s="16" t="inlineStr">
        <is>
          <t>Technology</t>
        </is>
      </c>
      <c r="D23" s="16" t="inlineStr">
        <is>
          <t>Senior Database Engineer</t>
        </is>
      </c>
      <c r="E23" s="15" t="n">
        <v>2.3</v>
      </c>
      <c r="F23" s="15" t="n">
        <v>2.56</v>
      </c>
      <c r="G23" s="15" t="n">
        <v>1</v>
      </c>
      <c r="H23" s="16" t="inlineStr">
        <is>
          <t>0.5–1.0 from B1</t>
        </is>
      </c>
    </row>
    <row r="24" ht="15" customHeight="1">
      <c r="A24" s="13" t="inlineStr">
        <is>
          <t>Akshata Sabale</t>
        </is>
      </c>
      <c r="B24" s="16" t="inlineStr">
        <is>
          <t>iDEAL</t>
        </is>
      </c>
      <c r="C24" s="16" t="inlineStr">
        <is>
          <t>Technology</t>
        </is>
      </c>
      <c r="D24" s="16" t="inlineStr">
        <is>
          <t>Senior Software Engineer</t>
        </is>
      </c>
      <c r="E24" s="15" t="n">
        <v>5.1</v>
      </c>
      <c r="F24" s="15" t="n">
        <v>2.57</v>
      </c>
      <c r="G24" s="15" t="n">
        <v>1.01</v>
      </c>
      <c r="H24" s="16" t="inlineStr">
        <is>
          <t>More than 1.0 from B1</t>
        </is>
      </c>
    </row>
    <row r="25" ht="15" customHeight="1">
      <c r="A25" s="13" t="inlineStr">
        <is>
          <t>Nidhi Kulkarni</t>
        </is>
      </c>
      <c r="B25" s="16" t="inlineStr">
        <is>
          <t>iDEAL</t>
        </is>
      </c>
      <c r="C25" s="16" t="inlineStr">
        <is>
          <t>Technology</t>
        </is>
      </c>
      <c r="D25" s="16" t="inlineStr">
        <is>
          <t>Senior Support Executive</t>
        </is>
      </c>
      <c r="E25" s="15" t="n"/>
      <c r="F25" s="15" t="n">
        <v>2.53</v>
      </c>
      <c r="G25" s="15" t="n">
        <v>1.01</v>
      </c>
      <c r="H25" s="16" t="inlineStr">
        <is>
          <t>More than 1.0 from B1</t>
        </is>
      </c>
    </row>
    <row r="26" ht="15" customHeight="1">
      <c r="A26" s="13" t="inlineStr">
        <is>
          <t>Vaibhav Govind Gahat</t>
        </is>
      </c>
      <c r="B26" s="16" t="inlineStr">
        <is>
          <t>iDEAL</t>
        </is>
      </c>
      <c r="C26" s="16" t="inlineStr">
        <is>
          <t>Technology</t>
        </is>
      </c>
      <c r="D26" s="16" t="inlineStr">
        <is>
          <t>Senior Software Engineer</t>
        </is>
      </c>
      <c r="E26" s="15" t="n">
        <v>2.3</v>
      </c>
      <c r="F26" s="15" t="n">
        <v>2.45</v>
      </c>
      <c r="G26" s="15" t="n">
        <v>1.12</v>
      </c>
      <c r="H26" s="16" t="inlineStr">
        <is>
          <t>More than 1.0 from B1</t>
        </is>
      </c>
    </row>
    <row r="27" ht="15" customHeight="1">
      <c r="A27" s="13" t="inlineStr">
        <is>
          <t>Varsha Patil</t>
        </is>
      </c>
      <c r="B27" s="16" t="inlineStr">
        <is>
          <t>iDEAL</t>
        </is>
      </c>
      <c r="C27" s="16" t="inlineStr">
        <is>
          <t>Technology</t>
        </is>
      </c>
      <c r="D27" s="16" t="inlineStr">
        <is>
          <t>Senior Software Engineer</t>
        </is>
      </c>
      <c r="E27" s="15" t="n">
        <v>5.3</v>
      </c>
      <c r="F27" s="15" t="n">
        <v>2.25</v>
      </c>
      <c r="G27" s="15" t="n">
        <v>1.29</v>
      </c>
      <c r="H27" s="16" t="inlineStr">
        <is>
          <t>More than 1.0 from B1</t>
        </is>
      </c>
    </row>
    <row r="28" ht="15" customHeight="1">
      <c r="A28" s="13" t="inlineStr">
        <is>
          <t>Pratik Ekhande</t>
        </is>
      </c>
      <c r="B28" s="16" t="inlineStr">
        <is>
          <t>iDEAL</t>
        </is>
      </c>
      <c r="C28" s="16" t="inlineStr">
        <is>
          <t>Technology</t>
        </is>
      </c>
      <c r="D28" s="16" t="inlineStr">
        <is>
          <t>Senior Software Engineer</t>
        </is>
      </c>
      <c r="E28" s="15" t="n">
        <v>2.3</v>
      </c>
      <c r="F28" s="15" t="n">
        <v>2.13</v>
      </c>
      <c r="G28" s="15" t="n">
        <v>1.4</v>
      </c>
      <c r="H28" s="16" t="inlineStr">
        <is>
          <t>More than 1.0 from B1</t>
        </is>
      </c>
    </row>
    <row r="29" ht="15" customHeight="1">
      <c r="A29" s="13" t="inlineStr">
        <is>
          <t>Vivek Kumar</t>
        </is>
      </c>
      <c r="B29" s="16" t="inlineStr">
        <is>
          <t>iDEAL</t>
        </is>
      </c>
      <c r="C29" s="16" t="inlineStr">
        <is>
          <t>Technology</t>
        </is>
      </c>
      <c r="D29" s="16" t="inlineStr">
        <is>
          <t>Senior Business Analyst</t>
        </is>
      </c>
      <c r="E29" s="15" t="n">
        <v>3.1</v>
      </c>
      <c r="F29" s="15" t="n">
        <v>2.1</v>
      </c>
      <c r="G29" s="15" t="n">
        <v>1.42</v>
      </c>
      <c r="H29" s="16" t="inlineStr">
        <is>
          <t>More than 1.0 from B1</t>
        </is>
      </c>
    </row>
    <row r="30" ht="28" customHeight="1">
      <c r="A30" s="13" t="inlineStr">
        <is>
          <t>Atharv Ravindra Bokade</t>
        </is>
      </c>
      <c r="B30" s="16" t="inlineStr">
        <is>
          <t>iDEAL</t>
        </is>
      </c>
      <c r="C30" s="16" t="inlineStr">
        <is>
          <t>Quality Assurance</t>
        </is>
      </c>
      <c r="D30" s="16" t="inlineStr">
        <is>
          <t>Senior QA Automation Engineer</t>
        </is>
      </c>
      <c r="E30" s="15" t="n">
        <v>2.3</v>
      </c>
      <c r="F30" s="15" t="n">
        <v>2.1</v>
      </c>
      <c r="G30" s="15" t="n">
        <v>1.44</v>
      </c>
      <c r="H30" s="16" t="inlineStr">
        <is>
          <t>More than 1.0 from B1</t>
        </is>
      </c>
    </row>
    <row r="31" ht="15" customHeight="1">
      <c r="A31" s="13" t="inlineStr">
        <is>
          <t>Rohan Kailas Aher</t>
        </is>
      </c>
      <c r="B31" s="16" t="inlineStr">
        <is>
          <t>iDEAL</t>
        </is>
      </c>
      <c r="C31" s="16" t="inlineStr">
        <is>
          <t>Quality Assurance</t>
        </is>
      </c>
      <c r="D31" s="16" t="inlineStr">
        <is>
          <t>Senior QA Engineer</t>
        </is>
      </c>
      <c r="E31" s="15" t="n">
        <v>3.6</v>
      </c>
      <c r="F31" s="15" t="n">
        <v>2.1</v>
      </c>
      <c r="G31" s="15" t="n">
        <v>1.45</v>
      </c>
      <c r="H31" s="16" t="inlineStr">
        <is>
          <t>More than 1.0 from B1</t>
        </is>
      </c>
    </row>
  </sheetData>
  <mergeCells count="4">
    <mergeCell ref="A3:H3"/>
    <mergeCell ref="A2:H2"/>
    <mergeCell ref="A5:H5"/>
    <mergeCell ref="A1:H1"/>
  </mergeCells>
  <conditionalFormatting sqref="G7:G31">
    <cfRule type="colorScale" priority="1">
      <colorScale>
        <cfvo type="num" val="0"/>
        <cfvo type="num" val="1.5"/>
        <color rgb="00A9D08E"/>
        <color rgb="00FFFFFF"/>
      </colorScale>
    </cfRule>
  </conditionalFormatting>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1.xml><?xml version="1.0" encoding="utf-8"?>
<worksheet xmlns="http://schemas.openxmlformats.org/spreadsheetml/2006/main">
  <sheetPr>
    <tabColor rgb="007030A0"/>
    <outlinePr summaryBelow="1" summaryRight="1"/>
    <pageSetUpPr fitToPage="1"/>
  </sheetPr>
  <dimension ref="A1:I6"/>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6" customWidth="1" min="3" max="3"/>
    <col width="9" customWidth="1" min="4" max="4"/>
    <col width="22" customWidth="1" min="5" max="5"/>
    <col width="34" customWidth="1" min="6" max="6"/>
    <col width="34" customWidth="1" min="7" max="7"/>
    <col width="34" customWidth="1" min="8" max="8"/>
    <col width="13" customWidth="1" min="9" max="9"/>
  </cols>
  <sheetData>
    <row r="1" ht="34" customHeight="1">
      <c r="A1" s="1" t="inlineStr">
        <is>
          <t>Succession — C–E roles and who could step up</t>
        </is>
      </c>
      <c r="I1" s="241" t="inlineStr">
        <is>
          <t>◂ Contents</t>
        </is>
      </c>
    </row>
    <row r="2" ht="32" customHeight="1">
      <c r="A2" s="3" t="inlineStr">
        <is>
          <r>
            <rPr>
              <rFont val="Calibri"/>
              <b val="1"/>
              <i val="1"/>
              <color rgb="00404040"/>
              <sz val="10"/>
            </rPr>
            <t>Sheet 15 · For every role at C1 and above:</t>
          </r>
          <r>
            <rPr>
              <rFont val="Calibri"/>
              <i val="1"/>
              <color rgb="00404040"/>
              <sz val="10"/>
            </rPr>
            <t xml:space="preserve"> people in the same job family, up to three steps below, by readiness · from the talent data on sheet 8. Business and enterprise leaders: anyone at C1 or above in the same business · enterprise roles: any business. Confirm or name successors in calibration.</t>
          </r>
        </is>
      </c>
    </row>
    <row r="3">
      <c r="A3" s="4" t="inlineStr">
        <is>
          <t>IRIS · Job Architecture &amp; Job Design · Final v1.12 · October 2026 · Internal — Confidential</t>
        </is>
      </c>
    </row>
    <row r="4"/>
    <row r="5" ht="15" customHeight="1">
      <c r="A5" s="12" t="inlineStr">
        <is>
          <t>Role holder</t>
        </is>
      </c>
      <c r="B5" s="12" t="inlineStr">
        <is>
          <t>Business</t>
        </is>
      </c>
      <c r="C5" s="12" t="inlineStr">
        <is>
          <t>Role</t>
        </is>
      </c>
      <c r="D5" s="12" t="inlineStr">
        <is>
          <t>Level</t>
        </is>
      </c>
      <c r="E5" s="12" t="inlineStr">
        <is>
          <t>Cover</t>
        </is>
      </c>
      <c r="F5" s="12" t="inlineStr">
        <is>
          <t>Ready now</t>
        </is>
      </c>
      <c r="G5" s="12" t="inlineStr">
        <is>
          <t>Ready in 6–12 months</t>
        </is>
      </c>
      <c r="H5" s="12" t="inlineStr">
        <is>
          <t>High potential</t>
        </is>
      </c>
    </row>
    <row r="6" ht="28" customHeight="1">
      <c r="A6" s="13" t="inlineStr">
        <is>
          <t>Hemant Karale</t>
        </is>
      </c>
      <c r="B6" s="16" t="inlineStr">
        <is>
          <t>iDEAL</t>
        </is>
      </c>
      <c r="C6" s="16" t="inlineStr">
        <is>
          <t>Business Head – iDEAL</t>
        </is>
      </c>
      <c r="D6" s="15" t="inlineStr">
        <is>
          <t>D1</t>
        </is>
      </c>
      <c r="E6" s="21" t="inlineStr">
        <is>
          <t>No successor identified</t>
        </is>
      </c>
      <c r="F6" s="16" t="inlineStr">
        <is>
          <t>—</t>
        </is>
      </c>
      <c r="G6" s="16" t="inlineStr">
        <is>
          <t>—</t>
        </is>
      </c>
      <c r="H6" s="16" t="inlineStr">
        <is>
          <t>—</t>
        </is>
      </c>
    </row>
  </sheetData>
  <mergeCells count="3">
    <mergeCell ref="A3:H3"/>
    <mergeCell ref="A2:H2"/>
    <mergeCell ref="A1:H1"/>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2.xml><?xml version="1.0" encoding="utf-8"?>
<worksheet xmlns="http://schemas.openxmlformats.org/spreadsheetml/2006/main">
  <sheetPr>
    <tabColor rgb="00C00000"/>
    <outlinePr summaryBelow="1" summaryRight="1"/>
    <pageSetUpPr fitToPage="1"/>
  </sheetPr>
  <dimension ref="A1:M25"/>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1" customWidth="1" min="2" max="2"/>
    <col width="11" customWidth="1" min="3" max="3"/>
    <col width="18" customWidth="1" min="4" max="4"/>
    <col width="30" customWidth="1" min="5" max="5"/>
    <col width="7" customWidth="1" min="6" max="6"/>
    <col width="9" customWidth="1" min="7" max="7"/>
    <col width="9" customWidth="1" min="8" max="8"/>
    <col width="9" customWidth="1" min="9" max="9"/>
    <col width="9" customWidth="1" min="10" max="10"/>
    <col width="44" customWidth="1" min="11" max="11"/>
    <col width="40" customWidth="1" min="12" max="12"/>
    <col width="13" customWidth="1" min="13" max="13"/>
  </cols>
  <sheetData>
    <row r="1" ht="34" customHeight="1">
      <c r="A1" s="1" t="inlineStr">
        <is>
          <t>Critical roles at risk — where cover is needed first</t>
        </is>
      </c>
      <c r="M1" s="241" t="inlineStr">
        <is>
          <t>◂ Contents</t>
        </is>
      </c>
    </row>
    <row r="2" ht="32" customHeight="1">
      <c r="A2" s="3" t="inlineStr">
        <is>
          <t>Sheet 15a · 20 people whose role is critical, or whose work only they do, with no successor named · 2 high risk. From the survey's 'critical role' and 'only you do this' answers and the successor field; possible cover = people in the same sub-family at or near this level · same product first. Name a successor, document the work and cross-train.</t>
        </is>
      </c>
    </row>
    <row r="3">
      <c r="A3" s="4" t="inlineStr">
        <is>
          <t>IRIS · Job Architecture &amp; Job Design · Final v1.12 · October 2026 · Internal — Confidential</t>
        </is>
      </c>
    </row>
    <row r="4"/>
    <row r="5" ht="28" customHeight="1">
      <c r="A5" s="12" t="inlineStr">
        <is>
          <t>Person</t>
        </is>
      </c>
      <c r="B5" s="12" t="inlineStr">
        <is>
          <t>Emp ID</t>
        </is>
      </c>
      <c r="C5" s="12" t="inlineStr">
        <is>
          <t>Business</t>
        </is>
      </c>
      <c r="D5" s="12" t="inlineStr">
        <is>
          <t>Department</t>
        </is>
      </c>
      <c r="E5" s="12" t="inlineStr">
        <is>
          <t>Role</t>
        </is>
      </c>
      <c r="F5" s="12" t="inlineStr">
        <is>
          <t>Level</t>
        </is>
      </c>
      <c r="G5" s="12" t="inlineStr">
        <is>
          <t>Critical role</t>
        </is>
      </c>
      <c r="H5" s="12" t="inlineStr">
        <is>
          <t>Only this person</t>
        </is>
      </c>
      <c r="I5" s="12" t="inlineStr">
        <is>
          <t>Successor named</t>
        </is>
      </c>
      <c r="J5" s="12" t="inlineStr">
        <is>
          <t>Risk</t>
        </is>
      </c>
      <c r="K5" s="12" t="inlineStr">
        <is>
          <t>Possible cover · same sub-family</t>
        </is>
      </c>
      <c r="L5" s="12" t="inlineStr">
        <is>
          <t>Action</t>
        </is>
      </c>
    </row>
    <row r="6" ht="41" customHeight="1">
      <c r="A6" s="13" t="inlineStr">
        <is>
          <t>Anand Shinde</t>
        </is>
      </c>
      <c r="B6" s="16" t="inlineStr">
        <is>
          <t>IRIS1178</t>
        </is>
      </c>
      <c r="C6" s="16" t="inlineStr">
        <is>
          <t>iDEAL</t>
        </is>
      </c>
      <c r="D6" s="16" t="inlineStr">
        <is>
          <t>Technology</t>
        </is>
      </c>
      <c r="E6" s="16" t="inlineStr">
        <is>
          <t>Business Analysis Specialist</t>
        </is>
      </c>
      <c r="F6" s="15" t="inlineStr">
        <is>
          <t>B1</t>
        </is>
      </c>
      <c r="G6" s="15" t="inlineStr">
        <is>
          <t>Yes</t>
        </is>
      </c>
      <c r="H6" s="15" t="inlineStr">
        <is>
          <t>Yes</t>
        </is>
      </c>
      <c r="I6" s="15" t="inlineStr">
        <is>
          <t>No</t>
        </is>
      </c>
      <c r="J6" s="23" t="inlineStr">
        <is>
          <t>High</t>
        </is>
      </c>
      <c r="K6" s="16" t="inlineStr">
        <is>
          <t>Aroosa Ghole · B1, iDEAL · Kailash Sahu · B1, iDEAL · Phuzel Siddiqui · B1, iDEAL</t>
        </is>
      </c>
      <c r="L6" s="16" t="inlineStr">
        <is>
          <t>Name a successor this quarter; document the process; start cross-training the cover listed</t>
        </is>
      </c>
    </row>
    <row r="7" ht="41" customHeight="1">
      <c r="A7" s="13" t="inlineStr">
        <is>
          <t>Tushar Kadu Nimbolkar</t>
        </is>
      </c>
      <c r="B7" s="16" t="inlineStr">
        <is>
          <t>IRIS2259</t>
        </is>
      </c>
      <c r="C7" s="16" t="inlineStr">
        <is>
          <t>iDEAL</t>
        </is>
      </c>
      <c r="D7" s="16" t="inlineStr">
        <is>
          <t>Technology</t>
        </is>
      </c>
      <c r="E7" s="16" t="inlineStr">
        <is>
          <t>Senior Database Engineer</t>
        </is>
      </c>
      <c r="F7" s="15" t="inlineStr">
        <is>
          <t>A3</t>
        </is>
      </c>
      <c r="G7" s="15" t="inlineStr">
        <is>
          <t>Yes</t>
        </is>
      </c>
      <c r="H7" s="15" t="inlineStr">
        <is>
          <t>Yes</t>
        </is>
      </c>
      <c r="I7" s="15" t="inlineStr">
        <is>
          <t>No</t>
        </is>
      </c>
      <c r="J7" s="23" t="inlineStr">
        <is>
          <t>High</t>
        </is>
      </c>
      <c r="K7" s="16" t="inlineStr">
        <is>
          <t>Jignasha Sawla · B1, iDEAL · H Marenna · A3, iDEAL · Prasad Bhoite · A3, iDEAL</t>
        </is>
      </c>
      <c r="L7" s="16" t="inlineStr">
        <is>
          <t>Name a successor this quarter; document the process; start cross-training the cover listed</t>
        </is>
      </c>
    </row>
    <row r="8" ht="28" customHeight="1">
      <c r="A8" s="13" t="inlineStr">
        <is>
          <t>Ravi Ranjan</t>
        </is>
      </c>
      <c r="B8" s="16" t="inlineStr">
        <is>
          <t>IRIS2104</t>
        </is>
      </c>
      <c r="C8" s="16" t="inlineStr">
        <is>
          <t>iDEAL</t>
        </is>
      </c>
      <c r="D8" s="16" t="inlineStr">
        <is>
          <t>Technology</t>
        </is>
      </c>
      <c r="E8" s="16" t="inlineStr">
        <is>
          <t>Lead Software Engineer</t>
        </is>
      </c>
      <c r="F8" s="15" t="inlineStr">
        <is>
          <t>B3</t>
        </is>
      </c>
      <c r="G8" s="15" t="inlineStr">
        <is>
          <t>Yes</t>
        </is>
      </c>
      <c r="H8" s="15" t="inlineStr">
        <is>
          <t>—</t>
        </is>
      </c>
      <c r="I8" s="15" t="inlineStr">
        <is>
          <t>No</t>
        </is>
      </c>
      <c r="J8" s="240" t="inlineStr">
        <is>
          <t>Medium</t>
        </is>
      </c>
      <c r="K8" s="16" t="inlineStr">
        <is>
          <t>No one in the same sub-family at or near this level — external hire or develop</t>
        </is>
      </c>
      <c r="L8" s="16" t="inlineStr">
        <is>
          <t>Name a successor; document the key process; cross-train one person</t>
        </is>
      </c>
    </row>
    <row r="9" ht="28" customHeight="1">
      <c r="A9" s="13" t="inlineStr">
        <is>
          <t>Yuvraj Kharchane</t>
        </is>
      </c>
      <c r="B9" s="16" t="inlineStr">
        <is>
          <t>IRIS1158</t>
        </is>
      </c>
      <c r="C9" s="16" t="inlineStr">
        <is>
          <t>iDEAL</t>
        </is>
      </c>
      <c r="D9" s="16" t="inlineStr">
        <is>
          <t>Product Management</t>
        </is>
      </c>
      <c r="E9" s="16" t="inlineStr">
        <is>
          <t>Product Manager</t>
        </is>
      </c>
      <c r="F9" s="15" t="inlineStr">
        <is>
          <t>B2</t>
        </is>
      </c>
      <c r="G9" s="15" t="inlineStr">
        <is>
          <t>Yes</t>
        </is>
      </c>
      <c r="H9" s="15" t="inlineStr">
        <is>
          <t>—</t>
        </is>
      </c>
      <c r="I9" s="15" t="inlineStr">
        <is>
          <t>No</t>
        </is>
      </c>
      <c r="J9" s="240" t="inlineStr">
        <is>
          <t>Medium</t>
        </is>
      </c>
      <c r="K9" s="16" t="inlineStr">
        <is>
          <t>Dnyaneshwar Daund · B2, iDEAL</t>
        </is>
      </c>
      <c r="L9" s="16" t="inlineStr">
        <is>
          <t>Name a successor; document the key process; cross-train one person</t>
        </is>
      </c>
    </row>
    <row r="10" ht="28" customHeight="1">
      <c r="A10" s="13" t="inlineStr">
        <is>
          <t>Aroosa Ghole</t>
        </is>
      </c>
      <c r="B10" s="16" t="inlineStr">
        <is>
          <t>IRIS1947</t>
        </is>
      </c>
      <c r="C10" s="16" t="inlineStr">
        <is>
          <t>iDEAL</t>
        </is>
      </c>
      <c r="D10" s="16" t="inlineStr">
        <is>
          <t>Technology</t>
        </is>
      </c>
      <c r="E10" s="16" t="inlineStr">
        <is>
          <t>Team Lead – Business Analysis</t>
        </is>
      </c>
      <c r="F10" s="15" t="inlineStr">
        <is>
          <t>B1</t>
        </is>
      </c>
      <c r="G10" s="15" t="inlineStr">
        <is>
          <t>Yes</t>
        </is>
      </c>
      <c r="H10" s="15" t="inlineStr">
        <is>
          <t>—</t>
        </is>
      </c>
      <c r="I10" s="15" t="inlineStr">
        <is>
          <t>No</t>
        </is>
      </c>
      <c r="J10" s="240" t="inlineStr">
        <is>
          <t>Medium</t>
        </is>
      </c>
      <c r="K10" s="16" t="inlineStr">
        <is>
          <t>Anand Shinde · B1, iDEAL · Kailash Sahu · B1, iDEAL · Phuzel Siddiqui · B1, iDEAL</t>
        </is>
      </c>
      <c r="L10" s="16" t="inlineStr">
        <is>
          <t>Name a successor; document the key process; cross-train one person</t>
        </is>
      </c>
    </row>
    <row r="11" ht="28" customHeight="1">
      <c r="A11" s="13" t="inlineStr">
        <is>
          <t>Jignasha Sawla</t>
        </is>
      </c>
      <c r="B11" s="16" t="inlineStr">
        <is>
          <t>IRIS1809</t>
        </is>
      </c>
      <c r="C11" s="16" t="inlineStr">
        <is>
          <t>iDEAL</t>
        </is>
      </c>
      <c r="D11" s="16" t="inlineStr">
        <is>
          <t>Technology</t>
        </is>
      </c>
      <c r="E11" s="16" t="inlineStr">
        <is>
          <t>Database Specialist – POD Lead</t>
        </is>
      </c>
      <c r="F11" s="15" t="inlineStr">
        <is>
          <t>B1</t>
        </is>
      </c>
      <c r="G11" s="15" t="inlineStr">
        <is>
          <t>—</t>
        </is>
      </c>
      <c r="H11" s="15" t="inlineStr">
        <is>
          <t>Yes</t>
        </is>
      </c>
      <c r="I11" s="15" t="inlineStr">
        <is>
          <t>No</t>
        </is>
      </c>
      <c r="J11" s="240" t="inlineStr">
        <is>
          <t>Medium</t>
        </is>
      </c>
      <c r="K11" s="16" t="inlineStr">
        <is>
          <t>H Marenna · A3, iDEAL · Prasad Bhoite · A3, iDEAL · Tushar Kadu Nimbolkar · A3, iDEAL</t>
        </is>
      </c>
      <c r="L11" s="16" t="inlineStr">
        <is>
          <t>Name a successor; document the key process; cross-train one person</t>
        </is>
      </c>
    </row>
    <row r="12" ht="28" customHeight="1">
      <c r="A12" s="13" t="inlineStr">
        <is>
          <t>Phuzel Siddiqui</t>
        </is>
      </c>
      <c r="B12" s="16" t="inlineStr">
        <is>
          <t>IRIS2125</t>
        </is>
      </c>
      <c r="C12" s="16" t="inlineStr">
        <is>
          <t>iDEAL</t>
        </is>
      </c>
      <c r="D12" s="16" t="inlineStr">
        <is>
          <t>Technology</t>
        </is>
      </c>
      <c r="E12" s="16" t="inlineStr">
        <is>
          <t>Business Analysis Specialist – POD Lead</t>
        </is>
      </c>
      <c r="F12" s="15" t="inlineStr">
        <is>
          <t>B1</t>
        </is>
      </c>
      <c r="G12" s="15" t="inlineStr">
        <is>
          <t>Yes</t>
        </is>
      </c>
      <c r="H12" s="15" t="inlineStr">
        <is>
          <t>—</t>
        </is>
      </c>
      <c r="I12" s="15" t="inlineStr">
        <is>
          <t>No</t>
        </is>
      </c>
      <c r="J12" s="240" t="inlineStr">
        <is>
          <t>Medium</t>
        </is>
      </c>
      <c r="K12" s="16" t="inlineStr">
        <is>
          <t>Anand Shinde · B1, iDEAL · Aroosa Ghole · B1, iDEAL · Kailash Sahu · B1, iDEAL</t>
        </is>
      </c>
      <c r="L12" s="16" t="inlineStr">
        <is>
          <t>Name a successor; document the key process; cross-train one person</t>
        </is>
      </c>
    </row>
    <row r="13" ht="28" customHeight="1">
      <c r="A13" s="13" t="inlineStr">
        <is>
          <t>Vishal Pingle</t>
        </is>
      </c>
      <c r="B13" s="16" t="inlineStr">
        <is>
          <t>IRIS0417</t>
        </is>
      </c>
      <c r="C13" s="16" t="inlineStr">
        <is>
          <t>iDEAL</t>
        </is>
      </c>
      <c r="D13" s="16" t="inlineStr">
        <is>
          <t>Technology</t>
        </is>
      </c>
      <c r="E13" s="16" t="inlineStr">
        <is>
          <t>Senior Business Analysis Specialist</t>
        </is>
      </c>
      <c r="F13" s="15" t="inlineStr">
        <is>
          <t>B1</t>
        </is>
      </c>
      <c r="G13" s="15" t="inlineStr">
        <is>
          <t>Yes</t>
        </is>
      </c>
      <c r="H13" s="15" t="inlineStr">
        <is>
          <t>—</t>
        </is>
      </c>
      <c r="I13" s="15" t="inlineStr">
        <is>
          <t>No</t>
        </is>
      </c>
      <c r="J13" s="240" t="inlineStr">
        <is>
          <t>Medium</t>
        </is>
      </c>
      <c r="K13" s="16" t="inlineStr">
        <is>
          <t>Anand Shinde · B1, iDEAL · Aroosa Ghole · B1, iDEAL · Kailash Sahu · B1, iDEAL</t>
        </is>
      </c>
      <c r="L13" s="16" t="inlineStr">
        <is>
          <t>Name a successor; document the key process; cross-train one person</t>
        </is>
      </c>
    </row>
    <row r="14" ht="28" customHeight="1">
      <c r="A14" s="13" t="inlineStr">
        <is>
          <t>Anishaa Mahesh Kukreja</t>
        </is>
      </c>
      <c r="B14" s="16" t="inlineStr">
        <is>
          <t>IRIS2236</t>
        </is>
      </c>
      <c r="C14" s="16" t="inlineStr">
        <is>
          <t>iDEAL</t>
        </is>
      </c>
      <c r="D14" s="16" t="inlineStr">
        <is>
          <t>Technology</t>
        </is>
      </c>
      <c r="E14" s="16" t="inlineStr">
        <is>
          <t>Senior Business Analyst</t>
        </is>
      </c>
      <c r="F14" s="15" t="inlineStr">
        <is>
          <t>A3</t>
        </is>
      </c>
      <c r="G14" s="15" t="inlineStr">
        <is>
          <t>—</t>
        </is>
      </c>
      <c r="H14" s="15" t="inlineStr">
        <is>
          <t>Yes</t>
        </is>
      </c>
      <c r="I14" s="15" t="inlineStr">
        <is>
          <t>No</t>
        </is>
      </c>
      <c r="J14" s="240" t="inlineStr">
        <is>
          <t>Medium</t>
        </is>
      </c>
      <c r="K14" s="16" t="inlineStr">
        <is>
          <t>Anand Shinde · B1, iDEAL · Aroosa Ghole · B1, iDEAL · Kailash Sahu · B1, iDEAL</t>
        </is>
      </c>
      <c r="L14" s="16" t="inlineStr">
        <is>
          <t>Name a successor; document the key process; cross-train one person</t>
        </is>
      </c>
    </row>
    <row r="15" ht="28" customHeight="1">
      <c r="A15" s="13" t="inlineStr">
        <is>
          <t>Neetu Rani Paul</t>
        </is>
      </c>
      <c r="B15" s="16" t="inlineStr">
        <is>
          <t>IRIS2136</t>
        </is>
      </c>
      <c r="C15" s="16" t="inlineStr">
        <is>
          <t>iDEAL</t>
        </is>
      </c>
      <c r="D15" s="16" t="inlineStr">
        <is>
          <t>Technology</t>
        </is>
      </c>
      <c r="E15" s="16" t="inlineStr">
        <is>
          <t>Senior Business Analyst</t>
        </is>
      </c>
      <c r="F15" s="15" t="inlineStr">
        <is>
          <t>A3</t>
        </is>
      </c>
      <c r="G15" s="15" t="inlineStr">
        <is>
          <t>Yes</t>
        </is>
      </c>
      <c r="H15" s="15" t="inlineStr">
        <is>
          <t>—</t>
        </is>
      </c>
      <c r="I15" s="15" t="inlineStr">
        <is>
          <t>No</t>
        </is>
      </c>
      <c r="J15" s="240" t="inlineStr">
        <is>
          <t>Medium</t>
        </is>
      </c>
      <c r="K15" s="16" t="inlineStr">
        <is>
          <t>Anand Shinde · B1, iDEAL · Aroosa Ghole · B1, iDEAL · Kailash Sahu · B1, iDEAL</t>
        </is>
      </c>
      <c r="L15" s="16" t="inlineStr">
        <is>
          <t>Name a successor; document the key process; cross-train one person</t>
        </is>
      </c>
    </row>
    <row r="16" ht="28" customHeight="1">
      <c r="A16" s="13" t="inlineStr">
        <is>
          <t>Nidhi Kulkarni</t>
        </is>
      </c>
      <c r="B16" s="16" t="inlineStr">
        <is>
          <t>IRIS2555</t>
        </is>
      </c>
      <c r="C16" s="16" t="inlineStr">
        <is>
          <t>iDEAL</t>
        </is>
      </c>
      <c r="D16" s="16" t="inlineStr">
        <is>
          <t>Technology</t>
        </is>
      </c>
      <c r="E16" s="16" t="inlineStr">
        <is>
          <t>Senior Support Executive</t>
        </is>
      </c>
      <c r="F16" s="15" t="inlineStr">
        <is>
          <t>A3</t>
        </is>
      </c>
      <c r="G16" s="15" t="inlineStr">
        <is>
          <t>—</t>
        </is>
      </c>
      <c r="H16" s="15" t="inlineStr">
        <is>
          <t>Yes</t>
        </is>
      </c>
      <c r="I16" s="15" t="inlineStr">
        <is>
          <t>No</t>
        </is>
      </c>
      <c r="J16" s="240" t="inlineStr">
        <is>
          <t>Medium</t>
        </is>
      </c>
      <c r="K16" s="16" t="inlineStr">
        <is>
          <t>Shreekanth Samala · A3, iDEAL · Hemand Thayil · A2, iDEAL</t>
        </is>
      </c>
      <c r="L16" s="16" t="inlineStr">
        <is>
          <t>Name a successor; document the key process; cross-train one person</t>
        </is>
      </c>
    </row>
    <row r="17" ht="28" customHeight="1">
      <c r="A17" s="13" t="inlineStr">
        <is>
          <t>Nilam Anandrao Kadam</t>
        </is>
      </c>
      <c r="B17" s="16" t="inlineStr">
        <is>
          <t>IRIS2142</t>
        </is>
      </c>
      <c r="C17" s="16" t="inlineStr">
        <is>
          <t>iDEAL</t>
        </is>
      </c>
      <c r="D17" s="16" t="inlineStr">
        <is>
          <t>Technology</t>
        </is>
      </c>
      <c r="E17" s="16" t="inlineStr">
        <is>
          <t>Senior Business Analyst</t>
        </is>
      </c>
      <c r="F17" s="15" t="inlineStr">
        <is>
          <t>A3</t>
        </is>
      </c>
      <c r="G17" s="15" t="inlineStr">
        <is>
          <t>Yes</t>
        </is>
      </c>
      <c r="H17" s="15" t="inlineStr">
        <is>
          <t>—</t>
        </is>
      </c>
      <c r="I17" s="15" t="inlineStr">
        <is>
          <t>No</t>
        </is>
      </c>
      <c r="J17" s="240" t="inlineStr">
        <is>
          <t>Medium</t>
        </is>
      </c>
      <c r="K17" s="16" t="inlineStr">
        <is>
          <t>Anand Shinde · B1, iDEAL · Aroosa Ghole · B1, iDEAL · Kailash Sahu · B1, iDEAL</t>
        </is>
      </c>
      <c r="L17" s="16" t="inlineStr">
        <is>
          <t>Name a successor; document the key process; cross-train one person</t>
        </is>
      </c>
    </row>
    <row r="18" ht="28" customHeight="1">
      <c r="A18" s="13" t="inlineStr">
        <is>
          <t>Prasad Bhoite</t>
        </is>
      </c>
      <c r="B18" s="16" t="inlineStr">
        <is>
          <t>IRIS1858</t>
        </is>
      </c>
      <c r="C18" s="16" t="inlineStr">
        <is>
          <t>iDEAL</t>
        </is>
      </c>
      <c r="D18" s="16" t="inlineStr">
        <is>
          <t>Technology</t>
        </is>
      </c>
      <c r="E18" s="16" t="inlineStr">
        <is>
          <t>Senior Database Engineer</t>
        </is>
      </c>
      <c r="F18" s="15" t="inlineStr">
        <is>
          <t>A3</t>
        </is>
      </c>
      <c r="G18" s="15" t="inlineStr">
        <is>
          <t>Yes</t>
        </is>
      </c>
      <c r="H18" s="15" t="inlineStr">
        <is>
          <t>—</t>
        </is>
      </c>
      <c r="I18" s="15" t="inlineStr">
        <is>
          <t>No</t>
        </is>
      </c>
      <c r="J18" s="240" t="inlineStr">
        <is>
          <t>Medium</t>
        </is>
      </c>
      <c r="K18" s="16" t="inlineStr">
        <is>
          <t>Jignasha Sawla · B1, iDEAL · H Marenna · A3, iDEAL · Tushar Kadu Nimbolkar · A3, iDEAL</t>
        </is>
      </c>
      <c r="L18" s="16" t="inlineStr">
        <is>
          <t>Name a successor; document the key process; cross-train one person</t>
        </is>
      </c>
    </row>
    <row r="19" ht="28" customHeight="1">
      <c r="A19" s="13" t="inlineStr">
        <is>
          <t>Pratik Ekhande</t>
        </is>
      </c>
      <c r="B19" s="16" t="inlineStr">
        <is>
          <t>IRIS2260</t>
        </is>
      </c>
      <c r="C19" s="16" t="inlineStr">
        <is>
          <t>iDEAL</t>
        </is>
      </c>
      <c r="D19" s="16" t="inlineStr">
        <is>
          <t>Technology</t>
        </is>
      </c>
      <c r="E19" s="16" t="inlineStr">
        <is>
          <t>Senior Software Engineer</t>
        </is>
      </c>
      <c r="F19" s="15" t="inlineStr">
        <is>
          <t>A3</t>
        </is>
      </c>
      <c r="G19" s="15" t="inlineStr">
        <is>
          <t>Yes</t>
        </is>
      </c>
      <c r="H19" s="15" t="inlineStr">
        <is>
          <t>—</t>
        </is>
      </c>
      <c r="I19" s="15" t="inlineStr">
        <is>
          <t>No</t>
        </is>
      </c>
      <c r="J19" s="240" t="inlineStr">
        <is>
          <t>Medium</t>
        </is>
      </c>
      <c r="K19" s="16" t="inlineStr">
        <is>
          <t>Ravi Ranjan · B3, iDEAL · Akshata Sabale · A3, iDEAL · Swapnil Shirke · A3, iDEAL</t>
        </is>
      </c>
      <c r="L19" s="16" t="inlineStr">
        <is>
          <t>Name a successor; document the key process; cross-train one person</t>
        </is>
      </c>
    </row>
    <row r="20" ht="28" customHeight="1">
      <c r="A20" s="13" t="inlineStr">
        <is>
          <t>Shivani Mishra</t>
        </is>
      </c>
      <c r="B20" s="16" t="inlineStr">
        <is>
          <t>IRIS2066</t>
        </is>
      </c>
      <c r="C20" s="16" t="inlineStr">
        <is>
          <t>iDEAL</t>
        </is>
      </c>
      <c r="D20" s="16" t="inlineStr">
        <is>
          <t>Technology</t>
        </is>
      </c>
      <c r="E20" s="16" t="inlineStr">
        <is>
          <t>Senior Business Analyst</t>
        </is>
      </c>
      <c r="F20" s="15" t="inlineStr">
        <is>
          <t>A3</t>
        </is>
      </c>
      <c r="G20" s="15" t="inlineStr">
        <is>
          <t>Yes</t>
        </is>
      </c>
      <c r="H20" s="15" t="inlineStr">
        <is>
          <t>—</t>
        </is>
      </c>
      <c r="I20" s="15" t="inlineStr">
        <is>
          <t>No</t>
        </is>
      </c>
      <c r="J20" s="240" t="inlineStr">
        <is>
          <t>Medium</t>
        </is>
      </c>
      <c r="K20" s="16" t="inlineStr">
        <is>
          <t>Anand Shinde · B1, iDEAL · Aroosa Ghole · B1, iDEAL · Kailash Sahu · B1, iDEAL</t>
        </is>
      </c>
      <c r="L20" s="16" t="inlineStr">
        <is>
          <t>Name a successor; document the key process; cross-train one person</t>
        </is>
      </c>
    </row>
    <row r="21" ht="28" customHeight="1">
      <c r="A21" s="13" t="inlineStr">
        <is>
          <t>Shreya Sharma</t>
        </is>
      </c>
      <c r="B21" s="16" t="inlineStr">
        <is>
          <t>IRIS2481</t>
        </is>
      </c>
      <c r="C21" s="16" t="inlineStr">
        <is>
          <t>iDEAL</t>
        </is>
      </c>
      <c r="D21" s="16" t="inlineStr">
        <is>
          <t>Sales</t>
        </is>
      </c>
      <c r="E21" s="16" t="inlineStr">
        <is>
          <t>Senior Alliances Executive</t>
        </is>
      </c>
      <c r="F21" s="15" t="inlineStr">
        <is>
          <t>A3</t>
        </is>
      </c>
      <c r="G21" s="15" t="inlineStr">
        <is>
          <t>Yes</t>
        </is>
      </c>
      <c r="H21" s="15" t="inlineStr">
        <is>
          <t>—</t>
        </is>
      </c>
      <c r="I21" s="15" t="inlineStr">
        <is>
          <t>No</t>
        </is>
      </c>
      <c r="J21" s="240" t="inlineStr">
        <is>
          <t>Medium</t>
        </is>
      </c>
      <c r="K21" s="16" t="inlineStr">
        <is>
          <t>No one in the same sub-family at or near this level — external hire or develop</t>
        </is>
      </c>
      <c r="L21" s="16" t="inlineStr">
        <is>
          <t>Name a successor; document the key process; cross-train one person</t>
        </is>
      </c>
    </row>
    <row r="22" ht="28" customHeight="1">
      <c r="A22" s="13" t="inlineStr">
        <is>
          <t>Silky Agarwal</t>
        </is>
      </c>
      <c r="B22" s="16" t="inlineStr">
        <is>
          <t>IRIS2067</t>
        </is>
      </c>
      <c r="C22" s="16" t="inlineStr">
        <is>
          <t>iDEAL</t>
        </is>
      </c>
      <c r="D22" s="16" t="inlineStr">
        <is>
          <t>Technology</t>
        </is>
      </c>
      <c r="E22" s="16" t="inlineStr">
        <is>
          <t>Senior Business Analyst</t>
        </is>
      </c>
      <c r="F22" s="15" t="inlineStr">
        <is>
          <t>A3</t>
        </is>
      </c>
      <c r="G22" s="15" t="inlineStr">
        <is>
          <t>Yes</t>
        </is>
      </c>
      <c r="H22" s="15" t="inlineStr">
        <is>
          <t>—</t>
        </is>
      </c>
      <c r="I22" s="15" t="inlineStr">
        <is>
          <t>No</t>
        </is>
      </c>
      <c r="J22" s="240" t="inlineStr">
        <is>
          <t>Medium</t>
        </is>
      </c>
      <c r="K22" s="16" t="inlineStr">
        <is>
          <t>Anand Shinde · B1, iDEAL · Aroosa Ghole · B1, iDEAL · Kailash Sahu · B1, iDEAL</t>
        </is>
      </c>
      <c r="L22" s="16" t="inlineStr">
        <is>
          <t>Name a successor; document the key process; cross-train one person</t>
        </is>
      </c>
    </row>
    <row r="23" ht="28" customHeight="1">
      <c r="A23" s="13" t="inlineStr">
        <is>
          <t>Srijith Menon</t>
        </is>
      </c>
      <c r="B23" s="16" t="inlineStr">
        <is>
          <t>IRIS2435</t>
        </is>
      </c>
      <c r="C23" s="16" t="inlineStr">
        <is>
          <t>iDEAL</t>
        </is>
      </c>
      <c r="D23" s="16" t="inlineStr">
        <is>
          <t>Product Management</t>
        </is>
      </c>
      <c r="E23" s="16" t="inlineStr">
        <is>
          <t>Senior Product Analyst</t>
        </is>
      </c>
      <c r="F23" s="15" t="inlineStr">
        <is>
          <t>A3</t>
        </is>
      </c>
      <c r="G23" s="15" t="inlineStr">
        <is>
          <t>Yes</t>
        </is>
      </c>
      <c r="H23" s="15" t="inlineStr">
        <is>
          <t>—</t>
        </is>
      </c>
      <c r="I23" s="15" t="inlineStr">
        <is>
          <t>No</t>
        </is>
      </c>
      <c r="J23" s="240" t="inlineStr">
        <is>
          <t>Medium</t>
        </is>
      </c>
      <c r="K23" s="16" t="inlineStr">
        <is>
          <t>No one in the same sub-family at or near this level — external hire or develop</t>
        </is>
      </c>
      <c r="L23" s="16" t="inlineStr">
        <is>
          <t>Name a successor; document the key process; cross-train one person</t>
        </is>
      </c>
    </row>
    <row r="24" ht="28" customHeight="1">
      <c r="A24" s="13" t="inlineStr">
        <is>
          <t>Swapnil Shirke</t>
        </is>
      </c>
      <c r="B24" s="16" t="inlineStr">
        <is>
          <t>IRIS2038</t>
        </is>
      </c>
      <c r="C24" s="16" t="inlineStr">
        <is>
          <t>iDEAL</t>
        </is>
      </c>
      <c r="D24" s="16" t="inlineStr">
        <is>
          <t>Technology</t>
        </is>
      </c>
      <c r="E24" s="16" t="inlineStr">
        <is>
          <t>Senior Software Engineer</t>
        </is>
      </c>
      <c r="F24" s="15" t="inlineStr">
        <is>
          <t>A3</t>
        </is>
      </c>
      <c r="G24" s="15" t="inlineStr">
        <is>
          <t>Yes</t>
        </is>
      </c>
      <c r="H24" s="15" t="inlineStr">
        <is>
          <t>—</t>
        </is>
      </c>
      <c r="I24" s="15" t="inlineStr">
        <is>
          <t>No</t>
        </is>
      </c>
      <c r="J24" s="240" t="inlineStr">
        <is>
          <t>Medium</t>
        </is>
      </c>
      <c r="K24" s="16" t="inlineStr">
        <is>
          <t>Ravi Ranjan · B3, iDEAL · Akshata Sabale · A3, iDEAL · Pratik Ekhande · A3, iDEAL</t>
        </is>
      </c>
      <c r="L24" s="16" t="inlineStr">
        <is>
          <t>Name a successor; document the key process; cross-train one person</t>
        </is>
      </c>
    </row>
    <row r="25" ht="28" customHeight="1">
      <c r="A25" s="13" t="inlineStr">
        <is>
          <t>Vaibhav Govind Gahat</t>
        </is>
      </c>
      <c r="B25" s="16" t="inlineStr">
        <is>
          <t>IRIS2258</t>
        </is>
      </c>
      <c r="C25" s="16" t="inlineStr">
        <is>
          <t>iDEAL</t>
        </is>
      </c>
      <c r="D25" s="16" t="inlineStr">
        <is>
          <t>Technology</t>
        </is>
      </c>
      <c r="E25" s="16" t="inlineStr">
        <is>
          <t>Senior Software Engineer</t>
        </is>
      </c>
      <c r="F25" s="15" t="inlineStr">
        <is>
          <t>A3</t>
        </is>
      </c>
      <c r="G25" s="15" t="inlineStr">
        <is>
          <t>Yes</t>
        </is>
      </c>
      <c r="H25" s="15" t="inlineStr">
        <is>
          <t>—</t>
        </is>
      </c>
      <c r="I25" s="15" t="inlineStr">
        <is>
          <t>No</t>
        </is>
      </c>
      <c r="J25" s="240" t="inlineStr">
        <is>
          <t>Medium</t>
        </is>
      </c>
      <c r="K25" s="16" t="inlineStr">
        <is>
          <t>Ravi Ranjan · B3, iDEAL · Akshata Sabale · A3, iDEAL · Pratik Ekhande · A3, iDEAL</t>
        </is>
      </c>
      <c r="L25" s="16" t="inlineStr">
        <is>
          <t>Name a successor; document the key process; cross-train one person</t>
        </is>
      </c>
    </row>
  </sheetData>
  <mergeCells count="3">
    <mergeCell ref="A3:L3"/>
    <mergeCell ref="A2:L2"/>
    <mergeCell ref="A1:L1"/>
  </mergeCells>
  <hyperlinks>
    <hyperlink xmlns:r="http://schemas.openxmlformats.org/officeDocument/2006/relationships" ref="M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3.xml><?xml version="1.0" encoding="utf-8"?>
<worksheet xmlns="http://schemas.openxmlformats.org/spreadsheetml/2006/main">
  <sheetPr>
    <tabColor rgb="00548235"/>
    <outlinePr summaryBelow="1" summaryRight="1"/>
    <pageSetUpPr fitToPage="1"/>
  </sheetPr>
  <dimension ref="A1:G13"/>
  <sheetViews>
    <sheetView showGridLines="0" workbookViewId="0">
      <pane ySplit="4" topLeftCell="A5" activePane="bottomLeft" state="frozen"/>
      <selection pane="bottomLeft" activeCell="A1" sqref="A1"/>
    </sheetView>
  </sheetViews>
  <sheetFormatPr baseColWidth="8" defaultRowHeight="15"/>
  <cols>
    <col width="26" customWidth="1" min="1" max="1"/>
    <col width="30" customWidth="1" min="2" max="2"/>
    <col width="9" customWidth="1" min="3" max="3"/>
    <col width="14" customWidth="1" min="4" max="4"/>
    <col width="8" customWidth="1" min="5" max="5"/>
    <col width="60" customWidth="1" min="6" max="6"/>
    <col width="13" customWidth="1" min="7" max="7"/>
  </cols>
  <sheetData>
    <row r="1" ht="34" customHeight="1">
      <c r="A1" s="1" t="inlineStr">
        <is>
          <t>Role definitions — the same work in more than one place</t>
        </is>
      </c>
      <c r="G1" s="241" t="inlineStr">
        <is>
          <t>◂ Contents</t>
        </is>
      </c>
    </row>
    <row r="2" ht="32" customHeight="1">
      <c r="A2" s="3" t="inlineStr">
        <is>
          <t>Sheet 16 · 28 department-level roles map to 26 role definitions · family · sub-family · level · track. First: definitions that carry more than one title · harmonise. Then: definitions held in several departments or businesses · document once in the catalogue.</t>
        </is>
      </c>
    </row>
    <row r="3">
      <c r="A3" s="4" t="inlineStr">
        <is>
          <t>IRIS · Job Architecture &amp; Job Design · Final v1.12 · October 2026 · Internal — Confidential</t>
        </is>
      </c>
    </row>
    <row r="4"/>
    <row r="5" ht="20" customHeight="1">
      <c r="A5" s="6" t="inlineStr">
        <is>
          <t>Definitions with more than one title — 2</t>
        </is>
      </c>
    </row>
    <row r="6" ht="15" customHeight="1">
      <c r="A6" s="12" t="inlineStr">
        <is>
          <t>Job family</t>
        </is>
      </c>
      <c r="B6" s="12" t="inlineStr">
        <is>
          <t>Sub-family</t>
        </is>
      </c>
      <c r="C6" s="12" t="inlineStr">
        <is>
          <t>Level</t>
        </is>
      </c>
      <c r="D6" s="12" t="inlineStr">
        <is>
          <t>Track</t>
        </is>
      </c>
      <c r="E6" s="12" t="inlineStr">
        <is>
          <t>People</t>
        </is>
      </c>
      <c r="F6" s="12" t="inlineStr">
        <is>
          <t>Titles in use</t>
        </is>
      </c>
    </row>
    <row r="7" ht="28" customHeight="1">
      <c r="A7" s="13" t="inlineStr">
        <is>
          <t>Business Analysis</t>
        </is>
      </c>
      <c r="B7" s="16" t="inlineStr">
        <is>
          <t>Business Analysis</t>
        </is>
      </c>
      <c r="C7" s="15" t="inlineStr">
        <is>
          <t>B1</t>
        </is>
      </c>
      <c r="D7" s="16" t="inlineStr">
        <is>
          <t>IC</t>
        </is>
      </c>
      <c r="E7" s="15" t="n">
        <v>3</v>
      </c>
      <c r="F7" s="16" t="inlineStr">
        <is>
          <t>Business Analysis Specialist | Senior Business Analysis Specialist</t>
        </is>
      </c>
    </row>
    <row r="8" ht="28" customHeight="1">
      <c r="A8" s="13" t="inlineStr">
        <is>
          <t>Customer Success &amp; Support</t>
        </is>
      </c>
      <c r="B8" s="16" t="inlineStr">
        <is>
          <t>Application &amp; Product Support</t>
        </is>
      </c>
      <c r="C8" s="15" t="inlineStr">
        <is>
          <t>A3</t>
        </is>
      </c>
      <c r="D8" s="16" t="inlineStr">
        <is>
          <t>IC</t>
        </is>
      </c>
      <c r="E8" s="15" t="n">
        <v>2</v>
      </c>
      <c r="F8" s="16" t="inlineStr">
        <is>
          <t>Senior Support Executive | Support Specialist</t>
        </is>
      </c>
    </row>
    <row r="9" ht="15" customHeight="1"/>
    <row r="10" ht="20" customHeight="1">
      <c r="A10" s="6" t="inlineStr">
        <is>
          <t>Definitions held in more than one department or business — 2</t>
        </is>
      </c>
    </row>
    <row r="11" ht="15" customHeight="1">
      <c r="A11" s="12" t="inlineStr">
        <is>
          <t>Job family</t>
        </is>
      </c>
      <c r="B11" s="12" t="inlineStr">
        <is>
          <t>Sub-family</t>
        </is>
      </c>
      <c r="C11" s="12" t="inlineStr">
        <is>
          <t>Level</t>
        </is>
      </c>
      <c r="D11" s="12" t="inlineStr">
        <is>
          <t>Track</t>
        </is>
      </c>
      <c r="E11" s="12" t="inlineStr">
        <is>
          <t>Roles</t>
        </is>
      </c>
      <c r="F11" s="12" t="inlineStr">
        <is>
          <t>Where · business · department · title · people</t>
        </is>
      </c>
    </row>
    <row r="12" ht="28" customHeight="1">
      <c r="A12" s="13" t="inlineStr">
        <is>
          <t>Business Analysis</t>
        </is>
      </c>
      <c r="B12" s="16" t="inlineStr">
        <is>
          <t>Business Analysis</t>
        </is>
      </c>
      <c r="C12" s="15" t="inlineStr">
        <is>
          <t>B1</t>
        </is>
      </c>
      <c r="D12" s="16" t="inlineStr">
        <is>
          <t>IC</t>
        </is>
      </c>
      <c r="E12" s="15" t="n">
        <v>2</v>
      </c>
      <c r="F12" s="16" t="inlineStr">
        <is>
          <t>iDEAL · Technology · Business Analysis Specialist · 2 | iDEAL · Technology · Senior Business Analysis Specialist · 1</t>
        </is>
      </c>
    </row>
    <row r="13" ht="28" customHeight="1">
      <c r="A13" s="13" t="inlineStr">
        <is>
          <t>Customer Success &amp; Support</t>
        </is>
      </c>
      <c r="B13" s="16" t="inlineStr">
        <is>
          <t>Application &amp; Product Support</t>
        </is>
      </c>
      <c r="C13" s="15" t="inlineStr">
        <is>
          <t>A3</t>
        </is>
      </c>
      <c r="D13" s="16" t="inlineStr">
        <is>
          <t>IC</t>
        </is>
      </c>
      <c r="E13" s="15" t="n">
        <v>2</v>
      </c>
      <c r="F13" s="16" t="inlineStr">
        <is>
          <t>iDEAL · Technology · Senior Support Executive · 1 | iDEAL · Technology · Support Specialist · 1</t>
        </is>
      </c>
    </row>
  </sheetData>
  <mergeCells count="5">
    <mergeCell ref="A2:F2"/>
    <mergeCell ref="A10:F10"/>
    <mergeCell ref="A1:F1"/>
    <mergeCell ref="A5:F5"/>
    <mergeCell ref="A3:F3"/>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2">
    <tablePart xmlns:r="http://schemas.openxmlformats.org/officeDocument/2006/relationships" r:id="rId2"/>
    <tablePart xmlns:r="http://schemas.openxmlformats.org/officeDocument/2006/relationships" r:id="rId3"/>
  </tableParts>
</worksheet>
</file>

<file path=xl/worksheets/sheet24.xml><?xml version="1.0" encoding="utf-8"?>
<worksheet xmlns="http://schemas.openxmlformats.org/spreadsheetml/2006/main">
  <sheetPr>
    <tabColor rgb="00C00000"/>
    <outlinePr summaryBelow="1" summaryRight="1"/>
    <pageSetUpPr fitToPage="1"/>
  </sheetPr>
  <dimension ref="A1:H8"/>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2" customWidth="1" min="3" max="3"/>
    <col width="22" customWidth="1" min="4" max="4"/>
    <col width="9" customWidth="1" min="5" max="5"/>
    <col width="60" customWidth="1" min="6" max="6"/>
    <col width="26" customWidth="1" min="7" max="7"/>
    <col width="13" customWidth="1" min="8" max="8"/>
  </cols>
  <sheetData>
    <row r="1" ht="34" customHeight="1">
      <c r="A1" s="1" t="inlineStr">
        <is>
          <t>Data gaps — what is missing, and who supplies it</t>
        </is>
      </c>
      <c r="H1" s="241" t="inlineStr">
        <is>
          <t>◂ Contents</t>
        </is>
      </c>
    </row>
    <row r="2" ht="30" customHeight="1">
      <c r="A2" s="3" t="inlineStr">
        <is>
          <t>Sheet 17 · 2 employees with at least one missing input. The same list, with owner and status columns, is in the HR Super Master's calibration tracker.</t>
        </is>
      </c>
    </row>
    <row r="3">
      <c r="A3" s="4" t="inlineStr">
        <is>
          <t>IRIS · Job Architecture &amp; Job Design · Final v1.12 · October 2026 · Internal — Confidential</t>
        </is>
      </c>
    </row>
    <row r="4"/>
    <row r="5" ht="15" customHeight="1">
      <c r="A5" s="12" t="inlineStr">
        <is>
          <t>Emp ID</t>
        </is>
      </c>
      <c r="B5" s="12" t="inlineStr">
        <is>
          <t>Person</t>
        </is>
      </c>
      <c r="C5" s="12" t="inlineStr">
        <is>
          <t>Business</t>
        </is>
      </c>
      <c r="D5" s="12" t="inlineStr">
        <is>
          <t>Department</t>
        </is>
      </c>
      <c r="E5" s="12" t="inlineStr">
        <is>
          <t>Level</t>
        </is>
      </c>
      <c r="F5" s="12" t="inlineStr">
        <is>
          <t>What is missing</t>
        </is>
      </c>
      <c r="G5" s="12" t="inlineStr">
        <is>
          <t>Who supplies it</t>
        </is>
      </c>
    </row>
    <row r="6" ht="15" customHeight="1">
      <c r="A6" s="15" t="inlineStr">
        <is>
          <t>IRIS2038</t>
        </is>
      </c>
      <c r="B6" s="16" t="inlineStr">
        <is>
          <t>Swapnil Shirke</t>
        </is>
      </c>
      <c r="C6" s="16" t="inlineStr">
        <is>
          <t>iDEAL</t>
        </is>
      </c>
      <c r="D6" s="16" t="inlineStr">
        <is>
          <t>Technology</t>
        </is>
      </c>
      <c r="E6" s="15" t="inlineStr">
        <is>
          <t>A3</t>
        </is>
      </c>
      <c r="F6" s="16" t="inlineStr">
        <is>
          <t>Confirm the reporting line</t>
        </is>
      </c>
      <c r="G6" s="16" t="inlineStr">
        <is>
          <t>Manager</t>
        </is>
      </c>
    </row>
    <row r="7" ht="15" customHeight="1">
      <c r="A7" s="15" t="inlineStr">
        <is>
          <t>IRIS2555</t>
        </is>
      </c>
      <c r="B7" s="16" t="inlineStr">
        <is>
          <t>Nidhi Kulkarni</t>
        </is>
      </c>
      <c r="C7" s="16" t="inlineStr">
        <is>
          <t>iDEAL</t>
        </is>
      </c>
      <c r="D7" s="16" t="inlineStr">
        <is>
          <t>Technology</t>
        </is>
      </c>
      <c r="E7" s="15" t="inlineStr">
        <is>
          <t>A3</t>
        </is>
      </c>
      <c r="F7" s="16" t="inlineStr">
        <is>
          <t>Total experience · outside + at IRIS</t>
        </is>
      </c>
      <c r="G7" s="16" t="inlineStr">
        <is>
          <t>HR — HRIS</t>
        </is>
      </c>
    </row>
    <row r="8" ht="15" customHeight="1">
      <c r="A8" s="15" t="inlineStr">
        <is>
          <t>IRIS2555</t>
        </is>
      </c>
      <c r="B8" s="16" t="inlineStr">
        <is>
          <t>Nidhi Kulkarni</t>
        </is>
      </c>
      <c r="C8" s="16" t="inlineStr">
        <is>
          <t>iDEAL</t>
        </is>
      </c>
      <c r="D8" s="16" t="inlineStr">
        <is>
          <t>Technology</t>
        </is>
      </c>
      <c r="E8" s="15" t="inlineStr">
        <is>
          <t>A3</t>
        </is>
      </c>
      <c r="F8" s="16" t="inlineStr">
        <is>
          <t>Confirm prior experience · provisional placement</t>
        </is>
      </c>
      <c r="G8" s="16" t="inlineStr">
        <is>
          <t>HR</t>
        </is>
      </c>
    </row>
  </sheetData>
  <mergeCells count="3">
    <mergeCell ref="A3:G3"/>
    <mergeCell ref="A2:G2"/>
    <mergeCell ref="A1:G1"/>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5.xml><?xml version="1.0" encoding="utf-8"?>
<worksheet xmlns="http://schemas.openxmlformats.org/spreadsheetml/2006/main">
  <sheetPr>
    <tabColor rgb="002E75B6"/>
    <outlinePr summaryBelow="1" summaryRight="1"/>
    <pageSetUpPr fitToPage="1"/>
  </sheetPr>
  <dimension ref="A1:Q35"/>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iDEAL: department → band → level, competencies and overlaps</t>
        </is>
      </c>
      <c r="Q1" s="241" t="inlineStr">
        <is>
          <t>◂ Contents</t>
        </is>
      </c>
    </row>
    <row r="2" ht="32" customHeight="1">
      <c r="A2" s="3" t="inlineStr">
        <is>
          <t>Sheet 18 · 47 people in 6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92" t="inlineStr">
        <is>
          <t>Department</t>
        </is>
      </c>
      <c r="B6" s="92" t="inlineStr">
        <is>
          <t>Band</t>
        </is>
      </c>
      <c r="C6" s="92" t="inlineStr">
        <is>
          <t>Level</t>
        </is>
      </c>
      <c r="D6" s="92" t="inlineStr">
        <is>
          <t>Level title</t>
        </is>
      </c>
      <c r="E6" s="92" t="inlineStr">
        <is>
          <t>Job family</t>
        </is>
      </c>
      <c r="F6" s="92" t="inlineStr">
        <is>
          <t>Sub-family</t>
        </is>
      </c>
      <c r="G6" s="92" t="inlineStr">
        <is>
          <t>Designation</t>
        </is>
      </c>
      <c r="H6" s="92" t="inlineStr">
        <is>
          <t>Track</t>
        </is>
      </c>
      <c r="I6" s="92" t="inlineStr">
        <is>
          <t>Holders</t>
        </is>
      </c>
      <c r="J6" s="92" t="inlineStr">
        <is>
          <t>Ladder in this sub-family here · level: designation</t>
        </is>
      </c>
      <c r="K6" s="92" t="inlineStr">
        <is>
          <t>★ Must-have competencies</t>
        </is>
      </c>
      <c r="L6" s="92" t="inlineStr">
        <is>
          <t>Other functional competencies</t>
        </is>
      </c>
      <c r="M6" s="92" t="inlineStr">
        <is>
          <t>Proficiency needed</t>
        </is>
      </c>
      <c r="N6" s="92" t="inlineStr">
        <is>
          <t>Credentials</t>
        </is>
      </c>
      <c r="O6" s="92" t="inlineStr">
        <is>
          <t>Overlap within iDEAL · same work in other departments</t>
        </is>
      </c>
      <c r="P6" s="92" t="inlineStr">
        <is>
          <t>Overlap across IRIS · same work in other products</t>
        </is>
      </c>
    </row>
    <row r="7" ht="68" customHeight="1">
      <c r="A7" s="16" t="inlineStr">
        <is>
          <t>Marketing</t>
        </is>
      </c>
      <c r="B7" s="117" t="inlineStr">
        <is>
          <t>A · Practitioner</t>
        </is>
      </c>
      <c r="C7" s="117" t="inlineStr">
        <is>
          <t>A2</t>
        </is>
      </c>
      <c r="D7" s="16" t="inlineStr">
        <is>
          <t>Associate</t>
        </is>
      </c>
      <c r="E7" s="16" t="inlineStr">
        <is>
          <t>Marketing &amp; Communications</t>
        </is>
      </c>
      <c r="F7" s="16" t="inlineStr">
        <is>
          <t>Content Marketing</t>
        </is>
      </c>
      <c r="G7" s="16" t="inlineStr">
        <is>
          <t>Content Marketing Associate</t>
        </is>
      </c>
      <c r="H7" s="16" t="inlineStr">
        <is>
          <t>IC</t>
        </is>
      </c>
      <c r="I7" s="16" t="n">
        <v>1</v>
      </c>
      <c r="J7" s="16" t="inlineStr">
        <is>
          <r>
            <rPr>
              <rFont val="Calibri"/>
              <b val="1"/>
              <sz val="10"/>
            </rPr>
            <t>A2:</t>
          </r>
          <r>
            <rPr>
              <rFont val="Calibri"/>
              <sz val="10"/>
            </rPr>
            <t xml:space="preserve"> Content Marketing Associate</t>
          </r>
        </is>
      </c>
      <c r="K7" s="16" t="inlineStr">
        <is>
          <t>Marketing Tech &amp; Digital Marketing · Communication &amp; Presentation</t>
        </is>
      </c>
      <c r="L7" s="16" t="inlineStr">
        <is>
          <t>Data Analytics, BI &amp; Visualisation · AI, GenAI &amp; Prompt Engineering · Product, Platform &amp; Domain Knowledge · Strategic Thinking &amp; Business Acumen</t>
        </is>
      </c>
      <c r="M7" s="16" t="inlineStr">
        <is>
          <t>Core 2 · Future-ready 2 · Functional 2 · Leadership —</t>
        </is>
      </c>
      <c r="N7" s="16" t="inlineStr">
        <is>
          <t>Google / HubSpot certifications</t>
        </is>
      </c>
      <c r="O7" s="16" t="inlineStr">
        <is>
          <t>None — only this department</t>
        </is>
      </c>
      <c r="P7" s="117" t="inlineStr">
        <is>
          <t>CARBON 4
Same title</t>
        </is>
      </c>
    </row>
    <row r="8" ht="55" customHeight="1">
      <c r="A8" s="16" t="inlineStr">
        <is>
          <t>Product Management</t>
        </is>
      </c>
      <c r="B8" s="117" t="inlineStr">
        <is>
          <t>A · Practitioner</t>
        </is>
      </c>
      <c r="C8" s="117" t="inlineStr">
        <is>
          <t>A3</t>
        </is>
      </c>
      <c r="D8" s="16" t="inlineStr">
        <is>
          <t>Senior Associate</t>
        </is>
      </c>
      <c r="E8" s="16" t="inlineStr">
        <is>
          <t>Product Management</t>
        </is>
      </c>
      <c r="F8" s="16" t="inlineStr">
        <is>
          <t>Product Operations &amp; Research</t>
        </is>
      </c>
      <c r="G8" s="16" t="inlineStr">
        <is>
          <t>Senior Product Analyst</t>
        </is>
      </c>
      <c r="H8" s="16" t="inlineStr">
        <is>
          <t>IC</t>
        </is>
      </c>
      <c r="I8" s="16" t="n">
        <v>1</v>
      </c>
      <c r="J8" s="16" t="inlineStr">
        <is>
          <r>
            <rPr>
              <rFont val="Calibri"/>
              <b val="1"/>
              <sz val="10"/>
            </rPr>
            <t>A3:</t>
          </r>
          <r>
            <rPr>
              <rFont val="Calibri"/>
              <sz val="10"/>
            </rPr>
            <t xml:space="preserve"> Senior Product Analyst</t>
          </r>
        </is>
      </c>
      <c r="K8" s="16" t="inlineStr">
        <is>
          <t>Product, Platform &amp; Domain Knowledge · Business Analysis &amp; Requirements Engineering</t>
        </is>
      </c>
      <c r="L8" s="16" t="inlineStr">
        <is>
          <t>Data Analytics, BI &amp; Visualisation · Strategic Thinking &amp; Business Acumen · Stakeholder &amp; Client Management · AI, GenAI &amp; Prompt Engineering</t>
        </is>
      </c>
      <c r="M8" s="16" t="inlineStr">
        <is>
          <t>Core 2 · Future-ready 2 · Functional 3 · Leadership —</t>
        </is>
      </c>
      <c r="N8" s="16" t="inlineStr">
        <is>
          <t>Internal product certification; CBAP / CCBA · optional</t>
        </is>
      </c>
      <c r="O8" s="16" t="inlineStr">
        <is>
          <t>None — only this department</t>
        </is>
      </c>
      <c r="P8" s="16" t="inlineStr">
        <is>
          <t>None — only iDEAL</t>
        </is>
      </c>
    </row>
    <row r="9" ht="55" customHeight="1">
      <c r="A9" s="16" t="inlineStr">
        <is>
          <t>Product Management</t>
        </is>
      </c>
      <c r="B9" s="18" t="inlineStr">
        <is>
          <t>B · Specialist / Manager</t>
        </is>
      </c>
      <c r="C9" s="18" t="inlineStr">
        <is>
          <t>B2</t>
        </is>
      </c>
      <c r="D9" s="16" t="inlineStr">
        <is>
          <t>Manager</t>
        </is>
      </c>
      <c r="E9" s="16" t="inlineStr">
        <is>
          <t>Product Management</t>
        </is>
      </c>
      <c r="F9" s="16" t="inlineStr">
        <is>
          <t>Product Management</t>
        </is>
      </c>
      <c r="G9" s="16" t="inlineStr">
        <is>
          <t>Product Manager</t>
        </is>
      </c>
      <c r="H9" s="16" t="inlineStr">
        <is>
          <t>People Manager</t>
        </is>
      </c>
      <c r="I9" s="16" t="n">
        <v>2</v>
      </c>
      <c r="J9" s="16" t="inlineStr">
        <is>
          <r>
            <rPr>
              <rFont val="Calibri"/>
              <b val="1"/>
              <sz val="10"/>
            </rPr>
            <t>B2:</t>
          </r>
          <r>
            <rPr>
              <rFont val="Calibri"/>
              <sz val="10"/>
            </rPr>
            <t xml:space="preserve"> Product Manager</t>
          </r>
        </is>
      </c>
      <c r="K9" s="16" t="inlineStr">
        <is>
          <t>Product, Platform &amp; Domain Knowledge · Business Analysis &amp; Requirements Engineering</t>
        </is>
      </c>
      <c r="L9" s="16" t="inlineStr">
        <is>
          <t>Data Analytics, BI &amp; Visualisation · Strategic Thinking &amp; Business Acumen · Stakeholder &amp; Client Management · AI, GenAI &amp; Prompt Engineering</t>
        </is>
      </c>
      <c r="M9" s="16" t="inlineStr">
        <is>
          <t>Core 3 · Future-ready 3 · Functional 4 · Leadership 3</t>
        </is>
      </c>
      <c r="N9" s="16" t="inlineStr">
        <is>
          <t>Internal product certification; CBAP / CCBA · optional</t>
        </is>
      </c>
      <c r="O9" s="16" t="inlineStr">
        <is>
          <t>None — only this department</t>
        </is>
      </c>
      <c r="P9" s="117" t="inlineStr">
        <is>
          <t>Datatech 3 · CARBON 1
Same title</t>
        </is>
      </c>
    </row>
    <row r="10" ht="55" customHeight="1">
      <c r="A10" s="16" t="inlineStr">
        <is>
          <t>Quality Assurance</t>
        </is>
      </c>
      <c r="B10" s="117" t="inlineStr">
        <is>
          <t>A · Practitioner</t>
        </is>
      </c>
      <c r="C10" s="117" t="inlineStr">
        <is>
          <t>A3</t>
        </is>
      </c>
      <c r="D10" s="16" t="inlineStr">
        <is>
          <t>Senior Associate</t>
        </is>
      </c>
      <c r="E10" s="16" t="inlineStr">
        <is>
          <t>Quality Assurance</t>
        </is>
      </c>
      <c r="F10" s="16" t="inlineStr">
        <is>
          <t>Functional &amp; Domain Testing</t>
        </is>
      </c>
      <c r="G10" s="16" t="inlineStr">
        <is>
          <t>Senior QA Engineer</t>
        </is>
      </c>
      <c r="H10" s="16" t="inlineStr">
        <is>
          <t>IC</t>
        </is>
      </c>
      <c r="I10" s="16" t="n">
        <v>1</v>
      </c>
      <c r="J10" s="16" t="inlineStr">
        <is>
          <r>
            <rPr>
              <rFont val="Calibri"/>
              <b val="1"/>
              <sz val="10"/>
            </rPr>
            <t>A3:</t>
          </r>
          <r>
            <rPr>
              <rFont val="Calibri"/>
              <sz val="10"/>
            </rPr>
            <t xml:space="preserve"> Senior QA Engineer → B1: QA Manager</t>
          </r>
        </is>
      </c>
      <c r="K10" s="16" t="inlineStr">
        <is>
          <t>Test Automation &amp; QA Engineering · Product, Platform &amp; Domain Knowledge</t>
        </is>
      </c>
      <c r="L10" s="16" t="inlineStr">
        <is>
          <t>Database, SQL &amp; Data Engineering · AI, GenAI &amp; Prompt Engineering · Process Improvement &amp; Quality Mindset · Communication &amp; Presentation</t>
        </is>
      </c>
      <c r="M10" s="16" t="inlineStr">
        <is>
          <t>Core 2 · Future-ready 2 · Functional 3 · Leadership —</t>
        </is>
      </c>
      <c r="N10" s="16" t="inlineStr">
        <is>
          <t>ISTQB Foundation / Advanced; Internal product certification</t>
        </is>
      </c>
      <c r="O10" s="16" t="inlineStr">
        <is>
          <t>None — only this department</t>
        </is>
      </c>
      <c r="P10" s="117" t="inlineStr">
        <is>
          <r>
            <rPr>
              <rFont val="Calibri"/>
              <sz val="10"/>
            </rPr>
            <t xml:space="preserve">iFile 11 · CARBON 7 · Datatech 1
</t>
          </r>
          <r>
            <rPr>
              <rFont val="Calibri"/>
              <b val="1"/>
              <sz val="10"/>
            </rPr>
            <t>Titled there:</t>
          </r>
          <r>
            <rPr>
              <rFont val="Calibri"/>
              <sz val="10"/>
            </rPr>
            <t xml:space="preserve"> QA Specialist / Senior QA Engineer</t>
          </r>
        </is>
      </c>
    </row>
    <row r="11" ht="55" customHeight="1">
      <c r="A11" s="16" t="inlineStr">
        <is>
          <t>Quality Assurance</t>
        </is>
      </c>
      <c r="B11" s="117" t="inlineStr">
        <is>
          <t>A · Practitioner</t>
        </is>
      </c>
      <c r="C11" s="117" t="inlineStr">
        <is>
          <t>A3</t>
        </is>
      </c>
      <c r="D11" s="16" t="inlineStr">
        <is>
          <t>Senior Associate</t>
        </is>
      </c>
      <c r="E11" s="16" t="inlineStr">
        <is>
          <t>Quality Assurance</t>
        </is>
      </c>
      <c r="F11" s="16" t="inlineStr">
        <is>
          <t>Test Automation</t>
        </is>
      </c>
      <c r="G11" s="16" t="inlineStr">
        <is>
          <t>Senior QA Automation Engineer</t>
        </is>
      </c>
      <c r="H11" s="16" t="inlineStr">
        <is>
          <t>IC</t>
        </is>
      </c>
      <c r="I11" s="16" t="n">
        <v>3</v>
      </c>
      <c r="J11" s="16" t="inlineStr">
        <is>
          <r>
            <rPr>
              <rFont val="Calibri"/>
              <b val="1"/>
              <sz val="10"/>
            </rPr>
            <t>A3:</t>
          </r>
          <r>
            <rPr>
              <rFont val="Calibri"/>
              <sz val="10"/>
            </rPr>
            <t xml:space="preserve"> Senior QA Automation Engineer</t>
          </r>
        </is>
      </c>
      <c r="K11" s="16" t="inlineStr">
        <is>
          <t>Test Automation &amp; QA Engineering · Product, Platform &amp; Domain Knowledge</t>
        </is>
      </c>
      <c r="L11" s="16" t="inlineStr">
        <is>
          <t>Database, SQL &amp; Data Engineering · AI, GenAI &amp; Prompt Engineering · Process Improvement &amp; Quality Mindset · Communication &amp; Presentation</t>
        </is>
      </c>
      <c r="M11" s="16" t="inlineStr">
        <is>
          <t>Core 2 · Future-ready 2 · Functional 3 · Leadership —</t>
        </is>
      </c>
      <c r="N11" s="16" t="inlineStr">
        <is>
          <t>ISTQB Foundation / Advanced; Internal product certification</t>
        </is>
      </c>
      <c r="O11" s="16" t="inlineStr">
        <is>
          <t>None — only this department</t>
        </is>
      </c>
      <c r="P11" s="117" t="inlineStr">
        <is>
          <t>CARBON 1 · iFile 1 · Datatech 1
Same title</t>
        </is>
      </c>
    </row>
    <row r="12" ht="55" customHeight="1">
      <c r="A12" s="16" t="inlineStr">
        <is>
          <t>Quality Assurance</t>
        </is>
      </c>
      <c r="B12" s="18" t="inlineStr">
        <is>
          <t>B · Specialist / Manager</t>
        </is>
      </c>
      <c r="C12" s="18" t="inlineStr">
        <is>
          <t>B1</t>
        </is>
      </c>
      <c r="D12" s="16" t="inlineStr">
        <is>
          <t>Team Lead</t>
        </is>
      </c>
      <c r="E12" s="16" t="inlineStr">
        <is>
          <t>Quality Assurance</t>
        </is>
      </c>
      <c r="F12" s="16" t="inlineStr">
        <is>
          <t>Functional &amp; Domain Testing</t>
        </is>
      </c>
      <c r="G12" s="16" t="inlineStr">
        <is>
          <t>QA Manager</t>
        </is>
      </c>
      <c r="H12" s="16" t="inlineStr">
        <is>
          <t>People Manager</t>
        </is>
      </c>
      <c r="I12" s="16" t="n">
        <v>1</v>
      </c>
      <c r="J12" s="16" t="inlineStr">
        <is>
          <r>
            <rPr>
              <rFont val="Calibri"/>
              <b val="1"/>
              <sz val="10"/>
            </rPr>
            <t>A3:</t>
          </r>
          <r>
            <rPr>
              <rFont val="Calibri"/>
              <sz val="10"/>
            </rPr>
            <t xml:space="preserve"> Senior QA Engineer → B1: QA Manager</t>
          </r>
        </is>
      </c>
      <c r="K12" s="16" t="inlineStr">
        <is>
          <t>Test Automation &amp; QA Engineering · Product, Platform &amp; Domain Knowledge</t>
        </is>
      </c>
      <c r="L12" s="16" t="inlineStr">
        <is>
          <t>Database, SQL &amp; Data Engineering · AI, GenAI &amp; Prompt Engineering · Process Improvement &amp; Quality Mindset · Communication &amp; Presentation</t>
        </is>
      </c>
      <c r="M12" s="16" t="inlineStr">
        <is>
          <t>Core 3 · Future-ready 3 · Functional 3 · Leadership 2</t>
        </is>
      </c>
      <c r="N12" s="16" t="inlineStr">
        <is>
          <t>ISTQB Foundation / Advanced; Internal product certification</t>
        </is>
      </c>
      <c r="O12" s="16" t="inlineStr">
        <is>
          <t>None — only this department</t>
        </is>
      </c>
      <c r="P12" s="117" t="inlineStr">
        <is>
          <r>
            <rPr>
              <rFont val="Calibri"/>
              <sz val="10"/>
            </rPr>
            <t xml:space="preserve">iFile 3
</t>
          </r>
          <r>
            <rPr>
              <rFont val="Calibri"/>
              <b val="1"/>
              <sz val="10"/>
            </rPr>
            <t>Titled there:</t>
          </r>
          <r>
            <rPr>
              <rFont val="Calibri"/>
              <sz val="10"/>
            </rPr>
            <t xml:space="preserve"> QA Specialist – POD Lead</t>
          </r>
        </is>
      </c>
    </row>
    <row r="13" ht="55" customHeight="1">
      <c r="A13" s="16" t="inlineStr">
        <is>
          <t>Sales</t>
        </is>
      </c>
      <c r="B13" s="117" t="inlineStr">
        <is>
          <t>A · Practitioner</t>
        </is>
      </c>
      <c r="C13" s="117" t="inlineStr">
        <is>
          <t>A1</t>
        </is>
      </c>
      <c r="D13" s="16" t="inlineStr">
        <is>
          <t>Intern / Trainee</t>
        </is>
      </c>
      <c r="E13" s="16" t="inlineStr">
        <is>
          <t>Customer Success &amp; Support</t>
        </is>
      </c>
      <c r="F13" s="16" t="inlineStr">
        <is>
          <t>Application &amp; Product Support</t>
        </is>
      </c>
      <c r="G13" s="16" t="inlineStr">
        <is>
          <t>Intern – Application &amp; Product Support</t>
        </is>
      </c>
      <c r="H13" s="16" t="inlineStr">
        <is>
          <t>IC</t>
        </is>
      </c>
      <c r="I13" s="16" t="n">
        <v>1</v>
      </c>
      <c r="J13" s="16" t="inlineStr">
        <is>
          <r>
            <rPr>
              <rFont val="Calibri"/>
              <b val="1"/>
              <sz val="10"/>
            </rPr>
            <t>A1:</t>
          </r>
          <r>
            <rPr>
              <rFont val="Calibri"/>
              <sz val="10"/>
            </rPr>
            <t xml:space="preserve"> Intern – Application &amp; Product Support</t>
          </r>
        </is>
      </c>
      <c r="K13" s="16" t="inlineStr">
        <is>
          <t>Product, Platform &amp; Domain Knowledge · Stakeholder &amp; Client Management</t>
        </is>
      </c>
      <c r="L13" s="16" t="inlineStr">
        <is>
          <t>Communication &amp; Presentation · Database, SQL &amp; Data Engineering · Regulatory &amp; BFSI Domain · Process Improvement &amp; Quality Mindset</t>
        </is>
      </c>
      <c r="M13" s="16" t="inlineStr">
        <is>
          <t>Core 1 · Future-ready 1 · Functional 1 · Leadership —</t>
        </is>
      </c>
      <c r="N13" s="16" t="inlineStr">
        <is>
          <t>Internal product certification</t>
        </is>
      </c>
      <c r="O13" s="16" t="inlineStr">
        <is>
          <t>None — only this department</t>
        </is>
      </c>
      <c r="P13" s="117" t="inlineStr">
        <is>
          <t>iFile 1
Same title</t>
        </is>
      </c>
    </row>
    <row r="14" ht="55" customHeight="1">
      <c r="A14" s="16" t="inlineStr">
        <is>
          <t>Sales</t>
        </is>
      </c>
      <c r="B14" s="117" t="inlineStr">
        <is>
          <t>A · Practitioner</t>
        </is>
      </c>
      <c r="C14" s="117" t="inlineStr">
        <is>
          <t>A3</t>
        </is>
      </c>
      <c r="D14" s="16" t="inlineStr">
        <is>
          <t>Senior Associate</t>
        </is>
      </c>
      <c r="E14" s="16" t="inlineStr">
        <is>
          <t>Sales &amp; Business Development</t>
        </is>
      </c>
      <c r="F14" s="16" t="inlineStr">
        <is>
          <t>Partnerships &amp; Alliances</t>
        </is>
      </c>
      <c r="G14" s="16" t="inlineStr">
        <is>
          <t>Senior Alliances Executive</t>
        </is>
      </c>
      <c r="H14" s="16" t="inlineStr">
        <is>
          <t>IC</t>
        </is>
      </c>
      <c r="I14" s="16" t="n">
        <v>1</v>
      </c>
      <c r="J14" s="16" t="inlineStr">
        <is>
          <r>
            <rPr>
              <rFont val="Calibri"/>
              <b val="1"/>
              <sz val="10"/>
            </rPr>
            <t>A3:</t>
          </r>
          <r>
            <rPr>
              <rFont val="Calibri"/>
              <sz val="10"/>
            </rPr>
            <t xml:space="preserve"> Senior Alliances Executive</t>
          </r>
        </is>
      </c>
      <c r="K14" s="16" t="inlineStr">
        <is>
          <t>Sales, Negotiation &amp; Account Growth · Marketing Tech &amp; Digital Marketing</t>
        </is>
      </c>
      <c r="L14" s="16" t="inlineStr">
        <is>
          <t>Stakeholder &amp; Client Management · Communication &amp; Presentation · Product, Platform &amp; Domain Knowledge · Strategic Thinking &amp; Business Acumen</t>
        </is>
      </c>
      <c r="M14" s="16" t="inlineStr">
        <is>
          <t>Core 2 · Future-ready 2 · Functional 3 · Leadership —</t>
        </is>
      </c>
      <c r="N14" s="16" t="inlineStr">
        <is>
          <t>Google / HubSpot certifications</t>
        </is>
      </c>
      <c r="O14" s="16" t="inlineStr">
        <is>
          <t>None — only this department</t>
        </is>
      </c>
      <c r="P14" s="16" t="inlineStr">
        <is>
          <t>None — only iDEAL</t>
        </is>
      </c>
    </row>
    <row r="15" ht="55" customHeight="1">
      <c r="A15" s="16" t="inlineStr">
        <is>
          <t>Sales</t>
        </is>
      </c>
      <c r="B15" s="18" t="inlineStr">
        <is>
          <t>B · Specialist / Manager</t>
        </is>
      </c>
      <c r="C15" s="18" t="inlineStr">
        <is>
          <t>B1</t>
        </is>
      </c>
      <c r="D15" s="16" t="inlineStr">
        <is>
          <t>Specialist</t>
        </is>
      </c>
      <c r="E15" s="16" t="inlineStr">
        <is>
          <t>Sales &amp; Business Development</t>
        </is>
      </c>
      <c r="F15" s="16" t="inlineStr">
        <is>
          <t>Enterprise Sales &amp; Account Management</t>
        </is>
      </c>
      <c r="G15" s="16" t="inlineStr">
        <is>
          <t>Account Executive</t>
        </is>
      </c>
      <c r="H15" s="16" t="inlineStr">
        <is>
          <t>IC</t>
        </is>
      </c>
      <c r="I15" s="16" t="n">
        <v>1</v>
      </c>
      <c r="J15" s="16" t="inlineStr">
        <is>
          <r>
            <rPr>
              <rFont val="Calibri"/>
              <b val="1"/>
              <sz val="10"/>
            </rPr>
            <t>B1:</t>
          </r>
          <r>
            <rPr>
              <rFont val="Calibri"/>
              <sz val="10"/>
            </rPr>
            <t xml:space="preserve"> Account Executive → B2: Senior Account Executive</t>
          </r>
        </is>
      </c>
      <c r="K15" s="16" t="inlineStr">
        <is>
          <t>Sales, Negotiation &amp; Account Growth · Marketing Tech &amp; Digital Marketing</t>
        </is>
      </c>
      <c r="L15" s="16" t="inlineStr">
        <is>
          <t>Stakeholder &amp; Client Management · Communication &amp; Presentation · Product, Platform &amp; Domain Knowledge · Strategic Thinking &amp; Business Acumen</t>
        </is>
      </c>
      <c r="M15" s="16" t="inlineStr">
        <is>
          <t>Core 3 · Future-ready 3 · Functional 3 · Leadership 1</t>
        </is>
      </c>
      <c r="N15" s="16" t="inlineStr">
        <is>
          <t>Google / HubSpot certifications</t>
        </is>
      </c>
      <c r="O15" s="16" t="inlineStr">
        <is>
          <t>None — only this department</t>
        </is>
      </c>
      <c r="P15" s="117" t="inlineStr">
        <is>
          <r>
            <rPr>
              <rFont val="Calibri"/>
              <sz val="10"/>
            </rPr>
            <t xml:space="preserve">iFile 1
</t>
          </r>
          <r>
            <rPr>
              <rFont val="Calibri"/>
              <b val="1"/>
              <sz val="10"/>
            </rPr>
            <t>Titled there:</t>
          </r>
          <r>
            <rPr>
              <rFont val="Calibri"/>
              <sz val="10"/>
            </rPr>
            <t xml:space="preserve"> Account Executive – POD Lead</t>
          </r>
        </is>
      </c>
    </row>
    <row r="16" ht="55" customHeight="1">
      <c r="A16" s="16" t="inlineStr">
        <is>
          <t>Sales</t>
        </is>
      </c>
      <c r="B16" s="18" t="inlineStr">
        <is>
          <t>B · Specialist / Manager</t>
        </is>
      </c>
      <c r="C16" s="18" t="inlineStr">
        <is>
          <t>B2</t>
        </is>
      </c>
      <c r="D16" s="16" t="inlineStr">
        <is>
          <t>Senior Specialist</t>
        </is>
      </c>
      <c r="E16" s="16" t="inlineStr">
        <is>
          <t>Sales &amp; Business Development</t>
        </is>
      </c>
      <c r="F16" s="16" t="inlineStr">
        <is>
          <t>Enterprise Sales &amp; Account Management</t>
        </is>
      </c>
      <c r="G16" s="16" t="inlineStr">
        <is>
          <t>Senior Account Executive</t>
        </is>
      </c>
      <c r="H16" s="16" t="inlineStr">
        <is>
          <t>IC</t>
        </is>
      </c>
      <c r="I16" s="16" t="n">
        <v>1</v>
      </c>
      <c r="J16" s="16" t="inlineStr">
        <is>
          <r>
            <rPr>
              <rFont val="Calibri"/>
              <b val="1"/>
              <sz val="10"/>
            </rPr>
            <t>B1:</t>
          </r>
          <r>
            <rPr>
              <rFont val="Calibri"/>
              <sz val="10"/>
            </rPr>
            <t xml:space="preserve"> Account Executive → B2: Senior Account Executive</t>
          </r>
        </is>
      </c>
      <c r="K16" s="16" t="inlineStr">
        <is>
          <t>Sales, Negotiation &amp; Account Growth · Marketing Tech &amp; Digital Marketing</t>
        </is>
      </c>
      <c r="L16" s="16" t="inlineStr">
        <is>
          <t>Stakeholder &amp; Client Management · Communication &amp; Presentation · Product, Platform &amp; Domain Knowledge · Strategic Thinking &amp; Business Acumen</t>
        </is>
      </c>
      <c r="M16" s="16" t="inlineStr">
        <is>
          <t>Core 3 · Future-ready 3 · Functional 4 · Leadership 2</t>
        </is>
      </c>
      <c r="N16" s="16" t="inlineStr">
        <is>
          <t>Google / HubSpot certifications</t>
        </is>
      </c>
      <c r="O16" s="16" t="inlineStr">
        <is>
          <t>None — only this department</t>
        </is>
      </c>
      <c r="P16" s="16" t="inlineStr">
        <is>
          <t>None — only iDEAL</t>
        </is>
      </c>
    </row>
    <row r="17" ht="55" customHeight="1">
      <c r="A17" s="16" t="inlineStr">
        <is>
          <t>Technology</t>
        </is>
      </c>
      <c r="B17" s="117" t="inlineStr">
        <is>
          <t>A · Practitioner</t>
        </is>
      </c>
      <c r="C17" s="117" t="inlineStr">
        <is>
          <t>A1</t>
        </is>
      </c>
      <c r="D17" s="16" t="inlineStr">
        <is>
          <t>Intern / Trainee</t>
        </is>
      </c>
      <c r="E17" s="16" t="inlineStr">
        <is>
          <t>Engineering &amp; Development</t>
        </is>
      </c>
      <c r="F17" s="16" t="inlineStr">
        <is>
          <t>Backend Development</t>
        </is>
      </c>
      <c r="G17" s="16" t="inlineStr">
        <is>
          <t>Trainee Software Engineer</t>
        </is>
      </c>
      <c r="H17" s="16" t="inlineStr">
        <is>
          <t>IC</t>
        </is>
      </c>
      <c r="I17" s="16" t="n">
        <v>1</v>
      </c>
      <c r="J17" s="16" t="inlineStr">
        <is>
          <r>
            <rPr>
              <rFont val="Calibri"/>
              <b val="1"/>
              <sz val="10"/>
            </rPr>
            <t>A1:</t>
          </r>
          <r>
            <rPr>
              <rFont val="Calibri"/>
              <sz val="10"/>
            </rPr>
            <t xml:space="preserve"> Trainee Software Engineer → A2: Software Engineer → A3: Senior Software Engineer → B3: Lead Software Engineer</t>
          </r>
        </is>
      </c>
      <c r="K17" s="16" t="inlineStr">
        <is>
          <t>Programming &amp; Tech-Stack Depth · System Design &amp; Architecture</t>
        </is>
      </c>
      <c r="L17" s="16" t="inlineStr">
        <is>
          <t>Database, SQL &amp; Data Engineering · Cloud, DevOps &amp; CI/CD · AI, GenAI &amp; Prompt Engineering · Product, Platform &amp; Domain Knowledge</t>
        </is>
      </c>
      <c r="M17" s="16" t="inlineStr">
        <is>
          <t>Core 1 · Future-ready 1 · Functional 1 · Leadership —</t>
        </is>
      </c>
      <c r="N17" s="16" t="inlineStr">
        <is>
          <t>Cloud / language certifications · optional; AWS / Azure architect · optional</t>
        </is>
      </c>
      <c r="O17" s="16" t="inlineStr">
        <is>
          <t>None — only this department</t>
        </is>
      </c>
      <c r="P17" s="117" t="inlineStr">
        <is>
          <r>
            <rPr>
              <rFont val="Calibri"/>
              <sz val="10"/>
            </rPr>
            <t xml:space="preserve">iFile 2 · CARBON 1
</t>
          </r>
          <r>
            <rPr>
              <rFont val="Calibri"/>
              <b val="1"/>
              <sz val="10"/>
            </rPr>
            <t>Titled there:</t>
          </r>
          <r>
            <rPr>
              <rFont val="Calibri"/>
              <sz val="10"/>
            </rPr>
            <t xml:space="preserve"> Intern – Software Development / Trainee Software Engineer</t>
          </r>
        </is>
      </c>
    </row>
    <row r="18" ht="55" customHeight="1">
      <c r="A18" s="16" t="inlineStr">
        <is>
          <t>Technology</t>
        </is>
      </c>
      <c r="B18" s="117" t="inlineStr">
        <is>
          <t>A · Practitioner</t>
        </is>
      </c>
      <c r="C18" s="117" t="inlineStr">
        <is>
          <t>A1</t>
        </is>
      </c>
      <c r="D18" s="16" t="inlineStr">
        <is>
          <t>Intern / Trainee</t>
        </is>
      </c>
      <c r="E18" s="16" t="inlineStr">
        <is>
          <t>Engineering &amp; Development</t>
        </is>
      </c>
      <c r="F18" s="16" t="inlineStr">
        <is>
          <t>Full-Stack Development</t>
        </is>
      </c>
      <c r="G18" s="16" t="inlineStr">
        <is>
          <t>Trainee Software Engineer</t>
        </is>
      </c>
      <c r="H18" s="16" t="inlineStr">
        <is>
          <t>IC</t>
        </is>
      </c>
      <c r="I18" s="16" t="n">
        <v>1</v>
      </c>
      <c r="J18" s="16" t="inlineStr">
        <is>
          <r>
            <rPr>
              <rFont val="Calibri"/>
              <b val="1"/>
              <sz val="10"/>
            </rPr>
            <t>A1:</t>
          </r>
          <r>
            <rPr>
              <rFont val="Calibri"/>
              <sz val="10"/>
            </rPr>
            <t xml:space="preserve"> Trainee Software Engineer → A3: Technical Specialist</t>
          </r>
        </is>
      </c>
      <c r="K18" s="16" t="inlineStr">
        <is>
          <t>Programming &amp; Tech-Stack Depth · System Design &amp; Architecture</t>
        </is>
      </c>
      <c r="L18" s="16" t="inlineStr">
        <is>
          <t>Database, SQL &amp; Data Engineering · Cloud, DevOps &amp; CI/CD · AI, GenAI &amp; Prompt Engineering · Product, Platform &amp; Domain Knowledge</t>
        </is>
      </c>
      <c r="M18" s="16" t="inlineStr">
        <is>
          <t>Core 1 · Future-ready 1 · Functional 1 · Leadership —</t>
        </is>
      </c>
      <c r="N18" s="16" t="inlineStr">
        <is>
          <t>Cloud / language certifications · optional; AWS / Azure architect · optional</t>
        </is>
      </c>
      <c r="O18" s="16" t="inlineStr">
        <is>
          <t>None — only this department</t>
        </is>
      </c>
      <c r="P18" s="117" t="inlineStr">
        <is>
          <t>iFile 2 · CARBON 1
Same title</t>
        </is>
      </c>
    </row>
    <row r="19" ht="55" customHeight="1">
      <c r="A19" s="16" t="inlineStr">
        <is>
          <t>Technology</t>
        </is>
      </c>
      <c r="B19" s="117" t="inlineStr">
        <is>
          <t>A · Practitioner</t>
        </is>
      </c>
      <c r="C19" s="117" t="inlineStr">
        <is>
          <t>A2</t>
        </is>
      </c>
      <c r="D19" s="16" t="inlineStr">
        <is>
          <t>Associate</t>
        </is>
      </c>
      <c r="E19" s="16" t="inlineStr">
        <is>
          <t>Customer Success &amp; Support</t>
        </is>
      </c>
      <c r="F19" s="16" t="inlineStr">
        <is>
          <t>Application &amp; Product Support</t>
        </is>
      </c>
      <c r="G19" s="16" t="inlineStr">
        <is>
          <t>Support Executive</t>
        </is>
      </c>
      <c r="H19" s="16" t="inlineStr">
        <is>
          <t>IC</t>
        </is>
      </c>
      <c r="I19" s="16" t="n">
        <v>1</v>
      </c>
      <c r="J19" s="16" t="inlineStr">
        <is>
          <r>
            <rPr>
              <rFont val="Calibri"/>
              <b val="1"/>
              <sz val="10"/>
            </rPr>
            <t>A2:</t>
          </r>
          <r>
            <rPr>
              <rFont val="Calibri"/>
              <sz val="10"/>
            </rPr>
            <t xml:space="preserve"> Support Executive → A3: Senior Support Executive / Support Specialist</t>
          </r>
        </is>
      </c>
      <c r="K19" s="16" t="inlineStr">
        <is>
          <t>Product, Platform &amp; Domain Knowledge · Stakeholder &amp; Client Management</t>
        </is>
      </c>
      <c r="L19" s="16" t="inlineStr">
        <is>
          <t>Communication &amp; Presentation · Database, SQL &amp; Data Engineering · Regulatory &amp; BFSI Domain · Process Improvement &amp; Quality Mindset</t>
        </is>
      </c>
      <c r="M19" s="16" t="inlineStr">
        <is>
          <t>Core 2 · Future-ready 2 · Functional 2 · Leadership —</t>
        </is>
      </c>
      <c r="N19" s="16" t="inlineStr">
        <is>
          <t>Internal product certification</t>
        </is>
      </c>
      <c r="O19" s="16" t="inlineStr">
        <is>
          <t>None — only this department</t>
        </is>
      </c>
      <c r="P19" s="117" t="inlineStr">
        <is>
          <t>iFile 1
Same title</t>
        </is>
      </c>
    </row>
    <row r="20" ht="55" customHeight="1">
      <c r="A20" s="16" t="inlineStr">
        <is>
          <t>Technology</t>
        </is>
      </c>
      <c r="B20" s="117" t="inlineStr">
        <is>
          <t>A · Practitioner</t>
        </is>
      </c>
      <c r="C20" s="117" t="inlineStr">
        <is>
          <t>A2</t>
        </is>
      </c>
      <c r="D20" s="16" t="inlineStr">
        <is>
          <t>Associate</t>
        </is>
      </c>
      <c r="E20" s="16" t="inlineStr">
        <is>
          <t>Engineering &amp; Development</t>
        </is>
      </c>
      <c r="F20" s="16" t="inlineStr">
        <is>
          <t>Backend Development</t>
        </is>
      </c>
      <c r="G20" s="16" t="inlineStr">
        <is>
          <t>Software Engineer</t>
        </is>
      </c>
      <c r="H20" s="16" t="inlineStr">
        <is>
          <t>IC</t>
        </is>
      </c>
      <c r="I20" s="16" t="n">
        <v>2</v>
      </c>
      <c r="J20" s="16" t="inlineStr">
        <is>
          <r>
            <rPr>
              <rFont val="Calibri"/>
              <b val="1"/>
              <sz val="10"/>
            </rPr>
            <t>A1:</t>
          </r>
          <r>
            <rPr>
              <rFont val="Calibri"/>
              <sz val="10"/>
            </rPr>
            <t xml:space="preserve"> Trainee Software Engineer → A2: Software Engineer → A3: Senior Software Engineer → B3: Lead Software Engineer</t>
          </r>
        </is>
      </c>
      <c r="K20" s="16" t="inlineStr">
        <is>
          <t>Programming &amp; Tech-Stack Depth · System Design &amp; Architecture</t>
        </is>
      </c>
      <c r="L20" s="16" t="inlineStr">
        <is>
          <t>Database, SQL &amp; Data Engineering · Cloud, DevOps &amp; CI/CD · AI, GenAI &amp; Prompt Engineering · Product, Platform &amp; Domain Knowledge</t>
        </is>
      </c>
      <c r="M20" s="16" t="inlineStr">
        <is>
          <t>Core 2 · Future-ready 2 · Functional 2 · Leadership —</t>
        </is>
      </c>
      <c r="N20" s="16" t="inlineStr">
        <is>
          <t>Cloud / language certifications · optional; AWS / Azure architect · optional</t>
        </is>
      </c>
      <c r="O20" s="16" t="inlineStr">
        <is>
          <t>None — only this department</t>
        </is>
      </c>
      <c r="P20" s="117" t="inlineStr">
        <is>
          <t>iFile 3 · CARBON 1 · Datatech 1
Same title</t>
        </is>
      </c>
    </row>
    <row r="21" ht="55" customHeight="1">
      <c r="A21" s="16" t="inlineStr">
        <is>
          <t>Technology</t>
        </is>
      </c>
      <c r="B21" s="117" t="inlineStr">
        <is>
          <t>A · Practitioner</t>
        </is>
      </c>
      <c r="C21" s="117" t="inlineStr">
        <is>
          <t>A3</t>
        </is>
      </c>
      <c r="D21" s="16" t="inlineStr">
        <is>
          <t>Senior Associate</t>
        </is>
      </c>
      <c r="E21" s="16" t="inlineStr">
        <is>
          <t>Business Analysis</t>
        </is>
      </c>
      <c r="F21" s="16" t="inlineStr">
        <is>
          <t>Business Analysis</t>
        </is>
      </c>
      <c r="G21" s="16" t="inlineStr">
        <is>
          <t>Senior Business Analyst</t>
        </is>
      </c>
      <c r="H21" s="16" t="inlineStr">
        <is>
          <t>IC</t>
        </is>
      </c>
      <c r="I21" s="16" t="n">
        <v>8</v>
      </c>
      <c r="J21" s="16"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21" s="16" t="inlineStr">
        <is>
          <t>Business Analysis &amp; Requirements Engineering · Regulatory &amp; BFSI Domain</t>
        </is>
      </c>
      <c r="L21" s="16" t="inlineStr">
        <is>
          <t>Product, Platform &amp; Domain Knowledge · Database, SQL &amp; Data Engineering · Stakeholder &amp; Client Management · Communication &amp; Presentation</t>
        </is>
      </c>
      <c r="M21" s="16" t="inlineStr">
        <is>
          <t>Core 2 · Future-ready 2 · Functional 3 · Leadership —</t>
        </is>
      </c>
      <c r="N21" s="16" t="inlineStr">
        <is>
          <t>CBAP / CCBA · optional; Domain certifications · optional</t>
        </is>
      </c>
      <c r="O21" s="16" t="inlineStr">
        <is>
          <t>None — only this department</t>
        </is>
      </c>
      <c r="P21" s="117" t="inlineStr">
        <is>
          <r>
            <rPr>
              <rFont val="Calibri"/>
              <sz val="10"/>
            </rPr>
            <t xml:space="preserve">iFile 8
</t>
          </r>
          <r>
            <rPr>
              <rFont val="Calibri"/>
              <b val="1"/>
              <sz val="10"/>
            </rPr>
            <t>Titled there:</t>
          </r>
          <r>
            <rPr>
              <rFont val="Calibri"/>
              <sz val="10"/>
            </rPr>
            <t xml:space="preserve"> Business Analysis Specialist / Senior Business Analyst</t>
          </r>
        </is>
      </c>
    </row>
    <row r="22" ht="55" customHeight="1">
      <c r="A22" s="16" t="inlineStr">
        <is>
          <t>Technology</t>
        </is>
      </c>
      <c r="B22" s="117" t="inlineStr">
        <is>
          <t>A · Practitioner</t>
        </is>
      </c>
      <c r="C22" s="117" t="inlineStr">
        <is>
          <t>A3</t>
        </is>
      </c>
      <c r="D22" s="16" t="inlineStr">
        <is>
          <t>Senior Associate</t>
        </is>
      </c>
      <c r="E22" s="16" t="inlineStr">
        <is>
          <t>Customer Success &amp; Support</t>
        </is>
      </c>
      <c r="F22" s="16" t="inlineStr">
        <is>
          <t>Application &amp; Product Support</t>
        </is>
      </c>
      <c r="G22" s="16" t="inlineStr">
        <is>
          <t>Senior Support Executive</t>
        </is>
      </c>
      <c r="H22" s="16" t="inlineStr">
        <is>
          <t>IC</t>
        </is>
      </c>
      <c r="I22" s="16" t="n">
        <v>1</v>
      </c>
      <c r="J22" s="16" t="inlineStr">
        <is>
          <r>
            <rPr>
              <rFont val="Calibri"/>
              <b val="1"/>
              <sz val="10"/>
            </rPr>
            <t>A2:</t>
          </r>
          <r>
            <rPr>
              <rFont val="Calibri"/>
              <sz val="10"/>
            </rPr>
            <t xml:space="preserve"> Support Executive → A3: Senior Support Executive / Support Specialist</t>
          </r>
        </is>
      </c>
      <c r="K22" s="16" t="inlineStr">
        <is>
          <t>Product, Platform &amp; Domain Knowledge · Stakeholder &amp; Client Management</t>
        </is>
      </c>
      <c r="L22" s="16" t="inlineStr">
        <is>
          <t>Communication &amp; Presentation · Database, SQL &amp; Data Engineering · Regulatory &amp; BFSI Domain · Process Improvement &amp; Quality Mindset</t>
        </is>
      </c>
      <c r="M22" s="16" t="inlineStr">
        <is>
          <t>Core 2 · Future-ready 2 · Functional 3 · Leadership —</t>
        </is>
      </c>
      <c r="N22" s="16" t="inlineStr">
        <is>
          <t>Internal product certification</t>
        </is>
      </c>
      <c r="O22" s="16" t="inlineStr">
        <is>
          <t>None — only this department</t>
        </is>
      </c>
      <c r="P22" s="117" t="inlineStr">
        <is>
          <t>iFile 8 · CARBON 7
Same title</t>
        </is>
      </c>
    </row>
    <row r="23" ht="55" customHeight="1">
      <c r="A23" s="16" t="inlineStr">
        <is>
          <t>Technology</t>
        </is>
      </c>
      <c r="B23" s="117" t="inlineStr">
        <is>
          <t>A · Practitioner</t>
        </is>
      </c>
      <c r="C23" s="117" t="inlineStr">
        <is>
          <t>A3</t>
        </is>
      </c>
      <c r="D23" s="16" t="inlineStr">
        <is>
          <t>Senior Associate</t>
        </is>
      </c>
      <c r="E23" s="16" t="inlineStr">
        <is>
          <t>Customer Success &amp; Support</t>
        </is>
      </c>
      <c r="F23" s="16" t="inlineStr">
        <is>
          <t>Application &amp; Product Support</t>
        </is>
      </c>
      <c r="G23" s="16" t="inlineStr">
        <is>
          <t>Support Specialist</t>
        </is>
      </c>
      <c r="H23" s="16" t="inlineStr">
        <is>
          <t>IC</t>
        </is>
      </c>
      <c r="I23" s="16" t="n">
        <v>1</v>
      </c>
      <c r="J23" s="16" t="inlineStr">
        <is>
          <r>
            <rPr>
              <rFont val="Calibri"/>
              <b val="1"/>
              <sz val="10"/>
            </rPr>
            <t>A2:</t>
          </r>
          <r>
            <rPr>
              <rFont val="Calibri"/>
              <sz val="10"/>
            </rPr>
            <t xml:space="preserve"> Support Executive → A3: Senior Support Executive / Support Specialist</t>
          </r>
        </is>
      </c>
      <c r="K23" s="16" t="inlineStr">
        <is>
          <t>Product, Platform &amp; Domain Knowledge · Stakeholder &amp; Client Management</t>
        </is>
      </c>
      <c r="L23" s="16" t="inlineStr">
        <is>
          <t>Communication &amp; Presentation · Database, SQL &amp; Data Engineering · Regulatory &amp; BFSI Domain · Process Improvement &amp; Quality Mindset</t>
        </is>
      </c>
      <c r="M23" s="16" t="inlineStr">
        <is>
          <t>Core 2 · Future-ready 2 · Functional 3 · Leadership —</t>
        </is>
      </c>
      <c r="N23" s="16" t="inlineStr">
        <is>
          <t>Internal product certification</t>
        </is>
      </c>
      <c r="O23" s="16" t="inlineStr">
        <is>
          <t>None — only this department</t>
        </is>
      </c>
      <c r="P23" s="117" t="inlineStr">
        <is>
          <r>
            <rPr>
              <rFont val="Calibri"/>
              <sz val="10"/>
            </rPr>
            <t xml:space="preserve">iFile 8 · CARBON 7
</t>
          </r>
          <r>
            <rPr>
              <rFont val="Calibri"/>
              <b val="1"/>
              <sz val="10"/>
            </rPr>
            <t>Titled there:</t>
          </r>
          <r>
            <rPr>
              <rFont val="Calibri"/>
              <sz val="10"/>
            </rPr>
            <t xml:space="preserve"> Senior Support Executive</t>
          </r>
        </is>
      </c>
    </row>
    <row r="24" ht="55" customHeight="1">
      <c r="A24" s="16" t="inlineStr">
        <is>
          <t>Technology</t>
        </is>
      </c>
      <c r="B24" s="117" t="inlineStr">
        <is>
          <t>A · Practitioner</t>
        </is>
      </c>
      <c r="C24" s="117" t="inlineStr">
        <is>
          <t>A3</t>
        </is>
      </c>
      <c r="D24" s="16" t="inlineStr">
        <is>
          <t>Senior Associate</t>
        </is>
      </c>
      <c r="E24" s="16" t="inlineStr">
        <is>
          <t>Engineering &amp; Development</t>
        </is>
      </c>
      <c r="F24" s="16" t="inlineStr">
        <is>
          <t>Backend Development</t>
        </is>
      </c>
      <c r="G24" s="16" t="inlineStr">
        <is>
          <t>Senior Software Engineer</t>
        </is>
      </c>
      <c r="H24" s="16" t="inlineStr">
        <is>
          <t>IC</t>
        </is>
      </c>
      <c r="I24" s="16" t="n">
        <v>5</v>
      </c>
      <c r="J24" s="16" t="inlineStr">
        <is>
          <r>
            <rPr>
              <rFont val="Calibri"/>
              <b val="1"/>
              <sz val="10"/>
            </rPr>
            <t>A1:</t>
          </r>
          <r>
            <rPr>
              <rFont val="Calibri"/>
              <sz val="10"/>
            </rPr>
            <t xml:space="preserve"> Trainee Software Engineer → A2: Software Engineer → A3: Senior Software Engineer → B3: Lead Software Engineer</t>
          </r>
        </is>
      </c>
      <c r="K24" s="16" t="inlineStr">
        <is>
          <t>Programming &amp; Tech-Stack Depth · System Design &amp; Architecture</t>
        </is>
      </c>
      <c r="L24" s="16" t="inlineStr">
        <is>
          <t>Database, SQL &amp; Data Engineering · Cloud, DevOps &amp; CI/CD · AI, GenAI &amp; Prompt Engineering · Product, Platform &amp; Domain Knowledge</t>
        </is>
      </c>
      <c r="M24" s="16" t="inlineStr">
        <is>
          <t>Core 2 · Future-ready 2 · Functional 3 · Leadership —</t>
        </is>
      </c>
      <c r="N24" s="16" t="inlineStr">
        <is>
          <t>Cloud / language certifications · optional; AWS / Azure architect · optional</t>
        </is>
      </c>
      <c r="O24" s="16" t="inlineStr">
        <is>
          <t>None — only this department</t>
        </is>
      </c>
      <c r="P24" s="117" t="inlineStr">
        <is>
          <r>
            <rPr>
              <rFont val="Calibri"/>
              <sz val="10"/>
            </rPr>
            <t xml:space="preserve">iFile 33 · CARBON 9 · Datatech 2
</t>
          </r>
          <r>
            <rPr>
              <rFont val="Calibri"/>
              <b val="1"/>
              <sz val="10"/>
            </rPr>
            <t>Titled there:</t>
          </r>
          <r>
            <rPr>
              <rFont val="Calibri"/>
              <sz val="10"/>
            </rPr>
            <t xml:space="preserve"> Senior Software Engineer / Technical Specialist</t>
          </r>
        </is>
      </c>
    </row>
    <row r="25" ht="55" customHeight="1">
      <c r="A25" s="16" t="inlineStr">
        <is>
          <t>Technology</t>
        </is>
      </c>
      <c r="B25" s="117" t="inlineStr">
        <is>
          <t>A · Practitioner</t>
        </is>
      </c>
      <c r="C25" s="117" t="inlineStr">
        <is>
          <t>A3</t>
        </is>
      </c>
      <c r="D25" s="16" t="inlineStr">
        <is>
          <t>Senior Associate</t>
        </is>
      </c>
      <c r="E25" s="16" t="inlineStr">
        <is>
          <t>Engineering &amp; Development</t>
        </is>
      </c>
      <c r="F25" s="16" t="inlineStr">
        <is>
          <t>Data Engineering &amp; Database Development</t>
        </is>
      </c>
      <c r="G25" s="16" t="inlineStr">
        <is>
          <t>Senior Database Engineer</t>
        </is>
      </c>
      <c r="H25" s="16" t="inlineStr">
        <is>
          <t>IC</t>
        </is>
      </c>
      <c r="I25" s="16" t="n">
        <v>3</v>
      </c>
      <c r="J25" s="16" t="inlineStr">
        <is>
          <r>
            <rPr>
              <rFont val="Calibri"/>
              <b val="1"/>
              <sz val="10"/>
            </rPr>
            <t>A3:</t>
          </r>
          <r>
            <rPr>
              <rFont val="Calibri"/>
              <sz val="10"/>
            </rPr>
            <t xml:space="preserve"> Senior Database Engineer → B1: Database Specialist – POD Lead</t>
          </r>
        </is>
      </c>
      <c r="K25" s="16" t="inlineStr">
        <is>
          <t>Programming &amp; Tech-Stack Depth · System Design &amp; Architecture</t>
        </is>
      </c>
      <c r="L25" s="16" t="inlineStr">
        <is>
          <t>Database, SQL &amp; Data Engineering · Cloud, DevOps &amp; CI/CD · AI, GenAI &amp; Prompt Engineering · Product, Platform &amp; Domain Knowledge</t>
        </is>
      </c>
      <c r="M25" s="16" t="inlineStr">
        <is>
          <t>Core 2 · Future-ready 2 · Functional 3 · Leadership —</t>
        </is>
      </c>
      <c r="N25" s="16" t="inlineStr">
        <is>
          <t>Cloud / language certifications · optional; AWS / Azure architect · optional</t>
        </is>
      </c>
      <c r="O25" s="16" t="inlineStr">
        <is>
          <t>None — only this department</t>
        </is>
      </c>
      <c r="P25" s="117" t="inlineStr">
        <is>
          <r>
            <rPr>
              <rFont val="Calibri"/>
              <sz val="10"/>
            </rPr>
            <t xml:space="preserve">iFile 3
</t>
          </r>
          <r>
            <rPr>
              <rFont val="Calibri"/>
              <b val="1"/>
              <sz val="10"/>
            </rPr>
            <t>Titled there:</t>
          </r>
          <r>
            <rPr>
              <rFont val="Calibri"/>
              <sz val="10"/>
            </rPr>
            <t xml:space="preserve"> Database Specialist / Senior Database Engineer</t>
          </r>
        </is>
      </c>
    </row>
    <row r="26" ht="55" customHeight="1">
      <c r="A26" s="16" t="inlineStr">
        <is>
          <t>Technology</t>
        </is>
      </c>
      <c r="B26" s="117" t="inlineStr">
        <is>
          <t>A · Practitioner</t>
        </is>
      </c>
      <c r="C26" s="117" t="inlineStr">
        <is>
          <t>A3</t>
        </is>
      </c>
      <c r="D26" s="16" t="inlineStr">
        <is>
          <t>Senior Associate</t>
        </is>
      </c>
      <c r="E26" s="16" t="inlineStr">
        <is>
          <t>Engineering &amp; Development</t>
        </is>
      </c>
      <c r="F26" s="16" t="inlineStr">
        <is>
          <t>Full-Stack Development</t>
        </is>
      </c>
      <c r="G26" s="16" t="inlineStr">
        <is>
          <t>Technical Specialist</t>
        </is>
      </c>
      <c r="H26" s="16" t="inlineStr">
        <is>
          <t>IC</t>
        </is>
      </c>
      <c r="I26" s="16" t="n">
        <v>1</v>
      </c>
      <c r="J26" s="16" t="inlineStr">
        <is>
          <r>
            <rPr>
              <rFont val="Calibri"/>
              <b val="1"/>
              <sz val="10"/>
            </rPr>
            <t>A1:</t>
          </r>
          <r>
            <rPr>
              <rFont val="Calibri"/>
              <sz val="10"/>
            </rPr>
            <t xml:space="preserve"> Trainee Software Engineer → A3: Technical Specialist</t>
          </r>
        </is>
      </c>
      <c r="K26" s="16" t="inlineStr">
        <is>
          <t>Programming &amp; Tech-Stack Depth · System Design &amp; Architecture</t>
        </is>
      </c>
      <c r="L26" s="16" t="inlineStr">
        <is>
          <t>Database, SQL &amp; Data Engineering · Cloud, DevOps &amp; CI/CD · AI, GenAI &amp; Prompt Engineering · Product, Platform &amp; Domain Knowledge</t>
        </is>
      </c>
      <c r="M26" s="16" t="inlineStr">
        <is>
          <t>Core 2 · Future-ready 2 · Functional 3 · Leadership —</t>
        </is>
      </c>
      <c r="N26" s="16" t="inlineStr">
        <is>
          <t>Cloud / language certifications · optional; AWS / Azure architect · optional</t>
        </is>
      </c>
      <c r="O26" s="16" t="inlineStr">
        <is>
          <t>None — only this department</t>
        </is>
      </c>
      <c r="P26" s="117" t="inlineStr">
        <is>
          <r>
            <rPr>
              <rFont val="Calibri"/>
              <sz val="10"/>
            </rPr>
            <t xml:space="preserve">CARBON 10 · iFile 8
</t>
          </r>
          <r>
            <rPr>
              <rFont val="Calibri"/>
              <b val="1"/>
              <sz val="10"/>
            </rPr>
            <t>Titled there:</t>
          </r>
          <r>
            <rPr>
              <rFont val="Calibri"/>
              <sz val="10"/>
            </rPr>
            <t xml:space="preserve"> Senior Software Engineer / Technical Specialist</t>
          </r>
        </is>
      </c>
    </row>
    <row r="27" ht="55" customHeight="1">
      <c r="A27" s="16" t="inlineStr">
        <is>
          <t>Technology</t>
        </is>
      </c>
      <c r="B27" s="18" t="inlineStr">
        <is>
          <t>B · Specialist / Manager</t>
        </is>
      </c>
      <c r="C27" s="18" t="inlineStr">
        <is>
          <t>B1</t>
        </is>
      </c>
      <c r="D27" s="16" t="inlineStr">
        <is>
          <t>Specialist</t>
        </is>
      </c>
      <c r="E27" s="16" t="inlineStr">
        <is>
          <t>Business Analysis</t>
        </is>
      </c>
      <c r="F27" s="16" t="inlineStr">
        <is>
          <t>Business Analysis</t>
        </is>
      </c>
      <c r="G27" s="16" t="inlineStr">
        <is>
          <t>Business Analysis Specialist</t>
        </is>
      </c>
      <c r="H27" s="16" t="inlineStr">
        <is>
          <t>IC</t>
        </is>
      </c>
      <c r="I27" s="16" t="n">
        <v>2</v>
      </c>
      <c r="J27" s="16"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27" s="16" t="inlineStr">
        <is>
          <t>Business Analysis &amp; Requirements Engineering · Regulatory &amp; BFSI Domain</t>
        </is>
      </c>
      <c r="L27" s="16" t="inlineStr">
        <is>
          <t>Product, Platform &amp; Domain Knowledge · Database, SQL &amp; Data Engineering · Stakeholder &amp; Client Management · Communication &amp; Presentation</t>
        </is>
      </c>
      <c r="M27" s="16" t="inlineStr">
        <is>
          <t>Core 3 · Future-ready 3 · Functional 3 · Leadership 1</t>
        </is>
      </c>
      <c r="N27" s="16" t="inlineStr">
        <is>
          <t>CBAP / CCBA · optional; Domain certifications · optional</t>
        </is>
      </c>
      <c r="O27" s="16" t="inlineStr">
        <is>
          <t>None — only this department</t>
        </is>
      </c>
      <c r="P27" s="117" t="inlineStr">
        <is>
          <r>
            <rPr>
              <rFont val="Calibri"/>
              <sz val="10"/>
            </rPr>
            <t xml:space="preserve">iFile 3 · CARBON 1
</t>
          </r>
          <r>
            <rPr>
              <rFont val="Calibri"/>
              <b val="1"/>
              <sz val="10"/>
            </rPr>
            <t>Titled there:</t>
          </r>
          <r>
            <rPr>
              <rFont val="Calibri"/>
              <sz val="10"/>
            </rPr>
            <t xml:space="preserve"> Business Analysis Specialist / Team Lead – Business Analysis</t>
          </r>
        </is>
      </c>
    </row>
    <row r="28" ht="55" customHeight="1">
      <c r="A28" s="16" t="inlineStr">
        <is>
          <t>Technology</t>
        </is>
      </c>
      <c r="B28" s="18" t="inlineStr">
        <is>
          <t>B · Specialist / Manager</t>
        </is>
      </c>
      <c r="C28" s="18" t="inlineStr">
        <is>
          <t>B1</t>
        </is>
      </c>
      <c r="D28" s="16" t="inlineStr">
        <is>
          <t>Specialist · POD Lead</t>
        </is>
      </c>
      <c r="E28" s="16" t="inlineStr">
        <is>
          <t>Business Analysis</t>
        </is>
      </c>
      <c r="F28" s="16" t="inlineStr">
        <is>
          <t>Business Analysis</t>
        </is>
      </c>
      <c r="G28" s="16" t="inlineStr">
        <is>
          <t>Business Analysis Specialist – POD Lead</t>
        </is>
      </c>
      <c r="H28" s="16" t="inlineStr">
        <is>
          <t>POD Lead</t>
        </is>
      </c>
      <c r="I28" s="16" t="n">
        <v>1</v>
      </c>
      <c r="J28" s="16"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28" s="16" t="inlineStr">
        <is>
          <t>Business Analysis &amp; Requirements Engineering · Regulatory &amp; BFSI Domain</t>
        </is>
      </c>
      <c r="L28" s="16" t="inlineStr">
        <is>
          <t>Product, Platform &amp; Domain Knowledge · Database, SQL &amp; Data Engineering · Stakeholder &amp; Client Management · Communication &amp; Presentation</t>
        </is>
      </c>
      <c r="M28" s="16" t="inlineStr">
        <is>
          <t>Core 3 · Future-ready 3 · Functional 3 · Leadership 1</t>
        </is>
      </c>
      <c r="N28" s="16" t="inlineStr">
        <is>
          <t>CBAP / CCBA · optional; Domain certifications · optional</t>
        </is>
      </c>
      <c r="O28" s="16" t="inlineStr">
        <is>
          <t>None — only this department</t>
        </is>
      </c>
      <c r="P28" s="117" t="inlineStr">
        <is>
          <r>
            <rPr>
              <rFont val="Calibri"/>
              <sz val="10"/>
            </rPr>
            <t xml:space="preserve">iFile 3 · CARBON 1
</t>
          </r>
          <r>
            <rPr>
              <rFont val="Calibri"/>
              <b val="1"/>
              <sz val="10"/>
            </rPr>
            <t>Titled there:</t>
          </r>
          <r>
            <rPr>
              <rFont val="Calibri"/>
              <sz val="10"/>
            </rPr>
            <t xml:space="preserve"> Business Analysis Specialist / Team Lead – Business Analysis</t>
          </r>
        </is>
      </c>
    </row>
    <row r="29" ht="55" customHeight="1">
      <c r="A29" s="16" t="inlineStr">
        <is>
          <t>Technology</t>
        </is>
      </c>
      <c r="B29" s="18" t="inlineStr">
        <is>
          <t>B · Specialist / Manager</t>
        </is>
      </c>
      <c r="C29" s="18" t="inlineStr">
        <is>
          <t>B1</t>
        </is>
      </c>
      <c r="D29" s="16" t="inlineStr">
        <is>
          <t>Specialist</t>
        </is>
      </c>
      <c r="E29" s="16" t="inlineStr">
        <is>
          <t>Business Analysis</t>
        </is>
      </c>
      <c r="F29" s="16" t="inlineStr">
        <is>
          <t>Business Analysis</t>
        </is>
      </c>
      <c r="G29" s="16" t="inlineStr">
        <is>
          <t>Senior Business Analysis Specialist</t>
        </is>
      </c>
      <c r="H29" s="16" t="inlineStr">
        <is>
          <t>IC</t>
        </is>
      </c>
      <c r="I29" s="16" t="n">
        <v>1</v>
      </c>
      <c r="J29" s="16"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29" s="16" t="inlineStr">
        <is>
          <t>Business Analysis &amp; Requirements Engineering · Regulatory &amp; BFSI Domain</t>
        </is>
      </c>
      <c r="L29" s="16" t="inlineStr">
        <is>
          <t>Product, Platform &amp; Domain Knowledge · Database, SQL &amp; Data Engineering · Stakeholder &amp; Client Management · Communication &amp; Presentation</t>
        </is>
      </c>
      <c r="M29" s="16" t="inlineStr">
        <is>
          <t>Core 3 · Future-ready 3 · Functional 3 · Leadership 1</t>
        </is>
      </c>
      <c r="N29" s="16" t="inlineStr">
        <is>
          <t>CBAP / CCBA · optional; Domain certifications · optional</t>
        </is>
      </c>
      <c r="O29" s="16" t="inlineStr">
        <is>
          <t>None — only this department</t>
        </is>
      </c>
      <c r="P29" s="117" t="inlineStr">
        <is>
          <r>
            <rPr>
              <rFont val="Calibri"/>
              <sz val="10"/>
            </rPr>
            <t xml:space="preserve">iFile 3 · CARBON 1
</t>
          </r>
          <r>
            <rPr>
              <rFont val="Calibri"/>
              <b val="1"/>
              <sz val="10"/>
            </rPr>
            <t>Titled there:</t>
          </r>
          <r>
            <rPr>
              <rFont val="Calibri"/>
              <sz val="10"/>
            </rPr>
            <t xml:space="preserve"> Business Analysis Specialist / Team Lead – Business Analysis</t>
          </r>
        </is>
      </c>
    </row>
    <row r="30" ht="55" customHeight="1">
      <c r="A30" s="16" t="inlineStr">
        <is>
          <t>Technology</t>
        </is>
      </c>
      <c r="B30" s="18" t="inlineStr">
        <is>
          <t>B · Specialist / Manager</t>
        </is>
      </c>
      <c r="C30" s="18" t="inlineStr">
        <is>
          <t>B1</t>
        </is>
      </c>
      <c r="D30" s="16" t="inlineStr">
        <is>
          <t>Team Lead</t>
        </is>
      </c>
      <c r="E30" s="16" t="inlineStr">
        <is>
          <t>Business Analysis</t>
        </is>
      </c>
      <c r="F30" s="16" t="inlineStr">
        <is>
          <t>Business Analysis</t>
        </is>
      </c>
      <c r="G30" s="16" t="inlineStr">
        <is>
          <t>Team Lead – Business Analysis</t>
        </is>
      </c>
      <c r="H30" s="16" t="inlineStr">
        <is>
          <t>People Manager</t>
        </is>
      </c>
      <c r="I30" s="16" t="n">
        <v>1</v>
      </c>
      <c r="J30" s="16"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30" s="16" t="inlineStr">
        <is>
          <t>Business Analysis &amp; Requirements Engineering · Regulatory &amp; BFSI Domain</t>
        </is>
      </c>
      <c r="L30" s="16" t="inlineStr">
        <is>
          <t>Product, Platform &amp; Domain Knowledge · Database, SQL &amp; Data Engineering · Stakeholder &amp; Client Management · Communication &amp; Presentation</t>
        </is>
      </c>
      <c r="M30" s="16" t="inlineStr">
        <is>
          <t>Core 3 · Future-ready 3 · Functional 3 · Leadership 2</t>
        </is>
      </c>
      <c r="N30" s="16" t="inlineStr">
        <is>
          <t>CBAP / CCBA · optional; Domain certifications · optional</t>
        </is>
      </c>
      <c r="O30" s="16" t="inlineStr">
        <is>
          <t>None — only this department</t>
        </is>
      </c>
      <c r="P30" s="117" t="inlineStr">
        <is>
          <r>
            <rPr>
              <rFont val="Calibri"/>
              <sz val="10"/>
            </rPr>
            <t xml:space="preserve">iFile 3 · CARBON 1
</t>
          </r>
          <r>
            <rPr>
              <rFont val="Calibri"/>
              <b val="1"/>
              <sz val="10"/>
            </rPr>
            <t>Titled there:</t>
          </r>
          <r>
            <rPr>
              <rFont val="Calibri"/>
              <sz val="10"/>
            </rPr>
            <t xml:space="preserve"> Business Analysis Specialist / Team Lead – Business Analysis</t>
          </r>
        </is>
      </c>
    </row>
    <row r="31" ht="55" customHeight="1">
      <c r="A31" s="16" t="inlineStr">
        <is>
          <t>Technology</t>
        </is>
      </c>
      <c r="B31" s="18" t="inlineStr">
        <is>
          <t>B · Specialist / Manager</t>
        </is>
      </c>
      <c r="C31" s="18" t="inlineStr">
        <is>
          <t>B1</t>
        </is>
      </c>
      <c r="D31" s="16" t="inlineStr">
        <is>
          <t>Specialist · POD Lead</t>
        </is>
      </c>
      <c r="E31" s="16" t="inlineStr">
        <is>
          <t>Engineering &amp; Development</t>
        </is>
      </c>
      <c r="F31" s="16" t="inlineStr">
        <is>
          <t>Data Engineering &amp; Database Development</t>
        </is>
      </c>
      <c r="G31" s="16" t="inlineStr">
        <is>
          <t>Database Specialist – POD Lead</t>
        </is>
      </c>
      <c r="H31" s="16" t="inlineStr">
        <is>
          <t>POD Lead</t>
        </is>
      </c>
      <c r="I31" s="16" t="n">
        <v>1</v>
      </c>
      <c r="J31" s="16" t="inlineStr">
        <is>
          <r>
            <rPr>
              <rFont val="Calibri"/>
              <b val="1"/>
              <sz val="10"/>
            </rPr>
            <t>A3:</t>
          </r>
          <r>
            <rPr>
              <rFont val="Calibri"/>
              <sz val="10"/>
            </rPr>
            <t xml:space="preserve"> Senior Database Engineer → B1: Database Specialist – POD Lead</t>
          </r>
        </is>
      </c>
      <c r="K31" s="16" t="inlineStr">
        <is>
          <t>Programming &amp; Tech-Stack Depth · System Design &amp; Architecture</t>
        </is>
      </c>
      <c r="L31" s="16" t="inlineStr">
        <is>
          <t>Database, SQL &amp; Data Engineering · Cloud, DevOps &amp; CI/CD · AI, GenAI &amp; Prompt Engineering · Product, Platform &amp; Domain Knowledge</t>
        </is>
      </c>
      <c r="M31" s="16" t="inlineStr">
        <is>
          <t>Core 3 · Future-ready 3 · Functional 3 · Leadership 1</t>
        </is>
      </c>
      <c r="N31" s="16" t="inlineStr">
        <is>
          <t>Cloud / language certifications · optional; AWS / Azure architect · optional</t>
        </is>
      </c>
      <c r="O31" s="16" t="inlineStr">
        <is>
          <t>None — only this department</t>
        </is>
      </c>
      <c r="P31" s="16" t="inlineStr">
        <is>
          <t>None — only iDEAL</t>
        </is>
      </c>
    </row>
    <row r="32" ht="68" customHeight="1">
      <c r="A32" s="16" t="inlineStr">
        <is>
          <t>Technology</t>
        </is>
      </c>
      <c r="B32" s="18" t="inlineStr">
        <is>
          <t>B · Specialist / Manager</t>
        </is>
      </c>
      <c r="C32" s="18" t="inlineStr">
        <is>
          <t>B1</t>
        </is>
      </c>
      <c r="D32" s="16" t="inlineStr">
        <is>
          <t>Specialist</t>
        </is>
      </c>
      <c r="E32" s="16" t="inlineStr">
        <is>
          <t>Project &amp; Program Management</t>
        </is>
      </c>
      <c r="F32" s="16" t="inlineStr">
        <is>
          <t>Project &amp; Program Delivery</t>
        </is>
      </c>
      <c r="G32" s="16" t="inlineStr">
        <is>
          <t>Associate Project Manager</t>
        </is>
      </c>
      <c r="H32" s="16" t="inlineStr">
        <is>
          <t>IC</t>
        </is>
      </c>
      <c r="I32" s="16" t="n">
        <v>1</v>
      </c>
      <c r="J32" s="16" t="inlineStr">
        <is>
          <r>
            <rPr>
              <rFont val="Calibri"/>
              <b val="1"/>
              <sz val="10"/>
            </rPr>
            <t>B1:</t>
          </r>
          <r>
            <rPr>
              <rFont val="Calibri"/>
              <sz val="10"/>
            </rPr>
            <t xml:space="preserve"> Associate Project Manager</t>
          </r>
        </is>
      </c>
      <c r="K32" s="16" t="inlineStr">
        <is>
          <t>Project, Program &amp; Agile Management · Stakeholder &amp; Client Management</t>
        </is>
      </c>
      <c r="L32" s="16" t="inlineStr">
        <is>
          <t>Communication &amp; Presentation · Process Improvement &amp; Quality Mindset · Strategic Thinking &amp; Business Acumen · Product, Platform &amp; Domain Knowledge</t>
        </is>
      </c>
      <c r="M32" s="16" t="inlineStr">
        <is>
          <t>Core 3 · Future-ready 3 · Functional 3 · Leadership 1</t>
        </is>
      </c>
      <c r="N32" s="16" t="inlineStr">
        <is>
          <t>PMP / PRINCE2 / CSM / SAFe</t>
        </is>
      </c>
      <c r="O32" s="16" t="inlineStr">
        <is>
          <t>None — only this department</t>
        </is>
      </c>
      <c r="P32" s="117" t="inlineStr">
        <is>
          <r>
            <rPr>
              <rFont val="Calibri"/>
              <sz val="10"/>
            </rPr>
            <t xml:space="preserve">iFile 3
</t>
          </r>
          <r>
            <rPr>
              <rFont val="Calibri"/>
              <b val="1"/>
              <sz val="10"/>
            </rPr>
            <t>Titled there:</t>
          </r>
          <r>
            <rPr>
              <rFont val="Calibri"/>
              <sz val="10"/>
            </rPr>
            <t xml:space="preserve"> Associate Project Manager / Associate Project Manager – POD Lead / Project Manager – POD Lead</t>
          </r>
        </is>
      </c>
    </row>
    <row r="33" ht="55" customHeight="1">
      <c r="A33" s="16" t="inlineStr">
        <is>
          <t>Technology</t>
        </is>
      </c>
      <c r="B33" s="18" t="inlineStr">
        <is>
          <t>B · Specialist / Manager</t>
        </is>
      </c>
      <c r="C33" s="18" t="inlineStr">
        <is>
          <t>B3</t>
        </is>
      </c>
      <c r="D33" s="16" t="inlineStr">
        <is>
          <t>Lead Specialist</t>
        </is>
      </c>
      <c r="E33" s="16" t="inlineStr">
        <is>
          <t>Engineering &amp; Development</t>
        </is>
      </c>
      <c r="F33" s="16" t="inlineStr">
        <is>
          <t>Backend Development</t>
        </is>
      </c>
      <c r="G33" s="16" t="inlineStr">
        <is>
          <t>Lead Software Engineer</t>
        </is>
      </c>
      <c r="H33" s="16" t="inlineStr">
        <is>
          <t>IC</t>
        </is>
      </c>
      <c r="I33" s="16" t="n">
        <v>1</v>
      </c>
      <c r="J33" s="16" t="inlineStr">
        <is>
          <r>
            <rPr>
              <rFont val="Calibri"/>
              <b val="1"/>
              <sz val="10"/>
            </rPr>
            <t>A1:</t>
          </r>
          <r>
            <rPr>
              <rFont val="Calibri"/>
              <sz val="10"/>
            </rPr>
            <t xml:space="preserve"> Trainee Software Engineer → A2: Software Engineer → A3: Senior Software Engineer → B3: Lead Software Engineer</t>
          </r>
        </is>
      </c>
      <c r="K33" s="16" t="inlineStr">
        <is>
          <t>Programming &amp; Tech-Stack Depth · System Design &amp; Architecture</t>
        </is>
      </c>
      <c r="L33" s="16" t="inlineStr">
        <is>
          <t>Database, SQL &amp; Data Engineering · Cloud, DevOps &amp; CI/CD · AI, GenAI &amp; Prompt Engineering · Product, Platform &amp; Domain Knowledge</t>
        </is>
      </c>
      <c r="M33" s="16" t="inlineStr">
        <is>
          <t>Core 4 · Future-ready 3 · Functional 4 · Leadership 3</t>
        </is>
      </c>
      <c r="N33" s="16" t="inlineStr">
        <is>
          <t>Cloud / language certifications · optional; AWS / Azure architect · optional</t>
        </is>
      </c>
      <c r="O33" s="16" t="inlineStr">
        <is>
          <t>None — only this department</t>
        </is>
      </c>
      <c r="P33" s="117" t="inlineStr">
        <is>
          <r>
            <rPr>
              <rFont val="Calibri"/>
              <sz val="10"/>
            </rPr>
            <t xml:space="preserve">iFile 2 · CARBON 1
</t>
          </r>
          <r>
            <rPr>
              <rFont val="Calibri"/>
              <b val="1"/>
              <sz val="10"/>
            </rPr>
            <t>Titled there:</t>
          </r>
          <r>
            <rPr>
              <rFont val="Calibri"/>
              <sz val="10"/>
            </rPr>
            <t xml:space="preserve"> Lead Software Engineer / Lead Software Engineer – POD Lead / Senior Engineering Manager</t>
          </r>
        </is>
      </c>
    </row>
    <row r="34" ht="55" customHeight="1">
      <c r="A34" s="16" t="inlineStr">
        <is>
          <t>Technology</t>
        </is>
      </c>
      <c r="B34" s="145" t="inlineStr">
        <is>
          <t>B+ · Player-Coach</t>
        </is>
      </c>
      <c r="C34" s="145" t="inlineStr">
        <is>
          <t>B+</t>
        </is>
      </c>
      <c r="D34" s="16" t="inlineStr">
        <is>
          <t>Practice Lead · Player-Coach</t>
        </is>
      </c>
      <c r="E34" s="16" t="inlineStr">
        <is>
          <t>Engineering &amp; Architecture</t>
        </is>
      </c>
      <c r="F34" s="16" t="inlineStr">
        <is>
          <t>Solution &amp; Technical Architecture</t>
        </is>
      </c>
      <c r="G34" s="16" t="inlineStr">
        <is>
          <t>Practice Lead – Solution &amp; Technical Architecture · Player-Coach</t>
        </is>
      </c>
      <c r="H34" s="16" t="inlineStr">
        <is>
          <t>Player-Coach</t>
        </is>
      </c>
      <c r="I34" s="16" t="n">
        <v>1</v>
      </c>
      <c r="J34" s="16" t="inlineStr">
        <is>
          <t>B+: Practice Lead – Solution &amp; Technical Architecture · Player-Coach</t>
        </is>
      </c>
      <c r="K34" s="16" t="inlineStr">
        <is>
          <t>System Design &amp; Architecture · Programming &amp; Tech-Stack Depth</t>
        </is>
      </c>
      <c r="L34" s="16" t="inlineStr">
        <is>
          <t>Cloud, DevOps &amp; CI/CD · Cybersecurity &amp; Infrastructure · Stakeholder &amp; Client Management · Strategic Thinking &amp; Business Acumen</t>
        </is>
      </c>
      <c r="M34" s="16" t="inlineStr">
        <is>
          <t>Core 4 · Future-ready 4 · Functional 4 · Leadership 4</t>
        </is>
      </c>
      <c r="N34" s="16" t="inlineStr">
        <is>
          <t>AWS / Azure architect · optional; Cloud / language certifications · optional</t>
        </is>
      </c>
      <c r="O34" s="16" t="inlineStr">
        <is>
          <t>None — only this department</t>
        </is>
      </c>
      <c r="P34" s="117" t="inlineStr">
        <is>
          <t>iFile 4
Same title</t>
        </is>
      </c>
    </row>
    <row r="35" ht="55" customHeight="1">
      <c r="A35" s="16" t="inlineStr">
        <is>
          <t>iDEAL Business Head</t>
        </is>
      </c>
      <c r="B35" s="152" t="inlineStr">
        <is>
          <t>D · Business leadership</t>
        </is>
      </c>
      <c r="C35" s="152" t="inlineStr">
        <is>
          <t>D1</t>
        </is>
      </c>
      <c r="D35" s="16" t="inlineStr">
        <is>
          <t>Associate Vice President / Business Head</t>
        </is>
      </c>
      <c r="E35" s="16" t="inlineStr">
        <is>
          <t>Executive Leadership</t>
        </is>
      </c>
      <c r="F35" s="16" t="inlineStr">
        <is>
          <t>Business &amp; Functional Leadership</t>
        </is>
      </c>
      <c r="G35" s="16" t="inlineStr">
        <is>
          <t>Business Head – iDEAL</t>
        </is>
      </c>
      <c r="H35" s="16" t="inlineStr">
        <is>
          <t>People Manager</t>
        </is>
      </c>
      <c r="I35" s="16" t="n">
        <v>1</v>
      </c>
      <c r="J35" s="16" t="inlineStr">
        <is>
          <r>
            <rPr>
              <rFont val="Calibri"/>
              <b val="1"/>
              <sz val="10"/>
            </rPr>
            <t>D1:</t>
          </r>
          <r>
            <rPr>
              <rFont val="Calibri"/>
              <sz val="10"/>
            </rPr>
            <t xml:space="preserve"> Business Head – iDEAL</t>
          </r>
        </is>
      </c>
      <c r="K35" s="16" t="inlineStr">
        <is>
          <t>Strategic Thinking &amp; Business Acumen · People Leadership &amp; Mentoring</t>
        </is>
      </c>
      <c r="L35" s="16" t="inlineStr">
        <is>
          <t>Stakeholder &amp; Client Management · Product, Platform &amp; Domain Knowledge · Regulatory &amp; BFSI Domain · Communication &amp; Presentation</t>
        </is>
      </c>
      <c r="M35" s="16" t="inlineStr">
        <is>
          <t>Core 5 · Future-ready 4 · Functional 4 · Leadership 5</t>
        </is>
      </c>
      <c r="N35" s="16" t="inlineStr">
        <is>
          <t>MBA / PGDM · preferred at C+</t>
        </is>
      </c>
      <c r="O35" s="16" t="inlineStr">
        <is>
          <t>None — only this department</t>
        </is>
      </c>
      <c r="P35" s="117" t="inlineStr">
        <is>
          <r>
            <rPr>
              <rFont val="Calibri"/>
              <sz val="10"/>
            </rPr>
            <t xml:space="preserve">CARBON 1
</t>
          </r>
          <r>
            <rPr>
              <rFont val="Calibri"/>
              <b val="1"/>
              <sz val="10"/>
            </rPr>
            <t>Titled there:</t>
          </r>
          <r>
            <rPr>
              <rFont val="Calibri"/>
              <sz val="10"/>
            </rPr>
            <t xml:space="preserve"> Senior Vice President – Customer Experience</t>
          </r>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26.xml><?xml version="1.0" encoding="utf-8"?>
<worksheet xmlns="http://schemas.openxmlformats.org/spreadsheetml/2006/main">
  <sheetPr>
    <outlinePr summaryBelow="1" summaryRight="1"/>
    <pageSetUpPr/>
  </sheetPr>
  <dimension ref="A1:Q47"/>
  <sheetViews>
    <sheetView workbookViewId="0">
      <selection activeCell="A1" sqref="A1"/>
    </sheetView>
  </sheetViews>
  <sheetFormatPr baseColWidth="8" defaultRowHeight="15"/>
  <sheetData>
    <row r="1">
      <c r="A1" t="inlineStr">
        <is>
          <t>iDEAL</t>
        </is>
      </c>
      <c r="B1" t="inlineStr">
        <is>
          <t>Marketing</t>
        </is>
      </c>
      <c r="D1" t="inlineStr">
        <is>
          <t>Muskan Jain</t>
        </is>
      </c>
      <c r="E1" t="inlineStr">
        <is>
          <t>IRIS2511</t>
        </is>
      </c>
      <c r="F1" t="inlineStr">
        <is>
          <t>iDEAL|Marketing</t>
        </is>
      </c>
      <c r="H1" t="inlineStr">
        <is>
          <t>iDEAL|Marketing|Muskan Jain</t>
        </is>
      </c>
      <c r="I1" t="inlineStr">
        <is>
          <t>IRIS2511</t>
        </is>
      </c>
      <c r="J1" t="n">
        <v>1</v>
      </c>
      <c r="L1">
        <f>IF(TRUE,1,0)</f>
        <v>1</v>
      </c>
      <c r="M1" t="str">
        <f>IFERROR(INDEX($A$1:$A$1,MATCH(1,$L$1:$L$1,0)),"")</f>
        <v>iDEAL</v>
      </c>
      <c r="N1">
        <f>IF(AND(LEFT($F1,LEN('1b. Person Card'!$J$5)+1)='1b. Person Card'!$J$5&amp;"|",OR('1b. Person Card'!$F$5="",ISNUMBER(SEARCH('1b. Person Card'!$F$5,MID($F1,LEN('1b. Person Card'!$J$5)+2,250))))),1,0)</f>
        <v>1</v>
      </c>
      <c r="O1" t="str">
        <f>IFERROR(MID(INDEX($F$1:$F$6,MATCH(1,$N$1:$N$6,0)),LEN('1b. Person Card'!$J$5)+2,250),"")</f>
        <v>Marketing</v>
      </c>
      <c r="P1">
        <f>IF(AND(LEFT($H1,LEN('1b. Person Card'!$J$5)+LEN('1b. Person Card'!$B$5)+2)='1b. Person Card'!$J$5&amp;"|"&amp;'1b. Person Card'!$B$5&amp;"|",OR('1b. Person Card'!$F$6="",ISNUMBER(SEARCH('1b. Person Card'!$F$6,$D1)))),1,0)</f>
        <v>1</v>
      </c>
      <c r="Q1" t="str">
        <f>IFERROR(INDEX($D$1:$D$47,MATCH(1,$P$1:$P$47,0)),"")</f>
        <v>Muskan Jain</v>
      </c>
    </row>
    <row r="2">
      <c r="B2" t="inlineStr">
        <is>
          <t>Product Management</t>
        </is>
      </c>
      <c r="D2" t="inlineStr">
        <is>
          <t>Dnyaneshwar Daund</t>
        </is>
      </c>
      <c r="E2" t="inlineStr">
        <is>
          <t>IRIS0971</t>
        </is>
      </c>
      <c r="F2" t="inlineStr">
        <is>
          <t>iDEAL|Product Management</t>
        </is>
      </c>
      <c r="H2" t="inlineStr">
        <is>
          <t>iDEAL|Product Management|Dnyaneshwar Daund</t>
        </is>
      </c>
      <c r="I2" t="inlineStr">
        <is>
          <t>IRIS0971</t>
        </is>
      </c>
      <c r="J2" t="n">
        <v>2</v>
      </c>
      <c r="N2">
        <f>IF(AND(LEFT($F2,LEN('1b. Person Card'!$J$5)+1)='1b. Person Card'!$J$5&amp;"|",OR('1b. Person Card'!$F$5="",ISNUMBER(SEARCH('1b. Person Card'!$F$5,MID($F2,LEN('1b. Person Card'!$J$5)+2,250))))),1,0)+N1</f>
        <v>2</v>
      </c>
      <c r="O2" t="str">
        <f>IFERROR(MID(INDEX($F$1:$F$6,MATCH(2,$N$1:$N$6,0)),LEN('1b. Person Card'!$J$5)+2,250),"")</f>
        <v>Product Management</v>
      </c>
      <c r="P2">
        <f>IF(AND(LEFT($H2,LEN('1b. Person Card'!$J$5)+LEN('1b. Person Card'!$B$5)+2)='1b. Person Card'!$J$5&amp;"|"&amp;'1b. Person Card'!$B$5&amp;"|",OR('1b. Person Card'!$F$6="",ISNUMBER(SEARCH('1b. Person Card'!$F$6,$D2)))),1,0)+P1</f>
        <v>1</v>
      </c>
      <c r="Q2">
        <f>IFERROR(INDEX($D$1:$D$47,MATCH(2,$P$1:$P$47,0)),"")</f>
      </c>
    </row>
    <row r="3">
      <c r="B3" t="inlineStr">
        <is>
          <t>Quality Assurance</t>
        </is>
      </c>
      <c r="D3" t="inlineStr">
        <is>
          <t>Srijith Menon</t>
        </is>
      </c>
      <c r="E3" t="inlineStr">
        <is>
          <t>IRIS2435</t>
        </is>
      </c>
      <c r="F3" t="inlineStr">
        <is>
          <t>iDEAL|Quality Assurance</t>
        </is>
      </c>
      <c r="H3" t="inlineStr">
        <is>
          <t>iDEAL|Product Management|Srijith Menon</t>
        </is>
      </c>
      <c r="I3" t="inlineStr">
        <is>
          <t>IRIS2435</t>
        </is>
      </c>
      <c r="J3" t="n">
        <v>4</v>
      </c>
      <c r="N3">
        <f>IF(AND(LEFT($F3,LEN('1b. Person Card'!$J$5)+1)='1b. Person Card'!$J$5&amp;"|",OR('1b. Person Card'!$F$5="",ISNUMBER(SEARCH('1b. Person Card'!$F$5,MID($F3,LEN('1b. Person Card'!$J$5)+2,250))))),1,0)+N2</f>
        <v>3</v>
      </c>
      <c r="O3" t="str">
        <f>IFERROR(MID(INDEX($F$1:$F$6,MATCH(3,$N$1:$N$6,0)),LEN('1b. Person Card'!$J$5)+2,250),"")</f>
        <v>Quality Assurance</v>
      </c>
      <c r="P3">
        <f>IF(AND(LEFT($H3,LEN('1b. Person Card'!$J$5)+LEN('1b. Person Card'!$B$5)+2)='1b. Person Card'!$J$5&amp;"|"&amp;'1b. Person Card'!$B$5&amp;"|",OR('1b. Person Card'!$F$6="",ISNUMBER(SEARCH('1b. Person Card'!$F$6,$D3)))),1,0)+P2</f>
        <v>1</v>
      </c>
      <c r="Q3">
        <f>IFERROR(INDEX($D$1:$D$47,MATCH(3,$P$1:$P$47,0)),"")</f>
      </c>
    </row>
    <row r="4">
      <c r="B4" t="inlineStr">
        <is>
          <t>Sales</t>
        </is>
      </c>
      <c r="D4" t="inlineStr">
        <is>
          <t>Yuvraj Kharchane</t>
        </is>
      </c>
      <c r="E4" t="inlineStr">
        <is>
          <t>IRIS1158</t>
        </is>
      </c>
      <c r="F4" t="inlineStr">
        <is>
          <t>iDEAL|Sales</t>
        </is>
      </c>
      <c r="H4" t="inlineStr">
        <is>
          <t>iDEAL|Product Management|Yuvraj Kharchane</t>
        </is>
      </c>
      <c r="I4" t="inlineStr">
        <is>
          <t>IRIS1158</t>
        </is>
      </c>
      <c r="J4" t="n">
        <v>3</v>
      </c>
      <c r="N4">
        <f>IF(AND(LEFT($F4,LEN('1b. Person Card'!$J$5)+1)='1b. Person Card'!$J$5&amp;"|",OR('1b. Person Card'!$F$5="",ISNUMBER(SEARCH('1b. Person Card'!$F$5,MID($F4,LEN('1b. Person Card'!$J$5)+2,250))))),1,0)+N3</f>
        <v>4</v>
      </c>
      <c r="O4" t="str">
        <f>IFERROR(MID(INDEX($F$1:$F$6,MATCH(4,$N$1:$N$6,0)),LEN('1b. Person Card'!$J$5)+2,250),"")</f>
        <v>Sales</v>
      </c>
      <c r="P4">
        <f>IF(AND(LEFT($H4,LEN('1b. Person Card'!$J$5)+LEN('1b. Person Card'!$B$5)+2)='1b. Person Card'!$J$5&amp;"|"&amp;'1b. Person Card'!$B$5&amp;"|",OR('1b. Person Card'!$F$6="",ISNUMBER(SEARCH('1b. Person Card'!$F$6,$D4)))),1,0)+P3</f>
        <v>1</v>
      </c>
      <c r="Q4">
        <f>IFERROR(INDEX($D$1:$D$47,MATCH(4,$P$1:$P$47,0)),"")</f>
      </c>
    </row>
    <row r="5">
      <c r="B5" t="inlineStr">
        <is>
          <t>Technology</t>
        </is>
      </c>
      <c r="D5" t="inlineStr">
        <is>
          <t>Atharv Ravindra Bokade</t>
        </is>
      </c>
      <c r="E5" t="inlineStr">
        <is>
          <t>IRIS2271</t>
        </is>
      </c>
      <c r="F5" t="inlineStr">
        <is>
          <t>iDEAL|Technology</t>
        </is>
      </c>
      <c r="H5" t="inlineStr">
        <is>
          <t>iDEAL|Quality Assurance|Atharv Ravindra Bokade</t>
        </is>
      </c>
      <c r="I5" t="inlineStr">
        <is>
          <t>IRIS2271</t>
        </is>
      </c>
      <c r="J5" t="n">
        <v>6</v>
      </c>
      <c r="N5">
        <f>IF(AND(LEFT($F5,LEN('1b. Person Card'!$J$5)+1)='1b. Person Card'!$J$5&amp;"|",OR('1b. Person Card'!$F$5="",ISNUMBER(SEARCH('1b. Person Card'!$F$5,MID($F5,LEN('1b. Person Card'!$J$5)+2,250))))),1,0)+N4</f>
        <v>5</v>
      </c>
      <c r="O5" t="str">
        <f>IFERROR(MID(INDEX($F$1:$F$6,MATCH(5,$N$1:$N$6,0)),LEN('1b. Person Card'!$J$5)+2,250),"")</f>
        <v>Technology</v>
      </c>
      <c r="P5">
        <f>IF(AND(LEFT($H5,LEN('1b. Person Card'!$J$5)+LEN('1b. Person Card'!$B$5)+2)='1b. Person Card'!$J$5&amp;"|"&amp;'1b. Person Card'!$B$5&amp;"|",OR('1b. Person Card'!$F$6="",ISNUMBER(SEARCH('1b. Person Card'!$F$6,$D5)))),1,0)+P4</f>
        <v>1</v>
      </c>
      <c r="Q5">
        <f>IFERROR(INDEX($D$1:$D$47,MATCH(5,$P$1:$P$47,0)),"")</f>
      </c>
    </row>
    <row r="6">
      <c r="B6" t="inlineStr">
        <is>
          <t>iDEAL Business Head</t>
        </is>
      </c>
      <c r="D6" t="inlineStr">
        <is>
          <t>Reena Gotal</t>
        </is>
      </c>
      <c r="E6" t="inlineStr">
        <is>
          <t>IRIS0636</t>
        </is>
      </c>
      <c r="F6" t="inlineStr">
        <is>
          <t>iDEAL|iDEAL Business Head</t>
        </is>
      </c>
      <c r="H6" t="inlineStr">
        <is>
          <t>iDEAL|Quality Assurance|Reena Gotal</t>
        </is>
      </c>
      <c r="I6" t="inlineStr">
        <is>
          <t>IRIS0636</t>
        </is>
      </c>
      <c r="J6" t="n">
        <v>5</v>
      </c>
      <c r="N6">
        <f>IF(AND(LEFT($F6,LEN('1b. Person Card'!$J$5)+1)='1b. Person Card'!$J$5&amp;"|",OR('1b. Person Card'!$F$5="",ISNUMBER(SEARCH('1b. Person Card'!$F$5,MID($F6,LEN('1b. Person Card'!$J$5)+2,250))))),1,0)+N5</f>
        <v>6</v>
      </c>
      <c r="O6" t="str">
        <f>IFERROR(MID(INDEX($F$1:$F$6,MATCH(6,$N$1:$N$6,0)),LEN('1b. Person Card'!$J$5)+2,250),"")</f>
        <v>iDEAL Business Head</v>
      </c>
      <c r="P6">
        <f>IF(AND(LEFT($H6,LEN('1b. Person Card'!$J$5)+LEN('1b. Person Card'!$B$5)+2)='1b. Person Card'!$J$5&amp;"|"&amp;'1b. Person Card'!$B$5&amp;"|",OR('1b. Person Card'!$F$6="",ISNUMBER(SEARCH('1b. Person Card'!$F$6,$D6)))),1,0)+P5</f>
        <v>1</v>
      </c>
      <c r="Q6">
        <f>IFERROR(INDEX($D$1:$D$47,MATCH(6,$P$1:$P$47,0)),"")</f>
      </c>
    </row>
    <row r="7">
      <c r="D7" t="inlineStr">
        <is>
          <t>Rohan Kailas Aher</t>
        </is>
      </c>
      <c r="E7" t="inlineStr">
        <is>
          <t>IRIS2479</t>
        </is>
      </c>
      <c r="H7" t="inlineStr">
        <is>
          <t>iDEAL|Quality Assurance|Rohan Kailas Aher</t>
        </is>
      </c>
      <c r="I7" t="inlineStr">
        <is>
          <t>IRIS2479</t>
        </is>
      </c>
      <c r="J7" t="n">
        <v>7</v>
      </c>
      <c r="P7">
        <f>IF(AND(LEFT($H7,LEN('1b. Person Card'!$J$5)+LEN('1b. Person Card'!$B$5)+2)='1b. Person Card'!$J$5&amp;"|"&amp;'1b. Person Card'!$B$5&amp;"|",OR('1b. Person Card'!$F$6="",ISNUMBER(SEARCH('1b. Person Card'!$F$6,$D7)))),1,0)+P6</f>
        <v>1</v>
      </c>
      <c r="Q7">
        <f>IFERROR(INDEX($D$1:$D$47,MATCH(7,$P$1:$P$47,0)),"")</f>
      </c>
    </row>
    <row r="8">
      <c r="D8" t="inlineStr">
        <is>
          <t>Shubham Kamble</t>
        </is>
      </c>
      <c r="E8" t="inlineStr">
        <is>
          <t>IRIS2437</t>
        </is>
      </c>
      <c r="H8" t="inlineStr">
        <is>
          <t>iDEAL|Quality Assurance|Shubham Kamble</t>
        </is>
      </c>
      <c r="I8" t="inlineStr">
        <is>
          <t>IRIS2437</t>
        </is>
      </c>
      <c r="J8" t="n">
        <v>8</v>
      </c>
      <c r="P8">
        <f>IF(AND(LEFT($H8,LEN('1b. Person Card'!$J$5)+LEN('1b. Person Card'!$B$5)+2)='1b. Person Card'!$J$5&amp;"|"&amp;'1b. Person Card'!$B$5&amp;"|",OR('1b. Person Card'!$F$6="",ISNUMBER(SEARCH('1b. Person Card'!$F$6,$D8)))),1,0)+P7</f>
        <v>1</v>
      </c>
      <c r="Q8">
        <f>IFERROR(INDEX($D$1:$D$47,MATCH(8,$P$1:$P$47,0)),"")</f>
      </c>
    </row>
    <row r="9">
      <c r="D9" t="inlineStr">
        <is>
          <t>Tulasiram Chand</t>
        </is>
      </c>
      <c r="E9" t="inlineStr">
        <is>
          <t>IRIS2522</t>
        </is>
      </c>
      <c r="H9" t="inlineStr">
        <is>
          <t>iDEAL|Quality Assurance|Tulasiram Chand</t>
        </is>
      </c>
      <c r="I9" t="inlineStr">
        <is>
          <t>IRIS2522</t>
        </is>
      </c>
      <c r="J9" t="n">
        <v>9</v>
      </c>
      <c r="P9">
        <f>IF(AND(LEFT($H9,LEN('1b. Person Card'!$J$5)+LEN('1b. Person Card'!$B$5)+2)='1b. Person Card'!$J$5&amp;"|"&amp;'1b. Person Card'!$B$5&amp;"|",OR('1b. Person Card'!$F$6="",ISNUMBER(SEARCH('1b. Person Card'!$F$6,$D9)))),1,0)+P8</f>
        <v>1</v>
      </c>
      <c r="Q9">
        <f>IFERROR(INDEX($D$1:$D$47,MATCH(9,$P$1:$P$47,0)),"")</f>
      </c>
    </row>
    <row r="10">
      <c r="D10" t="inlineStr">
        <is>
          <t>Deepali Barai</t>
        </is>
      </c>
      <c r="E10" t="inlineStr">
        <is>
          <t>IRIS2540</t>
        </is>
      </c>
      <c r="H10" t="inlineStr">
        <is>
          <t>iDEAL|Sales|Deepali Barai</t>
        </is>
      </c>
      <c r="I10" t="inlineStr">
        <is>
          <t>IRIS2540</t>
        </is>
      </c>
      <c r="J10" t="n">
        <v>11</v>
      </c>
      <c r="P10">
        <f>IF(AND(LEFT($H10,LEN('1b. Person Card'!$J$5)+LEN('1b. Person Card'!$B$5)+2)='1b. Person Card'!$J$5&amp;"|"&amp;'1b. Person Card'!$B$5&amp;"|",OR('1b. Person Card'!$F$6="",ISNUMBER(SEARCH('1b. Person Card'!$F$6,$D10)))),1,0)+P9</f>
        <v>1</v>
      </c>
      <c r="Q10">
        <f>IFERROR(INDEX($D$1:$D$47,MATCH(10,$P$1:$P$47,0)),"")</f>
      </c>
    </row>
    <row r="11">
      <c r="D11" t="inlineStr">
        <is>
          <t>Nehal Bohra</t>
        </is>
      </c>
      <c r="E11" t="inlineStr">
        <is>
          <t>INTN0302</t>
        </is>
      </c>
      <c r="H11" t="inlineStr">
        <is>
          <t>iDEAL|Sales|Nehal Bohra</t>
        </is>
      </c>
      <c r="I11" t="inlineStr">
        <is>
          <t>INTN0302</t>
        </is>
      </c>
      <c r="J11" t="n">
        <v>13</v>
      </c>
      <c r="P11">
        <f>IF(AND(LEFT($H11,LEN('1b. Person Card'!$J$5)+LEN('1b. Person Card'!$B$5)+2)='1b. Person Card'!$J$5&amp;"|"&amp;'1b. Person Card'!$B$5&amp;"|",OR('1b. Person Card'!$F$6="",ISNUMBER(SEARCH('1b. Person Card'!$F$6,$D11)))),1,0)+P10</f>
        <v>1</v>
      </c>
      <c r="Q11">
        <f>IFERROR(INDEX($D$1:$D$47,MATCH(11,$P$1:$P$47,0)),"")</f>
      </c>
    </row>
    <row r="12">
      <c r="D12" t="inlineStr">
        <is>
          <t>Rohit Patil</t>
        </is>
      </c>
      <c r="E12" t="inlineStr">
        <is>
          <t>IRIS2505</t>
        </is>
      </c>
      <c r="H12" t="inlineStr">
        <is>
          <t>iDEAL|Sales|Rohit Patil</t>
        </is>
      </c>
      <c r="I12" t="inlineStr">
        <is>
          <t>IRIS2505</t>
        </is>
      </c>
      <c r="J12" t="n">
        <v>10</v>
      </c>
      <c r="P12">
        <f>IF(AND(LEFT($H12,LEN('1b. Person Card'!$J$5)+LEN('1b. Person Card'!$B$5)+2)='1b. Person Card'!$J$5&amp;"|"&amp;'1b. Person Card'!$B$5&amp;"|",OR('1b. Person Card'!$F$6="",ISNUMBER(SEARCH('1b. Person Card'!$F$6,$D12)))),1,0)+P11</f>
        <v>1</v>
      </c>
      <c r="Q12">
        <f>IFERROR(INDEX($D$1:$D$47,MATCH(12,$P$1:$P$47,0)),"")</f>
      </c>
    </row>
    <row r="13">
      <c r="D13" t="inlineStr">
        <is>
          <t>Shreya Sharma</t>
        </is>
      </c>
      <c r="E13" t="inlineStr">
        <is>
          <t>IRIS2481</t>
        </is>
      </c>
      <c r="H13" t="inlineStr">
        <is>
          <t>iDEAL|Sales|Shreya Sharma</t>
        </is>
      </c>
      <c r="I13" t="inlineStr">
        <is>
          <t>IRIS2481</t>
        </is>
      </c>
      <c r="J13" t="n">
        <v>12</v>
      </c>
      <c r="P13">
        <f>IF(AND(LEFT($H13,LEN('1b. Person Card'!$J$5)+LEN('1b. Person Card'!$B$5)+2)='1b. Person Card'!$J$5&amp;"|"&amp;'1b. Person Card'!$B$5&amp;"|",OR('1b. Person Card'!$F$6="",ISNUMBER(SEARCH('1b. Person Card'!$F$6,$D13)))),1,0)+P12</f>
        <v>1</v>
      </c>
      <c r="Q13">
        <f>IFERROR(INDEX($D$1:$D$47,MATCH(13,$P$1:$P$47,0)),"")</f>
      </c>
    </row>
    <row r="14">
      <c r="D14" t="inlineStr">
        <is>
          <t>Abhay Pandey</t>
        </is>
      </c>
      <c r="E14" t="inlineStr">
        <is>
          <t>IRIS2426</t>
        </is>
      </c>
      <c r="H14" t="inlineStr">
        <is>
          <t>iDEAL|Technology|Abhay Pandey</t>
        </is>
      </c>
      <c r="I14" t="inlineStr">
        <is>
          <t>IRIS2426</t>
        </is>
      </c>
      <c r="J14" t="n">
        <v>43</v>
      </c>
      <c r="P14">
        <f>IF(AND(LEFT($H14,LEN('1b. Person Card'!$J$5)+LEN('1b. Person Card'!$B$5)+2)='1b. Person Card'!$J$5&amp;"|"&amp;'1b. Person Card'!$B$5&amp;"|",OR('1b. Person Card'!$F$6="",ISNUMBER(SEARCH('1b. Person Card'!$F$6,$D14)))),1,0)+P13</f>
        <v>1</v>
      </c>
      <c r="Q14">
        <f>IFERROR(INDEX($D$1:$D$47,MATCH(14,$P$1:$P$47,0)),"")</f>
      </c>
    </row>
    <row r="15">
      <c r="D15" t="inlineStr">
        <is>
          <t>Akshata Sabale</t>
        </is>
      </c>
      <c r="E15" t="inlineStr">
        <is>
          <t>IRIS2052</t>
        </is>
      </c>
      <c r="H15" t="inlineStr">
        <is>
          <t>iDEAL|Technology|Akshata Sabale</t>
        </is>
      </c>
      <c r="I15" t="inlineStr">
        <is>
          <t>IRIS2052</t>
        </is>
      </c>
      <c r="J15" t="n">
        <v>33</v>
      </c>
      <c r="P15">
        <f>IF(AND(LEFT($H15,LEN('1b. Person Card'!$J$5)+LEN('1b. Person Card'!$B$5)+2)='1b. Person Card'!$J$5&amp;"|"&amp;'1b. Person Card'!$B$5&amp;"|",OR('1b. Person Card'!$F$6="",ISNUMBER(SEARCH('1b. Person Card'!$F$6,$D15)))),1,0)+P14</f>
        <v>1</v>
      </c>
      <c r="Q15">
        <f>IFERROR(INDEX($D$1:$D$47,MATCH(15,$P$1:$P$47,0)),"")</f>
      </c>
    </row>
    <row r="16">
      <c r="D16" t="inlineStr">
        <is>
          <t>Anand Shinde</t>
        </is>
      </c>
      <c r="E16" t="inlineStr">
        <is>
          <t>IRIS1178</t>
        </is>
      </c>
      <c r="H16" t="inlineStr">
        <is>
          <t>iDEAL|Technology|Anand Shinde</t>
        </is>
      </c>
      <c r="I16" t="inlineStr">
        <is>
          <t>IRIS1178</t>
        </is>
      </c>
      <c r="J16" t="n">
        <v>16</v>
      </c>
      <c r="P16">
        <f>IF(AND(LEFT($H16,LEN('1b. Person Card'!$J$5)+LEN('1b. Person Card'!$B$5)+2)='1b. Person Card'!$J$5&amp;"|"&amp;'1b. Person Card'!$B$5&amp;"|",OR('1b. Person Card'!$F$6="",ISNUMBER(SEARCH('1b. Person Card'!$F$6,$D16)))),1,0)+P15</f>
        <v>1</v>
      </c>
      <c r="Q16">
        <f>IFERROR(INDEX($D$1:$D$47,MATCH(16,$P$1:$P$47,0)),"")</f>
      </c>
    </row>
    <row r="17">
      <c r="D17" t="inlineStr">
        <is>
          <t>Anand Usakoyal</t>
        </is>
      </c>
      <c r="E17" t="inlineStr">
        <is>
          <t>IRIS1343</t>
        </is>
      </c>
      <c r="H17" t="inlineStr">
        <is>
          <t>iDEAL|Technology|Anand Usakoyal</t>
        </is>
      </c>
      <c r="I17" t="inlineStr">
        <is>
          <t>IRIS1343</t>
        </is>
      </c>
      <c r="J17" t="n">
        <v>22</v>
      </c>
      <c r="P17">
        <f>IF(AND(LEFT($H17,LEN('1b. Person Card'!$J$5)+LEN('1b. Person Card'!$B$5)+2)='1b. Person Card'!$J$5&amp;"|"&amp;'1b. Person Card'!$B$5&amp;"|",OR('1b. Person Card'!$F$6="",ISNUMBER(SEARCH('1b. Person Card'!$F$6,$D17)))),1,0)+P16</f>
        <v>1</v>
      </c>
      <c r="Q17">
        <f>IFERROR(INDEX($D$1:$D$47,MATCH(17,$P$1:$P$47,0)),"")</f>
      </c>
    </row>
    <row r="18">
      <c r="D18" t="inlineStr">
        <is>
          <t>Anishaa Mahesh Kukreja</t>
        </is>
      </c>
      <c r="E18" t="inlineStr">
        <is>
          <t>IRIS2236</t>
        </is>
      </c>
      <c r="H18" t="inlineStr">
        <is>
          <t>iDEAL|Technology|Anishaa Mahesh Kukreja</t>
        </is>
      </c>
      <c r="I18" t="inlineStr">
        <is>
          <t>IRIS2236</t>
        </is>
      </c>
      <c r="J18" t="n">
        <v>23</v>
      </c>
      <c r="P18">
        <f>IF(AND(LEFT($H18,LEN('1b. Person Card'!$J$5)+LEN('1b. Person Card'!$B$5)+2)='1b. Person Card'!$J$5&amp;"|"&amp;'1b. Person Card'!$B$5&amp;"|",OR('1b. Person Card'!$F$6="",ISNUMBER(SEARCH('1b. Person Card'!$F$6,$D18)))),1,0)+P17</f>
        <v>1</v>
      </c>
      <c r="Q18">
        <f>IFERROR(INDEX($D$1:$D$47,MATCH(18,$P$1:$P$47,0)),"")</f>
      </c>
    </row>
    <row r="19">
      <c r="D19" t="inlineStr">
        <is>
          <t>Aroosa Ghole</t>
        </is>
      </c>
      <c r="E19" t="inlineStr">
        <is>
          <t>IRIS1947</t>
        </is>
      </c>
      <c r="H19" t="inlineStr">
        <is>
          <t>iDEAL|Technology|Aroosa Ghole</t>
        </is>
      </c>
      <c r="I19" t="inlineStr">
        <is>
          <t>IRIS1947</t>
        </is>
      </c>
      <c r="J19" t="n">
        <v>17</v>
      </c>
      <c r="P19">
        <f>IF(AND(LEFT($H19,LEN('1b. Person Card'!$J$5)+LEN('1b. Person Card'!$B$5)+2)='1b. Person Card'!$J$5&amp;"|"&amp;'1b. Person Card'!$B$5&amp;"|",OR('1b. Person Card'!$F$6="",ISNUMBER(SEARCH('1b. Person Card'!$F$6,$D19)))),1,0)+P18</f>
        <v>1</v>
      </c>
      <c r="Q19">
        <f>IFERROR(INDEX($D$1:$D$47,MATCH(19,$P$1:$P$47,0)),"")</f>
      </c>
    </row>
    <row r="20">
      <c r="D20" t="inlineStr">
        <is>
          <t>Atharv Sameer Shevade</t>
        </is>
      </c>
      <c r="E20" t="inlineStr">
        <is>
          <t>IRIS2538</t>
        </is>
      </c>
      <c r="H20" t="inlineStr">
        <is>
          <t>iDEAL|Technology|Atharv Sameer Shevade</t>
        </is>
      </c>
      <c r="I20" t="inlineStr">
        <is>
          <t>IRIS2538</t>
        </is>
      </c>
      <c r="J20" t="n">
        <v>45</v>
      </c>
      <c r="P20">
        <f>IF(AND(LEFT($H20,LEN('1b. Person Card'!$J$5)+LEN('1b. Person Card'!$B$5)+2)='1b. Person Card'!$J$5&amp;"|"&amp;'1b. Person Card'!$B$5&amp;"|",OR('1b. Person Card'!$F$6="",ISNUMBER(SEARCH('1b. Person Card'!$F$6,$D20)))),1,0)+P19</f>
        <v>1</v>
      </c>
      <c r="Q20">
        <f>IFERROR(INDEX($D$1:$D$47,MATCH(20,$P$1:$P$47,0)),"")</f>
      </c>
    </row>
    <row r="21">
      <c r="D21" t="inlineStr">
        <is>
          <t>H Marenna</t>
        </is>
      </c>
      <c r="E21" t="inlineStr">
        <is>
          <t>IRIS1922</t>
        </is>
      </c>
      <c r="H21" t="inlineStr">
        <is>
          <t>iDEAL|Technology|H Marenna</t>
        </is>
      </c>
      <c r="I21" t="inlineStr">
        <is>
          <t>IRIS1922</t>
        </is>
      </c>
      <c r="J21" t="n">
        <v>34</v>
      </c>
      <c r="P21">
        <f>IF(AND(LEFT($H21,LEN('1b. Person Card'!$J$5)+LEN('1b. Person Card'!$B$5)+2)='1b. Person Card'!$J$5&amp;"|"&amp;'1b. Person Card'!$B$5&amp;"|",OR('1b. Person Card'!$F$6="",ISNUMBER(SEARCH('1b. Person Card'!$F$6,$D21)))),1,0)+P20</f>
        <v>1</v>
      </c>
      <c r="Q21">
        <f>IFERROR(INDEX($D$1:$D$47,MATCH(21,$P$1:$P$47,0)),"")</f>
      </c>
    </row>
    <row r="22">
      <c r="D22" t="inlineStr">
        <is>
          <t>Hemand Thayil</t>
        </is>
      </c>
      <c r="E22" t="inlineStr">
        <is>
          <t>IRIS2527</t>
        </is>
      </c>
      <c r="H22" t="inlineStr">
        <is>
          <t>iDEAL|Technology|Hemand Thayil</t>
        </is>
      </c>
      <c r="I22" t="inlineStr">
        <is>
          <t>IRIS2527</t>
        </is>
      </c>
      <c r="J22" t="n">
        <v>42</v>
      </c>
      <c r="P22">
        <f>IF(AND(LEFT($H22,LEN('1b. Person Card'!$J$5)+LEN('1b. Person Card'!$B$5)+2)='1b. Person Card'!$J$5&amp;"|"&amp;'1b. Person Card'!$B$5&amp;"|",OR('1b. Person Card'!$F$6="",ISNUMBER(SEARCH('1b. Person Card'!$F$6,$D22)))),1,0)+P21</f>
        <v>1</v>
      </c>
      <c r="Q22">
        <f>IFERROR(INDEX($D$1:$D$47,MATCH(22,$P$1:$P$47,0)),"")</f>
      </c>
    </row>
    <row r="23">
      <c r="D23" t="inlineStr">
        <is>
          <t>Jay Gudhka</t>
        </is>
      </c>
      <c r="E23" t="inlineStr">
        <is>
          <t>IRIS2530</t>
        </is>
      </c>
      <c r="H23" t="inlineStr">
        <is>
          <t>iDEAL|Technology|Jay Gudhka</t>
        </is>
      </c>
      <c r="I23" t="inlineStr">
        <is>
          <t>IRIS2530</t>
        </is>
      </c>
      <c r="J23" t="n">
        <v>35</v>
      </c>
      <c r="P23">
        <f>IF(AND(LEFT($H23,LEN('1b. Person Card'!$J$5)+LEN('1b. Person Card'!$B$5)+2)='1b. Person Card'!$J$5&amp;"|"&amp;'1b. Person Card'!$B$5&amp;"|",OR('1b. Person Card'!$F$6="",ISNUMBER(SEARCH('1b. Person Card'!$F$6,$D23)))),1,0)+P22</f>
        <v>1</v>
      </c>
      <c r="Q23">
        <f>IFERROR(INDEX($D$1:$D$47,MATCH(23,$P$1:$P$47,0)),"")</f>
      </c>
    </row>
    <row r="24">
      <c r="D24" t="inlineStr">
        <is>
          <t>Jignasha Sawla</t>
        </is>
      </c>
      <c r="E24" t="inlineStr">
        <is>
          <t>IRIS1809</t>
        </is>
      </c>
      <c r="H24" t="inlineStr">
        <is>
          <t>iDEAL|Technology|Jignasha Sawla</t>
        </is>
      </c>
      <c r="I24" t="inlineStr">
        <is>
          <t>IRIS1809</t>
        </is>
      </c>
      <c r="J24" t="n">
        <v>21</v>
      </c>
      <c r="P24">
        <f>IF(AND(LEFT($H24,LEN('1b. Person Card'!$J$5)+LEN('1b. Person Card'!$B$5)+2)='1b. Person Card'!$J$5&amp;"|"&amp;'1b. Person Card'!$B$5&amp;"|",OR('1b. Person Card'!$F$6="",ISNUMBER(SEARCH('1b. Person Card'!$F$6,$D24)))),1,0)+P23</f>
        <v>1</v>
      </c>
      <c r="Q24">
        <f>IFERROR(INDEX($D$1:$D$47,MATCH(24,$P$1:$P$47,0)),"")</f>
      </c>
    </row>
    <row r="25">
      <c r="D25" t="inlineStr">
        <is>
          <t>Jitendra Kumar</t>
        </is>
      </c>
      <c r="E25" t="inlineStr">
        <is>
          <t>IRIS0810</t>
        </is>
      </c>
      <c r="H25" t="inlineStr">
        <is>
          <t>iDEAL|Technology|Jitendra Kumar</t>
        </is>
      </c>
      <c r="I25" t="inlineStr">
        <is>
          <t>IRIS0810</t>
        </is>
      </c>
      <c r="J25" t="n">
        <v>14</v>
      </c>
      <c r="P25">
        <f>IF(AND(LEFT($H25,LEN('1b. Person Card'!$J$5)+LEN('1b. Person Card'!$B$5)+2)='1b. Person Card'!$J$5&amp;"|"&amp;'1b. Person Card'!$B$5&amp;"|",OR('1b. Person Card'!$F$6="",ISNUMBER(SEARCH('1b. Person Card'!$F$6,$D25)))),1,0)+P24</f>
        <v>1</v>
      </c>
      <c r="Q25">
        <f>IFERROR(INDEX($D$1:$D$47,MATCH(25,$P$1:$P$47,0)),"")</f>
      </c>
    </row>
    <row r="26">
      <c r="D26" t="inlineStr">
        <is>
          <t>Kailash Sahu</t>
        </is>
      </c>
      <c r="E26" t="inlineStr">
        <is>
          <t>IRIS1796</t>
        </is>
      </c>
      <c r="H26" t="inlineStr">
        <is>
          <t>iDEAL|Technology|Kailash Sahu</t>
        </is>
      </c>
      <c r="I26" t="inlineStr">
        <is>
          <t>IRIS1796</t>
        </is>
      </c>
      <c r="J26" t="n">
        <v>18</v>
      </c>
      <c r="P26">
        <f>IF(AND(LEFT($H26,LEN('1b. Person Card'!$J$5)+LEN('1b. Person Card'!$B$5)+2)='1b. Person Card'!$J$5&amp;"|"&amp;'1b. Person Card'!$B$5&amp;"|",OR('1b. Person Card'!$F$6="",ISNUMBER(SEARCH('1b. Person Card'!$F$6,$D26)))),1,0)+P25</f>
        <v>1</v>
      </c>
      <c r="Q26">
        <f>IFERROR(INDEX($D$1:$D$47,MATCH(26,$P$1:$P$47,0)),"")</f>
      </c>
    </row>
    <row r="27">
      <c r="D27" t="inlineStr">
        <is>
          <t>Mohin Patel</t>
        </is>
      </c>
      <c r="E27" t="inlineStr">
        <is>
          <t>IRIS2536</t>
        </is>
      </c>
      <c r="H27" t="inlineStr">
        <is>
          <t>iDEAL|Technology|Mohin Patel</t>
        </is>
      </c>
      <c r="I27" t="inlineStr">
        <is>
          <t>IRIS2536</t>
        </is>
      </c>
      <c r="J27" t="n">
        <v>24</v>
      </c>
      <c r="P27">
        <f>IF(AND(LEFT($H27,LEN('1b. Person Card'!$J$5)+LEN('1b. Person Card'!$B$5)+2)='1b. Person Card'!$J$5&amp;"|"&amp;'1b. Person Card'!$B$5&amp;"|",OR('1b. Person Card'!$F$6="",ISNUMBER(SEARCH('1b. Person Card'!$F$6,$D27)))),1,0)+P26</f>
        <v>1</v>
      </c>
      <c r="Q27">
        <f>IFERROR(INDEX($D$1:$D$47,MATCH(27,$P$1:$P$47,0)),"")</f>
      </c>
    </row>
    <row r="28">
      <c r="D28" t="inlineStr">
        <is>
          <t>Neetu Rani Paul</t>
        </is>
      </c>
      <c r="E28" t="inlineStr">
        <is>
          <t>IRIS2136</t>
        </is>
      </c>
      <c r="H28" t="inlineStr">
        <is>
          <t>iDEAL|Technology|Neetu Rani Paul</t>
        </is>
      </c>
      <c r="I28" t="inlineStr">
        <is>
          <t>IRIS2136</t>
        </is>
      </c>
      <c r="J28" t="n">
        <v>25</v>
      </c>
      <c r="P28">
        <f>IF(AND(LEFT($H28,LEN('1b. Person Card'!$J$5)+LEN('1b. Person Card'!$B$5)+2)='1b. Person Card'!$J$5&amp;"|"&amp;'1b. Person Card'!$B$5&amp;"|",OR('1b. Person Card'!$F$6="",ISNUMBER(SEARCH('1b. Person Card'!$F$6,$D28)))),1,0)+P27</f>
        <v>1</v>
      </c>
      <c r="Q28">
        <f>IFERROR(INDEX($D$1:$D$47,MATCH(28,$P$1:$P$47,0)),"")</f>
      </c>
    </row>
    <row r="29">
      <c r="D29" t="inlineStr">
        <is>
          <t>Nidhi Kulkarni</t>
        </is>
      </c>
      <c r="E29" t="inlineStr">
        <is>
          <t>IRIS2555</t>
        </is>
      </c>
      <c r="H29" t="inlineStr">
        <is>
          <t>iDEAL|Technology|Nidhi Kulkarni</t>
        </is>
      </c>
      <c r="I29" t="inlineStr">
        <is>
          <t>IRIS2555</t>
        </is>
      </c>
      <c r="J29" t="n">
        <v>31</v>
      </c>
      <c r="P29">
        <f>IF(AND(LEFT($H29,LEN('1b. Person Card'!$J$5)+LEN('1b. Person Card'!$B$5)+2)='1b. Person Card'!$J$5&amp;"|"&amp;'1b. Person Card'!$B$5&amp;"|",OR('1b. Person Card'!$F$6="",ISNUMBER(SEARCH('1b. Person Card'!$F$6,$D29)))),1,0)+P28</f>
        <v>1</v>
      </c>
      <c r="Q29">
        <f>IFERROR(INDEX($D$1:$D$47,MATCH(29,$P$1:$P$47,0)),"")</f>
      </c>
    </row>
    <row r="30">
      <c r="D30" t="inlineStr">
        <is>
          <t>Nilam Anandrao Kadam</t>
        </is>
      </c>
      <c r="E30" t="inlineStr">
        <is>
          <t>IRIS2142</t>
        </is>
      </c>
      <c r="H30" t="inlineStr">
        <is>
          <t>iDEAL|Technology|Nilam Anandrao Kadam</t>
        </is>
      </c>
      <c r="I30" t="inlineStr">
        <is>
          <t>IRIS2142</t>
        </is>
      </c>
      <c r="J30" t="n">
        <v>26</v>
      </c>
      <c r="P30">
        <f>IF(AND(LEFT($H30,LEN('1b. Person Card'!$J$5)+LEN('1b. Person Card'!$B$5)+2)='1b. Person Card'!$J$5&amp;"|"&amp;'1b. Person Card'!$B$5&amp;"|",OR('1b. Person Card'!$F$6="",ISNUMBER(SEARCH('1b. Person Card'!$F$6,$D30)))),1,0)+P29</f>
        <v>1</v>
      </c>
      <c r="Q30">
        <f>IFERROR(INDEX($D$1:$D$47,MATCH(30,$P$1:$P$47,0)),"")</f>
      </c>
    </row>
    <row r="31">
      <c r="D31" t="inlineStr">
        <is>
          <t>Phuzel Siddiqui</t>
        </is>
      </c>
      <c r="E31" t="inlineStr">
        <is>
          <t>IRIS2125</t>
        </is>
      </c>
      <c r="H31" t="inlineStr">
        <is>
          <t>iDEAL|Technology|Phuzel Siddiqui</t>
        </is>
      </c>
      <c r="I31" t="inlineStr">
        <is>
          <t>IRIS2125</t>
        </is>
      </c>
      <c r="J31" t="n">
        <v>19</v>
      </c>
      <c r="P31">
        <f>IF(AND(LEFT($H31,LEN('1b. Person Card'!$J$5)+LEN('1b. Person Card'!$B$5)+2)='1b. Person Card'!$J$5&amp;"|"&amp;'1b. Person Card'!$B$5&amp;"|",OR('1b. Person Card'!$F$6="",ISNUMBER(SEARCH('1b. Person Card'!$F$6,$D31)))),1,0)+P30</f>
        <v>1</v>
      </c>
      <c r="Q31">
        <f>IFERROR(INDEX($D$1:$D$47,MATCH(31,$P$1:$P$47,0)),"")</f>
      </c>
    </row>
    <row r="32">
      <c r="D32" t="inlineStr">
        <is>
          <t>Prasad Bhoite</t>
        </is>
      </c>
      <c r="E32" t="inlineStr">
        <is>
          <t>IRIS1858</t>
        </is>
      </c>
      <c r="H32" t="inlineStr">
        <is>
          <t>iDEAL|Technology|Prasad Bhoite</t>
        </is>
      </c>
      <c r="I32" t="inlineStr">
        <is>
          <t>IRIS1858</t>
        </is>
      </c>
      <c r="J32" t="n">
        <v>36</v>
      </c>
      <c r="P32">
        <f>IF(AND(LEFT($H32,LEN('1b. Person Card'!$J$5)+LEN('1b. Person Card'!$B$5)+2)='1b. Person Card'!$J$5&amp;"|"&amp;'1b. Person Card'!$B$5&amp;"|",OR('1b. Person Card'!$F$6="",ISNUMBER(SEARCH('1b. Person Card'!$F$6,$D32)))),1,0)+P31</f>
        <v>1</v>
      </c>
      <c r="Q32">
        <f>IFERROR(INDEX($D$1:$D$47,MATCH(32,$P$1:$P$47,0)),"")</f>
      </c>
    </row>
    <row r="33">
      <c r="D33" t="inlineStr">
        <is>
          <t>Pratik Ekhande</t>
        </is>
      </c>
      <c r="E33" t="inlineStr">
        <is>
          <t>IRIS2260</t>
        </is>
      </c>
      <c r="H33" t="inlineStr">
        <is>
          <t>iDEAL|Technology|Pratik Ekhande</t>
        </is>
      </c>
      <c r="I33" t="inlineStr">
        <is>
          <t>IRIS2260</t>
        </is>
      </c>
      <c r="J33" t="n">
        <v>37</v>
      </c>
      <c r="P33">
        <f>IF(AND(LEFT($H33,LEN('1b. Person Card'!$J$5)+LEN('1b. Person Card'!$B$5)+2)='1b. Person Card'!$J$5&amp;"|"&amp;'1b. Person Card'!$B$5&amp;"|",OR('1b. Person Card'!$F$6="",ISNUMBER(SEARCH('1b. Person Card'!$F$6,$D33)))),1,0)+P32</f>
        <v>1</v>
      </c>
      <c r="Q33">
        <f>IFERROR(INDEX($D$1:$D$47,MATCH(33,$P$1:$P$47,0)),"")</f>
      </c>
    </row>
    <row r="34">
      <c r="D34" t="inlineStr">
        <is>
          <t>Ravi Ranjan</t>
        </is>
      </c>
      <c r="E34" t="inlineStr">
        <is>
          <t>IRIS2104</t>
        </is>
      </c>
      <c r="H34" t="inlineStr">
        <is>
          <t>iDEAL|Technology|Ravi Ranjan</t>
        </is>
      </c>
      <c r="I34" t="inlineStr">
        <is>
          <t>IRIS2104</t>
        </is>
      </c>
      <c r="J34" t="n">
        <v>15</v>
      </c>
      <c r="P34">
        <f>IF(AND(LEFT($H34,LEN('1b. Person Card'!$J$5)+LEN('1b. Person Card'!$B$5)+2)='1b. Person Card'!$J$5&amp;"|"&amp;'1b. Person Card'!$B$5&amp;"|",OR('1b. Person Card'!$F$6="",ISNUMBER(SEARCH('1b. Person Card'!$F$6,$D34)))),1,0)+P33</f>
        <v>1</v>
      </c>
      <c r="Q34">
        <f>IFERROR(INDEX($D$1:$D$47,MATCH(34,$P$1:$P$47,0)),"")</f>
      </c>
    </row>
    <row r="35">
      <c r="D35" t="inlineStr">
        <is>
          <t>Shivani Mishra</t>
        </is>
      </c>
      <c r="E35" t="inlineStr">
        <is>
          <t>IRIS2066</t>
        </is>
      </c>
      <c r="H35" t="inlineStr">
        <is>
          <t>iDEAL|Technology|Shivani Mishra</t>
        </is>
      </c>
      <c r="I35" t="inlineStr">
        <is>
          <t>IRIS2066</t>
        </is>
      </c>
      <c r="J35" t="n">
        <v>27</v>
      </c>
      <c r="P35">
        <f>IF(AND(LEFT($H35,LEN('1b. Person Card'!$J$5)+LEN('1b. Person Card'!$B$5)+2)='1b. Person Card'!$J$5&amp;"|"&amp;'1b. Person Card'!$B$5&amp;"|",OR('1b. Person Card'!$F$6="",ISNUMBER(SEARCH('1b. Person Card'!$F$6,$D35)))),1,0)+P34</f>
        <v>1</v>
      </c>
      <c r="Q35">
        <f>IFERROR(INDEX($D$1:$D$47,MATCH(35,$P$1:$P$47,0)),"")</f>
      </c>
    </row>
    <row r="36">
      <c r="D36" t="inlineStr">
        <is>
          <t>Shreekanth Samala</t>
        </is>
      </c>
      <c r="E36" t="inlineStr">
        <is>
          <t>IRIS2552</t>
        </is>
      </c>
      <c r="H36" t="inlineStr">
        <is>
          <t>iDEAL|Technology|Shreekanth Samala</t>
        </is>
      </c>
      <c r="I36" t="inlineStr">
        <is>
          <t>IRIS2552</t>
        </is>
      </c>
      <c r="J36" t="n">
        <v>32</v>
      </c>
      <c r="P36">
        <f>IF(AND(LEFT($H36,LEN('1b. Person Card'!$J$5)+LEN('1b. Person Card'!$B$5)+2)='1b. Person Card'!$J$5&amp;"|"&amp;'1b. Person Card'!$B$5&amp;"|",OR('1b. Person Card'!$F$6="",ISNUMBER(SEARCH('1b. Person Card'!$F$6,$D36)))),1,0)+P35</f>
        <v>1</v>
      </c>
      <c r="Q36">
        <f>IFERROR(INDEX($D$1:$D$47,MATCH(36,$P$1:$P$47,0)),"")</f>
      </c>
    </row>
    <row r="37">
      <c r="D37" t="inlineStr">
        <is>
          <t>Silky Agarwal</t>
        </is>
      </c>
      <c r="E37" t="inlineStr">
        <is>
          <t>IRIS2067</t>
        </is>
      </c>
      <c r="H37" t="inlineStr">
        <is>
          <t>iDEAL|Technology|Silky Agarwal</t>
        </is>
      </c>
      <c r="I37" t="inlineStr">
        <is>
          <t>IRIS2067</t>
        </is>
      </c>
      <c r="J37" t="n">
        <v>28</v>
      </c>
      <c r="P37">
        <f>IF(AND(LEFT($H37,LEN('1b. Person Card'!$J$5)+LEN('1b. Person Card'!$B$5)+2)='1b. Person Card'!$J$5&amp;"|"&amp;'1b. Person Card'!$B$5&amp;"|",OR('1b. Person Card'!$F$6="",ISNUMBER(SEARCH('1b. Person Card'!$F$6,$D37)))),1,0)+P36</f>
        <v>1</v>
      </c>
      <c r="Q37">
        <f>IFERROR(INDEX($D$1:$D$47,MATCH(37,$P$1:$P$47,0)),"")</f>
      </c>
    </row>
    <row r="38">
      <c r="D38" t="inlineStr">
        <is>
          <t>Sumeet Laxman Kurdia</t>
        </is>
      </c>
      <c r="E38" t="inlineStr">
        <is>
          <t>IRIS2427</t>
        </is>
      </c>
      <c r="H38" t="inlineStr">
        <is>
          <t>iDEAL|Technology|Sumeet Laxman Kurdia</t>
        </is>
      </c>
      <c r="I38" t="inlineStr">
        <is>
          <t>IRIS2427</t>
        </is>
      </c>
      <c r="J38" t="n">
        <v>44</v>
      </c>
      <c r="P38">
        <f>IF(AND(LEFT($H38,LEN('1b. Person Card'!$J$5)+LEN('1b. Person Card'!$B$5)+2)='1b. Person Card'!$J$5&amp;"|"&amp;'1b. Person Card'!$B$5&amp;"|",OR('1b. Person Card'!$F$6="",ISNUMBER(SEARCH('1b. Person Card'!$F$6,$D38)))),1,0)+P37</f>
        <v>1</v>
      </c>
      <c r="Q38">
        <f>IFERROR(INDEX($D$1:$D$47,MATCH(38,$P$1:$P$47,0)),"")</f>
      </c>
    </row>
    <row r="39">
      <c r="D39" t="inlineStr">
        <is>
          <t>Swapnil Shirke</t>
        </is>
      </c>
      <c r="E39" t="inlineStr">
        <is>
          <t>IRIS2038</t>
        </is>
      </c>
      <c r="H39" t="inlineStr">
        <is>
          <t>iDEAL|Technology|Swapnil Shirke</t>
        </is>
      </c>
      <c r="I39" t="inlineStr">
        <is>
          <t>IRIS2038</t>
        </is>
      </c>
      <c r="J39" t="n">
        <v>38</v>
      </c>
      <c r="P39">
        <f>IF(AND(LEFT($H39,LEN('1b. Person Card'!$J$5)+LEN('1b. Person Card'!$B$5)+2)='1b. Person Card'!$J$5&amp;"|"&amp;'1b. Person Card'!$B$5&amp;"|",OR('1b. Person Card'!$F$6="",ISNUMBER(SEARCH('1b. Person Card'!$F$6,$D39)))),1,0)+P38</f>
        <v>1</v>
      </c>
      <c r="Q39">
        <f>IFERROR(INDEX($D$1:$D$47,MATCH(39,$P$1:$P$47,0)),"")</f>
      </c>
    </row>
    <row r="40">
      <c r="D40" t="inlineStr">
        <is>
          <t>Tushar Kadu Nimbolkar</t>
        </is>
      </c>
      <c r="E40" t="inlineStr">
        <is>
          <t>IRIS2259</t>
        </is>
      </c>
      <c r="H40" t="inlineStr">
        <is>
          <t>iDEAL|Technology|Tushar Kadu Nimbolkar</t>
        </is>
      </c>
      <c r="I40" t="inlineStr">
        <is>
          <t>IRIS2259</t>
        </is>
      </c>
      <c r="J40" t="n">
        <v>39</v>
      </c>
      <c r="P40">
        <f>IF(AND(LEFT($H40,LEN('1b. Person Card'!$J$5)+LEN('1b. Person Card'!$B$5)+2)='1b. Person Card'!$J$5&amp;"|"&amp;'1b. Person Card'!$B$5&amp;"|",OR('1b. Person Card'!$F$6="",ISNUMBER(SEARCH('1b. Person Card'!$F$6,$D40)))),1,0)+P39</f>
        <v>1</v>
      </c>
      <c r="Q40">
        <f>IFERROR(INDEX($D$1:$D$47,MATCH(40,$P$1:$P$47,0)),"")</f>
      </c>
    </row>
    <row r="41">
      <c r="D41" t="inlineStr">
        <is>
          <t>Vaibhav Govind Gahat</t>
        </is>
      </c>
      <c r="E41" t="inlineStr">
        <is>
          <t>IRIS2258</t>
        </is>
      </c>
      <c r="H41" t="inlineStr">
        <is>
          <t>iDEAL|Technology|Vaibhav Govind Gahat</t>
        </is>
      </c>
      <c r="I41" t="inlineStr">
        <is>
          <t>IRIS2258</t>
        </is>
      </c>
      <c r="J41" t="n">
        <v>40</v>
      </c>
      <c r="P41">
        <f>IF(AND(LEFT($H41,LEN('1b. Person Card'!$J$5)+LEN('1b. Person Card'!$B$5)+2)='1b. Person Card'!$J$5&amp;"|"&amp;'1b. Person Card'!$B$5&amp;"|",OR('1b. Person Card'!$F$6="",ISNUMBER(SEARCH('1b. Person Card'!$F$6,$D41)))),1,0)+P40</f>
        <v>1</v>
      </c>
      <c r="Q41">
        <f>IFERROR(INDEX($D$1:$D$47,MATCH(41,$P$1:$P$47,0)),"")</f>
      </c>
    </row>
    <row r="42">
      <c r="D42" t="inlineStr">
        <is>
          <t>Varsha Patil</t>
        </is>
      </c>
      <c r="E42" t="inlineStr">
        <is>
          <t>IRIS2018</t>
        </is>
      </c>
      <c r="H42" t="inlineStr">
        <is>
          <t>iDEAL|Technology|Varsha Patil</t>
        </is>
      </c>
      <c r="I42" t="inlineStr">
        <is>
          <t>IRIS2018</t>
        </is>
      </c>
      <c r="J42" t="n">
        <v>41</v>
      </c>
      <c r="P42">
        <f>IF(AND(LEFT($H42,LEN('1b. Person Card'!$J$5)+LEN('1b. Person Card'!$B$5)+2)='1b. Person Card'!$J$5&amp;"|"&amp;'1b. Person Card'!$B$5&amp;"|",OR('1b. Person Card'!$F$6="",ISNUMBER(SEARCH('1b. Person Card'!$F$6,$D42)))),1,0)+P41</f>
        <v>1</v>
      </c>
      <c r="Q42">
        <f>IFERROR(INDEX($D$1:$D$47,MATCH(42,$P$1:$P$47,0)),"")</f>
      </c>
    </row>
    <row r="43">
      <c r="D43" t="inlineStr">
        <is>
          <t>Vidyasagar Reddy</t>
        </is>
      </c>
      <c r="E43" t="inlineStr">
        <is>
          <t>IRIS2466</t>
        </is>
      </c>
      <c r="H43" t="inlineStr">
        <is>
          <t>iDEAL|Technology|Vidyasagar Reddy</t>
        </is>
      </c>
      <c r="I43" t="inlineStr">
        <is>
          <t>IRIS2466</t>
        </is>
      </c>
      <c r="J43" t="n">
        <v>29</v>
      </c>
      <c r="P43">
        <f>IF(AND(LEFT($H43,LEN('1b. Person Card'!$J$5)+LEN('1b. Person Card'!$B$5)+2)='1b. Person Card'!$J$5&amp;"|"&amp;'1b. Person Card'!$B$5&amp;"|",OR('1b. Person Card'!$F$6="",ISNUMBER(SEARCH('1b. Person Card'!$F$6,$D43)))),1,0)+P42</f>
        <v>1</v>
      </c>
      <c r="Q43">
        <f>IFERROR(INDEX($D$1:$D$47,MATCH(43,$P$1:$P$47,0)),"")</f>
      </c>
    </row>
    <row r="44">
      <c r="D44" t="inlineStr">
        <is>
          <t>Vinayak Dadasaheb Suryawanshi</t>
        </is>
      </c>
      <c r="E44" t="inlineStr">
        <is>
          <t>IRIS2539</t>
        </is>
      </c>
      <c r="H44" t="inlineStr">
        <is>
          <t>iDEAL|Technology|Vinayak Dadasaheb Suryawanshi</t>
        </is>
      </c>
      <c r="I44" t="inlineStr">
        <is>
          <t>IRIS2539</t>
        </is>
      </c>
      <c r="J44" t="n">
        <v>46</v>
      </c>
      <c r="P44">
        <f>IF(AND(LEFT($H44,LEN('1b. Person Card'!$J$5)+LEN('1b. Person Card'!$B$5)+2)='1b. Person Card'!$J$5&amp;"|"&amp;'1b. Person Card'!$B$5&amp;"|",OR('1b. Person Card'!$F$6="",ISNUMBER(SEARCH('1b. Person Card'!$F$6,$D44)))),1,0)+P43</f>
        <v>1</v>
      </c>
      <c r="Q44">
        <f>IFERROR(INDEX($D$1:$D$47,MATCH(44,$P$1:$P$47,0)),"")</f>
      </c>
    </row>
    <row r="45">
      <c r="D45" t="inlineStr">
        <is>
          <t>Vishal Pingle</t>
        </is>
      </c>
      <c r="E45" t="inlineStr">
        <is>
          <t>IRIS0417</t>
        </is>
      </c>
      <c r="H45" t="inlineStr">
        <is>
          <t>iDEAL|Technology|Vishal Pingle</t>
        </is>
      </c>
      <c r="I45" t="inlineStr">
        <is>
          <t>IRIS0417</t>
        </is>
      </c>
      <c r="J45" t="n">
        <v>20</v>
      </c>
      <c r="P45">
        <f>IF(AND(LEFT($H45,LEN('1b. Person Card'!$J$5)+LEN('1b. Person Card'!$B$5)+2)='1b. Person Card'!$J$5&amp;"|"&amp;'1b. Person Card'!$B$5&amp;"|",OR('1b. Person Card'!$F$6="",ISNUMBER(SEARCH('1b. Person Card'!$F$6,$D45)))),1,0)+P44</f>
        <v>1</v>
      </c>
      <c r="Q45">
        <f>IFERROR(INDEX($D$1:$D$47,MATCH(45,$P$1:$P$47,0)),"")</f>
      </c>
    </row>
    <row r="46">
      <c r="D46" t="inlineStr">
        <is>
          <t>Vivek Kumar</t>
        </is>
      </c>
      <c r="E46" t="inlineStr">
        <is>
          <t>IRIS2310</t>
        </is>
      </c>
      <c r="H46" t="inlineStr">
        <is>
          <t>iDEAL|Technology|Vivek Kumar</t>
        </is>
      </c>
      <c r="I46" t="inlineStr">
        <is>
          <t>IRIS2310</t>
        </is>
      </c>
      <c r="J46" t="n">
        <v>30</v>
      </c>
      <c r="P46">
        <f>IF(AND(LEFT($H46,LEN('1b. Person Card'!$J$5)+LEN('1b. Person Card'!$B$5)+2)='1b. Person Card'!$J$5&amp;"|"&amp;'1b. Person Card'!$B$5&amp;"|",OR('1b. Person Card'!$F$6="",ISNUMBER(SEARCH('1b. Person Card'!$F$6,$D46)))),1,0)+P45</f>
        <v>1</v>
      </c>
      <c r="Q46">
        <f>IFERROR(INDEX($D$1:$D$47,MATCH(46,$P$1:$P$47,0)),"")</f>
      </c>
    </row>
    <row r="47">
      <c r="D47" t="inlineStr">
        <is>
          <t>Hemant Karale</t>
        </is>
      </c>
      <c r="E47" t="inlineStr">
        <is>
          <t>IRIS1224</t>
        </is>
      </c>
      <c r="H47" t="inlineStr">
        <is>
          <t>iDEAL|iDEAL Business Head|Hemant Karale</t>
        </is>
      </c>
      <c r="I47" t="inlineStr">
        <is>
          <t>IRIS1224</t>
        </is>
      </c>
      <c r="J47" t="n">
        <v>47</v>
      </c>
      <c r="P47">
        <f>IF(AND(LEFT($H47,LEN('1b. Person Card'!$J$5)+LEN('1b. Person Card'!$B$5)+2)='1b. Person Card'!$J$5&amp;"|"&amp;'1b. Person Card'!$B$5&amp;"|",OR('1b. Person Card'!$F$6="",ISNUMBER(SEARCH('1b. Person Card'!$F$6,$D47)))),1,0)+P46</f>
        <v>1</v>
      </c>
      <c r="Q47">
        <f>IFERROR(INDEX($D$1:$D$47,MATCH(47,$P$1:$P$47,0)),"")</f>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HR — Job Architecture &amp; Job Design</dc:creator>
  <dc:title xmlns:dc="http://purl.org/dc/elements/1.1/">IRIS Job Architecture — iDEAL Product Master</dc:title>
  <dcterms:created xmlns:dcterms="http://purl.org/dc/terms/" xmlns:xsi="http://www.w3.org/2001/XMLSchema-instance" xsi:type="dcterms:W3CDTF">2026-10-12T06:10:48Z</dcterms:created>
  <dcterms:modified xmlns:dcterms="http://purl.org/dc/terms/" xmlns:xsi="http://www.w3.org/2001/XMLSchema-instance" xsi:type="dcterms:W3CDTF">2026-10-12T06:13:25Z</dcterms:modified>
</cp:coreProperties>
</file>