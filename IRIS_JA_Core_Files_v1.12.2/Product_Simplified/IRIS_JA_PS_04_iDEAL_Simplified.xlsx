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1. Start Here" sheetId="2" state="visible" r:id="rId2"/>
    <sheet xmlns:r="http://schemas.openxmlformats.org/officeDocument/2006/relationships" name="2. People &amp; Levels" sheetId="3" state="visible" r:id="rId3"/>
    <sheet xmlns:r="http://schemas.openxmlformats.org/officeDocument/2006/relationships" name="3. Roles" sheetId="4" state="visible" r:id="rId4"/>
    <sheet xmlns:r="http://schemas.openxmlformats.org/officeDocument/2006/relationships" name="4. Decisions &amp; Actions" sheetId="5" state="visible" r:id="rId5"/>
    <sheet xmlns:r="http://schemas.openxmlformats.org/officeDocument/2006/relationships" name="5. Career Ladder" sheetId="6" state="visible" r:id="rId6"/>
    <sheet xmlns:r="http://schemas.openxmlformats.org/officeDocument/2006/relationships" name="6. Weightage Matrix" sheetId="7" state="visible" r:id="rId7"/>
  </sheets>
  <definedNames>
    <definedName name="WM_EXP_AB">'6. Weightage Matrix'!$B$6</definedName>
    <definedName name="WM_EXP_CE">'6. Weightage Matrix'!$B$7</definedName>
    <definedName name="WM_C">'6. Weightage Matrix'!$N$17:$N$28</definedName>
    <definedName name="WM_AU">'6. Weightage Matrix'!$O$17:$O$28</definedName>
    <definedName name="WM_AC">'6. Weightage Matrix'!$P$17:$P$28</definedName>
    <definedName name="WM_L">'6. Weightage Matrix'!$Q$17:$Q$28</definedName>
    <definedName name="WM_E">'6. Weightage Matrix'!$R$17:$R$28</definedName>
    <definedName name="WM_BI">'6. Weightage Matrix'!$S$17:$S$28</definedName>
    <definedName name="WM_KEY">'6. Weightage Matrix'!$A$17:$A$28</definedName>
    <definedName name="_xlnm.Print_Titles" localSheetId="2">'2. People &amp; Levels'!$5:$6</definedName>
    <definedName name="_xlnm._FilterDatabase" localSheetId="3" hidden="1">'3. Roles'!$A$6:$V$42</definedName>
    <definedName name="_xlnm.Print_Titles" localSheetId="3">'3. Roles'!$5:$6</definedName>
    <definedName name="_xlnm.Print_Titles" localSheetId="5">'5. Career Ladder'!$5:$6</definedName>
    <definedName name="_xlnm.Print_Titles" localSheetId="6">'6. Weightage Matrix'!$15:$16</definedName>
  </definedNames>
  <calcPr calcId="124519" fullCalcOnLoad="1"/>
</workbook>
</file>

<file path=xl/styles.xml><?xml version="1.0" encoding="utf-8"?>
<styleSheet xmlns="http://schemas.openxmlformats.org/spreadsheetml/2006/main">
  <numFmts count="1">
    <numFmt numFmtId="164" formatCode="0.0"/>
  </numFmts>
  <fonts count="31">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sz val="10"/>
    </font>
    <font>
      <name val="Calibri"/>
      <b val="1"/>
      <color rgb="00FFFFFF"/>
      <sz val="10"/>
    </font>
    <font>
      <name val="Calibri"/>
      <b val="1"/>
      <sz val="10"/>
    </font>
    <font>
      <name val="Calibri"/>
      <b val="1"/>
      <color rgb="00FFFFFF"/>
      <sz val="9"/>
    </font>
    <font>
      <name val="Calibri"/>
      <b val="1"/>
      <color rgb="001F3864"/>
      <sz val="18"/>
    </font>
    <font>
      <name val="Calibri"/>
      <i val="1"/>
      <color rgb="00595959"/>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9C0006"/>
      <sz val="10"/>
    </font>
    <font>
      <name val="Calibri"/>
      <b val="1"/>
      <color rgb="007F6000"/>
      <sz val="10"/>
    </font>
    <font>
      <name val="Calibri"/>
      <b val="1"/>
      <color rgb="00404040"/>
      <sz val="10"/>
    </font>
    <font>
      <name val="Calibri"/>
      <color rgb="009C5700"/>
      <sz val="10"/>
    </font>
    <font>
      <name val="Calibri"/>
      <color rgb="009C0006"/>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b val="1"/>
      <sz val="12"/>
    </font>
    <font>
      <name val="Calibri"/>
      <b val="1"/>
      <color rgb="000563C1"/>
      <sz val="10"/>
      <u val="single"/>
    </font>
  </fonts>
  <fills count="21">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DDEBF7"/>
      </patternFill>
    </fill>
    <fill>
      <patternFill patternType="solid">
        <fgColor rgb="00E2EFDA"/>
      </patternFill>
    </fill>
    <fill>
      <patternFill patternType="solid">
        <fgColor rgb="00C6E0B4"/>
      </patternFill>
    </fill>
    <fill>
      <patternFill patternType="solid">
        <fgColor rgb="00E4DFEC"/>
      </patternFill>
    </fill>
    <fill>
      <patternFill patternType="solid">
        <fgColor rgb="00F8CBAD"/>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EDEDED"/>
      </patternFill>
    </fill>
    <fill>
      <patternFill patternType="solid">
        <fgColor rgb="0080808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97">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0" borderId="0" applyAlignment="1" pivotButton="0" quotePrefix="0" xfId="0">
      <alignment vertical="top" wrapText="1"/>
    </xf>
    <xf numFmtId="0" fontId="6" fillId="4" borderId="1" applyAlignment="1" pivotButton="0" quotePrefix="0" xfId="0">
      <alignment horizontal="center" vertical="top" wrapText="1"/>
    </xf>
    <xf numFmtId="0" fontId="0" fillId="4" borderId="1" pivotButton="0" quotePrefix="0" xfId="0"/>
    <xf numFmtId="0" fontId="7" fillId="0"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8" fillId="4" borderId="1" applyAlignment="1" pivotButton="0" quotePrefix="0" xfId="0">
      <alignment horizontal="center" vertical="top" wrapText="1"/>
    </xf>
    <xf numFmtId="0" fontId="9" fillId="5" borderId="1" applyAlignment="1" pivotButton="0" quotePrefix="0" xfId="0">
      <alignment horizontal="center" vertical="top" wrapText="1"/>
    </xf>
    <xf numFmtId="0" fontId="0" fillId="5" borderId="1" pivotButton="0" quotePrefix="0" xfId="0"/>
    <xf numFmtId="0" fontId="7" fillId="6" borderId="1" applyAlignment="1" pivotButton="0" quotePrefix="0" xfId="0">
      <alignment horizontal="center" vertical="top" wrapText="1"/>
    </xf>
    <xf numFmtId="0" fontId="5" fillId="6" borderId="1" applyAlignment="1" pivotButton="0" quotePrefix="0" xfId="0">
      <alignment vertical="top" wrapText="1"/>
    </xf>
    <xf numFmtId="0" fontId="0" fillId="6" borderId="1" pivotButton="0" quotePrefix="0" xfId="0"/>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5" fillId="7" borderId="1" applyAlignment="1" pivotButton="0" quotePrefix="0" xfId="0">
      <alignment vertical="top" wrapText="1"/>
    </xf>
    <xf numFmtId="0" fontId="0" fillId="7" borderId="1" pivotButton="0" quotePrefix="0" xfId="0"/>
    <xf numFmtId="0" fontId="5" fillId="7" borderId="1" applyAlignment="1" pivotButton="0" quotePrefix="0" xfId="0">
      <alignment horizontal="center" vertical="top" wrapText="1"/>
    </xf>
    <xf numFmtId="0" fontId="7" fillId="8" borderId="1" applyAlignment="1" pivotButton="0" quotePrefix="0" xfId="0">
      <alignment horizontal="center" vertical="top" wrapText="1"/>
    </xf>
    <xf numFmtId="0" fontId="5" fillId="8" borderId="1" applyAlignment="1" pivotButton="0" quotePrefix="0" xfId="0">
      <alignment vertical="top" wrapText="1"/>
    </xf>
    <xf numFmtId="0" fontId="0" fillId="8" borderId="1" pivotButton="0" quotePrefix="0" xfId="0"/>
    <xf numFmtId="0" fontId="5" fillId="8" borderId="1" applyAlignment="1" pivotButton="0" quotePrefix="0" xfId="0">
      <alignment horizontal="center" vertical="top" wrapText="1"/>
    </xf>
    <xf numFmtId="0" fontId="7" fillId="9" borderId="1" applyAlignment="1" pivotButton="0" quotePrefix="0" xfId="0">
      <alignment horizontal="center" vertical="top" wrapText="1"/>
    </xf>
    <xf numFmtId="0" fontId="5" fillId="9" borderId="1" applyAlignment="1" pivotButton="0" quotePrefix="0" xfId="0">
      <alignment vertical="top" wrapText="1"/>
    </xf>
    <xf numFmtId="0" fontId="0" fillId="9" borderId="1" pivotButton="0" quotePrefix="0" xfId="0"/>
    <xf numFmtId="0" fontId="5" fillId="9" borderId="1" applyAlignment="1" pivotButton="0" quotePrefix="0" xfId="0">
      <alignment horizontal="center" vertical="top" wrapText="1"/>
    </xf>
    <xf numFmtId="0" fontId="10" fillId="0" borderId="0" applyAlignment="1" pivotButton="0" quotePrefix="0" xfId="0">
      <alignment vertical="top" wrapText="1"/>
    </xf>
    <xf numFmtId="0" fontId="7" fillId="0" borderId="0" applyAlignment="1" pivotButton="0" quotePrefix="0" xfId="0">
      <alignment vertical="top" wrapText="1"/>
    </xf>
    <xf numFmtId="0" fontId="5" fillId="0" borderId="1" applyAlignment="1" pivotButton="0" quotePrefix="0" xfId="0">
      <alignment horizontal="center" vertical="top" wrapText="1"/>
    </xf>
    <xf numFmtId="0" fontId="11" fillId="10" borderId="1" applyAlignment="1" pivotButton="0" quotePrefix="0" xfId="0">
      <alignment vertical="center" indent="1"/>
    </xf>
    <xf numFmtId="0" fontId="0" fillId="10" borderId="1" pivotButton="0" quotePrefix="0" xfId="0"/>
    <xf numFmtId="0" fontId="12" fillId="11" borderId="1" applyAlignment="1" pivotButton="0" quotePrefix="0" xfId="0">
      <alignment vertical="center" indent="1"/>
    </xf>
    <xf numFmtId="0" fontId="0" fillId="11" borderId="1" pivotButton="0" quotePrefix="0" xfId="0"/>
    <xf numFmtId="0" fontId="13" fillId="12" borderId="1" applyAlignment="1" pivotButton="0" quotePrefix="0" xfId="0">
      <alignment vertical="center" indent="1"/>
    </xf>
    <xf numFmtId="0" fontId="0" fillId="12" borderId="1" pivotButton="0" quotePrefix="0" xfId="0"/>
    <xf numFmtId="0" fontId="14" fillId="6" borderId="1" applyAlignment="1" pivotButton="0" quotePrefix="0" xfId="0">
      <alignment vertical="center" indent="1"/>
    </xf>
    <xf numFmtId="0" fontId="15" fillId="8" borderId="1" applyAlignment="1" pivotButton="0" quotePrefix="0" xfId="0">
      <alignment vertical="center" indent="1"/>
    </xf>
    <xf numFmtId="0" fontId="16" fillId="13" borderId="1" applyAlignment="1" pivotButton="0" quotePrefix="0" xfId="0">
      <alignment vertical="center" indent="1"/>
    </xf>
    <xf numFmtId="0" fontId="0" fillId="13" borderId="1" pivotButton="0" quotePrefix="0" xfId="0"/>
    <xf numFmtId="0" fontId="17" fillId="14" borderId="1" applyAlignment="1" pivotButton="0" quotePrefix="0" xfId="0">
      <alignment vertical="center" indent="1"/>
    </xf>
    <xf numFmtId="0" fontId="0" fillId="14" borderId="1" pivotButton="0" quotePrefix="0" xfId="0"/>
    <xf numFmtId="0" fontId="21" fillId="3" borderId="0" applyAlignment="1" pivotButton="0" quotePrefix="0" xfId="0">
      <alignment horizontal="center" vertical="center" wrapText="1"/>
    </xf>
    <xf numFmtId="0" fontId="22" fillId="10" borderId="0" applyAlignment="1" pivotButton="0" quotePrefix="0" xfId="0">
      <alignment horizontal="center" vertical="center" wrapText="1"/>
    </xf>
    <xf numFmtId="0" fontId="23" fillId="11" borderId="0" applyAlignment="1" pivotButton="0" quotePrefix="0" xfId="0">
      <alignment horizontal="center" vertical="center" wrapText="1"/>
    </xf>
    <xf numFmtId="0" fontId="24" fillId="12" borderId="0" applyAlignment="1" pivotButton="0" quotePrefix="0" xfId="0">
      <alignment horizontal="center" vertical="center" wrapText="1"/>
    </xf>
    <xf numFmtId="0" fontId="25" fillId="6" borderId="0" applyAlignment="1" pivotButton="0" quotePrefix="0" xfId="0">
      <alignment horizontal="center" vertical="center" wrapText="1"/>
    </xf>
    <xf numFmtId="0" fontId="0" fillId="6" borderId="0" pivotButton="0" quotePrefix="0" xfId="0"/>
    <xf numFmtId="0" fontId="26" fillId="8" borderId="0" applyAlignment="1" pivotButton="0" quotePrefix="0" xfId="0">
      <alignment horizontal="center" vertical="center" wrapText="1"/>
    </xf>
    <xf numFmtId="0" fontId="0" fillId="8" borderId="0" pivotButton="0" quotePrefix="0" xfId="0"/>
    <xf numFmtId="0" fontId="27" fillId="13" borderId="0" applyAlignment="1" pivotButton="0" quotePrefix="0" xfId="0">
      <alignment horizontal="center" vertical="center" wrapText="1"/>
    </xf>
    <xf numFmtId="0" fontId="0" fillId="13" borderId="0" pivotButton="0" quotePrefix="0" xfId="0"/>
    <xf numFmtId="0" fontId="28" fillId="14" borderId="0" applyAlignment="1" pivotButton="0" quotePrefix="0" xfId="0">
      <alignment horizontal="center" vertical="center" wrapText="1"/>
    </xf>
    <xf numFmtId="0" fontId="0" fillId="14"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4" fillId="15" borderId="0" applyAlignment="1" pivotButton="0" quotePrefix="0" xfId="0">
      <alignment vertical="center" wrapText="1"/>
    </xf>
    <xf numFmtId="0" fontId="4" fillId="16" borderId="0" applyAlignment="1" pivotButton="0" quotePrefix="0" xfId="0">
      <alignment vertical="center" wrapText="1"/>
    </xf>
    <xf numFmtId="0" fontId="4" fillId="17" borderId="0" applyAlignment="1" pivotButton="0" quotePrefix="0" xfId="0">
      <alignment vertical="center" wrapText="1"/>
    </xf>
    <xf numFmtId="0" fontId="4" fillId="18" borderId="0" applyAlignment="1" pivotButton="0" quotePrefix="0" xfId="0">
      <alignment vertical="center" wrapText="1"/>
    </xf>
    <xf numFmtId="0" fontId="6" fillId="2" borderId="1" applyAlignment="1" pivotButton="0" quotePrefix="0" xfId="0">
      <alignment horizontal="center" vertical="top" wrapText="1"/>
    </xf>
    <xf numFmtId="0" fontId="6" fillId="15" borderId="1" applyAlignment="1" pivotButton="0" quotePrefix="0" xfId="0">
      <alignment horizontal="center" vertical="top" wrapText="1"/>
    </xf>
    <xf numFmtId="0" fontId="6" fillId="16" borderId="1" applyAlignment="1" pivotButton="0" quotePrefix="0" xfId="0">
      <alignment horizontal="center" vertical="top" wrapText="1"/>
    </xf>
    <xf numFmtId="0" fontId="6" fillId="17" borderId="1" applyAlignment="1" pivotButton="0" quotePrefix="0" xfId="0">
      <alignment horizontal="center" vertical="top" wrapText="1"/>
    </xf>
    <xf numFmtId="0" fontId="6" fillId="18" borderId="1" applyAlignment="1" pivotButton="0" quotePrefix="0" xfId="0">
      <alignment horizontal="center" vertical="top" wrapText="1"/>
    </xf>
    <xf numFmtId="0" fontId="11" fillId="10" borderId="1" applyAlignment="1" pivotButton="0" quotePrefix="0" xfId="0">
      <alignment vertical="top" wrapText="1"/>
    </xf>
    <xf numFmtId="0" fontId="18" fillId="5" borderId="1" applyAlignment="1" pivotButton="0" quotePrefix="0" xfId="0">
      <alignment vertical="top" wrapText="1"/>
    </xf>
    <xf numFmtId="0" fontId="5" fillId="14" borderId="1" applyAlignment="1" pivotButton="0" quotePrefix="0" xfId="0">
      <alignment horizontal="center" vertical="top" wrapText="1"/>
    </xf>
    <xf numFmtId="2" fontId="5" fillId="0" borderId="1" applyAlignment="1" pivotButton="0" quotePrefix="0" xfId="0">
      <alignment horizontal="center" vertical="top" wrapText="1"/>
    </xf>
    <xf numFmtId="0" fontId="5" fillId="14" borderId="1" applyAlignment="1" pivotButton="0" quotePrefix="0" xfId="0">
      <alignment vertical="top" wrapText="1"/>
    </xf>
    <xf numFmtId="0" fontId="12" fillId="11" borderId="1" applyAlignment="1" pivotButton="0" quotePrefix="0" xfId="0">
      <alignment vertical="top" wrapText="1"/>
    </xf>
    <xf numFmtId="0" fontId="19" fillId="12" borderId="1" applyAlignment="1" pivotButton="0" quotePrefix="0" xfId="0">
      <alignment vertical="top" wrapText="1"/>
    </xf>
    <xf numFmtId="0" fontId="14" fillId="6" borderId="1" applyAlignment="1" pivotButton="0" quotePrefix="0" xfId="0">
      <alignment vertical="top" wrapText="1"/>
    </xf>
    <xf numFmtId="0" fontId="15" fillId="8" borderId="1" applyAlignment="1" pivotButton="0" quotePrefix="0" xfId="0">
      <alignment horizontal="center" vertical="top" wrapText="1"/>
    </xf>
    <xf numFmtId="0" fontId="13" fillId="12" borderId="1" applyAlignment="1" pivotButton="0" quotePrefix="0" xfId="0">
      <alignment vertical="top" wrapText="1"/>
    </xf>
    <xf numFmtId="0" fontId="20" fillId="13" borderId="1" applyAlignment="1" pivotButton="0" quotePrefix="0" xfId="0">
      <alignment vertical="top" wrapText="1"/>
    </xf>
    <xf numFmtId="0" fontId="4" fillId="4" borderId="0" pivotButton="0" quotePrefix="0" xfId="0"/>
    <xf numFmtId="0" fontId="7" fillId="0" borderId="1" applyAlignment="1" pivotButton="0" quotePrefix="0" xfId="0">
      <alignment horizontal="center" vertical="top" wrapText="1"/>
    </xf>
    <xf numFmtId="0" fontId="6" fillId="4" borderId="1" applyAlignment="1" pivotButton="0" quotePrefix="0" xfId="0">
      <alignment vertical="top" wrapText="1"/>
    </xf>
    <xf numFmtId="0" fontId="0" fillId="0" borderId="5" pivotButton="0" quotePrefix="0" xfId="0"/>
    <xf numFmtId="0" fontId="0" fillId="0" borderId="4" pivotButton="0" quotePrefix="0" xfId="0"/>
    <xf numFmtId="0" fontId="7" fillId="3" borderId="1" applyAlignment="1" pivotButton="0" quotePrefix="0" xfId="0">
      <alignment vertical="top" wrapText="1"/>
    </xf>
    <xf numFmtId="0" fontId="5" fillId="3" borderId="1" applyAlignment="1" pivotButton="0" quotePrefix="0" xfId="0">
      <alignment horizontal="center" vertical="top" wrapText="1"/>
    </xf>
    <xf numFmtId="0" fontId="7" fillId="5" borderId="1" applyAlignment="1" pivotButton="0" quotePrefix="0" xfId="0">
      <alignment vertical="top" wrapText="1"/>
    </xf>
    <xf numFmtId="0" fontId="29" fillId="14" borderId="1" applyAlignment="1" pivotButton="0" quotePrefix="0" xfId="0">
      <alignment horizontal="center" vertical="top" wrapText="1"/>
    </xf>
    <xf numFmtId="0" fontId="6" fillId="20" borderId="1" applyAlignment="1" pivotButton="0" quotePrefix="0" xfId="0">
      <alignment horizontal="center" vertical="top" wrapText="1"/>
    </xf>
    <xf numFmtId="164" fontId="5" fillId="14" borderId="1" applyAlignment="1" pivotButton="0" quotePrefix="0" xfId="0">
      <alignment horizontal="center" vertical="top" wrapText="1"/>
    </xf>
    <xf numFmtId="164" fontId="7" fillId="0" borderId="1" applyAlignment="1" pivotButton="0" quotePrefix="0" xfId="0">
      <alignment horizontal="center" vertical="top" wrapText="1"/>
    </xf>
    <xf numFmtId="9" fontId="5" fillId="19" borderId="1" applyAlignment="1" pivotButton="0" quotePrefix="0" xfId="0">
      <alignment horizontal="center" vertical="top" wrapText="1"/>
    </xf>
    <xf numFmtId="164" fontId="5" fillId="0" borderId="1" applyAlignment="1" pivotButton="0" quotePrefix="0" xfId="0">
      <alignment vertical="top" wrapText="1"/>
    </xf>
    <xf numFmtId="0" fontId="30" fillId="0" borderId="0" applyAlignment="1" pivotButton="0" quotePrefix="0" xfId="0">
      <alignment vertical="center"/>
    </xf>
    <xf numFmtId="0" fontId="3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Start Here'!B101</f>
            </strRef>
          </tx>
          <spPr>
            <a:solidFill xmlns:a="http://schemas.openxmlformats.org/drawingml/2006/main">
              <a:srgbClr val="2E75B6"/>
            </a:solidFill>
            <a:ln xmlns:a="http://schemas.openxmlformats.org/drawingml/2006/main">
              <a:solidFill>
                <a:srgbClr val="2E75B6"/>
              </a:solidFill>
              <a:prstDash val="solid"/>
            </a:ln>
          </spPr>
          <cat>
            <numRef>
              <f>'1. Start Here'!$A$102:$A$109</f>
            </numRef>
          </cat>
          <val>
            <numRef>
              <f>'1. Start Here'!$B$102:$B$109</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The discipline, the same across businesses.</t>
      </text>
    </comment>
    <comment ref="H6" authorId="0" shapeId="0">
      <text>
        <t>Individual Contributor, POD Lead, People Manager, Player-Coach or Consultant.</t>
      </text>
    </comment>
    <comment ref="I6" authorId="0" shapeId="0">
      <text>
        <t>Level in the current structure, or 'Not in current mapping files'.</t>
      </text>
    </comment>
    <comment ref="J6" authorId="0" shapeId="0">
      <text>
        <t>Level on the new ladder after the rules.</t>
      </text>
    </comment>
    <comment ref="K6" authorId="0" shapeId="0">
      <text>
        <t>The generic title of the level on the person's track.</t>
      </text>
    </comment>
    <comment ref="L6" authorId="0" shapeId="0">
      <text>
        <t>Up, same, down · pay and title protected for one cycle or newly mapped.</t>
      </text>
    </comment>
    <comment ref="T6" authorId="0" shapeId="0">
      <text>
        <t>Weighted score = Σ rating × weight, on the 1–12 level scale. Not performance, not pay.</t>
      </text>
    </comment>
    <comment ref="U6" authorId="0" shapeId="0">
      <text>
        <t>The score rounded to the nearest level ·.5 rounds up, before the rules.</t>
      </text>
    </comment>
    <comment ref="AC6" authorId="0" shapeId="0">
      <text>
        <t>Agree / Change / Discuss — your view of this placement.</t>
      </text>
    </comment>
  </commentList>
</comments>
</file>

<file path=xl/comments/comment2.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3.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100</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2__People___Levels" displayName="T_2__People___Levels" ref="A6:AF53" headerRowCount="1">
  <autoFilter ref="A6:AF53"/>
  <tableColumns count="32">
    <tableColumn id="1" name="Emp ID"/>
    <tableColumn id="2" name="Employee name"/>
    <tableColumn id="3" name="Department"/>
    <tableColumn id="4" name="Current designation"/>
    <tableColumn id="5" name="New designation"/>
    <tableColumn id="6" name="Job family"/>
    <tableColumn id="7" name="Sub-family"/>
    <tableColumn id="8" name="Track"/>
    <tableColumn id="9" name="Current level"/>
    <tableColumn id="10" name="NEW LEVEL"/>
    <tableColumn id="11" name="Level title"/>
    <tableColumn id="12" name="Change vs current"/>
    <tableColumn id="13" name="Weight row — Weightage Matrix"/>
    <tableColumn id="14" name="Complexity rating"/>
    <tableColumn id="15" name="Autonomy rating"/>
    <tableColumn id="16" name="Accountab. rating"/>
    <tableColumn id="17" name="Leadership rating"/>
    <tableColumn id="18" name="Exp + Qual rating"/>
    <tableColumn id="19" name="Bus. Impact rating"/>
    <tableColumn id="20" name="Score"/>
    <tableColumn id="21" name="Level the score indicates"/>
    <tableColumn id="22" name="Why this level"/>
    <tableColumn id="23" name="How each factor was rated · rating of 12 — starting point and evidence"/>
    <tableColumn id="24" name="Market comparison"/>
    <tableColumn id="25" name="Data behind the placement"/>
    <tableColumn id="26" name="Points for your attention"/>
    <tableColumn id="27" name="Input still needed — and who provides it"/>
    <tableColumn id="28" name="Business impact — from survey and data"/>
    <tableColumn id="29" name="Your view"/>
    <tableColumn id="30" name="If change: proposed level / designation, and why"/>
    <tableColumn id="31" name="Business impact of this person — your view"/>
    <tableColumn id="32" name="Bus. Impact — model start"/>
  </tableColumns>
  <tableStyleInfo name="TableStyleLight1" showRowStripes="1" showColumnStripes="0"/>
</table>
</file>

<file path=xl/tables/table2.xml><?xml version="1.0" encoding="utf-8"?>
<table xmlns="http://schemas.openxmlformats.org/spreadsheetml/2006/main" id="2" name="T_5__Career_Ladder" displayName="T_5__Career_Ladder" ref="A6:P35" headerRowCount="1">
  <autoFilter ref="A6:P35"/>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iDEAL · same work in other departments"/>
    <tableColumn id="16" name="Overlap across IRIS · same work in other products"/>
  </tableColumns>
  <tableStyleInfo name="TableStyleLight1" showRowStripes="1" showColumnStripes="0"/>
</table>
</file>

<file path=xl/tables/table3.xml><?xml version="1.0" encoding="utf-8"?>
<table xmlns="http://schemas.openxmlformats.org/spreadsheetml/2006/main" id="3" name="T_6__Weightage_Matrix" displayName="T_6__Weightage_Matrix" ref="A16:T28" headerRowCount="1">
  <autoFilter ref="A16:T28"/>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Start Here'!A1" TargetMode="External" Id="rId1"/></Relationships>
</file>

<file path=xl/worksheets/_rels/sheet2.xml.rels><Relationships xmlns="http://schemas.openxmlformats.org/package/2006/relationships"><Relationship Type="http://schemas.openxmlformats.org/officeDocument/2006/relationships/hyperlink" Target="#'2. People &amp; Levels'!A1" TargetMode="External" Id="rId1"/><Relationship Type="http://schemas.openxmlformats.org/officeDocument/2006/relationships/hyperlink" Target="#'3. Roles'!A1" TargetMode="External" Id="rId2"/><Relationship Type="http://schemas.openxmlformats.org/officeDocument/2006/relationships/hyperlink" Target="#'4. Decisions &amp; Actions'!A1" TargetMode="External" Id="rId3"/><Relationship Type="http://schemas.openxmlformats.org/officeDocument/2006/relationships/hyperlink" Target="#'5. Career Ladder'!A1" TargetMode="External" Id="rId4"/><Relationship Type="http://schemas.openxmlformats.org/officeDocument/2006/relationships/hyperlink" Target="#'6. Weightage Matrix'!A1" TargetMode="External" Id="rId5"/><Relationship Type="http://schemas.openxmlformats.org/officeDocument/2006/relationships/drawing" Target="/xl/drawings/drawing1.xml" Id="rId6"/></Relationships>
</file>

<file path=xl/worksheets/_rels/sheet3.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1. Start Here'!A1" TargetMode="External" Id="rId1"/></Relationships>
</file>

<file path=xl/worksheets/_rels/sheet5.xml.rels><Relationships xmlns="http://schemas.openxmlformats.org/package/2006/relationships"><Relationship Type="http://schemas.openxmlformats.org/officeDocument/2006/relationships/hyperlink" Target="#'1. Start Here'!A1" TargetMode="External" Id="rId1"/></Relationships>
</file>

<file path=xl/worksheets/_rels/sheet6.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95" t="inlineStr">
        <is>
          <t>◂ Start Here</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business head's edition for one product: the numbers, every placement, the roles, the decisions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8" t="inlineStr">
        <is>
          <t>#</t>
        </is>
      </c>
      <c r="B6" s="8" t="inlineStr">
        <is>
          <t>Step</t>
        </is>
      </c>
      <c r="C6" s="8" t="inlineStr">
        <is>
          <t>What we did</t>
        </is>
      </c>
      <c r="D6" s="8" t="inlineStr">
        <is>
          <t>What came out of it</t>
        </is>
      </c>
    </row>
    <row r="7" ht="54" customHeight="1">
      <c r="A7" s="34" t="n">
        <v>1</v>
      </c>
      <c r="B7" s="12" t="inlineStr">
        <is>
          <t>Created a base framework</t>
        </is>
      </c>
      <c r="C7" s="12" t="inlineStr">
        <is>
          <t>Built IRIS's job architecture from established market methods — Aon Radford / Mercer career levels, Korn Ferry Hay factors, WTW banding and SFIA — with job families anchored to the ILO occupation standard.</t>
        </is>
      </c>
      <c r="D7" s="12" t="inlineStr">
        <is>
          <t>19 job families, 61 sub-families, a 12-level ladder plus two Player-Coach steps · B+, C+, six factors, individual-contributor and manager tracks</t>
        </is>
      </c>
    </row>
    <row r="8" ht="54" customHeight="1">
      <c r="A8" s="34" t="n">
        <v>2</v>
      </c>
      <c r="B8" s="12" t="inlineStr">
        <is>
          <t>Designed a survey around it</t>
        </is>
      </c>
      <c r="C8" s="12"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2" t="inlineStr">
        <is>
          <t>One evidence form for every role, so each rating can be traced to an answer</t>
        </is>
      </c>
    </row>
    <row r="9" ht="41" customHeight="1">
      <c r="A9" s="34" t="n">
        <v>3</v>
      </c>
      <c r="B9" s="12" t="inlineStr">
        <is>
          <t>Conducted 60–65 workshops</t>
        </is>
      </c>
      <c r="C9" s="12" t="inlineStr">
        <is>
          <t>Ran 60–65 workshops with teams across the six products and Corporate: explained the framework, walked through the questions and collected answers in the room.</t>
        </is>
      </c>
      <c r="D9" s="12" t="inlineStr">
        <is>
          <t>Survey responses from 520 people</t>
        </is>
      </c>
    </row>
    <row r="10" ht="41" customHeight="1">
      <c r="A10" s="34" t="n">
        <v>4</v>
      </c>
      <c r="B10" s="12" t="inlineStr">
        <is>
          <t>Gathered the data</t>
        </is>
      </c>
      <c r="C10" s="12" t="inlineStr">
        <is>
          <t>Combined the survey with the HRIS employee master, KRAs · self and manager-set, the managers' talent mapping · rating, potential, 9-box and the reporting lines.</t>
        </is>
      </c>
      <c r="D10" s="12" t="inlineStr">
        <is>
          <t>One record per person — 586 people; KRAs on file for 453</t>
        </is>
      </c>
    </row>
    <row r="11" ht="41" customHeight="1">
      <c r="A11" s="34" t="n">
        <v>5</v>
      </c>
      <c r="B11" s="12" t="inlineStr">
        <is>
          <t>Cleaned and protected it</t>
        </is>
      </c>
      <c r="C11" s="12" t="inlineStr">
        <is>
          <t>Matched responses to people · with consent where needed, removed personal data, and showed survey content only where three or more role-holders answered — never one person's words against a name.</t>
        </is>
      </c>
      <c r="D11" s="12" t="inlineStr">
        <is>
          <t>Privacy-safe evidence</t>
        </is>
      </c>
    </row>
    <row r="12" ht="28" customHeight="1">
      <c r="A12" s="34" t="n">
        <v>6</v>
      </c>
      <c r="B12" s="12" t="inlineStr">
        <is>
          <t>Mapped every role</t>
        </is>
      </c>
      <c r="C12" s="12" t="inlineStr">
        <is>
          <t>Placed each person in a job family, a sub-family · the work they actually do and a track.</t>
        </is>
      </c>
      <c r="D12" s="12" t="inlineStr">
        <is>
          <t>267 distinct employee roles; one IRIS-wide role catalogue</t>
        </is>
      </c>
    </row>
    <row r="13" ht="54" customHeight="1">
      <c r="A13" s="34" t="n">
        <v>7</v>
      </c>
      <c r="B13" s="12" t="inlineStr">
        <is>
          <t>Rated and scored</t>
        </is>
      </c>
      <c r="C13" s="12" t="inlineStr">
        <is>
          <t>Rated six factors — Complexity, Autonomy, Accountability, Leadership, Experience &amp; Qualification, Business Impact — on the ladder scale from the evidence; rating × weight = points; points add up to a score; the score points to a level.</t>
        </is>
      </c>
      <c r="D13" s="12" t="inlineStr">
        <is>
          <t>A score and an indicated level for 540 employees</t>
        </is>
      </c>
    </row>
    <row r="14" ht="41" customHeight="1">
      <c r="A14" s="34" t="n">
        <v>8</v>
      </c>
      <c r="B14" s="12" t="inlineStr">
        <is>
          <t>Applied the rules</t>
        </is>
      </c>
      <c r="C14" s="12" t="inlineStr">
        <is>
          <t>Gates, limits and Player-Coach steps where the evidence calls for them, and leadership decisions for the top bands — each one written down with its numbers.</t>
        </is>
      </c>
      <c r="D14" s="12" t="inlineStr">
        <is>
          <t>A final level and designation for everyone, every move explained</t>
        </is>
      </c>
    </row>
    <row r="15" ht="41" customHeight="1">
      <c r="A15" s="34" t="n">
        <v>9</v>
      </c>
      <c r="B15" s="12" t="inlineStr">
        <is>
          <t>Benchmarked to the market</t>
        </is>
      </c>
      <c r="C15" s="12" t="inlineStr">
        <is>
          <t>Matched every level to Aon Radford / Mercer codes and SFIA, and to competitor, regtech and SaaS ladders; every source re-read and corrected.</t>
        </is>
      </c>
      <c r="D15" s="12" t="inlineStr">
        <is>
          <t>A market code and a typical market title for every level</t>
        </is>
      </c>
    </row>
    <row r="16" ht="54" customHeight="1">
      <c r="A16" s="34" t="n">
        <v>10</v>
      </c>
      <c r="B16" s="12" t="inlineStr">
        <is>
          <t>Built the file set</t>
        </is>
      </c>
      <c r="C16" s="12" t="inlineStr">
        <is>
          <t>One build produces every file from the same data, so they always agree: the HR Super Master, product masters and simplified editions, the framework &amp; model master, the calibration panel pack, the ladder master and draft letters.</t>
        </is>
      </c>
      <c r="D16" s="12" t="inlineStr">
        <is>
          <t>Files by audience, rebuilt and re-checked in minutes</t>
        </is>
      </c>
    </row>
    <row r="17" ht="28" customHeight="1">
      <c r="A17" s="34" t="n">
        <v>11</v>
      </c>
      <c r="B17" s="12" t="inlineStr">
        <is>
          <t>Reviewed and corrected</t>
        </is>
      </c>
      <c r="C17" s="12" t="inlineStr">
        <is>
          <t>Business-head review, independent reviews, and 100+ automated checks on every build · placements, privacy, formulas, links, counts.</t>
        </is>
      </c>
      <c r="D17" s="12" t="inlineStr">
        <is>
          <t>Corrections fed back as validated inputs, never as hand edits</t>
        </is>
      </c>
    </row>
    <row r="18" ht="15" customHeight="1"/>
    <row r="19" ht="20" customHeight="1">
      <c r="A19" s="6" t="inlineStr">
        <is>
          <t>2. What we are doing now</t>
        </is>
      </c>
      <c r="B19" s="2" t="n"/>
      <c r="C19" s="2" t="n"/>
      <c r="D19" s="2" t="n"/>
    </row>
    <row r="20" ht="15" customHeight="1">
      <c r="A20" s="8" t="inlineStr">
        <is>
          <t>Now</t>
        </is>
      </c>
      <c r="B20" s="9" t="n"/>
      <c r="C20" s="8" t="inlineStr">
        <is>
          <t>What happens</t>
        </is>
      </c>
      <c r="D20" s="8" t="inlineStr">
        <is>
          <t>Who</t>
        </is>
      </c>
    </row>
    <row r="21" ht="28" customHeight="1">
      <c r="A21" s="10" t="inlineStr">
        <is>
          <t>Calibration</t>
        </is>
      </c>
      <c r="B21" s="11" t="n"/>
      <c r="C21" s="12" t="inlineStr">
        <is>
          <t>The panel rates anchor roles blind and compares them with the model; close calls and moves down are decided.</t>
        </is>
      </c>
      <c r="D21" s="12" t="inlineStr">
        <is>
          <t>Calibration panel</t>
        </is>
      </c>
    </row>
    <row r="22" ht="28" customHeight="1">
      <c r="A22" s="10" t="inlineStr">
        <is>
          <t>Decisions and data</t>
        </is>
      </c>
      <c r="B22" s="11" t="n"/>
      <c r="C22" s="12" t="inlineStr">
        <is>
          <t>Open decisions and critical data requests are worked in the HR Super Master's tracker.</t>
        </is>
      </c>
      <c r="D22" s="12" t="inlineStr">
        <is>
          <t>HR, managers, business heads</t>
        </is>
      </c>
    </row>
    <row r="23" ht="28" customHeight="1">
      <c r="A23" s="10" t="inlineStr">
        <is>
          <t>Business-head review</t>
        </is>
      </c>
      <c r="B23" s="11" t="n"/>
      <c r="C23" s="12" t="inlineStr">
        <is>
          <t>Each business head marks Agree / Change / Discuss in their simplified edition; responses are imported and tracked.</t>
        </is>
      </c>
      <c r="D23" s="12" t="inlineStr">
        <is>
          <t>Business heads</t>
        </is>
      </c>
    </row>
    <row r="24" ht="28" customHeight="1">
      <c r="A24" s="10" t="inlineStr">
        <is>
          <t>Sign-off</t>
        </is>
      </c>
      <c r="B24" s="11" t="n"/>
      <c r="C24" s="12" t="inlineStr">
        <is>
          <t>The executive sponsor approves the structure; then the draft letters are issued.</t>
        </is>
      </c>
      <c r="D24" s="12" t="inlineStr">
        <is>
          <t>Executive sponsor, HR</t>
        </is>
      </c>
    </row>
    <row r="25" ht="28" customHeight="1">
      <c r="A25" s="10" t="inlineStr">
        <is>
          <t>Pay · later</t>
        </is>
      </c>
      <c r="B25" s="11" t="n"/>
      <c r="C25" s="12" t="inlineStr">
        <is>
          <t>Buy one India pay survey and price each level; pay columns stay blank until then.</t>
        </is>
      </c>
      <c r="D25" s="12" t="inlineStr">
        <is>
          <t>HR, Finance</t>
        </is>
      </c>
    </row>
    <row r="26" ht="15" customHeight="1"/>
    <row r="27" ht="20" customHeight="1">
      <c r="A27" s="6" t="inlineStr">
        <is>
          <t>3. How it works — in one minute</t>
        </is>
      </c>
      <c r="B27" s="2" t="n"/>
      <c r="C27" s="2" t="n"/>
      <c r="D27" s="2" t="n"/>
    </row>
    <row r="28" ht="15" customHeight="1">
      <c r="A28" s="8" t="inlineStr">
        <is>
          <t>Step</t>
        </is>
      </c>
      <c r="B28" s="9" t="n"/>
      <c r="C28" s="8" t="inlineStr">
        <is>
          <t>In plain words</t>
        </is>
      </c>
      <c r="D28" s="9" t="n"/>
    </row>
    <row r="29" ht="28" customHeight="1">
      <c r="A29" s="10" t="inlineStr">
        <is>
          <t>1 · A building with 12 floors</t>
        </is>
      </c>
      <c r="B29" s="11" t="n"/>
      <c r="C29" s="12" t="inlineStr">
        <is>
          <r>
            <rPr>
              <rFont val="Calibri"/>
              <b val="1"/>
              <sz val="10"/>
            </rPr>
            <t>IRIS is a building:</t>
          </r>
          <r>
            <rPr>
              <rFont val="Calibri"/>
              <sz val="10"/>
            </rPr>
            <t xml:space="preserve"> floor 1 = first job, floor 12 = CEO; two half floors · B+, C+ for player-coaches. Every job lives on one floor.</t>
          </r>
        </is>
      </c>
      <c r="D29" s="11" t="n"/>
    </row>
    <row r="30" ht="28" customHeight="1">
      <c r="A30" s="10" t="inlineStr">
        <is>
          <t>2 · Six judges</t>
        </is>
      </c>
      <c r="B30" s="11" t="n"/>
      <c r="C30" s="12" t="inlineStr">
        <is>
          <t>Six judges look at the job — How hard? Decides alone? Answers for? Leads? Experience? Business impact? — and each holds up a floor number · the rating, using the evidence: survey, KRAs, HRIS, reporting line.</t>
        </is>
      </c>
      <c r="D30" s="11" t="n"/>
    </row>
    <row r="31" ht="28" customHeight="1">
      <c r="A31" s="10" t="inlineStr">
        <is>
          <t>3 · Some count more</t>
        </is>
      </c>
      <c r="B31" s="11" t="n"/>
      <c r="C31" s="12" t="inlineStr">
        <is>
          <t>Starting out, the quality of the work counts most; for leaders, results, leading and business impact count most. Experience counts little. All six add to 100%, and leaders can edit them on the Weightage Matrix.</t>
        </is>
      </c>
      <c r="D31" s="11" t="n"/>
    </row>
    <row r="32" ht="28" customHeight="1">
      <c r="A32" s="10" t="inlineStr">
        <is>
          <t>4 · Add up = the floor</t>
        </is>
      </c>
      <c r="B32" s="11" t="n"/>
      <c r="C32" s="12" t="inlineStr">
        <is>
          <t>Card × how much it counts = points; add the points = the score; round it = the floor · 5.05 → 5 → B2. Fair-play checks can hold it — each one written down.</t>
        </is>
      </c>
      <c r="D32" s="11" t="n"/>
    </row>
    <row r="33" ht="15" customHeight="1"/>
    <row r="34" ht="15" customHeight="1">
      <c r="A34" s="32"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8" t="inlineStr">
        <is>
          <t>Output</t>
        </is>
      </c>
      <c r="B36" s="9" t="n"/>
      <c r="C36" s="9" t="n"/>
      <c r="D36" s="8" t="inlineStr">
        <is>
          <t>Count</t>
        </is>
      </c>
    </row>
    <row r="37" ht="15" customHeight="1">
      <c r="A37" s="10" t="inlineStr">
        <is>
          <t>People mapped · employees + consultants</t>
        </is>
      </c>
      <c r="B37" s="11" t="n"/>
      <c r="C37" s="11" t="n"/>
      <c r="D37" s="34" t="inlineStr">
        <is>
          <t>586</t>
        </is>
      </c>
    </row>
    <row r="38" ht="15" customHeight="1">
      <c r="A38" s="10" t="inlineStr">
        <is>
          <t>Job families · sub-families</t>
        </is>
      </c>
      <c r="B38" s="11" t="n"/>
      <c r="C38" s="11" t="n"/>
      <c r="D38" s="34" t="inlineStr">
        <is>
          <t>19 · 61</t>
        </is>
      </c>
    </row>
    <row r="39" ht="15" customHeight="1">
      <c r="A39" s="10" t="inlineStr">
        <is>
          <t>Ladder steps in use · employees</t>
        </is>
      </c>
      <c r="B39" s="11" t="n"/>
      <c r="C39" s="11" t="n"/>
      <c r="D39" s="34" t="n">
        <v>13</v>
      </c>
    </row>
    <row r="40" ht="15" customHeight="1">
      <c r="A40" s="10" t="inlineStr">
        <is>
          <t>Designations on the new ladder · employees</t>
        </is>
      </c>
      <c r="B40" s="11" t="n"/>
      <c r="C40" s="11" t="n"/>
      <c r="D40" s="34" t="n">
        <v>184</v>
      </c>
    </row>
    <row r="41" ht="15" customHeight="1">
      <c r="A41" s="10" t="inlineStr">
        <is>
          <t>Distinct employee roles</t>
        </is>
      </c>
      <c r="B41" s="11" t="n"/>
      <c r="C41" s="11" t="n"/>
      <c r="D41" s="34" t="n">
        <v>267</v>
      </c>
    </row>
    <row r="42" ht="15" customHeight="1">
      <c r="A42" s="10" t="inlineStr">
        <is>
          <t>Products and Corporate</t>
        </is>
      </c>
      <c r="B42" s="11" t="n"/>
      <c r="C42" s="11" t="n"/>
      <c r="D42" s="34" t="n">
        <v>6</v>
      </c>
    </row>
    <row r="43" ht="15" customHeight="1">
      <c r="A43" s="10" t="inlineStr">
        <is>
          <t>People in leadership bands D–E</t>
        </is>
      </c>
      <c r="B43" s="11" t="n"/>
      <c r="C43" s="11" t="n"/>
      <c r="D43" s="34" t="n">
        <v>11</v>
      </c>
    </row>
    <row r="44" ht="15" customHeight="1"/>
    <row r="45" ht="20" customHeight="1">
      <c r="A45" s="6" t="inlineStr">
        <is>
          <t>5. The impact</t>
        </is>
      </c>
      <c r="B45" s="2" t="n"/>
      <c r="C45" s="2" t="n"/>
      <c r="D45" s="2" t="n"/>
    </row>
    <row r="46" ht="15" customHeight="1">
      <c r="A46" s="8" t="inlineStr">
        <is>
          <t>Impact</t>
        </is>
      </c>
      <c r="B46" s="9" t="n"/>
      <c r="C46" s="8" t="inlineStr">
        <is>
          <t>What it means</t>
        </is>
      </c>
      <c r="D46" s="9" t="n"/>
    </row>
    <row r="47" ht="28" customHeight="1">
      <c r="A47" s="10" t="inlineStr">
        <is>
          <t>One architecture for all of IRIS</t>
        </is>
      </c>
      <c r="B47" s="11" t="n"/>
      <c r="C47" s="12" t="inlineStr">
        <is>
          <t>The same families, the same ladder and the same method in every product — titles mean the same thing everywhere.</t>
        </is>
      </c>
      <c r="D47" s="11" t="n"/>
    </row>
    <row r="48" ht="15" customHeight="1">
      <c r="A48" s="10" t="inlineStr">
        <is>
          <t>Transparent, explainable levels</t>
        </is>
      </c>
      <c r="B48" s="11" t="n"/>
      <c r="C48" s="12" t="inlineStr">
        <is>
          <t>Every level traces to evidence, ratings, weights and named rules; anyone can see why a role sits where it does.</t>
        </is>
      </c>
      <c r="D48" s="11" t="n"/>
    </row>
    <row r="49" ht="28" customHeight="1">
      <c r="A49" s="10" t="inlineStr">
        <is>
          <t>Clear career paths</t>
        </is>
      </c>
      <c r="B49" s="11" t="n"/>
      <c r="C49" s="12" t="inlineStr">
        <is>
          <t>Individual-contributor and manager tracks with a ladder in every sub-family, and the competencies needed for the next step.</t>
        </is>
      </c>
      <c r="D49" s="11" t="n"/>
    </row>
    <row r="50" ht="28" customHeight="1">
      <c r="A50" s="10" t="inlineStr">
        <is>
          <t>Duplication made visible</t>
        </is>
      </c>
      <c r="B50" s="11" t="n"/>
      <c r="C50" s="12" t="inlineStr">
        <is>
          <t>53 family × sub-family × level combinations are held in more than one product — candidates for common role definitions and shared pools.</t>
        </is>
      </c>
      <c r="D50" s="11" t="n"/>
    </row>
    <row r="51" ht="28" customHeight="1">
      <c r="A51" s="10" t="inlineStr">
        <is>
          <t>Leadership consistency</t>
        </is>
      </c>
      <c r="B51" s="11" t="n"/>
      <c r="C51" s="12" t="inlineStr">
        <is>
          <t>No one in Bands D–E sits above their reporting manager, anyone in Band D reporting to an E1 / E2 sits at D2, and leadership levels are set by approved decisions.</t>
        </is>
      </c>
      <c r="D51" s="11" t="n"/>
    </row>
    <row r="52" ht="15" customHeight="1">
      <c r="A52" s="10" t="inlineStr">
        <is>
          <t>Ready for pay and planning</t>
        </is>
      </c>
      <c r="B52" s="11" t="n"/>
      <c r="C52" s="12" t="inlineStr">
        <is>
          <t>Each level carries a market code, so pay ranges, succession and workforce planning can be built on it.</t>
        </is>
      </c>
      <c r="D52" s="11" t="n"/>
    </row>
    <row r="53" ht="15" customHeight="1"/>
    <row r="54" ht="20" customHeight="1">
      <c r="A54" s="6" t="inlineStr">
        <is>
          <t>6. Our framework at a glance</t>
        </is>
      </c>
      <c r="B54" s="2" t="n"/>
      <c r="C54" s="2" t="n"/>
      <c r="D54" s="2" t="n"/>
    </row>
    <row r="55" ht="28" customHeight="1">
      <c r="A55" s="8" t="inlineStr">
        <is>
          <t>Element</t>
        </is>
      </c>
      <c r="B55" s="8" t="inlineStr">
        <is>
          <t>What it is</t>
        </is>
      </c>
      <c r="C55" s="9" t="n"/>
      <c r="D55" s="9" t="n"/>
    </row>
    <row r="56" ht="41" customHeight="1">
      <c r="A56" s="10" t="inlineStr">
        <is>
          <t>Job families</t>
        </is>
      </c>
      <c r="B56" s="12" t="inlineStr">
        <is>
          <t>19 families of work, each anchored to the ILO occupation standard — the same in every product.</t>
        </is>
      </c>
      <c r="C56" s="11" t="n"/>
      <c r="D56" s="11" t="n"/>
    </row>
    <row r="57" ht="41" customHeight="1">
      <c r="A57" s="10" t="inlineStr">
        <is>
          <t>Sub-families</t>
        </is>
      </c>
      <c r="B57" s="12" t="inlineStr">
        <is>
          <t>61 sub-families: the work a person actually does inside a family. One definition each, used everywhere.</t>
        </is>
      </c>
      <c r="C57" s="11" t="n"/>
      <c r="D57" s="11" t="n"/>
    </row>
    <row r="58" ht="41" customHeight="1">
      <c r="A58" s="10" t="inlineStr">
        <is>
          <t>Career ladder</t>
        </is>
      </c>
      <c r="B58" s="12"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1" t="n"/>
      <c r="D58" s="11" t="n"/>
    </row>
    <row r="59" ht="28" customHeight="1">
      <c r="A59" s="10" t="inlineStr">
        <is>
          <t>Tracks</t>
        </is>
      </c>
      <c r="B59" s="12" t="inlineStr">
        <is>
          <t>Individual contributor, POD Lead · leads 1–3 while doing the work, Player-Coach · leads and delivers, People Manager, Consultant — experts progress without having to manage.</t>
        </is>
      </c>
      <c r="C59" s="11" t="n"/>
      <c r="D59" s="11" t="n"/>
    </row>
    <row r="60" ht="28" customHeight="1">
      <c r="A60" s="10" t="inlineStr">
        <is>
          <t>Six factors</t>
        </is>
      </c>
      <c r="B60" s="12" t="inlineStr">
        <is>
          <t>Complexity &amp; Expertise · Autonomy &amp; Decision · Accountability &amp; Impact · Leadership &amp; Strategy · Experience &amp; Qualification · Business Impact — each gets a rating: the floor of the ladder that part of the job looks like.</t>
        </is>
      </c>
      <c r="C60" s="11" t="n"/>
      <c r="D60" s="11" t="n"/>
    </row>
    <row r="61" ht="28" customHeight="1">
      <c r="A61" s="10" t="inlineStr">
        <is>
          <t>Weights</t>
        </is>
      </c>
      <c r="B61" s="12" t="inlineStr">
        <is>
          <t>How much each factor counts, by band and track · junior roles: skill and experience; senior roles: accountability and leadership, fine-tuned ±5 by type of work.</t>
        </is>
      </c>
      <c r="C61" s="11" t="n"/>
      <c r="D61" s="11" t="n"/>
    </row>
    <row r="62" ht="28" customHeight="1">
      <c r="A62" s="10" t="inlineStr">
        <is>
          <t>Rules</t>
        </is>
      </c>
      <c r="B62" s="12" t="inlineStr">
        <is>
          <t>R1–R13: category rules, provisional holds, work-substance and structure gates, experience limits, track minimums, Player-Coach steps, leadership decisions and the D–E reporting-line rules — each written on the person's row with its numbers.</t>
        </is>
      </c>
      <c r="C62" s="11" t="n"/>
      <c r="D62" s="11" t="n"/>
    </row>
    <row r="63" ht="28" customHeight="1">
      <c r="A63" s="10" t="inlineStr">
        <is>
          <t>Titles</t>
        </is>
      </c>
      <c r="B63" s="12" t="inlineStr">
        <is>
          <t>Level marker + role noun; market titles where the market has its own ladder · Product Manager, Account Executive.</t>
        </is>
      </c>
      <c r="C63" s="11" t="n"/>
      <c r="D63" s="11" t="n"/>
    </row>
    <row r="64" ht="41" customHeight="1">
      <c r="A64" s="10" t="inlineStr">
        <is>
          <t>Competencies</t>
        </is>
      </c>
      <c r="B64" s="12" t="inlineStr">
        <is>
          <t>6 core and 4 future-ready for everyone, 4 leadership for leaders, and functional competencies for each family — each with a 1–5 skill level required at every career level.</t>
        </is>
      </c>
      <c r="C64" s="11" t="n"/>
      <c r="D64" s="11" t="n"/>
    </row>
    <row r="65" ht="28" customHeight="1">
      <c r="A65" s="10" t="inlineStr">
        <is>
          <t>Market link</t>
        </is>
      </c>
      <c r="B65" s="12" t="inlineStr">
        <is>
          <t>Every level maps to Aon Radford / Mercer codes and SFIA, with competitor, regtech and SaaS equivalents — the base for pay ranges later.</t>
        </is>
      </c>
      <c r="C65" s="11" t="n"/>
      <c r="D65" s="11" t="n"/>
    </row>
    <row r="66" ht="15" customHeight="1"/>
    <row r="67" ht="20" customHeight="1">
      <c r="A67" s="6" t="inlineStr">
        <is>
          <t>7. The Job Architecture process — how the structure was built</t>
        </is>
      </c>
      <c r="B67" s="2" t="n"/>
      <c r="C67" s="2" t="n"/>
      <c r="D67" s="2" t="n"/>
    </row>
    <row r="68" ht="15" customHeight="1">
      <c r="A68" s="8" t="inlineStr">
        <is>
          <t>#</t>
        </is>
      </c>
      <c r="B68" s="8" t="inlineStr">
        <is>
          <t>Step</t>
        </is>
      </c>
      <c r="C68" s="8" t="inlineStr">
        <is>
          <t>What happens</t>
        </is>
      </c>
      <c r="D68" s="9" t="n"/>
    </row>
    <row r="69" ht="15" customHeight="1">
      <c r="A69" s="34" t="n">
        <v>1</v>
      </c>
      <c r="B69" s="12" t="inlineStr">
        <is>
          <t>Define families</t>
        </is>
      </c>
      <c r="C69" s="12" t="inlineStr">
        <is>
          <t>Group all work into job families anchored to ISCO-08, so the same work has the same name everywhere.</t>
        </is>
      </c>
      <c r="D69" s="11" t="n"/>
    </row>
    <row r="70" ht="15" customHeight="1">
      <c r="A70" s="34" t="n">
        <v>2</v>
      </c>
      <c r="B70" s="12" t="inlineStr">
        <is>
          <t>Define sub-families</t>
        </is>
      </c>
      <c r="C70" s="12" t="inlineStr">
        <is>
          <t>Split each family into the distinct kinds of work people do, from the survey and role data.</t>
        </is>
      </c>
      <c r="D70" s="11" t="n"/>
    </row>
    <row r="71" ht="28" customHeight="1">
      <c r="A71" s="34" t="n">
        <v>3</v>
      </c>
      <c r="B71" s="12" t="inlineStr">
        <is>
          <t>Set the ladder and bands</t>
        </is>
      </c>
      <c r="C71" s="12" t="inlineStr">
        <is>
          <t>One 12-level ladder with five bands and two Player-Coach steps; what each level owns, its experience range and span.</t>
        </is>
      </c>
      <c r="D71" s="11" t="n"/>
    </row>
    <row r="72" ht="28" customHeight="1">
      <c r="A72" s="34" t="n">
        <v>4</v>
      </c>
      <c r="B72" s="12" t="inlineStr">
        <is>
          <t>Set the tracks</t>
        </is>
      </c>
      <c r="C72" s="12" t="inlineStr">
        <is>
          <t>IC, POD Lead, Player-Coach, People Manager, Consultant — and the rules for each.</t>
        </is>
      </c>
      <c r="D72" s="11" t="n"/>
    </row>
    <row r="73" ht="15" customHeight="1">
      <c r="A73" s="34" t="n">
        <v>5</v>
      </c>
      <c r="B73" s="12" t="inlineStr">
        <is>
          <t>Level every role</t>
        </is>
      </c>
      <c r="C73" s="12" t="inlineStr">
        <is>
          <t>Six ratings × weights → score → level, then the rules; leadership levels by approved decision.</t>
        </is>
      </c>
      <c r="D73" s="11" t="n"/>
    </row>
    <row r="74" ht="15" customHeight="1">
      <c r="A74" s="34" t="n">
        <v>6</v>
      </c>
      <c r="B74" s="12" t="inlineStr">
        <is>
          <t>Name every role</t>
        </is>
      </c>
      <c r="C74" s="12" t="inlineStr">
        <is>
          <t>Designation = level marker + role noun; title protection for anyone moving down.</t>
        </is>
      </c>
      <c r="D74" s="11" t="n"/>
    </row>
    <row r="75" ht="15" customHeight="1">
      <c r="A75" s="34" t="n">
        <v>7</v>
      </c>
      <c r="B75" s="12" t="inlineStr">
        <is>
          <t>Benchmark</t>
        </is>
      </c>
      <c r="C75" s="12" t="inlineStr">
        <is>
          <t>Crosswalk every level to Radford / Mercer and SFIA; compare with competitor and peer ladders.</t>
        </is>
      </c>
      <c r="D75" s="11" t="n"/>
    </row>
    <row r="76" ht="15" customHeight="1">
      <c r="A76" s="34" t="n">
        <v>8</v>
      </c>
      <c r="B76" s="12" t="inlineStr">
        <is>
          <t>Govern</t>
        </is>
      </c>
      <c r="C76" s="12" t="inlineStr">
        <is>
          <t>Calibration panel, business-head review, a decision tracker and change rules · who can change a level, and how.</t>
        </is>
      </c>
      <c r="D76" s="11" t="n"/>
    </row>
    <row r="77" ht="15" customHeight="1"/>
    <row r="78" ht="20" customHeight="1">
      <c r="A78" s="6" t="inlineStr">
        <is>
          <t>8. The Job Design process — how each role is described</t>
        </is>
      </c>
      <c r="B78" s="2" t="n"/>
      <c r="C78" s="2" t="n"/>
      <c r="D78" s="2" t="n"/>
    </row>
    <row r="79" ht="15" customHeight="1">
      <c r="A79" s="8" t="inlineStr">
        <is>
          <t>#</t>
        </is>
      </c>
      <c r="B79" s="8" t="inlineStr">
        <is>
          <t>Step</t>
        </is>
      </c>
      <c r="C79" s="8" t="inlineStr">
        <is>
          <t>What happens</t>
        </is>
      </c>
      <c r="D79" s="9" t="n"/>
    </row>
    <row r="80" ht="15" customHeight="1">
      <c r="A80" s="34" t="n">
        <v>1</v>
      </c>
      <c r="B80" s="12" t="inlineStr">
        <is>
          <t>Purpose</t>
        </is>
      </c>
      <c r="C80" s="12" t="inlineStr">
        <is>
          <t>Why the role exists — from the sub-family definition and the level standard.</t>
        </is>
      </c>
      <c r="D80" s="11" t="n"/>
    </row>
    <row r="81" ht="28" customHeight="1">
      <c r="A81" s="34" t="n">
        <v>2</v>
      </c>
      <c r="B81" s="12" t="inlineStr">
        <is>
          <t>Responsibilities and deliverables</t>
        </is>
      </c>
      <c r="C81" s="12" t="inlineStr">
        <is>
          <t>What the role does and produces — from role-holders' survey answers · as counted themes and KRAs.</t>
        </is>
      </c>
      <c r="D81" s="11" t="n"/>
    </row>
    <row r="82" ht="28" customHeight="1">
      <c r="A82" s="34" t="n">
        <v>3</v>
      </c>
      <c r="B82" s="12" t="inlineStr">
        <is>
          <t>Accountability and decision rights</t>
        </is>
      </c>
      <c r="C82" s="12" t="inlineStr">
        <is>
          <t>What the role answers for, what it can decide alone, and what happens if the work is missed.</t>
        </is>
      </c>
      <c r="D82" s="11" t="n"/>
    </row>
    <row r="83" ht="15" customHeight="1">
      <c r="A83" s="34" t="n">
        <v>4</v>
      </c>
      <c r="B83" s="12" t="inlineStr">
        <is>
          <t>Measures</t>
        </is>
      </c>
      <c r="C83" s="12" t="inlineStr">
        <is>
          <r>
            <rPr>
              <rFont val="Calibri"/>
              <b val="1"/>
              <sz val="10"/>
            </rPr>
            <t>Manager-set KRAs:</t>
          </r>
          <r>
            <rPr>
              <rFont val="Calibri"/>
              <sz val="10"/>
            </rPr>
            <t xml:space="preserve"> how the role is judged.</t>
          </r>
        </is>
      </c>
      <c r="D83" s="11" t="n"/>
    </row>
    <row r="84" ht="15" customHeight="1">
      <c r="A84" s="34" t="n">
        <v>5</v>
      </c>
      <c r="B84" s="12" t="inlineStr">
        <is>
          <t>Competencies and skill level</t>
        </is>
      </c>
      <c r="C84" s="12" t="inlineStr">
        <is>
          <t>The core, future-ready, functional and leadership competencies the role needs, each at a 1–5 level.</t>
        </is>
      </c>
      <c r="D84" s="11" t="n"/>
    </row>
    <row r="85" ht="15" customHeight="1">
      <c r="A85" s="34" t="n">
        <v>6</v>
      </c>
      <c r="B85" s="12" t="inlineStr">
        <is>
          <t>Role profile and catalogue</t>
        </is>
      </c>
      <c r="C85" s="12" t="inlineStr">
        <is>
          <t>One IRIS-wide catalogue entry per family × sub-family × level × track — the shared description of the job.</t>
        </is>
      </c>
      <c r="D85" s="11" t="n"/>
    </row>
    <row r="86" ht="15" customHeight="1">
      <c r="A86" s="34" t="n">
        <v>7</v>
      </c>
      <c r="B86" s="12" t="inlineStr">
        <is>
          <t>Career ladder</t>
        </is>
      </c>
      <c r="C86" s="12" t="inlineStr">
        <is>
          <t>Where the role sits in its sub-family's ladder, the next step and what it takes.</t>
        </is>
      </c>
      <c r="D86" s="11" t="n"/>
    </row>
    <row r="87" ht="28" customHeight="1">
      <c r="A87" s="34" t="n">
        <v>8</v>
      </c>
      <c r="B87" s="12" t="inlineStr">
        <is>
          <t>Recruitment profile</t>
        </is>
      </c>
      <c r="C87" s="12" t="inlineStr">
        <is>
          <t>The hire equivalent in the market, the competencies to hire for and the interview questions — on every person card.</t>
        </is>
      </c>
      <c r="D87" s="11"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N128"/>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ht="34" customHeight="1">
      <c r="A1" s="1" t="inlineStr">
        <is>
          <t>iDEAL — Job Architecture: simplified product edition · for the business head</t>
        </is>
      </c>
    </row>
    <row r="2" ht="32" customHeight="1">
      <c r="A2" s="3" t="inlineStr">
        <is>
          <r>
            <rPr>
              <rFont val="Calibri"/>
              <b val="1"/>
              <i val="1"/>
              <color rgb="00404040"/>
              <sz val="10"/>
            </rPr>
            <t>Six sheets after the Start page, complete in themselves:</t>
          </r>
          <r>
            <rPr>
              <rFont val="Calibri"/>
              <i val="1"/>
              <color rgb="00404040"/>
              <sz val="10"/>
            </rPr>
            <t xml:space="preserve"> who sits where and exactly why, what each role is, what we need you to decide, the career ladder and the weightage matrix you can edit. Read this page first; every term and colour used in the workbook is explained here.</t>
          </r>
        </is>
      </c>
    </row>
    <row r="3">
      <c r="A3" s="4" t="inlineStr">
        <is>
          <t>IRIS · Job Architecture &amp; Job Design · Final v1.12 · October 2026 · Internal — Confidential</t>
        </is>
      </c>
    </row>
    <row r="4" ht="15" customHeight="1"/>
    <row r="5" ht="20" customHeight="1">
      <c r="A5" s="6" t="inlineStr">
        <is>
          <t>1. What this is, and what we ask of you</t>
        </is>
      </c>
    </row>
    <row r="6" ht="41" customHeight="1">
      <c r="A6" s="7" t="inlineStr">
        <is>
          <t>Every one of the 47 people in iDEAL has been placed on IRIS's new career ladder: a job family and sub-family · the work they do, a level · the size of the role and a designation · level marker + role noun. Each placement follows one published model — the same for every business — and every number behind it is shown on sheet 2. Nothing here changes pay: pay is set later, and any move down is protected for one cycle.</t>
        </is>
      </c>
    </row>
    <row r="7" ht="15" customHeight="1">
      <c r="A7" s="8" t="inlineStr">
        <is>
          <t>Sheet</t>
        </is>
      </c>
      <c r="B7" s="84" t="n"/>
      <c r="C7" s="85" t="n"/>
      <c r="D7" s="8" t="inlineStr">
        <is>
          <t>What it gives you</t>
        </is>
      </c>
      <c r="E7" s="84" t="n"/>
      <c r="F7" s="84" t="n"/>
      <c r="G7" s="84" t="n"/>
      <c r="H7" s="84" t="n"/>
      <c r="I7" s="84" t="n"/>
      <c r="J7" s="85" t="n"/>
      <c r="K7" s="8" t="inlineStr">
        <is>
          <t>What to do</t>
        </is>
      </c>
      <c r="L7" s="84" t="n"/>
      <c r="M7" s="84" t="n"/>
      <c r="N7" s="85" t="n"/>
    </row>
    <row r="8" ht="28" customHeight="1">
      <c r="A8" s="10" t="inlineStr">
        <is>
          <t>1. Start Here</t>
        </is>
      </c>
      <c r="B8" s="84" t="n"/>
      <c r="C8" s="85" t="n"/>
      <c r="D8" s="12" t="inlineStr">
        <is>
          <r>
            <rPr>
              <rFont val="Calibri"/>
              <b val="1"/>
              <sz val="10"/>
            </rPr>
            <t>This page:</t>
          </r>
          <r>
            <rPr>
              <rFont val="Calibri"/>
              <sz val="10"/>
            </rPr>
            <t xml:space="preserve"> the numbers, the ladder, how a level is worked out, the rules, colours and terms</t>
          </r>
        </is>
      </c>
      <c r="E8" s="84" t="n"/>
      <c r="F8" s="84" t="n"/>
      <c r="G8" s="84" t="n"/>
      <c r="H8" s="84" t="n"/>
      <c r="I8" s="84" t="n"/>
      <c r="J8" s="85" t="n"/>
      <c r="K8" s="12" t="inlineStr">
        <is>
          <t>Read first</t>
        </is>
      </c>
      <c r="L8" s="84" t="n"/>
      <c r="M8" s="84" t="n"/>
      <c r="N8" s="85" t="n"/>
    </row>
    <row r="9" ht="41" customHeight="1">
      <c r="A9" s="96" t="inlineStr">
        <is>
          <t>2. People &amp; Levels</t>
        </is>
      </c>
      <c r="B9" s="84" t="n"/>
      <c r="C9" s="85" t="n"/>
      <c r="D9" s="12" t="inlineStr">
        <is>
          <r>
            <rPr>
              <rFont val="Calibri"/>
              <b val="1"/>
              <sz val="10"/>
            </rPr>
            <t>Every person:</t>
          </r>
          <r>
            <rPr>
              <rFont val="Calibri"/>
              <sz val="10"/>
            </rPr>
            <t xml:space="preserve"> role before → after, score, the full reason for the level, each factor's rating and why, the market comparison, the data behind it, points for attention, inputs still needed</t>
          </r>
        </is>
      </c>
      <c r="E9" s="84" t="n"/>
      <c r="F9" s="84" t="n"/>
      <c r="G9" s="84" t="n"/>
      <c r="H9" s="84" t="n"/>
      <c r="I9" s="84" t="n"/>
      <c r="J9" s="85" t="n"/>
      <c r="K9" s="12" t="inlineStr">
        <is>
          <t>For each person, mark Agree / Change / Discuss in the yellow column; give the reason for any change</t>
        </is>
      </c>
      <c r="L9" s="84" t="n"/>
      <c r="M9" s="84" t="n"/>
      <c r="N9" s="85" t="n"/>
    </row>
    <row r="10" ht="41" customHeight="1">
      <c r="A10" s="96" t="inlineStr">
        <is>
          <t>3. Roles</t>
        </is>
      </c>
      <c r="B10" s="84" t="n"/>
      <c r="C10" s="85" t="n"/>
      <c r="D10" s="12" t="inlineStr">
        <is>
          <r>
            <rPr>
              <rFont val="Calibri"/>
              <b val="1"/>
              <sz val="10"/>
            </rPr>
            <t>Every role held here, as defined once for all of IRIS:</t>
          </r>
          <r>
            <rPr>
              <rFont val="Calibri"/>
              <sz val="10"/>
            </rPr>
            <t xml:space="preserve"> purpose, responsibilities, decisions, KRAs, skills, what the level requires, competencies, market, next step</t>
          </r>
        </is>
      </c>
      <c r="E10" s="84" t="n"/>
      <c r="F10" s="84" t="n"/>
      <c r="G10" s="84" t="n"/>
      <c r="H10" s="84" t="n"/>
      <c r="I10" s="84" t="n"/>
      <c r="J10" s="85" t="n"/>
      <c r="K10" s="12" t="inlineStr">
        <is>
          <t>Check the role descriptions match the work</t>
        </is>
      </c>
      <c r="L10" s="84" t="n"/>
      <c r="M10" s="84" t="n"/>
      <c r="N10" s="85" t="n"/>
    </row>
    <row r="11" ht="28" customHeight="1">
      <c r="A11" s="96" t="inlineStr">
        <is>
          <t>4. Decisions &amp; Actions</t>
        </is>
      </c>
      <c r="B11" s="84" t="n"/>
      <c r="C11" s="85" t="n"/>
      <c r="D11" s="12" t="inlineStr">
        <is>
          <t>Placements that need a decision, inputs still needed by owner, how the structure changed, what happens next</t>
        </is>
      </c>
      <c r="E11" s="84" t="n"/>
      <c r="F11" s="84" t="n"/>
      <c r="G11" s="84" t="n"/>
      <c r="H11" s="84" t="n"/>
      <c r="I11" s="84" t="n"/>
      <c r="J11" s="85" t="n"/>
      <c r="K11" s="12" t="inlineStr">
        <is>
          <t>Decide or supply what is marked red</t>
        </is>
      </c>
      <c r="L11" s="84" t="n"/>
      <c r="M11" s="84" t="n"/>
      <c r="N11" s="85" t="n"/>
    </row>
    <row r="12" ht="41" customHeight="1">
      <c r="A12" s="96" t="inlineStr">
        <is>
          <t>5. Career Ladder</t>
        </is>
      </c>
      <c r="B12" s="84" t="n"/>
      <c r="C12" s="85" t="n"/>
      <c r="D12" s="12" t="inlineStr">
        <is>
          <t>Department → band → level by job family, sub-family and designation: the ladder in each sub-family, the competencies each role requires, and where the same work sits in other departments or other products</t>
        </is>
      </c>
      <c r="E12" s="84" t="n"/>
      <c r="F12" s="84" t="n"/>
      <c r="G12" s="84" t="n"/>
      <c r="H12" s="84" t="n"/>
      <c r="I12" s="84" t="n"/>
      <c r="J12" s="85" t="n"/>
      <c r="K12" s="12" t="inlineStr">
        <is>
          <t>Check the ladder and titles; note duplicated roles</t>
        </is>
      </c>
      <c r="L12" s="84" t="n"/>
      <c r="M12" s="84" t="n"/>
      <c r="N12" s="85" t="n"/>
    </row>
    <row r="13" ht="41" customHeight="1">
      <c r="A13" s="96" t="inlineStr">
        <is>
          <t>6. Weightage Matrix</t>
        </is>
      </c>
      <c r="B13" s="84" t="n"/>
      <c r="C13" s="85" t="n"/>
      <c r="D13" s="12" t="inlineStr">
        <is>
          <t>How much each of the six factors counts, by department and role group, with a guide to weighting and rating. Sheet 2 scores recalculate when you edit it</t>
        </is>
      </c>
      <c r="E13" s="84" t="n"/>
      <c r="F13" s="84" t="n"/>
      <c r="G13" s="84" t="n"/>
      <c r="H13" s="84" t="n"/>
      <c r="I13" s="84" t="n"/>
      <c r="J13" s="85" t="n"/>
      <c r="K13" s="12" t="inlineStr">
        <is>
          <t>Adjust the yellow weights where your department judges roles differently; say why</t>
        </is>
      </c>
      <c r="L13" s="84" t="n"/>
      <c r="M13" s="84" t="n"/>
      <c r="N13" s="85" t="n"/>
    </row>
    <row r="14" ht="15" customHeight="1"/>
    <row r="15" ht="20" customHeight="1">
      <c r="A15" s="6" t="inlineStr">
        <is>
          <t>2. The numbers</t>
        </is>
      </c>
    </row>
    <row r="16" ht="15" customHeight="1">
      <c r="A16" s="13" t="inlineStr">
        <is>
          <t>People</t>
        </is>
      </c>
      <c r="B16" s="85" t="n"/>
      <c r="C16" s="13" t="inlineStr">
        <is>
          <t>Departments</t>
        </is>
      </c>
      <c r="D16" s="85" t="n"/>
      <c r="E16" s="13" t="inlineStr">
        <is>
          <t>Roles</t>
        </is>
      </c>
      <c r="F16" s="85" t="n"/>
      <c r="G16" s="13" t="inlineStr">
        <is>
          <t>Levels in use</t>
        </is>
      </c>
      <c r="H16" s="85" t="n"/>
      <c r="I16" s="13" t="inlineStr">
        <is>
          <t>Level up</t>
        </is>
      </c>
      <c r="J16" s="85" t="n"/>
      <c r="K16" s="13" t="inlineStr">
        <is>
          <t>Same level</t>
        </is>
      </c>
      <c r="L16" s="85" t="n"/>
      <c r="M16" s="13" t="inlineStr">
        <is>
          <t>Level down · protected</t>
        </is>
      </c>
      <c r="N16" s="85" t="n"/>
    </row>
    <row r="17" ht="30" customHeight="1">
      <c r="A17" s="14" t="n">
        <v>47</v>
      </c>
      <c r="B17" s="85" t="n"/>
      <c r="C17" s="14" t="n">
        <v>6</v>
      </c>
      <c r="D17" s="85" t="n"/>
      <c r="E17" s="14" t="n">
        <v>28</v>
      </c>
      <c r="F17" s="85" t="n"/>
      <c r="G17" s="14" t="n">
        <v>8</v>
      </c>
      <c r="H17" s="85" t="n"/>
      <c r="I17" s="14" t="n">
        <v>31</v>
      </c>
      <c r="J17" s="85" t="n"/>
      <c r="K17" s="14" t="n">
        <v>11</v>
      </c>
      <c r="L17" s="85" t="n"/>
      <c r="M17" s="14" t="n">
        <v>2</v>
      </c>
      <c r="N17" s="85" t="n"/>
    </row>
    <row r="18" ht="15" customHeight="1">
      <c r="A18" s="13" t="inlineStr">
        <is>
          <t>Newly mapped</t>
        </is>
      </c>
      <c r="B18" s="85" t="n"/>
      <c r="C18" s="13" t="inlineStr">
        <is>
          <t>Player-Coaches</t>
        </is>
      </c>
      <c r="D18" s="85" t="n"/>
      <c r="E18" s="13" t="inlineStr">
        <is>
          <t>Close calls</t>
        </is>
      </c>
      <c r="F18" s="85" t="n"/>
      <c r="G18" s="13" t="inlineStr">
        <is>
          <t>Near a gate</t>
        </is>
      </c>
      <c r="H18" s="85" t="n"/>
      <c r="I18" s="13" t="inlineStr">
        <is>
          <t>People needing an input</t>
        </is>
      </c>
      <c r="J18" s="85" t="n"/>
      <c r="K18" s="13" t="inlineStr">
        <is>
          <t>Consultants</t>
        </is>
      </c>
      <c r="L18" s="85" t="n"/>
    </row>
    <row r="19" ht="30" customHeight="1">
      <c r="A19" s="14" t="n">
        <v>3</v>
      </c>
      <c r="B19" s="85" t="n"/>
      <c r="C19" s="14" t="n">
        <v>1</v>
      </c>
      <c r="D19" s="85" t="n"/>
      <c r="E19" s="14" t="n">
        <v>0</v>
      </c>
      <c r="F19" s="85" t="n"/>
      <c r="G19" s="14" t="n">
        <v>2</v>
      </c>
      <c r="H19" s="85" t="n"/>
      <c r="I19" s="14" t="n">
        <v>2</v>
      </c>
      <c r="J19" s="85" t="n"/>
      <c r="K19" s="14" t="n">
        <v>0</v>
      </c>
      <c r="L19" s="85" t="n"/>
    </row>
    <row r="20" ht="15" customHeight="1"/>
    <row r="21" ht="20" customHeight="1">
      <c r="A21" s="6" t="inlineStr">
        <is>
          <t>3. The career ladder — what each level means · bottom to top</t>
        </is>
      </c>
    </row>
    <row r="22" ht="28" customHeight="1">
      <c r="A22" s="8" t="inlineStr">
        <is>
          <t>Level</t>
        </is>
      </c>
      <c r="B22" s="8" t="inlineStr">
        <is>
          <t>IC title</t>
        </is>
      </c>
      <c r="C22" s="85" t="n"/>
      <c r="D22" s="8" t="inlineStr">
        <is>
          <t>Manager title</t>
        </is>
      </c>
      <c r="E22" s="85" t="n"/>
      <c r="F22" s="8" t="inlineStr">
        <is>
          <t>What a role at this level owns</t>
        </is>
      </c>
      <c r="G22" s="84" t="n"/>
      <c r="H22" s="84" t="n"/>
      <c r="I22" s="84" t="n"/>
      <c r="J22" s="84" t="n"/>
      <c r="K22" s="85" t="n"/>
      <c r="L22" s="8" t="inlineStr">
        <is>
          <t>Typical experience</t>
        </is>
      </c>
      <c r="M22" s="85" t="n"/>
      <c r="N22" s="8" t="inlineStr">
        <is>
          <t>People here</t>
        </is>
      </c>
    </row>
    <row r="23" ht="28" customHeight="1">
      <c r="A23" s="16" t="inlineStr">
        <is>
          <t>A1</t>
        </is>
      </c>
      <c r="B23" s="17" t="inlineStr">
        <is>
          <t>Intern / Trainee</t>
        </is>
      </c>
      <c r="C23" s="85" t="n"/>
      <c r="D23" s="17" t="inlineStr">
        <is>
          <t>Same path</t>
        </is>
      </c>
      <c r="E23" s="85" t="n"/>
      <c r="F23" s="17" t="inlineStr">
        <is>
          <t>Learning the role; all work reviewed</t>
        </is>
      </c>
      <c r="G23" s="84" t="n"/>
      <c r="H23" s="84" t="n"/>
      <c r="I23" s="84" t="n"/>
      <c r="J23" s="84" t="n"/>
      <c r="K23" s="85" t="n"/>
      <c r="L23" s="19" t="inlineStr">
        <is>
          <t>0 yrs · fresher / intern</t>
        </is>
      </c>
      <c r="M23" s="85" t="n"/>
      <c r="N23" s="19" t="n">
        <v>3</v>
      </c>
    </row>
    <row r="24" ht="15" customHeight="1">
      <c r="A24" s="16" t="inlineStr">
        <is>
          <t>A2</t>
        </is>
      </c>
      <c r="B24" s="17" t="inlineStr">
        <is>
          <t>Associate</t>
        </is>
      </c>
      <c r="C24" s="85" t="n"/>
      <c r="D24" s="17" t="inlineStr">
        <is>
          <t>Same path</t>
        </is>
      </c>
      <c r="E24" s="85" t="n"/>
      <c r="F24" s="17" t="inlineStr">
        <is>
          <t>Standard work delivered independently</t>
        </is>
      </c>
      <c r="G24" s="84" t="n"/>
      <c r="H24" s="84" t="n"/>
      <c r="I24" s="84" t="n"/>
      <c r="J24" s="84" t="n"/>
      <c r="K24" s="85" t="n"/>
      <c r="L24" s="19" t="inlineStr">
        <is>
          <t>0–2 yrs</t>
        </is>
      </c>
      <c r="M24" s="85" t="n"/>
      <c r="N24" s="19" t="n">
        <v>4</v>
      </c>
    </row>
    <row r="25" ht="15" customHeight="1">
      <c r="A25" s="16" t="inlineStr">
        <is>
          <t>A3</t>
        </is>
      </c>
      <c r="B25" s="17" t="inlineStr">
        <is>
          <t>Senior Associate</t>
        </is>
      </c>
      <c r="C25" s="85" t="n"/>
      <c r="D25" s="17" t="inlineStr">
        <is>
          <t>Same path</t>
        </is>
      </c>
      <c r="E25" s="85" t="n"/>
      <c r="F25" s="17" t="inlineStr">
        <is>
          <t>Varied work; reviews juniors; go-to for a process</t>
        </is>
      </c>
      <c r="G25" s="84" t="n"/>
      <c r="H25" s="84" t="n"/>
      <c r="I25" s="84" t="n"/>
      <c r="J25" s="84" t="n"/>
      <c r="K25" s="85" t="n"/>
      <c r="L25" s="19" t="inlineStr">
        <is>
          <t>2–4 yrs</t>
        </is>
      </c>
      <c r="M25" s="85" t="n"/>
      <c r="N25" s="19" t="n">
        <v>25</v>
      </c>
    </row>
    <row r="26" ht="15" customHeight="1">
      <c r="A26" s="20" t="inlineStr">
        <is>
          <t>B1</t>
        </is>
      </c>
      <c r="B26" s="21" t="inlineStr">
        <is>
          <t>Specialist</t>
        </is>
      </c>
      <c r="C26" s="85" t="n"/>
      <c r="D26" s="21" t="inlineStr">
        <is>
          <t>Team Lead</t>
        </is>
      </c>
      <c r="E26" s="85" t="n"/>
      <c r="F26" s="21" t="inlineStr">
        <is>
          <t>A domain / module, or a small team</t>
        </is>
      </c>
      <c r="G26" s="84" t="n"/>
      <c r="H26" s="84" t="n"/>
      <c r="I26" s="84" t="n"/>
      <c r="J26" s="84" t="n"/>
      <c r="K26" s="85" t="n"/>
      <c r="L26" s="23" t="inlineStr">
        <is>
          <t>4–7 yrs</t>
        </is>
      </c>
      <c r="M26" s="85" t="n"/>
      <c r="N26" s="23" t="n">
        <v>9</v>
      </c>
    </row>
    <row r="27" ht="15" customHeight="1">
      <c r="A27" s="20" t="inlineStr">
        <is>
          <t>B2</t>
        </is>
      </c>
      <c r="B27" s="21" t="inlineStr">
        <is>
          <t>Senior Specialist</t>
        </is>
      </c>
      <c r="C27" s="85" t="n"/>
      <c r="D27" s="21" t="inlineStr">
        <is>
          <t>Manager</t>
        </is>
      </c>
      <c r="E27" s="85" t="n"/>
      <c r="F27" s="21" t="inlineStr">
        <is>
          <t>Deep domain expertise, or one team</t>
        </is>
      </c>
      <c r="G27" s="84" t="n"/>
      <c r="H27" s="84" t="n"/>
      <c r="I27" s="84" t="n"/>
      <c r="J27" s="84" t="n"/>
      <c r="K27" s="85" t="n"/>
      <c r="L27" s="23" t="inlineStr">
        <is>
          <t>6–9 yrs</t>
        </is>
      </c>
      <c r="M27" s="85" t="n"/>
      <c r="N27" s="23" t="n">
        <v>3</v>
      </c>
    </row>
    <row r="28" ht="15" customHeight="1">
      <c r="A28" s="20" t="inlineStr">
        <is>
          <t>B3</t>
        </is>
      </c>
      <c r="B28" s="21" t="inlineStr">
        <is>
          <t>Lead Specialist</t>
        </is>
      </c>
      <c r="C28" s="85" t="n"/>
      <c r="D28" s="21" t="inlineStr">
        <is>
          <t>Senior Manager</t>
        </is>
      </c>
      <c r="E28" s="85" t="n"/>
      <c r="F28" s="21" t="inlineStr">
        <is>
          <t>A practice, or several teams through team leads</t>
        </is>
      </c>
      <c r="G28" s="84" t="n"/>
      <c r="H28" s="84" t="n"/>
      <c r="I28" s="84" t="n"/>
      <c r="J28" s="84" t="n"/>
      <c r="K28" s="85" t="n"/>
      <c r="L28" s="23" t="inlineStr">
        <is>
          <t>8–12 yrs</t>
        </is>
      </c>
      <c r="M28" s="85" t="n"/>
      <c r="N28" s="23" t="n">
        <v>1</v>
      </c>
    </row>
    <row r="29" ht="28" customHeight="1">
      <c r="A29" s="24" t="inlineStr">
        <is>
          <t>B+</t>
        </is>
      </c>
      <c r="B29" s="25" t="inlineStr">
        <is>
          <t>Practice Lead · Player-Coach</t>
        </is>
      </c>
      <c r="C29" s="85" t="n"/>
      <c r="D29" s="25" t="inlineStr">
        <is>
          <t>Practice Lead · Player-Coach</t>
        </is>
      </c>
      <c r="E29" s="85" t="n"/>
      <c r="F29" s="25" t="inlineStr">
        <is>
          <r>
            <rPr>
              <rFont val="Calibri"/>
              <b val="1"/>
              <sz val="10"/>
            </rPr>
            <t>A practice or product area:</t>
          </r>
          <r>
            <rPr>
              <rFont val="Calibri"/>
              <sz val="10"/>
            </rPr>
            <t xml:space="preserve"> does the hardest hands-on work itself and leads 3–6 people · player-coach</t>
          </r>
        </is>
      </c>
      <c r="G29" s="84" t="n"/>
      <c r="H29" s="84" t="n"/>
      <c r="I29" s="84" t="n"/>
      <c r="J29" s="84" t="n"/>
      <c r="K29" s="85" t="n"/>
      <c r="L29" s="27" t="inlineStr">
        <is>
          <t>9–14 yrs</t>
        </is>
      </c>
      <c r="M29" s="85" t="n"/>
      <c r="N29" s="27" t="n">
        <v>1</v>
      </c>
    </row>
    <row r="30" ht="28" customHeight="1">
      <c r="A30" s="28" t="inlineStr">
        <is>
          <t>D1</t>
        </is>
      </c>
      <c r="B30" s="29" t="inlineStr">
        <is>
          <t>Chief Specialist / Distinguished Principal</t>
        </is>
      </c>
      <c r="C30" s="85" t="n"/>
      <c r="D30" s="29" t="inlineStr">
        <is>
          <t>Associate Vice President / Business Head</t>
        </is>
      </c>
      <c r="E30" s="85" t="n"/>
      <c r="F30" s="29" t="inlineStr">
        <is>
          <t>A business line P&amp;L, region or enterprise function</t>
        </is>
      </c>
      <c r="G30" s="84" t="n"/>
      <c r="H30" s="84" t="n"/>
      <c r="I30" s="84" t="n"/>
      <c r="J30" s="84" t="n"/>
      <c r="K30" s="85" t="n"/>
      <c r="L30" s="31" t="inlineStr">
        <is>
          <t>15–20 yrs</t>
        </is>
      </c>
      <c r="M30" s="85" t="n"/>
      <c r="N30" s="31" t="n">
        <v>1</v>
      </c>
    </row>
    <row r="31" ht="15" customHeight="1"/>
    <row r="32" ht="28" customHeight="1">
      <c r="A32" s="32" t="inlineStr">
        <is>
          <r>
            <rPr>
              <rFont val="Calibri"/>
              <b val="1"/>
              <i val="1"/>
              <color rgb="00595959"/>
              <sz val="10"/>
            </rPr>
            <t>Bands:</t>
          </r>
          <r>
            <rPr>
              <rFont val="Calibri"/>
              <i val="1"/>
              <color rgb="00595959"/>
              <sz val="10"/>
            </rPr>
            <t xml:space="preserve"> A practitioner · B specialist / manager · C principal / head · D business leadership · E enterprise leadership. B+ and C+ are the Player-Coach transition steps · between B3 and C1, and between C2 and D1, for people who lead a team and still do the hardest hands-on work. X1–X3 are consultants outside the ladder.</t>
          </r>
        </is>
      </c>
    </row>
    <row r="33" ht="15" customHeight="1"/>
    <row r="34" ht="20" customHeight="1">
      <c r="A34" s="6" t="inlineStr">
        <is>
          <t>3b. Top specialist title at D1 — decision for the heads</t>
        </is>
      </c>
    </row>
    <row r="35" ht="15" customHeight="1">
      <c r="A35" s="32" t="inlineStr">
        <is>
          <t>IRIS uses no 'Fellow' and no 'Director'. Status: Not decided yet — both options are shown as 'Chief Specialist / Distinguished Principal' until the heads choose.</t>
        </is>
      </c>
    </row>
    <row r="36" ht="15" customHeight="1">
      <c r="A36" s="8" t="inlineStr">
        <is>
          <t>Option</t>
        </is>
      </c>
      <c r="B36" s="85" t="n"/>
      <c r="C36" s="8" t="inlineStr">
        <is>
          <t>What it means</t>
        </is>
      </c>
      <c r="D36" s="84" t="n"/>
      <c r="E36" s="84" t="n"/>
      <c r="F36" s="84" t="n"/>
      <c r="G36" s="84" t="n"/>
      <c r="H36" s="84" t="n"/>
      <c r="I36" s="84" t="n"/>
      <c r="J36" s="84" t="n"/>
      <c r="K36" s="84" t="n"/>
      <c r="L36" s="84" t="n"/>
      <c r="M36" s="84" t="n"/>
      <c r="N36" s="85" t="n"/>
    </row>
    <row r="37" ht="93" customHeight="1">
      <c r="A37" s="10" t="inlineStr">
        <is>
          <t>Option A · Chief Specialist</t>
        </is>
      </c>
      <c r="B37" s="85" t="n"/>
      <c r="C37" s="12" t="inlineStr">
        <is>
          <r>
            <rPr>
              <rFont val="Calibri"/>
              <b val="1"/>
              <sz val="10"/>
            </rPr>
            <t>Discipline forms:</t>
          </r>
          <r>
            <rPr>
              <rFont val="Calibri"/>
              <sz val="10"/>
            </rPr>
            <t xml:space="preserve"> Chief Architect · Chief Consultant · Chief Product Specialist · Chief Compliance Specialist · Chief Data Scientist
</t>
          </r>
          <r>
            <rPr>
              <rFont val="Calibri"/>
              <b val="1"/>
              <sz val="10"/>
            </rPr>
            <t>Why:</t>
          </r>
          <r>
            <rPr>
              <rFont val="Calibri"/>
              <sz val="10"/>
            </rPr>
            <t xml:space="preserve"> A recognised senior title in the Indian market: PayScale India tracks Chief Architect, IT as a late-career role, and Indian IT services ladders such as Infosys stop at Principal Technology Architect before AVP, so 'Chief' marks the step above Principal. Takes the discipline word for every job family. Sources: S72 PayScale India · S33 Infosys job levels.
</t>
          </r>
          <r>
            <rPr>
              <rFont val="Calibri"/>
              <b val="1"/>
              <sz val="10"/>
            </rPr>
            <t>Watch-out:</t>
          </r>
          <r>
            <rPr>
              <rFont val="Calibri"/>
              <sz val="10"/>
            </rPr>
            <t xml:space="preserve"> The CXO level also uses 'Chief'. Job documents state that this is a specialist role with no team, not an executive or KMP role.</t>
          </r>
        </is>
      </c>
      <c r="D37" s="84" t="n"/>
      <c r="E37" s="84" t="n"/>
      <c r="F37" s="84" t="n"/>
      <c r="G37" s="84" t="n"/>
      <c r="H37" s="84" t="n"/>
      <c r="I37" s="84" t="n"/>
      <c r="J37" s="84" t="n"/>
      <c r="K37" s="84" t="n"/>
      <c r="L37" s="84" t="n"/>
      <c r="M37" s="84" t="n"/>
      <c r="N37" s="85" t="n"/>
    </row>
    <row r="38" ht="67" customHeight="1">
      <c r="A38" s="10" t="inlineStr">
        <is>
          <t>Option B · Distinguished Principal</t>
        </is>
      </c>
      <c r="B38" s="85" t="n"/>
      <c r="C38" s="12" t="inlineStr">
        <is>
          <r>
            <rPr>
              <rFont val="Calibri"/>
              <b val="1"/>
              <sz val="10"/>
            </rPr>
            <t>Discipline forms:</t>
          </r>
          <r>
            <rPr>
              <rFont val="Calibri"/>
              <sz val="10"/>
            </rPr>
            <t xml:space="preserve"> Distinguished Architect · Distinguished Engineer · Distinguished Consultant · Distinguished Designer
</t>
          </r>
          <r>
            <rPr>
              <rFont val="Calibri"/>
              <b val="1"/>
              <sz val="10"/>
            </rPr>
            <t>Why:</t>
          </r>
          <r>
            <rPr>
              <rFont val="Calibri"/>
              <sz val="10"/>
            </rPr>
            <t xml:space="preserve"> Most common globally: the standard top-specialist title at Google, Microsoft, Salesforce and, in India, Wipro. Continues the Principal line: Principal → Senior Principal → Distinguished Principal. Sources: S65 Wipro · S66 Salesforce · S67 LeadDev · S32 Google, Microsoft, Amazon levels.
</t>
          </r>
          <r>
            <rPr>
              <rFont val="Calibri"/>
              <b val="1"/>
              <sz val="10"/>
            </rPr>
            <t>Watch-out:</t>
          </r>
          <r>
            <rPr>
              <rFont val="Calibri"/>
              <sz val="10"/>
            </rPr>
            <t xml:space="preserve"> Less familiar in the Indian job market and outside technology roles.</t>
          </r>
        </is>
      </c>
      <c r="D38" s="84" t="n"/>
      <c r="E38" s="84" t="n"/>
      <c r="F38" s="84" t="n"/>
      <c r="G38" s="84" t="n"/>
      <c r="H38" s="84" t="n"/>
      <c r="I38" s="84" t="n"/>
      <c r="J38" s="84" t="n"/>
      <c r="K38" s="84" t="n"/>
      <c r="L38" s="84" t="n"/>
      <c r="M38" s="84" t="n"/>
      <c r="N38" s="85" t="n"/>
    </row>
    <row r="39" ht="15" customHeight="1"/>
    <row r="40" ht="28" customHeight="1">
      <c r="A40" s="32" t="inlineStr">
        <is>
          <r>
            <rPr>
              <rFont val="Calibri"/>
              <b val="1"/>
              <i val="1"/>
              <color rgb="00595959"/>
              <sz val="10"/>
            </rPr>
            <t>How to apply the decision:</t>
          </r>
          <r>
            <rPr>
              <rFont val="Calibri"/>
              <i val="1"/>
              <color rgb="00595959"/>
              <sz val="10"/>
            </rPr>
            <t xml:space="preserve"> Heads choose one option. HR then sets the value in inputs/title_settings.csv to 'Chief Specialist' or 'Distinguished Principal' and rebuilds; every ladder, level table and designation updates. Leave it as 'Both' until the decision is made.</t>
          </r>
        </is>
      </c>
    </row>
    <row r="41" ht="15" customHeight="1"/>
    <row r="42" ht="20" customHeight="1">
      <c r="A42" s="6" t="inlineStr">
        <is>
          <t>4. How a role's level is worked out — in four steps</t>
        </is>
      </c>
    </row>
    <row r="43" ht="28" customHeight="1">
      <c r="A43" s="32" t="inlineStr">
        <is>
          <t>The score measures the size of the role, not how well the person performs, and it is not linked to pay. It uses the same scale as the ladder · A1 = 1, A2 = 2 … B1 = 4 … E2 = 12, so a score reads as a level.</t>
        </is>
      </c>
    </row>
    <row r="44" ht="15" customHeight="1">
      <c r="A44" s="8" t="inlineStr">
        <is>
          <t>Step</t>
        </is>
      </c>
      <c r="B44" s="8" t="inlineStr">
        <is>
          <t>What happens</t>
        </is>
      </c>
      <c r="C44" s="84" t="n"/>
      <c r="D44" s="84" t="n"/>
      <c r="E44" s="84" t="n"/>
      <c r="F44" s="84" t="n"/>
      <c r="G44" s="85" t="n"/>
      <c r="H44" s="8" t="inlineStr">
        <is>
          <t>In plain words</t>
        </is>
      </c>
      <c r="I44" s="84" t="n"/>
      <c r="J44" s="84" t="n"/>
      <c r="K44" s="84" t="n"/>
      <c r="L44" s="84" t="n"/>
      <c r="M44" s="84" t="n"/>
      <c r="N44" s="85" t="n"/>
    </row>
    <row r="45" ht="54" customHeight="1">
      <c r="A45" s="10" t="inlineStr">
        <is>
          <t>1 · Rate</t>
        </is>
      </c>
      <c r="B45" s="12"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45" s="84" t="n"/>
      <c r="D45" s="84" t="n"/>
      <c r="E45" s="84" t="n"/>
      <c r="F45" s="84" t="n"/>
      <c r="G45" s="85" t="n"/>
      <c r="H45" s="12" t="inlineStr">
        <is>
          <t>How hard the work is, how freely the person decides, what the role answers for, how much it leads others, the experience it needs and its impact on the business.</t>
        </is>
      </c>
      <c r="I45" s="84" t="n"/>
      <c r="J45" s="84" t="n"/>
      <c r="K45" s="84" t="n"/>
      <c r="L45" s="84" t="n"/>
      <c r="M45" s="84" t="n"/>
      <c r="N45" s="85" t="n"/>
    </row>
    <row r="46" ht="41" customHeight="1">
      <c r="A46" s="10" t="inlineStr">
        <is>
          <t>2 · Weigh</t>
        </is>
      </c>
      <c r="B46" s="12" t="inlineStr">
        <is>
          <t>Each factor has a weight; the six weights add to 100%. They depend on the band and track and the department's type of work, and leaders can edit them on the Weightage Matrix.</t>
        </is>
      </c>
      <c r="C46" s="84" t="n"/>
      <c r="D46" s="84" t="n"/>
      <c r="E46" s="84" t="n"/>
      <c r="F46" s="84" t="n"/>
      <c r="G46" s="85" t="n"/>
      <c r="H46" s="12" t="inlineStr">
        <is>
          <t>Junior roles count the work itself most · Leadership counts 0% in Band A. Senior roles count accountability, leadership and business impact most. Experience counts little.</t>
        </is>
      </c>
      <c r="I46" s="84" t="n"/>
      <c r="J46" s="84" t="n"/>
      <c r="K46" s="84" t="n"/>
      <c r="L46" s="84" t="n"/>
      <c r="M46" s="84" t="n"/>
      <c r="N46" s="85" t="n"/>
    </row>
    <row r="47" ht="41" customHeight="1">
      <c r="A47" s="10" t="inlineStr">
        <is>
          <t>3 · Score</t>
        </is>
      </c>
      <c r="B47" s="12" t="inlineStr">
        <is>
          <t>Score = the six ratings × their weights, added up. Rounded to the nearest whole number ·.5 rounds up, it gives the indicated level.</t>
        </is>
      </c>
      <c r="C47" s="84" t="n"/>
      <c r="D47" s="84" t="n"/>
      <c r="E47" s="84" t="n"/>
      <c r="F47" s="84" t="n"/>
      <c r="G47" s="85" t="n"/>
      <c r="H47" s="12" t="inlineStr">
        <is>
          <t>A weighted average rating — so 4.73 means 'between B1 and B2, nearer B2', which rounds to B2.</t>
        </is>
      </c>
      <c r="I47" s="84" t="n"/>
      <c r="J47" s="84" t="n"/>
      <c r="K47" s="84" t="n"/>
      <c r="L47" s="84" t="n"/>
      <c r="M47" s="84" t="n"/>
      <c r="N47" s="85" t="n"/>
    </row>
    <row r="48" ht="67" customHeight="1">
      <c r="A48" s="10" t="inlineStr">
        <is>
          <t>4 · Check</t>
        </is>
      </c>
      <c r="B48" s="12"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48" s="84" t="n"/>
      <c r="D48" s="84" t="n"/>
      <c r="E48" s="84" t="n"/>
      <c r="F48" s="84" t="n"/>
      <c r="G48" s="85" t="n"/>
      <c r="H48" s="12" t="inlineStr">
        <is>
          <t>The score proposes; the rules make sure the role really carries that level. Any change is named, with its numbers, on sheet 2 of this workbook.</t>
        </is>
      </c>
      <c r="I48" s="84" t="n"/>
      <c r="J48" s="84" t="n"/>
      <c r="K48" s="84" t="n"/>
      <c r="L48" s="84" t="n"/>
      <c r="M48" s="84" t="n"/>
      <c r="N48" s="85" t="n"/>
    </row>
    <row r="49" ht="15" customHeight="1"/>
    <row r="50" ht="15" customHeight="1">
      <c r="A50" s="33" t="inlineStr">
        <is>
          <t>Worked example · invented numbers — a Band B individual contributor doing technology work:</t>
        </is>
      </c>
    </row>
    <row r="51" ht="15" customHeight="1">
      <c r="A51" s="8" t="inlineStr">
        <is>
          <t>Factor</t>
        </is>
      </c>
      <c r="B51" s="8" t="inlineStr">
        <is>
          <t>Complexity</t>
        </is>
      </c>
      <c r="C51" s="85" t="n"/>
      <c r="D51" s="8" t="inlineStr">
        <is>
          <t>Autonomy</t>
        </is>
      </c>
      <c r="E51" s="85" t="n"/>
      <c r="F51" s="8" t="inlineStr">
        <is>
          <t>Accountability</t>
        </is>
      </c>
      <c r="G51" s="85" t="n"/>
      <c r="H51" s="8" t="inlineStr">
        <is>
          <t>Leadership</t>
        </is>
      </c>
      <c r="I51" s="85" t="n"/>
      <c r="J51" s="8" t="inlineStr">
        <is>
          <t>Experience</t>
        </is>
      </c>
      <c r="K51" s="85" t="n"/>
      <c r="L51" s="8" t="inlineStr">
        <is>
          <t>Bus. Impact</t>
        </is>
      </c>
      <c r="M51" s="85" t="n"/>
      <c r="N51" s="8" t="inlineStr">
        <is>
          <t>Score</t>
        </is>
      </c>
    </row>
    <row r="52" ht="15" customHeight="1">
      <c r="A52" s="10" t="inlineStr">
        <is>
          <t>Rating</t>
        </is>
      </c>
      <c r="B52" s="34" t="inlineStr">
        <is>
          <t>5</t>
        </is>
      </c>
      <c r="C52" s="85" t="n"/>
      <c r="D52" s="34" t="inlineStr">
        <is>
          <t>4</t>
        </is>
      </c>
      <c r="E52" s="85" t="n"/>
      <c r="F52" s="34" t="inlineStr">
        <is>
          <t>5</t>
        </is>
      </c>
      <c r="G52" s="85" t="n"/>
      <c r="H52" s="34" t="inlineStr">
        <is>
          <t>3</t>
        </is>
      </c>
      <c r="I52" s="85" t="n"/>
      <c r="J52" s="34" t="inlineStr">
        <is>
          <t>5</t>
        </is>
      </c>
      <c r="K52" s="85" t="n"/>
      <c r="L52" s="34" t="inlineStr">
        <is>
          <t>5</t>
        </is>
      </c>
      <c r="M52" s="85" t="n"/>
      <c r="N52" s="34" t="inlineStr"/>
    </row>
    <row r="53" ht="15" customHeight="1">
      <c r="A53" s="10" t="inlineStr">
        <is>
          <t>Weight</t>
        </is>
      </c>
      <c r="B53" s="34" t="inlineStr">
        <is>
          <t>56%</t>
        </is>
      </c>
      <c r="C53" s="85" t="n"/>
      <c r="D53" s="34" t="inlineStr">
        <is>
          <t>17%</t>
        </is>
      </c>
      <c r="E53" s="85" t="n"/>
      <c r="F53" s="34" t="inlineStr">
        <is>
          <t>5%</t>
        </is>
      </c>
      <c r="G53" s="85" t="n"/>
      <c r="H53" s="34" t="inlineStr">
        <is>
          <t>5%</t>
        </is>
      </c>
      <c r="I53" s="85" t="n"/>
      <c r="J53" s="34" t="inlineStr">
        <is>
          <t>10%</t>
        </is>
      </c>
      <c r="K53" s="85" t="n"/>
      <c r="L53" s="34" t="inlineStr">
        <is>
          <t>7%</t>
        </is>
      </c>
      <c r="M53" s="85" t="n"/>
      <c r="N53" s="34" t="inlineStr">
        <is>
          <t>100%</t>
        </is>
      </c>
    </row>
    <row r="54" ht="15" customHeight="1">
      <c r="A54" s="10" t="inlineStr">
        <is>
          <t>Rating × weight</t>
        </is>
      </c>
      <c r="B54" s="34" t="inlineStr">
        <is>
          <t>2.80</t>
        </is>
      </c>
      <c r="C54" s="85" t="n"/>
      <c r="D54" s="34" t="inlineStr">
        <is>
          <t>0.68</t>
        </is>
      </c>
      <c r="E54" s="85" t="n"/>
      <c r="F54" s="34" t="inlineStr">
        <is>
          <t>0.25</t>
        </is>
      </c>
      <c r="G54" s="85" t="n"/>
      <c r="H54" s="34" t="inlineStr">
        <is>
          <t>0.15</t>
        </is>
      </c>
      <c r="I54" s="85" t="n"/>
      <c r="J54" s="34" t="inlineStr">
        <is>
          <t>0.50</t>
        </is>
      </c>
      <c r="K54" s="85" t="n"/>
      <c r="L54" s="34" t="inlineStr">
        <is>
          <t>0.35</t>
        </is>
      </c>
      <c r="M54" s="85" t="n"/>
      <c r="N54" s="34" t="inlineStr">
        <is>
          <t>4.73 → B2</t>
        </is>
      </c>
    </row>
    <row r="55" ht="15" customHeight="1"/>
    <row r="56" ht="15" customHeight="1">
      <c r="A56" s="33" t="inlineStr">
        <is>
          <t>What the numbers mean — iDEAL</t>
        </is>
      </c>
    </row>
    <row r="57" ht="15" customHeight="1">
      <c r="A57" s="8" t="inlineStr">
        <is>
          <t>Term</t>
        </is>
      </c>
      <c r="B57" s="8" t="inlineStr">
        <is>
          <t>Meaning</t>
        </is>
      </c>
      <c r="C57" s="84" t="n"/>
      <c r="D57" s="84" t="n"/>
      <c r="E57" s="84" t="n"/>
      <c r="F57" s="84" t="n"/>
      <c r="G57" s="84" t="n"/>
      <c r="H57" s="84" t="n"/>
      <c r="I57" s="84" t="n"/>
      <c r="J57" s="84" t="n"/>
      <c r="K57" s="84" t="n"/>
      <c r="L57" s="85" t="n"/>
      <c r="M57" s="8" t="inlineStr">
        <is>
          <t>People</t>
        </is>
      </c>
      <c r="N57" s="85" t="n"/>
    </row>
    <row r="58" ht="15" customHeight="1">
      <c r="A58" s="10" t="inlineStr">
        <is>
          <t>Score</t>
        </is>
      </c>
      <c r="B58" s="12" t="inlineStr">
        <is>
          <t>The size of the role in level units. Not performance, not pay.</t>
        </is>
      </c>
      <c r="C58" s="84" t="n"/>
      <c r="D58" s="84" t="n"/>
      <c r="E58" s="84" t="n"/>
      <c r="F58" s="84" t="n"/>
      <c r="G58" s="84" t="n"/>
      <c r="H58" s="84" t="n"/>
      <c r="I58" s="84" t="n"/>
      <c r="J58" s="84" t="n"/>
      <c r="K58" s="84" t="n"/>
      <c r="L58" s="85" t="n"/>
      <c r="M58" s="34" t="n">
        <v>44</v>
      </c>
      <c r="N58" s="85" t="n"/>
    </row>
    <row r="59" ht="15" customHeight="1">
      <c r="A59" s="10" t="inlineStr">
        <is>
          <t>Indicated level</t>
        </is>
      </c>
      <c r="B59" s="12" t="inlineStr">
        <is>
          <t>The score rounded to the nearest level.</t>
        </is>
      </c>
      <c r="C59" s="84" t="n"/>
      <c r="D59" s="84" t="n"/>
      <c r="E59" s="84" t="n"/>
      <c r="F59" s="84" t="n"/>
      <c r="G59" s="84" t="n"/>
      <c r="H59" s="84" t="n"/>
      <c r="I59" s="84" t="n"/>
      <c r="J59" s="84" t="n"/>
      <c r="K59" s="84" t="n"/>
      <c r="L59" s="85" t="n"/>
      <c r="M59" s="34" t="n">
        <v>44</v>
      </c>
      <c r="N59" s="85" t="n"/>
    </row>
    <row r="60" ht="15" customHeight="1">
      <c r="A60" s="10" t="inlineStr">
        <is>
          <t>Final level</t>
        </is>
      </c>
      <c r="B60" s="12" t="inlineStr">
        <is>
          <t>The level after the rules. Where it differs from the indicated level, a rule moved it and the reason is recorded.</t>
        </is>
      </c>
      <c r="C60" s="84" t="n"/>
      <c r="D60" s="84" t="n"/>
      <c r="E60" s="84" t="n"/>
      <c r="F60" s="84" t="n"/>
      <c r="G60" s="84" t="n"/>
      <c r="H60" s="84" t="n"/>
      <c r="I60" s="84" t="n"/>
      <c r="J60" s="84" t="n"/>
      <c r="K60" s="84" t="n"/>
      <c r="L60" s="85" t="n"/>
      <c r="M60" s="34" t="inlineStr">
        <is>
          <t>8 differ</t>
        </is>
      </c>
      <c r="N60" s="85" t="n"/>
    </row>
    <row r="61" ht="15" customHeight="1">
      <c r="A61" s="10" t="inlineStr">
        <is>
          <t>Close call</t>
        </is>
      </c>
      <c r="B61" s="12" t="inlineStr">
        <is>
          <t>The score decided the level and sits within ±0.05 of a rounding point. Sent to the calibration panel.</t>
        </is>
      </c>
      <c r="C61" s="84" t="n"/>
      <c r="D61" s="84" t="n"/>
      <c r="E61" s="84" t="n"/>
      <c r="F61" s="84" t="n"/>
      <c r="G61" s="84" t="n"/>
      <c r="H61" s="84" t="n"/>
      <c r="I61" s="84" t="n"/>
      <c r="J61" s="84" t="n"/>
      <c r="K61" s="84" t="n"/>
      <c r="L61" s="85" t="n"/>
      <c r="M61" s="34" t="n">
        <v>0</v>
      </c>
      <c r="N61" s="85" t="n"/>
    </row>
    <row r="62" ht="28" customHeight="1">
      <c r="A62" s="10" t="inlineStr">
        <is>
          <t>Near a gate</t>
        </is>
      </c>
      <c r="B62" s="12" t="inlineStr">
        <is>
          <t>A rule set the level, and the number behind that rule is within a quarter-point of flipping it. Sent to the calibration panel.</t>
        </is>
      </c>
      <c r="C62" s="84" t="n"/>
      <c r="D62" s="84" t="n"/>
      <c r="E62" s="84" t="n"/>
      <c r="F62" s="84" t="n"/>
      <c r="G62" s="84" t="n"/>
      <c r="H62" s="84" t="n"/>
      <c r="I62" s="84" t="n"/>
      <c r="J62" s="84" t="n"/>
      <c r="K62" s="84" t="n"/>
      <c r="L62" s="85" t="n"/>
      <c r="M62" s="34" t="n">
        <v>2</v>
      </c>
      <c r="N62" s="85" t="n"/>
    </row>
    <row r="63" ht="15" customHeight="1">
      <c r="A63" s="10" t="inlineStr">
        <is>
          <t>Not scored</t>
        </is>
      </c>
      <c r="B63" s="12" t="inlineStr">
        <is>
          <t>Interns and first-year trainees, consultants and anyone with incomplete ratings are placed by rule.</t>
        </is>
      </c>
      <c r="C63" s="84" t="n"/>
      <c r="D63" s="84" t="n"/>
      <c r="E63" s="84" t="n"/>
      <c r="F63" s="84" t="n"/>
      <c r="G63" s="84" t="n"/>
      <c r="H63" s="84" t="n"/>
      <c r="I63" s="84" t="n"/>
      <c r="J63" s="84" t="n"/>
      <c r="K63" s="84" t="n"/>
      <c r="L63" s="85" t="n"/>
      <c r="M63" s="34" t="n">
        <v>3</v>
      </c>
      <c r="N63" s="85" t="n"/>
    </row>
    <row r="64" ht="15" customHeight="1"/>
    <row r="65" ht="80" customHeight="1">
      <c r="A65" s="32" t="inlineStr">
        <is>
          <r>
            <rPr>
              <rFont val="Calibri"/>
              <b val="1"/>
              <i val="1"/>
              <color rgb="00595959"/>
              <sz val="10"/>
            </rPr>
            <t>Where the weights come from:</t>
          </r>
          <r>
            <rPr>
              <rFont val="Calibri"/>
              <i val="1"/>
              <color rgb="00595959"/>
              <sz val="10"/>
            </rPr>
            <t xml:space="preserve"> each role group's default is the average of Korn Ferry Hay, Mercer IPE and five public point-factor plans. Sources: S46–S51 Korn Ferry Hay evaluations · S04, S52 Mercer IPE · S53–S57 NHS, UK NJC/PSC, GLPC, SJC and US OPM point-factor plans. Experience kept low: Sources: S05, S49 Hay know-how includes experience however acquired · S04, S52 Mercer IPE knowledge · S07 WTW GGS · S58 McKinsey · S59 Deloitte · S60 WEF · S61 EY India, 2026 — skills over tenure. The 10% / 5% level is an IRIS leadership decision. Type-of-work shift: 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r>
        </is>
      </c>
    </row>
    <row r="66" ht="20" customHeight="1">
      <c r="A66" s="6" t="inlineStr">
        <is>
          <t>5. The ten rules, in plain English</t>
        </is>
      </c>
    </row>
    <row r="67" ht="15" customHeight="1">
      <c r="A67" s="8" t="inlineStr">
        <is>
          <t>Rule</t>
        </is>
      </c>
      <c r="B67" s="84" t="n"/>
      <c r="C67" s="85" t="n"/>
      <c r="D67" s="8" t="inlineStr">
        <is>
          <t>What it says</t>
        </is>
      </c>
      <c r="E67" s="84" t="n"/>
      <c r="F67" s="84" t="n"/>
      <c r="G67" s="84" t="n"/>
      <c r="H67" s="84" t="n"/>
      <c r="I67" s="84" t="n"/>
      <c r="J67" s="84" t="n"/>
      <c r="K67" s="84" t="n"/>
      <c r="L67" s="84" t="n"/>
      <c r="M67" s="84" t="n"/>
      <c r="N67" s="85" t="n"/>
    </row>
    <row r="68" ht="15" customHeight="1">
      <c r="A68" s="10" t="inlineStr">
        <is>
          <t>R1 · Category</t>
        </is>
      </c>
      <c r="B68" s="84" t="n"/>
      <c r="C68" s="85" t="n"/>
      <c r="D68" s="12" t="inlineStr">
        <is>
          <t>Interns and first-year trainees start at A1; consultants sit outside the ladder at X1–X3.</t>
        </is>
      </c>
      <c r="E68" s="84" t="n"/>
      <c r="F68" s="84" t="n"/>
      <c r="G68" s="84" t="n"/>
      <c r="H68" s="84" t="n"/>
      <c r="I68" s="84" t="n"/>
      <c r="J68" s="84" t="n"/>
      <c r="K68" s="84" t="n"/>
      <c r="L68" s="84" t="n"/>
      <c r="M68" s="84" t="n"/>
      <c r="N68" s="85" t="n"/>
    </row>
    <row r="69" ht="15" customHeight="1">
      <c r="A69" s="10" t="inlineStr">
        <is>
          <t>R2 · Provisional</t>
        </is>
      </c>
      <c r="B69" s="84" t="n"/>
      <c r="C69" s="85" t="n"/>
      <c r="D69" s="12" t="inlineStr">
        <is>
          <t>Where the experience record looks incomplete, the level is kept until HR confirms it.</t>
        </is>
      </c>
      <c r="E69" s="84" t="n"/>
      <c r="F69" s="84" t="n"/>
      <c r="G69" s="84" t="n"/>
      <c r="H69" s="84" t="n"/>
      <c r="I69" s="84" t="n"/>
      <c r="J69" s="84" t="n"/>
      <c r="K69" s="84" t="n"/>
      <c r="L69" s="84" t="n"/>
      <c r="M69" s="84" t="n"/>
      <c r="N69" s="85" t="n"/>
    </row>
    <row r="70" ht="28" customHeight="1">
      <c r="A70" s="10" t="inlineStr">
        <is>
          <t>R3 · Score</t>
        </is>
      </c>
      <c r="B70" s="84" t="n"/>
      <c r="C70" s="85" t="n"/>
      <c r="D70" s="12" t="inlineStr">
        <is>
          <t>The weighted score points to a level; each band is checked on its own weights and the person sits in the highest band where it holds.</t>
        </is>
      </c>
      <c r="E70" s="84" t="n"/>
      <c r="F70" s="84" t="n"/>
      <c r="G70" s="84" t="n"/>
      <c r="H70" s="84" t="n"/>
      <c r="I70" s="84" t="n"/>
      <c r="J70" s="84" t="n"/>
      <c r="K70" s="84" t="n"/>
      <c r="L70" s="84" t="n"/>
      <c r="M70" s="84" t="n"/>
      <c r="N70" s="85" t="n"/>
    </row>
    <row r="71" ht="28" customHeight="1">
      <c r="A71" s="10" t="inlineStr">
        <is>
          <t>R4 · Role substance</t>
        </is>
      </c>
      <c r="B71" s="84" t="n"/>
      <c r="C71" s="85" t="n"/>
      <c r="D71" s="12" t="inlineStr">
        <is>
          <t>For individual contributors, the level can be at most one above what the complexity and accountability of the work show.</t>
        </is>
      </c>
      <c r="E71" s="84" t="n"/>
      <c r="F71" s="84" t="n"/>
      <c r="G71" s="84" t="n"/>
      <c r="H71" s="84" t="n"/>
      <c r="I71" s="84" t="n"/>
      <c r="J71" s="84" t="n"/>
      <c r="K71" s="84" t="n"/>
      <c r="L71" s="84" t="n"/>
      <c r="M71" s="84" t="n"/>
      <c r="N71" s="85" t="n"/>
    </row>
    <row r="72" ht="28" customHeight="1">
      <c r="A72" s="10" t="inlineStr">
        <is>
          <t>R5 · Structure</t>
        </is>
      </c>
      <c r="B72" s="84" t="n"/>
      <c r="C72" s="85" t="n"/>
      <c r="D72" s="12" t="inlineStr">
        <is>
          <t>C1 and above need the matching structure in the org chart · a sub-function, a function, a business line; a B3 manager needs team leads or 10+ people.</t>
        </is>
      </c>
      <c r="E72" s="84" t="n"/>
      <c r="F72" s="84" t="n"/>
      <c r="G72" s="84" t="n"/>
      <c r="H72" s="84" t="n"/>
      <c r="I72" s="84" t="n"/>
      <c r="J72" s="84" t="n"/>
      <c r="K72" s="84" t="n"/>
      <c r="L72" s="84" t="n"/>
      <c r="M72" s="84" t="n"/>
      <c r="N72" s="85" t="n"/>
    </row>
    <row r="73" ht="15" customHeight="1">
      <c r="A73" s="10" t="inlineStr">
        <is>
          <t>R6 · Top of band</t>
        </is>
      </c>
      <c r="B73" s="84" t="n"/>
      <c r="C73" s="85" t="n"/>
      <c r="D73" s="12" t="inlineStr">
        <is>
          <t>To enter the next band the score must reach its entry point on that band's own weights.</t>
        </is>
      </c>
      <c r="E73" s="84" t="n"/>
      <c r="F73" s="84" t="n"/>
      <c r="G73" s="84" t="n"/>
      <c r="H73" s="84" t="n"/>
      <c r="I73" s="84" t="n"/>
      <c r="J73" s="84" t="n"/>
      <c r="K73" s="84" t="n"/>
      <c r="L73" s="84" t="n"/>
      <c r="M73" s="84" t="n"/>
      <c r="N73" s="85" t="n"/>
    </row>
    <row r="74" ht="15" customHeight="1">
      <c r="A74" s="10" t="inlineStr">
        <is>
          <t>R7 · Band A experience</t>
        </is>
      </c>
      <c r="B74" s="84" t="n"/>
      <c r="C74" s="85" t="n"/>
      <c r="D74" s="12" t="inlineStr">
        <is>
          <r>
            <rPr>
              <rFont val="Calibri"/>
              <b val="1"/>
              <sz val="10"/>
            </rPr>
            <t>Under 1 year:</t>
          </r>
          <r>
            <rPr>
              <rFont val="Calibri"/>
              <sz val="10"/>
            </rPr>
            <t xml:space="preserve"> A2 at most; 2+ years: A3.</t>
          </r>
        </is>
      </c>
      <c r="E74" s="84" t="n"/>
      <c r="F74" s="84" t="n"/>
      <c r="G74" s="84" t="n"/>
      <c r="H74" s="84" t="n"/>
      <c r="I74" s="84" t="n"/>
      <c r="J74" s="84" t="n"/>
      <c r="K74" s="84" t="n"/>
      <c r="L74" s="84" t="n"/>
      <c r="M74" s="84" t="n"/>
      <c r="N74" s="85" t="n"/>
    </row>
    <row r="75" ht="15" customHeight="1">
      <c r="A75" s="10" t="inlineStr">
        <is>
          <t>R8 · Experience limit</t>
        </is>
      </c>
      <c r="B75" s="84" t="n"/>
      <c r="C75" s="85" t="n"/>
      <c r="D75" s="12" t="inlineStr">
        <is>
          <t>In Bands A–B a role sits at most one level above the level its experience fits · managers exempt.</t>
        </is>
      </c>
      <c r="E75" s="84" t="n"/>
      <c r="F75" s="84" t="n"/>
      <c r="G75" s="84" t="n"/>
      <c r="H75" s="84" t="n"/>
      <c r="I75" s="84" t="n"/>
      <c r="J75" s="84" t="n"/>
      <c r="K75" s="84" t="n"/>
      <c r="L75" s="84" t="n"/>
      <c r="M75" s="84" t="n"/>
      <c r="N75" s="85" t="n"/>
    </row>
    <row r="76" ht="15" customHeight="1">
      <c r="A76" s="10" t="inlineStr">
        <is>
          <t>R9 · Track minimum</t>
        </is>
      </c>
      <c r="B76" s="84" t="n"/>
      <c r="C76" s="85" t="n"/>
      <c r="D76" s="12" t="inlineStr">
        <is>
          <t>POD Leads and People Managers start at B1.</t>
        </is>
      </c>
      <c r="E76" s="84" t="n"/>
      <c r="F76" s="84" t="n"/>
      <c r="G76" s="84" t="n"/>
      <c r="H76" s="84" t="n"/>
      <c r="I76" s="84" t="n"/>
      <c r="J76" s="84" t="n"/>
      <c r="K76" s="84" t="n"/>
      <c r="L76" s="84" t="n"/>
      <c r="M76" s="84" t="n"/>
      <c r="N76" s="85" t="n"/>
    </row>
    <row r="77" ht="28" customHeight="1">
      <c r="A77" s="10" t="inlineStr">
        <is>
          <t>R10 · Player-Coach</t>
        </is>
      </c>
      <c r="B77" s="84" t="n"/>
      <c r="C77" s="85" t="n"/>
      <c r="D77" s="12" t="inlineStr">
        <is>
          <t>At B3 or C2, someone who leads people and still does hands-on work moves to the step above · B+ or C+ if the Player-Coach score and the substance reach the threshold; a shortfall of up to 0.15 is accepted and confirmed in calibration.</t>
        </is>
      </c>
      <c r="E77" s="84" t="n"/>
      <c r="F77" s="84" t="n"/>
      <c r="G77" s="84" t="n"/>
      <c r="H77" s="84" t="n"/>
      <c r="I77" s="84" t="n"/>
      <c r="J77" s="84" t="n"/>
      <c r="K77" s="84" t="n"/>
      <c r="L77" s="84" t="n"/>
      <c r="M77" s="84" t="n"/>
      <c r="N77" s="85" t="n"/>
    </row>
    <row r="78" ht="15" customHeight="1"/>
    <row r="79" ht="20" customHeight="1">
      <c r="A79" s="6" t="inlineStr">
        <is>
          <t>6. Colours and terms</t>
        </is>
      </c>
    </row>
    <row r="80" ht="15" customHeight="1">
      <c r="A80" s="35" t="inlineStr">
        <is>
          <t>Changed vs current · designation or level</t>
        </is>
      </c>
      <c r="B80" s="84" t="n"/>
      <c r="C80" s="84" t="n"/>
      <c r="D80" s="84" t="n"/>
      <c r="E80" s="84" t="n"/>
      <c r="F80" s="84" t="n"/>
      <c r="G80" s="84" t="n"/>
      <c r="H80" s="84" t="n"/>
      <c r="I80" s="84" t="n"/>
      <c r="J80" s="84" t="n"/>
      <c r="K80" s="84" t="n"/>
      <c r="L80" s="84" t="n"/>
      <c r="M80" s="84" t="n"/>
      <c r="N80" s="85" t="n"/>
    </row>
    <row r="81" ht="15" customHeight="1">
      <c r="A81" s="37" t="inlineStr">
        <is>
          <t>Level up</t>
        </is>
      </c>
      <c r="B81" s="84" t="n"/>
      <c r="C81" s="84" t="n"/>
      <c r="D81" s="84" t="n"/>
      <c r="E81" s="84" t="n"/>
      <c r="F81" s="84" t="n"/>
      <c r="G81" s="84" t="n"/>
      <c r="H81" s="84" t="n"/>
      <c r="I81" s="84" t="n"/>
      <c r="J81" s="84" t="n"/>
      <c r="K81" s="84" t="n"/>
      <c r="L81" s="84" t="n"/>
      <c r="M81" s="84" t="n"/>
      <c r="N81" s="85" t="n"/>
    </row>
    <row r="82" ht="15" customHeight="1">
      <c r="A82" s="39" t="inlineStr">
        <is>
          <t>Level down — pay &amp; title protected</t>
        </is>
      </c>
      <c r="B82" s="84" t="n"/>
      <c r="C82" s="84" t="n"/>
      <c r="D82" s="84" t="n"/>
      <c r="E82" s="84" t="n"/>
      <c r="F82" s="84" t="n"/>
      <c r="G82" s="84" t="n"/>
      <c r="H82" s="84" t="n"/>
      <c r="I82" s="84" t="n"/>
      <c r="J82" s="84" t="n"/>
      <c r="K82" s="84" t="n"/>
      <c r="L82" s="84" t="n"/>
      <c r="M82" s="84" t="n"/>
      <c r="N82" s="85" t="n"/>
    </row>
    <row r="83" ht="15" customHeight="1">
      <c r="A83" s="41" t="inlineStr">
        <is>
          <t>Newly mapped</t>
        </is>
      </c>
      <c r="B83" s="84" t="n"/>
      <c r="C83" s="84" t="n"/>
      <c r="D83" s="84" t="n"/>
      <c r="E83" s="84" t="n"/>
      <c r="F83" s="84" t="n"/>
      <c r="G83" s="84" t="n"/>
      <c r="H83" s="84" t="n"/>
      <c r="I83" s="84" t="n"/>
      <c r="J83" s="84" t="n"/>
      <c r="K83" s="84" t="n"/>
      <c r="L83" s="84" t="n"/>
      <c r="M83" s="84" t="n"/>
      <c r="N83" s="85" t="n"/>
    </row>
    <row r="84" ht="15" customHeight="1">
      <c r="A84" s="42" t="inlineStr">
        <is>
          <t>Player-Coach · B+ · C+</t>
        </is>
      </c>
      <c r="B84" s="84" t="n"/>
      <c r="C84" s="84" t="n"/>
      <c r="D84" s="84" t="n"/>
      <c r="E84" s="84" t="n"/>
      <c r="F84" s="84" t="n"/>
      <c r="G84" s="84" t="n"/>
      <c r="H84" s="84" t="n"/>
      <c r="I84" s="84" t="n"/>
      <c r="J84" s="84" t="n"/>
      <c r="K84" s="84" t="n"/>
      <c r="L84" s="84" t="n"/>
      <c r="M84" s="84" t="n"/>
      <c r="N84" s="85" t="n"/>
    </row>
    <row r="85" ht="15" customHeight="1">
      <c r="A85" s="43" t="inlineStr">
        <is>
          <t>RED = critical input needed · could change or confirm the level</t>
        </is>
      </c>
      <c r="B85" s="84" t="n"/>
      <c r="C85" s="84" t="n"/>
      <c r="D85" s="84" t="n"/>
      <c r="E85" s="84" t="n"/>
      <c r="F85" s="84" t="n"/>
      <c r="G85" s="84" t="n"/>
      <c r="H85" s="84" t="n"/>
      <c r="I85" s="84" t="n"/>
      <c r="J85" s="84" t="n"/>
      <c r="K85" s="84" t="n"/>
      <c r="L85" s="84" t="n"/>
      <c r="M85" s="84" t="n"/>
      <c r="N85" s="85" t="n"/>
    </row>
    <row r="86" ht="15" customHeight="1">
      <c r="A86" s="45" t="inlineStr">
        <is>
          <t>YELLOW = to complete in validation</t>
        </is>
      </c>
      <c r="B86" s="84" t="n"/>
      <c r="C86" s="84" t="n"/>
      <c r="D86" s="84" t="n"/>
      <c r="E86" s="84" t="n"/>
      <c r="F86" s="84" t="n"/>
      <c r="G86" s="84" t="n"/>
      <c r="H86" s="84" t="n"/>
      <c r="I86" s="84" t="n"/>
      <c r="J86" s="84" t="n"/>
      <c r="K86" s="84" t="n"/>
      <c r="L86" s="84" t="n"/>
      <c r="M86" s="84" t="n"/>
      <c r="N86" s="85" t="n"/>
    </row>
    <row r="87" ht="15" customHeight="1"/>
    <row r="88" ht="15" customHeight="1">
      <c r="A88" s="8" t="inlineStr">
        <is>
          <t>Term</t>
        </is>
      </c>
      <c r="B88" s="84" t="n"/>
      <c r="C88" s="85" t="n"/>
      <c r="D88" s="8" t="inlineStr">
        <is>
          <t>Meaning</t>
        </is>
      </c>
      <c r="E88" s="84" t="n"/>
      <c r="F88" s="84" t="n"/>
      <c r="G88" s="84" t="n"/>
      <c r="H88" s="84" t="n"/>
      <c r="I88" s="84" t="n"/>
      <c r="J88" s="84" t="n"/>
      <c r="K88" s="84" t="n"/>
      <c r="L88" s="84" t="n"/>
      <c r="M88" s="84" t="n"/>
      <c r="N88" s="85" t="n"/>
    </row>
    <row r="89" ht="15" customHeight="1">
      <c r="A89" s="10" t="inlineStr">
        <is>
          <t>Job family / sub-family</t>
        </is>
      </c>
      <c r="B89" s="84" t="n"/>
      <c r="C89" s="85" t="n"/>
      <c r="D89" s="12" t="inlineStr">
        <is>
          <t>The discipline, and the actual work done inside it</t>
        </is>
      </c>
      <c r="E89" s="84" t="n"/>
      <c r="F89" s="84" t="n"/>
      <c r="G89" s="84" t="n"/>
      <c r="H89" s="84" t="n"/>
      <c r="I89" s="84" t="n"/>
      <c r="J89" s="84" t="n"/>
      <c r="K89" s="84" t="n"/>
      <c r="L89" s="84" t="n"/>
      <c r="M89" s="84" t="n"/>
      <c r="N89" s="85" t="n"/>
    </row>
    <row r="90" ht="15" customHeight="1">
      <c r="A90" s="10" t="inlineStr">
        <is>
          <t>Track</t>
        </is>
      </c>
      <c r="B90" s="84" t="n"/>
      <c r="C90" s="85" t="n"/>
      <c r="D90" s="12" t="inlineStr">
        <is>
          <t>Individual contributor · IC, POD Lead · leads 1–3 while mainly IC, People Manager, Player-Coach, Consultant</t>
        </is>
      </c>
      <c r="E90" s="84" t="n"/>
      <c r="F90" s="84" t="n"/>
      <c r="G90" s="84" t="n"/>
      <c r="H90" s="84" t="n"/>
      <c r="I90" s="84" t="n"/>
      <c r="J90" s="84" t="n"/>
      <c r="K90" s="84" t="n"/>
      <c r="L90" s="84" t="n"/>
      <c r="M90" s="84" t="n"/>
      <c r="N90" s="85" t="n"/>
    </row>
    <row r="91" ht="15" customHeight="1">
      <c r="A91" s="10" t="inlineStr">
        <is>
          <t>Weights</t>
        </is>
      </c>
      <c r="B91" s="84" t="n"/>
      <c r="C91" s="85" t="n"/>
      <c r="D91" s="12" t="inlineStr">
        <is>
          <t>How much each of the six factors counts for this kind of role; they always add up to 100%. Edit them on sheet 6</t>
        </is>
      </c>
      <c r="E91" s="84" t="n"/>
      <c r="F91" s="84" t="n"/>
      <c r="G91" s="84" t="n"/>
      <c r="H91" s="84" t="n"/>
      <c r="I91" s="84" t="n"/>
      <c r="J91" s="84" t="n"/>
      <c r="K91" s="84" t="n"/>
      <c r="L91" s="84" t="n"/>
      <c r="M91" s="84" t="n"/>
      <c r="N91" s="85" t="n"/>
    </row>
    <row r="92" ht="15" customHeight="1">
      <c r="A92" s="10" t="inlineStr">
        <is>
          <t>Score / indicated level</t>
        </is>
      </c>
      <c r="B92" s="84" t="n"/>
      <c r="C92" s="85" t="n"/>
      <c r="D92" s="12" t="inlineStr">
        <is>
          <t>The weighted average of the six ratings on the ladder scale, and the level it rounds to</t>
        </is>
      </c>
      <c r="E92" s="84" t="n"/>
      <c r="F92" s="84" t="n"/>
      <c r="G92" s="84" t="n"/>
      <c r="H92" s="84" t="n"/>
      <c r="I92" s="84" t="n"/>
      <c r="J92" s="84" t="n"/>
      <c r="K92" s="84" t="n"/>
      <c r="L92" s="84" t="n"/>
      <c r="M92" s="84" t="n"/>
      <c r="N92" s="85" t="n"/>
    </row>
    <row r="93" ht="15" customHeight="1">
      <c r="A93" s="10" t="inlineStr">
        <is>
          <t>Close call</t>
        </is>
      </c>
      <c r="B93" s="84" t="n"/>
      <c r="C93" s="85" t="n"/>
      <c r="D93" s="12" t="inlineStr">
        <is>
          <t>The score decided the level and is within 0.05 of a rounding point</t>
        </is>
      </c>
      <c r="E93" s="84" t="n"/>
      <c r="F93" s="84" t="n"/>
      <c r="G93" s="84" t="n"/>
      <c r="H93" s="84" t="n"/>
      <c r="I93" s="84" t="n"/>
      <c r="J93" s="84" t="n"/>
      <c r="K93" s="84" t="n"/>
      <c r="L93" s="84" t="n"/>
      <c r="M93" s="84" t="n"/>
      <c r="N93" s="85" t="n"/>
    </row>
    <row r="94" ht="15" customHeight="1">
      <c r="A94" s="10" t="inlineStr">
        <is>
          <t>Near a gate</t>
        </is>
      </c>
      <c r="B94" s="84" t="n"/>
      <c r="C94" s="85" t="n"/>
      <c r="D94" s="12" t="inlineStr">
        <is>
          <t>A rule set the level and the number behind it is within a quarter-point of changing it</t>
        </is>
      </c>
      <c r="E94" s="84" t="n"/>
      <c r="F94" s="84" t="n"/>
      <c r="G94" s="84" t="n"/>
      <c r="H94" s="84" t="n"/>
      <c r="I94" s="84" t="n"/>
      <c r="J94" s="84" t="n"/>
      <c r="K94" s="84" t="n"/>
      <c r="L94" s="84" t="n"/>
      <c r="M94" s="84" t="n"/>
      <c r="N94" s="85" t="n"/>
    </row>
    <row r="95" ht="15" customHeight="1">
      <c r="A95" s="10" t="inlineStr">
        <is>
          <t>Provisional</t>
        </is>
      </c>
      <c r="B95" s="84" t="n"/>
      <c r="C95" s="85" t="n"/>
      <c r="D95" s="12" t="inlineStr">
        <is>
          <t>The level is kept until HR confirms the experience record</t>
        </is>
      </c>
      <c r="E95" s="84" t="n"/>
      <c r="F95" s="84" t="n"/>
      <c r="G95" s="84" t="n"/>
      <c r="H95" s="84" t="n"/>
      <c r="I95" s="84" t="n"/>
      <c r="J95" s="84" t="n"/>
      <c r="K95" s="84" t="n"/>
      <c r="L95" s="84" t="n"/>
      <c r="M95" s="84" t="n"/>
      <c r="N95" s="85" t="n"/>
    </row>
    <row r="96" ht="15" customHeight="1">
      <c r="A96" s="10" t="inlineStr">
        <is>
          <t>Protected</t>
        </is>
      </c>
      <c r="B96" s="84" t="n"/>
      <c r="C96" s="85" t="n"/>
      <c r="D96" s="12" t="inlineStr">
        <is>
          <t>A move down keeps current pay and title for one cycle, with a review date</t>
        </is>
      </c>
      <c r="E96" s="84" t="n"/>
      <c r="F96" s="84" t="n"/>
      <c r="G96" s="84" t="n"/>
      <c r="H96" s="84" t="n"/>
      <c r="I96" s="84" t="n"/>
      <c r="J96" s="84" t="n"/>
      <c r="K96" s="84" t="n"/>
      <c r="L96" s="84" t="n"/>
      <c r="M96" s="84" t="n"/>
      <c r="N96" s="85" t="n"/>
    </row>
    <row r="97" ht="15" customHeight="1">
      <c r="A97" s="10" t="inlineStr">
        <is>
          <t>Radford / Mercer code</t>
        </is>
      </c>
      <c r="B97" s="84" t="n"/>
      <c r="C97" s="85" t="n"/>
      <c r="D97" s="12" t="inlineStr">
        <is>
          <t>The market survey level used to price the role once pay data is bought</t>
        </is>
      </c>
      <c r="E97" s="84" t="n"/>
      <c r="F97" s="84" t="n"/>
      <c r="G97" s="84" t="n"/>
      <c r="H97" s="84" t="n"/>
      <c r="I97" s="84" t="n"/>
      <c r="J97" s="84" t="n"/>
      <c r="K97" s="84" t="n"/>
      <c r="L97" s="84" t="n"/>
      <c r="M97" s="84" t="n"/>
      <c r="N97" s="85" t="n"/>
    </row>
    <row r="98"/>
    <row r="99" ht="20" customHeight="1">
      <c r="A99" s="6" t="inlineStr">
        <is>
          <t>5. Charts — the shape of this population</t>
        </is>
      </c>
    </row>
    <row r="100">
      <c r="A100" s="32" t="inlineStr">
        <is>
          <t>People at each level, and how levels moved from the current structure. Built from the tables beside them.</t>
        </is>
      </c>
    </row>
    <row r="101">
      <c r="A101" s="8" t="inlineStr">
        <is>
          <t>Level</t>
        </is>
      </c>
      <c r="B101" s="8" t="inlineStr">
        <is>
          <t>People</t>
        </is>
      </c>
    </row>
    <row r="102">
      <c r="A102" s="10" t="inlineStr">
        <is>
          <t>A1</t>
        </is>
      </c>
      <c r="B102" s="34" t="n">
        <v>3</v>
      </c>
    </row>
    <row r="103">
      <c r="A103" s="10" t="inlineStr">
        <is>
          <t>A2</t>
        </is>
      </c>
      <c r="B103" s="34" t="n">
        <v>4</v>
      </c>
    </row>
    <row r="104">
      <c r="A104" s="10" t="inlineStr">
        <is>
          <t>A3</t>
        </is>
      </c>
      <c r="B104" s="34" t="n">
        <v>25</v>
      </c>
    </row>
    <row r="105">
      <c r="A105" s="10" t="inlineStr">
        <is>
          <t>B1</t>
        </is>
      </c>
      <c r="B105" s="34" t="n">
        <v>9</v>
      </c>
    </row>
    <row r="106">
      <c r="A106" s="10" t="inlineStr">
        <is>
          <t>B2</t>
        </is>
      </c>
      <c r="B106" s="34" t="n">
        <v>3</v>
      </c>
    </row>
    <row r="107">
      <c r="A107" s="10" t="inlineStr">
        <is>
          <t>B3</t>
        </is>
      </c>
      <c r="B107" s="34" t="n">
        <v>1</v>
      </c>
    </row>
    <row r="108">
      <c r="A108" s="10" t="inlineStr">
        <is>
          <t>B+</t>
        </is>
      </c>
      <c r="B108" s="34" t="n">
        <v>1</v>
      </c>
    </row>
    <row r="109">
      <c r="A109" s="10" t="inlineStr">
        <is>
          <t>D1</t>
        </is>
      </c>
      <c r="B109" s="34" t="n">
        <v>1</v>
      </c>
    </row>
    <row r="110"/>
    <row r="111"/>
    <row r="112"/>
    <row r="113"/>
    <row r="114"/>
    <row r="115"/>
    <row r="116"/>
    <row r="117"/>
    <row r="118"/>
    <row r="119"/>
    <row r="120">
      <c r="A120" s="8" t="inlineStr">
        <is>
          <t>Current ↓ / New →</t>
        </is>
      </c>
      <c r="B120" s="8" t="inlineStr">
        <is>
          <t>A1</t>
        </is>
      </c>
      <c r="C120" s="8" t="inlineStr">
        <is>
          <t>A2</t>
        </is>
      </c>
      <c r="D120" s="8" t="inlineStr">
        <is>
          <t>A3</t>
        </is>
      </c>
      <c r="E120" s="8" t="inlineStr">
        <is>
          <t>B1</t>
        </is>
      </c>
      <c r="F120" s="8" t="inlineStr">
        <is>
          <t>B2</t>
        </is>
      </c>
      <c r="G120" s="8" t="inlineStr">
        <is>
          <t>B3</t>
        </is>
      </c>
      <c r="H120" s="8" t="inlineStr">
        <is>
          <t>B+</t>
        </is>
      </c>
      <c r="I120" s="8" t="inlineStr">
        <is>
          <t>D1</t>
        </is>
      </c>
      <c r="J120" s="8" t="inlineStr">
        <is>
          <t>Total</t>
        </is>
      </c>
    </row>
    <row r="121">
      <c r="A121" s="10" t="inlineStr">
        <is>
          <t>L1</t>
        </is>
      </c>
      <c r="B121" s="34" t="n">
        <v>3</v>
      </c>
      <c r="C121" s="34" t="n"/>
      <c r="D121" s="34" t="n"/>
      <c r="E121" s="34" t="n"/>
      <c r="F121" s="34" t="n"/>
      <c r="G121" s="34" t="n"/>
      <c r="H121" s="34" t="n"/>
      <c r="I121" s="34" t="n"/>
      <c r="J121" s="34" t="n">
        <v>3</v>
      </c>
    </row>
    <row r="122">
      <c r="A122" s="10" t="inlineStr">
        <is>
          <t>L2</t>
        </is>
      </c>
      <c r="B122" s="34" t="n"/>
      <c r="C122" s="34" t="n">
        <v>2</v>
      </c>
      <c r="D122" s="34" t="n">
        <v>2</v>
      </c>
      <c r="E122" s="34" t="n"/>
      <c r="F122" s="34" t="n"/>
      <c r="G122" s="34" t="n"/>
      <c r="H122" s="34" t="n"/>
      <c r="I122" s="34" t="n"/>
      <c r="J122" s="34" t="n">
        <v>4</v>
      </c>
    </row>
    <row r="123">
      <c r="A123" s="10" t="inlineStr">
        <is>
          <t>L3</t>
        </is>
      </c>
      <c r="B123" s="34" t="n"/>
      <c r="C123" s="34" t="n">
        <v>2</v>
      </c>
      <c r="D123" s="34" t="n">
        <v>18</v>
      </c>
      <c r="E123" s="34" t="n">
        <v>2</v>
      </c>
      <c r="F123" s="34" t="n"/>
      <c r="G123" s="34" t="n"/>
      <c r="H123" s="34" t="n">
        <v>1</v>
      </c>
      <c r="I123" s="34" t="n"/>
      <c r="J123" s="34" t="n">
        <v>23</v>
      </c>
    </row>
    <row r="124">
      <c r="A124" s="10" t="inlineStr">
        <is>
          <t>L4</t>
        </is>
      </c>
      <c r="B124" s="34" t="n"/>
      <c r="C124" s="34" t="n"/>
      <c r="D124" s="34" t="n">
        <v>3</v>
      </c>
      <c r="E124" s="34" t="n">
        <v>4</v>
      </c>
      <c r="F124" s="34" t="n"/>
      <c r="G124" s="34" t="n"/>
      <c r="H124" s="34" t="n"/>
      <c r="I124" s="34" t="n"/>
      <c r="J124" s="34" t="n">
        <v>7</v>
      </c>
    </row>
    <row r="125">
      <c r="A125" s="10" t="inlineStr">
        <is>
          <t>L5</t>
        </is>
      </c>
      <c r="B125" s="34" t="n"/>
      <c r="C125" s="34" t="n"/>
      <c r="D125" s="34" t="n"/>
      <c r="E125" s="34" t="n">
        <v>2</v>
      </c>
      <c r="F125" s="34" t="n">
        <v>3</v>
      </c>
      <c r="G125" s="34" t="n">
        <v>1</v>
      </c>
      <c r="H125" s="34" t="n"/>
      <c r="I125" s="34" t="n"/>
      <c r="J125" s="34" t="n">
        <v>6</v>
      </c>
    </row>
    <row r="126">
      <c r="A126" s="10" t="inlineStr">
        <is>
          <t>L7</t>
        </is>
      </c>
      <c r="B126" s="34" t="n"/>
      <c r="C126" s="34" t="n"/>
      <c r="D126" s="34" t="n"/>
      <c r="E126" s="34" t="n"/>
      <c r="F126" s="34" t="n"/>
      <c r="G126" s="34" t="n"/>
      <c r="H126" s="34" t="n"/>
      <c r="I126" s="34" t="n">
        <v>1</v>
      </c>
      <c r="J126" s="34" t="n">
        <v>1</v>
      </c>
    </row>
    <row r="127">
      <c r="A127" s="10" t="inlineStr">
        <is>
          <t>Not mapped</t>
        </is>
      </c>
      <c r="B127" s="34" t="n"/>
      <c r="C127" s="34" t="n"/>
      <c r="D127" s="34" t="n">
        <v>2</v>
      </c>
      <c r="E127" s="34" t="n">
        <v>1</v>
      </c>
      <c r="F127" s="34" t="n"/>
      <c r="G127" s="34" t="n"/>
      <c r="H127" s="34" t="n"/>
      <c r="I127" s="34" t="n"/>
      <c r="J127" s="34" t="n">
        <v>3</v>
      </c>
    </row>
    <row r="128">
      <c r="A128" s="86" t="inlineStr">
        <is>
          <t>Total</t>
        </is>
      </c>
      <c r="B128" s="87" t="n">
        <v>3</v>
      </c>
      <c r="C128" s="87" t="n">
        <v>4</v>
      </c>
      <c r="D128" s="87" t="n">
        <v>25</v>
      </c>
      <c r="E128" s="87" t="n">
        <v>9</v>
      </c>
      <c r="F128" s="87" t="n">
        <v>3</v>
      </c>
      <c r="G128" s="87" t="n">
        <v>1</v>
      </c>
      <c r="H128" s="87" t="n">
        <v>1</v>
      </c>
      <c r="I128" s="87" t="n">
        <v>1</v>
      </c>
      <c r="J128" s="87" t="n">
        <v>47</v>
      </c>
    </row>
  </sheetData>
  <mergeCells count="206">
    <mergeCell ref="H53:I53"/>
    <mergeCell ref="M59:N59"/>
    <mergeCell ref="A89:C89"/>
    <mergeCell ref="F26:K26"/>
    <mergeCell ref="B22:C22"/>
    <mergeCell ref="K7:N7"/>
    <mergeCell ref="D22:E22"/>
    <mergeCell ref="L53:M53"/>
    <mergeCell ref="L28:M28"/>
    <mergeCell ref="A79:N79"/>
    <mergeCell ref="M60:N60"/>
    <mergeCell ref="A71:C71"/>
    <mergeCell ref="I16:J16"/>
    <mergeCell ref="J53:K53"/>
    <mergeCell ref="F27:K27"/>
    <mergeCell ref="D95:N95"/>
    <mergeCell ref="D10:J10"/>
    <mergeCell ref="A91:C91"/>
    <mergeCell ref="G18:H18"/>
    <mergeCell ref="H52:I52"/>
    <mergeCell ref="I18:J18"/>
    <mergeCell ref="D70:N70"/>
    <mergeCell ref="M16:N16"/>
    <mergeCell ref="D97:N97"/>
    <mergeCell ref="L29:M29"/>
    <mergeCell ref="A93:C93"/>
    <mergeCell ref="B45:G45"/>
    <mergeCell ref="D72:N72"/>
    <mergeCell ref="A77:C77"/>
    <mergeCell ref="A17:B17"/>
    <mergeCell ref="D11:J11"/>
    <mergeCell ref="C17:D17"/>
    <mergeCell ref="D71:N71"/>
    <mergeCell ref="F29:K29"/>
    <mergeCell ref="M17:N17"/>
    <mergeCell ref="B47:G47"/>
    <mergeCell ref="B24:C24"/>
    <mergeCell ref="F25:K25"/>
    <mergeCell ref="D24:E24"/>
    <mergeCell ref="M62:N62"/>
    <mergeCell ref="A19:B19"/>
    <mergeCell ref="B51:C51"/>
    <mergeCell ref="A100:N100"/>
    <mergeCell ref="C19:D19"/>
    <mergeCell ref="D51:E51"/>
    <mergeCell ref="D73:N73"/>
    <mergeCell ref="B26:C26"/>
    <mergeCell ref="A69:C69"/>
    <mergeCell ref="D26:E26"/>
    <mergeCell ref="B63:L63"/>
    <mergeCell ref="F24:K24"/>
    <mergeCell ref="A34:N34"/>
    <mergeCell ref="B25:C25"/>
    <mergeCell ref="D9:J9"/>
    <mergeCell ref="F54:G54"/>
    <mergeCell ref="A75:C75"/>
    <mergeCell ref="H54:I54"/>
    <mergeCell ref="A83:N83"/>
    <mergeCell ref="D90:N90"/>
    <mergeCell ref="A12:C12"/>
    <mergeCell ref="B27:C27"/>
    <mergeCell ref="H48:N48"/>
    <mergeCell ref="A95:C95"/>
    <mergeCell ref="A1:N1"/>
    <mergeCell ref="K13:N13"/>
    <mergeCell ref="F23:K23"/>
    <mergeCell ref="D77:N77"/>
    <mergeCell ref="A37:B37"/>
    <mergeCell ref="A65:N65"/>
    <mergeCell ref="A97:C97"/>
    <mergeCell ref="B53:C53"/>
    <mergeCell ref="B61:L61"/>
    <mergeCell ref="A96:C96"/>
    <mergeCell ref="L30:M30"/>
    <mergeCell ref="D53:E53"/>
    <mergeCell ref="A80:N80"/>
    <mergeCell ref="D75:N75"/>
    <mergeCell ref="A3:N3"/>
    <mergeCell ref="A13:C13"/>
    <mergeCell ref="B29:C29"/>
    <mergeCell ref="C38:N38"/>
    <mergeCell ref="A21:N21"/>
    <mergeCell ref="A67:C67"/>
    <mergeCell ref="A5:N5"/>
    <mergeCell ref="A32:N32"/>
    <mergeCell ref="I17:J17"/>
    <mergeCell ref="L22:M22"/>
    <mergeCell ref="A73:C73"/>
    <mergeCell ref="K17:L17"/>
    <mergeCell ref="E16:F16"/>
    <mergeCell ref="G16:H16"/>
    <mergeCell ref="D29:E29"/>
    <mergeCell ref="I19:J19"/>
    <mergeCell ref="D23:E23"/>
    <mergeCell ref="J51:K51"/>
    <mergeCell ref="K19:L19"/>
    <mergeCell ref="A43:N43"/>
    <mergeCell ref="M63:N63"/>
    <mergeCell ref="C18:D18"/>
    <mergeCell ref="D89:N89"/>
    <mergeCell ref="A7:C7"/>
    <mergeCell ref="E18:F18"/>
    <mergeCell ref="F30:K30"/>
    <mergeCell ref="K16:L16"/>
    <mergeCell ref="A40:N40"/>
    <mergeCell ref="B54:C54"/>
    <mergeCell ref="D88:N88"/>
    <mergeCell ref="D12:J12"/>
    <mergeCell ref="A82:N82"/>
    <mergeCell ref="A36:B36"/>
    <mergeCell ref="K10:N10"/>
    <mergeCell ref="B52:C52"/>
    <mergeCell ref="B58:L58"/>
    <mergeCell ref="A6:N6"/>
    <mergeCell ref="D52:E52"/>
    <mergeCell ref="F28:K28"/>
    <mergeCell ref="L24:M24"/>
    <mergeCell ref="D27:E27"/>
    <mergeCell ref="B60:L60"/>
    <mergeCell ref="D76:N76"/>
    <mergeCell ref="A84:N84"/>
    <mergeCell ref="K9:N9"/>
    <mergeCell ref="A66:N66"/>
    <mergeCell ref="B57:L57"/>
    <mergeCell ref="A72:C72"/>
    <mergeCell ref="L26:M26"/>
    <mergeCell ref="D91:N91"/>
    <mergeCell ref="H44:N44"/>
    <mergeCell ref="A50:N50"/>
    <mergeCell ref="A2:N2"/>
    <mergeCell ref="C37:N37"/>
    <mergeCell ref="K11:N11"/>
    <mergeCell ref="B28:C28"/>
    <mergeCell ref="A86:N86"/>
    <mergeCell ref="L25:M25"/>
    <mergeCell ref="D28:E28"/>
    <mergeCell ref="D93:N93"/>
    <mergeCell ref="H46:N46"/>
    <mergeCell ref="D25:E25"/>
    <mergeCell ref="B30:C30"/>
    <mergeCell ref="A38:B38"/>
    <mergeCell ref="L52:M52"/>
    <mergeCell ref="D30:E30"/>
    <mergeCell ref="D92:N92"/>
    <mergeCell ref="D7:J7"/>
    <mergeCell ref="A88:C88"/>
    <mergeCell ref="D67:N67"/>
    <mergeCell ref="A70:C70"/>
    <mergeCell ref="H45:N45"/>
    <mergeCell ref="K8:N8"/>
    <mergeCell ref="A81:N81"/>
    <mergeCell ref="D54:E54"/>
    <mergeCell ref="J52:K52"/>
    <mergeCell ref="K18:L18"/>
    <mergeCell ref="D94:N94"/>
    <mergeCell ref="M58:N58"/>
    <mergeCell ref="A90:C90"/>
    <mergeCell ref="D69:N69"/>
    <mergeCell ref="H47:N47"/>
    <mergeCell ref="B62:L62"/>
    <mergeCell ref="D8:J8"/>
    <mergeCell ref="A15:N15"/>
    <mergeCell ref="B59:L59"/>
    <mergeCell ref="A74:C74"/>
    <mergeCell ref="E17:F17"/>
    <mergeCell ref="B44:G44"/>
    <mergeCell ref="G17:H17"/>
    <mergeCell ref="A76:C76"/>
    <mergeCell ref="A16:B16"/>
    <mergeCell ref="C16:D16"/>
    <mergeCell ref="D96:N96"/>
    <mergeCell ref="F22:K22"/>
    <mergeCell ref="A8:C8"/>
    <mergeCell ref="E19:F19"/>
    <mergeCell ref="F51:G51"/>
    <mergeCell ref="C36:N36"/>
    <mergeCell ref="G19:H19"/>
    <mergeCell ref="B23:C23"/>
    <mergeCell ref="H51:I51"/>
    <mergeCell ref="L23:M23"/>
    <mergeCell ref="A99:N99"/>
    <mergeCell ref="A18:B18"/>
    <mergeCell ref="A10:C10"/>
    <mergeCell ref="A56:N56"/>
    <mergeCell ref="A68:C68"/>
    <mergeCell ref="L51:M51"/>
    <mergeCell ref="J54:K54"/>
    <mergeCell ref="L54:M54"/>
    <mergeCell ref="A9:C9"/>
    <mergeCell ref="A92:C92"/>
    <mergeCell ref="A85:N85"/>
    <mergeCell ref="A42:N42"/>
    <mergeCell ref="D13:J13"/>
    <mergeCell ref="M61:N61"/>
    <mergeCell ref="F52:G52"/>
    <mergeCell ref="M57:N57"/>
    <mergeCell ref="A11:C11"/>
    <mergeCell ref="B46:G46"/>
    <mergeCell ref="A35:N35"/>
    <mergeCell ref="D74:N74"/>
    <mergeCell ref="A94:C94"/>
    <mergeCell ref="D68:N68"/>
    <mergeCell ref="K12:N12"/>
    <mergeCell ref="L27:M27"/>
    <mergeCell ref="B48:G48"/>
    <mergeCell ref="F53:G53"/>
  </mergeCells>
  <conditionalFormatting sqref="B121:I127">
    <cfRule type="colorScale" priority="1">
      <colorScale>
        <cfvo type="num" val="0"/>
        <cfvo type="max"/>
        <color rgb="00FFFFFF"/>
        <color rgb="002E75B6"/>
      </colorScale>
    </cfRule>
  </conditionalFormatting>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6"/>
</worksheet>
</file>

<file path=xl/worksheets/sheet3.xml><?xml version="1.0" encoding="utf-8"?>
<worksheet xmlns="http://schemas.openxmlformats.org/spreadsheetml/2006/main">
  <sheetPr>
    <tabColor rgb="002E75B6"/>
    <outlinePr summaryBelow="1" summaryRight="1"/>
    <pageSetUpPr fitToPage="1"/>
  </sheetPr>
  <dimension ref="A1:AG53"/>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6" customWidth="1" min="3" max="3"/>
    <col width="22" customWidth="1" min="4" max="4"/>
    <col width="26" customWidth="1" min="5" max="5"/>
    <col width="18" customWidth="1" min="6" max="6"/>
    <col width="22" customWidth="1" min="7" max="7"/>
    <col width="11" customWidth="1" min="8" max="8"/>
    <col width="11" customWidth="1" min="9" max="9"/>
    <col width="8" customWidth="1" min="10" max="10"/>
    <col width="16" customWidth="1" min="11" max="11"/>
    <col width="12" customWidth="1" min="12" max="12"/>
    <col width="2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9" customWidth="1" min="21" max="21"/>
    <col width="62" customWidth="1" min="22" max="22"/>
    <col width="74" customWidth="1" min="23" max="23"/>
    <col width="42" customWidth="1" min="24" max="24"/>
    <col width="36" customWidth="1" min="25" max="25"/>
    <col width="42" customWidth="1" min="26" max="26"/>
    <col width="34" customWidth="1" min="27" max="27"/>
    <col width="40" customWidth="1" min="28" max="28"/>
    <col width="12" customWidth="1" min="29" max="29"/>
    <col width="34" customWidth="1" min="30" max="30"/>
    <col width="36" customWidth="1" min="31" max="31"/>
    <col hidden="1" width="6" customWidth="1" min="32" max="32"/>
    <col width="13" customWidth="1" min="33" max="33"/>
  </cols>
  <sheetData>
    <row r="1" ht="34" customHeight="1">
      <c r="A1" s="1" t="inlineStr">
        <is>
          <t>People &amp; Levels — every placement, with its full reasoning</t>
        </is>
      </c>
      <c r="AG1" s="95" t="inlineStr">
        <is>
          <t>◂ Start Here</t>
        </is>
      </c>
    </row>
    <row r="2" ht="30" customHeight="1">
      <c r="A2" s="3" t="inlineStr">
        <is>
          <r>
            <rPr>
              <rFont val="Calibri"/>
              <b val="1"/>
              <i val="1"/>
              <color rgb="00404040"/>
              <sz val="10"/>
            </rPr>
            <t>Sheet 2 · Read left to right:</t>
          </r>
          <r>
            <rPr>
              <rFont val="Calibri"/>
              <i val="1"/>
              <color rgb="00404040"/>
              <sz val="10"/>
            </rPr>
            <t xml:space="preserve"> the person → role before and after → six ratings and the score, live from the Weightage Matrix → why this level · the weights, the rules applied, each factor's rating with its starting point and evidence → the market comparison → the data behind it, points for attention and inputs still needed → your validation · yellow.</t>
          </r>
        </is>
      </c>
    </row>
    <row r="3">
      <c r="A3" s="4" t="inlineStr">
        <is>
          <t>IRIS · Job Architecture &amp; Job Design · Final v1.12 · October 2026 · Internal — Confidential</t>
        </is>
      </c>
    </row>
    <row r="4" ht="30" customHeight="1">
      <c r="A4" s="47" t="inlineStr">
        <is>
          <t>Section colours: each column group has its own header colour and a matching light tint</t>
        </is>
      </c>
      <c r="E4" s="48" t="inlineStr">
        <is>
          <t>Changed vs current · designation or level</t>
        </is>
      </c>
      <c r="F4" s="49" t="inlineStr">
        <is>
          <t>Level up</t>
        </is>
      </c>
      <c r="G4" s="50" t="inlineStr">
        <is>
          <t>Level down — pay &amp; title protected</t>
        </is>
      </c>
      <c r="H4" s="51" t="inlineStr">
        <is>
          <t>Newly mapped</t>
        </is>
      </c>
      <c r="J4" s="53" t="inlineStr">
        <is>
          <t>Player-Coach · B+ · C+</t>
        </is>
      </c>
      <c r="L4" s="55" t="inlineStr">
        <is>
          <t>RED = critical input needed · could change or confirm the level</t>
        </is>
      </c>
      <c r="N4" s="57" t="inlineStr">
        <is>
          <t>YELLOW = to complete in validation</t>
        </is>
      </c>
    </row>
    <row r="5" ht="30" customHeight="1">
      <c r="A5" s="59" t="inlineStr">
        <is>
          <t>PERSON</t>
        </is>
      </c>
      <c r="D5" s="60" t="inlineStr">
        <is>
          <t>ROLE — BEFORE → AFTER</t>
        </is>
      </c>
      <c r="M5" s="61" t="inlineStr">
        <is>
          <t>WEIGHTAGE — six ratings × the Weightage Matrix = the score, live</t>
        </is>
      </c>
      <c r="V5" s="62" t="inlineStr">
        <is>
          <t>WHY THIS LEVEL — the full reasoning</t>
        </is>
      </c>
      <c r="Y5" s="63" t="inlineStr">
        <is>
          <t>EVIDENCE, FLAGS &amp; INPUTS</t>
        </is>
      </c>
      <c r="AC5" s="64" t="inlineStr">
        <is>
          <t>YOUR VALIDATION</t>
        </is>
      </c>
    </row>
    <row r="6" ht="44" customHeight="1">
      <c r="A6" s="65" t="inlineStr">
        <is>
          <t>Emp ID</t>
        </is>
      </c>
      <c r="B6" s="65" t="inlineStr">
        <is>
          <t>Employee name</t>
        </is>
      </c>
      <c r="C6" s="65" t="inlineStr">
        <is>
          <t>Department</t>
        </is>
      </c>
      <c r="D6" s="8" t="inlineStr">
        <is>
          <t>Current designation</t>
        </is>
      </c>
      <c r="E6" s="8" t="inlineStr">
        <is>
          <t>New designation</t>
        </is>
      </c>
      <c r="F6" s="8" t="inlineStr">
        <is>
          <t>Job family</t>
        </is>
      </c>
      <c r="G6" s="8" t="inlineStr">
        <is>
          <t>Sub-family</t>
        </is>
      </c>
      <c r="H6" s="8" t="inlineStr">
        <is>
          <t>Track</t>
        </is>
      </c>
      <c r="I6" s="8" t="inlineStr">
        <is>
          <t>Current level</t>
        </is>
      </c>
      <c r="J6" s="8" t="inlineStr">
        <is>
          <t>NEW LEVEL</t>
        </is>
      </c>
      <c r="K6" s="8" t="inlineStr">
        <is>
          <t>Level title</t>
        </is>
      </c>
      <c r="L6" s="8" t="inlineStr">
        <is>
          <t>Change vs current</t>
        </is>
      </c>
      <c r="M6" s="66" t="inlineStr">
        <is>
          <t>Weight row — Weightage Matrix</t>
        </is>
      </c>
      <c r="N6" s="66" t="inlineStr">
        <is>
          <t>Complexity rating</t>
        </is>
      </c>
      <c r="O6" s="66" t="inlineStr">
        <is>
          <t>Autonomy rating</t>
        </is>
      </c>
      <c r="P6" s="66" t="inlineStr">
        <is>
          <t>Accountab. rating</t>
        </is>
      </c>
      <c r="Q6" s="66" t="inlineStr">
        <is>
          <t>Leadership rating</t>
        </is>
      </c>
      <c r="R6" s="66" t="inlineStr">
        <is>
          <t>Exp + Qual rating</t>
        </is>
      </c>
      <c r="S6" s="66" t="inlineStr">
        <is>
          <t>Bus. Impact rating</t>
        </is>
      </c>
      <c r="T6" s="66" t="inlineStr">
        <is>
          <t>Score</t>
        </is>
      </c>
      <c r="U6" s="66" t="inlineStr">
        <is>
          <t>Level the score indicates</t>
        </is>
      </c>
      <c r="V6" s="67" t="inlineStr">
        <is>
          <t>Why this level</t>
        </is>
      </c>
      <c r="W6" s="67" t="inlineStr">
        <is>
          <t>How each factor was rated · rating of 12 — starting point and evidence</t>
        </is>
      </c>
      <c r="X6" s="67" t="inlineStr">
        <is>
          <t>Market comparison</t>
        </is>
      </c>
      <c r="Y6" s="68" t="inlineStr">
        <is>
          <t>Data behind the placement</t>
        </is>
      </c>
      <c r="Z6" s="68" t="inlineStr">
        <is>
          <t>Points for your attention</t>
        </is>
      </c>
      <c r="AA6" s="68" t="inlineStr">
        <is>
          <t>Input still needed — and who provides it</t>
        </is>
      </c>
      <c r="AB6" s="68" t="inlineStr">
        <is>
          <t>Business impact — from survey and data</t>
        </is>
      </c>
      <c r="AC6" s="69" t="inlineStr">
        <is>
          <t>Your view</t>
        </is>
      </c>
      <c r="AD6" s="69" t="inlineStr">
        <is>
          <t>If change: proposed level / designation, and why</t>
        </is>
      </c>
      <c r="AE6" s="69" t="inlineStr">
        <is>
          <t>Business impact of this person — your view</t>
        </is>
      </c>
      <c r="AF6" s="69" t="inlineStr">
        <is>
          <t>Bus. Impact — model start</t>
        </is>
      </c>
    </row>
    <row r="7" ht="353" customHeight="1">
      <c r="A7" s="12" t="inlineStr">
        <is>
          <t>IRIS2511</t>
        </is>
      </c>
      <c r="B7" s="10" t="inlineStr">
        <is>
          <t>Muskan Jain</t>
        </is>
      </c>
      <c r="C7" s="12" t="inlineStr">
        <is>
          <t>Marketing</t>
        </is>
      </c>
      <c r="D7" s="12" t="inlineStr">
        <is>
          <t>Marketing Associate</t>
        </is>
      </c>
      <c r="E7" s="70" t="inlineStr">
        <is>
          <t>Content Marketing Associate</t>
        </is>
      </c>
      <c r="F7" s="12" t="inlineStr">
        <is>
          <t>Marketing &amp; Communications</t>
        </is>
      </c>
      <c r="G7" s="12" t="inlineStr">
        <is>
          <t>Content Marketing</t>
        </is>
      </c>
      <c r="H7" s="12" t="inlineStr">
        <is>
          <t>IC</t>
        </is>
      </c>
      <c r="I7" s="34" t="inlineStr">
        <is>
          <t>L3 – Professional / Associate</t>
        </is>
      </c>
      <c r="J7" s="16" t="inlineStr">
        <is>
          <t>A2</t>
        </is>
      </c>
      <c r="K7" s="17" t="inlineStr">
        <is>
          <t>Associate</t>
        </is>
      </c>
      <c r="L7" s="71" t="inlineStr">
        <is>
          <t>• Same level</t>
        </is>
      </c>
      <c r="M7" s="12" t="inlineStr">
        <is>
          <t>iDEAL · Marketing · Band A · Early career</t>
        </is>
      </c>
      <c r="N7" s="34" t="n">
        <v>2</v>
      </c>
      <c r="O7" s="34" t="n">
        <v>2</v>
      </c>
      <c r="P7" s="34" t="n">
        <v>2.5</v>
      </c>
      <c r="Q7" s="34" t="n">
        <v>1</v>
      </c>
      <c r="R7" s="34" t="n">
        <v>2</v>
      </c>
      <c r="S7" s="72" t="n">
        <v>2.5</v>
      </c>
      <c r="T7" s="73">
        <f>IF(OR($M7="",COUNT(N7,O7,P7,Q7,R7,S7)&lt;6),"",IFERROR(N7*INDEX(WM_C,MATCH($M7,WM_KEY,0))+O7*INDEX(WM_AU,MATCH($M7,WM_KEY,0))+P7*INDEX(WM_AC,MATCH($M7,WM_KEY,0))+Q7*INDEX(WM_L,MATCH($M7,WM_KEY,0))+R7*INDEX(WM_E,MATCH($M7,WM_KEY,0))+S7*INDEX(WM_BI,MATCH($M7,WM_KEY,0)),""))</f>
        <v>2.075</v>
      </c>
      <c r="U7" s="34" t="str">
        <f>IF(T7="","",INDEX({"A1","A2","A3","B1","B2","B3","C1","C2","D1","D2","E1","E2"},MAX(1,MIN(12,ROUND(T7,0)))))</f>
        <v>A2</v>
      </c>
      <c r="V7" s="12" t="inlineStr">
        <is>
          <r>
            <rPr>
              <rFont val="Calibri"/>
              <sz val="10"/>
            </rPr>
            <t xml:space="preserve">New level A2 · Associate. Current level on record: L3 – Professional / Associate. Change: • Same level.
Score 2.08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 s="12" t="inlineStr">
        <is>
          <r>
            <rPr>
              <rFont val="Calibri"/>
              <b val="1"/>
              <sz val="10"/>
            </rPr>
            <t>Complexity &amp; Expertise:</t>
          </r>
          <r>
            <rPr>
              <rFont val="Calibri"/>
              <sz val="10"/>
            </rPr>
            <t xml:space="preserve"> 2 of 12 — Start: 2.0 · practitioner title; Evidence reads like A2: Writes blogs, ebooks, infographics, decks and brochures and optimises content for iDEAL's bank audience → matches the start
</t>
          </r>
          <r>
            <rPr>
              <rFont val="Calibri"/>
              <b val="1"/>
              <sz val="10"/>
            </rPr>
            <t>Autonomy &amp; Decision:</t>
          </r>
          <r>
            <rPr>
              <rFont val="Calibri"/>
              <sz val="10"/>
            </rPr>
            <t xml:space="preserve"> 2 of 12 — Start: 2.0 · practitioner title; Evidence reads like A2: Decides own calendars, trackers and decks → matches the start
</t>
          </r>
          <r>
            <rPr>
              <rFont val="Calibri"/>
              <b val="1"/>
              <sz val="10"/>
            </rPr>
            <t>Accountability &amp; Impact:</t>
          </r>
          <r>
            <rPr>
              <rFont val="Calibri"/>
              <sz val="10"/>
            </rPr>
            <t xml:space="preserve"> 2.5 of 12 · between A2 and A3 — Start: 2.0 · practitioner title; Evidence reads like A3: Accountable for all bank / financial-institution content: website, social media, client decks → moved up 0.5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 of 12 — Experience: 0.4 yrs total · 0.4 at IRIS; none recorded before IRIS = 1.4 on the experience scale; Qualification: PGDM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7" s="12"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Y7" s="12" t="inlineStr">
        <is>
          <r>
            <rPr>
              <rFont val="Calibri"/>
              <sz val="10"/>
            </rPr>
            <t xml:space="preserve">✓ HRIS: 0.4 yrs, PGDM, 0 direct reports
✓ Survey: 20 of 20 questions answered
✓ KRAs: reported deliverables
✓ Manager mapping: rating, potential, 9-box
✓ Job description
</t>
          </r>
          <r>
            <rPr>
              <rFont val="Calibri"/>
              <b val="1"/>
              <sz val="10"/>
            </rPr>
            <t>Confidence:</t>
          </r>
          <r>
            <rPr>
              <rFont val="Calibri"/>
              <sz val="10"/>
            </rPr>
            <t xml:space="preserve"> High</t>
          </r>
        </is>
      </c>
      <c r="Z7" s="12" t="inlineStr">
        <is>
          <t>—</t>
        </is>
      </c>
      <c r="AA7" s="12" t="inlineStr">
        <is>
          <t>Nothing outstanding</t>
        </is>
      </c>
      <c r="AB7"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ranking.
Manager talent mapping — Latest rating: Not rated · manager · Potential: Medium · 9-Box Grid placement: Core Contributor.</t>
          </r>
        </is>
      </c>
      <c r="AC7" s="74" t="n"/>
      <c r="AD7" s="74" t="n"/>
      <c r="AE7" s="74" t="n"/>
      <c r="AF7" s="12" t="n">
        <v>2.5</v>
      </c>
    </row>
    <row r="8" ht="353" customHeight="1">
      <c r="A8" s="12" t="inlineStr">
        <is>
          <t>IRIS0971</t>
        </is>
      </c>
      <c r="B8" s="10" t="inlineStr">
        <is>
          <t>Dnyaneshwar Daund</t>
        </is>
      </c>
      <c r="C8" s="12" t="inlineStr">
        <is>
          <t>Product Management</t>
        </is>
      </c>
      <c r="D8" s="12" t="inlineStr">
        <is>
          <t>Product Manager</t>
        </is>
      </c>
      <c r="E8" s="12" t="inlineStr">
        <is>
          <t>Product Manager</t>
        </is>
      </c>
      <c r="F8" s="12" t="inlineStr">
        <is>
          <t>Product Management</t>
        </is>
      </c>
      <c r="G8" s="12" t="inlineStr">
        <is>
          <t>Product Management</t>
        </is>
      </c>
      <c r="H8" s="12" t="inlineStr">
        <is>
          <t>People Manager</t>
        </is>
      </c>
      <c r="I8" s="34" t="inlineStr">
        <is>
          <t>L5 – Manager</t>
        </is>
      </c>
      <c r="J8" s="20" t="inlineStr">
        <is>
          <t>B2</t>
        </is>
      </c>
      <c r="K8" s="21" t="inlineStr">
        <is>
          <t>Manager</t>
        </is>
      </c>
      <c r="L8" s="71" t="inlineStr">
        <is>
          <t>• Same level</t>
        </is>
      </c>
      <c r="M8" s="12" t="inlineStr">
        <is>
          <t>iDEAL · Product Management · Band B · People Manager</t>
        </is>
      </c>
      <c r="N8" s="34" t="n">
        <v>4.5</v>
      </c>
      <c r="O8" s="34" t="n">
        <v>4.5</v>
      </c>
      <c r="P8" s="34" t="n">
        <v>5</v>
      </c>
      <c r="Q8" s="34" t="n">
        <v>4</v>
      </c>
      <c r="R8" s="34" t="n">
        <v>9</v>
      </c>
      <c r="S8" s="72" t="n">
        <v>5</v>
      </c>
      <c r="T8" s="73">
        <f>IF(OR($M8="",COUNT(N8,O8,P8,Q8,R8,S8)&lt;6),"",IFERROR(N8*INDEX(WM_C,MATCH($M8,WM_KEY,0))+O8*INDEX(WM_AU,MATCH($M8,WM_KEY,0))+P8*INDEX(WM_AC,MATCH($M8,WM_KEY,0))+Q8*INDEX(WM_L,MATCH($M8,WM_KEY,0))+R8*INDEX(WM_E,MATCH($M8,WM_KEY,0))+S8*INDEX(WM_BI,MATCH($M8,WM_KEY,0)),""))</f>
        <v>4.975</v>
      </c>
      <c r="U8" s="34" t="str">
        <f>IF(T8="","",INDEX({"A1","A2","A3","B1","B2","B3","C1","C2","D1","D2","E1","E2"},MAX(1,MIN(12,ROUND(T8,0)))))</f>
        <v>B2</v>
      </c>
      <c r="V8" s="12" t="inlineStr">
        <is>
          <r>
            <rPr>
              <rFont val="Calibri"/>
              <sz val="10"/>
            </rPr>
            <t xml:space="preserve">New level B2 · Manager. Current level on record: L5 – Manager. Change: • Same level.
Score 4.97 on the ladder scale → indicated level B2.
</t>
          </r>
          <r>
            <rPr>
              <rFont val="Calibri"/>
              <b val="1"/>
              <sz val="10"/>
            </rPr>
            <t>Weights:</t>
          </r>
          <r>
            <rPr>
              <rFont val="Calibri"/>
              <sz val="10"/>
            </rPr>
            <t xml:space="preserve"> Complexity 32% · Autonomy 23%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 s="12" t="inlineStr">
        <is>
          <r>
            <rPr>
              <rFont val="Calibri"/>
              <b val="1"/>
              <sz val="10"/>
            </rPr>
            <t>Complexity &amp; Expertise:</t>
          </r>
          <r>
            <rPr>
              <rFont val="Calibri"/>
              <sz val="10"/>
            </rPr>
            <t xml:space="preserve"> 4.5 of 12 · between B1 and B2 — Start: 5.0 · manager / senior specialist title; Evidence reads like B1: Researches regulatory mandates, translates them into product requirements, delivers and implements across several regions → moved down 0.5; KRA: “1. Manage CIMS Report development and delivery with less than 4 defects/ Escalations in a year 2. Manage EBR Report development and…”
</t>
          </r>
          <r>
            <rPr>
              <rFont val="Calibri"/>
              <b val="1"/>
              <sz val="10"/>
            </rPr>
            <t>Autonomy &amp; Decision:</t>
          </r>
          <r>
            <rPr>
              <rFont val="Calibri"/>
              <sz val="10"/>
            </rPr>
            <t xml:space="preserve"> 4.5 of 12 · between B1 and B2 — Start: 5.0 · manager / senior specialist title; Evidence reads like B1: Decides on new mandate research and iDEAL opportunities; work prioritisation and client problem-solving → moved down 0.5
</t>
          </r>
          <r>
            <rPr>
              <rFont val="Calibri"/>
              <b val="1"/>
              <sz val="10"/>
            </rPr>
            <t>Accountability &amp; Impact:</t>
          </r>
          <r>
            <rPr>
              <rFont val="Calibri"/>
              <sz val="10"/>
            </rPr>
            <t xml:space="preserve"> 5 of 12 — Start: 4.5 · manager / senior specialist title; 5 direct reports, 6 people below; Evidence reads like B2: Accountable for on-time delivery and implementation, report accuracy and the team's support quality → moved up 0.5; KRA: “1. Manage CIMS Report development and delivery with less than 4 defects/ Escalations in a year 2. Manage EBR Report development and…”
</t>
          </r>
          <r>
            <rPr>
              <rFont val="Calibri"/>
              <b val="1"/>
              <sz val="10"/>
            </rPr>
            <t>Leadership &amp; Strategy:</t>
          </r>
          <r>
            <rPr>
              <rFont val="Calibri"/>
              <sz val="10"/>
            </rPr>
            <t xml:space="preserve"> 4 of 12 — Start: 4.0; Evidence reads like B1: Team management and grooming listed; five direct reports → matches the start; Team: 5 direct reports · People Manager
</t>
          </r>
          <r>
            <rPr>
              <rFont val="Calibri"/>
              <b val="1"/>
              <sz val="10"/>
            </rPr>
            <t>Experience &amp; Qualification:</t>
          </r>
          <r>
            <rPr>
              <rFont val="Calibri"/>
              <sz val="10"/>
            </rPr>
            <t xml:space="preserve"> 9 of 12 — Experience: 16.2 yrs total · 1.2 before IRIS + 15.0 at IRIS = 8.6 on the experience scale; Qualification: MMS · postgraduate, relevant to the work → +0.5
</t>
          </r>
          <r>
            <rPr>
              <rFont val="Calibri"/>
              <b val="1"/>
              <sz val="10"/>
            </rPr>
            <t>Business Impact:</t>
          </r>
          <r>
            <rPr>
              <rFont val="Calibri"/>
              <sz val="10"/>
            </rPr>
            <t xml:space="preserve"> 5 of 12 — a starting estimate. —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r>
        </is>
      </c>
      <c r="X8"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Y8" s="12" t="inlineStr">
        <is>
          <r>
            <rPr>
              <rFont val="Calibri"/>
              <sz val="10"/>
            </rPr>
            <t xml:space="preserve">✓ HRIS: 16.2 yrs, MMS, 5 direct reports
✓ Survey: 20 of 20 questions answered
✓ KRAs: self, manager-set, quarterly
✓ Manager mapping: rating, 9-box — filled from talent-mapping files: rating · tentative Q1
✗ Job description: not on file
</t>
          </r>
          <r>
            <rPr>
              <rFont val="Calibri"/>
              <b val="1"/>
              <sz val="10"/>
            </rPr>
            <t>Confidence:</t>
          </r>
          <r>
            <rPr>
              <rFont val="Calibri"/>
              <sz val="10"/>
            </rPr>
            <t xml:space="preserve"> High</t>
          </r>
        </is>
      </c>
      <c r="Z8" s="12" t="inlineStr">
        <is>
          <t>—</t>
        </is>
      </c>
      <c r="AA8" s="12" t="inlineStr">
        <is>
          <t>Nothing outstanding</t>
        </is>
      </c>
      <c r="AB8"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5 direct reports.
</t>
          </r>
          <r>
            <rPr>
              <rFont val="Calibri"/>
              <b val="1"/>
              <sz val="10"/>
            </rPr>
            <t>If the work is missed · role-holders' themes:</t>
          </r>
          <r>
            <rPr>
              <rFont val="Calibri"/>
              <sz val="10"/>
            </rPr>
            <t xml:space="preserve"> delays · client · revenue.
</t>
          </r>
          <r>
            <rPr>
              <rFont val="Calibri"/>
              <b val="1"/>
              <sz val="10"/>
            </rPr>
            <t>Measured on · manager-set KRA themes:</t>
          </r>
          <r>
            <rPr>
              <rFont val="Calibri"/>
              <sz val="10"/>
            </rPr>
            <t xml:space="preserve"> development participation · cash · market requirements · tech learning · support organizational · profitability.
Manager talent mapping — Latest rating: 5 · 9-Box Grid placement: Not placed · manager.</t>
          </r>
        </is>
      </c>
      <c r="AC8" s="74" t="n"/>
      <c r="AD8" s="74" t="n"/>
      <c r="AE8" s="74" t="n"/>
      <c r="AF8" s="12" t="n">
        <v>5</v>
      </c>
    </row>
    <row r="9" ht="353" customHeight="1">
      <c r="A9" s="12" t="inlineStr">
        <is>
          <t>IRIS1158</t>
        </is>
      </c>
      <c r="B9" s="10" t="inlineStr">
        <is>
          <t>Yuvraj Kharchane</t>
        </is>
      </c>
      <c r="C9" s="12" t="inlineStr">
        <is>
          <t>Product Management</t>
        </is>
      </c>
      <c r="D9" s="12" t="inlineStr">
        <is>
          <t>Product Manager</t>
        </is>
      </c>
      <c r="E9" s="12" t="inlineStr">
        <is>
          <t>Product Manager</t>
        </is>
      </c>
      <c r="F9" s="12" t="inlineStr">
        <is>
          <t>Product Management</t>
        </is>
      </c>
      <c r="G9" s="12" t="inlineStr">
        <is>
          <t>Product Management</t>
        </is>
      </c>
      <c r="H9" s="12" t="inlineStr">
        <is>
          <t>People Manager</t>
        </is>
      </c>
      <c r="I9" s="34" t="inlineStr">
        <is>
          <t>L5 – Manager</t>
        </is>
      </c>
      <c r="J9" s="20" t="inlineStr">
        <is>
          <t>B2</t>
        </is>
      </c>
      <c r="K9" s="21" t="inlineStr">
        <is>
          <t>Manager</t>
        </is>
      </c>
      <c r="L9" s="71" t="inlineStr">
        <is>
          <t>• Same level</t>
        </is>
      </c>
      <c r="M9" s="12" t="inlineStr">
        <is>
          <t>iDEAL · Product Management · Band B · People Manager</t>
        </is>
      </c>
      <c r="N9" s="34" t="n">
        <v>5</v>
      </c>
      <c r="O9" s="34" t="n">
        <v>5</v>
      </c>
      <c r="P9" s="34" t="n">
        <v>5</v>
      </c>
      <c r="Q9" s="34" t="n">
        <v>4.5</v>
      </c>
      <c r="R9" s="34" t="n">
        <v>8.5</v>
      </c>
      <c r="S9" s="72" t="n">
        <v>5.5</v>
      </c>
      <c r="T9" s="73">
        <f>IF(OR($M9="",COUNT(N9,O9,P9,Q9,R9,S9)&lt;6),"",IFERROR(N9*INDEX(WM_C,MATCH($M9,WM_KEY,0))+O9*INDEX(WM_AU,MATCH($M9,WM_KEY,0))+P9*INDEX(WM_AC,MATCH($M9,WM_KEY,0))+Q9*INDEX(WM_L,MATCH($M9,WM_KEY,0))+R9*INDEX(WM_E,MATCH($M9,WM_KEY,0))+S9*INDEX(WM_BI,MATCH($M9,WM_KEY,0)),""))</f>
        <v>5.32</v>
      </c>
      <c r="U9" s="34" t="str">
        <f>IF(T9="","",INDEX({"A1","A2","A3","B1","B2","B3","C1","C2","D1","D2","E1","E2"},MAX(1,MIN(12,ROUND(T9,0)))))</f>
        <v>B2</v>
      </c>
      <c r="V9" s="12" t="inlineStr">
        <is>
          <r>
            <rPr>
              <rFont val="Calibri"/>
              <sz val="10"/>
            </rPr>
            <t xml:space="preserve">New level B2 · Manager. Current level on record: L5 – Manager. Change: • Same level.
Score 5.32 on the ladder scale → indicated level B2.
</t>
          </r>
          <r>
            <rPr>
              <rFont val="Calibri"/>
              <b val="1"/>
              <sz val="10"/>
            </rPr>
            <t>Weights:</t>
          </r>
          <r>
            <rPr>
              <rFont val="Calibri"/>
              <sz val="10"/>
            </rPr>
            <t xml:space="preserve"> Complexity 32% · Autonomy 23%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 s="12" t="inlineStr">
        <is>
          <r>
            <rPr>
              <rFont val="Calibri"/>
              <b val="1"/>
              <sz val="10"/>
            </rPr>
            <t>Complexity &amp; Expertise:</t>
          </r>
          <r>
            <rPr>
              <rFont val="Calibri"/>
              <sz val="10"/>
            </rPr>
            <t xml:space="preserve"> 5 of 12 — Start: 5.0 · manager / senior specialist title; Evidence reads like B2: Combines product delivery, client relationships, renewals, billing, proposals and EU business development in regulatory reporting → matches the start; KRA: “1. Manage EBR Report development and delivery with less than 4 defects/ Escalations in a year 2. Revenue Goal: Close &gt;= 10 EBR clients,…”
</t>
          </r>
          <r>
            <rPr>
              <rFont val="Calibri"/>
              <b val="1"/>
              <sz val="10"/>
            </rPr>
            <t>Autonomy &amp; Decision:</t>
          </r>
          <r>
            <rPr>
              <rFont val="Calibri"/>
              <sz val="10"/>
            </rPr>
            <t xml:space="preserve"> 5 of 12 — Start: 5.0 · manager / senior specialist title; Evidence reads like B2: Decides delivery matters, day-to-day operations and commercial negotiations with clients → matches the start
</t>
          </r>
          <r>
            <rPr>
              <rFont val="Calibri"/>
              <b val="1"/>
              <sz val="10"/>
            </rPr>
            <t>Accountability &amp; Impact:</t>
          </r>
          <r>
            <rPr>
              <rFont val="Calibri"/>
              <sz val="10"/>
            </rPr>
            <t xml:space="preserve"> 5 of 12 — Start: 5.0 · manager / senior specialist title; 6 direct reports; Evidence reads like B2: own survey / KRA answers · summarised by the rater; not quoted → matches the start; KRA: “1. Manage EBR Report development and delivery with less than 4 defects/ Escalations in a year 2. Revenue Goal: Close &gt;= 10 EBR clients,…”
</t>
          </r>
          <r>
            <rPr>
              <rFont val="Calibri"/>
              <b val="1"/>
              <sz val="10"/>
            </rPr>
            <t>Leadership &amp; Strategy:</t>
          </r>
          <r>
            <rPr>
              <rFont val="Calibri"/>
              <sz val="10"/>
            </rPr>
            <t xml:space="preserve"> 4.5 of 12 · between B1 and B2 — Start: 5.0; Evidence reads like B1: Six direct reports in HR data; text does not describe managing them → moved down 0.5; Team: 6 direct reports · People Manager
</t>
          </r>
          <r>
            <rPr>
              <rFont val="Calibri"/>
              <b val="1"/>
              <sz val="10"/>
            </rPr>
            <t>Experience &amp; Qualification:</t>
          </r>
          <r>
            <rPr>
              <rFont val="Calibri"/>
              <sz val="10"/>
            </rPr>
            <t xml:space="preserve"> 8.5 of 12 · between C2 and D1 — Experience: 14.3 yrs total · 14.3 at IRIS; none recorded before IRIS = 7.9 on the experience scale; Qualification: MBA · postgraduate, relevant to the work → +0.5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9"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Y9" s="12" t="inlineStr">
        <is>
          <r>
            <rPr>
              <rFont val="Calibri"/>
              <sz val="10"/>
            </rPr>
            <t xml:space="preserve">✓ HRIS: 14.3 yrs, MBA, 6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9" s="12" t="inlineStr">
        <is>
          <t>—</t>
        </is>
      </c>
      <c r="AA9" s="12" t="inlineStr">
        <is>
          <t>Nothing outstanding</t>
        </is>
      </c>
      <c r="AB9"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6 direct reports.
From the survey and manager mapping — critical role: yes; successor named: no.
</t>
          </r>
          <r>
            <rPr>
              <rFont val="Calibri"/>
              <b val="1"/>
              <sz val="10"/>
            </rPr>
            <t>If the work is missed · role-holders' themes:</t>
          </r>
          <r>
            <rPr>
              <rFont val="Calibri"/>
              <sz val="10"/>
            </rPr>
            <t xml:space="preserve"> delays · client · revenue.
</t>
          </r>
          <r>
            <rPr>
              <rFont val="Calibri"/>
              <b val="1"/>
              <sz val="10"/>
            </rPr>
            <t>Measured on · manager-set KRA themes:</t>
          </r>
          <r>
            <rPr>
              <rFont val="Calibri"/>
              <sz val="10"/>
            </rPr>
            <t xml:space="preserve"> development participation · cash · market requirements · tech learning · support organizational · profitability.
Manager talent mapping — Latest rating: 5 · Potential: High · 9-Box Grid placement: Core Contributor.</t>
          </r>
        </is>
      </c>
      <c r="AC9" s="74" t="n"/>
      <c r="AD9" s="74" t="n"/>
      <c r="AE9" s="74" t="n"/>
      <c r="AF9" s="12" t="n">
        <v>5.5</v>
      </c>
    </row>
    <row r="10" ht="379" customHeight="1">
      <c r="A10" s="12" t="inlineStr">
        <is>
          <t>IRIS2435</t>
        </is>
      </c>
      <c r="B10" s="10" t="inlineStr">
        <is>
          <t>Srijith Menon</t>
        </is>
      </c>
      <c r="C10" s="12" t="inlineStr">
        <is>
          <t>Product Management</t>
        </is>
      </c>
      <c r="D10" s="12" t="inlineStr">
        <is>
          <t>Product Coordinator</t>
        </is>
      </c>
      <c r="E10" s="70" t="inlineStr">
        <is>
          <t>Senior Product Analyst</t>
        </is>
      </c>
      <c r="F10" s="12" t="inlineStr">
        <is>
          <t>Product Management</t>
        </is>
      </c>
      <c r="G10" s="12" t="inlineStr">
        <is>
          <t>Product Operations &amp; Research</t>
        </is>
      </c>
      <c r="H10" s="12" t="inlineStr">
        <is>
          <t>IC</t>
        </is>
      </c>
      <c r="I10" s="34" t="inlineStr">
        <is>
          <t>L3 – Professional / Associate</t>
        </is>
      </c>
      <c r="J10" s="16" t="inlineStr">
        <is>
          <t>A3</t>
        </is>
      </c>
      <c r="K10" s="17" t="inlineStr">
        <is>
          <t>Senior Associate</t>
        </is>
      </c>
      <c r="L10" s="75" t="inlineStr">
        <is>
          <t>▲ Up</t>
        </is>
      </c>
      <c r="M10" s="12" t="inlineStr">
        <is>
          <t>iDEAL · Product Management · Band A · Early career</t>
        </is>
      </c>
      <c r="N10" s="34" t="n">
        <v>2.5</v>
      </c>
      <c r="O10" s="34" t="n">
        <v>2</v>
      </c>
      <c r="P10" s="34" t="n">
        <v>2.5</v>
      </c>
      <c r="Q10" s="34" t="n">
        <v>1</v>
      </c>
      <c r="R10" s="34" t="n">
        <v>5</v>
      </c>
      <c r="S10" s="72" t="n">
        <v>3</v>
      </c>
      <c r="T10" s="73">
        <f>IF(OR($M10="",COUNT(N10,O10,P10,Q10,R10,S10)&lt;6),"",IFERROR(N10*INDEX(WM_C,MATCH($M10,WM_KEY,0))+O10*INDEX(WM_AU,MATCH($M10,WM_KEY,0))+P10*INDEX(WM_AC,MATCH($M10,WM_KEY,0))+Q10*INDEX(WM_L,MATCH($M10,WM_KEY,0))+R10*INDEX(WM_E,MATCH($M10,WM_KEY,0))+S10*INDEX(WM_BI,MATCH($M10,WM_KEY,0)),""))</f>
        <v>2.675</v>
      </c>
      <c r="U10" s="34" t="str">
        <f>IF(T10="","",INDEX({"A1","A2","A3","B1","B2","B3","C1","C2","D1","D2","E1","E2"},MAX(1,MIN(12,ROUND(T10,0)))))</f>
        <v>A3</v>
      </c>
      <c r="V10" s="12" t="inlineStr">
        <is>
          <r>
            <rPr>
              <rFont val="Calibri"/>
              <sz val="10"/>
            </rPr>
            <t xml:space="preserve">New level A3 · Senior Associate. Current level on record: L3 – Professional / Associate. Change: ▲ Up.
Score 2.67 on the ladder scale → indicated level A3.
</t>
          </r>
          <r>
            <rPr>
              <rFont val="Calibri"/>
              <b val="1"/>
              <sz val="10"/>
            </rPr>
            <t>Weights:</t>
          </r>
          <r>
            <rPr>
              <rFont val="Calibri"/>
              <sz val="10"/>
            </rPr>
            <t xml:space="preserve"> Complexity 54% · Autonomy 21%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 s="12" t="inlineStr">
        <is>
          <r>
            <rPr>
              <rFont val="Calibri"/>
              <b val="1"/>
              <sz val="10"/>
            </rPr>
            <t>Complexity &amp; Expertise:</t>
          </r>
          <r>
            <rPr>
              <rFont val="Calibri"/>
              <sz val="10"/>
            </rPr>
            <t xml:space="preserve"> 2.5 of 12 · between A2 and A3 — Start: 2.0 · practitioner title; Evidence reads like A3: Coordinates ETL implementation projects across stakeholders: schedules, documentation, tracking, follow-up, escalation → moved up 0.5; KRA: “1. Effectively manage the assigned portfolio of iDEAL ETL clients, ensuring successful onboarding, implementation, adoption, and customer…”
</t>
          </r>
          <r>
            <rPr>
              <rFont val="Calibri"/>
              <b val="1"/>
              <sz val="10"/>
            </rPr>
            <t>Autonomy &amp; Decision:</t>
          </r>
          <r>
            <rPr>
              <rFont val="Calibri"/>
              <sz val="10"/>
            </rPr>
            <t xml:space="preserve"> 2 of 12 — Start: 2.0 · practitioner title; Evidence reads like A2: Decides scheduling; judges what to escalate and when → matches the start
</t>
          </r>
          <r>
            <rPr>
              <rFont val="Calibri"/>
              <b val="1"/>
              <sz val="10"/>
            </rPr>
            <t>Accountability &amp; Impact:</t>
          </r>
          <r>
            <rPr>
              <rFont val="Calibri"/>
              <sz val="10"/>
            </rPr>
            <t xml:space="preserve"> 2.5 of 12 · between A2 and A3 — Start: 2.0 · practitioner title; Evidence reads like A3: Accountable for ETL solution delivery for two named clients · ESAF, BFL: timelines and accuracy → moved up 0.5; KRA: “1. Effectively manage the assigned portfolio of iDEAL ETL clients, ensuring successful onboarding, implementation, adoption, and customer…”
</t>
          </r>
          <r>
            <rPr>
              <rFont val="Calibri"/>
              <b val="1"/>
              <sz val="10"/>
            </rPr>
            <t>Leadership &amp; Strategy:</t>
          </r>
          <r>
            <rPr>
              <rFont val="Calibri"/>
              <sz val="10"/>
            </rPr>
            <t xml:space="preserve"> 1 of 12 — not counted: the weight is 0% at this level — Start: 1.0 · individual contributor, so influence only; Evidence reads like A1: Coordinates people and tasks; no guidance or leadership of others described → matches the start; Team: 0 direct reports · IC
</t>
          </r>
          <r>
            <rPr>
              <rFont val="Calibri"/>
              <b val="1"/>
              <sz val="10"/>
            </rPr>
            <t>Experience &amp; Qualification:</t>
          </r>
          <r>
            <rPr>
              <rFont val="Calibri"/>
              <sz val="10"/>
            </rPr>
            <t xml:space="preserve"> 5 of 12 — Experience: 8.0 yrs total · 7.0 before IRIS + 1.0 at IRIS = 5.2 on the experience scale; Qualification: Bachelors in Hotel Management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0" s="12" t="inlineStr">
        <is>
          <r>
            <rPr>
              <rFont val="Calibri"/>
              <b val="1"/>
              <sz val="10"/>
            </rPr>
            <t>Market level:</t>
          </r>
          <r>
            <rPr>
              <rFont val="Calibri"/>
              <sz val="10"/>
            </rPr>
            <t xml:space="preserve"> P2 · SFIA 3 Apply
</t>
          </r>
          <r>
            <rPr>
              <rFont val="Calibri"/>
              <b val="1"/>
              <sz val="10"/>
            </rPr>
            <t>Typical title:</t>
          </r>
          <r>
            <rPr>
              <rFont val="Calibri"/>
              <sz val="10"/>
            </rPr>
            <t xml:space="preserve"> Associate Product Manager
</t>
          </r>
          <r>
            <rPr>
              <rFont val="Calibri"/>
              <b val="1"/>
              <sz val="10"/>
            </rPr>
            <t>At peers:</t>
          </r>
          <r>
            <rPr>
              <rFont val="Calibri"/>
              <sz val="10"/>
            </rPr>
            <t xml:space="preserve"> IRIS Vs Competitor Benchmark — SaaS product ladder: Associate PM
</t>
          </r>
          <r>
            <rPr>
              <rFont val="Calibri"/>
              <b val="1"/>
              <sz val="10"/>
            </rPr>
            <t>Typical experience:</t>
          </r>
          <r>
            <rPr>
              <rFont val="Calibri"/>
              <sz val="10"/>
            </rPr>
            <t xml:space="preserve"> 2–5 yrs · IRIS guide 2–4
</t>
          </r>
          <r>
            <rPr>
              <rFont val="Calibri"/>
              <b val="1"/>
              <sz val="10"/>
            </rPr>
            <t>Standard:</t>
          </r>
          <r>
            <rPr>
              <rFont val="Calibri"/>
              <sz val="10"/>
            </rPr>
            <t xml:space="preserve"> Pragmatic Institute Framework; AIPMM</t>
          </r>
        </is>
      </c>
      <c r="Y10" s="12" t="inlineStr">
        <is>
          <r>
            <rPr>
              <rFont val="Calibri"/>
              <sz val="10"/>
            </rPr>
            <t xml:space="preserve">✓ HRIS: 8.0 yrs, Bachelors in Hotel Management,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0" s="12" t="inlineStr">
        <is>
          <t>—</t>
        </is>
      </c>
      <c r="AA10" s="12" t="inlineStr">
        <is>
          <t>Nothing outstanding</t>
        </is>
      </c>
      <c r="AB1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Manager talent mapping — Latest rating: 3 · Potential: Medium · 9-Box Grid placement: Emerging Talent.</t>
          </r>
        </is>
      </c>
      <c r="AC10" s="74" t="n"/>
      <c r="AD10" s="74" t="n"/>
      <c r="AE10" s="74" t="n"/>
      <c r="AF10" s="12" t="n">
        <v>3</v>
      </c>
    </row>
    <row r="11" ht="379" customHeight="1">
      <c r="A11" s="12" t="inlineStr">
        <is>
          <t>IRIS0636</t>
        </is>
      </c>
      <c r="B11" s="10" t="inlineStr">
        <is>
          <t>Reena Gotal</t>
        </is>
      </c>
      <c r="C11" s="12" t="inlineStr">
        <is>
          <t>Quality Assurance</t>
        </is>
      </c>
      <c r="D11" s="12" t="inlineStr">
        <is>
          <t>Senior QA - Engineer</t>
        </is>
      </c>
      <c r="E11" s="70" t="inlineStr">
        <is>
          <t>QA Manager</t>
        </is>
      </c>
      <c r="F11" s="12" t="inlineStr">
        <is>
          <t>Quality Assurance</t>
        </is>
      </c>
      <c r="G11" s="12" t="inlineStr">
        <is>
          <t>Functional &amp; Domain Testing</t>
        </is>
      </c>
      <c r="H11" s="12" t="inlineStr">
        <is>
          <t>People Manager</t>
        </is>
      </c>
      <c r="I11" s="34" t="inlineStr">
        <is>
          <t>L4 – Senior</t>
        </is>
      </c>
      <c r="J11" s="20" t="inlineStr">
        <is>
          <t>B1</t>
        </is>
      </c>
      <c r="K11" s="21" t="inlineStr">
        <is>
          <t>Team Lead</t>
        </is>
      </c>
      <c r="L11" s="75" t="inlineStr">
        <is>
          <t>▲ Up</t>
        </is>
      </c>
      <c r="M11" s="12" t="inlineStr">
        <is>
          <t>iDEAL · Quality Assurance · Band B · People Manager</t>
        </is>
      </c>
      <c r="N11" s="34" t="n">
        <v>3</v>
      </c>
      <c r="O11" s="34" t="n">
        <v>3</v>
      </c>
      <c r="P11" s="34" t="n">
        <v>4</v>
      </c>
      <c r="Q11" s="34" t="n">
        <v>4</v>
      </c>
      <c r="R11" s="34" t="n">
        <v>8.5</v>
      </c>
      <c r="S11" s="72" t="n">
        <v>4</v>
      </c>
      <c r="T11" s="73">
        <f>IF(OR($M11="",COUNT(N11,O11,P11,Q11,R11,S11)&lt;6),"",IFERROR(N11*INDEX(WM_C,MATCH($M11,WM_KEY,0))+O11*INDEX(WM_AU,MATCH($M11,WM_KEY,0))+P11*INDEX(WM_AC,MATCH($M11,WM_KEY,0))+Q11*INDEX(WM_L,MATCH($M11,WM_KEY,0))+R11*INDEX(WM_E,MATCH($M11,WM_KEY,0))+S11*INDEX(WM_BI,MATCH($M11,WM_KEY,0)),""))</f>
        <v>3.85</v>
      </c>
      <c r="U11" s="34" t="str">
        <f>IF(T11="","",INDEX({"A1","A2","A3","B1","B2","B3","C1","C2","D1","D2","E1","E2"},MAX(1,MIN(12,ROUND(T11,0)))))</f>
        <v>B1</v>
      </c>
      <c r="V11" s="12" t="inlineStr">
        <is>
          <r>
            <rPr>
              <rFont val="Calibri"/>
              <sz val="10"/>
            </rPr>
            <t xml:space="preserve">New level B1 · Team Lead. Current level on record: L4 – Senior. Change: ▲ Up.
Score 3.85 on the ladder scale → indicated level B1.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 s="12" t="inlineStr">
        <is>
          <r>
            <rPr>
              <rFont val="Calibri"/>
              <b val="1"/>
              <sz val="10"/>
            </rPr>
            <t>Complexity &amp; Expertise:</t>
          </r>
          <r>
            <rPr>
              <rFont val="Calibri"/>
              <sz val="10"/>
            </rPr>
            <t xml:space="preserve"> 3 of 12 — Start: 3.0 · senior practitioner title; Evidence reads like A3: Test planning and execution, defect management, API testing with SQL/Postman; no harder problems detailed → matches the start; KRA: “1. Defect Escape Rate should be &lt;= 5% i.e. Each tested functionality should have less &lt;= 1 bug 2. Defect Detection Efficiency should be…”
</t>
          </r>
          <r>
            <rPr>
              <rFont val="Calibri"/>
              <b val="1"/>
              <sz val="10"/>
            </rPr>
            <t>Autonomy &amp; Decision:</t>
          </r>
          <r>
            <rPr>
              <rFont val="Calibri"/>
              <sz val="10"/>
            </rPr>
            <t xml:space="preserve"> 3 of 12 — Start: 3.0 · senior practitioner title; Evidence reads like A3: Names only 'independent testing'; mentions managing priorities in passing → matches the start
</t>
          </r>
          <r>
            <rPr>
              <rFont val="Calibri"/>
              <b val="1"/>
              <sz val="10"/>
            </rPr>
            <t>Accountability &amp; Impact:</t>
          </r>
          <r>
            <rPr>
              <rFont val="Calibri"/>
              <sz val="10"/>
            </rPr>
            <t xml:space="preserve"> 4 of 12 — Start: 4.0 · senior practitioner title; 4 direct reports; Evidence reads like B1: Own test coverage and defect reporting plus the team's quality and timelines → matches the start; KRA: “1. Defect Escape Rate should be &lt;= 5% i.e. Each tested functionality should have less &lt;= 1 bug 2. Defect Detection Efficiency should be…”
</t>
          </r>
          <r>
            <rPr>
              <rFont val="Calibri"/>
              <b val="1"/>
              <sz val="10"/>
            </rPr>
            <t>Leadership &amp; Strategy:</t>
          </r>
          <r>
            <rPr>
              <rFont val="Calibri"/>
              <sz val="10"/>
            </rPr>
            <t xml:space="preserve"> 4 of 12 — Start: 4.0; Evidence reads like B1: Coordinates, supports and guides team members; four direct reports → matches the start; Team: 4 direct reports · People Manager
</t>
          </r>
          <r>
            <rPr>
              <rFont val="Calibri"/>
              <b val="1"/>
              <sz val="10"/>
            </rPr>
            <t>Experience &amp; Qualification:</t>
          </r>
          <r>
            <rPr>
              <rFont val="Calibri"/>
              <sz val="10"/>
            </rPr>
            <t xml:space="preserve"> 8.5 of 12 · between C2 and D1 — Experience: 15.3 yrs total · 15.3 at IRIS; none recorded before IRIS = 8.3 on the experience scale; Qualification: B.Com · graduate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11" s="12" t="inlineStr">
        <is>
          <r>
            <rPr>
              <rFont val="Calibri"/>
              <b val="1"/>
              <sz val="10"/>
            </rPr>
            <t>Market level:</t>
          </r>
          <r>
            <rPr>
              <rFont val="Calibri"/>
              <sz val="10"/>
            </rPr>
            <t xml:space="preserve"> P3 / M2 · SFIA 4 Enable
</t>
          </r>
          <r>
            <rPr>
              <rFont val="Calibri"/>
              <b val="1"/>
              <sz val="10"/>
            </rPr>
            <t>Typical title:</t>
          </r>
          <r>
            <rPr>
              <rFont val="Calibri"/>
              <sz val="10"/>
            </rPr>
            <t xml:space="preserve"> Manager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ISTQB Foundation → Advanced → Expert; SFIA testing</t>
          </r>
        </is>
      </c>
      <c r="Y11" s="12" t="inlineStr">
        <is>
          <r>
            <rPr>
              <rFont val="Calibri"/>
              <sz val="10"/>
            </rPr>
            <t xml:space="preserve">✓ HRIS: 15.3 yrs, B.Com, 4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1" s="76"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11" s="12" t="inlineStr">
        <is>
          <t>Nothing outstanding</t>
        </is>
      </c>
      <c r="AB11"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4 direct reports.
</t>
          </r>
          <r>
            <rPr>
              <rFont val="Calibri"/>
              <b val="1"/>
              <sz val="10"/>
            </rPr>
            <t>If the work is missed · role-holders' themes:</t>
          </r>
          <r>
            <rPr>
              <rFont val="Calibri"/>
              <sz val="10"/>
            </rPr>
            <t xml:space="preserve"> rework · production · issues · client.
Manager talent mapping — Latest rating: 3 · Potential: Medium · 9-Box Grid placement: Core Contributor.</t>
          </r>
        </is>
      </c>
      <c r="AC11" s="74" t="n"/>
      <c r="AD11" s="74" t="n"/>
      <c r="AE11" s="74" t="n"/>
      <c r="AF11" s="12" t="n">
        <v>4</v>
      </c>
    </row>
    <row r="12" ht="379" customHeight="1">
      <c r="A12" s="12" t="inlineStr">
        <is>
          <t>IRIS2271</t>
        </is>
      </c>
      <c r="B12" s="10" t="inlineStr">
        <is>
          <t>Atharv Ravindra Bokade</t>
        </is>
      </c>
      <c r="C12" s="12" t="inlineStr">
        <is>
          <t>Quality Assurance</t>
        </is>
      </c>
      <c r="D12" s="12" t="inlineStr">
        <is>
          <t>QA Engineer</t>
        </is>
      </c>
      <c r="E12" s="70" t="inlineStr">
        <is>
          <t>Senior QA Automation Engineer</t>
        </is>
      </c>
      <c r="F12" s="12" t="inlineStr">
        <is>
          <t>Quality Assurance</t>
        </is>
      </c>
      <c r="G12" s="12" t="inlineStr">
        <is>
          <t>Test Automation</t>
        </is>
      </c>
      <c r="H12" s="12" t="inlineStr">
        <is>
          <t>IC</t>
        </is>
      </c>
      <c r="I12" s="34" t="inlineStr">
        <is>
          <t>L2 – Trainee</t>
        </is>
      </c>
      <c r="J12" s="16" t="inlineStr">
        <is>
          <t>A3</t>
        </is>
      </c>
      <c r="K12" s="17" t="inlineStr">
        <is>
          <t>Senior Associate</t>
        </is>
      </c>
      <c r="L12" s="75" t="inlineStr">
        <is>
          <t>▲ Up</t>
        </is>
      </c>
      <c r="M12" s="12" t="inlineStr">
        <is>
          <t>iDEAL · Quality Assurance · Band A · Early career</t>
        </is>
      </c>
      <c r="N12" s="34" t="n">
        <v>2</v>
      </c>
      <c r="O12" s="34" t="n">
        <v>2</v>
      </c>
      <c r="P12" s="34" t="n">
        <v>2.5</v>
      </c>
      <c r="Q12" s="34" t="n">
        <v>1</v>
      </c>
      <c r="R12" s="34" t="n">
        <v>2.5</v>
      </c>
      <c r="S12" s="72" t="n">
        <v>2.5</v>
      </c>
      <c r="T12" s="73">
        <f>IF(OR($M12="",COUNT(N12,O12,P12,Q12,R12,S12)&lt;6),"",IFERROR(N12*INDEX(WM_C,MATCH($M12,WM_KEY,0))+O12*INDEX(WM_AU,MATCH($M12,WM_KEY,0))+P12*INDEX(WM_AC,MATCH($M12,WM_KEY,0))+Q12*INDEX(WM_L,MATCH($M12,WM_KEY,0))+R12*INDEX(WM_E,MATCH($M12,WM_KEY,0))+S12*INDEX(WM_BI,MATCH($M12,WM_KEY,0)),""))</f>
        <v>2.1</v>
      </c>
      <c r="U12" s="34" t="str">
        <f>IF(T12="","",INDEX({"A1","A2","A3","B1","B2","B3","C1","C2","D1","D2","E1","E2"},MAX(1,MIN(12,ROUND(T12,0)))))</f>
        <v>A2</v>
      </c>
      <c r="V12" s="12" t="inlineStr">
        <is>
          <r>
            <rPr>
              <rFont val="Calibri"/>
              <sz val="10"/>
            </rPr>
            <t xml:space="preserve">New level A3 · Senior Associate. Current level on record: L2 – Trainee. Change: ▲ Up.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W12" s="12" t="inlineStr">
        <is>
          <r>
            <rPr>
              <rFont val="Calibri"/>
              <b val="1"/>
              <sz val="10"/>
            </rPr>
            <t>Complexity &amp; Expertise:</t>
          </r>
          <r>
            <rPr>
              <rFont val="Calibri"/>
              <sz val="10"/>
            </rPr>
            <t xml:space="preserve"> 2 of 12 — Start: 2.0 · practitioner title; Evidence reads like A2: Writes test cases, manual testing and bug reports for regulatory applications; some Playwright and VAPT → matches the start; KRA: “1. Prepare comprehensive and maintainable test cases based on business requirements and user stories. 2.Ensure the delivery of high-quality…”
</t>
          </r>
          <r>
            <rPr>
              <rFont val="Calibri"/>
              <b val="1"/>
              <sz val="10"/>
            </rPr>
            <t>Autonomy &amp; Decision:</t>
          </r>
          <r>
            <rPr>
              <rFont val="Calibri"/>
              <sz val="10"/>
            </rPr>
            <t xml:space="preserve"> 2 of 12 — Start: 2.0 · practitioner title; Evidence reads like A2: Cannot name independent decisions; only judges depth of testing → matches the start
</t>
          </r>
          <r>
            <rPr>
              <rFont val="Calibri"/>
              <b val="1"/>
              <sz val="10"/>
            </rPr>
            <t>Accountability &amp; Impact:</t>
          </r>
          <r>
            <rPr>
              <rFont val="Calibri"/>
              <sz val="10"/>
            </rPr>
            <t xml:space="preserve"> 2.5 of 12 · between A2 and A3 — Start: 2.0 · practitioner title; Evidence reads like A3: Accountable if bugs persist after own sign-off; delivery to client affected → moved up 0.5; KRA: “1. Prepare comprehensive and maintainable test cases based on business requirements and user stories. 2.Ensure the delivery of high-quality…”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2.5 of 12 · between A2 and A3 — Experience: 2.3 yrs total · 2.3 at IRIS; none recorded before IRIS = 2.6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2"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12" s="12" t="inlineStr">
        <is>
          <r>
            <rPr>
              <rFont val="Calibri"/>
              <sz val="10"/>
            </rPr>
            <t xml:space="preserve">✓ HRIS: 2.3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2" s="12" t="inlineStr">
        <is>
          <t>—</t>
        </is>
      </c>
      <c r="AA12" s="12" t="inlineStr">
        <is>
          <t>Nothing outstanding</t>
        </is>
      </c>
      <c r="AB1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3 · Potential: Medium · 9-Box Grid placement: Core Contributor.</t>
          </r>
        </is>
      </c>
      <c r="AC12" s="74" t="n"/>
      <c r="AD12" s="74" t="n"/>
      <c r="AE12" s="74" t="n"/>
      <c r="AF12" s="12" t="n">
        <v>2.5</v>
      </c>
    </row>
    <row r="13" ht="379" customHeight="1">
      <c r="A13" s="12" t="inlineStr">
        <is>
          <t>IRIS2479</t>
        </is>
      </c>
      <c r="B13" s="10" t="inlineStr">
        <is>
          <t>Rohan Kailas Aher</t>
        </is>
      </c>
      <c r="C13" s="12" t="inlineStr">
        <is>
          <t>Quality Assurance</t>
        </is>
      </c>
      <c r="D13" s="12" t="inlineStr">
        <is>
          <t>QA Engineer</t>
        </is>
      </c>
      <c r="E13" s="70" t="inlineStr">
        <is>
          <t>Senior QA Engineer</t>
        </is>
      </c>
      <c r="F13" s="12" t="inlineStr">
        <is>
          <t>Quality Assurance</t>
        </is>
      </c>
      <c r="G13" s="12" t="inlineStr">
        <is>
          <t>Functional &amp; Domain Testing</t>
        </is>
      </c>
      <c r="H13" s="12" t="inlineStr">
        <is>
          <t>IC</t>
        </is>
      </c>
      <c r="I13" s="34" t="inlineStr">
        <is>
          <t>L3 – Professional / Associate</t>
        </is>
      </c>
      <c r="J13" s="16" t="inlineStr">
        <is>
          <t>A3</t>
        </is>
      </c>
      <c r="K13" s="17" t="inlineStr">
        <is>
          <t>Senior Associate</t>
        </is>
      </c>
      <c r="L13" s="75" t="inlineStr">
        <is>
          <t>▲ Up</t>
        </is>
      </c>
      <c r="M13" s="12" t="inlineStr">
        <is>
          <t>iDEAL · Quality Assurance · Band A · Early career</t>
        </is>
      </c>
      <c r="N13" s="34" t="n">
        <v>2</v>
      </c>
      <c r="O13" s="34" t="n">
        <v>2</v>
      </c>
      <c r="P13" s="34" t="n">
        <v>2</v>
      </c>
      <c r="Q13" s="34" t="n">
        <v>1</v>
      </c>
      <c r="R13" s="34" t="n">
        <v>3</v>
      </c>
      <c r="S13" s="72" t="n">
        <v>2</v>
      </c>
      <c r="T13" s="73">
        <f>IF(OR($M13="",COUNT(N13,O13,P13,Q13,R13,S13)&lt;6),"",IFERROR(N13*INDEX(WM_C,MATCH($M13,WM_KEY,0))+O13*INDEX(WM_AU,MATCH($M13,WM_KEY,0))+P13*INDEX(WM_AC,MATCH($M13,WM_KEY,0))+Q13*INDEX(WM_L,MATCH($M13,WM_KEY,0))+R13*INDEX(WM_E,MATCH($M13,WM_KEY,0))+S13*INDEX(WM_BI,MATCH($M13,WM_KEY,0)),""))</f>
        <v>2.1</v>
      </c>
      <c r="U13" s="34" t="str">
        <f>IF(T13="","",INDEX({"A1","A2","A3","B1","B2","B3","C1","C2","D1","D2","E1","E2"},MAX(1,MIN(12,ROUND(T13,0)))))</f>
        <v>A2</v>
      </c>
      <c r="V13" s="12" t="inlineStr">
        <is>
          <r>
            <rPr>
              <rFont val="Calibri"/>
              <sz val="10"/>
            </rPr>
            <t xml:space="preserve">New level A3 · Senior Associate. Current level on record: L3 – Professional / Associate. Change: ▲ Up.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3.6 years' experience is 2 years or more.
</t>
          </r>
          <r>
            <rPr>
              <rFont val="Calibri"/>
              <b val="1"/>
              <sz val="10"/>
            </rPr>
            <t>Final level:</t>
          </r>
          <r>
            <rPr>
              <rFont val="Calibri"/>
              <sz val="10"/>
            </rPr>
            <t xml:space="preserve"> A3.</t>
          </r>
        </is>
      </c>
      <c r="W13" s="12" t="inlineStr">
        <is>
          <r>
            <rPr>
              <rFont val="Calibri"/>
              <b val="1"/>
              <sz val="10"/>
            </rPr>
            <t>Complexity &amp; Expertise:</t>
          </r>
          <r>
            <rPr>
              <rFont val="Calibri"/>
              <sz val="10"/>
            </rPr>
            <t xml:space="preserve"> 2 of 12 — Start: 2.0 · practitioner title; Evidence reads like A2: Testing, bug reporting, retesting, API testing and documentation; no harder cases shown → matches the start; KRA: “1. Prepare comprehensive and maintainable test cases based on business requirements and user stories. 2.Ensure the delivery of high-quality…”
</t>
          </r>
          <r>
            <rPr>
              <rFont val="Calibri"/>
              <b val="1"/>
              <sz val="10"/>
            </rPr>
            <t>Autonomy &amp; Decision:</t>
          </r>
          <r>
            <rPr>
              <rFont val="Calibri"/>
              <sz val="10"/>
            </rPr>
            <t xml:space="preserve"> 2 of 12 — Start: 2.0 · practitioner title; Evidence reads like A2: States 'routine decisions' only → matches the start
</t>
          </r>
          <r>
            <rPr>
              <rFont val="Calibri"/>
              <b val="1"/>
              <sz val="10"/>
            </rPr>
            <t>Accountability &amp; Impact:</t>
          </r>
          <r>
            <rPr>
              <rFont val="Calibri"/>
              <sz val="10"/>
            </rPr>
            <t xml:space="preserve"> 2 of 12 — Start: 2.0 · practitioner title; Evidence reads like A2: Own assigned testing work, its quality and timeliness → matches the start; KRA: “1. Prepare comprehensive and maintainable test cases based on business requirements and user stories. 2.Ensure the delivery of high-quality…”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3 of 12 — Experience: 3.6 yrs total · 3.0 before IRIS + 0.6 at IRIS = 3.2 on the experience scale; Qualification: Civil engineering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3"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13" s="12" t="inlineStr">
        <is>
          <r>
            <rPr>
              <rFont val="Calibri"/>
              <sz val="10"/>
            </rPr>
            <t xml:space="preserve">✓ HRIS: 3.6 yrs, Civil engineering,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3" s="12" t="inlineStr">
        <is>
          <t>—</t>
        </is>
      </c>
      <c r="AA13" s="12" t="inlineStr">
        <is>
          <t>Nothing outstanding</t>
        </is>
      </c>
      <c r="AB1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Core Contributor.</t>
          </r>
        </is>
      </c>
      <c r="AC13" s="74" t="n"/>
      <c r="AD13" s="74" t="n"/>
      <c r="AE13" s="74" t="n"/>
      <c r="AF13" s="12" t="n">
        <v>2</v>
      </c>
    </row>
    <row r="14" ht="379" customHeight="1">
      <c r="A14" s="12" t="inlineStr">
        <is>
          <t>IRIS2437</t>
        </is>
      </c>
      <c r="B14" s="10" t="inlineStr">
        <is>
          <t>Shubham Kamble</t>
        </is>
      </c>
      <c r="C14" s="12" t="inlineStr">
        <is>
          <t>Quality Assurance</t>
        </is>
      </c>
      <c r="D14" s="12" t="inlineStr">
        <is>
          <t>QA Automation Engineer</t>
        </is>
      </c>
      <c r="E14" s="70" t="inlineStr">
        <is>
          <t>Senior QA Automation Engineer</t>
        </is>
      </c>
      <c r="F14" s="12" t="inlineStr">
        <is>
          <t>Quality Assurance</t>
        </is>
      </c>
      <c r="G14" s="12" t="inlineStr">
        <is>
          <t>Test Automation</t>
        </is>
      </c>
      <c r="H14" s="12" t="inlineStr">
        <is>
          <t>IC</t>
        </is>
      </c>
      <c r="I14" s="34" t="inlineStr">
        <is>
          <t>L3 – Professional / Associate</t>
        </is>
      </c>
      <c r="J14" s="16" t="inlineStr">
        <is>
          <t>A3</t>
        </is>
      </c>
      <c r="K14" s="17" t="inlineStr">
        <is>
          <t>Senior Associate</t>
        </is>
      </c>
      <c r="L14" s="75" t="inlineStr">
        <is>
          <t>▲ Up</t>
        </is>
      </c>
      <c r="M14" s="12" t="inlineStr">
        <is>
          <t>iDEAL · Quality Assurance · Band A · Early career</t>
        </is>
      </c>
      <c r="N14" s="34" t="n">
        <v>3</v>
      </c>
      <c r="O14" s="34" t="n">
        <v>3</v>
      </c>
      <c r="P14" s="34" t="n">
        <v>3</v>
      </c>
      <c r="Q14" s="34" t="n">
        <v>1.5</v>
      </c>
      <c r="R14" s="34" t="n">
        <v>3.5</v>
      </c>
      <c r="S14" s="72" t="n">
        <v>3</v>
      </c>
      <c r="T14" s="73">
        <f>IF(OR($M14="",COUNT(N14,O14,P14,Q14,R14,S14)&lt;6),"",IFERROR(N14*INDEX(WM_C,MATCH($M14,WM_KEY,0))+O14*INDEX(WM_AU,MATCH($M14,WM_KEY,0))+P14*INDEX(WM_AC,MATCH($M14,WM_KEY,0))+Q14*INDEX(WM_L,MATCH($M14,WM_KEY,0))+R14*INDEX(WM_E,MATCH($M14,WM_KEY,0))+S14*INDEX(WM_BI,MATCH($M14,WM_KEY,0)),""))</f>
        <v>3.05</v>
      </c>
      <c r="U14" s="34" t="str">
        <f>IF(T14="","",INDEX({"A1","A2","A3","B1","B2","B3","C1","C2","D1","D2","E1","E2"},MAX(1,MIN(12,ROUND(T14,0)))))</f>
        <v>A3</v>
      </c>
      <c r="V14" s="12" t="inlineStr">
        <is>
          <r>
            <rPr>
              <rFont val="Calibri"/>
              <sz val="10"/>
            </rPr>
            <t xml:space="preserve">New level A3 · Senior Associate. Current level on record: L3 – Professional / Associate. Change: ▲ Up.
Score 3.05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 s="12" t="inlineStr">
        <is>
          <r>
            <rPr>
              <rFont val="Calibri"/>
              <b val="1"/>
              <sz val="10"/>
            </rPr>
            <t>Complexity &amp; Expertise:</t>
          </r>
          <r>
            <rPr>
              <rFont val="Calibri"/>
              <sz val="10"/>
            </rPr>
            <t xml:space="preserve"> 3 of 12 — Start: 3.0 · senior practitioner title; Evidence reads like A3: Playwright UI/API automation, Jenkins integration, root-cause analysis of flaky tests and production defects → matches the start; KRA: “1. Prepare comprehensive and maintainable test cases based on business requirements and user stories. 2.Ensure the delivery of high-quality…”
</t>
          </r>
          <r>
            <rPr>
              <rFont val="Calibri"/>
              <b val="1"/>
              <sz val="10"/>
            </rPr>
            <t>Autonomy &amp; Decision:</t>
          </r>
          <r>
            <rPr>
              <rFont val="Calibri"/>
              <sz val="10"/>
            </rPr>
            <t xml:space="preserve"> 3 of 12 — Start: 3.0 · senior practitioner title; Evidence reads like A3: Decides what tasks or features to automate, when to test manually, and raises bugs → matches the start
</t>
          </r>
          <r>
            <rPr>
              <rFont val="Calibri"/>
              <b val="1"/>
              <sz val="10"/>
            </rPr>
            <t>Accountability &amp; Impact:</t>
          </r>
          <r>
            <rPr>
              <rFont val="Calibri"/>
              <sz val="10"/>
            </rPr>
            <t xml:space="preserve"> 3 of 12 — Start: 3.0 · senior practitioner title; Evidence reads like A3: Answers for iDeal automated suites in Jenkins, defects to closure, and production-defect RCA → matches the start; KRA: “1. Prepare comprehensive and maintainable test cases based on business requirements and user stories. 2.Ensure the delivery of high-quality…”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3.5 of 12 · between A3 and B1 — Experience: 4.3 yrs total · 3.4 before IRIS + 0.9 at IRIS = 3.5 on the experience scale; Qualification: B.Tech · graduate, relevant to the work → no change
</t>
          </r>
          <r>
            <rPr>
              <rFont val="Calibri"/>
              <b val="1"/>
              <sz val="10"/>
            </rPr>
            <t>Business Impact:</t>
          </r>
          <r>
            <rPr>
              <rFont val="Calibri"/>
              <sz val="10"/>
            </rPr>
            <t xml:space="preserve"> 3 of 12 — a starting estimate. — Start: 3,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t>
          </r>
        </is>
      </c>
      <c r="X14"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14" s="12" t="inlineStr">
        <is>
          <r>
            <rPr>
              <rFont val="Calibri"/>
              <sz val="10"/>
            </rPr>
            <t xml:space="preserve">✓ HRIS: 4.3 yrs, B.Tech,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4" s="12" t="inlineStr">
        <is>
          <t>—</t>
        </is>
      </c>
      <c r="AA14" s="12" t="inlineStr">
        <is>
          <t>Nothing outstanding</t>
        </is>
      </c>
      <c r="AB1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work only this person does: no; successor named: no.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3 · Potential: Medium · 9-Box Grid placement: Emerging Talent.</t>
          </r>
        </is>
      </c>
      <c r="AC14" s="74" t="n"/>
      <c r="AD14" s="74" t="n"/>
      <c r="AE14" s="74" t="n"/>
      <c r="AF14" s="12" t="n">
        <v>3</v>
      </c>
    </row>
    <row r="15" ht="379" customHeight="1">
      <c r="A15" s="12" t="inlineStr">
        <is>
          <t>IRIS2522</t>
        </is>
      </c>
      <c r="B15" s="10" t="inlineStr">
        <is>
          <t>Tulasiram Chand</t>
        </is>
      </c>
      <c r="C15" s="12" t="inlineStr">
        <is>
          <t>Quality Assurance</t>
        </is>
      </c>
      <c r="D15" s="12" t="inlineStr">
        <is>
          <t>QA Automation Engineer</t>
        </is>
      </c>
      <c r="E15" s="70" t="inlineStr">
        <is>
          <t>Senior QA Automation Engineer</t>
        </is>
      </c>
      <c r="F15" s="12" t="inlineStr">
        <is>
          <t>Quality Assurance</t>
        </is>
      </c>
      <c r="G15" s="12" t="inlineStr">
        <is>
          <t>Test Automation</t>
        </is>
      </c>
      <c r="H15" s="12" t="inlineStr">
        <is>
          <t>IC</t>
        </is>
      </c>
      <c r="I15" s="34" t="inlineStr">
        <is>
          <t>L3 – Professional / Associate</t>
        </is>
      </c>
      <c r="J15" s="16" t="inlineStr">
        <is>
          <t>A3</t>
        </is>
      </c>
      <c r="K15" s="17" t="inlineStr">
        <is>
          <t>Senior Associate</t>
        </is>
      </c>
      <c r="L15" s="75" t="inlineStr">
        <is>
          <t>▲ Up</t>
        </is>
      </c>
      <c r="M15" s="12" t="inlineStr">
        <is>
          <t>iDEAL · Quality Assurance · Band A · Early career</t>
        </is>
      </c>
      <c r="N15" s="34" t="n">
        <v>3</v>
      </c>
      <c r="O15" s="34" t="n">
        <v>2.5</v>
      </c>
      <c r="P15" s="34" t="n">
        <v>2.5</v>
      </c>
      <c r="Q15" s="34" t="n">
        <v>1.5</v>
      </c>
      <c r="R15" s="34" t="n">
        <v>4</v>
      </c>
      <c r="S15" s="72" t="n">
        <v>2.5</v>
      </c>
      <c r="T15" s="73">
        <f>IF(OR($M15="",COUNT(N15,O15,P15,Q15,R15,S15)&lt;6),"",IFERROR(N15*INDEX(WM_C,MATCH($M15,WM_KEY,0))+O15*INDEX(WM_AU,MATCH($M15,WM_KEY,0))+P15*INDEX(WM_AC,MATCH($M15,WM_KEY,0))+Q15*INDEX(WM_L,MATCH($M15,WM_KEY,0))+R15*INDEX(WM_E,MATCH($M15,WM_KEY,0))+S15*INDEX(WM_BI,MATCH($M15,WM_KEY,0)),""))</f>
        <v>2.97</v>
      </c>
      <c r="U15" s="34" t="str">
        <f>IF(T15="","",INDEX({"A1","A2","A3","B1","B2","B3","C1","C2","D1","D2","E1","E2"},MAX(1,MIN(12,ROUND(T15,0)))))</f>
        <v>A3</v>
      </c>
      <c r="V15" s="12" t="inlineStr">
        <is>
          <r>
            <rPr>
              <rFont val="Calibri"/>
              <sz val="10"/>
            </rPr>
            <t xml:space="preserve">New level A3 · Senior Associate. Current level on record: L3 – Professional / Associate. Change: ▲ Up.
Score 2.97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 s="12" t="inlineStr">
        <is>
          <r>
            <rPr>
              <rFont val="Calibri"/>
              <b val="1"/>
              <sz val="10"/>
            </rPr>
            <t>Complexity &amp; Expertise:</t>
          </r>
          <r>
            <rPr>
              <rFont val="Calibri"/>
              <sz val="10"/>
            </rPr>
            <t xml:space="preserve"> 3 of 12 — Start: 3.0 · senior practitioner title; Evidence reads like A3: Playwright/Cucumber scripts, API and database testing, Windows/Linux runs, CI/CD pipeline integration → matches the start; KRA: “1. Prepare comprehensive and maintainable test cases based on business requirements and user stories. 2.Ensure the delivery of high-quality…”
</t>
          </r>
          <r>
            <rPr>
              <rFont val="Calibri"/>
              <b val="1"/>
              <sz val="10"/>
            </rPr>
            <t>Autonomy &amp; Decision:</t>
          </r>
          <r>
            <rPr>
              <rFont val="Calibri"/>
              <sz val="10"/>
            </rPr>
            <t xml:space="preserve"> 2.5 of 12 · between A2 and A3 — Start: 3.0 · senior practitioner title; Evidence reads like A2: Decisions listed are generic · 'identify issues, find solutions'; KRA says existing framework is used → moved down 0.5
</t>
          </r>
          <r>
            <rPr>
              <rFont val="Calibri"/>
              <b val="1"/>
              <sz val="10"/>
            </rPr>
            <t>Accountability &amp; Impact:</t>
          </r>
          <r>
            <rPr>
              <rFont val="Calibri"/>
              <sz val="10"/>
            </rPr>
            <t xml:space="preserve"> 2.5 of 12 · between A2 and A3 — Start: 3.0 · senior practitioner title; Evidence reads like A2: Own automation scripts, reliability of test results and coverage reporting → moved down 0.5; KRA: “1. Prepare comprehensive and maintainable test cases based on business requirements and user stories. 2.Ensure the delivery of high-quality…”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4 of 12 — Experience: 4.4 yrs total · 4.0 before IRIS + 0.4 at IRIS = 3.6 on the experience scale; Qualification: MCA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5"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15" s="12" t="inlineStr">
        <is>
          <r>
            <rPr>
              <rFont val="Calibri"/>
              <sz val="10"/>
            </rPr>
            <t xml:space="preserve">✓ HRIS: 4.4 yrs, MCA,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5" s="12" t="inlineStr">
        <is>
          <t>—</t>
        </is>
      </c>
      <c r="AA15" s="12" t="inlineStr">
        <is>
          <t>Nothing outstanding</t>
        </is>
      </c>
      <c r="AB1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3 · Potential: Medium · 9-Box Grid placement: Reliable Specialist.</t>
          </r>
        </is>
      </c>
      <c r="AC15" s="74" t="n"/>
      <c r="AD15" s="74" t="n"/>
      <c r="AE15" s="74" t="n"/>
      <c r="AF15" s="12" t="n">
        <v>2.5</v>
      </c>
    </row>
    <row r="16" ht="379" customHeight="1">
      <c r="A16" s="12" t="inlineStr">
        <is>
          <t>IRIS2505</t>
        </is>
      </c>
      <c r="B16" s="10" t="inlineStr">
        <is>
          <t>Rohit Patil</t>
        </is>
      </c>
      <c r="C16" s="12" t="inlineStr">
        <is>
          <t>Sales</t>
        </is>
      </c>
      <c r="D16" s="12" t="inlineStr">
        <is>
          <t>Manager Sales</t>
        </is>
      </c>
      <c r="E16" s="70" t="inlineStr">
        <is>
          <t>Senior Account Executive</t>
        </is>
      </c>
      <c r="F16" s="12" t="inlineStr">
        <is>
          <t>Sales &amp; Business Development</t>
        </is>
      </c>
      <c r="G16" s="12" t="inlineStr">
        <is>
          <t>Enterprise Sales &amp; Account Management</t>
        </is>
      </c>
      <c r="H16" s="12" t="inlineStr">
        <is>
          <t>IC</t>
        </is>
      </c>
      <c r="I16" s="34" t="inlineStr">
        <is>
          <t>L5 – Manager</t>
        </is>
      </c>
      <c r="J16" s="20" t="inlineStr">
        <is>
          <t>B2</t>
        </is>
      </c>
      <c r="K16" s="21" t="inlineStr">
        <is>
          <t>Senior Specialist</t>
        </is>
      </c>
      <c r="L16" s="71" t="inlineStr">
        <is>
          <t>• Same level</t>
        </is>
      </c>
      <c r="M16" s="12" t="inlineStr">
        <is>
          <t>iDEAL · Sales · Band B · Expert / POD Lead</t>
        </is>
      </c>
      <c r="N16" s="34" t="n">
        <v>4.5</v>
      </c>
      <c r="O16" s="34" t="n">
        <v>4.5</v>
      </c>
      <c r="P16" s="34" t="n">
        <v>5</v>
      </c>
      <c r="Q16" s="34" t="n">
        <v>3.5</v>
      </c>
      <c r="R16" s="34" t="n">
        <v>9</v>
      </c>
      <c r="S16" s="72" t="n">
        <v>5</v>
      </c>
      <c r="T16" s="73">
        <f>IF(OR($M16="",COUNT(N16,O16,P16,Q16,R16,S16)&lt;6),"",IFERROR(N16*INDEX(WM_C,MATCH($M16,WM_KEY,0))+O16*INDEX(WM_AU,MATCH($M16,WM_KEY,0))+P16*INDEX(WM_AC,MATCH($M16,WM_KEY,0))+Q16*INDEX(WM_L,MATCH($M16,WM_KEY,0))+R16*INDEX(WM_E,MATCH($M16,WM_KEY,0))+S16*INDEX(WM_BI,MATCH($M16,WM_KEY,0)),""))</f>
        <v>4.985</v>
      </c>
      <c r="U16" s="34" t="str">
        <f>IF(T16="","",INDEX({"A1","A2","A3","B1","B2","B3","C1","C2","D1","D2","E1","E2"},MAX(1,MIN(12,ROUND(T16,0)))))</f>
        <v>B2</v>
      </c>
      <c r="V16" s="12" t="inlineStr">
        <is>
          <r>
            <rPr>
              <rFont val="Calibri"/>
              <sz val="10"/>
            </rPr>
            <t xml:space="preserve">New level B2 · Senior Specialist. Current level on record: L5 – Manager. Change: • Same level.
Score 4.99 on the ladder scale → indicated level B2.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 s="12" t="inlineStr">
        <is>
          <r>
            <rPr>
              <rFont val="Calibri"/>
              <b val="1"/>
              <sz val="10"/>
            </rPr>
            <t>Complexity &amp; Expertise:</t>
          </r>
          <r>
            <rPr>
              <rFont val="Calibri"/>
              <sz val="10"/>
            </rPr>
            <t xml:space="preserve"> 4.5 of 12 · between B1 and B2 — Start: 5.0 · manager / senior specialist title; Evidence reads like A3: Sells compliance-automation solutions to banks and NBFCs; lead identification and client research → moved down 0.5; KRA: “1. Revenue Goal: Achieve ARR Revenue Target - 2 Cr &amp; One-Time Revenue Target - 4 Cr in the year 2. Strong Pipe Building: Generate Qualified…”
</t>
          </r>
          <r>
            <rPr>
              <rFont val="Calibri"/>
              <b val="1"/>
              <sz val="10"/>
            </rPr>
            <t>Autonomy &amp; Decision:</t>
          </r>
          <r>
            <rPr>
              <rFont val="Calibri"/>
              <sz val="10"/>
            </rPr>
            <t xml:space="preserve"> 4.5 of 12 · between B1 and B2 — Start: 5.0 · manager / senior specialist title; Evidence reads like A2: Only 'meeting new clients' named as an independent decision → moved down 0.5
</t>
          </r>
          <r>
            <rPr>
              <rFont val="Calibri"/>
              <b val="1"/>
              <sz val="10"/>
            </rPr>
            <t>Accountability &amp; Impact:</t>
          </r>
          <r>
            <rPr>
              <rFont val="Calibri"/>
              <sz val="10"/>
            </rPr>
            <t xml:space="preserve"> 5 of 12 — Start: 5.0 · manager / senior specialist title; Evidence reads like B2: own survey / KRA answers · summarised by the rater; not quoted → matches the start; KRA: “1. Revenue Goal: Achieve ARR Revenue Target - 2 Cr &amp; One-Time Revenue Target - 4 Cr in the year 2. Strong Pipe Building: Generate Qualified…”
</t>
          </r>
          <r>
            <rPr>
              <rFont val="Calibri"/>
              <b val="1"/>
              <sz val="10"/>
            </rPr>
            <t>Leadership &amp; Strategy:</t>
          </r>
          <r>
            <rPr>
              <rFont val="Calibri"/>
              <sz val="10"/>
            </rPr>
            <t xml:space="preserve"> 3.5 of 12 · between A3 and B1 — Start: 4.0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9 of 12 — Experience: 16.5 yrs total · 16.0 before IRIS + 0.5 at IRIS = 8.7 on the experience scale; Qualification: MBA · postgraduate, relevant to the work → +0.5
</t>
          </r>
          <r>
            <rPr>
              <rFont val="Calibri"/>
              <b val="1"/>
              <sz val="10"/>
            </rPr>
            <t>Business Impact:</t>
          </r>
          <r>
            <rPr>
              <rFont val="Calibri"/>
              <sz val="10"/>
            </rPr>
            <t xml:space="preserve"> 5 of 12 — a starting estimate. —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r>
        </is>
      </c>
      <c r="X16" s="12" t="inlineStr">
        <is>
          <r>
            <rPr>
              <rFont val="Calibri"/>
              <b val="1"/>
              <sz val="10"/>
            </rPr>
            <t>Market level:</t>
          </r>
          <r>
            <rPr>
              <rFont val="Calibri"/>
              <sz val="10"/>
            </rPr>
            <t xml:space="preserve"> P4 / M3 · SFIA 4–5
</t>
          </r>
          <r>
            <rPr>
              <rFont val="Calibri"/>
              <b val="1"/>
              <sz val="10"/>
            </rPr>
            <t>Typical title:</t>
          </r>
          <r>
            <rPr>
              <rFont val="Calibri"/>
              <sz val="10"/>
            </rPr>
            <t xml:space="preserve"> Senior Account Executive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Y16" s="12" t="inlineStr">
        <is>
          <r>
            <rPr>
              <rFont val="Calibri"/>
              <sz val="10"/>
            </rPr>
            <t xml:space="preserve">✓ HRIS: 16.5 yrs, MBA, 0 direct reports
✓ Survey: 20 of 20 questions answered
✓ KRAs: manager-set, quarterly
✓ Manager mapping: rating, 9-box — filled from talent-mapping files: rating · tentative Q1
✗ Job description: not on file
</t>
          </r>
          <r>
            <rPr>
              <rFont val="Calibri"/>
              <b val="1"/>
              <sz val="10"/>
            </rPr>
            <t>Confidence:</t>
          </r>
          <r>
            <rPr>
              <rFont val="Calibri"/>
              <sz val="10"/>
            </rPr>
            <t xml:space="preserve"> Medium</t>
          </r>
        </is>
      </c>
      <c r="Z16" s="12" t="inlineStr">
        <is>
          <t>—</t>
        </is>
      </c>
      <c r="AA16" s="12" t="inlineStr">
        <is>
          <t>Nothing outstanding</t>
        </is>
      </c>
      <c r="AB16"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Manager talent mapping — Latest rating: 2 · 9-Box Grid placement: Not placed · manager.</t>
          </r>
        </is>
      </c>
      <c r="AC16" s="74" t="n"/>
      <c r="AD16" s="74" t="n"/>
      <c r="AE16" s="74" t="n"/>
      <c r="AF16" s="12" t="n">
        <v>5</v>
      </c>
    </row>
    <row r="17" ht="379" customHeight="1">
      <c r="A17" s="12" t="inlineStr">
        <is>
          <t>IRIS2540</t>
        </is>
      </c>
      <c r="B17" s="10" t="inlineStr">
        <is>
          <t>Deepali Barai</t>
        </is>
      </c>
      <c r="C17" s="12" t="inlineStr">
        <is>
          <t>Sales</t>
        </is>
      </c>
      <c r="D17" s="12" t="inlineStr">
        <is>
          <t>Business Development Manager</t>
        </is>
      </c>
      <c r="E17" s="70" t="inlineStr">
        <is>
          <t>Account Executive</t>
        </is>
      </c>
      <c r="F17" s="12" t="inlineStr">
        <is>
          <t>Sales &amp; Business Development</t>
        </is>
      </c>
      <c r="G17" s="12" t="inlineStr">
        <is>
          <t>Enterprise Sales &amp; Account Management</t>
        </is>
      </c>
      <c r="H17" s="12" t="inlineStr">
        <is>
          <t>IC</t>
        </is>
      </c>
      <c r="I17" s="34" t="inlineStr">
        <is>
          <t>Not in current mapping files</t>
        </is>
      </c>
      <c r="J17" s="20" t="inlineStr">
        <is>
          <t>B1</t>
        </is>
      </c>
      <c r="K17" s="21" t="inlineStr">
        <is>
          <t>Specialist</t>
        </is>
      </c>
      <c r="L17" s="77" t="inlineStr">
        <is>
          <t>● Newly mapped</t>
        </is>
      </c>
      <c r="M17" s="12" t="inlineStr">
        <is>
          <t>iDEAL · Sales · Band B · Expert / POD Lead</t>
        </is>
      </c>
      <c r="N17" s="34" t="n">
        <v>4</v>
      </c>
      <c r="O17" s="34" t="n">
        <v>4</v>
      </c>
      <c r="P17" s="34" t="n">
        <v>4.5</v>
      </c>
      <c r="Q17" s="34" t="n">
        <v>3</v>
      </c>
      <c r="R17" s="34" t="n">
        <v>3.5</v>
      </c>
      <c r="S17" s="72" t="n">
        <v>4.5</v>
      </c>
      <c r="T17" s="73">
        <f>IF(OR($M17="",COUNT(N17,O17,P17,Q17,R17,S17)&lt;6),"",IFERROR(N17*INDEX(WM_C,MATCH($M17,WM_KEY,0))+O17*INDEX(WM_AU,MATCH($M17,WM_KEY,0))+P17*INDEX(WM_AC,MATCH($M17,WM_KEY,0))+Q17*INDEX(WM_L,MATCH($M17,WM_KEY,0))+R17*INDEX(WM_E,MATCH($M17,WM_KEY,0))+S17*INDEX(WM_BI,MATCH($M17,WM_KEY,0)),""))</f>
        <v>3.985</v>
      </c>
      <c r="U17" s="34" t="str">
        <f>IF(T17="","",INDEX({"A1","A2","A3","B1","B2","B3","C1","C2","D1","D2","E1","E2"},MAX(1,MIN(12,ROUND(T17,0)))))</f>
        <v>B1</v>
      </c>
      <c r="V17" s="12" t="inlineStr">
        <is>
          <r>
            <rPr>
              <rFont val="Calibri"/>
              <sz val="10"/>
            </rPr>
            <t xml:space="preserve">New level B1 · Specialist. Current level on record: Not in current mapping files. Change: ● Newly mapped.
Score 3.99 on the ladder scale → indicated level B1.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 s="12" t="inlineStr">
        <is>
          <r>
            <rPr>
              <rFont val="Calibri"/>
              <b val="1"/>
              <sz val="10"/>
            </rPr>
            <t>Complexity &amp; Expertise:</t>
          </r>
          <r>
            <rPr>
              <rFont val="Calibri"/>
              <sz val="10"/>
            </rPr>
            <t xml:space="preserve"> 4 of 12 — Start: 5.0 · manager / senior specialist title; Evidence reads like A2: Prospecting, cold calls, emails, LinkedIn outreach and client demos for the Africa region → moved down 1
</t>
          </r>
          <r>
            <rPr>
              <rFont val="Calibri"/>
              <b val="1"/>
              <sz val="10"/>
            </rPr>
            <t>Autonomy &amp; Decision:</t>
          </r>
          <r>
            <rPr>
              <rFont val="Calibri"/>
              <sz val="10"/>
            </rPr>
            <t xml:space="preserve"> 4 of 12 — Start: 5.0 · manager / senior specialist title; Evidence reads like A2: Decides only own prospecting and cold calls → moved down 1
</t>
          </r>
          <r>
            <rPr>
              <rFont val="Calibri"/>
              <b val="1"/>
              <sz val="10"/>
            </rPr>
            <t>Accountability &amp; Impact:</t>
          </r>
          <r>
            <rPr>
              <rFont val="Calibri"/>
              <sz val="10"/>
            </rPr>
            <t xml:space="preserve"> 4.5 of 12 · between B1 and B2 — Start: 5.0 · manager / senior specialist title; Evidence reads like B1: Names a revenue target and demo set-up; outputs are meetings, calls and demos for Africa → moved down 0.5
</t>
          </r>
          <r>
            <rPr>
              <rFont val="Calibri"/>
              <b val="1"/>
              <sz val="10"/>
            </rPr>
            <t>Leadership &amp; Strategy:</t>
          </r>
          <r>
            <rPr>
              <rFont val="Calibri"/>
              <sz val="10"/>
            </rPr>
            <t xml:space="preserve"> 3 of 12 — Start: 4.0 · individual contributor, so influence only; Evidence reads like A1: No guidance or leadership of others described → moved down 1; Team: 0 direct reports · IC
</t>
          </r>
          <r>
            <rPr>
              <rFont val="Calibri"/>
              <b val="1"/>
              <sz val="10"/>
            </rPr>
            <t>Experience &amp; Qualification:</t>
          </r>
          <r>
            <rPr>
              <rFont val="Calibri"/>
              <sz val="10"/>
            </rPr>
            <t xml:space="preserve"> 3.5 of 12 · between A3 and B1 — Experience: 4.6 yrs total · 4.3 before IRIS + 0.3 at IRIS = 3.6 on the experience scale; Qualification: B.E · graduate → no change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17" s="12" t="inlineStr">
        <is>
          <r>
            <rPr>
              <rFont val="Calibri"/>
              <b val="1"/>
              <sz val="10"/>
            </rPr>
            <t>Market level:</t>
          </r>
          <r>
            <rPr>
              <rFont val="Calibri"/>
              <sz val="10"/>
            </rPr>
            <t xml:space="preserve"> P3 / M2 · SFIA 4 Enable
</t>
          </r>
          <r>
            <rPr>
              <rFont val="Calibri"/>
              <b val="1"/>
              <sz val="10"/>
            </rPr>
            <t>Typical title:</t>
          </r>
          <r>
            <rPr>
              <rFont val="Calibri"/>
              <sz val="10"/>
            </rPr>
            <t xml:space="preserve"> Account Executive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Y17" s="12" t="inlineStr">
        <is>
          <r>
            <rPr>
              <rFont val="Calibri"/>
              <sz val="10"/>
            </rPr>
            <t xml:space="preserve">✓ HRIS: 4.6 yrs, B.E, 0 direct reports
✓ Survey: 18 of 20 questions answered
✗ KRAs: none on file
✓ Manager mapping: rating, 9-box
✗ Job description: not on file
</t>
          </r>
          <r>
            <rPr>
              <rFont val="Calibri"/>
              <b val="1"/>
              <sz val="10"/>
            </rPr>
            <t>Confidence:</t>
          </r>
          <r>
            <rPr>
              <rFont val="Calibri"/>
              <sz val="10"/>
            </rPr>
            <t xml:space="preserve"> High</t>
          </r>
        </is>
      </c>
      <c r="Z17" s="76"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17" s="12" t="inlineStr">
        <is>
          <t>Nothing outstanding</t>
        </is>
      </c>
      <c r="AB1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Manager talent mapping — Latest rating: Not rated · manager · 9-Box Grid placement: Not placed · manager.</t>
          </r>
        </is>
      </c>
      <c r="AC17" s="74" t="n"/>
      <c r="AD17" s="74" t="n"/>
      <c r="AE17" s="74" t="n"/>
      <c r="AF17" s="12" t="n">
        <v>4.5</v>
      </c>
    </row>
    <row r="18" ht="379" customHeight="1">
      <c r="A18" s="12" t="inlineStr">
        <is>
          <t>IRIS2481</t>
        </is>
      </c>
      <c r="B18" s="10" t="inlineStr">
        <is>
          <t>Shreya Sharma</t>
        </is>
      </c>
      <c r="C18" s="12" t="inlineStr">
        <is>
          <t>Sales</t>
        </is>
      </c>
      <c r="D18" s="12" t="inlineStr">
        <is>
          <t>Senior Sales Executive</t>
        </is>
      </c>
      <c r="E18" s="70" t="inlineStr">
        <is>
          <t>Senior Alliances Executive</t>
        </is>
      </c>
      <c r="F18" s="12" t="inlineStr">
        <is>
          <t>Sales &amp; Business Development</t>
        </is>
      </c>
      <c r="G18" s="12" t="inlineStr">
        <is>
          <t>Partnerships &amp; Alliances</t>
        </is>
      </c>
      <c r="H18" s="12" t="inlineStr">
        <is>
          <t>IC</t>
        </is>
      </c>
      <c r="I18" s="34" t="inlineStr">
        <is>
          <t>L4 – Senior</t>
        </is>
      </c>
      <c r="J18" s="16" t="inlineStr">
        <is>
          <t>A3</t>
        </is>
      </c>
      <c r="K18" s="17" t="inlineStr">
        <is>
          <t>Senior Associate</t>
        </is>
      </c>
      <c r="L18" s="71" t="inlineStr">
        <is>
          <t>• Same level</t>
        </is>
      </c>
      <c r="M18" s="12" t="inlineStr">
        <is>
          <t>iDEAL · Sales · Band A · Early career</t>
        </is>
      </c>
      <c r="N18" s="34" t="n">
        <v>3</v>
      </c>
      <c r="O18" s="34" t="n">
        <v>2.5</v>
      </c>
      <c r="P18" s="34" t="n">
        <v>3.5</v>
      </c>
      <c r="Q18" s="34" t="n">
        <v>1.5</v>
      </c>
      <c r="R18" s="34" t="n">
        <v>3.5</v>
      </c>
      <c r="S18" s="72" t="n">
        <v>4</v>
      </c>
      <c r="T18" s="73">
        <f>IF(OR($M18="",COUNT(N18,O18,P18,Q18,R18,S18)&lt;6),"",IFERROR(N18*INDEX(WM_C,MATCH($M18,WM_KEY,0))+O18*INDEX(WM_AU,MATCH($M18,WM_KEY,0))+P18*INDEX(WM_AC,MATCH($M18,WM_KEY,0))+Q18*INDEX(WM_L,MATCH($M18,WM_KEY,0))+R18*INDEX(WM_E,MATCH($M18,WM_KEY,0))+S18*INDEX(WM_BI,MATCH($M18,WM_KEY,0)),""))</f>
        <v>3.075</v>
      </c>
      <c r="U18" s="34" t="str">
        <f>IF(T18="","",INDEX({"A1","A2","A3","B1","B2","B3","C1","C2","D1","D2","E1","E2"},MAX(1,MIN(12,ROUND(T18,0)))))</f>
        <v>A3</v>
      </c>
      <c r="V18" s="12" t="inlineStr">
        <is>
          <r>
            <rPr>
              <rFont val="Calibri"/>
              <sz val="10"/>
            </rPr>
            <t xml:space="preserve">New level A3 · Senior Associate. Current level on record: L4 – Senior. Change: • Same level.
Score 3.08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8" s="12" t="inlineStr">
        <is>
          <r>
            <rPr>
              <rFont val="Calibri"/>
              <b val="1"/>
              <sz val="10"/>
            </rPr>
            <t>Complexity &amp; Expertise:</t>
          </r>
          <r>
            <rPr>
              <rFont val="Calibri"/>
              <sz val="10"/>
            </rPr>
            <t xml:space="preserve"> 3 of 12 — Start: 3.0 · senior practitioner title; Evidence reads like A3: Full cycle for one market: prospecting, cold outreach, giving demos, proposals, partnerships, sales reports → matches the start; KRA: “1. Achieve assigned annual sales / revenue quota · target: 80 Lakhs 2. Build and maintain qualified pipeline of &gt;=3x quota coverage 3.…”
</t>
          </r>
          <r>
            <rPr>
              <rFont val="Calibri"/>
              <b val="1"/>
              <sz val="10"/>
            </rPr>
            <t>Autonomy &amp; Decision:</t>
          </r>
          <r>
            <rPr>
              <rFont val="Calibri"/>
              <sz val="10"/>
            </rPr>
            <t xml:space="preserve"> 2.5 of 12 · between A2 and A3 — Start: 3.0 · senior practitioner title; Evidence reads like A2: Decides emails, collateral sharing and fresh prospecting → moved down 0.5
</t>
          </r>
          <r>
            <rPr>
              <rFont val="Calibri"/>
              <b val="1"/>
              <sz val="10"/>
            </rPr>
            <t>Accountability &amp; Impact:</t>
          </r>
          <r>
            <rPr>
              <rFont val="Calibri"/>
              <sz val="10"/>
            </rPr>
            <t xml:space="preserve"> 3.5 of 12 · between A3 and B1 — Start: 3.0 · senior practitioner title; Evidence reads like B1: Handles an entire market; accountable for database, CRM, revenue tracking; KRA quota 80 lakhs → moved up 0.5; KRA: “1. Achieve assigned annual sales / revenue quota · target: 80 Lakhs 2. Build and maintain qualified pipeline of &gt;=3x quota coverage 3.…”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3.5 of 12 · between A3 and B1 — Experience: 4.4 yrs total · 3.8 before IRIS + 0.6 at IRIS = 3.6 on the experience scale; Qualification: B.Com · graduate → no change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8" s="12"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Y18" s="12" t="inlineStr">
        <is>
          <r>
            <rPr>
              <rFont val="Calibri"/>
              <sz val="10"/>
            </rPr>
            <t xml:space="preserve">✓ HRIS: 4.4 yrs, B.Com,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8" s="12" t="inlineStr">
        <is>
          <t>—</t>
        </is>
      </c>
      <c r="AA18" s="12" t="inlineStr">
        <is>
          <t>Nothing outstanding</t>
        </is>
      </c>
      <c r="AB1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From the survey and manager mapping — critical role: yes; successor named: no.
Manager talent mapping — Latest rating: 3 · Potential: High · 9-Box Grid placement: Emerging Talent.</t>
          </r>
        </is>
      </c>
      <c r="AC18" s="74" t="n"/>
      <c r="AD18" s="74" t="n"/>
      <c r="AE18" s="74" t="n"/>
      <c r="AF18" s="12" t="n">
        <v>4</v>
      </c>
    </row>
    <row r="19" ht="93" customHeight="1">
      <c r="A19" s="12" t="inlineStr">
        <is>
          <t>INTN0302</t>
        </is>
      </c>
      <c r="B19" s="10" t="inlineStr">
        <is>
          <t>Nehal Bohra</t>
        </is>
      </c>
      <c r="C19" s="12" t="inlineStr">
        <is>
          <t>Sales</t>
        </is>
      </c>
      <c r="D19" s="12" t="inlineStr">
        <is>
          <t>Intern</t>
        </is>
      </c>
      <c r="E19" s="70" t="inlineStr">
        <is>
          <t>Intern – Application &amp; Product Support</t>
        </is>
      </c>
      <c r="F19" s="12" t="inlineStr">
        <is>
          <t>Customer Success &amp; Support</t>
        </is>
      </c>
      <c r="G19" s="12" t="inlineStr">
        <is>
          <t>Application &amp; Product Support</t>
        </is>
      </c>
      <c r="H19" s="12" t="inlineStr">
        <is>
          <t>IC</t>
        </is>
      </c>
      <c r="I19" s="34" t="inlineStr">
        <is>
          <t>L1 – Intern</t>
        </is>
      </c>
      <c r="J19" s="16" t="inlineStr">
        <is>
          <t>A1</t>
        </is>
      </c>
      <c r="K19" s="17" t="inlineStr">
        <is>
          <t>Intern / Trainee</t>
        </is>
      </c>
      <c r="L19" s="71" t="inlineStr">
        <is>
          <t>• Same level</t>
        </is>
      </c>
      <c r="M19" s="12" t="inlineStr">
        <is>
          <t>—</t>
        </is>
      </c>
      <c r="N19" s="34" t="inlineStr">
        <is>
          <t>—</t>
        </is>
      </c>
      <c r="O19" s="34" t="inlineStr">
        <is>
          <t>—</t>
        </is>
      </c>
      <c r="P19" s="34" t="inlineStr">
        <is>
          <t>—</t>
        </is>
      </c>
      <c r="Q19" s="34" t="inlineStr">
        <is>
          <t>—</t>
        </is>
      </c>
      <c r="R19" s="34" t="inlineStr">
        <is>
          <t>—</t>
        </is>
      </c>
      <c r="S19" s="72" t="inlineStr">
        <is>
          <t>—</t>
        </is>
      </c>
      <c r="T19" s="73" t="inlineStr">
        <is>
          <t>—</t>
        </is>
      </c>
      <c r="U19" s="34" t="inlineStr">
        <is>
          <t>Not scored</t>
        </is>
      </c>
      <c r="V19" s="12" t="inlineStr">
        <is>
          <t>New level A1 · Intern / Trainee. Current level on record: L1 – Intern. Change: • Same level.
Interns and first-year trainees start at A1.</t>
        </is>
      </c>
      <c r="W19" s="12" t="inlineStr">
        <is>
          <r>
            <rPr>
              <rFont val="Calibri"/>
              <b val="1"/>
              <sz val="10"/>
            </rPr>
            <t>Not scored:</t>
          </r>
          <r>
            <rPr>
              <rFont val="Calibri"/>
              <sz val="10"/>
            </rPr>
            <t xml:space="preserve"> interns and first-year trainees start at A1.</t>
          </r>
        </is>
      </c>
      <c r="X19"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Support Associate
</t>
          </r>
          <r>
            <rPr>
              <rFont val="Calibri"/>
              <b val="1"/>
              <sz val="10"/>
            </rPr>
            <t>At peers:</t>
          </r>
          <r>
            <rPr>
              <rFont val="Calibri"/>
              <sz val="10"/>
            </rPr>
            <t xml:space="preserve"> Workiva – Customer Success intern
</t>
          </r>
          <r>
            <rPr>
              <rFont val="Calibri"/>
              <b val="1"/>
              <sz val="10"/>
            </rPr>
            <t>Standard:</t>
          </r>
          <r>
            <rPr>
              <rFont val="Calibri"/>
              <sz val="10"/>
            </rPr>
            <t xml:space="preserve"> TSIA frameworks and benchmarks; ITIL 4 service desk</t>
          </r>
        </is>
      </c>
      <c r="Y19" s="12" t="inlineStr">
        <is>
          <r>
            <rPr>
              <rFont val="Calibri"/>
              <sz val="10"/>
            </rPr>
            <t xml:space="preserve">✓ HRIS: 0.4 yrs, BBA, 0 direct reports
✓ Survey: 19 of 20 questions answered
✗ KRAs: none on file
✓ Manager mapping: rating, 9-box
✗ Job description: not on file
</t>
          </r>
          <r>
            <rPr>
              <rFont val="Calibri"/>
              <b val="1"/>
              <sz val="10"/>
            </rPr>
            <t>Confidence:</t>
          </r>
          <r>
            <rPr>
              <rFont val="Calibri"/>
              <sz val="10"/>
            </rPr>
            <t xml:space="preserve"> Medium</t>
          </r>
        </is>
      </c>
      <c r="Z19" s="12" t="inlineStr">
        <is>
          <t>—</t>
        </is>
      </c>
      <c r="AA19" s="12" t="inlineStr">
        <is>
          <t>Nothing outstanding</t>
        </is>
      </c>
      <c r="AB19"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customer · rework · client · delays · incorrect.
Manager talent mapping — Latest rating: Not rated · manager · 9-Box Grid placement: Not placed · manager.</t>
          </r>
        </is>
      </c>
      <c r="AC19" s="74" t="n"/>
      <c r="AD19" s="74" t="n"/>
      <c r="AE19" s="74" t="n"/>
      <c r="AF19" s="12" t="inlineStr">
        <is>
          <t>—</t>
        </is>
      </c>
    </row>
    <row r="20" ht="379" customHeight="1">
      <c r="A20" s="12" t="inlineStr">
        <is>
          <t>IRIS0810</t>
        </is>
      </c>
      <c r="B20" s="10" t="inlineStr">
        <is>
          <t>Jitendra Kumar</t>
        </is>
      </c>
      <c r="C20" s="12" t="inlineStr">
        <is>
          <t>Technology</t>
        </is>
      </c>
      <c r="D20" s="12" t="inlineStr">
        <is>
          <t>Technical Architect</t>
        </is>
      </c>
      <c r="E20" s="70" t="inlineStr">
        <is>
          <t>Practice Lead – Solution &amp; Technical Architecture · Player-Coach</t>
        </is>
      </c>
      <c r="F20" s="12" t="inlineStr">
        <is>
          <t>Engineering &amp; Architecture</t>
        </is>
      </c>
      <c r="G20" s="12" t="inlineStr">
        <is>
          <t>Solution &amp; Technical Architecture</t>
        </is>
      </c>
      <c r="H20" s="12" t="inlineStr">
        <is>
          <t>Player-Coach</t>
        </is>
      </c>
      <c r="I20" s="34" t="inlineStr">
        <is>
          <t>L3 – Professional / Associate</t>
        </is>
      </c>
      <c r="J20" s="78" t="inlineStr">
        <is>
          <t>B+</t>
        </is>
      </c>
      <c r="K20" s="25" t="inlineStr">
        <is>
          <t>Practice Lead · Player-Coach</t>
        </is>
      </c>
      <c r="L20" s="75" t="inlineStr">
        <is>
          <t>▲ Up</t>
        </is>
      </c>
      <c r="M20" s="12" t="inlineStr">
        <is>
          <t>iDEAL · Technology · B+ · Player-Coach</t>
        </is>
      </c>
      <c r="N20" s="34" t="n">
        <v>6</v>
      </c>
      <c r="O20" s="34" t="n">
        <v>6</v>
      </c>
      <c r="P20" s="34" t="n">
        <v>6</v>
      </c>
      <c r="Q20" s="34" t="n">
        <v>5.5</v>
      </c>
      <c r="R20" s="34" t="n">
        <v>9</v>
      </c>
      <c r="S20" s="72" t="n">
        <v>6</v>
      </c>
      <c r="T20" s="73">
        <f>IF(OR($M20="",COUNT(N20,O20,P20,Q20,R20,S20)&lt;6),"",IFERROR(N20*INDEX(WM_C,MATCH($M20,WM_KEY,0))+O20*INDEX(WM_AU,MATCH($M20,WM_KEY,0))+P20*INDEX(WM_AC,MATCH($M20,WM_KEY,0))+Q20*INDEX(WM_L,MATCH($M20,WM_KEY,0))+R20*INDEX(WM_E,MATCH($M20,WM_KEY,0))+S20*INDEX(WM_BI,MATCH($M20,WM_KEY,0)),""))</f>
        <v>6.25</v>
      </c>
      <c r="U20" s="34" t="str">
        <f>IF(T20="","",INDEX({"A1","A2","A3","B1","B2","B3","C1","C2","D1","D2","E1","E2"},MAX(1,MIN(12,ROUND(T20,0)))))</f>
        <v>B3</v>
      </c>
      <c r="V20" s="12" t="inlineStr">
        <is>
          <r>
            <rPr>
              <rFont val="Calibri"/>
              <sz val="10"/>
            </rPr>
            <t xml:space="preserve">New level B+ · Practice Lead · Player-Coach. Current level on record: L3 – Professional / Associate. Change: ▲ Up.
Score 6.25 on the ladder scale → indicated level B3.
</t>
          </r>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Placed with tolerance:</t>
          </r>
          <r>
            <rPr>
              <rFont val="Calibri"/>
              <sz val="10"/>
            </rPr>
            <t xml:space="preserve"> span 9 vs norm 3–6 · outside the ±2 tolerance. A small shortfall or a wider span is accepted and confirmed in calibration.
• </t>
          </r>
          <r>
            <rPr>
              <rFont val="Calibri"/>
              <b val="1"/>
              <sz val="10"/>
            </rPr>
            <t>Moved up to the B+ Player-Coach transition step:</t>
          </r>
          <r>
            <rPr>
              <rFont val="Calibri"/>
              <sz val="10"/>
            </rPr>
            <t xml:space="preserve"> leads people and still does hands-on work; Player-Coach score 6.25 · needs 6.25 and complexity–accountability average 6.00 · needs 5.5.
</t>
          </r>
          <r>
            <rPr>
              <rFont val="Calibri"/>
              <b val="1"/>
              <sz val="10"/>
            </rPr>
            <t>Final level:</t>
          </r>
          <r>
            <rPr>
              <rFont val="Calibri"/>
              <sz val="10"/>
            </rPr>
            <t xml:space="preserve"> B+.</t>
          </r>
        </is>
      </c>
      <c r="W20" s="12" t="inlineStr">
        <is>
          <r>
            <rPr>
              <rFont val="Calibri"/>
              <b val="1"/>
              <sz val="10"/>
            </rPr>
            <t>Complexity &amp; Expertise:</t>
          </r>
          <r>
            <rPr>
              <rFont val="Calibri"/>
              <sz val="10"/>
            </rPr>
            <t xml:space="preserve"> 6 of 12 — Start: 7.0 · principal / architect title; Evidence reads like B2: Runs all technical aspects of a bank XBRL reporting product: requirements,.NET development, delivery, client support → moved down 1; KRA: “1. Identify and develop AI-driven functionalities. At least 2 · fully developed New AI Features to be released with the year. Encourage the…”
</t>
          </r>
          <r>
            <rPr>
              <rFont val="Calibri"/>
              <b val="1"/>
              <sz val="10"/>
            </rPr>
            <t>Autonomy &amp; Decision:</t>
          </r>
          <r>
            <rPr>
              <rFont val="Calibri"/>
              <sz val="10"/>
            </rPr>
            <t xml:space="preserve"> 6 of 12 — Start: 7.0 · principal / architect title; Evidence reads like B2: Decides application enhancements; coordinates a nine-person team; leads client discussions → moved down 1
</t>
          </r>
          <r>
            <rPr>
              <rFont val="Calibri"/>
              <b val="1"/>
              <sz val="10"/>
            </rPr>
            <t>Accountability &amp; Impact:</t>
          </r>
          <r>
            <rPr>
              <rFont val="Calibri"/>
              <sz val="10"/>
            </rPr>
            <t xml:space="preserve"> 6 of 12 — Start: 6.5 · principal / architect title; 9 direct reports, 14 people below, 1 of them leads a team; Evidence reads like B2: Accountable for any application failure at client side and project deliverables; team of nine → moved down 0.5; KRA: “1. Identify and develop AI-driven functionalities. At least 2 · fully developed New AI Features to be released with the year. Encourage the…”
</t>
          </r>
          <r>
            <rPr>
              <rFont val="Calibri"/>
              <b val="1"/>
              <sz val="10"/>
            </rPr>
            <t>Leadership &amp; Strategy:</t>
          </r>
          <r>
            <rPr>
              <rFont val="Calibri"/>
              <sz val="10"/>
            </rPr>
            <t xml:space="preserve"> 5.5 of 12 · between B2 and B3 — Start: 6.0; Evidence reads like B2: Coordinates nine direct reports; KRA: develop and mentor technical leaders → moved down 0.5; Team: 9 direct reports · Player-Coach
</t>
          </r>
          <r>
            <rPr>
              <rFont val="Calibri"/>
              <b val="1"/>
              <sz val="10"/>
            </rPr>
            <t>Experience &amp; Qualification:</t>
          </r>
          <r>
            <rPr>
              <rFont val="Calibri"/>
              <sz val="10"/>
            </rPr>
            <t xml:space="preserve"> 9 of 12 — Experience: 16.6 yrs total · 1.4 before IRIS + 15.2 at IRIS = 8.7 on the experience scale; Qualification: MCA · postgraduate, relevant to the work → +0.5
</t>
          </r>
          <r>
            <rPr>
              <rFont val="Calibri"/>
              <b val="1"/>
              <sz val="10"/>
            </rPr>
            <t>Business Impact:</t>
          </r>
          <r>
            <rPr>
              <rFont val="Calibri"/>
              <sz val="10"/>
            </rPr>
            <t xml:space="preserve"> 6 of 12 — a starting estimate. —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r>
        </is>
      </c>
      <c r="X20" s="12"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SFIA 9; TOGAF</t>
          </r>
        </is>
      </c>
      <c r="Y20" s="12" t="inlineStr">
        <is>
          <r>
            <rPr>
              <rFont val="Calibri"/>
              <sz val="10"/>
            </rPr>
            <t xml:space="preserve">✓ HRIS: 16.6 yrs, MCA, 9 direct reports
✓ Survey: 20 of 20 questions answered
✓ KRAs: self, manager-set, quarterly
✓ Manager mapping: rating, 9-box — filled from talent-mapping files: rating · tentative Q1
✗ Job description: not on file
</t>
          </r>
          <r>
            <rPr>
              <rFont val="Calibri"/>
              <b val="1"/>
              <sz val="10"/>
            </rPr>
            <t>Confidence:</t>
          </r>
          <r>
            <rPr>
              <rFont val="Calibri"/>
              <sz val="10"/>
            </rPr>
            <t xml:space="preserve"> Medium</t>
          </r>
        </is>
      </c>
      <c r="Z20" s="76" t="inlineStr">
        <is>
          <r>
            <rPr>
              <rFont val="Calibri"/>
              <color rgb="009C5700"/>
              <sz val="10"/>
            </rPr>
            <t xml:space="preserve">• Player-Coach transition step B+: leads people and still does hands-on work — placed within tolerance: span 9 vs norm 3–6 · outside the ±2 tolerance
• </t>
          </r>
          <r>
            <rPr>
              <rFont val="Calibri"/>
              <b val="1"/>
              <color rgb="009C5700"/>
              <sz val="10"/>
            </rPr>
            <t>Near a gate:</t>
          </r>
          <r>
            <rPr>
              <rFont val="Calibri"/>
              <color rgb="009C5700"/>
              <sz val="10"/>
            </rPr>
            <t xml:space="preserve"> Player-Coach transition step placed within tolerance: span 9 vs norm 3–6 · outside the ±2 tolerance</t>
          </r>
        </is>
      </c>
      <c r="AA20" s="12" t="inlineStr">
        <is>
          <t>Nothing outstanding</t>
        </is>
      </c>
      <c r="AB20" s="12"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6 of 12 · B3-level impact.
Leads 9 direct reports.
</t>
          </r>
          <r>
            <rPr>
              <rFont val="Calibri"/>
              <b val="1"/>
              <sz val="10"/>
            </rPr>
            <t>If the work is missed · role-holders' themes:</t>
          </r>
          <r>
            <rPr>
              <rFont val="Calibri"/>
              <sz val="10"/>
            </rPr>
            <t xml:space="preserve"> client · time.
</t>
          </r>
          <r>
            <rPr>
              <rFont val="Calibri"/>
              <b val="1"/>
              <sz val="10"/>
            </rPr>
            <t>Measured on · manager-set KRA themes:</t>
          </r>
          <r>
            <rPr>
              <rFont val="Calibri"/>
              <sz val="10"/>
            </rPr>
            <t xml:space="preserve"> support · technical · project · completion · develop · year.
Manager talent mapping — Latest rating: 4 · 9-Box Grid placement: Not placed · manager.</t>
          </r>
        </is>
      </c>
      <c r="AC20" s="74" t="n"/>
      <c r="AD20" s="74" t="n"/>
      <c r="AE20" s="74" t="n"/>
      <c r="AF20" s="12" t="n">
        <v>6</v>
      </c>
    </row>
    <row r="21" ht="379" customHeight="1">
      <c r="A21" s="12" t="inlineStr">
        <is>
          <t>IRIS2104</t>
        </is>
      </c>
      <c r="B21" s="10" t="inlineStr">
        <is>
          <t>Ravi Ranjan</t>
        </is>
      </c>
      <c r="C21" s="12" t="inlineStr">
        <is>
          <t>Technology</t>
        </is>
      </c>
      <c r="D21" s="12" t="inlineStr">
        <is>
          <t>Lead Software Engineer</t>
        </is>
      </c>
      <c r="E21" s="12" t="inlineStr">
        <is>
          <t>Lead Software Engineer</t>
        </is>
      </c>
      <c r="F21" s="12" t="inlineStr">
        <is>
          <t>Engineering &amp; Development</t>
        </is>
      </c>
      <c r="G21" s="12" t="inlineStr">
        <is>
          <t>Backend Development</t>
        </is>
      </c>
      <c r="H21" s="12" t="inlineStr">
        <is>
          <t>IC</t>
        </is>
      </c>
      <c r="I21" s="34" t="inlineStr">
        <is>
          <t>L5 – Lead · IC</t>
        </is>
      </c>
      <c r="J21" s="20" t="inlineStr">
        <is>
          <t>B3</t>
        </is>
      </c>
      <c r="K21" s="21" t="inlineStr">
        <is>
          <t>Lead Specialist</t>
        </is>
      </c>
      <c r="L21" s="71" t="inlineStr">
        <is>
          <t>• Same level</t>
        </is>
      </c>
      <c r="M21" s="12" t="inlineStr">
        <is>
          <t>iDEAL · Technology · Band B · Expert / POD Lead</t>
        </is>
      </c>
      <c r="N21" s="34" t="n">
        <v>5</v>
      </c>
      <c r="O21" s="34" t="n">
        <v>5</v>
      </c>
      <c r="P21" s="34" t="n">
        <v>5</v>
      </c>
      <c r="Q21" s="34" t="n">
        <v>4</v>
      </c>
      <c r="R21" s="34" t="n">
        <v>12</v>
      </c>
      <c r="S21" s="72" t="n">
        <v>5.5</v>
      </c>
      <c r="T21" s="73">
        <f>IF(OR($M21="",COUNT(N21,O21,P21,Q21,R21,S21)&lt;6),"",IFERROR(N21*INDEX(WM_C,MATCH($M21,WM_KEY,0))+O21*INDEX(WM_AU,MATCH($M21,WM_KEY,0))+P21*INDEX(WM_AC,MATCH($M21,WM_KEY,0))+Q21*INDEX(WM_L,MATCH($M21,WM_KEY,0))+R21*INDEX(WM_E,MATCH($M21,WM_KEY,0))+S21*INDEX(WM_BI,MATCH($M21,WM_KEY,0)),""))</f>
        <v>5.685</v>
      </c>
      <c r="U21" s="34" t="str">
        <f>IF(T21="","",INDEX({"A1","A2","A3","B1","B2","B3","C1","C2","D1","D2","E1","E2"},MAX(1,MIN(12,ROUND(T21,0)))))</f>
        <v>B3</v>
      </c>
      <c r="V21" s="12" t="inlineStr">
        <is>
          <r>
            <rPr>
              <rFont val="Calibri"/>
              <sz val="10"/>
            </rPr>
            <t xml:space="preserve">New level B3 · Lead Specialist. Current level on record: L5 – Lead · IC. Change: • Same level.
Score 5.69 on the ladder scale → indicated level B3.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 s="12" t="inlineStr">
        <is>
          <r>
            <rPr>
              <rFont val="Calibri"/>
              <b val="1"/>
              <sz val="10"/>
            </rPr>
            <t>Complexity &amp; Expertise:</t>
          </r>
          <r>
            <rPr>
              <rFont val="Calibri"/>
              <sz val="10"/>
            </rPr>
            <t xml:space="preserve"> 5 of 12 — Start: 6.0 · senior manager / lead specialist title; Evidence reads like B1: SAML implementation,.NET Framework to.NET Core upgrade, load-balancer work, security testing with Burp Suite → moved down 1; KRA: “1. Identify and develop AI-driven functionalities. At least 2 · fully developed New AI Features to be released with the year. Encourage the…”
</t>
          </r>
          <r>
            <rPr>
              <rFont val="Calibri"/>
              <b val="1"/>
              <sz val="10"/>
            </rPr>
            <t>Autonomy &amp; Decision:</t>
          </r>
          <r>
            <rPr>
              <rFont val="Calibri"/>
              <sz val="10"/>
            </rPr>
            <t xml:space="preserve"> 5 of 12 — Start: 6.0 · senior manager / lead specialist title; Evidence reads like B1: Decides SAML feature enhancement and the framework upgrade for the product → moved down 1
</t>
          </r>
          <r>
            <rPr>
              <rFont val="Calibri"/>
              <b val="1"/>
              <sz val="10"/>
            </rPr>
            <t>Accountability &amp; Impact:</t>
          </r>
          <r>
            <rPr>
              <rFont val="Calibri"/>
              <sz val="10"/>
            </rPr>
            <t xml:space="preserve"> 5 of 12 — Start: 6.0 · senior manager / lead specialist title; Evidence reads like A3: Accountable for SAML implementation and the.NET Core upgrade → moved down 1; KRA: “1. Identify and develop AI-driven functionalities. At least 2 · fully developed New AI Features to be released with the year. Encourage the…”
</t>
          </r>
          <r>
            <rPr>
              <rFont val="Calibri"/>
              <b val="1"/>
              <sz val="10"/>
            </rPr>
            <t>Leadership &amp; Strategy:</t>
          </r>
          <r>
            <rPr>
              <rFont val="Calibri"/>
              <sz val="10"/>
            </rPr>
            <t xml:space="preserve"> 4 of 12 — Start: 5.0 · individual contributor, so influence only; Evidence reads like A3: Dev team brings issues to him for discussion as a regular part of the role → moved down 1; Team: 0 direct reports · IC
</t>
          </r>
          <r>
            <rPr>
              <rFont val="Calibri"/>
              <b val="1"/>
              <sz val="10"/>
            </rPr>
            <t>Experience &amp; Qualification:</t>
          </r>
          <r>
            <rPr>
              <rFont val="Calibri"/>
              <sz val="10"/>
            </rPr>
            <t xml:space="preserve"> 12 of 12 — Experience: 25.6 yrs total · 22.0 before IRIS + 3.6 at IRIS = 11.4 on the experience scale; Qualification: MCA · postgraduate, relevant to the work → +0.5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21"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Engineer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Y21" s="12" t="inlineStr">
        <is>
          <r>
            <rPr>
              <rFont val="Calibri"/>
              <sz val="10"/>
            </rPr>
            <t xml:space="preserve">✓ HRIS: 25.6 yrs, MCA, 0 direct reports
✓ Survey: 20 of 20 questions answered
✓ KRAs: self, manager-set, quarterly
✓ Manager mapping: rating, 9-box — filled from talent-mapping files: rating · tentative Q1
✗ Job description: not on file
</t>
          </r>
          <r>
            <rPr>
              <rFont val="Calibri"/>
              <b val="1"/>
              <sz val="10"/>
            </rPr>
            <t>Confidence:</t>
          </r>
          <r>
            <rPr>
              <rFont val="Calibri"/>
              <sz val="10"/>
            </rPr>
            <t xml:space="preserve"> High</t>
          </r>
        </is>
      </c>
      <c r="Z21" s="12" t="inlineStr">
        <is>
          <t>—</t>
        </is>
      </c>
      <c r="AA21" s="12" t="inlineStr">
        <is>
          <t>Nothing outstanding</t>
        </is>
      </c>
      <c r="AB21"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 of 12 · B2-level impact.
From the survey and manager mapping — critical role: yes; successor named: no.
</t>
          </r>
          <r>
            <rPr>
              <rFont val="Calibri"/>
              <b val="1"/>
              <sz val="10"/>
            </rPr>
            <t>Measured on · manager-set KRA themes:</t>
          </r>
          <r>
            <rPr>
              <rFont val="Calibri"/>
              <sz val="10"/>
            </rPr>
            <t xml:space="preserve"> technical · defect · quality · agreed · deliver · reviews.
Manager talent mapping — Latest rating: 4 · 9-Box Grid placement: Not placed · manager.</t>
          </r>
        </is>
      </c>
      <c r="AC21" s="74" t="n"/>
      <c r="AD21" s="74" t="n"/>
      <c r="AE21" s="74" t="n"/>
      <c r="AF21" s="12" t="n">
        <v>5.5</v>
      </c>
    </row>
    <row r="22" ht="379" customHeight="1">
      <c r="A22" s="12" t="inlineStr">
        <is>
          <t>IRIS1178</t>
        </is>
      </c>
      <c r="B22" s="10" t="inlineStr">
        <is>
          <t>Anand Shinde</t>
        </is>
      </c>
      <c r="C22" s="12" t="inlineStr">
        <is>
          <t>Technology</t>
        </is>
      </c>
      <c r="D22" s="12" t="inlineStr">
        <is>
          <t>Senior Business Analyst</t>
        </is>
      </c>
      <c r="E22" s="70" t="inlineStr">
        <is>
          <t>Business Analysis Specialist</t>
        </is>
      </c>
      <c r="F22" s="12" t="inlineStr">
        <is>
          <t>Business Analysis</t>
        </is>
      </c>
      <c r="G22" s="12" t="inlineStr">
        <is>
          <t>Business Analysis</t>
        </is>
      </c>
      <c r="H22" s="12" t="inlineStr">
        <is>
          <t>IC</t>
        </is>
      </c>
      <c r="I22" s="34" t="inlineStr">
        <is>
          <t>L4 – Senior</t>
        </is>
      </c>
      <c r="J22" s="20" t="inlineStr">
        <is>
          <t>B1</t>
        </is>
      </c>
      <c r="K22" s="21" t="inlineStr">
        <is>
          <t>Specialist</t>
        </is>
      </c>
      <c r="L22" s="75" t="inlineStr">
        <is>
          <t>▲ Up</t>
        </is>
      </c>
      <c r="M22" s="12" t="inlineStr">
        <is>
          <t>iDEAL · Technology · Band B · Expert / POD Lead</t>
        </is>
      </c>
      <c r="N22" s="34" t="n">
        <v>3.5</v>
      </c>
      <c r="O22" s="34" t="n">
        <v>3.5</v>
      </c>
      <c r="P22" s="34" t="n">
        <v>3.5</v>
      </c>
      <c r="Q22" s="34" t="n">
        <v>2.5</v>
      </c>
      <c r="R22" s="34" t="n">
        <v>8</v>
      </c>
      <c r="S22" s="72" t="n">
        <v>4.5</v>
      </c>
      <c r="T22" s="73">
        <f>IF(OR($M22="",COUNT(N22,O22,P22,Q22,R22,S22)&lt;6),"",IFERROR(N22*INDEX(WM_C,MATCH($M22,WM_KEY,0))+O22*INDEX(WM_AU,MATCH($M22,WM_KEY,0))+P22*INDEX(WM_AC,MATCH($M22,WM_KEY,0))+Q22*INDEX(WM_L,MATCH($M22,WM_KEY,0))+R22*INDEX(WM_E,MATCH($M22,WM_KEY,0))+S22*INDEX(WM_BI,MATCH($M22,WM_KEY,0)),""))</f>
        <v>3.97</v>
      </c>
      <c r="U22" s="34" t="str">
        <f>IF(T22="","",INDEX({"A1","A2","A3","B1","B2","B3","C1","C2","D1","D2","E1","E2"},MAX(1,MIN(12,ROUND(T22,0)))))</f>
        <v>B1</v>
      </c>
      <c r="V22" s="12" t="inlineStr">
        <is>
          <r>
            <rPr>
              <rFont val="Calibri"/>
              <sz val="10"/>
            </rPr>
            <t xml:space="preserve">New level B1 · Specialist. Current level on record: L4 – Senior. Change: ▲ Up.
Score 3.97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2" s="12" t="inlineStr">
        <is>
          <r>
            <rPr>
              <rFont val="Calibri"/>
              <b val="1"/>
              <sz val="10"/>
            </rPr>
            <t>Complexity &amp; Expertise:</t>
          </r>
          <r>
            <rPr>
              <rFont val="Calibri"/>
              <sz val="10"/>
            </rPr>
            <t xml:space="preserve"> 3.5 of 12 · between A3 and B1 — Start: 4.0 · lead / specialist title; Evidence reads like A3: Develops new RBI returns from scratch; handles client return-conversion errors; uses SQL → moved down 0.5; KRA: “1. Effectively manage the assigned portfolio of banks and maintain high customer satisfaction, with a target of zero critical client…”
</t>
          </r>
          <r>
            <rPr>
              <rFont val="Calibri"/>
              <b val="1"/>
              <sz val="10"/>
            </rPr>
            <t>Autonomy &amp; Decision:</t>
          </r>
          <r>
            <rPr>
              <rFont val="Calibri"/>
              <sz val="10"/>
            </rPr>
            <t xml:space="preserve"> 3.5 of 12 · between A3 and B1 — Start: 4.0 · lead / specialist title; Evidence reads like A2: Decides bug fixing only → moved down 0.5
</t>
          </r>
          <r>
            <rPr>
              <rFont val="Calibri"/>
              <b val="1"/>
              <sz val="10"/>
            </rPr>
            <t>Accountability &amp; Impact:</t>
          </r>
          <r>
            <rPr>
              <rFont val="Calibri"/>
              <sz val="10"/>
            </rPr>
            <t xml:space="preserve"> 3.5 of 12 · between A3 and B1 — Start: 4.0 · lead / specialist title; Evidence reads like A2: Own return development and error fixes; mistakes trigger client escalation → moved down 0.5; KRA: “1. Effectively manage the assigned portfolio of banks and maintain high customer satisfaction, with a target of zero critical client…”
</t>
          </r>
          <r>
            <rPr>
              <rFont val="Calibri"/>
              <b val="1"/>
              <sz val="10"/>
            </rPr>
            <t>Leadership &amp; Strategy:</t>
          </r>
          <r>
            <rPr>
              <rFont val="Calibri"/>
              <sz val="10"/>
            </rPr>
            <t xml:space="preserve"> 2.5 of 12 · between A2 and A3 — Start: 3.0 · individual contributor, so influence only; Evidence reads like A1: None described → moved down 0.5; Team: 0 direct reports · IC
</t>
          </r>
          <r>
            <rPr>
              <rFont val="Calibri"/>
              <b val="1"/>
              <sz val="10"/>
            </rPr>
            <t>Experience &amp; Qualification:</t>
          </r>
          <r>
            <rPr>
              <rFont val="Calibri"/>
              <sz val="10"/>
            </rPr>
            <t xml:space="preserve"> 8 of 12 — Experience: 14.3 yrs total · 14.3 at IRIS; none recorded before IRIS = 7.9 on the experience scale; Qualification: MBA · postgraduate → no change
</t>
          </r>
          <r>
            <rPr>
              <rFont val="Calibri"/>
              <b val="1"/>
              <sz val="10"/>
            </rPr>
            <t>Business Impact:</t>
          </r>
          <r>
            <rPr>
              <rFont val="Calibri"/>
              <sz val="10"/>
            </rPr>
            <t xml:space="preserve"> 4.5 of 12 — a starting estimate. — Start: 3.5,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22"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Y22" s="12" t="inlineStr">
        <is>
          <r>
            <rPr>
              <rFont val="Calibri"/>
              <sz val="10"/>
            </rPr>
            <t xml:space="preserve">✓ HRIS: 14.3 yrs, MBA,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22" s="12" t="inlineStr">
        <is>
          <t>—</t>
        </is>
      </c>
      <c r="AA22" s="12" t="inlineStr">
        <is>
          <t>Nothing outstanding</t>
        </is>
      </c>
      <c r="AB22"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yes; work only this person does: yes; successor named: no.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5 · Potential: High · 9-Box Grid placement: Trusted Professional.</t>
          </r>
        </is>
      </c>
      <c r="AC22" s="74" t="n"/>
      <c r="AD22" s="74" t="n"/>
      <c r="AE22" s="74" t="n"/>
      <c r="AF22" s="12" t="n">
        <v>4.5</v>
      </c>
    </row>
    <row r="23" ht="379" customHeight="1">
      <c r="A23" s="12" t="inlineStr">
        <is>
          <t>IRIS1947</t>
        </is>
      </c>
      <c r="B23" s="10" t="inlineStr">
        <is>
          <t>Aroosa Ghole</t>
        </is>
      </c>
      <c r="C23" s="12" t="inlineStr">
        <is>
          <t>Technology</t>
        </is>
      </c>
      <c r="D23" s="12" t="inlineStr">
        <is>
          <t>Senior Business Analyst</t>
        </is>
      </c>
      <c r="E23" s="70" t="inlineStr">
        <is>
          <t>Team Lead – Business Analysis</t>
        </is>
      </c>
      <c r="F23" s="12" t="inlineStr">
        <is>
          <t>Business Analysis</t>
        </is>
      </c>
      <c r="G23" s="12" t="inlineStr">
        <is>
          <t>Business Analysis</t>
        </is>
      </c>
      <c r="H23" s="12" t="inlineStr">
        <is>
          <t>People Manager</t>
        </is>
      </c>
      <c r="I23" s="34" t="inlineStr">
        <is>
          <t>L4 – Senior</t>
        </is>
      </c>
      <c r="J23" s="20" t="inlineStr">
        <is>
          <t>B1</t>
        </is>
      </c>
      <c r="K23" s="21" t="inlineStr">
        <is>
          <t>Team Lead</t>
        </is>
      </c>
      <c r="L23" s="75" t="inlineStr">
        <is>
          <t>▲ Up</t>
        </is>
      </c>
      <c r="M23" s="12" t="inlineStr">
        <is>
          <t>iDEAL · Technology · Band B · People Manager</t>
        </is>
      </c>
      <c r="N23" s="34" t="n">
        <v>4</v>
      </c>
      <c r="O23" s="34" t="n">
        <v>4</v>
      </c>
      <c r="P23" s="34" t="n">
        <v>4</v>
      </c>
      <c r="Q23" s="34" t="n">
        <v>4</v>
      </c>
      <c r="R23" s="34" t="n">
        <v>5</v>
      </c>
      <c r="S23" s="72" t="n">
        <v>4.5</v>
      </c>
      <c r="T23" s="73">
        <f>IF(OR($M23="",COUNT(N23,O23,P23,Q23,R23,S23)&lt;6),"",IFERROR(N23*INDEX(WM_C,MATCH($M23,WM_KEY,0))+O23*INDEX(WM_AU,MATCH($M23,WM_KEY,0))+P23*INDEX(WM_AC,MATCH($M23,WM_KEY,0))+Q23*INDEX(WM_L,MATCH($M23,WM_KEY,0))+R23*INDEX(WM_E,MATCH($M23,WM_KEY,0))+S23*INDEX(WM_BI,MATCH($M23,WM_KEY,0)),""))</f>
        <v>4.145</v>
      </c>
      <c r="U23" s="34" t="str">
        <f>IF(T23="","",INDEX({"A1","A2","A3","B1","B2","B3","C1","C2","D1","D2","E1","E2"},MAX(1,MIN(12,ROUND(T23,0)))))</f>
        <v>B1</v>
      </c>
      <c r="V23" s="12" t="inlineStr">
        <is>
          <r>
            <rPr>
              <rFont val="Calibri"/>
              <sz val="10"/>
            </rPr>
            <t xml:space="preserve">New level B1 · Team Lead. Current level on record: L4 – Senior. Change: ▲ Up.
Score 4.14 on the ladder scale → indicated level B1.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3" s="12" t="inlineStr">
        <is>
          <r>
            <rPr>
              <rFont val="Calibri"/>
              <b val="1"/>
              <sz val="10"/>
            </rPr>
            <t>Complexity &amp; Expertise:</t>
          </r>
          <r>
            <rPr>
              <rFont val="Calibri"/>
              <sz val="10"/>
            </rPr>
            <t xml:space="preserve"> 4 of 12 — Start: 4.0 · lead / specialist title; Evidence reads like B1: RBI regulatory reporting and iDEAL expertise; feasibility assessment, BRD/FSD, validation rules, UAT → matches the start; KRA: “1. Lead the end-to-end delivery of the EBR solution by ensuring all RBI-released SDMX reports are analysed, prioritized, developed, tested,…”
</t>
          </r>
          <r>
            <rPr>
              <rFont val="Calibri"/>
              <b val="1"/>
              <sz val="10"/>
            </rPr>
            <t>Autonomy &amp; Decision:</t>
          </r>
          <r>
            <rPr>
              <rFont val="Calibri"/>
              <sz val="10"/>
            </rPr>
            <t xml:space="preserve"> 4 of 12 — Start: 4.0 · lead / specialist title; Evidence reads like B1: Decides whether requirements fit standard product or need customisation, effort and cost → matches the start
</t>
          </r>
          <r>
            <rPr>
              <rFont val="Calibri"/>
              <b val="1"/>
              <sz val="10"/>
            </rPr>
            <t>Accountability &amp; Impact:</t>
          </r>
          <r>
            <rPr>
              <rFont val="Calibri"/>
              <sz val="10"/>
            </rPr>
            <t xml:space="preserve"> 4 of 12 — Start: 4.0 · lead / specialist title; 4 direct reports; Evidence reads like B1: Requirement quality, functional solution, sign-offs and end-to-end delivery coordination for bank implementations → matches the start; KRA: “1. Lead the end-to-end delivery of the EBR solution by ensuring all RBI-released SDMX reports are analysed, prioritized, developed, tested,…”
</t>
          </r>
          <r>
            <rPr>
              <rFont val="Calibri"/>
              <b val="1"/>
              <sz val="10"/>
            </rPr>
            <t>Leadership &amp; Strategy:</t>
          </r>
          <r>
            <rPr>
              <rFont val="Calibri"/>
              <sz val="10"/>
            </rPr>
            <t xml:space="preserve"> 4 of 12 — Start: 4.0; Evidence reads like B1: 4 direct reports; manager note expects building a self-sufficient team → matches the start; Team: 4 direct reports · People Manager
</t>
          </r>
          <r>
            <rPr>
              <rFont val="Calibri"/>
              <b val="1"/>
              <sz val="10"/>
            </rPr>
            <t>Experience &amp; Qualification:</t>
          </r>
          <r>
            <rPr>
              <rFont val="Calibri"/>
              <sz val="10"/>
            </rPr>
            <t xml:space="preserve"> 5 of 12 — Experience: 7.5 yrs total · 2.4 before IRIS + 5.1 at IRIS = 5.0 on the experience scale; Qualification: PGDM · postgraduate → no change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23" s="12"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Y23" s="12" t="inlineStr">
        <is>
          <r>
            <rPr>
              <rFont val="Calibri"/>
              <sz val="10"/>
            </rPr>
            <t xml:space="preserve">✓ HRIS: 7.5 yrs, PGDM, 4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23" s="12" t="inlineStr">
        <is>
          <t>—</t>
        </is>
      </c>
      <c r="AA23" s="12" t="inlineStr">
        <is>
          <t>Nothing outstanding</t>
        </is>
      </c>
      <c r="AB2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4 direct reports.
From the survey and manager mapping — critical role: yes; successor named: no.
</t>
          </r>
          <r>
            <rPr>
              <rFont val="Calibri"/>
              <b val="1"/>
              <sz val="10"/>
            </rPr>
            <t>If the work is missed · role-holders' themes:</t>
          </r>
          <r>
            <rPr>
              <rFont val="Calibri"/>
              <sz val="10"/>
            </rPr>
            <t xml:space="preserve"> client · rework · delays.
</t>
          </r>
          <r>
            <rPr>
              <rFont val="Calibri"/>
              <b val="1"/>
              <sz val="10"/>
            </rPr>
            <t>Measured on · manager-set KRA themes:</t>
          </r>
          <r>
            <rPr>
              <rFont val="Calibri"/>
              <sz val="10"/>
            </rPr>
            <t xml:space="preserve"> client · first · quality · contribute · update · establish.
Manager talent mapping — Latest rating: 4 · Potential: High · 9-Box Grid placement: High Impact / Growth Talent.</t>
          </r>
        </is>
      </c>
      <c r="AC23" s="74" t="n"/>
      <c r="AD23" s="74" t="n"/>
      <c r="AE23" s="74" t="n"/>
      <c r="AF23" s="12" t="n">
        <v>4.5</v>
      </c>
    </row>
    <row r="24" ht="379" customHeight="1">
      <c r="A24" s="12" t="inlineStr">
        <is>
          <t>IRIS1796</t>
        </is>
      </c>
      <c r="B24" s="10" t="inlineStr">
        <is>
          <t>Kailash Sahu</t>
        </is>
      </c>
      <c r="C24" s="12" t="inlineStr">
        <is>
          <t>Technology</t>
        </is>
      </c>
      <c r="D24" s="12" t="inlineStr">
        <is>
          <t>Business Analyst</t>
        </is>
      </c>
      <c r="E24" s="70" t="inlineStr">
        <is>
          <t>Business Analysis Specialist</t>
        </is>
      </c>
      <c r="F24" s="12" t="inlineStr">
        <is>
          <t>Business Analysis</t>
        </is>
      </c>
      <c r="G24" s="12" t="inlineStr">
        <is>
          <t>Business Analysis</t>
        </is>
      </c>
      <c r="H24" s="12" t="inlineStr">
        <is>
          <t>IC</t>
        </is>
      </c>
      <c r="I24" s="34" t="inlineStr">
        <is>
          <t>L3 – Professional / Associate</t>
        </is>
      </c>
      <c r="J24" s="20" t="inlineStr">
        <is>
          <t>B1</t>
        </is>
      </c>
      <c r="K24" s="21" t="inlineStr">
        <is>
          <t>Specialist</t>
        </is>
      </c>
      <c r="L24" s="75" t="inlineStr">
        <is>
          <t>▲ Up</t>
        </is>
      </c>
      <c r="M24" s="12" t="inlineStr">
        <is>
          <t>iDEAL · Technology · Band B · Expert / POD Lead</t>
        </is>
      </c>
      <c r="N24" s="34" t="n">
        <v>3</v>
      </c>
      <c r="O24" s="34" t="n">
        <v>3</v>
      </c>
      <c r="P24" s="34" t="n">
        <v>3.5</v>
      </c>
      <c r="Q24" s="34" t="n">
        <v>1.5</v>
      </c>
      <c r="R24" s="34" t="n">
        <v>10</v>
      </c>
      <c r="S24" s="72" t="n">
        <v>3.5</v>
      </c>
      <c r="T24" s="73">
        <f>IF(OR($M24="",COUNT(N24,O24,P24,Q24,R24,S24)&lt;6),"",IFERROR(N24*INDEX(WM_C,MATCH($M24,WM_KEY,0))+O24*INDEX(WM_AU,MATCH($M24,WM_KEY,0))+P24*INDEX(WM_AC,MATCH($M24,WM_KEY,0))+Q24*INDEX(WM_L,MATCH($M24,WM_KEY,0))+R24*INDEX(WM_E,MATCH($M24,WM_KEY,0))+S24*INDEX(WM_BI,MATCH($M24,WM_KEY,0)),""))</f>
        <v>3.685</v>
      </c>
      <c r="U24" s="34" t="str">
        <f>IF(T24="","",INDEX({"A1","A2","A3","B1","B2","B3","C1","C2","D1","D2","E1","E2"},MAX(1,MIN(12,ROUND(T24,0)))))</f>
        <v>B1</v>
      </c>
      <c r="V24" s="12" t="inlineStr">
        <is>
          <r>
            <rPr>
              <rFont val="Calibri"/>
              <sz val="10"/>
            </rPr>
            <t xml:space="preserve">New level B1 · Specialist. Current level on record: L3 – Professional / Associate. Change: ▲ Up.
Score 3.69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4" s="12" t="inlineStr">
        <is>
          <r>
            <rPr>
              <rFont val="Calibri"/>
              <b val="1"/>
              <sz val="10"/>
            </rPr>
            <t>Complexity &amp; Expertise:</t>
          </r>
          <r>
            <rPr>
              <rFont val="Calibri"/>
              <sz val="10"/>
            </rPr>
            <t xml:space="preserve"> 3 of 12 — Start: 3.0 · senior practitioner title; Evidence reads like A3: Resolves report errors, deploys upgrades and takes enhancement requirements for client banks → matches the start; KRA: “On Notice Period | On Notice Period”
</t>
          </r>
          <r>
            <rPr>
              <rFont val="Calibri"/>
              <b val="1"/>
              <sz val="10"/>
            </rPr>
            <t>Autonomy &amp; Decision:</t>
          </r>
          <r>
            <rPr>
              <rFont val="Calibri"/>
              <sz val="10"/>
            </rPr>
            <t xml:space="preserve"> 3 of 12 — Start: 3.0 · senior practitioner title; Evidence reads like A3: Independently resolves report errors and carries out upgrade deployments for his clients → matches the start
</t>
          </r>
          <r>
            <rPr>
              <rFont val="Calibri"/>
              <b val="1"/>
              <sz val="10"/>
            </rPr>
            <t>Accountability &amp; Impact:</t>
          </r>
          <r>
            <rPr>
              <rFont val="Calibri"/>
              <sz val="10"/>
            </rPr>
            <t xml:space="preserve"> 3.5 of 12 · between A3 and B1 — Start: 3.0 · senior practitioner title; Evidence reads like B1: Own client banks' on-time, error-free compliance filing and application issues → moved up 0.5; KRA: “On Notice Period | On Notice Period”
</t>
          </r>
          <r>
            <rPr>
              <rFont val="Calibri"/>
              <b val="1"/>
              <sz val="10"/>
            </rPr>
            <t>Leadership &amp; Strategy:</t>
          </r>
          <r>
            <rPr>
              <rFont val="Calibri"/>
              <sz val="10"/>
            </rPr>
            <t xml:space="preserve"> 1.5 of 12 · between A1 and A2 — Start: 2.0 · individual contributor, so influence only; Evidence reads like A1: No guidance of others described → moved down 0.5; Team: 0 direct reports · IC
</t>
          </r>
          <r>
            <rPr>
              <rFont val="Calibri"/>
              <b val="1"/>
              <sz val="10"/>
            </rPr>
            <t>Experience &amp; Qualification:</t>
          </r>
          <r>
            <rPr>
              <rFont val="Calibri"/>
              <sz val="10"/>
            </rPr>
            <t xml:space="preserve"> 10 of 12 — Experience: 19.9 yrs total · 12.7 before IRIS + 7.2 at IRIS = 9.7 on the experience scale; Qualification: MCA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24"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Y24" s="12" t="inlineStr">
        <is>
          <r>
            <rPr>
              <rFont val="Calibri"/>
              <sz val="10"/>
            </rPr>
            <t xml:space="preserve">✓ HRIS: 19.9 yrs, MCA,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24" s="12" t="inlineStr">
        <is>
          <t>—</t>
        </is>
      </c>
      <c r="AA24" s="12" t="inlineStr">
        <is>
          <t>Nothing outstanding</t>
        </is>
      </c>
      <c r="AB2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3 · Potential: Medium · 9-Box Grid placement: Core Contributor.</t>
          </r>
        </is>
      </c>
      <c r="AC24" s="74" t="n"/>
      <c r="AD24" s="74" t="n"/>
      <c r="AE24" s="74" t="n"/>
      <c r="AF24" s="12" t="n">
        <v>3.5</v>
      </c>
    </row>
    <row r="25" ht="379" customHeight="1">
      <c r="A25" s="12" t="inlineStr">
        <is>
          <t>IRIS2125</t>
        </is>
      </c>
      <c r="B25" s="10" t="inlineStr">
        <is>
          <t>Phuzel Siddiqui</t>
        </is>
      </c>
      <c r="C25" s="12" t="inlineStr">
        <is>
          <t>Technology</t>
        </is>
      </c>
      <c r="D25" s="12" t="inlineStr">
        <is>
          <t>Business Analyst</t>
        </is>
      </c>
      <c r="E25" s="70" t="inlineStr">
        <is>
          <t>Business Analysis Specialist – POD Lead</t>
        </is>
      </c>
      <c r="F25" s="12" t="inlineStr">
        <is>
          <t>Business Analysis</t>
        </is>
      </c>
      <c r="G25" s="12" t="inlineStr">
        <is>
          <t>Business Analysis</t>
        </is>
      </c>
      <c r="H25" s="12" t="inlineStr">
        <is>
          <t>POD Lead</t>
        </is>
      </c>
      <c r="I25" s="34" t="inlineStr">
        <is>
          <t>L3 – Professional / Associate</t>
        </is>
      </c>
      <c r="J25" s="20" t="inlineStr">
        <is>
          <t>B1</t>
        </is>
      </c>
      <c r="K25" s="21" t="inlineStr">
        <is>
          <t>Specialist · POD Lead</t>
        </is>
      </c>
      <c r="L25" s="75" t="inlineStr">
        <is>
          <t>▲ Up</t>
        </is>
      </c>
      <c r="M25" s="12" t="inlineStr">
        <is>
          <t>iDEAL · Technology · Band B · Expert / POD Lead</t>
        </is>
      </c>
      <c r="N25" s="34" t="n">
        <v>3.5</v>
      </c>
      <c r="O25" s="34" t="n">
        <v>3</v>
      </c>
      <c r="P25" s="34" t="n">
        <v>4</v>
      </c>
      <c r="Q25" s="34" t="n">
        <v>3</v>
      </c>
      <c r="R25" s="34" t="n">
        <v>6</v>
      </c>
      <c r="S25" s="72" t="n">
        <v>4.5</v>
      </c>
      <c r="T25" s="73">
        <f>IF(OR($M25="",COUNT(N25,O25,P25,Q25,R25,S25)&lt;6),"",IFERROR(N25*INDEX(WM_C,MATCH($M25,WM_KEY,0))+O25*INDEX(WM_AU,MATCH($M25,WM_KEY,0))+P25*INDEX(WM_AC,MATCH($M25,WM_KEY,0))+Q25*INDEX(WM_L,MATCH($M25,WM_KEY,0))+R25*INDEX(WM_E,MATCH($M25,WM_KEY,0))+S25*INDEX(WM_BI,MATCH($M25,WM_KEY,0)),""))</f>
        <v>3.735</v>
      </c>
      <c r="U25" s="34" t="str">
        <f>IF(T25="","",INDEX({"A1","A2","A3","B1","B2","B3","C1","C2","D1","D2","E1","E2"},MAX(1,MIN(12,ROUND(T25,0)))))</f>
        <v>B1</v>
      </c>
      <c r="V25" s="12" t="inlineStr">
        <is>
          <r>
            <rPr>
              <rFont val="Calibri"/>
              <sz val="10"/>
            </rPr>
            <t xml:space="preserve">New level B1 · Specialist · POD Lead. Current level on record: L3 – Professional / Associate. Change: ▲ Up.
Score 3.74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5" s="12" t="inlineStr">
        <is>
          <r>
            <rPr>
              <rFont val="Calibri"/>
              <b val="1"/>
              <sz val="10"/>
            </rPr>
            <t>Complexity &amp; Expertise:</t>
          </r>
          <r>
            <rPr>
              <rFont val="Calibri"/>
              <sz val="10"/>
            </rPr>
            <t xml:space="preserve"> 3.5 of 12 · between A3 and B1 — Start: 3.0 · senior practitioner title; Evidence reads like B1: Handles bank portfolio, product demos, EBR project, ETL coordination, enhancement pitches; FATCA and mutual fund reporting → moved up 0.5; KRA: “1. Effectively manage the assigned portfolio of banks and maintain high customer satisfaction, with a target of zero critical client…”
</t>
          </r>
          <r>
            <rPr>
              <rFont val="Calibri"/>
              <b val="1"/>
              <sz val="10"/>
            </rPr>
            <t>Autonomy &amp; Decision:</t>
          </r>
          <r>
            <rPr>
              <rFont val="Calibri"/>
              <sz val="10"/>
            </rPr>
            <t xml:space="preserve"> 3 of 12 — Start: 3.0 · senior practitioner title; Evidence reads like A3: Decides process streamlining and application improvement initiatives; manages portfolio independently → matches the start
</t>
          </r>
          <r>
            <rPr>
              <rFont val="Calibri"/>
              <b val="1"/>
              <sz val="10"/>
            </rPr>
            <t>Accountability &amp; Impact:</t>
          </r>
          <r>
            <rPr>
              <rFont val="Calibri"/>
              <sz val="10"/>
            </rPr>
            <t xml:space="preserve"> 4 of 12 — Start: 3.5 · senior practitioner title; 1 direct report; Evidence reads like B1: Accountable for 'the account assigned to me'; wrong report deployment hits bank's regulatory submission → moved up 0.5; KRA: “1. Effectively manage the assigned portfolio of banks and maintain high customer satisfaction, with a target of zero critical client…”
</t>
          </r>
          <r>
            <rPr>
              <rFont val="Calibri"/>
              <b val="1"/>
              <sz val="10"/>
            </rPr>
            <t>Leadership &amp; Strategy:</t>
          </r>
          <r>
            <rPr>
              <rFont val="Calibri"/>
              <sz val="10"/>
            </rPr>
            <t xml:space="preserve"> 3 of 12 — Start: 3.5; Evidence reads like A3: 1 direct report in HR data; coordinates ETL team; no mentoring described in text → moved down 0.5; Team: 1 direct report · POD Lead
</t>
          </r>
          <r>
            <rPr>
              <rFont val="Calibri"/>
              <b val="1"/>
              <sz val="10"/>
            </rPr>
            <t>Experience &amp; Qualification:</t>
          </r>
          <r>
            <rPr>
              <rFont val="Calibri"/>
              <sz val="10"/>
            </rPr>
            <t xml:space="preserve"> 6 of 12 — Experience: 9.8 yrs total · 6.4 before IRIS + 3.4 at IRIS = 5.9 on the experience scale; Qualification: B.E · graduate, relevant to the work → no change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25"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Y25" s="12" t="inlineStr">
        <is>
          <r>
            <rPr>
              <rFont val="Calibri"/>
              <sz val="10"/>
            </rPr>
            <t xml:space="preserve">✓ HRIS: 9.8 yrs, B.E, 1 direct report
✓ Survey: 18 of 20 questions answered
✓ KRAs: self, manager-set, quarterly
✓ Manager mapping: rating, potential, 9-box
✗ Job description: not on file
</t>
          </r>
          <r>
            <rPr>
              <rFont val="Calibri"/>
              <b val="1"/>
              <sz val="10"/>
            </rPr>
            <t>Confidence:</t>
          </r>
          <r>
            <rPr>
              <rFont val="Calibri"/>
              <sz val="10"/>
            </rPr>
            <t xml:space="preserve"> High</t>
          </r>
        </is>
      </c>
      <c r="Z25" s="12" t="inlineStr">
        <is>
          <t>—</t>
        </is>
      </c>
      <c r="AA25" s="12" t="inlineStr">
        <is>
          <t>Nothing outstanding</t>
        </is>
      </c>
      <c r="AB25"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critical role: yes; successor named: no.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3 · Potential: Medium · 9-Box Grid placement: Emerging Talent.</t>
          </r>
        </is>
      </c>
      <c r="AC25" s="74" t="n"/>
      <c r="AD25" s="74" t="n"/>
      <c r="AE25" s="74" t="n"/>
      <c r="AF25" s="12" t="n">
        <v>4.5</v>
      </c>
    </row>
    <row r="26" ht="379" customHeight="1">
      <c r="A26" s="12" t="inlineStr">
        <is>
          <t>IRIS0417</t>
        </is>
      </c>
      <c r="B26" s="10" t="inlineStr">
        <is>
          <t>Vishal Pingle</t>
        </is>
      </c>
      <c r="C26" s="12" t="inlineStr">
        <is>
          <t>Technology</t>
        </is>
      </c>
      <c r="D26" s="12" t="inlineStr">
        <is>
          <t>Senior Business Analyst</t>
        </is>
      </c>
      <c r="E26" s="70" t="inlineStr">
        <is>
          <t>Senior Business Analysis Specialist</t>
        </is>
      </c>
      <c r="F26" s="12" t="inlineStr">
        <is>
          <t>Business Analysis</t>
        </is>
      </c>
      <c r="G26" s="12" t="inlineStr">
        <is>
          <t>Business Analysis</t>
        </is>
      </c>
      <c r="H26" s="12" t="inlineStr">
        <is>
          <t>IC</t>
        </is>
      </c>
      <c r="I26" s="34" t="inlineStr">
        <is>
          <t>L4 – Senior</t>
        </is>
      </c>
      <c r="J26" s="20" t="inlineStr">
        <is>
          <t>B1</t>
        </is>
      </c>
      <c r="K26" s="21" t="inlineStr">
        <is>
          <t>Specialist</t>
        </is>
      </c>
      <c r="L26" s="75" t="inlineStr">
        <is>
          <t>▲ Up</t>
        </is>
      </c>
      <c r="M26" s="12" t="inlineStr">
        <is>
          <t>iDEAL · Technology · Band B · Expert / POD Lead</t>
        </is>
      </c>
      <c r="N26" s="34" t="n">
        <v>4</v>
      </c>
      <c r="O26" s="34" t="n">
        <v>3.5</v>
      </c>
      <c r="P26" s="34" t="n">
        <v>4</v>
      </c>
      <c r="Q26" s="34" t="n">
        <v>2</v>
      </c>
      <c r="R26" s="34" t="n">
        <v>8.5</v>
      </c>
      <c r="S26" s="72" t="n">
        <v>4.5</v>
      </c>
      <c r="T26" s="73">
        <f>IF(OR($M26="",COUNT(N26,O26,P26,Q26,R26,S26)&lt;6),"",IFERROR(N26*INDEX(WM_C,MATCH($M26,WM_KEY,0))+O26*INDEX(WM_AU,MATCH($M26,WM_KEY,0))+P26*INDEX(WM_AC,MATCH($M26,WM_KEY,0))+Q26*INDEX(WM_L,MATCH($M26,WM_KEY,0))+R26*INDEX(WM_E,MATCH($M26,WM_KEY,0))+S26*INDEX(WM_BI,MATCH($M26,WM_KEY,0)),""))</f>
        <v>4.3</v>
      </c>
      <c r="U26" s="34" t="str">
        <f>IF(T26="","",INDEX({"A1","A2","A3","B1","B2","B3","C1","C2","D1","D2","E1","E2"},MAX(1,MIN(12,ROUND(T26,0)))))</f>
        <v>B1</v>
      </c>
      <c r="V26" s="12" t="inlineStr">
        <is>
          <r>
            <rPr>
              <rFont val="Calibri"/>
              <sz val="10"/>
            </rPr>
            <t xml:space="preserve">New level B1 · Specialist. Current level on record: L4 – Senior. Change: ▲ Up.
Score 4.30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6" s="12" t="inlineStr">
        <is>
          <r>
            <rPr>
              <rFont val="Calibri"/>
              <b val="1"/>
              <sz val="10"/>
            </rPr>
            <t>Complexity &amp; Expertise:</t>
          </r>
          <r>
            <rPr>
              <rFont val="Calibri"/>
              <sz val="10"/>
            </rPr>
            <t xml:space="preserve"> 4 of 12 — Start: 4.0 · lead / specialist title; Evidence reads like B1: RBI CIMS return developments, taxonomy changes, validation rules and client customisations across assigned banks → matches the start; KRA: “1. Effectively manage the assigned portfolio of banks and maintain high customer satisfaction, with a target of zero critical client…”
</t>
          </r>
          <r>
            <rPr>
              <rFont val="Calibri"/>
              <b val="1"/>
              <sz val="10"/>
            </rPr>
            <t>Autonomy &amp; Decision:</t>
          </r>
          <r>
            <rPr>
              <rFont val="Calibri"/>
              <sz val="10"/>
            </rPr>
            <t xml:space="preserve"> 3.5 of 12 · between A3 and B1 — Start: 4.0 · lead / specialist title; Evidence reads like A3: Analyses and resolves routine client issues independently; escalates others → moved down 0.5
</t>
          </r>
          <r>
            <rPr>
              <rFont val="Calibri"/>
              <b val="1"/>
              <sz val="10"/>
            </rPr>
            <t>Accountability &amp; Impact:</t>
          </r>
          <r>
            <rPr>
              <rFont val="Calibri"/>
              <sz val="10"/>
            </rPr>
            <t xml:space="preserve"> 4 of 12 — Start: 4.0 · lead / specialist title; Evidence reads like B1: Assigned bank clients end to end; timely, accurate return and taxonomy deliveries → matches the start; KRA: “1. Effectively manage the assigned portfolio of banks and maintain high customer satisfaction, with a target of zero critical client…”
</t>
          </r>
          <r>
            <rPr>
              <rFont val="Calibri"/>
              <b val="1"/>
              <sz val="10"/>
            </rPr>
            <t>Leadership &amp; Strategy:</t>
          </r>
          <r>
            <rPr>
              <rFont val="Calibri"/>
              <sz val="10"/>
            </rPr>
            <t xml:space="preserve"> 2 of 12 — Start: 3.0 · individual contributor, so influence only; Evidence reads like A1: None described → moved down 1; Team: 0 direct reports · IC
</t>
          </r>
          <r>
            <rPr>
              <rFont val="Calibri"/>
              <b val="1"/>
              <sz val="10"/>
            </rPr>
            <t>Experience &amp; Qualification:</t>
          </r>
          <r>
            <rPr>
              <rFont val="Calibri"/>
              <sz val="10"/>
            </rPr>
            <t xml:space="preserve"> 8.5 of 12 · between C2 and D1 — Experience: 16.5 yrs total · 0.5 before IRIS + 16.0 at IRIS = 8.7 on the experience scale; Qualification: B.Com · graduate → no change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26" s="12" t="inlineStr">
        <is>
          <r>
            <rPr>
              <rFont val="Calibri"/>
              <b val="1"/>
              <sz val="10"/>
            </rPr>
            <t>Market level:</t>
          </r>
          <r>
            <rPr>
              <rFont val="Calibri"/>
              <sz val="10"/>
            </rPr>
            <t xml:space="preserve"> P3 / M2 · SFIA 4 Enable
</t>
          </r>
          <r>
            <rPr>
              <rFont val="Calibri"/>
              <b val="1"/>
              <sz val="10"/>
            </rPr>
            <t>Typical title:</t>
          </r>
          <r>
            <rPr>
              <rFont val="Calibri"/>
              <sz val="10"/>
            </rPr>
            <t xml:space="preserve"> Lead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Y26" s="12" t="inlineStr">
        <is>
          <r>
            <rPr>
              <rFont val="Calibri"/>
              <sz val="10"/>
            </rPr>
            <t xml:space="preserve">✓ HRIS: 16.5 yrs, B.Com,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26" s="12" t="inlineStr">
        <is>
          <t>—</t>
        </is>
      </c>
      <c r="AA26" s="12" t="inlineStr">
        <is>
          <t>Nothing outstanding</t>
        </is>
      </c>
      <c r="AB26"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From the survey and manager mapping — critical role: yes; successor named: no.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3 · Potential: Medium · 9-Box Grid placement: Trusted Professional.</t>
          </r>
        </is>
      </c>
      <c r="AC26" s="74" t="n"/>
      <c r="AD26" s="74" t="n"/>
      <c r="AE26" s="74" t="n"/>
      <c r="AF26" s="12" t="n">
        <v>4.5</v>
      </c>
    </row>
    <row r="27" ht="379" customHeight="1">
      <c r="A27" s="12" t="inlineStr">
        <is>
          <t>IRIS1809</t>
        </is>
      </c>
      <c r="B27" s="10" t="inlineStr">
        <is>
          <t>Jignasha Sawla</t>
        </is>
      </c>
      <c r="C27" s="12" t="inlineStr">
        <is>
          <t>Technology</t>
        </is>
      </c>
      <c r="D27" s="12" t="inlineStr">
        <is>
          <t>Database Lead</t>
        </is>
      </c>
      <c r="E27" s="70" t="inlineStr">
        <is>
          <t>Database Specialist – POD Lead</t>
        </is>
      </c>
      <c r="F27" s="12" t="inlineStr">
        <is>
          <t>Engineering &amp; Development</t>
        </is>
      </c>
      <c r="G27" s="12" t="inlineStr">
        <is>
          <t>Data Engineering &amp; Database Development</t>
        </is>
      </c>
      <c r="H27" s="12" t="inlineStr">
        <is>
          <t>POD Lead</t>
        </is>
      </c>
      <c r="I27" s="34" t="inlineStr">
        <is>
          <t>L5 – Lead · IC</t>
        </is>
      </c>
      <c r="J27" s="20" t="inlineStr">
        <is>
          <t>B1</t>
        </is>
      </c>
      <c r="K27" s="21" t="inlineStr">
        <is>
          <t>Specialist · POD Lead</t>
        </is>
      </c>
      <c r="L27" s="79" t="inlineStr">
        <is>
          <t>▼ Down · pay &amp; title protected</t>
        </is>
      </c>
      <c r="M27" s="12" t="inlineStr">
        <is>
          <t>iDEAL · Technology · Band B · Expert / POD Lead</t>
        </is>
      </c>
      <c r="N27" s="34" t="n">
        <v>3.5</v>
      </c>
      <c r="O27" s="34" t="n">
        <v>3.5</v>
      </c>
      <c r="P27" s="34" t="n">
        <v>3.5</v>
      </c>
      <c r="Q27" s="34" t="n">
        <v>3</v>
      </c>
      <c r="R27" s="34" t="n">
        <v>9</v>
      </c>
      <c r="S27" s="72" t="n">
        <v>4</v>
      </c>
      <c r="T27" s="73">
        <f>IF(OR($M27="",COUNT(N27,O27,P27,Q27,R27,S27)&lt;6),"",IFERROR(N27*INDEX(WM_C,MATCH($M27,WM_KEY,0))+O27*INDEX(WM_AU,MATCH($M27,WM_KEY,0))+P27*INDEX(WM_AC,MATCH($M27,WM_KEY,0))+Q27*INDEX(WM_L,MATCH($M27,WM_KEY,0))+R27*INDEX(WM_E,MATCH($M27,WM_KEY,0))+S27*INDEX(WM_BI,MATCH($M27,WM_KEY,0)),""))</f>
        <v>4.06</v>
      </c>
      <c r="U27" s="34" t="str">
        <f>IF(T27="","",INDEX({"A1","A2","A3","B1","B2","B3","C1","C2","D1","D2","E1","E2"},MAX(1,MIN(12,ROUND(T27,0)))))</f>
        <v>B1</v>
      </c>
      <c r="V27" s="12" t="inlineStr">
        <is>
          <r>
            <rPr>
              <rFont val="Calibri"/>
              <sz val="10"/>
            </rPr>
            <t xml:space="preserve">New level B1 · Specialist · POD Lead. Current level on record: L5 – Lead · IC. Change: ▼ Down · pay &amp; title protected.
Score 4.06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27" s="12" t="inlineStr">
        <is>
          <r>
            <rPr>
              <rFont val="Calibri"/>
              <b val="1"/>
              <sz val="10"/>
            </rPr>
            <t>Complexity &amp; Expertise:</t>
          </r>
          <r>
            <rPr>
              <rFont val="Calibri"/>
              <sz val="10"/>
            </rPr>
            <t xml:space="preserve"> 3.5 of 12 · between A3 and B1 — Start: 4.0 · lead / specialist title; Evidence reads like A3: Database development of procedures and functions, ETL tools, resolves production database issues → moved down 0.5; KRA: “1. Deliver end-to-end database development and project deliverables with high quality, timely execution, and adherence to business…”
</t>
          </r>
          <r>
            <rPr>
              <rFont val="Calibri"/>
              <b val="1"/>
              <sz val="10"/>
            </rPr>
            <t>Autonomy &amp; Decision:</t>
          </r>
          <r>
            <rPr>
              <rFont val="Calibri"/>
              <sz val="10"/>
            </rPr>
            <t xml:space="preserve"> 3.5 of 12 · between A3 and B1 — Start: 4.0 · lead / specialist title; Evidence reads like A3: Independently decides how to resolve database issues → moved down 0.5
</t>
          </r>
          <r>
            <rPr>
              <rFont val="Calibri"/>
              <b val="1"/>
              <sz val="10"/>
            </rPr>
            <t>Accountability &amp; Impact:</t>
          </r>
          <r>
            <rPr>
              <rFont val="Calibri"/>
              <sz val="10"/>
            </rPr>
            <t xml:space="preserve"> 3.5 of 12 · between A3 and B1 — Start: 3.8 · lead / specialist title; 1 direct report; Evidence reads like A3: Accountable for any database issues, including out-of-hours production fixes → moved down 0.2; KRA: “1. Deliver end-to-end database development and project deliverables with high quality, timely execution, and adherence to business…”
</t>
          </r>
          <r>
            <rPr>
              <rFont val="Calibri"/>
              <b val="1"/>
              <sz val="10"/>
            </rPr>
            <t>Leadership &amp; Strategy:</t>
          </r>
          <r>
            <rPr>
              <rFont val="Calibri"/>
              <sz val="10"/>
            </rPr>
            <t xml:space="preserve"> 3 of 12 — Start: 3.5; Evidence reads like A3: Manages tasks and status of the team; 1 direct report → moved down 0.5; Team: 1 direct report · POD Lead
</t>
          </r>
          <r>
            <rPr>
              <rFont val="Calibri"/>
              <b val="1"/>
              <sz val="10"/>
            </rPr>
            <t>Experience &amp; Qualification:</t>
          </r>
          <r>
            <rPr>
              <rFont val="Calibri"/>
              <sz val="10"/>
            </rPr>
            <t xml:space="preserve"> 9 of 12 — Experience: 17.0 yrs total · 10.0 before IRIS + 7.0 at IRIS = 8.8 on the experience scale; Qualification: B.E · graduate, relevant to the work → no change
</t>
          </r>
          <r>
            <rPr>
              <rFont val="Calibri"/>
              <b val="1"/>
              <sz val="10"/>
            </rPr>
            <t>Business Impact:</t>
          </r>
          <r>
            <rPr>
              <rFont val="Calibri"/>
              <sz val="10"/>
            </rPr>
            <t xml:space="preserve"> 4 of 12 — a starting estimate. —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r>
        </is>
      </c>
      <c r="X27"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27" s="12" t="inlineStr">
        <is>
          <r>
            <rPr>
              <rFont val="Calibri"/>
              <sz val="10"/>
            </rPr>
            <t xml:space="preserve">✓ HRIS: 17.0 yrs, B.E, 1 direct report
✓ Survey: 20 of 20 questions answered
✓ KRAs: self, manager-set, quarterly
✓ Manager mapping: rating, potential, 9-box
✗ Job description: not on file
</t>
          </r>
          <r>
            <rPr>
              <rFont val="Calibri"/>
              <b val="1"/>
              <sz val="10"/>
            </rPr>
            <t>Confidence:</t>
          </r>
          <r>
            <rPr>
              <rFont val="Calibri"/>
              <sz val="10"/>
            </rPr>
            <t xml:space="preserve"> Medium</t>
          </r>
        </is>
      </c>
      <c r="Z27" s="76" t="inlineStr">
        <is>
          <r>
            <rPr>
              <rFont val="Calibri"/>
              <color rgb="009C5700"/>
              <sz val="10"/>
            </rPr>
            <t xml:space="preserve">• </t>
          </r>
          <r>
            <rPr>
              <rFont val="Calibri"/>
              <b val="1"/>
              <color rgb="009C5700"/>
              <sz val="10"/>
            </rPr>
            <t>Moves down:</t>
          </r>
          <r>
            <rPr>
              <rFont val="Calibri"/>
              <color rgb="009C5700"/>
              <sz val="10"/>
            </rPr>
            <t xml:space="preserve"> protected for one cycle</t>
          </r>
        </is>
      </c>
      <c r="AA27" s="12" t="inlineStr">
        <is>
          <t>Nothing outstanding</t>
        </is>
      </c>
      <c r="AB2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1 direct report.
From the survey and manager mapping — work only this person does: yes; successor named: no.
</t>
          </r>
          <r>
            <rPr>
              <rFont val="Calibri"/>
              <b val="1"/>
              <sz val="10"/>
            </rPr>
            <t>If the work is missed · role-holders' themes:</t>
          </r>
          <r>
            <rPr>
              <rFont val="Calibri"/>
              <sz val="10"/>
            </rPr>
            <t xml:space="preserve"> issues · lead · incorrect.
Manager talent mapping — Latest rating: 2 · Potential: Low · 9-Box Grid placement: Performance Risk.</t>
          </r>
        </is>
      </c>
      <c r="AC27" s="74" t="n"/>
      <c r="AD27" s="74" t="n"/>
      <c r="AE27" s="74" t="n"/>
      <c r="AF27" s="12" t="n">
        <v>4</v>
      </c>
    </row>
    <row r="28" ht="379" customHeight="1">
      <c r="A28" s="12" t="inlineStr">
        <is>
          <t>IRIS1343</t>
        </is>
      </c>
      <c r="B28" s="10" t="inlineStr">
        <is>
          <t>Anand Usakoyal</t>
        </is>
      </c>
      <c r="C28" s="12" t="inlineStr">
        <is>
          <t>Technology</t>
        </is>
      </c>
      <c r="D28" s="12" t="inlineStr">
        <is>
          <t>Project Lead</t>
        </is>
      </c>
      <c r="E28" s="70" t="inlineStr">
        <is>
          <t>Associate Project Manager</t>
        </is>
      </c>
      <c r="F28" s="12" t="inlineStr">
        <is>
          <t>Project &amp; Program Management</t>
        </is>
      </c>
      <c r="G28" s="12" t="inlineStr">
        <is>
          <t>Project &amp; Program Delivery</t>
        </is>
      </c>
      <c r="H28" s="12" t="inlineStr">
        <is>
          <t>IC</t>
        </is>
      </c>
      <c r="I28" s="34" t="inlineStr">
        <is>
          <t>L5 – Lead · IC</t>
        </is>
      </c>
      <c r="J28" s="20" t="inlineStr">
        <is>
          <t>B1</t>
        </is>
      </c>
      <c r="K28" s="21" t="inlineStr">
        <is>
          <t>Specialist</t>
        </is>
      </c>
      <c r="L28" s="79" t="inlineStr">
        <is>
          <t>▼ Down · pay &amp; title protected</t>
        </is>
      </c>
      <c r="M28" s="12" t="inlineStr">
        <is>
          <t>iDEAL · Technology · Band B · Expert / POD Lead</t>
        </is>
      </c>
      <c r="N28" s="34" t="n">
        <v>3.5</v>
      </c>
      <c r="O28" s="34" t="n">
        <v>3.5</v>
      </c>
      <c r="P28" s="34" t="n">
        <v>4</v>
      </c>
      <c r="Q28" s="34" t="n">
        <v>3</v>
      </c>
      <c r="R28" s="34" t="n">
        <v>7.5</v>
      </c>
      <c r="S28" s="72" t="n">
        <v>4</v>
      </c>
      <c r="T28" s="73">
        <f>IF(OR($M28="",COUNT(N28,O28,P28,Q28,R28,S28)&lt;6),"",IFERROR(N28*INDEX(WM_C,MATCH($M28,WM_KEY,0))+O28*INDEX(WM_AU,MATCH($M28,WM_KEY,0))+P28*INDEX(WM_AC,MATCH($M28,WM_KEY,0))+Q28*INDEX(WM_L,MATCH($M28,WM_KEY,0))+R28*INDEX(WM_E,MATCH($M28,WM_KEY,0))+S28*INDEX(WM_BI,MATCH($M28,WM_KEY,0)),""))</f>
        <v>3.935</v>
      </c>
      <c r="U28" s="34" t="str">
        <f>IF(T28="","",INDEX({"A1","A2","A3","B1","B2","B3","C1","C2","D1","D2","E1","E2"},MAX(1,MIN(12,ROUND(T28,0)))))</f>
        <v>B1</v>
      </c>
      <c r="V28" s="12" t="inlineStr">
        <is>
          <r>
            <rPr>
              <rFont val="Calibri"/>
              <sz val="10"/>
            </rPr>
            <t xml:space="preserve">New level B1 · Specialist. Current level on record: L5 – Lead · IC. Change: ▼ Down · pay &amp; title protected.
Score 3.94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28" s="12" t="inlineStr">
        <is>
          <r>
            <rPr>
              <rFont val="Calibri"/>
              <b val="1"/>
              <sz val="10"/>
            </rPr>
            <t>Complexity &amp; Expertise:</t>
          </r>
          <r>
            <rPr>
              <rFont val="Calibri"/>
              <sz val="10"/>
            </rPr>
            <t xml:space="preserve"> 3.5 of 12 · between A3 and B1 — Start: 4.0 · lead / specialist title; Evidence reads like A3: Gathers RBI EBR return requirements, verifies developed returns, resolves team doubts → moved down 0.5; KRA: “1. Develop a comprehensive understanding of the EBR solution workflow, reporting framework, and implementation processes by August 2026.…”
</t>
          </r>
          <r>
            <rPr>
              <rFont val="Calibri"/>
              <b val="1"/>
              <sz val="10"/>
            </rPr>
            <t>Autonomy &amp; Decision:</t>
          </r>
          <r>
            <rPr>
              <rFont val="Calibri"/>
              <sz val="10"/>
            </rPr>
            <t xml:space="preserve"> 3.5 of 12 · between A3 and B1 — Start: 4.0 · lead / specialist title; Evidence reads like A3: Decides requirement gathering independently; verifies returns before delivery to banks → moved down 0.5
</t>
          </r>
          <r>
            <rPr>
              <rFont val="Calibri"/>
              <b val="1"/>
              <sz val="10"/>
            </rPr>
            <t>Accountability &amp; Impact:</t>
          </r>
          <r>
            <rPr>
              <rFont val="Calibri"/>
              <sz val="10"/>
            </rPr>
            <t xml:space="preserve"> 4 of 12 — Start: 4.0 · lead / specialist title; Evidence reads like B1: Answers for EBR returns delivered to banks meeting RBI standards → matches the start; KRA: “1. Develop a comprehensive understanding of the EBR solution workflow, reporting framework, and implementation processes by August 2026.…”
</t>
          </r>
          <r>
            <rPr>
              <rFont val="Calibri"/>
              <b val="1"/>
              <sz val="10"/>
            </rPr>
            <t>Leadership &amp; Strategy:</t>
          </r>
          <r>
            <rPr>
              <rFont val="Calibri"/>
              <sz val="10"/>
            </rPr>
            <t xml:space="preserve"> 3 of 12 — Start: 3.0 · individual contributor, so influence only; Evidence reads like A3: Coordinates development and testing teams; gives guidance and resolves doubts → matches the start; Team: 0 direct reports · IC
</t>
          </r>
          <r>
            <rPr>
              <rFont val="Calibri"/>
              <b val="1"/>
              <sz val="10"/>
            </rPr>
            <t>Experience &amp; Qualification:</t>
          </r>
          <r>
            <rPr>
              <rFont val="Calibri"/>
              <sz val="10"/>
            </rPr>
            <t xml:space="preserve"> 7.5 of 12 · between C1 and C2 — Experience: 13.3 yrs total · 13.3 at IRIS; none recorded before IRIS = 7.5 on the experience scale; Qualification: MBA · postgraduate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28" s="12" t="inlineStr">
        <is>
          <r>
            <rPr>
              <rFont val="Calibri"/>
              <b val="1"/>
              <sz val="10"/>
            </rPr>
            <t>Market level:</t>
          </r>
          <r>
            <rPr>
              <rFont val="Calibri"/>
              <sz val="10"/>
            </rPr>
            <t xml:space="preserve"> P3 / M2 · SFIA 4 Enable
</t>
          </r>
          <r>
            <rPr>
              <rFont val="Calibri"/>
              <b val="1"/>
              <sz val="10"/>
            </rPr>
            <t>Typical title:</t>
          </r>
          <r>
            <rPr>
              <rFont val="Calibri"/>
              <sz val="10"/>
            </rPr>
            <t xml:space="preserve"> Project Manager
</t>
          </r>
          <r>
            <rPr>
              <rFont val="Calibri"/>
              <b val="1"/>
              <sz val="10"/>
            </rPr>
            <t>At peers:</t>
          </r>
          <r>
            <rPr>
              <rFont val="Calibri"/>
              <sz val="10"/>
            </rPr>
            <t xml:space="preserve"> IRIS Vs Competitor Benchmark — PMI pathway + SaaS delivery ladder: Project Manager · PMP
</t>
          </r>
          <r>
            <rPr>
              <rFont val="Calibri"/>
              <b val="1"/>
              <sz val="10"/>
            </rPr>
            <t>Typical experience:</t>
          </r>
          <r>
            <rPr>
              <rFont val="Calibri"/>
              <sz val="10"/>
            </rPr>
            <t xml:space="preserve"> 4–8 yrs · IRIS guide 4–7
</t>
          </r>
          <r>
            <rPr>
              <rFont val="Calibri"/>
              <b val="1"/>
              <sz val="10"/>
            </rPr>
            <t>Standard:</t>
          </r>
          <r>
            <rPr>
              <rFont val="Calibri"/>
              <sz val="10"/>
            </rPr>
            <t xml:space="preserve"> PMI PMBOK and Talent Triangle; CAPM → PMP → PgMP</t>
          </r>
        </is>
      </c>
      <c r="Y28" s="12" t="inlineStr">
        <is>
          <r>
            <rPr>
              <rFont val="Calibri"/>
              <sz val="10"/>
            </rPr>
            <t xml:space="preserve">✓ HRIS: 13.3 yrs, MBA,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28" s="76" t="inlineStr">
        <is>
          <r>
            <rPr>
              <rFont val="Calibri"/>
              <color rgb="009C5700"/>
              <sz val="10"/>
            </rPr>
            <t xml:space="preserve">• </t>
          </r>
          <r>
            <rPr>
              <rFont val="Calibri"/>
              <b val="1"/>
              <color rgb="009C5700"/>
              <sz val="10"/>
            </rPr>
            <t>Moves down:</t>
          </r>
          <r>
            <rPr>
              <rFont val="Calibri"/>
              <color rgb="009C5700"/>
              <sz val="10"/>
            </rPr>
            <t xml:space="preserve"> protected for one cycle
• </t>
          </r>
          <r>
            <rPr>
              <rFont val="Calibri"/>
              <b val="1"/>
              <color rgb="009C5700"/>
              <sz val="10"/>
            </rPr>
            <t>Title check:</t>
          </r>
          <r>
            <rPr>
              <rFont val="Calibri"/>
              <color rgb="009C5700"/>
              <sz val="10"/>
            </rPr>
            <t xml:space="preserve"> Market-standard role title</t>
          </r>
        </is>
      </c>
      <c r="AA28" s="12" t="inlineStr">
        <is>
          <t>Nothing outstanding</t>
        </is>
      </c>
      <c r="AB28"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t>
          </r>
          <r>
            <rPr>
              <rFont val="Calibri"/>
              <b val="1"/>
              <sz val="10"/>
            </rPr>
            <t>If the work is missed · role-holders' themes:</t>
          </r>
          <r>
            <rPr>
              <rFont val="Calibri"/>
              <sz val="10"/>
            </rPr>
            <t xml:space="preserve"> client · potential.
</t>
          </r>
          <r>
            <rPr>
              <rFont val="Calibri"/>
              <b val="1"/>
              <sz val="10"/>
            </rPr>
            <t>Measured on · manager-set KRA themes:</t>
          </r>
          <r>
            <rPr>
              <rFont val="Calibri"/>
              <sz val="10"/>
            </rPr>
            <t xml:space="preserve"> projects · support · maintain · reporting · on-time.
Manager talent mapping — Latest rating: 3 · Potential: Medium · 9-Box Grid placement: Emerging Talent.</t>
          </r>
        </is>
      </c>
      <c r="AC28" s="74" t="n"/>
      <c r="AD28" s="74" t="n"/>
      <c r="AE28" s="74" t="n"/>
      <c r="AF28" s="12" t="n">
        <v>4</v>
      </c>
    </row>
    <row r="29" ht="379" customHeight="1">
      <c r="A29" s="12" t="inlineStr">
        <is>
          <t>IRIS2236</t>
        </is>
      </c>
      <c r="B29" s="10" t="inlineStr">
        <is>
          <t>Anishaa Mahesh Kukreja</t>
        </is>
      </c>
      <c r="C29" s="12" t="inlineStr">
        <is>
          <t>Technology</t>
        </is>
      </c>
      <c r="D29" s="12" t="inlineStr">
        <is>
          <t>Business Analyst</t>
        </is>
      </c>
      <c r="E29" s="70" t="inlineStr">
        <is>
          <t>Senior Business Analyst</t>
        </is>
      </c>
      <c r="F29" s="12" t="inlineStr">
        <is>
          <t>Business Analysis</t>
        </is>
      </c>
      <c r="G29" s="12" t="inlineStr">
        <is>
          <t>Business Analysis</t>
        </is>
      </c>
      <c r="H29" s="12" t="inlineStr">
        <is>
          <t>IC</t>
        </is>
      </c>
      <c r="I29" s="34" t="inlineStr">
        <is>
          <t>L3 – Professional / Associate</t>
        </is>
      </c>
      <c r="J29" s="16" t="inlineStr">
        <is>
          <t>A3</t>
        </is>
      </c>
      <c r="K29" s="17" t="inlineStr">
        <is>
          <t>Senior Associate</t>
        </is>
      </c>
      <c r="L29" s="75" t="inlineStr">
        <is>
          <t>▲ Up</t>
        </is>
      </c>
      <c r="M29" s="12" t="inlineStr">
        <is>
          <t>iDEAL · Technology · Band A · Early career</t>
        </is>
      </c>
      <c r="N29" s="34" t="n">
        <v>3</v>
      </c>
      <c r="O29" s="34" t="n">
        <v>3</v>
      </c>
      <c r="P29" s="34" t="n">
        <v>3.5</v>
      </c>
      <c r="Q29" s="34" t="n">
        <v>2</v>
      </c>
      <c r="R29" s="34" t="n">
        <v>4.5</v>
      </c>
      <c r="S29" s="72" t="n">
        <v>4</v>
      </c>
      <c r="T29" s="73">
        <f>IF(OR($M29="",COUNT(N29,O29,P29,Q29,R29,S29)&lt;6),"",IFERROR(N29*INDEX(WM_C,MATCH($M29,WM_KEY,0))+O29*INDEX(WM_AU,MATCH($M29,WM_KEY,0))+P29*INDEX(WM_AC,MATCH($M29,WM_KEY,0))+Q29*INDEX(WM_L,MATCH($M29,WM_KEY,0))+R29*INDEX(WM_E,MATCH($M29,WM_KEY,0))+S29*INDEX(WM_BI,MATCH($M29,WM_KEY,0)),""))</f>
        <v>3.23</v>
      </c>
      <c r="U29" s="34" t="str">
        <f>IF(T29="","",INDEX({"A1","A2","A3","B1","B2","B3","C1","C2","D1","D2","E1","E2"},MAX(1,MIN(12,ROUND(T29,0)))))</f>
        <v>A3</v>
      </c>
      <c r="V29" s="12" t="inlineStr">
        <is>
          <r>
            <rPr>
              <rFont val="Calibri"/>
              <sz val="10"/>
            </rPr>
            <t xml:space="preserve">New level A3 · Senior Associate. Current level on record: L3 – Professional / Associate. Change: ▲ Up.
Score 3.23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9" s="12" t="inlineStr">
        <is>
          <r>
            <rPr>
              <rFont val="Calibri"/>
              <b val="1"/>
              <sz val="10"/>
            </rPr>
            <t>Complexity &amp; Expertise:</t>
          </r>
          <r>
            <rPr>
              <rFont val="Calibri"/>
              <sz val="10"/>
            </rPr>
            <t xml:space="preserve"> 3 of 12 — Start: 3.0 · senior practitioner title; Evidence reads like A3: Requirement gathering, testing, demos and documentation for RPT; CIMS and EBR support → matches the start; KRA: “1. Effectively manage the assigned portfolio of banks and maintain high customer satisfaction, with a target of zero critical client…”
</t>
          </r>
          <r>
            <rPr>
              <rFont val="Calibri"/>
              <b val="1"/>
              <sz val="10"/>
            </rPr>
            <t>Autonomy &amp; Decision:</t>
          </r>
          <r>
            <rPr>
              <rFont val="Calibri"/>
              <sz val="10"/>
            </rPr>
            <t xml:space="preserve"> 3 of 12 — Start: 3.0 · senior practitioner title; Evidence reads like A3: Coordinates the RPT project and independently validates delivered solution against expected outcome → matches the start
</t>
          </r>
          <r>
            <rPr>
              <rFont val="Calibri"/>
              <b val="1"/>
              <sz val="10"/>
            </rPr>
            <t>Accountability &amp; Impact:</t>
          </r>
          <r>
            <rPr>
              <rFont val="Calibri"/>
              <sz val="10"/>
            </rPr>
            <t xml:space="preserve"> 3.5 of 12 · between A3 and B1 — Start: 3.0 · senior practitioner title; Evidence reads like B1: States accountability for end-to-end RPT project delivery; manager note says 'contribute' → moved up 0.5; KRA: “1. Effectively manage the assigned portfolio of banks and maintain high customer satisfaction, with a target of zero critical client…”
</t>
          </r>
          <r>
            <rPr>
              <rFont val="Calibri"/>
              <b val="1"/>
              <sz val="10"/>
            </rPr>
            <t>Leadership &amp; Strategy:</t>
          </r>
          <r>
            <rPr>
              <rFont val="Calibri"/>
              <sz val="10"/>
            </rPr>
            <t xml:space="preserve"> 2 of 12 — not counted: the weight is 0% at this level — Start: 2.0 · individual contributor, so influence only; Evidence reads like A2: Coordinates stakeholders and runs RPT demos; no people guidance described → matches the start; Team: 0 direct reports · IC
</t>
          </r>
          <r>
            <rPr>
              <rFont val="Calibri"/>
              <b val="1"/>
              <sz val="10"/>
            </rPr>
            <t>Experience &amp; Qualification:</t>
          </r>
          <r>
            <rPr>
              <rFont val="Calibri"/>
              <sz val="10"/>
            </rPr>
            <t xml:space="preserve"> 4.5 of 12 · between B1 and B2 — Experience: 6.5 yrs total · 4.0 before IRIS + 2.5 at IRIS = 4.5 on the experience scale; Qualification: B.E · graduate, relevant to the work → no change
</t>
          </r>
          <r>
            <rPr>
              <rFont val="Calibri"/>
              <b val="1"/>
              <sz val="10"/>
            </rPr>
            <t>Business Impact:</t>
          </r>
          <r>
            <rPr>
              <rFont val="Calibri"/>
              <sz val="10"/>
            </rPr>
            <t xml:space="preserve"> 4 of 12 — a starting estimate. —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r>
        </is>
      </c>
      <c r="X29"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29" s="12" t="inlineStr">
        <is>
          <r>
            <rPr>
              <rFont val="Calibri"/>
              <sz val="10"/>
            </rPr>
            <t xml:space="preserve">✓ HRIS: 6.5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29" s="12" t="inlineStr">
        <is>
          <t>—</t>
        </is>
      </c>
      <c r="AA29" s="12" t="inlineStr">
        <is>
          <t>Nothing outstanding</t>
        </is>
      </c>
      <c r="AB2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From the survey and manager mapping — work only this person does: yes;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Core Contributor.</t>
          </r>
        </is>
      </c>
      <c r="AC29" s="74" t="n"/>
      <c r="AD29" s="74" t="n"/>
      <c r="AE29" s="74" t="n"/>
      <c r="AF29" s="12" t="n">
        <v>4</v>
      </c>
    </row>
    <row r="30" ht="379" customHeight="1">
      <c r="A30" s="12" t="inlineStr">
        <is>
          <t>IRIS2536</t>
        </is>
      </c>
      <c r="B30" s="10" t="inlineStr">
        <is>
          <t>Mohin Patel</t>
        </is>
      </c>
      <c r="C30" s="12" t="inlineStr">
        <is>
          <t>Technology</t>
        </is>
      </c>
      <c r="D30" s="12" t="inlineStr">
        <is>
          <t>Business Analyst</t>
        </is>
      </c>
      <c r="E30" s="70" t="inlineStr">
        <is>
          <t>Senior Business Analyst</t>
        </is>
      </c>
      <c r="F30" s="12" t="inlineStr">
        <is>
          <t>Business Analysis</t>
        </is>
      </c>
      <c r="G30" s="12" t="inlineStr">
        <is>
          <t>Business Analysis</t>
        </is>
      </c>
      <c r="H30" s="12" t="inlineStr">
        <is>
          <t>IC</t>
        </is>
      </c>
      <c r="I30" s="34" t="inlineStr">
        <is>
          <t>L3 – Professional / Associate</t>
        </is>
      </c>
      <c r="J30" s="16" t="inlineStr">
        <is>
          <t>A3</t>
        </is>
      </c>
      <c r="K30" s="17" t="inlineStr">
        <is>
          <t>Senior Associate</t>
        </is>
      </c>
      <c r="L30" s="75" t="inlineStr">
        <is>
          <t>▲ Up</t>
        </is>
      </c>
      <c r="M30" s="12" t="inlineStr">
        <is>
          <t>iDEAL · Technology · Band A · Early career</t>
        </is>
      </c>
      <c r="N30" s="34" t="n">
        <v>2.5</v>
      </c>
      <c r="O30" s="34" t="n">
        <v>2.5</v>
      </c>
      <c r="P30" s="34" t="n">
        <v>2.5</v>
      </c>
      <c r="Q30" s="34" t="n">
        <v>1.5</v>
      </c>
      <c r="R30" s="34" t="n">
        <v>3</v>
      </c>
      <c r="S30" s="72" t="n">
        <v>2.5</v>
      </c>
      <c r="T30" s="73">
        <f>IF(OR($M30="",COUNT(N30,O30,P30,Q30,R30,S30)&lt;6),"",IFERROR(N30*INDEX(WM_C,MATCH($M30,WM_KEY,0))+O30*INDEX(WM_AU,MATCH($M30,WM_KEY,0))+P30*INDEX(WM_AC,MATCH($M30,WM_KEY,0))+Q30*INDEX(WM_L,MATCH($M30,WM_KEY,0))+R30*INDEX(WM_E,MATCH($M30,WM_KEY,0))+S30*INDEX(WM_BI,MATCH($M30,WM_KEY,0)),""))</f>
        <v>2.55</v>
      </c>
      <c r="U30" s="34" t="str">
        <f>IF(T30="","",INDEX({"A1","A2","A3","B1","B2","B3","C1","C2","D1","D2","E1","E2"},MAX(1,MIN(12,ROUND(T30,0)))))</f>
        <v>A3</v>
      </c>
      <c r="V30" s="12" t="inlineStr">
        <is>
          <r>
            <rPr>
              <rFont val="Calibri"/>
              <sz val="10"/>
            </rPr>
            <t xml:space="preserve">New level A3 · Senior Associate. Current level on record: L3 – Professional / Associate. Change: ▲ Up.
Score 2.55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0" s="12" t="inlineStr">
        <is>
          <r>
            <rPr>
              <rFont val="Calibri"/>
              <b val="1"/>
              <sz val="10"/>
            </rPr>
            <t>Complexity &amp; Expertise:</t>
          </r>
          <r>
            <rPr>
              <rFont val="Calibri"/>
              <sz val="10"/>
            </rPr>
            <t xml:space="preserve"> 2.5 of 12 · between A2 and A3 — Start: 3.0 · senior practitioner title; Evidence reads like A2: Standard BA tasks: documentation, BRD/FRD, requirement gathering, bank support for report generation → moved down 0.5; KRA: “1. By the end of July 2026, develop an in-depth understanding of the iDEAL product, business processes, and regulatory reporting framework…”
</t>
          </r>
          <r>
            <rPr>
              <rFont val="Calibri"/>
              <b val="1"/>
              <sz val="10"/>
            </rPr>
            <t>Autonomy &amp; Decision:</t>
          </r>
          <r>
            <rPr>
              <rFont val="Calibri"/>
              <sz val="10"/>
            </rPr>
            <t xml:space="preserve"> 2.5 of 12 · between A2 and A3 — Start: 3.0 · senior practitioner title; Evidence reads like A2: Only decides 'documentation'; manager note says still gaining independent handling of portfolio → moved down 0.5
</t>
          </r>
          <r>
            <rPr>
              <rFont val="Calibri"/>
              <b val="1"/>
              <sz val="10"/>
            </rPr>
            <t>Accountability &amp; Impact:</t>
          </r>
          <r>
            <rPr>
              <rFont val="Calibri"/>
              <sz val="10"/>
            </rPr>
            <t xml:space="preserve"> 2.5 of 12 · between A2 and A3 — Start: 3.0 · senior practitioner title; Evidence reads like A2: Accountable for starting documentation and enhancement initiatives; escalation if own work missed → moved down 0.5; KRA: “1. By the end of July 2026, develop an in-depth understanding of the iDEAL product, business processes, and regulatory reporting framework…”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3 of 12 — Experience: 2.7 yrs total · 2.4 before IRIS + 0.3 at IRIS = 2.9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30"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30" s="12" t="inlineStr">
        <is>
          <r>
            <rPr>
              <rFont val="Calibri"/>
              <sz val="10"/>
            </rPr>
            <t xml:space="preserve">✓ HRIS: 2.7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30" s="12" t="inlineStr">
        <is>
          <t>—</t>
        </is>
      </c>
      <c r="AA30" s="12" t="inlineStr">
        <is>
          <t>Nothing outstanding</t>
        </is>
      </c>
      <c r="AB3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Core Contributor.</t>
          </r>
        </is>
      </c>
      <c r="AC30" s="74" t="n"/>
      <c r="AD30" s="74" t="n"/>
      <c r="AE30" s="74" t="n"/>
      <c r="AF30" s="12" t="n">
        <v>2.5</v>
      </c>
    </row>
    <row r="31" ht="379" customHeight="1">
      <c r="A31" s="12" t="inlineStr">
        <is>
          <t>IRIS2136</t>
        </is>
      </c>
      <c r="B31" s="10" t="inlineStr">
        <is>
          <t>Neetu Rani Paul</t>
        </is>
      </c>
      <c r="C31" s="12" t="inlineStr">
        <is>
          <t>Technology</t>
        </is>
      </c>
      <c r="D31" s="12" t="inlineStr">
        <is>
          <t>Business Analyst</t>
        </is>
      </c>
      <c r="E31" s="70" t="inlineStr">
        <is>
          <t>Senior Business Analyst</t>
        </is>
      </c>
      <c r="F31" s="12" t="inlineStr">
        <is>
          <t>Business Analysis</t>
        </is>
      </c>
      <c r="G31" s="12" t="inlineStr">
        <is>
          <t>Business Analysis</t>
        </is>
      </c>
      <c r="H31" s="12" t="inlineStr">
        <is>
          <t>IC</t>
        </is>
      </c>
      <c r="I31" s="34" t="inlineStr">
        <is>
          <t>L3 – Professional / Associate</t>
        </is>
      </c>
      <c r="J31" s="16" t="inlineStr">
        <is>
          <t>A3</t>
        </is>
      </c>
      <c r="K31" s="17" t="inlineStr">
        <is>
          <t>Senior Associate</t>
        </is>
      </c>
      <c r="L31" s="75" t="inlineStr">
        <is>
          <t>▲ Up</t>
        </is>
      </c>
      <c r="M31" s="12" t="inlineStr">
        <is>
          <t>iDEAL · Technology · Band A · Early career</t>
        </is>
      </c>
      <c r="N31" s="34" t="n">
        <v>3</v>
      </c>
      <c r="O31" s="34" t="n">
        <v>3</v>
      </c>
      <c r="P31" s="34" t="n">
        <v>3</v>
      </c>
      <c r="Q31" s="34" t="n">
        <v>2</v>
      </c>
      <c r="R31" s="34" t="n">
        <v>4</v>
      </c>
      <c r="S31" s="72" t="n">
        <v>3.5</v>
      </c>
      <c r="T31" s="73">
        <f>IF(OR($M31="",COUNT(N31,O31,P31,Q31,R31,S31)&lt;6),"",IFERROR(N31*INDEX(WM_C,MATCH($M31,WM_KEY,0))+O31*INDEX(WM_AU,MATCH($M31,WM_KEY,0))+P31*INDEX(WM_AC,MATCH($M31,WM_KEY,0))+Q31*INDEX(WM_L,MATCH($M31,WM_KEY,0))+R31*INDEX(WM_E,MATCH($M31,WM_KEY,0))+S31*INDEX(WM_BI,MATCH($M31,WM_KEY,0)),""))</f>
        <v>3.13</v>
      </c>
      <c r="U31" s="34" t="str">
        <f>IF(T31="","",INDEX({"A1","A2","A3","B1","B2","B3","C1","C2","D1","D2","E1","E2"},MAX(1,MIN(12,ROUND(T31,0)))))</f>
        <v>A3</v>
      </c>
      <c r="V31" s="12" t="inlineStr">
        <is>
          <r>
            <rPr>
              <rFont val="Calibri"/>
              <sz val="10"/>
            </rPr>
            <t xml:space="preserve">New level A3 · Senior Associate. Current level on record: L3 – Professional / Associate. Change: ▲ Up.
Score 3.13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1" s="12" t="inlineStr">
        <is>
          <r>
            <rPr>
              <rFont val="Calibri"/>
              <b val="1"/>
              <sz val="10"/>
            </rPr>
            <t>Complexity &amp; Expertise:</t>
          </r>
          <r>
            <rPr>
              <rFont val="Calibri"/>
              <sz val="10"/>
            </rPr>
            <t xml:space="preserve"> 3 of 12 — Start: 3.0 · senior practitioner title; Evidence reads like A3: Checks feasibility, gives solutions to banks, reads developer code to resolve issues, Excel mapping, deployments → matches the start; KRA: “1. Effectively manage the assigned portfolio of banks and maintain high customer satisfaction, with a target of zero critical client…”
</t>
          </r>
          <r>
            <rPr>
              <rFont val="Calibri"/>
              <b val="1"/>
              <sz val="10"/>
            </rPr>
            <t>Autonomy &amp; Decision:</t>
          </r>
          <r>
            <rPr>
              <rFont val="Calibri"/>
              <sz val="10"/>
            </rPr>
            <t xml:space="preserve"> 3 of 12 — Start: 3.0 · senior practitioner title; Evidence reads like A3: Decides deployment process; assesses feasibility and gives the solution to banks himself → matches the start
</t>
          </r>
          <r>
            <rPr>
              <rFont val="Calibri"/>
              <b val="1"/>
              <sz val="10"/>
            </rPr>
            <t>Accountability &amp; Impact:</t>
          </r>
          <r>
            <rPr>
              <rFont val="Calibri"/>
              <sz val="10"/>
            </rPr>
            <t xml:space="preserve"> 3 of 12 — Start: 3.0 · senior practitioner title; Evidence reads like A3: Timely return updates and successful RBI portal submissions for banks; escalation if wrong → matches the start; KRA: “1. Effectively manage the assigned portfolio of banks and maintain high customer satisfaction, with a target of zero critical client…”
</t>
          </r>
          <r>
            <rPr>
              <rFont val="Calibri"/>
              <b val="1"/>
              <sz val="10"/>
            </rPr>
            <t>Leadership &amp; Strategy:</t>
          </r>
          <r>
            <rPr>
              <rFont val="Calibri"/>
              <sz val="10"/>
            </rPr>
            <t xml:space="preserve"> 2 of 12 — not counted: the weight is 0% at this level — Start: 2.0 · individual contributor, so influence only; Evidence reads like A2: Gives KT and handles team coordination; no standing mentoring described → matches the start; Team: 0 direct reports · IC
</t>
          </r>
          <r>
            <rPr>
              <rFont val="Calibri"/>
              <b val="1"/>
              <sz val="10"/>
            </rPr>
            <t>Experience &amp; Qualification:</t>
          </r>
          <r>
            <rPr>
              <rFont val="Calibri"/>
              <sz val="10"/>
            </rPr>
            <t xml:space="preserve"> 4 of 12 — Experience: 5.9 yrs total · 2.6 before IRIS + 3.3 at IRIS = 4.2 on the experience scale; Qualification: MA · postgraduate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31"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31" s="12" t="inlineStr">
        <is>
          <r>
            <rPr>
              <rFont val="Calibri"/>
              <sz val="10"/>
            </rPr>
            <t xml:space="preserve">✓ HRIS: 5.9 yrs, MA,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31" s="12" t="inlineStr">
        <is>
          <t>—</t>
        </is>
      </c>
      <c r="AA31" s="12" t="inlineStr">
        <is>
          <t>Nothing outstanding</t>
        </is>
      </c>
      <c r="AB3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Trusted Professional.</t>
          </r>
        </is>
      </c>
      <c r="AC31" s="74" t="n"/>
      <c r="AD31" s="74" t="n"/>
      <c r="AE31" s="74" t="n"/>
      <c r="AF31" s="12" t="n">
        <v>3.5</v>
      </c>
    </row>
    <row r="32" ht="379" customHeight="1">
      <c r="A32" s="12" t="inlineStr">
        <is>
          <t>IRIS2142</t>
        </is>
      </c>
      <c r="B32" s="10" t="inlineStr">
        <is>
          <t>Nilam Anandrao Kadam</t>
        </is>
      </c>
      <c r="C32" s="12" t="inlineStr">
        <is>
          <t>Technology</t>
        </is>
      </c>
      <c r="D32" s="12" t="inlineStr">
        <is>
          <t>Business Analyst</t>
        </is>
      </c>
      <c r="E32" s="70" t="inlineStr">
        <is>
          <t>Senior Business Analyst</t>
        </is>
      </c>
      <c r="F32" s="12" t="inlineStr">
        <is>
          <t>Business Analysis</t>
        </is>
      </c>
      <c r="G32" s="12" t="inlineStr">
        <is>
          <t>Business Analysis</t>
        </is>
      </c>
      <c r="H32" s="12" t="inlineStr">
        <is>
          <t>IC</t>
        </is>
      </c>
      <c r="I32" s="34" t="inlineStr">
        <is>
          <t>L3 – Professional / Associate</t>
        </is>
      </c>
      <c r="J32" s="16" t="inlineStr">
        <is>
          <t>A3</t>
        </is>
      </c>
      <c r="K32" s="17" t="inlineStr">
        <is>
          <t>Senior Associate</t>
        </is>
      </c>
      <c r="L32" s="75" t="inlineStr">
        <is>
          <t>▲ Up</t>
        </is>
      </c>
      <c r="M32" s="12" t="inlineStr">
        <is>
          <t>iDEAL · Technology · Band A · Early career</t>
        </is>
      </c>
      <c r="N32" s="34" t="n">
        <v>3</v>
      </c>
      <c r="O32" s="34" t="n">
        <v>2.5</v>
      </c>
      <c r="P32" s="34" t="n">
        <v>3</v>
      </c>
      <c r="Q32" s="34" t="n">
        <v>1.5</v>
      </c>
      <c r="R32" s="34" t="n">
        <v>4</v>
      </c>
      <c r="S32" s="72" t="n">
        <v>3.5</v>
      </c>
      <c r="T32" s="73">
        <f>IF(OR($M32="",COUNT(N32,O32,P32,Q32,R32,S32)&lt;6),"",IFERROR(N32*INDEX(WM_C,MATCH($M32,WM_KEY,0))+O32*INDEX(WM_AU,MATCH($M32,WM_KEY,0))+P32*INDEX(WM_AC,MATCH($M32,WM_KEY,0))+Q32*INDEX(WM_L,MATCH($M32,WM_KEY,0))+R32*INDEX(WM_E,MATCH($M32,WM_KEY,0))+S32*INDEX(WM_BI,MATCH($M32,WM_KEY,0)),""))</f>
        <v>3.05</v>
      </c>
      <c r="U32" s="34" t="str">
        <f>IF(T32="","",INDEX({"A1","A2","A3","B1","B2","B3","C1","C2","D1","D2","E1","E2"},MAX(1,MIN(12,ROUND(T32,0)))))</f>
        <v>A3</v>
      </c>
      <c r="V32" s="12" t="inlineStr">
        <is>
          <r>
            <rPr>
              <rFont val="Calibri"/>
              <sz val="10"/>
            </rPr>
            <t xml:space="preserve">New level A3 · Senior Associate. Current level on record: L3 – Professional / Associate. Change: ▲ Up.
Score 3.05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2" s="12" t="inlineStr">
        <is>
          <r>
            <rPr>
              <rFont val="Calibri"/>
              <b val="1"/>
              <sz val="10"/>
            </rPr>
            <t>Complexity &amp; Expertise:</t>
          </r>
          <r>
            <rPr>
              <rFont val="Calibri"/>
              <sz val="10"/>
            </rPr>
            <t xml:space="preserve"> 3 of 12 — Start: 3.0 · senior practitioner title; Evidence reads like A3: Manager note only: tracks, analyses and delivers EBA taxonomy changes; UAT and production deployments for banks → matches the start; KRA: “1. Effectively manage the assigned portfolio of banks and maintain high customer satisfaction, with a target of zero critical client…”
</t>
          </r>
          <r>
            <rPr>
              <rFont val="Calibri"/>
              <b val="1"/>
              <sz val="10"/>
            </rPr>
            <t>Autonomy &amp; Decision:</t>
          </r>
          <r>
            <rPr>
              <rFont val="Calibri"/>
              <sz val="10"/>
            </rPr>
            <t xml:space="preserve"> 2.5 of 12 · between A2 and A3 — Start: 3.0 · senior practitioner title; Evidence reads like A2: No survey; note shows query handling and follow-ups within set timelines, no stated authority → moved down 0.5
</t>
          </r>
          <r>
            <rPr>
              <rFont val="Calibri"/>
              <b val="1"/>
              <sz val="10"/>
            </rPr>
            <t>Accountability &amp; Impact:</t>
          </r>
          <r>
            <rPr>
              <rFont val="Calibri"/>
              <sz val="10"/>
            </rPr>
            <t xml:space="preserve"> 3 of 12 — Start: 3.0 · senior practitioner title; Evidence reads like A3: Note: assigned portfolio of banks, report/taxonomy updates delivered before filing dates → matches the start; KRA: “1. Effectively manage the assigned portfolio of banks and maintain high customer satisfaction, with a target of zero critical client…”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survey answers; manager note describes no guidance of others → moved down 0.5; Team: 0 direct reports · IC
</t>
          </r>
          <r>
            <rPr>
              <rFont val="Calibri"/>
              <b val="1"/>
              <sz val="10"/>
            </rPr>
            <t>Experience &amp; Qualification:</t>
          </r>
          <r>
            <rPr>
              <rFont val="Calibri"/>
              <sz val="10"/>
            </rPr>
            <t xml:space="preserve"> 4 of 12 — Experience: 5.9 yrs total · 2.6 before IRIS + 3.3 at IRIS = 4.2 on the experience scale; Qualification: MBA · postgraduate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32"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32" s="12" t="inlineStr">
        <is>
          <r>
            <rPr>
              <rFont val="Calibri"/>
              <sz val="10"/>
            </rPr>
            <t xml:space="preserve">✓ HRIS: 5.9 yrs, MBA, 0 direct reports
✗ Survey: no response
✓ KRAs: self, manager-set, quarterly
✓ Manager mapping: rating, potential, 9-box
✗ Job description: not on file
</t>
          </r>
          <r>
            <rPr>
              <rFont val="Calibri"/>
              <b val="1"/>
              <sz val="10"/>
            </rPr>
            <t>Confidence:</t>
          </r>
          <r>
            <rPr>
              <rFont val="Calibri"/>
              <sz val="10"/>
            </rPr>
            <t xml:space="preserve"> Medium</t>
          </r>
        </is>
      </c>
      <c r="Z32" s="12" t="inlineStr">
        <is>
          <t>—</t>
        </is>
      </c>
      <c r="AA32" s="12" t="inlineStr">
        <is>
          <t>Nothing outstanding</t>
        </is>
      </c>
      <c r="AB3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Trusted Professional.</t>
          </r>
        </is>
      </c>
      <c r="AC32" s="74" t="n"/>
      <c r="AD32" s="74" t="n"/>
      <c r="AE32" s="74" t="n"/>
      <c r="AF32" s="12" t="n">
        <v>3.5</v>
      </c>
    </row>
    <row r="33" ht="379" customHeight="1">
      <c r="A33" s="12" t="inlineStr">
        <is>
          <t>IRIS2066</t>
        </is>
      </c>
      <c r="B33" s="10" t="inlineStr">
        <is>
          <t>Shivani Mishra</t>
        </is>
      </c>
      <c r="C33" s="12" t="inlineStr">
        <is>
          <t>Technology</t>
        </is>
      </c>
      <c r="D33" s="12" t="inlineStr">
        <is>
          <t>Business Analyst</t>
        </is>
      </c>
      <c r="E33" s="70" t="inlineStr">
        <is>
          <t>Senior Business Analyst</t>
        </is>
      </c>
      <c r="F33" s="12" t="inlineStr">
        <is>
          <t>Business Analysis</t>
        </is>
      </c>
      <c r="G33" s="12" t="inlineStr">
        <is>
          <t>Business Analysis</t>
        </is>
      </c>
      <c r="H33" s="12" t="inlineStr">
        <is>
          <t>IC</t>
        </is>
      </c>
      <c r="I33" s="34" t="inlineStr">
        <is>
          <t>L3 – Professional / Associate</t>
        </is>
      </c>
      <c r="J33" s="16" t="inlineStr">
        <is>
          <t>A3</t>
        </is>
      </c>
      <c r="K33" s="17" t="inlineStr">
        <is>
          <t>Senior Associate</t>
        </is>
      </c>
      <c r="L33" s="75" t="inlineStr">
        <is>
          <t>▲ Up</t>
        </is>
      </c>
      <c r="M33" s="12" t="inlineStr">
        <is>
          <t>iDEAL · Technology · Band A · Early career</t>
        </is>
      </c>
      <c r="N33" s="34" t="n">
        <v>3</v>
      </c>
      <c r="O33" s="34" t="n">
        <v>2.5</v>
      </c>
      <c r="P33" s="34" t="n">
        <v>3</v>
      </c>
      <c r="Q33" s="34" t="n">
        <v>1.5</v>
      </c>
      <c r="R33" s="34" t="n">
        <v>5</v>
      </c>
      <c r="S33" s="72" t="n">
        <v>3.5</v>
      </c>
      <c r="T33" s="73">
        <f>IF(OR($M33="",COUNT(N33,O33,P33,Q33,R33,S33)&lt;6),"",IFERROR(N33*INDEX(WM_C,MATCH($M33,WM_KEY,0))+O33*INDEX(WM_AU,MATCH($M33,WM_KEY,0))+P33*INDEX(WM_AC,MATCH($M33,WM_KEY,0))+Q33*INDEX(WM_L,MATCH($M33,WM_KEY,0))+R33*INDEX(WM_E,MATCH($M33,WM_KEY,0))+S33*INDEX(WM_BI,MATCH($M33,WM_KEY,0)),""))</f>
        <v>3.15</v>
      </c>
      <c r="U33" s="34" t="str">
        <f>IF(T33="","",INDEX({"A1","A2","A3","B1","B2","B3","C1","C2","D1","D2","E1","E2"},MAX(1,MIN(12,ROUND(T33,0)))))</f>
        <v>A3</v>
      </c>
      <c r="V33" s="12" t="inlineStr">
        <is>
          <r>
            <rPr>
              <rFont val="Calibri"/>
              <sz val="10"/>
            </rPr>
            <t xml:space="preserve">New level A3 · Senior Associate. Current level on record: L3 – Professional / Associate. Change: ▲ Up.
Score 3.15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3" s="12" t="inlineStr">
        <is>
          <r>
            <rPr>
              <rFont val="Calibri"/>
              <b val="1"/>
              <sz val="10"/>
            </rPr>
            <t>Complexity &amp; Expertise:</t>
          </r>
          <r>
            <rPr>
              <rFont val="Calibri"/>
              <sz val="10"/>
            </rPr>
            <t xml:space="preserve"> 3 of 12 — Start: 3.0 · senior practitioner title; Evidence reads like A3: Manager note only: tracks, analyses and delivers EBA taxonomy changes; UAT and production deployments for banks → matches the start; KRA: “1. Effectively manage the assigned portfolio of banks and maintain high customer satisfaction, with a target of zero critical client…”
</t>
          </r>
          <r>
            <rPr>
              <rFont val="Calibri"/>
              <b val="1"/>
              <sz val="10"/>
            </rPr>
            <t>Autonomy &amp; Decision:</t>
          </r>
          <r>
            <rPr>
              <rFont val="Calibri"/>
              <sz val="10"/>
            </rPr>
            <t xml:space="preserve"> 2.5 of 12 · between A2 and A3 — Start: 3.0 · senior practitioner title; Evidence reads like A2: No survey; note shows query handling and follow-ups within set timelines, no stated authority → moved down 0.5
</t>
          </r>
          <r>
            <rPr>
              <rFont val="Calibri"/>
              <b val="1"/>
              <sz val="10"/>
            </rPr>
            <t>Accountability &amp; Impact:</t>
          </r>
          <r>
            <rPr>
              <rFont val="Calibri"/>
              <sz val="10"/>
            </rPr>
            <t xml:space="preserve"> 3 of 12 — Start: 3.0 · senior practitioner title; Evidence reads like A3: Note: assigned portfolio of banks, report/taxonomy updates delivered before filing dates → matches the start; KRA: “1. Effectively manage the assigned portfolio of banks and maintain high customer satisfaction, with a target of zero critical client…”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survey answers; manager note describes no guidance of others → moved down 0.5; Team: 0 direct reports · IC
</t>
          </r>
          <r>
            <rPr>
              <rFont val="Calibri"/>
              <b val="1"/>
              <sz val="10"/>
            </rPr>
            <t>Experience &amp; Qualification:</t>
          </r>
          <r>
            <rPr>
              <rFont val="Calibri"/>
              <sz val="10"/>
            </rPr>
            <t xml:space="preserve"> 5 of 12 — Experience: 7.5 yrs total · 3.5 before IRIS + 4.0 at IRIS = 5.0 on the experience scale; Qualification: M.Com · postgraduate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33"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33" s="12" t="inlineStr">
        <is>
          <r>
            <rPr>
              <rFont val="Calibri"/>
              <sz val="10"/>
            </rPr>
            <t xml:space="preserve">✓ HRIS: 7.5 yrs, M.Com, 0 direct reports
✗ Survey: no response
✓ KRAs: self, manager-set, quarterly
✓ Manager mapping: rating, potential, 9-box
✗ Job description: not on file
</t>
          </r>
          <r>
            <rPr>
              <rFont val="Calibri"/>
              <b val="1"/>
              <sz val="10"/>
            </rPr>
            <t>Confidence:</t>
          </r>
          <r>
            <rPr>
              <rFont val="Calibri"/>
              <sz val="10"/>
            </rPr>
            <t xml:space="preserve"> Medium</t>
          </r>
        </is>
      </c>
      <c r="Z33" s="12" t="inlineStr">
        <is>
          <t>—</t>
        </is>
      </c>
      <c r="AA33" s="12" t="inlineStr">
        <is>
          <t>Nothing outstanding</t>
        </is>
      </c>
      <c r="AB3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Trusted Professional.</t>
          </r>
        </is>
      </c>
      <c r="AC33" s="74" t="n"/>
      <c r="AD33" s="74" t="n"/>
      <c r="AE33" s="74" t="n"/>
      <c r="AF33" s="12" t="n">
        <v>3.5</v>
      </c>
    </row>
    <row r="34" ht="379" customHeight="1">
      <c r="A34" s="12" t="inlineStr">
        <is>
          <t>IRIS2067</t>
        </is>
      </c>
      <c r="B34" s="10" t="inlineStr">
        <is>
          <t>Silky Agarwal</t>
        </is>
      </c>
      <c r="C34" s="12" t="inlineStr">
        <is>
          <t>Technology</t>
        </is>
      </c>
      <c r="D34" s="12" t="inlineStr">
        <is>
          <t>Business Analyst</t>
        </is>
      </c>
      <c r="E34" s="70" t="inlineStr">
        <is>
          <t>Senior Business Analyst</t>
        </is>
      </c>
      <c r="F34" s="12" t="inlineStr">
        <is>
          <t>Business Analysis</t>
        </is>
      </c>
      <c r="G34" s="12" t="inlineStr">
        <is>
          <t>Business Analysis</t>
        </is>
      </c>
      <c r="H34" s="12" t="inlineStr">
        <is>
          <t>IC</t>
        </is>
      </c>
      <c r="I34" s="34" t="inlineStr">
        <is>
          <t>L3 – Professional / Associate</t>
        </is>
      </c>
      <c r="J34" s="16" t="inlineStr">
        <is>
          <t>A3</t>
        </is>
      </c>
      <c r="K34" s="17" t="inlineStr">
        <is>
          <t>Senior Associate</t>
        </is>
      </c>
      <c r="L34" s="75" t="inlineStr">
        <is>
          <t>▲ Up</t>
        </is>
      </c>
      <c r="M34" s="12" t="inlineStr">
        <is>
          <t>iDEAL · Technology · Band A · Early career</t>
        </is>
      </c>
      <c r="N34" s="34" t="n">
        <v>3</v>
      </c>
      <c r="O34" s="34" t="n">
        <v>3</v>
      </c>
      <c r="P34" s="34" t="n">
        <v>3</v>
      </c>
      <c r="Q34" s="34" t="n">
        <v>2</v>
      </c>
      <c r="R34" s="34" t="n">
        <v>3.5</v>
      </c>
      <c r="S34" s="72" t="n">
        <v>3.5</v>
      </c>
      <c r="T34" s="73">
        <f>IF(OR($M34="",COUNT(N34,O34,P34,Q34,R34,S34)&lt;6),"",IFERROR(N34*INDEX(WM_C,MATCH($M34,WM_KEY,0))+O34*INDEX(WM_AU,MATCH($M34,WM_KEY,0))+P34*INDEX(WM_AC,MATCH($M34,WM_KEY,0))+Q34*INDEX(WM_L,MATCH($M34,WM_KEY,0))+R34*INDEX(WM_E,MATCH($M34,WM_KEY,0))+S34*INDEX(WM_BI,MATCH($M34,WM_KEY,0)),""))</f>
        <v>3.08</v>
      </c>
      <c r="U34" s="34" t="str">
        <f>IF(T34="","",INDEX({"A1","A2","A3","B1","B2","B3","C1","C2","D1","D2","E1","E2"},MAX(1,MIN(12,ROUND(T34,0)))))</f>
        <v>A3</v>
      </c>
      <c r="V34" s="12" t="inlineStr">
        <is>
          <r>
            <rPr>
              <rFont val="Calibri"/>
              <sz val="10"/>
            </rPr>
            <t xml:space="preserve">New level A3 · Senior Associate. Current level on record: L3 – Professional / Associate. Change: ▲ Up.
Score 3.08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4" s="12" t="inlineStr">
        <is>
          <r>
            <rPr>
              <rFont val="Calibri"/>
              <b val="1"/>
              <sz val="10"/>
            </rPr>
            <t>Complexity &amp; Expertise:</t>
          </r>
          <r>
            <rPr>
              <rFont val="Calibri"/>
              <sz val="10"/>
            </rPr>
            <t xml:space="preserve"> 3 of 12 — Start: 3.0 · senior practitioner title; Evidence: rated like 12 colleagues in the same role and department · own answers too general to rate → no change; KRA: “1. Effectively manage the assigned portfolio of banks and maintain high customer satisfaction, with a target of zero critical client…”
</t>
          </r>
          <r>
            <rPr>
              <rFont val="Calibri"/>
              <b val="1"/>
              <sz val="10"/>
            </rPr>
            <t>Autonomy &amp; Decision:</t>
          </r>
          <r>
            <rPr>
              <rFont val="Calibri"/>
              <sz val="10"/>
            </rPr>
            <t xml:space="preserve"> 3 of 12 — Start: 3.0 · senior practitioner title; Evidence: rated like 12 colleagues in the same role and department · own answers too general to rate → no change
</t>
          </r>
          <r>
            <rPr>
              <rFont val="Calibri"/>
              <b val="1"/>
              <sz val="10"/>
            </rPr>
            <t>Accountability &amp; Impact:</t>
          </r>
          <r>
            <rPr>
              <rFont val="Calibri"/>
              <sz val="10"/>
            </rPr>
            <t xml:space="preserve"> 3 of 12 — Start: 3.0 · senior practitioner title; Evidence: rated like 12 colleagues in the same role and department · own answers too general to rate → no change; KRA: “1. Effectively manage the assigned portfolio of banks and maintain high customer satisfaction, with a target of zero critical client…”
</t>
          </r>
          <r>
            <rPr>
              <rFont val="Calibri"/>
              <b val="1"/>
              <sz val="10"/>
            </rPr>
            <t>Leadership &amp; Strategy:</t>
          </r>
          <r>
            <rPr>
              <rFont val="Calibri"/>
              <sz val="10"/>
            </rPr>
            <t xml:space="preserve"> 2 of 12 — not counted: the weight is 0% at this level — Start: 2.0 · individual contributor, so influence only; Evidence: rated like 12 colleagues in the same role and department · own answers too general to rate → no change; Team: 0 direct reports · IC
</t>
          </r>
          <r>
            <rPr>
              <rFont val="Calibri"/>
              <b val="1"/>
              <sz val="10"/>
            </rPr>
            <t>Experience &amp; Qualification:</t>
          </r>
          <r>
            <rPr>
              <rFont val="Calibri"/>
              <sz val="10"/>
            </rPr>
            <t xml:space="preserve"> 3.5 of 12 · between A3 and B1 — Experience: 4.3 yrs total · 0.3 before IRIS + 4.0 at IRIS = 3.5 on the experience scale; Qualification: MBA · postgraduate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34"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34" s="12" t="inlineStr">
        <is>
          <r>
            <rPr>
              <rFont val="Calibri"/>
              <sz val="10"/>
            </rPr>
            <t xml:space="preserve">✓ HRIS: 4.3 yrs, MBA,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34" s="12" t="inlineStr">
        <is>
          <t>—</t>
        </is>
      </c>
      <c r="AA34" s="12" t="inlineStr">
        <is>
          <t>Nothing outstanding</t>
        </is>
      </c>
      <c r="AB3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Emerging Talent.</t>
          </r>
        </is>
      </c>
      <c r="AC34" s="74" t="n"/>
      <c r="AD34" s="74" t="n"/>
      <c r="AE34" s="74" t="n"/>
      <c r="AF34" s="12" t="n">
        <v>3.5</v>
      </c>
    </row>
    <row r="35" ht="379" customHeight="1">
      <c r="A35" s="12" t="inlineStr">
        <is>
          <t>IRIS2466</t>
        </is>
      </c>
      <c r="B35" s="10" t="inlineStr">
        <is>
          <t>Vidyasagar Reddy</t>
        </is>
      </c>
      <c r="C35" s="12" t="inlineStr">
        <is>
          <t>Technology</t>
        </is>
      </c>
      <c r="D35" s="12" t="inlineStr">
        <is>
          <t>Business Analyst</t>
        </is>
      </c>
      <c r="E35" s="70" t="inlineStr">
        <is>
          <t>Senior Business Analyst</t>
        </is>
      </c>
      <c r="F35" s="12" t="inlineStr">
        <is>
          <t>Business Analysis</t>
        </is>
      </c>
      <c r="G35" s="12" t="inlineStr">
        <is>
          <t>Business Analysis</t>
        </is>
      </c>
      <c r="H35" s="12" t="inlineStr">
        <is>
          <t>IC</t>
        </is>
      </c>
      <c r="I35" s="34" t="inlineStr">
        <is>
          <t>L3 – Professional / Associate</t>
        </is>
      </c>
      <c r="J35" s="16" t="inlineStr">
        <is>
          <t>A3</t>
        </is>
      </c>
      <c r="K35" s="17" t="inlineStr">
        <is>
          <t>Senior Associate</t>
        </is>
      </c>
      <c r="L35" s="75" t="inlineStr">
        <is>
          <t>▲ Up</t>
        </is>
      </c>
      <c r="M35" s="12" t="inlineStr">
        <is>
          <t>iDEAL · Technology · Band A · Early career</t>
        </is>
      </c>
      <c r="N35" s="34" t="n">
        <v>3</v>
      </c>
      <c r="O35" s="34" t="n">
        <v>2.5</v>
      </c>
      <c r="P35" s="34" t="n">
        <v>3</v>
      </c>
      <c r="Q35" s="34" t="n">
        <v>2</v>
      </c>
      <c r="R35" s="34" t="n">
        <v>2.5</v>
      </c>
      <c r="S35" s="72" t="n">
        <v>3</v>
      </c>
      <c r="T35" s="73">
        <f>IF(OR($M35="",COUNT(N35,O35,P35,Q35,R35,S35)&lt;6),"",IFERROR(N35*INDEX(WM_C,MATCH($M35,WM_KEY,0))+O35*INDEX(WM_AU,MATCH($M35,WM_KEY,0))+P35*INDEX(WM_AC,MATCH($M35,WM_KEY,0))+Q35*INDEX(WM_L,MATCH($M35,WM_KEY,0))+R35*INDEX(WM_E,MATCH($M35,WM_KEY,0))+S35*INDEX(WM_BI,MATCH($M35,WM_KEY,0)),""))</f>
        <v>2.87</v>
      </c>
      <c r="U35" s="34" t="str">
        <f>IF(T35="","",INDEX({"A1","A2","A3","B1","B2","B3","C1","C2","D1","D2","E1","E2"},MAX(1,MIN(12,ROUND(T35,0)))))</f>
        <v>A3</v>
      </c>
      <c r="V35" s="12" t="inlineStr">
        <is>
          <r>
            <rPr>
              <rFont val="Calibri"/>
              <sz val="10"/>
            </rPr>
            <t xml:space="preserve">New level A3 · Senior Associate. Current level on record: L3 – Professional / Associate. Change: ▲ Up.
Score 2.87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5" s="12" t="inlineStr">
        <is>
          <r>
            <rPr>
              <rFont val="Calibri"/>
              <b val="1"/>
              <sz val="10"/>
            </rPr>
            <t>Complexity &amp; Expertise:</t>
          </r>
          <r>
            <rPr>
              <rFont val="Calibri"/>
              <sz val="10"/>
            </rPr>
            <t xml:space="preserve"> 3 of 12 — Start: 3.0 · senior practitioner title; Evidence reads like A3: Requirement gathering, wireframe design, proposes solution designs, part scrum-master duties, client support → matches the start; KRA: “1. By the end of July 2026, develop an in-depth understanding of the iDEAL product, business processes, and regulatory reporting framework…”
</t>
          </r>
          <r>
            <rPr>
              <rFont val="Calibri"/>
              <b val="1"/>
              <sz val="10"/>
            </rPr>
            <t>Autonomy &amp; Decision:</t>
          </r>
          <r>
            <rPr>
              <rFont val="Calibri"/>
              <sz val="10"/>
            </rPr>
            <t xml:space="preserve"> 2.5 of 12 · between A2 and A3 — Start: 3.0 · senior practitioner title; Evidence reads like A2: Decides only on proposing innovative product ideas; note targets working with minimal supervision → moved down 0.5
</t>
          </r>
          <r>
            <rPr>
              <rFont val="Calibri"/>
              <b val="1"/>
              <sz val="10"/>
            </rPr>
            <t>Accountability &amp; Impact:</t>
          </r>
          <r>
            <rPr>
              <rFont val="Calibri"/>
              <sz val="10"/>
            </rPr>
            <t xml:space="preserve"> 3 of 12 — Start: 3.0 · senior practitioner title; Evidence reads like A3: Answers for zero production issues for clients and feasibility of solutions he proposes → matches the start; KRA: “1. By the end of July 2026, develop an in-depth understanding of the iDEAL product, business processes, and regulatory reporting framework…”
</t>
          </r>
          <r>
            <rPr>
              <rFont val="Calibri"/>
              <b val="1"/>
              <sz val="10"/>
            </rPr>
            <t>Leadership &amp; Strategy:</t>
          </r>
          <r>
            <rPr>
              <rFont val="Calibri"/>
              <sz val="10"/>
            </rPr>
            <t xml:space="preserve"> 2 of 12 — not counted: the weight is 0% at this level — Start: 2.0 · individual contributor, so influence only; Evidence reads like A2: Performs scrum master responsibilities 'a bit'; explains requirements to developers → matches the start; Team: 0 direct reports · IC
</t>
          </r>
          <r>
            <rPr>
              <rFont val="Calibri"/>
              <b val="1"/>
              <sz val="10"/>
            </rPr>
            <t>Experience &amp; Qualification:</t>
          </r>
          <r>
            <rPr>
              <rFont val="Calibri"/>
              <sz val="10"/>
            </rPr>
            <t xml:space="preserve"> 2.5 of 12 · between A2 and A3 — Experience: 2.2 yrs total · 1.5 before IRIS + 0.7 at IRIS = 2.6 on the experience scale; Qualification: B.Tech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35"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35" s="12" t="inlineStr">
        <is>
          <r>
            <rPr>
              <rFont val="Calibri"/>
              <sz val="10"/>
            </rPr>
            <t xml:space="preserve">✓ HRIS: 2.2 yrs, B.Tech, 0 direct reports
✓ Survey: 19 of 20 questions answered
✓ KRAs: self, manager-set, quarterly
✓ Manager mapping: rating, potential, 9-box
✗ Job description: not on file
</t>
          </r>
          <r>
            <rPr>
              <rFont val="Calibri"/>
              <b val="1"/>
              <sz val="10"/>
            </rPr>
            <t>Confidence:</t>
          </r>
          <r>
            <rPr>
              <rFont val="Calibri"/>
              <sz val="10"/>
            </rPr>
            <t xml:space="preserve"> High</t>
          </r>
        </is>
      </c>
      <c r="Z35" s="12" t="inlineStr">
        <is>
          <t>—</t>
        </is>
      </c>
      <c r="AA35" s="12" t="inlineStr">
        <is>
          <t>Nothing outstanding</t>
        </is>
      </c>
      <c r="AB3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Emerging Talent.</t>
          </r>
        </is>
      </c>
      <c r="AC35" s="74" t="n"/>
      <c r="AD35" s="74" t="n"/>
      <c r="AE35" s="74" t="n"/>
      <c r="AF35" s="12" t="n">
        <v>3</v>
      </c>
    </row>
    <row r="36" ht="379" customHeight="1">
      <c r="A36" s="12" t="inlineStr">
        <is>
          <t>IRIS2310</t>
        </is>
      </c>
      <c r="B36" s="10" t="inlineStr">
        <is>
          <t>Vivek Kumar</t>
        </is>
      </c>
      <c r="C36" s="12" t="inlineStr">
        <is>
          <t>Technology</t>
        </is>
      </c>
      <c r="D36" s="12" t="inlineStr">
        <is>
          <t>Trainee Business Analyst</t>
        </is>
      </c>
      <c r="E36" s="70" t="inlineStr">
        <is>
          <t>Senior Business Analyst</t>
        </is>
      </c>
      <c r="F36" s="12" t="inlineStr">
        <is>
          <t>Business Analysis</t>
        </is>
      </c>
      <c r="G36" s="12" t="inlineStr">
        <is>
          <t>Business Analysis</t>
        </is>
      </c>
      <c r="H36" s="12" t="inlineStr">
        <is>
          <t>IC</t>
        </is>
      </c>
      <c r="I36" s="34" t="inlineStr">
        <is>
          <t>L2 – Trainee</t>
        </is>
      </c>
      <c r="J36" s="16" t="inlineStr">
        <is>
          <t>A3</t>
        </is>
      </c>
      <c r="K36" s="17" t="inlineStr">
        <is>
          <t>Senior Associate</t>
        </is>
      </c>
      <c r="L36" s="75" t="inlineStr">
        <is>
          <t>▲ Up</t>
        </is>
      </c>
      <c r="M36" s="12" t="inlineStr">
        <is>
          <t>iDEAL · Technology · Band A · Early career</t>
        </is>
      </c>
      <c r="N36" s="34" t="n">
        <v>2</v>
      </c>
      <c r="O36" s="34" t="n">
        <v>2</v>
      </c>
      <c r="P36" s="34" t="n">
        <v>2</v>
      </c>
      <c r="Q36" s="34" t="n">
        <v>1.5</v>
      </c>
      <c r="R36" s="34" t="n">
        <v>3</v>
      </c>
      <c r="S36" s="72" t="n">
        <v>2</v>
      </c>
      <c r="T36" s="73">
        <f>IF(OR($M36="",COUNT(N36,O36,P36,Q36,R36,S36)&lt;6),"",IFERROR(N36*INDEX(WM_C,MATCH($M36,WM_KEY,0))+O36*INDEX(WM_AU,MATCH($M36,WM_KEY,0))+P36*INDEX(WM_AC,MATCH($M36,WM_KEY,0))+Q36*INDEX(WM_L,MATCH($M36,WM_KEY,0))+R36*INDEX(WM_E,MATCH($M36,WM_KEY,0))+S36*INDEX(WM_BI,MATCH($M36,WM_KEY,0)),""))</f>
        <v>2.1</v>
      </c>
      <c r="U36" s="34" t="str">
        <f>IF(T36="","",INDEX({"A1","A2","A3","B1","B2","B3","C1","C2","D1","D2","E1","E2"},MAX(1,MIN(12,ROUND(T36,0)))))</f>
        <v>A2</v>
      </c>
      <c r="V36" s="12" t="inlineStr">
        <is>
          <r>
            <rPr>
              <rFont val="Calibri"/>
              <sz val="10"/>
            </rPr>
            <t xml:space="preserve">New level A3 · Senior Associate. Current level on record: L2 – Trainee. Change: ▲ Up.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3.1 years' experience is 2 years or more.
</t>
          </r>
          <r>
            <rPr>
              <rFont val="Calibri"/>
              <b val="1"/>
              <sz val="10"/>
            </rPr>
            <t>Final level:</t>
          </r>
          <r>
            <rPr>
              <rFont val="Calibri"/>
              <sz val="10"/>
            </rPr>
            <t xml:space="preserve"> A3.</t>
          </r>
        </is>
      </c>
      <c r="W36" s="12" t="inlineStr">
        <is>
          <r>
            <rPr>
              <rFont val="Calibri"/>
              <b val="1"/>
              <sz val="10"/>
            </rPr>
            <t>Complexity &amp; Expertise:</t>
          </r>
          <r>
            <rPr>
              <rFont val="Calibri"/>
              <sz val="10"/>
            </rPr>
            <t xml:space="preserve"> 2 of 12 — Start: 1.0 · trainee / intern title; Evidence reads like A3: Resolves bank queries, errors and deployments across 10+ banks; documents requirements; CIC automation → moved up 1; KRA: “1. Effectively manage the assigned portfolio of banks and maintain high customer satisfaction, with a target of zero critical client…”
</t>
          </r>
          <r>
            <rPr>
              <rFont val="Calibri"/>
              <b val="1"/>
              <sz val="10"/>
            </rPr>
            <t>Autonomy &amp; Decision:</t>
          </r>
          <r>
            <rPr>
              <rFont val="Calibri"/>
              <sz val="10"/>
            </rPr>
            <t xml:space="preserve"> 2 of 12 — Start: 1.0 · trainee / intern title; Evidence reads like A3: Runs daily support calls and requirement understanding with banks as their SPOC → moved up 1
</t>
          </r>
          <r>
            <rPr>
              <rFont val="Calibri"/>
              <b val="1"/>
              <sz val="10"/>
            </rPr>
            <t>Accountability &amp; Impact:</t>
          </r>
          <r>
            <rPr>
              <rFont val="Calibri"/>
              <sz val="10"/>
            </rPr>
            <t xml:space="preserve"> 2 of 12 — Start: 1.0 · trainee / intern title; Evidence reads like A3: SPOC for 10+ banks; checks changes on client servers; clears escalations → moved up 1; KRA: “1. Effectively manage the assigned portfolio of banks and maintain high customer satisfaction, with a target of zero critical client…”
</t>
          </r>
          <r>
            <rPr>
              <rFont val="Calibri"/>
              <b val="1"/>
              <sz val="10"/>
            </rPr>
            <t>Leadership &amp; Strategy:</t>
          </r>
          <r>
            <rPr>
              <rFont val="Calibri"/>
              <sz val="10"/>
            </rPr>
            <t xml:space="preserve"> 1.5 of 12 · between A1 and A2 — not counted: the weight is 0% at this level — Start: 1.0 · individual contributor, so influence only; Evidence reads like A2: Lists 'helping others'; no standing guidance role → moved up 0.5; Team: 0 direct reports · IC
</t>
          </r>
          <r>
            <rPr>
              <rFont val="Calibri"/>
              <b val="1"/>
              <sz val="10"/>
            </rPr>
            <t>Experience &amp; Qualification:</t>
          </r>
          <r>
            <rPr>
              <rFont val="Calibri"/>
              <sz val="10"/>
            </rPr>
            <t xml:space="preserve"> 3 of 12 — Experience: 3.1 yrs total · 1.1 before IRIS + 2.0 at IRIS = 3.0 on the experience scale; Qualification: BBA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36" s="12"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Y36" s="12" t="inlineStr">
        <is>
          <r>
            <rPr>
              <rFont val="Calibri"/>
              <sz val="10"/>
            </rPr>
            <t xml:space="preserve">✓ HRIS: 3.1 yrs, BBA,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36" s="12" t="inlineStr">
        <is>
          <t>—</t>
        </is>
      </c>
      <c r="AA36" s="12" t="inlineStr">
        <is>
          <t>Nothing outstanding</t>
        </is>
      </c>
      <c r="AB3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Emerging Talent.</t>
          </r>
        </is>
      </c>
      <c r="AC36" s="74" t="n"/>
      <c r="AD36" s="74" t="n"/>
      <c r="AE36" s="74" t="n"/>
      <c r="AF36" s="12" t="n">
        <v>2</v>
      </c>
    </row>
    <row r="37" ht="379" customHeight="1">
      <c r="A37" s="12" t="inlineStr">
        <is>
          <t>IRIS2555</t>
        </is>
      </c>
      <c r="B37" s="10" t="inlineStr">
        <is>
          <t>Nidhi Kulkarni</t>
        </is>
      </c>
      <c r="C37" s="12" t="inlineStr">
        <is>
          <t>Technology</t>
        </is>
      </c>
      <c r="D37" s="12" t="inlineStr">
        <is>
          <t>Technical Support Analyst</t>
        </is>
      </c>
      <c r="E37" s="70" t="inlineStr">
        <is>
          <t>Senior Support Executive</t>
        </is>
      </c>
      <c r="F37" s="12" t="inlineStr">
        <is>
          <t>Customer Success &amp; Support</t>
        </is>
      </c>
      <c r="G37" s="12" t="inlineStr">
        <is>
          <t>Application &amp; Product Support</t>
        </is>
      </c>
      <c r="H37" s="12" t="inlineStr">
        <is>
          <t>IC</t>
        </is>
      </c>
      <c r="I37" s="34" t="inlineStr">
        <is>
          <t>Not in current mapping files</t>
        </is>
      </c>
      <c r="J37" s="16" t="inlineStr">
        <is>
          <t>A3</t>
        </is>
      </c>
      <c r="K37" s="17" t="inlineStr">
        <is>
          <t>Senior Associate</t>
        </is>
      </c>
      <c r="L37" s="77" t="inlineStr">
        <is>
          <t>● Newly mapped</t>
        </is>
      </c>
      <c r="M37" s="12" t="inlineStr">
        <is>
          <t>iDEAL · Technology · Band A · Early career</t>
        </is>
      </c>
      <c r="N37" s="34" t="n">
        <v>2.5</v>
      </c>
      <c r="O37" s="34" t="n">
        <v>2.5</v>
      </c>
      <c r="P37" s="34" t="n">
        <v>2.5</v>
      </c>
      <c r="Q37" s="34" t="n">
        <v>1.5</v>
      </c>
      <c r="R37" s="34" t="n">
        <v>2.5</v>
      </c>
      <c r="S37" s="72" t="n">
        <v>3</v>
      </c>
      <c r="T37" s="73">
        <f>IF(OR($M37="",COUNT(N37,O37,P37,Q37,R37,S37)&lt;6),"",IFERROR(N37*INDEX(WM_C,MATCH($M37,WM_KEY,0))+O37*INDEX(WM_AU,MATCH($M37,WM_KEY,0))+P37*INDEX(WM_AC,MATCH($M37,WM_KEY,0))+Q37*INDEX(WM_L,MATCH($M37,WM_KEY,0))+R37*INDEX(WM_E,MATCH($M37,WM_KEY,0))+S37*INDEX(WM_BI,MATCH($M37,WM_KEY,0)),""))</f>
        <v>2.53</v>
      </c>
      <c r="U37" s="34" t="str">
        <f>IF(T37="","",INDEX({"A1","A2","A3","B1","B2","B3","C1","C2","D1","D2","E1","E2"},MAX(1,MIN(12,ROUND(T37,0)))))</f>
        <v>A3</v>
      </c>
      <c r="V37" s="12" t="inlineStr">
        <is>
          <r>
            <rPr>
              <rFont val="Calibri"/>
              <sz val="10"/>
            </rPr>
            <t xml:space="preserve">New level A3 · Senior Associate. Current level on record: Not in current mapping files. Change: ● Newly mapped.
Score 2.53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A3.</t>
          </r>
        </is>
      </c>
      <c r="W37" s="12" t="inlineStr">
        <is>
          <r>
            <rPr>
              <rFont val="Calibri"/>
              <b val="1"/>
              <sz val="10"/>
            </rPr>
            <t>Complexity &amp; Expertise:</t>
          </r>
          <r>
            <rPr>
              <rFont val="Calibri"/>
              <sz val="10"/>
            </rPr>
            <t xml:space="preserve"> 2.5 of 12 · between A2 and A3 — Start: 3.0 · senior practitioner title; Evidence reads like A2: Routine client support: error solving, documentation, coordination so report filing goes through → moved down 0.5
</t>
          </r>
          <r>
            <rPr>
              <rFont val="Calibri"/>
              <b val="1"/>
              <sz val="10"/>
            </rPr>
            <t>Autonomy &amp; Decision:</t>
          </r>
          <r>
            <rPr>
              <rFont val="Calibri"/>
              <sz val="10"/>
            </rPr>
            <t xml:space="preserve"> 2.5 of 12 · between A2 and A3 — Start: 3.0 · senior practitioner title; Evidence reads like A2: Only documentation named as an independent decision → moved down 0.5
</t>
          </r>
          <r>
            <rPr>
              <rFont val="Calibri"/>
              <b val="1"/>
              <sz val="10"/>
            </rPr>
            <t>Accountability &amp; Impact:</t>
          </r>
          <r>
            <rPr>
              <rFont val="Calibri"/>
              <sz val="10"/>
            </rPr>
            <t xml:space="preserve"> 2.5 of 12 · between A2 and A3 — Start: 3.0 · senior practitioner title; Evidence reads like A2: Delivering correct kits for the reports clients ask for → moved down 0.5
</t>
          </r>
          <r>
            <rPr>
              <rFont val="Calibri"/>
              <b val="1"/>
              <sz val="10"/>
            </rPr>
            <t>Leadership &amp; Strategy:</t>
          </r>
          <r>
            <rPr>
              <rFont val="Calibri"/>
              <sz val="10"/>
            </rPr>
            <t xml:space="preserve"> 1.5 of 12 · between A1 and A2 — not counted: the weight is 0% at this level — Start: 2.0 · individual contributor, so influence only; Evidence reads like A1: None described → moved down 0.5; Team: 0 direct reports · IC
</t>
          </r>
          <r>
            <rPr>
              <rFont val="Calibri"/>
              <b val="1"/>
              <sz val="10"/>
            </rPr>
            <t>Experience &amp; Qualification:</t>
          </r>
          <r>
            <rPr>
              <rFont val="Calibri"/>
              <sz val="10"/>
            </rPr>
            <t xml:space="preserve"> 2.5 of 12 · between A2 and A3 — Experience: not on record · input needed from HR, so set at the role's own level: it neither helps nor hurts; Qualification: B.E · graduate, relevant to the work → no change
</t>
          </r>
          <r>
            <rPr>
              <rFont val="Calibri"/>
              <b val="1"/>
              <sz val="10"/>
            </rPr>
            <t>Business Impact:</t>
          </r>
          <r>
            <rPr>
              <rFont val="Calibri"/>
              <sz val="10"/>
            </rPr>
            <t xml:space="preserve"> 3 of 12 — a starting estimate. — Start: 2.5, the role's accountability scope — what it answers for.; Moved +0.5: it does work no one else does.; Managers and heads: overwrite this rating on the Weightage sheet with the business impact you see — the score updates at once.; Ladder: A3 = A process or client deliverable depends on this work</t>
          </r>
        </is>
      </c>
      <c r="X37"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37" s="12" t="inlineStr">
        <is>
          <r>
            <rPr>
              <rFont val="Calibri"/>
              <sz val="10"/>
            </rPr>
            <t xml:space="preserve">✗ HRIS: experience missing, B.E, 0 direct reports
✓ Survey: 20 of 20 questions answered
✗ KRAs: none on file
✓ Manager mapping: rating, 9-box
✗ Job description: not on file
</t>
          </r>
          <r>
            <rPr>
              <rFont val="Calibri"/>
              <b val="1"/>
              <sz val="10"/>
            </rPr>
            <t>Confidence:</t>
          </r>
          <r>
            <rPr>
              <rFont val="Calibri"/>
              <sz val="10"/>
            </rPr>
            <t xml:space="preserve"> Low</t>
          </r>
        </is>
      </c>
      <c r="Z37" s="76" t="inlineStr">
        <is>
          <r>
            <rPr>
              <rFont val="Calibri"/>
              <color rgb="009C5700"/>
              <sz val="10"/>
            </rPr>
            <t xml:space="preserve">• </t>
          </r>
          <r>
            <rPr>
              <rFont val="Calibri"/>
              <b val="1"/>
              <color rgb="009C5700"/>
              <sz val="10"/>
            </rPr>
            <t>Provisional:</t>
          </r>
          <r>
            <rPr>
              <rFont val="Calibri"/>
              <color rgb="009C5700"/>
              <sz val="10"/>
            </rPr>
            <t xml:space="preserve"> experience to be confirmed by HR</t>
          </r>
        </is>
      </c>
      <c r="AA37" s="80" t="inlineStr">
        <is>
          <t>• Total experience · outside + at IRIS — HR — HRIS
• Confirm prior experience · provisional placement — HR</t>
        </is>
      </c>
      <c r="AB3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work only this person does: yes; successor named: no.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Not rated · manager · 9-Box Grid placement: Not placed · manager.</t>
          </r>
        </is>
      </c>
      <c r="AC37" s="74" t="n"/>
      <c r="AD37" s="74" t="n"/>
      <c r="AE37" s="74" t="n"/>
      <c r="AF37" s="12" t="n">
        <v>3</v>
      </c>
    </row>
    <row r="38" ht="379" customHeight="1">
      <c r="A38" s="12" t="inlineStr">
        <is>
          <t>IRIS2552</t>
        </is>
      </c>
      <c r="B38" s="10" t="inlineStr">
        <is>
          <t>Shreekanth Samala</t>
        </is>
      </c>
      <c r="C38" s="12" t="inlineStr">
        <is>
          <t>Technology</t>
        </is>
      </c>
      <c r="D38" s="12" t="inlineStr">
        <is>
          <t>Technical Support Analyst</t>
        </is>
      </c>
      <c r="E38" s="70" t="inlineStr">
        <is>
          <t>Support Specialist</t>
        </is>
      </c>
      <c r="F38" s="12" t="inlineStr">
        <is>
          <t>Customer Success &amp; Support</t>
        </is>
      </c>
      <c r="G38" s="12" t="inlineStr">
        <is>
          <t>Application &amp; Product Support</t>
        </is>
      </c>
      <c r="H38" s="12" t="inlineStr">
        <is>
          <t>IC</t>
        </is>
      </c>
      <c r="I38" s="34" t="inlineStr">
        <is>
          <t>Not in current mapping files</t>
        </is>
      </c>
      <c r="J38" s="16" t="inlineStr">
        <is>
          <t>A3</t>
        </is>
      </c>
      <c r="K38" s="17" t="inlineStr">
        <is>
          <t>Senior Associate</t>
        </is>
      </c>
      <c r="L38" s="77" t="inlineStr">
        <is>
          <t>● Newly mapped</t>
        </is>
      </c>
      <c r="M38" s="12" t="inlineStr">
        <is>
          <t>iDEAL · Technology · Band A · Early career</t>
        </is>
      </c>
      <c r="N38" s="34" t="n">
        <v>3</v>
      </c>
      <c r="O38" s="34" t="n">
        <v>3</v>
      </c>
      <c r="P38" s="34" t="n">
        <v>3</v>
      </c>
      <c r="Q38" s="34" t="n">
        <v>2</v>
      </c>
      <c r="R38" s="34" t="n">
        <v>7.5</v>
      </c>
      <c r="S38" s="72" t="n">
        <v>3</v>
      </c>
      <c r="T38" s="73">
        <f>IF(OR($M38="",COUNT(N38,O38,P38,Q38,R38,S38)&lt;6),"",IFERROR(N38*INDEX(WM_C,MATCH($M38,WM_KEY,0))+O38*INDEX(WM_AU,MATCH($M38,WM_KEY,0))+P38*INDEX(WM_AC,MATCH($M38,WM_KEY,0))+Q38*INDEX(WM_L,MATCH($M38,WM_KEY,0))+R38*INDEX(WM_E,MATCH($M38,WM_KEY,0))+S38*INDEX(WM_BI,MATCH($M38,WM_KEY,0)),""))</f>
        <v>3.45</v>
      </c>
      <c r="U38" s="34" t="str">
        <f>IF(T38="","",INDEX({"A1","A2","A3","B1","B2","B3","C1","C2","D1","D2","E1","E2"},MAX(1,MIN(12,ROUND(T38,0)))))</f>
        <v>A3</v>
      </c>
      <c r="V38" s="12" t="inlineStr">
        <is>
          <r>
            <rPr>
              <rFont val="Calibri"/>
              <sz val="10"/>
            </rPr>
            <t xml:space="preserve">New level A3 · Senior Associate. Current level on record: Not in current mapping files. Change: ● Newly mapped.
Score 3.45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8" s="12" t="inlineStr">
        <is>
          <r>
            <rPr>
              <rFont val="Calibri"/>
              <b val="1"/>
              <sz val="10"/>
            </rPr>
            <t>Complexity &amp; Expertise:</t>
          </r>
          <r>
            <rPr>
              <rFont val="Calibri"/>
              <sz val="10"/>
            </rPr>
            <t xml:space="preserve"> 3 of 12 — Start: 3.0 · senior practitioner title; Evidence: no survey answers or KRAs on file → rating stays at the start
</t>
          </r>
          <r>
            <rPr>
              <rFont val="Calibri"/>
              <b val="1"/>
              <sz val="10"/>
            </rPr>
            <t>Autonomy &amp; Decision:</t>
          </r>
          <r>
            <rPr>
              <rFont val="Calibri"/>
              <sz val="10"/>
            </rPr>
            <t xml:space="preserve"> 3 of 12 — Start: 3.0 · senior practitioner title; Evidence: no survey answers or KRAs on file → rating stays at the start
</t>
          </r>
          <r>
            <rPr>
              <rFont val="Calibri"/>
              <b val="1"/>
              <sz val="10"/>
            </rPr>
            <t>Accountability &amp; Impact:</t>
          </r>
          <r>
            <rPr>
              <rFont val="Calibri"/>
              <sz val="10"/>
            </rPr>
            <t xml:space="preserve"> 3 of 12 — Start: 3.0 · senior practitioner title; Evidence: no survey answers or KRAs on file → rating stays at the start
</t>
          </r>
          <r>
            <rPr>
              <rFont val="Calibri"/>
              <b val="1"/>
              <sz val="10"/>
            </rPr>
            <t>Leadership &amp; Strategy:</t>
          </r>
          <r>
            <rPr>
              <rFont val="Calibri"/>
              <sz val="10"/>
            </rPr>
            <t xml:space="preserve"> 2 of 12 — not counted: the weight is 0% at this level — Start: 2.0 · individual contributor, so influence only; Evidence: no survey answers or KRAs on file → rating stays at the start; Team: 0 direct reports · IC
</t>
          </r>
          <r>
            <rPr>
              <rFont val="Calibri"/>
              <b val="1"/>
              <sz val="10"/>
            </rPr>
            <t>Experience &amp; Qualification:</t>
          </r>
          <r>
            <rPr>
              <rFont val="Calibri"/>
              <sz val="10"/>
            </rPr>
            <t xml:space="preserve"> 7.5 of 12 · between C1 and C2 — Experience: 13.4 yrs total · 13.3 before IRIS + 0.1 at IRIS = 7.6 on the experience scale; Qualification: MBA · postgraduate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38" s="12" t="inlineStr">
        <is>
          <r>
            <rPr>
              <rFont val="Calibri"/>
              <b val="1"/>
              <sz val="10"/>
            </rPr>
            <t>Market level:</t>
          </r>
          <r>
            <rPr>
              <rFont val="Calibri"/>
              <sz val="10"/>
            </rPr>
            <t xml:space="preserve"> P2 · SFIA 3 Apply
</t>
          </r>
          <r>
            <rPr>
              <rFont val="Calibri"/>
              <b val="1"/>
              <sz val="10"/>
            </rPr>
            <t>Typical title:</t>
          </r>
          <r>
            <rPr>
              <rFont val="Calibri"/>
              <sz val="10"/>
            </rPr>
            <t xml:space="preserve"> Senior Executive / CSM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38" s="12" t="inlineStr">
        <is>
          <r>
            <rPr>
              <rFont val="Calibri"/>
              <sz val="10"/>
            </rPr>
            <t xml:space="preserve">✓ HRIS: 13.4 yrs, MBA, 0 direct reports
✓ Survey: 20 of 20 questions answered
✗ KRAs: none on file
✓ Manager mapping: rating, 9-box
✗ Job description: not on file
</t>
          </r>
          <r>
            <rPr>
              <rFont val="Calibri"/>
              <b val="1"/>
              <sz val="10"/>
            </rPr>
            <t>Confidence:</t>
          </r>
          <r>
            <rPr>
              <rFont val="Calibri"/>
              <sz val="10"/>
            </rPr>
            <t xml:space="preserve"> Low</t>
          </r>
        </is>
      </c>
      <c r="Z38" s="76"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38" s="12" t="inlineStr">
        <is>
          <t>Nothing outstanding</t>
        </is>
      </c>
      <c r="AB3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Not rated · manager · 9-Box Grid placement: Not placed · manager.</t>
          </r>
        </is>
      </c>
      <c r="AC38" s="74" t="n"/>
      <c r="AD38" s="74" t="n"/>
      <c r="AE38" s="74" t="n"/>
      <c r="AF38" s="12" t="n">
        <v>3</v>
      </c>
    </row>
    <row r="39" ht="379" customHeight="1">
      <c r="A39" s="12" t="inlineStr">
        <is>
          <t>IRIS2052</t>
        </is>
      </c>
      <c r="B39" s="10" t="inlineStr">
        <is>
          <t>Akshata Sabale</t>
        </is>
      </c>
      <c r="C39" s="12" t="inlineStr">
        <is>
          <t>Technology</t>
        </is>
      </c>
      <c r="D39" s="12" t="inlineStr">
        <is>
          <t>Software Engineer</t>
        </is>
      </c>
      <c r="E39" s="70" t="inlineStr">
        <is>
          <t>Senior Software Engineer</t>
        </is>
      </c>
      <c r="F39" s="12" t="inlineStr">
        <is>
          <t>Engineering &amp; Development</t>
        </is>
      </c>
      <c r="G39" s="12" t="inlineStr">
        <is>
          <t>Backend Development</t>
        </is>
      </c>
      <c r="H39" s="12" t="inlineStr">
        <is>
          <t>IC</t>
        </is>
      </c>
      <c r="I39" s="34" t="inlineStr">
        <is>
          <t>L3 – Professional / Associate</t>
        </is>
      </c>
      <c r="J39" s="16" t="inlineStr">
        <is>
          <t>A3</t>
        </is>
      </c>
      <c r="K39" s="17" t="inlineStr">
        <is>
          <t>Senior Associate</t>
        </is>
      </c>
      <c r="L39" s="75" t="inlineStr">
        <is>
          <t>▲ Up</t>
        </is>
      </c>
      <c r="M39" s="12" t="inlineStr">
        <is>
          <t>iDEAL · Technology · Band A · Early career</t>
        </is>
      </c>
      <c r="N39" s="34" t="n">
        <v>2.5</v>
      </c>
      <c r="O39" s="34" t="n">
        <v>2</v>
      </c>
      <c r="P39" s="34" t="n">
        <v>2.5</v>
      </c>
      <c r="Q39" s="34" t="n">
        <v>1</v>
      </c>
      <c r="R39" s="34" t="n">
        <v>4</v>
      </c>
      <c r="S39" s="72" t="n">
        <v>2.5</v>
      </c>
      <c r="T39" s="73">
        <f>IF(OR($M39="",COUNT(N39,O39,P39,Q39,R39,S39)&lt;6),"",IFERROR(N39*INDEX(WM_C,MATCH($M39,WM_KEY,0))+O39*INDEX(WM_AU,MATCH($M39,WM_KEY,0))+P39*INDEX(WM_AC,MATCH($M39,WM_KEY,0))+Q39*INDEX(WM_L,MATCH($M39,WM_KEY,0))+R39*INDEX(WM_E,MATCH($M39,WM_KEY,0))+S39*INDEX(WM_BI,MATCH($M39,WM_KEY,0)),""))</f>
        <v>2.57</v>
      </c>
      <c r="U39" s="34" t="str">
        <f>IF(T39="","",INDEX({"A1","A2","A3","B1","B2","B3","C1","C2","D1","D2","E1","E2"},MAX(1,MIN(12,ROUND(T39,0)))))</f>
        <v>A3</v>
      </c>
      <c r="V39" s="12" t="inlineStr">
        <is>
          <r>
            <rPr>
              <rFont val="Calibri"/>
              <sz val="10"/>
            </rPr>
            <t xml:space="preserve">New level A3 · Senior Associate. Current level on record: L3 – Professional / Associate. Change: ▲ Up.
Score 2.57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9" s="12" t="inlineStr">
        <is>
          <r>
            <rPr>
              <rFont val="Calibri"/>
              <b val="1"/>
              <sz val="10"/>
            </rPr>
            <t>Complexity &amp; Expertise:</t>
          </r>
          <r>
            <rPr>
              <rFont val="Calibri"/>
              <sz val="10"/>
            </rPr>
            <t xml:space="preserve"> 2.5 of 12 · between A2 and A3 — Start: 2.0 · practitioner title; Evidence reads like A3: New features, bug fixes, code review, live-issue debugging, report development, unit testing on RPT application → moved up 0.5; KRA: “1. AI-Assisted Development Adoption: Use AI coding assistants for at least 60% of development tasks, with no increase in bug-escape rate.…”
</t>
          </r>
          <r>
            <rPr>
              <rFont val="Calibri"/>
              <b val="1"/>
              <sz val="10"/>
            </rPr>
            <t>Autonomy &amp; Decision:</t>
          </r>
          <r>
            <rPr>
              <rFont val="Calibri"/>
              <sz val="10"/>
            </rPr>
            <t xml:space="preserve"> 2 of 12 — Start: 2.0 · practitioner title; Evidence reads like A2: Only 'code implementation' given as independent decision → matches the start
</t>
          </r>
          <r>
            <rPr>
              <rFont val="Calibri"/>
              <b val="1"/>
              <sz val="10"/>
            </rPr>
            <t>Accountability &amp; Impact:</t>
          </r>
          <r>
            <rPr>
              <rFont val="Calibri"/>
              <sz val="10"/>
            </rPr>
            <t xml:space="preserve"> 2.5 of 12 · between A2 and A3 — Start: 2.0 · practitioner title; Evidence reads like A3: Code he ships to production; breakage means urgent fix by him → moved up 0.5; KRA: “1. AI-Assisted Development Adoption: Use AI coding assistants for at least 60% of development tasks, with no increase in bug-escape rate.…”
</t>
          </r>
          <r>
            <rPr>
              <rFont val="Calibri"/>
              <b val="1"/>
              <sz val="10"/>
            </rPr>
            <t>Leadership &amp; Strategy:</t>
          </r>
          <r>
            <rPr>
              <rFont val="Calibri"/>
              <sz val="10"/>
            </rPr>
            <t xml:space="preserve"> 1 of 12 — not counted: the weight is 0% at this level — Start: 1.0 · individual contributor, so influence only; Evidence reads like A1: Reviews code but no guidance of others described → matches the start; Team: 0 direct reports · IC
</t>
          </r>
          <r>
            <rPr>
              <rFont val="Calibri"/>
              <b val="1"/>
              <sz val="10"/>
            </rPr>
            <t>Experience &amp; Qualification:</t>
          </r>
          <r>
            <rPr>
              <rFont val="Calibri"/>
              <sz val="10"/>
            </rPr>
            <t xml:space="preserve"> 4 of 12 — Experience: 5.1 yrs total · 1.0 before IRIS + 4.1 at IRIS = 3.8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39"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39" s="12" t="inlineStr">
        <is>
          <r>
            <rPr>
              <rFont val="Calibri"/>
              <sz val="10"/>
            </rPr>
            <t xml:space="preserve">✓ HRIS: 5.1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39" s="12" t="inlineStr">
        <is>
          <t>—</t>
        </is>
      </c>
      <c r="AA39" s="12" t="inlineStr">
        <is>
          <t>Nothing outstanding</t>
        </is>
      </c>
      <c r="AB3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Core Contributor.</t>
          </r>
        </is>
      </c>
      <c r="AC39" s="74" t="n"/>
      <c r="AD39" s="74" t="n"/>
      <c r="AE39" s="74" t="n"/>
      <c r="AF39" s="12" t="n">
        <v>2.5</v>
      </c>
    </row>
    <row r="40" ht="379" customHeight="1">
      <c r="A40" s="12" t="inlineStr">
        <is>
          <t>IRIS1922</t>
        </is>
      </c>
      <c r="B40" s="10" t="inlineStr">
        <is>
          <t>H Marenna</t>
        </is>
      </c>
      <c r="C40" s="12" t="inlineStr">
        <is>
          <t>Technology</t>
        </is>
      </c>
      <c r="D40" s="12" t="inlineStr">
        <is>
          <t>Senior Software Engineer</t>
        </is>
      </c>
      <c r="E40" s="70" t="inlineStr">
        <is>
          <t>Senior Database Engineer</t>
        </is>
      </c>
      <c r="F40" s="12" t="inlineStr">
        <is>
          <t>Engineering &amp; Development</t>
        </is>
      </c>
      <c r="G40" s="12" t="inlineStr">
        <is>
          <t>Data Engineering &amp; Database Development</t>
        </is>
      </c>
      <c r="H40" s="12" t="inlineStr">
        <is>
          <t>IC</t>
        </is>
      </c>
      <c r="I40" s="34" t="inlineStr">
        <is>
          <t>L4 – Senior</t>
        </is>
      </c>
      <c r="J40" s="16" t="inlineStr">
        <is>
          <t>A3</t>
        </is>
      </c>
      <c r="K40" s="17" t="inlineStr">
        <is>
          <t>Senior Associate</t>
        </is>
      </c>
      <c r="L40" s="71" t="inlineStr">
        <is>
          <t>• Same level</t>
        </is>
      </c>
      <c r="M40" s="12" t="inlineStr">
        <is>
          <t>iDEAL · Technology · Band A · Early career</t>
        </is>
      </c>
      <c r="N40" s="34" t="n">
        <v>2.5</v>
      </c>
      <c r="O40" s="34" t="n">
        <v>2.5</v>
      </c>
      <c r="P40" s="34" t="n">
        <v>2.5</v>
      </c>
      <c r="Q40" s="34" t="n">
        <v>1.5</v>
      </c>
      <c r="R40" s="34" t="n">
        <v>5.5</v>
      </c>
      <c r="S40" s="72" t="n">
        <v>2.5</v>
      </c>
      <c r="T40" s="73">
        <f>IF(OR($M40="",COUNT(N40,O40,P40,Q40,R40,S40)&lt;6),"",IFERROR(N40*INDEX(WM_C,MATCH($M40,WM_KEY,0))+O40*INDEX(WM_AU,MATCH($M40,WM_KEY,0))+P40*INDEX(WM_AC,MATCH($M40,WM_KEY,0))+Q40*INDEX(WM_L,MATCH($M40,WM_KEY,0))+R40*INDEX(WM_E,MATCH($M40,WM_KEY,0))+S40*INDEX(WM_BI,MATCH($M40,WM_KEY,0)),""))</f>
        <v>2.8</v>
      </c>
      <c r="U40" s="34" t="str">
        <f>IF(T40="","",INDEX({"A1","A2","A3","B1","B2","B3","C1","C2","D1","D2","E1","E2"},MAX(1,MIN(12,ROUND(T40,0)))))</f>
        <v>A3</v>
      </c>
      <c r="V40" s="12" t="inlineStr">
        <is>
          <r>
            <rPr>
              <rFont val="Calibri"/>
              <sz val="10"/>
            </rPr>
            <t xml:space="preserve">New level A3 · Senior Associate. Current level on record: L4 – Senior. Change: • Same level.
Score 2.80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0" s="12" t="inlineStr">
        <is>
          <r>
            <rPr>
              <rFont val="Calibri"/>
              <b val="1"/>
              <sz val="10"/>
            </rPr>
            <t>Complexity &amp; Expertise:</t>
          </r>
          <r>
            <rPr>
              <rFont val="Calibri"/>
              <sz val="10"/>
            </rPr>
            <t xml:space="preserve"> 2.5 of 12 · between A2 and A3 — Start: 3.0 · senior practitioner title; Evidence reads like A2: Database / ETL issue resolution on assigned work; no harder cases described → moved down 0.5; KRA: “1.Promote best practices in database development, code quality, and performance optimization. 2.Drive team capability in handling database…”
</t>
          </r>
          <r>
            <rPr>
              <rFont val="Calibri"/>
              <b val="1"/>
              <sz val="10"/>
            </rPr>
            <t>Autonomy &amp; Decision:</t>
          </r>
          <r>
            <rPr>
              <rFont val="Calibri"/>
              <sz val="10"/>
            </rPr>
            <t xml:space="preserve"> 2.5 of 12 · between A2 and A3 — Start: 3.0 · senior practitioner title; Evidence reads like A2: Only says troubleshooting issues is done independently → moved down 0.5
</t>
          </r>
          <r>
            <rPr>
              <rFont val="Calibri"/>
              <b val="1"/>
              <sz val="10"/>
            </rPr>
            <t>Accountability &amp; Impact:</t>
          </r>
          <r>
            <rPr>
              <rFont val="Calibri"/>
              <sz val="10"/>
            </rPr>
            <t xml:space="preserve"> 2.5 of 12 · between A2 and A3 — Start: 3.0 · senior practitioner title; Evidence reads like A2: own survey / KRA answers · summarised by the rater; not quoted → moved down 0.5; KRA: “1.Promote best practices in database development, code quality, and performance optimization. 2.Drive team capability in handling database…”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reviewing of others described → moved down 0.5; Team: 0 direct reports · IC
</t>
          </r>
          <r>
            <rPr>
              <rFont val="Calibri"/>
              <b val="1"/>
              <sz val="10"/>
            </rPr>
            <t>Experience &amp; Qualification:</t>
          </r>
          <r>
            <rPr>
              <rFont val="Calibri"/>
              <sz val="10"/>
            </rPr>
            <t xml:space="preserve"> 5.5 of 12 · between B2 and B3 — Experience: 9.2 yrs total · 4.0 before IRIS + 5.2 at IRIS = 5.7 on the experience scale; Qualification: B.Tech · graduate, relevant to the work → no change
</t>
          </r>
          <r>
            <rPr>
              <rFont val="Calibri"/>
              <b val="1"/>
              <sz val="10"/>
            </rPr>
            <t>Business Impact:</t>
          </r>
          <r>
            <rPr>
              <rFont val="Calibri"/>
              <sz val="10"/>
            </rPr>
            <t xml:space="preserve"> 2.5 of 12 — a starting estimate. —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r>
        </is>
      </c>
      <c r="X40"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40" s="12" t="inlineStr">
        <is>
          <r>
            <rPr>
              <rFont val="Calibri"/>
              <sz val="10"/>
            </rPr>
            <t xml:space="preserve">✓ HRIS: 9.2 yrs, B.Tech,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40" s="12" t="inlineStr">
        <is>
          <t>—</t>
        </is>
      </c>
      <c r="AA40" s="12" t="inlineStr">
        <is>
          <t>Nothing outstanding</t>
        </is>
      </c>
      <c r="AB4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work only this person does: no; successor named: no.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2 · Potential: Low · 9-Box Grid placement: Reliable Specialist.</t>
          </r>
        </is>
      </c>
      <c r="AC40" s="74" t="n"/>
      <c r="AD40" s="74" t="n"/>
      <c r="AE40" s="74" t="n"/>
      <c r="AF40" s="12" t="n">
        <v>2.5</v>
      </c>
    </row>
    <row r="41" ht="379" customHeight="1">
      <c r="A41" s="12" t="inlineStr">
        <is>
          <t>IRIS2530</t>
        </is>
      </c>
      <c r="B41" s="10" t="inlineStr">
        <is>
          <t>Jay Gudhka</t>
        </is>
      </c>
      <c r="C41" s="12" t="inlineStr">
        <is>
          <t>Technology</t>
        </is>
      </c>
      <c r="D41" s="12" t="inlineStr">
        <is>
          <t>Senior Software Engineer</t>
        </is>
      </c>
      <c r="E41" s="70" t="inlineStr">
        <is>
          <t>Technical Specialist</t>
        </is>
      </c>
      <c r="F41" s="12" t="inlineStr">
        <is>
          <t>Engineering &amp; Development</t>
        </is>
      </c>
      <c r="G41" s="12" t="inlineStr">
        <is>
          <t>Full-Stack Development</t>
        </is>
      </c>
      <c r="H41" s="12" t="inlineStr">
        <is>
          <t>IC</t>
        </is>
      </c>
      <c r="I41" s="34" t="inlineStr">
        <is>
          <t>L4 – Senior</t>
        </is>
      </c>
      <c r="J41" s="16" t="inlineStr">
        <is>
          <t>A3</t>
        </is>
      </c>
      <c r="K41" s="17" t="inlineStr">
        <is>
          <t>Senior Associate</t>
        </is>
      </c>
      <c r="L41" s="75" t="inlineStr">
        <is>
          <t>▲ Up</t>
        </is>
      </c>
      <c r="M41" s="12" t="inlineStr">
        <is>
          <t>iDEAL · Technology · Band A · Early career</t>
        </is>
      </c>
      <c r="N41" s="34" t="n">
        <v>3.5</v>
      </c>
      <c r="O41" s="34" t="n">
        <v>3</v>
      </c>
      <c r="P41" s="34" t="n">
        <v>3</v>
      </c>
      <c r="Q41" s="34" t="n">
        <v>2.5</v>
      </c>
      <c r="R41" s="34" t="n">
        <v>5</v>
      </c>
      <c r="S41" s="72" t="n">
        <v>3</v>
      </c>
      <c r="T41" s="73">
        <f>IF(OR($M41="",COUNT(N41,O41,P41,Q41,R41,S41)&lt;6),"",IFERROR(N41*INDEX(WM_C,MATCH($M41,WM_KEY,0))+O41*INDEX(WM_AU,MATCH($M41,WM_KEY,0))+P41*INDEX(WM_AC,MATCH($M41,WM_KEY,0))+Q41*INDEX(WM_L,MATCH($M41,WM_KEY,0))+R41*INDEX(WM_E,MATCH($M41,WM_KEY,0))+S41*INDEX(WM_BI,MATCH($M41,WM_KEY,0)),""))</f>
        <v>3.52</v>
      </c>
      <c r="U41" s="34" t="str">
        <f>IF(T41="","",INDEX({"A1","A2","A3","B1","B2","B3","C1","C2","D1","D2","E1","E2"},MAX(1,MIN(12,ROUND(T41,0)))))</f>
        <v>B1</v>
      </c>
      <c r="V41" s="12" t="inlineStr">
        <is>
          <r>
            <rPr>
              <rFont val="Calibri"/>
              <sz val="10"/>
            </rPr>
            <t xml:space="preserve">New level A3 · Senior Associate. Current level on record: L4 – Senior. Change: ▲ Up.
Score 3.52 on the ladder scale → indicated level B1.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3.46.
</t>
          </r>
          <r>
            <rPr>
              <rFont val="Calibri"/>
              <b val="1"/>
              <sz val="10"/>
            </rPr>
            <t>Final level:</t>
          </r>
          <r>
            <rPr>
              <rFont val="Calibri"/>
              <sz val="10"/>
            </rPr>
            <t xml:space="preserve"> A3.</t>
          </r>
        </is>
      </c>
      <c r="W41" s="12" t="inlineStr">
        <is>
          <r>
            <rPr>
              <rFont val="Calibri"/>
              <b val="1"/>
              <sz val="10"/>
            </rPr>
            <t>Complexity &amp; Expertise:</t>
          </r>
          <r>
            <rPr>
              <rFont val="Calibri"/>
              <sz val="10"/>
            </rPr>
            <t xml:space="preserve"> 3.5 of 12 · between A3 and B1 — Start: 3.0 · senior practitioner title; Evidence reads like B1: Full-stack development, API design and RAG/LLM integration with no established internal process → moved up 0.5; KRA: “1. AI Feature Architecture: Design and lead implementation of at least 1 AI-powered feature in the application, from…”
</t>
          </r>
          <r>
            <rPr>
              <rFont val="Calibri"/>
              <b val="1"/>
              <sz val="10"/>
            </rPr>
            <t>Autonomy &amp; Decision:</t>
          </r>
          <r>
            <rPr>
              <rFont val="Calibri"/>
              <sz val="10"/>
            </rPr>
            <t xml:space="preserve"> 3 of 12 — Start: 3.0 · senior practitioner title; Evidence reads like A3: Makes the tech and design choices on what is built → matches the start
</t>
          </r>
          <r>
            <rPr>
              <rFont val="Calibri"/>
              <b val="1"/>
              <sz val="10"/>
            </rPr>
            <t>Accountability &amp; Impact:</t>
          </r>
          <r>
            <rPr>
              <rFont val="Calibri"/>
              <sz val="10"/>
            </rPr>
            <t xml:space="preserve"> 3 of 12 — Start: 3.0 · senior practitioner title; Evidence reads like A3: own survey / KRA answers · summarised by the rater; not quoted → matches the start; KRA: “1. AI Feature Architecture: Design and lead implementation of at least 1 AI-powered feature in the application, from…”
</t>
          </r>
          <r>
            <rPr>
              <rFont val="Calibri"/>
              <b val="1"/>
              <sz val="10"/>
            </rPr>
            <t>Leadership &amp; Strategy:</t>
          </r>
          <r>
            <rPr>
              <rFont val="Calibri"/>
              <sz val="10"/>
            </rPr>
            <t xml:space="preserve"> 2.5 of 12 · between A2 and A3 — not counted: the weight is 0% at this level — Start: 2.0 · individual contributor, so influence only; Evidence reads like A3: Mentoring is a listed responsibility; KRA includes training the team on AI coding → moved up 0.5; Team: 0 direct reports · IC
</t>
          </r>
          <r>
            <rPr>
              <rFont val="Calibri"/>
              <b val="1"/>
              <sz val="10"/>
            </rPr>
            <t>Experience &amp; Qualification:</t>
          </r>
          <r>
            <rPr>
              <rFont val="Calibri"/>
              <sz val="10"/>
            </rPr>
            <t xml:space="preserve"> 5 of 12 — Experience: 7.2 yrs total · 6.8 before IRIS + 0.4 at IRIS = 4.8 on the experience scale; Qualification: B.E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41" s="12" t="inlineStr">
        <is>
          <r>
            <rPr>
              <rFont val="Calibri"/>
              <b val="1"/>
              <sz val="10"/>
            </rPr>
            <t>Market level:</t>
          </r>
          <r>
            <rPr>
              <rFont val="Calibri"/>
              <sz val="10"/>
            </rPr>
            <t xml:space="preserve"> P2 · SFIA 3 Apply
</t>
          </r>
          <r>
            <rPr>
              <rFont val="Calibri"/>
              <b val="1"/>
              <sz val="10"/>
            </rPr>
            <t>Typical title:</t>
          </r>
          <r>
            <rPr>
              <rFont val="Calibri"/>
              <sz val="10"/>
            </rPr>
            <t xml:space="preserve"> Senior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41" s="12" t="inlineStr">
        <is>
          <r>
            <rPr>
              <rFont val="Calibri"/>
              <sz val="10"/>
            </rPr>
            <t xml:space="preserve">✓ HRIS: 7.2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41" s="76" t="inlineStr">
        <is>
          <r>
            <rPr>
              <rFont val="Calibri"/>
              <color rgb="009C5700"/>
              <sz val="10"/>
            </rPr>
            <t xml:space="preserve">• </t>
          </r>
          <r>
            <rPr>
              <rFont val="Calibri"/>
              <b val="1"/>
              <color rgb="009C5700"/>
              <sz val="10"/>
            </rPr>
            <t>Near a gate:</t>
          </r>
          <r>
            <rPr>
              <rFont val="Calibri"/>
              <color rgb="009C5700"/>
              <sz val="10"/>
            </rPr>
            <t xml:space="preserve"> top of band: 3.46 on Band B's weights, 0.04 short of the 3.5 needed to enter Band B
• </t>
          </r>
          <r>
            <rPr>
              <rFont val="Calibri"/>
              <b val="1"/>
              <color rgb="009C5700"/>
              <sz val="10"/>
            </rPr>
            <t>Title check:</t>
          </r>
          <r>
            <rPr>
              <rFont val="Calibri"/>
              <color rgb="009C5700"/>
              <sz val="10"/>
            </rPr>
            <t xml:space="preserve"> Check title against ladder</t>
          </r>
        </is>
      </c>
      <c r="AA41" s="12" t="inlineStr">
        <is>
          <t>Nothing outstanding</t>
        </is>
      </c>
      <c r="AB4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3 · Potential: Medium · 9-Box Grid placement: Emerging Talent.</t>
          </r>
        </is>
      </c>
      <c r="AC41" s="74" t="n"/>
      <c r="AD41" s="74" t="n"/>
      <c r="AE41" s="74" t="n"/>
      <c r="AF41" s="12" t="n">
        <v>3</v>
      </c>
    </row>
    <row r="42" ht="379" customHeight="1">
      <c r="A42" s="12" t="inlineStr">
        <is>
          <t>IRIS1858</t>
        </is>
      </c>
      <c r="B42" s="10" t="inlineStr">
        <is>
          <t>Prasad Bhoite</t>
        </is>
      </c>
      <c r="C42" s="12" t="inlineStr">
        <is>
          <t>Technology</t>
        </is>
      </c>
      <c r="D42" s="12" t="inlineStr">
        <is>
          <t>Software Engineer</t>
        </is>
      </c>
      <c r="E42" s="70" t="inlineStr">
        <is>
          <t>Senior Database Engineer</t>
        </is>
      </c>
      <c r="F42" s="12" t="inlineStr">
        <is>
          <t>Engineering &amp; Development</t>
        </is>
      </c>
      <c r="G42" s="12" t="inlineStr">
        <is>
          <t>Data Engineering &amp; Database Development</t>
        </is>
      </c>
      <c r="H42" s="12" t="inlineStr">
        <is>
          <t>IC</t>
        </is>
      </c>
      <c r="I42" s="34" t="inlineStr">
        <is>
          <t>L3 – Professional / Associate</t>
        </is>
      </c>
      <c r="J42" s="16" t="inlineStr">
        <is>
          <t>A3</t>
        </is>
      </c>
      <c r="K42" s="17" t="inlineStr">
        <is>
          <t>Senior Associate</t>
        </is>
      </c>
      <c r="L42" s="75" t="inlineStr">
        <is>
          <t>▲ Up</t>
        </is>
      </c>
      <c r="M42" s="12" t="inlineStr">
        <is>
          <t>iDEAL · Technology · Band A · Early career</t>
        </is>
      </c>
      <c r="N42" s="34" t="n">
        <v>2.5</v>
      </c>
      <c r="O42" s="34" t="n">
        <v>2</v>
      </c>
      <c r="P42" s="34" t="n">
        <v>2.5</v>
      </c>
      <c r="Q42" s="34" t="n">
        <v>1</v>
      </c>
      <c r="R42" s="34" t="n">
        <v>4.5</v>
      </c>
      <c r="S42" s="72" t="n">
        <v>3</v>
      </c>
      <c r="T42" s="73">
        <f>IF(OR($M42="",COUNT(N42,O42,P42,Q42,R42,S42)&lt;6),"",IFERROR(N42*INDEX(WM_C,MATCH($M42,WM_KEY,0))+O42*INDEX(WM_AU,MATCH($M42,WM_KEY,0))+P42*INDEX(WM_AC,MATCH($M42,WM_KEY,0))+Q42*INDEX(WM_L,MATCH($M42,WM_KEY,0))+R42*INDEX(WM_E,MATCH($M42,WM_KEY,0))+S42*INDEX(WM_BI,MATCH($M42,WM_KEY,0)),""))</f>
        <v>2.65</v>
      </c>
      <c r="U42" s="34" t="str">
        <f>IF(T42="","",INDEX({"A1","A2","A3","B1","B2","B3","C1","C2","D1","D2","E1","E2"},MAX(1,MIN(12,ROUND(T42,0)))))</f>
        <v>A3</v>
      </c>
      <c r="V42" s="12" t="inlineStr">
        <is>
          <r>
            <rPr>
              <rFont val="Calibri"/>
              <sz val="10"/>
            </rPr>
            <t xml:space="preserve">New level A3 · Senior Associate. Current level on record: L3 – Professional / Associate. Change: ▲ Up.
Score 2.65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2" s="12" t="inlineStr">
        <is>
          <r>
            <rPr>
              <rFont val="Calibri"/>
              <b val="1"/>
              <sz val="10"/>
            </rPr>
            <t>Complexity &amp; Expertise:</t>
          </r>
          <r>
            <rPr>
              <rFont val="Calibri"/>
              <sz val="10"/>
            </rPr>
            <t xml:space="preserve"> 2.5 of 12 · between A2 and A3 — Start: 2.0 · practitioner title; Evidence reads like A3: Data models, stored procedures, query optimisation, performance monitoring and production issue support → moved up 0.5; KRA: “1.Ensure timely and high-quality delivery of database development tasks across Oracle and SQL Server 2.Ensure continuous skill development…”
</t>
          </r>
          <r>
            <rPr>
              <rFont val="Calibri"/>
              <b val="1"/>
              <sz val="10"/>
            </rPr>
            <t>Autonomy &amp; Decision:</t>
          </r>
          <r>
            <rPr>
              <rFont val="Calibri"/>
              <sz val="10"/>
            </rPr>
            <t xml:space="preserve"> 2 of 12 — Start: 2.0 · practitioner title; Evidence reads like A2: own survey / KRA answers · summarised by the rater; not quoted → matches the start
</t>
          </r>
          <r>
            <rPr>
              <rFont val="Calibri"/>
              <b val="1"/>
              <sz val="10"/>
            </rPr>
            <t>Accountability &amp; Impact:</t>
          </r>
          <r>
            <rPr>
              <rFont val="Calibri"/>
              <sz val="10"/>
            </rPr>
            <t xml:space="preserve"> 2.5 of 12 · between A2 and A3 — Start: 2.0 · practitioner title; Evidence reads like A3: Data integrity and database performance; errors cause downtime or reporting issues → moved up 0.5; KRA: “1.Ensure timely and high-quality delivery of database development tasks across Oracle and SQL Server 2.Ensure continuous skill development…”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4.5 of 12 · between B1 and B2 — Experience: 6.9 yrs total · 0.6 before IRIS + 6.3 at IRIS = 4.7 on the experience scale; Qualification: BCA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42"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42" s="12" t="inlineStr">
        <is>
          <r>
            <rPr>
              <rFont val="Calibri"/>
              <sz val="10"/>
            </rPr>
            <t xml:space="preserve">✓ HRIS: 6.9 yrs, BCA,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42" s="12" t="inlineStr">
        <is>
          <t>—</t>
        </is>
      </c>
      <c r="AA42" s="12" t="inlineStr">
        <is>
          <t>Nothing outstanding</t>
        </is>
      </c>
      <c r="AB4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3 · Potential: Medium · 9-Box Grid placement: Emerging Talent.</t>
          </r>
        </is>
      </c>
      <c r="AC42" s="74" t="n"/>
      <c r="AD42" s="74" t="n"/>
      <c r="AE42" s="74" t="n"/>
      <c r="AF42" s="12" t="n">
        <v>3</v>
      </c>
    </row>
    <row r="43" ht="379" customHeight="1">
      <c r="A43" s="12" t="inlineStr">
        <is>
          <t>IRIS2260</t>
        </is>
      </c>
      <c r="B43" s="10" t="inlineStr">
        <is>
          <t>Pratik Ekhande</t>
        </is>
      </c>
      <c r="C43" s="12" t="inlineStr">
        <is>
          <t>Technology</t>
        </is>
      </c>
      <c r="D43" s="12" t="inlineStr">
        <is>
          <t>Software Engineer</t>
        </is>
      </c>
      <c r="E43" s="70" t="inlineStr">
        <is>
          <t>Senior Software Engineer</t>
        </is>
      </c>
      <c r="F43" s="12" t="inlineStr">
        <is>
          <t>Engineering &amp; Development</t>
        </is>
      </c>
      <c r="G43" s="12" t="inlineStr">
        <is>
          <t>Backend Development</t>
        </is>
      </c>
      <c r="H43" s="12" t="inlineStr">
        <is>
          <t>IC</t>
        </is>
      </c>
      <c r="I43" s="34" t="inlineStr">
        <is>
          <t>L3 – Professional / Associate</t>
        </is>
      </c>
      <c r="J43" s="16" t="inlineStr">
        <is>
          <t>A3</t>
        </is>
      </c>
      <c r="K43" s="17" t="inlineStr">
        <is>
          <t>Senior Associate</t>
        </is>
      </c>
      <c r="L43" s="75" t="inlineStr">
        <is>
          <t>▲ Up</t>
        </is>
      </c>
      <c r="M43" s="12" t="inlineStr">
        <is>
          <t>iDEAL · Technology · Band A · Early career</t>
        </is>
      </c>
      <c r="N43" s="34" t="n">
        <v>2</v>
      </c>
      <c r="O43" s="34" t="n">
        <v>2</v>
      </c>
      <c r="P43" s="34" t="n">
        <v>2.5</v>
      </c>
      <c r="Q43" s="34" t="n">
        <v>1</v>
      </c>
      <c r="R43" s="34" t="n">
        <v>2.5</v>
      </c>
      <c r="S43" s="72" t="n">
        <v>3</v>
      </c>
      <c r="T43" s="73">
        <f>IF(OR($M43="",COUNT(N43,O43,P43,Q43,R43,S43)&lt;6),"",IFERROR(N43*INDEX(WM_C,MATCH($M43,WM_KEY,0))+O43*INDEX(WM_AU,MATCH($M43,WM_KEY,0))+P43*INDEX(WM_AC,MATCH($M43,WM_KEY,0))+Q43*INDEX(WM_L,MATCH($M43,WM_KEY,0))+R43*INDEX(WM_E,MATCH($M43,WM_KEY,0))+S43*INDEX(WM_BI,MATCH($M43,WM_KEY,0)),""))</f>
        <v>2.13</v>
      </c>
      <c r="U43" s="34" t="str">
        <f>IF(T43="","",INDEX({"A1","A2","A3","B1","B2","B3","C1","C2","D1","D2","E1","E2"},MAX(1,MIN(12,ROUND(T43,0)))))</f>
        <v>A2</v>
      </c>
      <c r="V43" s="12" t="inlineStr">
        <is>
          <r>
            <rPr>
              <rFont val="Calibri"/>
              <sz val="10"/>
            </rPr>
            <t xml:space="preserve">New level A3 · Senior Associate. Current level on record: L3 – Professional / Associate. Change: ▲ Up.
Score 2.13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W43" s="12" t="inlineStr">
        <is>
          <r>
            <rPr>
              <rFont val="Calibri"/>
              <b val="1"/>
              <sz val="10"/>
            </rPr>
            <t>Complexity &amp; Expertise:</t>
          </r>
          <r>
            <rPr>
              <rFont val="Calibri"/>
              <sz val="10"/>
            </rPr>
            <t xml:space="preserve"> 2 of 12 — Start: 2.0 · practitioner title; Evidence reads like A2:.NET Core development from requirements; asks experienced seniors for review → matches the start; KRA: “1. Feature Delivery: Complete assigned features/stories with 90%+ sprint commitment accuracy. 2. Code Quality: Maintain a bug-escape rate…”
</t>
          </r>
          <r>
            <rPr>
              <rFont val="Calibri"/>
              <b val="1"/>
              <sz val="10"/>
            </rPr>
            <t>Autonomy &amp; Decision:</t>
          </r>
          <r>
            <rPr>
              <rFont val="Calibri"/>
              <sz val="10"/>
            </rPr>
            <t xml:space="preserve"> 2 of 12 — Start: 2.0 · practitioner title; Evidence reads like A2: Decides prerequisites / BRD design; relies on senior review → matches the start
</t>
          </r>
          <r>
            <rPr>
              <rFont val="Calibri"/>
              <b val="1"/>
              <sz val="10"/>
            </rPr>
            <t>Accountability &amp; Impact:</t>
          </r>
          <r>
            <rPr>
              <rFont val="Calibri"/>
              <sz val="10"/>
            </rPr>
            <t xml:space="preserve"> 2.5 of 12 · between A2 and A3 — Start: 2.0 · practitioner title; Evidence reads like A3: Module flow errors produce improper instances and entity filing issues → moved up 0.5; KRA: “1. Feature Delivery: Complete assigned features/stories with 90%+ sprint commitment accuracy. 2. Code Quality: Maintain a bug-escape rate…”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2.5 of 12 · between A2 and A3 — Experience: 2.3 yrs total · 2.3 at IRIS; none recorded before IRIS = 2.6 on the experience scale; Qualification: B.E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43"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43" s="12" t="inlineStr">
        <is>
          <r>
            <rPr>
              <rFont val="Calibri"/>
              <sz val="10"/>
            </rPr>
            <t xml:space="preserve">✓ HRIS: 2.3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43" s="12" t="inlineStr">
        <is>
          <t>—</t>
        </is>
      </c>
      <c r="AA43" s="12" t="inlineStr">
        <is>
          <t>Nothing outstanding</t>
        </is>
      </c>
      <c r="AB4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Emerging Talent.</t>
          </r>
        </is>
      </c>
      <c r="AC43" s="74" t="n"/>
      <c r="AD43" s="74" t="n"/>
      <c r="AE43" s="74" t="n"/>
      <c r="AF43" s="12" t="n">
        <v>3</v>
      </c>
    </row>
    <row r="44" ht="379" customHeight="1">
      <c r="A44" s="12" t="inlineStr">
        <is>
          <t>IRIS2038</t>
        </is>
      </c>
      <c r="B44" s="10" t="inlineStr">
        <is>
          <t>Swapnil Shirke</t>
        </is>
      </c>
      <c r="C44" s="12" t="inlineStr">
        <is>
          <t>Technology</t>
        </is>
      </c>
      <c r="D44" s="12" t="inlineStr">
        <is>
          <t>Software Engineer</t>
        </is>
      </c>
      <c r="E44" s="70" t="inlineStr">
        <is>
          <t>Senior Software Engineer</t>
        </is>
      </c>
      <c r="F44" s="12" t="inlineStr">
        <is>
          <t>Engineering &amp; Development</t>
        </is>
      </c>
      <c r="G44" s="12" t="inlineStr">
        <is>
          <t>Backend Development</t>
        </is>
      </c>
      <c r="H44" s="12" t="inlineStr">
        <is>
          <t>IC</t>
        </is>
      </c>
      <c r="I44" s="34" t="inlineStr">
        <is>
          <t>L3 – Professional / Associate</t>
        </is>
      </c>
      <c r="J44" s="16" t="inlineStr">
        <is>
          <t>A3</t>
        </is>
      </c>
      <c r="K44" s="17" t="inlineStr">
        <is>
          <t>Senior Associate</t>
        </is>
      </c>
      <c r="L44" s="75" t="inlineStr">
        <is>
          <t>▲ Up</t>
        </is>
      </c>
      <c r="M44" s="12" t="inlineStr">
        <is>
          <t>iDEAL · Technology · Band A · Early career</t>
        </is>
      </c>
      <c r="N44" s="34" t="n">
        <v>2.5</v>
      </c>
      <c r="O44" s="34" t="n">
        <v>3</v>
      </c>
      <c r="P44" s="34" t="n">
        <v>4.5</v>
      </c>
      <c r="Q44" s="34" t="n">
        <v>4</v>
      </c>
      <c r="R44" s="34" t="n">
        <v>3.5</v>
      </c>
      <c r="S44" s="72" t="n">
        <v>5</v>
      </c>
      <c r="T44" s="73">
        <f>IF(OR($M44="",COUNT(N44,O44,P44,Q44,R44,S44)&lt;6),"",IFERROR(N44*INDEX(WM_C,MATCH($M44,WM_KEY,0))+O44*INDEX(WM_AU,MATCH($M44,WM_KEY,0))+P44*INDEX(WM_AC,MATCH($M44,WM_KEY,0))+Q44*INDEX(WM_L,MATCH($M44,WM_KEY,0))+R44*INDEX(WM_E,MATCH($M44,WM_KEY,0))+S44*INDEX(WM_BI,MATCH($M44,WM_KEY,0)),""))</f>
        <v>2.91</v>
      </c>
      <c r="U44" s="34" t="str">
        <f>IF(T44="","",INDEX({"A1","A2","A3","B1","B2","B3","C1","C2","D1","D2","E1","E2"},MAX(1,MIN(12,ROUND(T44,0)))))</f>
        <v>A3</v>
      </c>
      <c r="V44" s="12" t="inlineStr">
        <is>
          <r>
            <rPr>
              <rFont val="Calibri"/>
              <sz val="10"/>
            </rPr>
            <t xml:space="preserve">New level A3 · Senior Associate. Current level on record: L3 – Professional / Associate. Change: ▲ Up.
Score 2.91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4"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 AI-Assisted Development Adoption: Use AI coding assistants for at least 60% of development tasks, with no increase in bug-escape rate.…”
</t>
          </r>
          <r>
            <rPr>
              <rFont val="Calibri"/>
              <b val="1"/>
              <sz val="10"/>
            </rPr>
            <t>Autonomy &amp; Decision:</t>
          </r>
          <r>
            <rPr>
              <rFont val="Calibri"/>
              <sz val="10"/>
            </rPr>
            <t xml:space="preserve"> 3 of 12 — Start: 3.0 · practitioner title; reporting lines show a bigger role: 4 direct reports; Evidence: rated like 36 colleagues in the same role and department · own answers too general to rate → no change
</t>
          </r>
          <r>
            <rPr>
              <rFont val="Calibri"/>
              <b val="1"/>
              <sz val="10"/>
            </rPr>
            <t>Accountability &amp; Impact:</t>
          </r>
          <r>
            <rPr>
              <rFont val="Calibri"/>
              <sz val="10"/>
            </rPr>
            <t xml:space="preserve"> 4.5 of 12 · between B1 and B2 — Start: 4.0 · practitioner title; 4 direct reports; Evidence: rated like 36 colleagues in the same role and department · own answers too general to rate → moved +0.5; KRA: “1. AI-Assisted Development Adoption: Use AI coding assistants for at least 60% of development tasks, with no increase in bug-escape rate.…”
</t>
          </r>
          <r>
            <rPr>
              <rFont val="Calibri"/>
              <b val="1"/>
              <sz val="10"/>
            </rPr>
            <t>Leadership &amp; Strategy:</t>
          </r>
          <r>
            <rPr>
              <rFont val="Calibri"/>
              <sz val="10"/>
            </rPr>
            <t xml:space="preserve"> 4 of 12 — not counted: the weight is 0% at this level — Start: 4.0; Evidence: rated like 36 colleagues in the same role and department · own answers too general to rate → no change; Team: 4 direct reports · IC
</t>
          </r>
          <r>
            <rPr>
              <rFont val="Calibri"/>
              <b val="1"/>
              <sz val="10"/>
            </rPr>
            <t>Experience &amp; Qualification:</t>
          </r>
          <r>
            <rPr>
              <rFont val="Calibri"/>
              <sz val="10"/>
            </rPr>
            <t xml:space="preserve"> 3.5 of 12 · between A3 and B1 — Experience: 4.2 yrs total · 4.2 at IRIS; none recorded before IRIS = 3.5 on the experience scale; Qualification: B.E · graduate, relevant to the work → no change
</t>
          </r>
          <r>
            <rPr>
              <rFont val="Calibri"/>
              <b val="1"/>
              <sz val="10"/>
            </rPr>
            <t>Business Impact:</t>
          </r>
          <r>
            <rPr>
              <rFont val="Calibri"/>
              <sz val="10"/>
            </rPr>
            <t xml:space="preserve"> 5 of 12 — a starting estimate. —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r>
        </is>
      </c>
      <c r="X44"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44" s="12" t="inlineStr">
        <is>
          <r>
            <rPr>
              <rFont val="Calibri"/>
              <sz val="10"/>
            </rPr>
            <t xml:space="preserve">✓ HRIS: 4.2 yrs, B.E, 4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44" s="12" t="inlineStr">
        <is>
          <t>—</t>
        </is>
      </c>
      <c r="AA44" s="80" t="inlineStr">
        <is>
          <t>• Confirm the reporting line — Manager</t>
        </is>
      </c>
      <c r="AB4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4.5 of 12 · B1-level impact.
Leads 4 direct reports.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5 · Potential: High · 9-Box Grid placement: High Impact / Growth Talent.</t>
          </r>
        </is>
      </c>
      <c r="AC44" s="74" t="n"/>
      <c r="AD44" s="74" t="n"/>
      <c r="AE44" s="74" t="n"/>
      <c r="AF44" s="12" t="n">
        <v>5</v>
      </c>
    </row>
    <row r="45" ht="379" customHeight="1">
      <c r="A45" s="12" t="inlineStr">
        <is>
          <t>IRIS2259</t>
        </is>
      </c>
      <c r="B45" s="10" t="inlineStr">
        <is>
          <t>Tushar Kadu Nimbolkar</t>
        </is>
      </c>
      <c r="C45" s="12" t="inlineStr">
        <is>
          <t>Technology</t>
        </is>
      </c>
      <c r="D45" s="12" t="inlineStr">
        <is>
          <t>Software Engineer</t>
        </is>
      </c>
      <c r="E45" s="70" t="inlineStr">
        <is>
          <t>Senior Database Engineer</t>
        </is>
      </c>
      <c r="F45" s="12" t="inlineStr">
        <is>
          <t>Engineering &amp; Development</t>
        </is>
      </c>
      <c r="G45" s="12" t="inlineStr">
        <is>
          <t>Data Engineering &amp; Database Development</t>
        </is>
      </c>
      <c r="H45" s="12" t="inlineStr">
        <is>
          <t>IC</t>
        </is>
      </c>
      <c r="I45" s="34" t="inlineStr">
        <is>
          <t>L3 – Professional / Associate</t>
        </is>
      </c>
      <c r="J45" s="16" t="inlineStr">
        <is>
          <t>A3</t>
        </is>
      </c>
      <c r="K45" s="17" t="inlineStr">
        <is>
          <t>Senior Associate</t>
        </is>
      </c>
      <c r="L45" s="75" t="inlineStr">
        <is>
          <t>▲ Up</t>
        </is>
      </c>
      <c r="M45" s="12" t="inlineStr">
        <is>
          <t>iDEAL · Technology · Band A · Early career</t>
        </is>
      </c>
      <c r="N45" s="34" t="n">
        <v>2.5</v>
      </c>
      <c r="O45" s="34" t="n">
        <v>2.5</v>
      </c>
      <c r="P45" s="34" t="n">
        <v>2.5</v>
      </c>
      <c r="Q45" s="34" t="n">
        <v>1</v>
      </c>
      <c r="R45" s="34" t="n">
        <v>2.5</v>
      </c>
      <c r="S45" s="72" t="n">
        <v>3.5</v>
      </c>
      <c r="T45" s="73">
        <f>IF(OR($M45="",COUNT(N45,O45,P45,Q45,R45,S45)&lt;6),"",IFERROR(N45*INDEX(WM_C,MATCH($M45,WM_KEY,0))+O45*INDEX(WM_AU,MATCH($M45,WM_KEY,0))+P45*INDEX(WM_AC,MATCH($M45,WM_KEY,0))+Q45*INDEX(WM_L,MATCH($M45,WM_KEY,0))+R45*INDEX(WM_E,MATCH($M45,WM_KEY,0))+S45*INDEX(WM_BI,MATCH($M45,WM_KEY,0)),""))</f>
        <v>2.56</v>
      </c>
      <c r="U45" s="34" t="str">
        <f>IF(T45="","",INDEX({"A1","A2","A3","B1","B2","B3","C1","C2","D1","D2","E1","E2"},MAX(1,MIN(12,ROUND(T45,0)))))</f>
        <v>A3</v>
      </c>
      <c r="V45" s="12" t="inlineStr">
        <is>
          <r>
            <rPr>
              <rFont val="Calibri"/>
              <sz val="10"/>
            </rPr>
            <t xml:space="preserve">New level A3 · Senior Associate. Current level on record: L3 – Professional / Associate. Change: ▲ Up.
Score 2.56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5" s="12" t="inlineStr">
        <is>
          <r>
            <rPr>
              <rFont val="Calibri"/>
              <b val="1"/>
              <sz val="10"/>
            </rPr>
            <t>Complexity &amp; Expertise:</t>
          </r>
          <r>
            <rPr>
              <rFont val="Calibri"/>
              <sz val="10"/>
            </rPr>
            <t xml:space="preserve"> 2.5 of 12 · between A2 and A3 — Start: 2.0 · practitioner title; Evidence reads like A3: Coding, client calls and support, deployment, R&amp;D, documentation; SQL, ETL and data engineering → moved up 0.5; KRA: “1. Feature Delivery: Complete assigned features/stories with 90%+ sprint commitment accuracy. 2. Code Quality: Maintain a bug-escape rate…”
</t>
          </r>
          <r>
            <rPr>
              <rFont val="Calibri"/>
              <b val="1"/>
              <sz val="10"/>
            </rPr>
            <t>Autonomy &amp; Decision:</t>
          </r>
          <r>
            <rPr>
              <rFont val="Calibri"/>
              <sz val="10"/>
            </rPr>
            <t xml:space="preserve"> 2.5 of 12 · between A2 and A3 — Start: 2.0 · practitioner title; Evidence reads like A3: Independently handles client support, issues and code enhancements → moved up 0.5
</t>
          </r>
          <r>
            <rPr>
              <rFont val="Calibri"/>
              <b val="1"/>
              <sz val="10"/>
            </rPr>
            <t>Accountability &amp; Impact:</t>
          </r>
          <r>
            <rPr>
              <rFont val="Calibri"/>
              <sz val="10"/>
            </rPr>
            <t xml:space="preserve"> 2.5 of 12 · between A2 and A3 — Start: 2.0 · practitioner title; Evidence reads like A3: Logic and code he develops, plus shared client support; escalations if wrong → moved up 0.5; KRA: “1. Feature Delivery: Complete assigned features/stories with 90%+ sprint commitment accuracy. 2. Code Quality: Maintain a bug-escape rate…”
</t>
          </r>
          <r>
            <rPr>
              <rFont val="Calibri"/>
              <b val="1"/>
              <sz val="10"/>
            </rPr>
            <t>Leadership &amp; Strategy:</t>
          </r>
          <r>
            <rPr>
              <rFont val="Calibri"/>
              <sz val="10"/>
            </rPr>
            <t xml:space="preserve"> 1 of 12 — not counted: the weight is 0% at this level — Start: 1.0 · individual contributor, so influence only; Evidence reads like A1: Leadership named only as a quality; no guidance described → matches the start; Team: 0 direct reports · IC
</t>
          </r>
          <r>
            <rPr>
              <rFont val="Calibri"/>
              <b val="1"/>
              <sz val="10"/>
            </rPr>
            <t>Experience &amp; Qualification:</t>
          </r>
          <r>
            <rPr>
              <rFont val="Calibri"/>
              <sz val="10"/>
            </rPr>
            <t xml:space="preserve"> 2.5 of 12 · between A2 and A3 — Experience: 2.3 yrs total · 2.3 at IRIS; none recorded before IRIS = 2.6 on the experience scale; Qualification: B.E · graduate, relevant to the work → no change
</t>
          </r>
          <r>
            <rPr>
              <rFont val="Calibri"/>
              <b val="1"/>
              <sz val="10"/>
            </rPr>
            <t>Business Impact:</t>
          </r>
          <r>
            <rPr>
              <rFont val="Calibri"/>
              <sz val="10"/>
            </rPr>
            <t xml:space="preserve"> 3.5 of 12 — a starting estimate. — Start: 2.5,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r>
        </is>
      </c>
      <c r="X45"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45" s="12" t="inlineStr">
        <is>
          <r>
            <rPr>
              <rFont val="Calibri"/>
              <sz val="10"/>
            </rPr>
            <t xml:space="preserve">✓ HRIS: 2.3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45" s="12" t="inlineStr">
        <is>
          <t>—</t>
        </is>
      </c>
      <c r="AA45" s="12" t="inlineStr">
        <is>
          <t>Nothing outstanding</t>
        </is>
      </c>
      <c r="AB4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work only this person does: yes; successor named: no.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3 · Potential: Medium · 9-Box Grid placement: Emerging Talent.</t>
          </r>
        </is>
      </c>
      <c r="AC45" s="74" t="n"/>
      <c r="AD45" s="74" t="n"/>
      <c r="AE45" s="74" t="n"/>
      <c r="AF45" s="12" t="n">
        <v>3.5</v>
      </c>
    </row>
    <row r="46" ht="379" customHeight="1">
      <c r="A46" s="12" t="inlineStr">
        <is>
          <t>IRIS2258</t>
        </is>
      </c>
      <c r="B46" s="10" t="inlineStr">
        <is>
          <t>Vaibhav Govind Gahat</t>
        </is>
      </c>
      <c r="C46" s="12" t="inlineStr">
        <is>
          <t>Technology</t>
        </is>
      </c>
      <c r="D46" s="12" t="inlineStr">
        <is>
          <t>Software Engineer</t>
        </is>
      </c>
      <c r="E46" s="70" t="inlineStr">
        <is>
          <t>Senior Software Engineer</t>
        </is>
      </c>
      <c r="F46" s="12" t="inlineStr">
        <is>
          <t>Engineering &amp; Development</t>
        </is>
      </c>
      <c r="G46" s="12" t="inlineStr">
        <is>
          <t>Backend Development</t>
        </is>
      </c>
      <c r="H46" s="12" t="inlineStr">
        <is>
          <t>IC</t>
        </is>
      </c>
      <c r="I46" s="34" t="inlineStr">
        <is>
          <t>L3 – Professional / Associate</t>
        </is>
      </c>
      <c r="J46" s="16" t="inlineStr">
        <is>
          <t>A3</t>
        </is>
      </c>
      <c r="K46" s="17" t="inlineStr">
        <is>
          <t>Senior Associate</t>
        </is>
      </c>
      <c r="L46" s="75" t="inlineStr">
        <is>
          <t>▲ Up</t>
        </is>
      </c>
      <c r="M46" s="12" t="inlineStr">
        <is>
          <t>iDEAL · Technology · Band A · Early career</t>
        </is>
      </c>
      <c r="N46" s="34" t="n">
        <v>2.5</v>
      </c>
      <c r="O46" s="34" t="n">
        <v>2</v>
      </c>
      <c r="P46" s="34" t="n">
        <v>2.5</v>
      </c>
      <c r="Q46" s="34" t="n">
        <v>1</v>
      </c>
      <c r="R46" s="34" t="n">
        <v>2.5</v>
      </c>
      <c r="S46" s="72" t="n">
        <v>3</v>
      </c>
      <c r="T46" s="73">
        <f>IF(OR($M46="",COUNT(N46,O46,P46,Q46,R46,S46)&lt;6),"",IFERROR(N46*INDEX(WM_C,MATCH($M46,WM_KEY,0))+O46*INDEX(WM_AU,MATCH($M46,WM_KEY,0))+P46*INDEX(WM_AC,MATCH($M46,WM_KEY,0))+Q46*INDEX(WM_L,MATCH($M46,WM_KEY,0))+R46*INDEX(WM_E,MATCH($M46,WM_KEY,0))+S46*INDEX(WM_BI,MATCH($M46,WM_KEY,0)),""))</f>
        <v>2.45</v>
      </c>
      <c r="U46" s="34" t="str">
        <f>IF(T46="","",INDEX({"A1","A2","A3","B1","B2","B3","C1","C2","D1","D2","E1","E2"},MAX(1,MIN(12,ROUND(T46,0)))))</f>
        <v>A2</v>
      </c>
      <c r="V46" s="12" t="inlineStr">
        <is>
          <r>
            <rPr>
              <rFont val="Calibri"/>
              <sz val="10"/>
            </rPr>
            <t xml:space="preserve">New level A3 · Senior Associate. Current level on record: L3 – Professional / Associate. Change: ▲ Up.
Score 2.45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W46" s="12" t="inlineStr">
        <is>
          <r>
            <rPr>
              <rFont val="Calibri"/>
              <b val="1"/>
              <sz val="10"/>
            </rPr>
            <t>Complexity &amp; Expertise:</t>
          </r>
          <r>
            <rPr>
              <rFont val="Calibri"/>
              <sz val="10"/>
            </rPr>
            <t xml:space="preserve"> 2.5 of 12 · between A2 and A3 — Start: 2.0 · practitioner title; Evidence reads like A3: Answers for Data automation module and API issues; deployment, table creation, performance enhancements → moved up 0.5; KRA: “1. Feature Delivery: Complete assigned features/stories with 90%+ sprint commitment accuracy. 2. Code Quality: Maintain a bug-escape rate…”
</t>
          </r>
          <r>
            <rPr>
              <rFont val="Calibri"/>
              <b val="1"/>
              <sz val="10"/>
            </rPr>
            <t>Autonomy &amp; Decision:</t>
          </r>
          <r>
            <rPr>
              <rFont val="Calibri"/>
              <sz val="10"/>
            </rPr>
            <t xml:space="preserve"> 2 of 12 — Start: 2.0 · practitioner title; Evidence reads like A2: Decides performance enhancements and documentation → matches the start
</t>
          </r>
          <r>
            <rPr>
              <rFont val="Calibri"/>
              <b val="1"/>
              <sz val="10"/>
            </rPr>
            <t>Accountability &amp; Impact:</t>
          </r>
          <r>
            <rPr>
              <rFont val="Calibri"/>
              <sz val="10"/>
            </rPr>
            <t xml:space="preserve"> 2.5 of 12 · between A2 and A3 — Start: 2.0 · practitioner title; Evidence reads like A3: Data automation module and API-related issues in iDEAL application → moved up 0.5; KRA: “1. Feature Delivery: Complete assigned features/stories with 90%+ sprint commitment accuracy. 2. Code Quality: Maintain a bug-escape rate…”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2.5 of 12 · between A2 and A3 — Experience: 2.3 yrs total · 2.3 at IRIS; none recorded before IRIS = 2.6 on the experience scale; Qualification: B.E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46"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46" s="12" t="inlineStr">
        <is>
          <r>
            <rPr>
              <rFont val="Calibri"/>
              <sz val="10"/>
            </rPr>
            <t xml:space="preserve">✓ HRIS: 2.3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46" s="12" t="inlineStr">
        <is>
          <t>—</t>
        </is>
      </c>
      <c r="AA46" s="12" t="inlineStr">
        <is>
          <t>Nothing outstanding</t>
        </is>
      </c>
      <c r="AB4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Emerging Talent.</t>
          </r>
        </is>
      </c>
      <c r="AC46" s="74" t="n"/>
      <c r="AD46" s="74" t="n"/>
      <c r="AE46" s="74" t="n"/>
      <c r="AF46" s="12" t="n">
        <v>3</v>
      </c>
    </row>
    <row r="47" ht="379" customHeight="1">
      <c r="A47" s="12" t="inlineStr">
        <is>
          <t>IRIS2018</t>
        </is>
      </c>
      <c r="B47" s="10" t="inlineStr">
        <is>
          <t>Varsha Patil</t>
        </is>
      </c>
      <c r="C47" s="12" t="inlineStr">
        <is>
          <t>Technology</t>
        </is>
      </c>
      <c r="D47" s="12" t="inlineStr">
        <is>
          <t>Software Engineer</t>
        </is>
      </c>
      <c r="E47" s="70" t="inlineStr">
        <is>
          <t>Senior Software Engineer</t>
        </is>
      </c>
      <c r="F47" s="12" t="inlineStr">
        <is>
          <t>Engineering &amp; Development</t>
        </is>
      </c>
      <c r="G47" s="12" t="inlineStr">
        <is>
          <t>Backend Development</t>
        </is>
      </c>
      <c r="H47" s="12" t="inlineStr">
        <is>
          <t>IC</t>
        </is>
      </c>
      <c r="I47" s="34" t="inlineStr">
        <is>
          <t>L3 – Professional / Associate</t>
        </is>
      </c>
      <c r="J47" s="16" t="inlineStr">
        <is>
          <t>A3</t>
        </is>
      </c>
      <c r="K47" s="17" t="inlineStr">
        <is>
          <t>Senior Associate</t>
        </is>
      </c>
      <c r="L47" s="75" t="inlineStr">
        <is>
          <t>▲ Up</t>
        </is>
      </c>
      <c r="M47" s="12" t="inlineStr">
        <is>
          <t>iDEAL · Technology · Band A · Early career</t>
        </is>
      </c>
      <c r="N47" s="34" t="n">
        <v>2</v>
      </c>
      <c r="O47" s="34" t="n">
        <v>2</v>
      </c>
      <c r="P47" s="34" t="n">
        <v>2.5</v>
      </c>
      <c r="Q47" s="34" t="n">
        <v>1</v>
      </c>
      <c r="R47" s="34" t="n">
        <v>4</v>
      </c>
      <c r="S47" s="72" t="n">
        <v>2.5</v>
      </c>
      <c r="T47" s="73">
        <f>IF(OR($M47="",COUNT(N47,O47,P47,Q47,R47,S47)&lt;6),"",IFERROR(N47*INDEX(WM_C,MATCH($M47,WM_KEY,0))+O47*INDEX(WM_AU,MATCH($M47,WM_KEY,0))+P47*INDEX(WM_AC,MATCH($M47,WM_KEY,0))+Q47*INDEX(WM_L,MATCH($M47,WM_KEY,0))+R47*INDEX(WM_E,MATCH($M47,WM_KEY,0))+S47*INDEX(WM_BI,MATCH($M47,WM_KEY,0)),""))</f>
        <v>2.25</v>
      </c>
      <c r="U47" s="34" t="str">
        <f>IF(T47="","",INDEX({"A1","A2","A3","B1","B2","B3","C1","C2","D1","D2","E1","E2"},MAX(1,MIN(12,ROUND(T47,0)))))</f>
        <v>A2</v>
      </c>
      <c r="V47" s="12" t="inlineStr">
        <is>
          <r>
            <rPr>
              <rFont val="Calibri"/>
              <sz val="10"/>
            </rPr>
            <t xml:space="preserve">New level A3 · Senior Associate. Current level on record: L3 – Professional / Associate. Change: ▲ Up.
Score 2.25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5.3 years' experience is 2 years or more.
</t>
          </r>
          <r>
            <rPr>
              <rFont val="Calibri"/>
              <b val="1"/>
              <sz val="10"/>
            </rPr>
            <t>Final level:</t>
          </r>
          <r>
            <rPr>
              <rFont val="Calibri"/>
              <sz val="10"/>
            </rPr>
            <t xml:space="preserve"> A3.</t>
          </r>
        </is>
      </c>
      <c r="W47" s="12" t="inlineStr">
        <is>
          <r>
            <rPr>
              <rFont val="Calibri"/>
              <b val="1"/>
              <sz val="10"/>
            </rPr>
            <t>Complexity &amp; Expertise:</t>
          </r>
          <r>
            <rPr>
              <rFont val="Calibri"/>
              <sz val="10"/>
            </rPr>
            <t xml:space="preserve"> 2 of 12 — Start: 2.0 · practitioner title; Evidence reads like A2: Develops features, supports production issues, fixes bugs; no specifics in own answers → matches the start; KRA: “1. AI-Assisted Development Adoption: Use AI coding assistants for at least 60% of development tasks, with no increase in bug-escape rate.…”
</t>
          </r>
          <r>
            <rPr>
              <rFont val="Calibri"/>
              <b val="1"/>
              <sz val="10"/>
            </rPr>
            <t>Autonomy &amp; Decision:</t>
          </r>
          <r>
            <rPr>
              <rFont val="Calibri"/>
              <sz val="10"/>
            </rPr>
            <t xml:space="preserve"> 2 of 12 — Start: 2.0 · practitioner title; Evidence reads like A2: Only 'improve existing code' given as independent decision → matches the start
</t>
          </r>
          <r>
            <rPr>
              <rFont val="Calibri"/>
              <b val="1"/>
              <sz val="10"/>
            </rPr>
            <t>Accountability &amp; Impact:</t>
          </r>
          <r>
            <rPr>
              <rFont val="Calibri"/>
              <sz val="10"/>
            </rPr>
            <t xml:space="preserve"> 2.5 of 12 · between A2 and A3 — Start: 2.0 · practitioner title; Evidence reads like A3: Production support; KRA gives ownership of non-XBRL WebIDEAL modules and REST API support → moved up 0.5; KRA: “1. AI-Assisted Development Adoption: Use AI coding assistants for at least 60% of development tasks, with no increase in bug-escape rate.…”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4 of 12 — Experience: 5.3 yrs total · 1.0 before IRIS + 4.3 at IRIS = 3.9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47"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47" s="12" t="inlineStr">
        <is>
          <r>
            <rPr>
              <rFont val="Calibri"/>
              <sz val="10"/>
            </rPr>
            <t xml:space="preserve">✓ HRIS: 5.3 yrs, B.E,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47" s="12" t="inlineStr">
        <is>
          <t>—</t>
        </is>
      </c>
      <c r="AA47" s="12" t="inlineStr">
        <is>
          <t>Nothing outstanding</t>
        </is>
      </c>
      <c r="AB4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Core Contributor.</t>
          </r>
        </is>
      </c>
      <c r="AC47" s="74" t="n"/>
      <c r="AD47" s="74" t="n"/>
      <c r="AE47" s="74" t="n"/>
      <c r="AF47" s="12" t="n">
        <v>2.5</v>
      </c>
    </row>
    <row r="48" ht="379" customHeight="1">
      <c r="A48" s="12" t="inlineStr">
        <is>
          <t>IRIS2527</t>
        </is>
      </c>
      <c r="B48" s="10" t="inlineStr">
        <is>
          <t>Hemand Thayil</t>
        </is>
      </c>
      <c r="C48" s="12" t="inlineStr">
        <is>
          <t>Technology</t>
        </is>
      </c>
      <c r="D48" s="12" t="inlineStr">
        <is>
          <t>Customer Solution Analyst</t>
        </is>
      </c>
      <c r="E48" s="70" t="inlineStr">
        <is>
          <t>Support Executive</t>
        </is>
      </c>
      <c r="F48" s="12" t="inlineStr">
        <is>
          <t>Customer Success &amp; Support</t>
        </is>
      </c>
      <c r="G48" s="12" t="inlineStr">
        <is>
          <t>Application &amp; Product Support</t>
        </is>
      </c>
      <c r="H48" s="12" t="inlineStr">
        <is>
          <t>IC</t>
        </is>
      </c>
      <c r="I48" s="34" t="inlineStr">
        <is>
          <t>L3 – Professional / Associate</t>
        </is>
      </c>
      <c r="J48" s="16" t="inlineStr">
        <is>
          <t>A2</t>
        </is>
      </c>
      <c r="K48" s="17" t="inlineStr">
        <is>
          <t>Associate</t>
        </is>
      </c>
      <c r="L48" s="71" t="inlineStr">
        <is>
          <t>• Same level</t>
        </is>
      </c>
      <c r="M48" s="12" t="inlineStr">
        <is>
          <t>iDEAL · Technology · Band A · Early career</t>
        </is>
      </c>
      <c r="N48" s="34" t="n">
        <v>2</v>
      </c>
      <c r="O48" s="34" t="n">
        <v>2</v>
      </c>
      <c r="P48" s="34" t="n">
        <v>2</v>
      </c>
      <c r="Q48" s="34" t="n">
        <v>1</v>
      </c>
      <c r="R48" s="34" t="n">
        <v>3</v>
      </c>
      <c r="S48" s="72" t="n">
        <v>2</v>
      </c>
      <c r="T48" s="73">
        <f>IF(OR($M48="",COUNT(N48,O48,P48,Q48,R48,S48)&lt;6),"",IFERROR(N48*INDEX(WM_C,MATCH($M48,WM_KEY,0))+O48*INDEX(WM_AU,MATCH($M48,WM_KEY,0))+P48*INDEX(WM_AC,MATCH($M48,WM_KEY,0))+Q48*INDEX(WM_L,MATCH($M48,WM_KEY,0))+R48*INDEX(WM_E,MATCH($M48,WM_KEY,0))+S48*INDEX(WM_BI,MATCH($M48,WM_KEY,0)),""))</f>
        <v>2.1</v>
      </c>
      <c r="U48" s="34" t="str">
        <f>IF(T48="","",INDEX({"A1","A2","A3","B1","B2","B3","C1","C2","D1","D2","E1","E2"},MAX(1,MIN(12,ROUND(T48,0)))))</f>
        <v>A2</v>
      </c>
      <c r="V48" s="12" t="inlineStr">
        <is>
          <r>
            <rPr>
              <rFont val="Calibri"/>
              <sz val="10"/>
            </rPr>
            <t xml:space="preserve">New level A2 · Associate. Current level on record: L3 – Professional / Associate. Change: • Same level.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8" s="12" t="inlineStr">
        <is>
          <r>
            <rPr>
              <rFont val="Calibri"/>
              <b val="1"/>
              <sz val="10"/>
            </rPr>
            <t>Complexity &amp; Expertise:</t>
          </r>
          <r>
            <rPr>
              <rFont val="Calibri"/>
              <sz val="10"/>
            </rPr>
            <t xml:space="preserve"> 2 of 12 — Start: 2.0 · practitioner title; Evidence reads like A2: Client support and error handling on iDEAL; note says moving from shadowing to independent → matches the start; KRA: “1. By the end of July 2026, develop an in-depth understanding of the iDEAL product, business processes, and regulatory reporting framework…”
</t>
          </r>
          <r>
            <rPr>
              <rFont val="Calibri"/>
              <b val="1"/>
              <sz val="10"/>
            </rPr>
            <t>Autonomy &amp; Decision:</t>
          </r>
          <r>
            <rPr>
              <rFont val="Calibri"/>
              <sz val="10"/>
            </rPr>
            <t xml:space="preserve"> 2 of 12 — Start: 2.0 · practitioner title; Evidence reads like A2: Decides to connect with the client to fix an issue; note shows reliance on seniors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“1. By the end of July 2026, develop an in-depth understanding of the iDEAL product, business processes, and regulatory reporting framework…”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 of 12 — Experience: 1.9 yrs total · 1.5 before IRIS + 0.4 at IRIS = 2.5 on the experience scale; Qualification: MCA · postgraduate, relevant to the work → +0.5
</t>
          </r>
          <r>
            <rPr>
              <rFont val="Calibri"/>
              <b val="1"/>
              <sz val="10"/>
            </rPr>
            <t>Business Impact:</t>
          </r>
          <r>
            <rPr>
              <rFont val="Calibri"/>
              <sz val="10"/>
            </rPr>
            <t xml:space="preserve"> 2 of 12 — a starting estimate. —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r>
        </is>
      </c>
      <c r="X48" s="12" t="inlineStr">
        <is>
          <r>
            <rPr>
              <rFont val="Calibri"/>
              <b val="1"/>
              <sz val="10"/>
            </rPr>
            <t>Market level:</t>
          </r>
          <r>
            <rPr>
              <rFont val="Calibri"/>
              <sz val="10"/>
            </rPr>
            <t xml:space="preserve"> P1–P2 · SFIA 2 Assist
</t>
          </r>
          <r>
            <rPr>
              <rFont val="Calibri"/>
              <b val="1"/>
              <sz val="10"/>
            </rPr>
            <t>Typical title:</t>
          </r>
          <r>
            <rPr>
              <rFont val="Calibri"/>
              <sz val="10"/>
            </rPr>
            <t xml:space="preserve"> Support Associate / Support / CS Executive
</t>
          </r>
          <r>
            <rPr>
              <rFont val="Calibri"/>
              <b val="1"/>
              <sz val="10"/>
            </rPr>
            <t>At peers:</t>
          </r>
          <r>
            <rPr>
              <rFont val="Calibri"/>
              <sz val="10"/>
            </rPr>
            <t xml:space="preserve"> IRIS Vs Competitor Benchmark — SaaS customer-success ladder: Support Associate · IRIS Vs Competitor Benchmark — support tiers: L1 Service Desk
</t>
          </r>
          <r>
            <rPr>
              <rFont val="Calibri"/>
              <b val="1"/>
              <sz val="10"/>
            </rPr>
            <t>Typical experience:</t>
          </r>
          <r>
            <rPr>
              <rFont val="Calibri"/>
              <sz val="10"/>
            </rPr>
            <t xml:space="preserve"> 0–3 yrs · IRIS guide 0–2
</t>
          </r>
          <r>
            <rPr>
              <rFont val="Calibri"/>
              <b val="1"/>
              <sz val="10"/>
            </rPr>
            <t>Standard:</t>
          </r>
          <r>
            <rPr>
              <rFont val="Calibri"/>
              <sz val="10"/>
            </rPr>
            <t xml:space="preserve"> TSIA frameworks and benchmarks; ITIL 4 service desk</t>
          </r>
        </is>
      </c>
      <c r="Y48" s="12" t="inlineStr">
        <is>
          <r>
            <rPr>
              <rFont val="Calibri"/>
              <sz val="10"/>
            </rPr>
            <t xml:space="preserve">✓ HRIS: 1.9 yrs, MCA, 0 direct reports
✓ Survey: 17 of 20 questions answered
✓ KRAs: self, manager-set, quarterly
✓ Manager mapping: rating, potential, 9-box
✗ Job description: not on file
</t>
          </r>
          <r>
            <rPr>
              <rFont val="Calibri"/>
              <b val="1"/>
              <sz val="10"/>
            </rPr>
            <t>Confidence:</t>
          </r>
          <r>
            <rPr>
              <rFont val="Calibri"/>
              <sz val="10"/>
            </rPr>
            <t xml:space="preserve"> Medium</t>
          </r>
        </is>
      </c>
      <c r="Z48" s="12" t="inlineStr">
        <is>
          <t>—</t>
        </is>
      </c>
      <c r="AA48" s="12" t="inlineStr">
        <is>
          <t>Nothing outstanding</t>
        </is>
      </c>
      <c r="AB48"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work only this person does: no; successor named: no.
</t>
          </r>
          <r>
            <rPr>
              <rFont val="Calibri"/>
              <b val="1"/>
              <sz val="10"/>
            </rPr>
            <t>If the work is missed · role-holders' themes:</t>
          </r>
          <r>
            <rPr>
              <rFont val="Calibri"/>
              <sz val="10"/>
            </rPr>
            <t xml:space="preserve"> customer · rework · client · delays · incorrect.
Manager talent mapping — Latest rating: 3 · Potential: Medium · 9-Box Grid placement: Core Contributor.</t>
          </r>
        </is>
      </c>
      <c r="AC48" s="74" t="n"/>
      <c r="AD48" s="74" t="n"/>
      <c r="AE48" s="74" t="n"/>
      <c r="AF48" s="12" t="n">
        <v>2</v>
      </c>
    </row>
    <row r="49" ht="379" customHeight="1">
      <c r="A49" s="12" t="inlineStr">
        <is>
          <t>IRIS2426</t>
        </is>
      </c>
      <c r="B49" s="10" t="inlineStr">
        <is>
          <t>Abhay Pandey</t>
        </is>
      </c>
      <c r="C49" s="12" t="inlineStr">
        <is>
          <t>Technology</t>
        </is>
      </c>
      <c r="D49" s="12" t="inlineStr">
        <is>
          <t>Trainee Software Engineer</t>
        </is>
      </c>
      <c r="E49" s="70" t="inlineStr">
        <is>
          <t>Software Engineer</t>
        </is>
      </c>
      <c r="F49" s="12" t="inlineStr">
        <is>
          <t>Engineering &amp; Development</t>
        </is>
      </c>
      <c r="G49" s="12" t="inlineStr">
        <is>
          <t>Backend Development</t>
        </is>
      </c>
      <c r="H49" s="12" t="inlineStr">
        <is>
          <t>IC</t>
        </is>
      </c>
      <c r="I49" s="34" t="inlineStr">
        <is>
          <t>L2 – Trainee</t>
        </is>
      </c>
      <c r="J49" s="16" t="inlineStr">
        <is>
          <t>A2</t>
        </is>
      </c>
      <c r="K49" s="17" t="inlineStr">
        <is>
          <t>Associate</t>
        </is>
      </c>
      <c r="L49" s="75" t="inlineStr">
        <is>
          <t>▲ Up</t>
        </is>
      </c>
      <c r="M49" s="12" t="inlineStr">
        <is>
          <t>iDEAL · Technology · Band A · Early career</t>
        </is>
      </c>
      <c r="N49" s="34" t="n">
        <v>2</v>
      </c>
      <c r="O49" s="34" t="n">
        <v>1.5</v>
      </c>
      <c r="P49" s="34" t="n">
        <v>1.5</v>
      </c>
      <c r="Q49" s="34" t="n">
        <v>1</v>
      </c>
      <c r="R49" s="34" t="n">
        <v>2</v>
      </c>
      <c r="S49" s="72" t="n">
        <v>1.5</v>
      </c>
      <c r="T49" s="73">
        <f>IF(OR($M49="",COUNT(N49,O49,P49,Q49,R49,S49)&lt;6),"",IFERROR(N49*INDEX(WM_C,MATCH($M49,WM_KEY,0))+O49*INDEX(WM_AU,MATCH($M49,WM_KEY,0))+P49*INDEX(WM_AC,MATCH($M49,WM_KEY,0))+Q49*INDEX(WM_L,MATCH($M49,WM_KEY,0))+R49*INDEX(WM_E,MATCH($M49,WM_KEY,0))+S49*INDEX(WM_BI,MATCH($M49,WM_KEY,0)),""))</f>
        <v>1.87</v>
      </c>
      <c r="U49" s="34" t="str">
        <f>IF(T49="","",INDEX({"A1","A2","A3","B1","B2","B3","C1","C2","D1","D2","E1","E2"},MAX(1,MIN(12,ROUND(T49,0)))))</f>
        <v>A2</v>
      </c>
      <c r="V49" s="12" t="inlineStr">
        <is>
          <r>
            <rPr>
              <rFont val="Calibri"/>
              <sz val="10"/>
            </rPr>
            <t xml:space="preserve">New level A2 · Associate. Current level on record: L2 – Trainee. Change: ▲ Up.
Score 1.87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9" s="12" t="inlineStr">
        <is>
          <r>
            <rPr>
              <rFont val="Calibri"/>
              <b val="1"/>
              <sz val="10"/>
            </rPr>
            <t>Complexity &amp; Expertise:</t>
          </r>
          <r>
            <rPr>
              <rFont val="Calibri"/>
              <sz val="10"/>
            </rPr>
            <t xml:space="preserve"> 2 of 12 — Start: 1.0 · trainee / intern title; Evidence: rated like 11 colleagues in the same role and department · own answers too general to rate → moved +1.0; KRA: “1. Develop and enhance secure, scalable application features, including audit logging, data processing, and reporting capabilities. 2.…”
</t>
          </r>
          <r>
            <rPr>
              <rFont val="Calibri"/>
              <b val="1"/>
              <sz val="10"/>
            </rPr>
            <t>Autonomy &amp; Decision:</t>
          </r>
          <r>
            <rPr>
              <rFont val="Calibri"/>
              <sz val="10"/>
            </rPr>
            <t xml:space="preserve"> 1.5 of 12 · between A1 and A2 — Start: 1.0 · trainee / intern title; Evidence: rated like 11 colleagues in the same role and department · own answers too general to rate → moved +0.5
</t>
          </r>
          <r>
            <rPr>
              <rFont val="Calibri"/>
              <b val="1"/>
              <sz val="10"/>
            </rPr>
            <t>Accountability &amp; Impact:</t>
          </r>
          <r>
            <rPr>
              <rFont val="Calibri"/>
              <sz val="10"/>
            </rPr>
            <t xml:space="preserve"> 1.5 of 12 · between A1 and A2 — Start: 1.0 · trainee / intern title; Evidence: rated like 11 colleagues in the same role and department · own answers too general to rate → moved +0.5; KRA: “1. Develop and enhance secure, scalable application features, including audit logging, data processing, and reporting capabilities. 2.…”
</t>
          </r>
          <r>
            <rPr>
              <rFont val="Calibri"/>
              <b val="1"/>
              <sz val="10"/>
            </rPr>
            <t>Leadership &amp; Strategy:</t>
          </r>
          <r>
            <rPr>
              <rFont val="Calibri"/>
              <sz val="10"/>
            </rPr>
            <t xml:space="preserve"> 1 of 12 — not counted: the weight is 0% at this level — Start: 1.0 · individual contributor, so influence only; Evidence: rated like 11 colleagues in the same role and department · own answers too general to rate → no change; Team: 0 direct reports · IC
</t>
          </r>
          <r>
            <rPr>
              <rFont val="Calibri"/>
              <b val="1"/>
              <sz val="10"/>
            </rPr>
            <t>Experience &amp; Qualification:</t>
          </r>
          <r>
            <rPr>
              <rFont val="Calibri"/>
              <sz val="10"/>
            </rPr>
            <t xml:space="preserve"> 2 of 12 — Experience: 1.1 yrs total · 1.1 at IRIS; none recorded before IRIS = 2.0 on the experience scale; Qualification: B.E · graduate, relevant to the work → no change
</t>
          </r>
          <r>
            <rPr>
              <rFont val="Calibri"/>
              <b val="1"/>
              <sz val="10"/>
            </rPr>
            <t>Business Impact:</t>
          </r>
          <r>
            <rPr>
              <rFont val="Calibri"/>
              <sz val="10"/>
            </rPr>
            <t xml:space="preserve"> 1.5 of 12 — a starting estimate. —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r>
        </is>
      </c>
      <c r="X49"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49" s="12" t="inlineStr">
        <is>
          <r>
            <rPr>
              <rFont val="Calibri"/>
              <sz val="10"/>
            </rPr>
            <t xml:space="preserve">✓ HRIS: 1.1 yrs, B.E,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49" s="12" t="inlineStr">
        <is>
          <t>—</t>
        </is>
      </c>
      <c r="AA49" s="12" t="inlineStr">
        <is>
          <t>Nothing outstanding</t>
        </is>
      </c>
      <c r="AB49"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3 · Potential: Medium · 9-Box Grid placement: Core Contributor.</t>
          </r>
        </is>
      </c>
      <c r="AC49" s="74" t="n"/>
      <c r="AD49" s="74" t="n"/>
      <c r="AE49" s="74" t="n"/>
      <c r="AF49" s="12" t="n">
        <v>1.5</v>
      </c>
    </row>
    <row r="50" ht="379" customHeight="1">
      <c r="A50" s="12" t="inlineStr">
        <is>
          <t>IRIS2427</t>
        </is>
      </c>
      <c r="B50" s="10" t="inlineStr">
        <is>
          <t>Sumeet Laxman Kurdia</t>
        </is>
      </c>
      <c r="C50" s="12" t="inlineStr">
        <is>
          <t>Technology</t>
        </is>
      </c>
      <c r="D50" s="12" t="inlineStr">
        <is>
          <t>Trainee Software Engineer</t>
        </is>
      </c>
      <c r="E50" s="70" t="inlineStr">
        <is>
          <t>Software Engineer</t>
        </is>
      </c>
      <c r="F50" s="12" t="inlineStr">
        <is>
          <t>Engineering &amp; Development</t>
        </is>
      </c>
      <c r="G50" s="12" t="inlineStr">
        <is>
          <t>Backend Development</t>
        </is>
      </c>
      <c r="H50" s="12" t="inlineStr">
        <is>
          <t>IC</t>
        </is>
      </c>
      <c r="I50" s="34" t="inlineStr">
        <is>
          <t>L2 – Trainee</t>
        </is>
      </c>
      <c r="J50" s="16" t="inlineStr">
        <is>
          <t>A2</t>
        </is>
      </c>
      <c r="K50" s="17" t="inlineStr">
        <is>
          <t>Associate</t>
        </is>
      </c>
      <c r="L50" s="75" t="inlineStr">
        <is>
          <t>▲ Up</t>
        </is>
      </c>
      <c r="M50" s="12" t="inlineStr">
        <is>
          <t>iDEAL · Technology · Band A · Early career</t>
        </is>
      </c>
      <c r="N50" s="34" t="n">
        <v>1.5</v>
      </c>
      <c r="O50" s="34" t="n">
        <v>1.5</v>
      </c>
      <c r="P50" s="34" t="n">
        <v>1.5</v>
      </c>
      <c r="Q50" s="34" t="n">
        <v>1</v>
      </c>
      <c r="R50" s="34" t="n">
        <v>2.5</v>
      </c>
      <c r="S50" s="72" t="n">
        <v>1.5</v>
      </c>
      <c r="T50" s="73">
        <f>IF(OR($M50="",COUNT(N50,O50,P50,Q50,R50,S50)&lt;6),"",IFERROR(N50*INDEX(WM_C,MATCH($M50,WM_KEY,0))+O50*INDEX(WM_AU,MATCH($M50,WM_KEY,0))+P50*INDEX(WM_AC,MATCH($M50,WM_KEY,0))+Q50*INDEX(WM_L,MATCH($M50,WM_KEY,0))+R50*INDEX(WM_E,MATCH($M50,WM_KEY,0))+S50*INDEX(WM_BI,MATCH($M50,WM_KEY,0)),""))</f>
        <v>1.6</v>
      </c>
      <c r="U50" s="34" t="str">
        <f>IF(T50="","",INDEX({"A1","A2","A3","B1","B2","B3","C1","C2","D1","D2","E1","E2"},MAX(1,MIN(12,ROUND(T50,0)))))</f>
        <v>A2</v>
      </c>
      <c r="V50" s="12" t="inlineStr">
        <is>
          <r>
            <rPr>
              <rFont val="Calibri"/>
              <sz val="10"/>
            </rPr>
            <t xml:space="preserve">New level A2 · Associate. Current level on record: L2 – Trainee. Change: ▲ Up.
Score 1.60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0" s="12" t="inlineStr">
        <is>
          <r>
            <rPr>
              <rFont val="Calibri"/>
              <b val="1"/>
              <sz val="10"/>
            </rPr>
            <t>Complexity &amp; Expertise:</t>
          </r>
          <r>
            <rPr>
              <rFont val="Calibri"/>
              <sz val="10"/>
            </rPr>
            <t xml:space="preserve"> 1.5 of 12 · between A1 and A2 — Start: 1.0 · trainee / intern title; Evidence reads like A2: ASP.NET MVC development and bug fixing with Excel/XML/Oracle integrations for financial reporting → moved up 0.5; KRA: “1. Deliver high-quality application enhancements, business features, and defect resolutions within committed timelines while ensuring…”
</t>
          </r>
          <r>
            <rPr>
              <rFont val="Calibri"/>
              <b val="1"/>
              <sz val="10"/>
            </rPr>
            <t>Autonomy &amp; Decision:</t>
          </r>
          <r>
            <rPr>
              <rFont val="Calibri"/>
              <sz val="10"/>
            </rPr>
            <t xml:space="preserve"> 1.5 of 12 · between A1 and A2 — Start: 1.0 · trainee / intern title; Evidence reads like A2: Only 'technical analysis' named → moved up 0.5
</t>
          </r>
          <r>
            <rPr>
              <rFont val="Calibri"/>
              <b val="1"/>
              <sz val="10"/>
            </rPr>
            <t>Accountability &amp; Impact:</t>
          </r>
          <r>
            <rPr>
              <rFont val="Calibri"/>
              <sz val="10"/>
            </rPr>
            <t xml:space="preserve"> 1.5 of 12 · between A1 and A2 — Start: 1.0 · trainee / intern title; Evidence reads like A2: Quality of own features and fixes; errors cause incorrect data and bugs → moved up 0.5; KRA: “1. Deliver high-quality application enhancements, business features, and defect resolutions within committed timelines while ensuring…”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2.5 of 12 · between A2 and A3 — Experience: 1.9 yrs total · 0.8 before IRIS + 1.1 at IRIS = 2.5 on the experience scale; Qualification: B.Sc · graduate, relevant to the work → no change
</t>
          </r>
          <r>
            <rPr>
              <rFont val="Calibri"/>
              <b val="1"/>
              <sz val="10"/>
            </rPr>
            <t>Business Impact:</t>
          </r>
          <r>
            <rPr>
              <rFont val="Calibri"/>
              <sz val="10"/>
            </rPr>
            <t xml:space="preserve"> 1.5 of 12 — a starting estimate. —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r>
        </is>
      </c>
      <c r="X50"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50" s="12" t="inlineStr">
        <is>
          <r>
            <rPr>
              <rFont val="Calibri"/>
              <sz val="10"/>
            </rPr>
            <t xml:space="preserve">✓ HRIS: 1.9 yrs, B.Sc,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50" s="12" t="inlineStr">
        <is>
          <t>—</t>
        </is>
      </c>
      <c r="AA50" s="12" t="inlineStr">
        <is>
          <t>Nothing outstanding</t>
        </is>
      </c>
      <c r="AB50"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3 · Potential: Medium · 9-Box Grid placement: Core Contributor.</t>
          </r>
        </is>
      </c>
      <c r="AC50" s="74" t="n"/>
      <c r="AD50" s="74" t="n"/>
      <c r="AE50" s="74" t="n"/>
      <c r="AF50" s="12" t="n">
        <v>1.5</v>
      </c>
    </row>
    <row r="51" ht="119" customHeight="1">
      <c r="A51" s="12" t="inlineStr">
        <is>
          <t>IRIS2538</t>
        </is>
      </c>
      <c r="B51" s="10" t="inlineStr">
        <is>
          <t>Atharv Sameer Shevade</t>
        </is>
      </c>
      <c r="C51" s="12" t="inlineStr">
        <is>
          <t>Technology</t>
        </is>
      </c>
      <c r="D51" s="12" t="inlineStr">
        <is>
          <t>Trainee Software Engineer</t>
        </is>
      </c>
      <c r="E51" s="12" t="inlineStr">
        <is>
          <t>Trainee Software Engineer</t>
        </is>
      </c>
      <c r="F51" s="12" t="inlineStr">
        <is>
          <t>Engineering &amp; Development</t>
        </is>
      </c>
      <c r="G51" s="12" t="inlineStr">
        <is>
          <t>Full-Stack Development</t>
        </is>
      </c>
      <c r="H51" s="12" t="inlineStr">
        <is>
          <t>IC</t>
        </is>
      </c>
      <c r="I51" s="34" t="inlineStr">
        <is>
          <t>L1 – Intern</t>
        </is>
      </c>
      <c r="J51" s="16" t="inlineStr">
        <is>
          <t>A1</t>
        </is>
      </c>
      <c r="K51" s="17" t="inlineStr">
        <is>
          <t>Intern / Trainee</t>
        </is>
      </c>
      <c r="L51" s="71" t="inlineStr">
        <is>
          <t>• Same level</t>
        </is>
      </c>
      <c r="M51" s="12" t="inlineStr">
        <is>
          <t>—</t>
        </is>
      </c>
      <c r="N51" s="34" t="inlineStr">
        <is>
          <t>—</t>
        </is>
      </c>
      <c r="O51" s="34" t="inlineStr">
        <is>
          <t>—</t>
        </is>
      </c>
      <c r="P51" s="34" t="inlineStr">
        <is>
          <t>—</t>
        </is>
      </c>
      <c r="Q51" s="34" t="inlineStr">
        <is>
          <t>—</t>
        </is>
      </c>
      <c r="R51" s="34" t="inlineStr">
        <is>
          <t>—</t>
        </is>
      </c>
      <c r="S51" s="72" t="inlineStr">
        <is>
          <t>—</t>
        </is>
      </c>
      <c r="T51" s="73" t="inlineStr">
        <is>
          <t>—</t>
        </is>
      </c>
      <c r="U51" s="34" t="inlineStr">
        <is>
          <t>Not scored</t>
        </is>
      </c>
      <c r="V51" s="12" t="inlineStr">
        <is>
          <t>New level A1 · Intern / Trainee. Current level on record: L1 – Intern. Change: • Same level.
Interns and first-year trainees start at A1.</t>
        </is>
      </c>
      <c r="W51" s="12" t="inlineStr">
        <is>
          <r>
            <rPr>
              <rFont val="Calibri"/>
              <b val="1"/>
              <sz val="10"/>
            </rPr>
            <t>Not scored:</t>
          </r>
          <r>
            <rPr>
              <rFont val="Calibri"/>
              <sz val="10"/>
            </rPr>
            <t xml:space="preserve"> interns and first-year trainees start at A1.</t>
          </r>
        </is>
      </c>
      <c r="X51"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Y51" s="12" t="inlineStr">
        <is>
          <r>
            <rPr>
              <rFont val="Calibri"/>
              <sz val="10"/>
            </rPr>
            <t xml:space="preserve">✓ HRIS: 0.3 yrs, B.Tech,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51" s="12" t="inlineStr">
        <is>
          <t>—</t>
        </is>
      </c>
      <c r="AA51" s="12" t="inlineStr">
        <is>
          <t>Nothing outstanding</t>
        </is>
      </c>
      <c r="AB51"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rework · lead · delays.
</t>
          </r>
          <r>
            <rPr>
              <rFont val="Calibri"/>
              <b val="1"/>
              <sz val="10"/>
            </rPr>
            <t>Measured on · manager-set KRA themes:</t>
          </r>
          <r>
            <rPr>
              <rFont val="Calibri"/>
              <sz val="10"/>
            </rPr>
            <t xml:space="preserve"> complete · assigned · improve · code · technical · quality.
Manager talent mapping — Latest rating: 3 · Potential: Medium · 9-Box Grid placement: Core Contributor.</t>
          </r>
        </is>
      </c>
      <c r="AC51" s="74" t="n"/>
      <c r="AD51" s="74" t="n"/>
      <c r="AE51" s="74" t="n"/>
      <c r="AF51" s="12" t="inlineStr">
        <is>
          <t>—</t>
        </is>
      </c>
    </row>
    <row r="52" ht="119" customHeight="1">
      <c r="A52" s="12" t="inlineStr">
        <is>
          <t>IRIS2539</t>
        </is>
      </c>
      <c r="B52" s="10" t="inlineStr">
        <is>
          <t>Vinayak Dadasaheb Suryawanshi</t>
        </is>
      </c>
      <c r="C52" s="12" t="inlineStr">
        <is>
          <t>Technology</t>
        </is>
      </c>
      <c r="D52" s="12" t="inlineStr">
        <is>
          <t>Trainee Software Engineer</t>
        </is>
      </c>
      <c r="E52" s="12" t="inlineStr">
        <is>
          <t>Trainee Software Engineer</t>
        </is>
      </c>
      <c r="F52" s="12" t="inlineStr">
        <is>
          <t>Engineering &amp; Development</t>
        </is>
      </c>
      <c r="G52" s="12" t="inlineStr">
        <is>
          <t>Backend Development</t>
        </is>
      </c>
      <c r="H52" s="12" t="inlineStr">
        <is>
          <t>IC</t>
        </is>
      </c>
      <c r="I52" s="34" t="inlineStr">
        <is>
          <t>L1 – Intern</t>
        </is>
      </c>
      <c r="J52" s="16" t="inlineStr">
        <is>
          <t>A1</t>
        </is>
      </c>
      <c r="K52" s="17" t="inlineStr">
        <is>
          <t>Intern / Trainee</t>
        </is>
      </c>
      <c r="L52" s="71" t="inlineStr">
        <is>
          <t>• Same level</t>
        </is>
      </c>
      <c r="M52" s="12" t="inlineStr">
        <is>
          <t>—</t>
        </is>
      </c>
      <c r="N52" s="34" t="inlineStr">
        <is>
          <t>—</t>
        </is>
      </c>
      <c r="O52" s="34" t="inlineStr">
        <is>
          <t>—</t>
        </is>
      </c>
      <c r="P52" s="34" t="inlineStr">
        <is>
          <t>—</t>
        </is>
      </c>
      <c r="Q52" s="34" t="inlineStr">
        <is>
          <t>—</t>
        </is>
      </c>
      <c r="R52" s="34" t="inlineStr">
        <is>
          <t>—</t>
        </is>
      </c>
      <c r="S52" s="72" t="inlineStr">
        <is>
          <t>—</t>
        </is>
      </c>
      <c r="T52" s="73" t="inlineStr">
        <is>
          <t>—</t>
        </is>
      </c>
      <c r="U52" s="34" t="inlineStr">
        <is>
          <t>Not scored</t>
        </is>
      </c>
      <c r="V52" s="12" t="inlineStr">
        <is>
          <t>New level A1 · Intern / Trainee. Current level on record: L1 – Intern. Change: • Same level.
Interns and first-year trainees start at A1.</t>
        </is>
      </c>
      <c r="W52" s="12" t="inlineStr">
        <is>
          <r>
            <rPr>
              <rFont val="Calibri"/>
              <b val="1"/>
              <sz val="10"/>
            </rPr>
            <t>Not scored:</t>
          </r>
          <r>
            <rPr>
              <rFont val="Calibri"/>
              <sz val="10"/>
            </rPr>
            <t xml:space="preserve"> interns and first-year trainees start at A1.</t>
          </r>
        </is>
      </c>
      <c r="X52"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Y52" s="12" t="inlineStr">
        <is>
          <r>
            <rPr>
              <rFont val="Calibri"/>
              <sz val="10"/>
            </rPr>
            <t xml:space="preserve">✓ HRIS: 0.3 yrs, B.Tech,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52" s="12" t="inlineStr">
        <is>
          <t>—</t>
        </is>
      </c>
      <c r="AA52" s="12" t="inlineStr">
        <is>
          <t>Nothing outstanding</t>
        </is>
      </c>
      <c r="AB52"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 delays · rework.
</t>
          </r>
          <r>
            <rPr>
              <rFont val="Calibri"/>
              <b val="1"/>
              <sz val="10"/>
            </rPr>
            <t>Measured on · manager-set KRA themes:</t>
          </r>
          <r>
            <rPr>
              <rFont val="Calibri"/>
              <sz val="10"/>
            </rPr>
            <t xml:space="preserve"> code · technical · agreed · deliver · application · maintain.
Manager talent mapping — Latest rating: 3 · Potential: Medium · 9-Box Grid placement: Emerging Talent.</t>
          </r>
        </is>
      </c>
      <c r="AC52" s="74" t="n"/>
      <c r="AD52" s="74" t="n"/>
      <c r="AE52" s="74" t="n"/>
      <c r="AF52" s="12" t="inlineStr">
        <is>
          <t>—</t>
        </is>
      </c>
    </row>
    <row r="53" ht="379" customHeight="1">
      <c r="A53" s="12" t="inlineStr">
        <is>
          <t>IRIS1224</t>
        </is>
      </c>
      <c r="B53" s="10" t="inlineStr">
        <is>
          <t>Hemant Karale</t>
        </is>
      </c>
      <c r="C53" s="12" t="inlineStr">
        <is>
          <t>iDEAL Business Head</t>
        </is>
      </c>
      <c r="D53" s="12" t="inlineStr">
        <is>
          <t>Business Head IRIS iDEAL</t>
        </is>
      </c>
      <c r="E53" s="70" t="inlineStr">
        <is>
          <t>Business Head – iDEAL</t>
        </is>
      </c>
      <c r="F53" s="12" t="inlineStr">
        <is>
          <t>Executive Leadership</t>
        </is>
      </c>
      <c r="G53" s="12" t="inlineStr">
        <is>
          <t>Business &amp; Functional Leadership</t>
        </is>
      </c>
      <c r="H53" s="12" t="inlineStr">
        <is>
          <t>People Manager</t>
        </is>
      </c>
      <c r="I53" s="34" t="inlineStr">
        <is>
          <t>L7 – Head / Sr Director</t>
        </is>
      </c>
      <c r="J53" s="28" t="inlineStr">
        <is>
          <t>D1</t>
        </is>
      </c>
      <c r="K53" s="29" t="inlineStr">
        <is>
          <t>Associate Vice President / Business Head</t>
        </is>
      </c>
      <c r="L53" s="75" t="inlineStr">
        <is>
          <t>▲ Up</t>
        </is>
      </c>
      <c r="M53" s="12" t="inlineStr">
        <is>
          <t>iDEAL · iDEAL Business Head · Bands D–E · Leadership</t>
        </is>
      </c>
      <c r="N53" s="34" t="n">
        <v>8.5</v>
      </c>
      <c r="O53" s="34" t="n">
        <v>8.5</v>
      </c>
      <c r="P53" s="34" t="n">
        <v>9</v>
      </c>
      <c r="Q53" s="34" t="n">
        <v>8.5</v>
      </c>
      <c r="R53" s="34" t="n">
        <v>9.5</v>
      </c>
      <c r="S53" s="72" t="n">
        <v>9</v>
      </c>
      <c r="T53" s="73">
        <f>IF(OR($M53="",COUNT(N53,O53,P53,Q53,R53,S53)&lt;6),"",IFERROR(N53*INDEX(WM_C,MATCH($M53,WM_KEY,0))+O53*INDEX(WM_AU,MATCH($M53,WM_KEY,0))+P53*INDEX(WM_AC,MATCH($M53,WM_KEY,0))+Q53*INDEX(WM_L,MATCH($M53,WM_KEY,0))+R53*INDEX(WM_E,MATCH($M53,WM_KEY,0))+S53*INDEX(WM_BI,MATCH($M53,WM_KEY,0)),""))</f>
        <v>8.645</v>
      </c>
      <c r="U53" s="34" t="str">
        <f>IF(T53="","",INDEX({"A1","A2","A3","B1","B2","B3","C1","C2","D1","D2","E1","E2"},MAX(1,MIN(12,ROUND(T53,0)))))</f>
        <v>D1</v>
      </c>
      <c r="V53" s="12" t="inlineStr">
        <is>
          <r>
            <rPr>
              <rFont val="Calibri"/>
              <sz val="10"/>
            </rPr>
            <t xml:space="preserve">New level D1 · Associate Vice President / Business Head. Current level on record: L7 – Head / Sr Director. Change: ▲ Up.
Score 8.64 on the ladder scale → indicated level D1.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3" s="12" t="inlineStr">
        <is>
          <r>
            <rPr>
              <rFont val="Calibri"/>
              <b val="1"/>
              <sz val="10"/>
            </rPr>
            <t>Complexity &amp; Expertise:</t>
          </r>
          <r>
            <rPr>
              <rFont val="Calibri"/>
              <sz val="10"/>
            </rPr>
            <t xml:space="preserve"> 8.5 of 12 · between C2 and D1 — Start: 9.0 · business head / director title; Evidence reads like C2: KRA only: business revenue, foreign-market partner onboarding, AI product launches, defect reduction → moved down 0.5; KRA: “1. Deliver FY27 Revenue &amp; Growth Commitments of Rs 19Cr &amp; Generate New ARR · 4Cr 2. Meet 100% FY27 revenue recognition plan as per finance…”
</t>
          </r>
          <r>
            <rPr>
              <rFont val="Calibri"/>
              <b val="1"/>
              <sz val="10"/>
            </rPr>
            <t>Autonomy &amp; Decision:</t>
          </r>
          <r>
            <rPr>
              <rFont val="Calibri"/>
              <sz val="10"/>
            </rPr>
            <t xml:space="preserve"> 8.5 of 12 · between C2 and D1 — Start: 9.0 · business head / director title; Evidence reads like C2: KRA only: commits business revenue, partner onboarding and product launches; no decisions stated directly → moved down 0.5
</t>
          </r>
          <r>
            <rPr>
              <rFont val="Calibri"/>
              <b val="1"/>
              <sz val="10"/>
            </rPr>
            <t>Accountability &amp; Impact:</t>
          </r>
          <r>
            <rPr>
              <rFont val="Calibri"/>
              <sz val="10"/>
            </rPr>
            <t xml:space="preserve"> 9 of 12 — Start: 9.0 · business head / director title; 8 direct reports, 42 people in the organisation; Evidence reads like D1: KRA: FY27 revenue of Rs 19Cr, new ARR Rs 4Cr, revenue recognition plan → matches the start; KRA: “1. Deliver FY27 Revenue &amp; Growth Commitments of Rs 19Cr &amp; Generate New ARR · 4Cr 2. Meet 100% FY27 revenue recognition plan as per finance…”
</t>
          </r>
          <r>
            <rPr>
              <rFont val="Calibri"/>
              <b val="1"/>
              <sz val="10"/>
            </rPr>
            <t>Leadership &amp; Strategy:</t>
          </r>
          <r>
            <rPr>
              <rFont val="Calibri"/>
              <sz val="10"/>
            </rPr>
            <t xml:space="preserve"> 8.5 of 12 · between C2 and D1 — Start: 9.0; Evidence reads like C1: KRA: knowledge sessions with product, sales, delivery leaders; team AI adoption; 8 reports → moved down 0.5; Team: 8 direct reports · People Manager
</t>
          </r>
          <r>
            <rPr>
              <rFont val="Calibri"/>
              <b val="1"/>
              <sz val="10"/>
            </rPr>
            <t>Experience &amp; Qualification:</t>
          </r>
          <r>
            <rPr>
              <rFont val="Calibri"/>
              <sz val="10"/>
            </rPr>
            <t xml:space="preserve"> 9.5 of 12 · between D1 and D2 — Experience: 17.6 yrs total · 3.4 before IRIS + 14.2 at IRIS = 9.0 on the experience scale; Qualification: MBA · postgraduate, relevant to the work → +0.5
</t>
          </r>
          <r>
            <rPr>
              <rFont val="Calibri"/>
              <b val="1"/>
              <sz val="10"/>
            </rPr>
            <t>Business Impact:</t>
          </r>
          <r>
            <rPr>
              <rFont val="Calibri"/>
              <sz val="10"/>
            </rPr>
            <t xml:space="preserve"> 9 of 12 — a starting estimate. —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r>
        </is>
      </c>
      <c r="X53" s="12" t="inlineStr">
        <is>
          <r>
            <rPr>
              <rFont val="Calibri"/>
              <b val="1"/>
              <sz val="10"/>
            </rPr>
            <t>Market level:</t>
          </r>
          <r>
            <rPr>
              <rFont val="Calibri"/>
              <sz val="10"/>
            </rPr>
            <t xml:space="preserve"> E1–E2 · SFIA 6–7
</t>
          </r>
          <r>
            <rPr>
              <rFont val="Calibri"/>
              <b val="1"/>
              <sz val="10"/>
            </rPr>
            <t>Typical title:</t>
          </r>
          <r>
            <rPr>
              <rFont val="Calibri"/>
              <sz val="10"/>
            </rPr>
            <t xml:space="preserve"> Associate Vice President / Business Head
</t>
          </r>
          <r>
            <rPr>
              <rFont val="Calibri"/>
              <b val="1"/>
              <sz val="10"/>
            </rPr>
            <t>At peers:</t>
          </r>
          <r>
            <rPr>
              <rFont val="Calibri"/>
              <sz val="10"/>
            </rPr>
            <t xml:space="preserve"> IRIS Vs Market Benchmark — Aon Radford / Mercer executive codes: E1–E2 VP / Business Head · IRIS Vs Competitor Benchmark — regtech / SaaS executive titles: General Manager / VP
</t>
          </r>
          <r>
            <rPr>
              <rFont val="Calibri"/>
              <b val="1"/>
              <sz val="10"/>
            </rPr>
            <t>Standard:</t>
          </r>
          <r>
            <rPr>
              <rFont val="Calibri"/>
              <sz val="10"/>
            </rPr>
            <t xml:space="preserve"> Aon Radford executive levels E1–E6; Mercer ET1–ET3</t>
          </r>
        </is>
      </c>
      <c r="Y53" s="12" t="inlineStr">
        <is>
          <r>
            <rPr>
              <rFont val="Calibri"/>
              <sz val="10"/>
            </rPr>
            <t xml:space="preserve">✓ HRIS: 17.6 yrs, MBA, 8 direct reports
✗ Survey: no response
✓ KRAs: self
✓ Manager mapping: rating, 9-box
✗ Job description: not on file
</t>
          </r>
          <r>
            <rPr>
              <rFont val="Calibri"/>
              <b val="1"/>
              <sz val="10"/>
            </rPr>
            <t>Confidence:</t>
          </r>
          <r>
            <rPr>
              <rFont val="Calibri"/>
              <sz val="10"/>
            </rPr>
            <t xml:space="preserve"> Medium</t>
          </r>
        </is>
      </c>
      <c r="Z53" s="12" t="inlineStr">
        <is>
          <t>—</t>
        </is>
      </c>
      <c r="AA53" s="12" t="inlineStr">
        <is>
          <t>Nothing outstanding</t>
        </is>
      </c>
      <c r="AB53" s="12" t="inlineStr">
        <is>
          <r>
            <rPr>
              <rFont val="Calibri"/>
              <b val="1"/>
              <sz val="10"/>
            </rPr>
            <t>What the role answers for:</t>
          </r>
          <r>
            <rPr>
              <rFont val="Calibri"/>
              <sz val="10"/>
            </rPr>
            <t xml:space="preserve"> Business-line P&amp;L and market position.
</t>
          </r>
          <r>
            <rPr>
              <rFont val="Calibri"/>
              <b val="1"/>
              <sz val="10"/>
            </rPr>
            <t>Accountability &amp; Impact rating:</t>
          </r>
          <r>
            <rPr>
              <rFont val="Calibri"/>
              <sz val="10"/>
            </rPr>
            <t xml:space="preserve"> 9 of 12 · D1-level impact.
Leads 8 direct reports.
Manager talent mapping — Latest rating: Not rated · manager · 9-Box Grid placement: Not placed · manager.</t>
          </r>
        </is>
      </c>
      <c r="AC53" s="74" t="n"/>
      <c r="AD53" s="74" t="n"/>
      <c r="AE53" s="74" t="n"/>
      <c r="AF53" s="12" t="n">
        <v>9</v>
      </c>
    </row>
  </sheetData>
  <mergeCells count="14">
    <mergeCell ref="AC5:AF5"/>
    <mergeCell ref="J4:K4"/>
    <mergeCell ref="L4:M4"/>
    <mergeCell ref="A5:C5"/>
    <mergeCell ref="D5:L5"/>
    <mergeCell ref="V5:X5"/>
    <mergeCell ref="A1:AF1"/>
    <mergeCell ref="A4:D4"/>
    <mergeCell ref="M5:U5"/>
    <mergeCell ref="A3:AF3"/>
    <mergeCell ref="H4:I4"/>
    <mergeCell ref="N4:P4"/>
    <mergeCell ref="Y5:AB5"/>
    <mergeCell ref="A2:AF2"/>
  </mergeCells>
  <dataValidations count="2">
    <dataValidation sqref="AC7:AC53" showDropDown="0" showInputMessage="0" showErrorMessage="0" allowBlank="1" type="list">
      <formula1>"Agree,Change,Discuss"</formula1>
    </dataValidation>
    <dataValidation sqref="S7:S53"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tabColor rgb="00C55A11"/>
    <outlinePr summaryBelow="1" summaryRight="1"/>
    <pageSetUpPr fitToPage="1"/>
  </sheetPr>
  <dimension ref="A1:W42"/>
  <sheetViews>
    <sheetView showGridLines="0" zoomScale="85"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6" customWidth="1" min="2" max="2"/>
    <col width="20" customWidth="1" min="3" max="3"/>
    <col width="6" customWidth="1" min="4" max="4"/>
    <col width="14" customWidth="1" min="5" max="5"/>
    <col width="8" customWidth="1" min="6" max="6"/>
    <col width="24" customWidth="1" min="7" max="7"/>
    <col width="24" customWidth="1" min="8" max="8"/>
    <col width="16" customWidth="1" min="9" max="9"/>
    <col width="42" customWidth="1" min="10" max="10"/>
    <col width="42" customWidth="1" min="11" max="11"/>
    <col width="28" customWidth="1" min="12" max="12"/>
    <col width="32" customWidth="1" min="13" max="13"/>
    <col width="30" customWidth="1" min="14" max="14"/>
    <col width="46" customWidth="1" min="15" max="15"/>
    <col width="24" customWidth="1" min="16" max="16"/>
    <col width="34" customWidth="1" min="17" max="17"/>
    <col width="30" customWidth="1" min="18" max="18"/>
    <col width="40" customWidth="1" min="19" max="19"/>
    <col width="32" customWidth="1" min="20" max="20"/>
    <col width="26" customWidth="1" min="21" max="21"/>
    <col width="22" customWidth="1" min="22" max="22"/>
    <col width="13" customWidth="1" min="23" max="23"/>
  </cols>
  <sheetData>
    <row r="1" ht="34" customHeight="1">
      <c r="A1" s="1" t="inlineStr">
        <is>
          <t>Roles — every role held here, as defined once for all of IRIS</t>
        </is>
      </c>
      <c r="W1" s="95" t="inlineStr">
        <is>
          <t>◂ Start Here</t>
        </is>
      </c>
    </row>
    <row r="2" ht="30" customHeight="1">
      <c r="A2" s="3" t="inlineStr">
        <is>
          <t>Sheet 3 · One row per role · job family × sub-family × level × track. Purpose and responsibilities are written in catalogue language · the sub-family definition and the level standard, followed by the common themes in the role-holders' own answers where 3+ answered · the role, else its sub-family — 'Evidence basis' says which. The level requirements are the framework's, the same for every role at that level.</t>
        </is>
      </c>
    </row>
    <row r="3">
      <c r="A3" s="4" t="inlineStr">
        <is>
          <t>IRIS · Job Architecture &amp; Job Design · Final v1.12 · October 2026 · Internal — Confidential</t>
        </is>
      </c>
    </row>
    <row r="4"/>
    <row r="5" ht="30" customHeight="1">
      <c r="A5" s="59" t="inlineStr">
        <is>
          <t>ROLE</t>
        </is>
      </c>
      <c r="J5" s="60" t="inlineStr">
        <is>
          <t>WHAT THE ROLE IS FOR AND DOES</t>
        </is>
      </c>
      <c r="O5" s="61" t="inlineStr">
        <is>
          <t>WHAT THE LEVEL REQUIRES</t>
        </is>
      </c>
      <c r="R5" s="62" t="inlineStr">
        <is>
          <t>DISCIPLINE DETAIL · Career Architecture V2</t>
        </is>
      </c>
      <c r="T5" s="63" t="inlineStr">
        <is>
          <t>MARKET &amp; CAREER</t>
        </is>
      </c>
      <c r="V5" s="64" t="inlineStr">
        <is>
          <t>EVIDENCE</t>
        </is>
      </c>
    </row>
    <row r="6" ht="44" customHeight="1">
      <c r="A6" s="65" t="inlineStr">
        <is>
          <t>Catalogue ID</t>
        </is>
      </c>
      <c r="B6" s="65" t="inlineStr">
        <is>
          <t>Job family</t>
        </is>
      </c>
      <c r="C6" s="65" t="inlineStr">
        <is>
          <t>Sub-family</t>
        </is>
      </c>
      <c r="D6" s="65" t="inlineStr">
        <is>
          <t>Level</t>
        </is>
      </c>
      <c r="E6" s="65" t="inlineStr">
        <is>
          <t>Level title</t>
        </is>
      </c>
      <c r="F6" s="65" t="inlineStr">
        <is>
          <t>Track</t>
        </is>
      </c>
      <c r="G6" s="65" t="inlineStr">
        <is>
          <t>Designations used</t>
        </is>
      </c>
      <c r="H6" s="65" t="inlineStr">
        <is>
          <t>Held here by</t>
        </is>
      </c>
      <c r="I6" s="65" t="inlineStr">
        <is>
          <t>Department · s</t>
        </is>
      </c>
      <c r="J6" s="8" t="inlineStr">
        <is>
          <t>Purpose</t>
        </is>
      </c>
      <c r="K6" s="8" t="inlineStr">
        <is>
          <t>Key responsibilities</t>
        </is>
      </c>
      <c r="L6" s="8" t="inlineStr">
        <is>
          <t>Decision rights</t>
        </is>
      </c>
      <c r="M6" s="8" t="inlineStr">
        <is>
          <t>Manager-set KRAs · common themes</t>
        </is>
      </c>
      <c r="N6" s="8" t="inlineStr">
        <is>
          <t>Skills &amp; tools · counts</t>
        </is>
      </c>
      <c r="O6" s="66" t="inlineStr">
        <is>
          <t>Expectations at this level</t>
        </is>
      </c>
      <c r="P6" s="66" t="inlineStr">
        <is>
          <t>Experience &amp; education</t>
        </is>
      </c>
      <c r="Q6" s="66" t="inlineStr">
        <is>
          <t>Must-have competencies &amp; proficiency</t>
        </is>
      </c>
      <c r="R6" s="67" t="inlineStr">
        <is>
          <t>Family boundary</t>
        </is>
      </c>
      <c r="S6" s="67" t="inlineStr">
        <is>
          <t>Discipline expectation, readiness and work sample</t>
        </is>
      </c>
      <c r="T6" s="68" t="inlineStr">
        <is>
          <t>Market equivalent</t>
        </is>
      </c>
      <c r="U6" s="68" t="inlineStr">
        <is>
          <t>Next step</t>
        </is>
      </c>
      <c r="V6" s="69" t="inlineStr">
        <is>
          <t>Evidence basis</t>
        </is>
      </c>
    </row>
    <row r="7">
      <c r="A7" s="81" t="inlineStr">
        <is>
          <t>Business Analysis</t>
        </is>
      </c>
    </row>
    <row r="8" ht="119" customHeight="1">
      <c r="A8" s="82" t="inlineStr">
        <is>
          <t>RC-009</t>
        </is>
      </c>
      <c r="B8" s="12" t="inlineStr">
        <is>
          <t>Business Analysis</t>
        </is>
      </c>
      <c r="C8" s="12" t="inlineStr">
        <is>
          <t>Business Analysis</t>
        </is>
      </c>
      <c r="D8" s="16" t="inlineStr">
        <is>
          <t>A3</t>
        </is>
      </c>
      <c r="E8" s="17" t="inlineStr">
        <is>
          <t>Senior Associate</t>
        </is>
      </c>
      <c r="F8" s="12" t="inlineStr">
        <is>
          <t>IC</t>
        </is>
      </c>
      <c r="G8" s="12" t="inlineStr">
        <is>
          <t>Senior Business Analyst · Business Analysis Specialist</t>
        </is>
      </c>
      <c r="H8" s="12" t="inlineStr">
        <is>
          <t>Anishaa Mahesh Kukreja, Mohin Patel, Neetu Rani Paul, Nilam Anandrao Kadam, Shivani Mishra, Silky Agarwal, Vidyasagar Reddy, Vivek Kumar</t>
        </is>
      </c>
      <c r="I8" s="12" t="inlineStr">
        <is>
          <t>Technology</t>
        </is>
      </c>
      <c r="J8" s="12" t="inlineStr">
        <is>
          <r>
            <rPr>
              <rFont val="Calibri"/>
              <sz val="10"/>
            </rPr>
            <t xml:space="preserve">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t>
          </r>
        </is>
      </c>
      <c r="K8" s="12" t="inlineStr">
        <is>
          <r>
            <rPr>
              <rFont val="Calibri"/>
              <sz val="10"/>
            </rPr>
            <t xml:space="preserve">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t>
          </r>
        </is>
      </c>
      <c r="L8" s="12" t="inlineStr">
        <is>
          <r>
            <rPr>
              <rFont val="Calibri"/>
              <sz val="10"/>
            </rPr>
            <t xml:space="preserve">Technical / QC / client calls on own work
</t>
          </r>
          <r>
            <rPr>
              <rFont val="Calibri"/>
              <b val="1"/>
              <sz val="10"/>
            </rPr>
            <t>Common themes in role-holders' answers:</t>
          </r>
          <r>
            <rPr>
              <rFont val="Calibri"/>
              <sz val="10"/>
            </rPr>
            <t xml:space="preserve"> documentation · prioritize · user stories · process · project</t>
          </r>
        </is>
      </c>
      <c r="M8" s="12" t="inlineStr">
        <is>
          <r>
            <rPr>
              <rFont val="Calibri"/>
              <b val="1"/>
              <sz val="10"/>
            </rPr>
            <t>Common themes in manager-set KRAs:</t>
          </r>
          <r>
            <rPr>
              <rFont val="Calibri"/>
              <sz val="10"/>
            </rPr>
            <t xml:space="preserve"> delivery · assigned · uat · project · requests · satisfaction</t>
          </r>
        </is>
      </c>
      <c r="N8" s="12" t="inlineStr">
        <is>
          <r>
            <rPr>
              <rFont val="Calibri"/>
              <b val="1"/>
              <sz val="10"/>
            </rPr>
            <t>Skills: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t>
          </r>
        </is>
      </c>
      <c r="O8"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8" s="12" t="inlineStr">
        <is>
          <t>2–4 yrs
Graduate; relevant certification preferred</t>
        </is>
      </c>
      <c r="Q8" s="12" t="inlineStr">
        <is>
          <t>Core 2 · Future-ready 2 · Functional 3 · Leadership —
★ Business Analysis &amp; Requirements Engineering · Regulatory &amp; BFSI Domain</t>
        </is>
      </c>
      <c r="R8" s="12" t="inlineStr">
        <is>
          <t>Define business needs and evaluate solutions. Includes: Elicitation, process analysis, traceability and solution evaluation. Excludes: Product investment authority; technical architecture.</t>
        </is>
      </c>
      <c r="S8" s="12" t="inlineStr">
        <is>
          <r>
            <rPr>
              <rFont val="Calibri"/>
              <b val="1"/>
              <sz val="10"/>
            </rPr>
            <t>Comparable stage:</t>
          </r>
          <r>
            <rPr>
              <rFont val="Calibri"/>
              <sz val="10"/>
            </rPr>
            <t xml:space="preserve"> BA01-2 · Business Analyst
Elicit requirements, model processes and trace acceptance criteria.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requirements set traced to business needs, acceptance tests and realized outcomes</t>
          </r>
        </is>
      </c>
      <c r="T8" s="12" t="inlineStr">
        <is>
          <t>Radford / Mercer P2 · SFIA 3 Apply
Regnology — regulatory reporting: Junior BA · Reg Reporting · Big Four consulting: Consultant · IRIS Vs Market Benchmark — IIBA certification pathway: ECBA · Infosys / Accenture: JL3A · L10 Senior Analyst</t>
        </is>
      </c>
      <c r="U8" s="12" t="inlineStr">
        <is>
          <t>B1 · Specialist</t>
        </is>
      </c>
      <c r="V8" s="12" t="inlineStr">
        <is>
          <t>Framework + role-holders' themes · 3+ answered</t>
        </is>
      </c>
    </row>
    <row r="9" ht="106" customHeight="1">
      <c r="A9" s="82" t="inlineStr">
        <is>
          <t>RC-010</t>
        </is>
      </c>
      <c r="B9" s="12" t="inlineStr">
        <is>
          <t>Business Analysis</t>
        </is>
      </c>
      <c r="C9" s="12" t="inlineStr">
        <is>
          <t>Business Analysis</t>
        </is>
      </c>
      <c r="D9" s="20" t="inlineStr">
        <is>
          <t>B1</t>
        </is>
      </c>
      <c r="E9" s="21" t="inlineStr">
        <is>
          <t>Specialist</t>
        </is>
      </c>
      <c r="F9" s="12" t="inlineStr">
        <is>
          <t>IC</t>
        </is>
      </c>
      <c r="G9" s="12" t="inlineStr">
        <is>
          <t>Business Analysis Specialist · Business Analysis Specialist – POD Lead · Senior Business Analysis Specialist</t>
        </is>
      </c>
      <c r="H9" s="12" t="inlineStr">
        <is>
          <t>Anand Shinde, Kailash Sahu, Phuzel Siddiqui, Vishal Pingle</t>
        </is>
      </c>
      <c r="I9" s="12" t="inlineStr">
        <is>
          <t>Technology</t>
        </is>
      </c>
      <c r="J9" s="12"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t>
          </r>
        </is>
      </c>
      <c r="K9" s="12"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t>
          </r>
        </is>
      </c>
      <c r="L9" s="12" t="inlineStr">
        <is>
          <r>
            <rPr>
              <rFont val="Calibri"/>
              <sz val="10"/>
            </rPr>
            <t xml:space="preserve">Technical / QC / client calls for the domain
</t>
          </r>
          <r>
            <rPr>
              <rFont val="Calibri"/>
              <b val="1"/>
              <sz val="10"/>
            </rPr>
            <t>Common themes in role-holders' answers:</t>
          </r>
          <r>
            <rPr>
              <rFont val="Calibri"/>
              <sz val="10"/>
            </rPr>
            <t xml:space="preserve"> documentation</t>
          </r>
        </is>
      </c>
      <c r="M9" s="12" t="inlineStr">
        <is>
          <r>
            <rPr>
              <rFont val="Calibri"/>
              <b val="1"/>
              <sz val="10"/>
            </rPr>
            <t>Common themes in manager-set KRAs:</t>
          </r>
          <r>
            <rPr>
              <rFont val="Calibri"/>
              <sz val="10"/>
            </rPr>
            <t xml:space="preserve"> releases · satisfaction · delivery · assigned · uat · requirement</t>
          </r>
        </is>
      </c>
      <c r="N9" s="12" t="inlineStr">
        <is>
          <r>
            <rPr>
              <rFont val="Calibri"/>
              <b val="1"/>
              <sz val="10"/>
            </rPr>
            <t>Skills:</t>
          </r>
          <r>
            <rPr>
              <rFont val="Calibri"/>
              <sz val="10"/>
            </rPr>
            <t xml:space="preserve"> Business Analysis</t>
          </r>
        </is>
      </c>
      <c r="O9"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9" s="12" t="inlineStr">
        <is>
          <t>4–7 yrs
Graduate + relevant qualification or certification preferred</t>
        </is>
      </c>
      <c r="Q9" s="12" t="inlineStr">
        <is>
          <t>Core 3 · Future-ready 3 · Functional 3 · Leadership 1
★ Business Analysis &amp; Requirements Engineering · Regulatory &amp; BFSI Domain</t>
        </is>
      </c>
      <c r="R9" s="12" t="inlineStr">
        <is>
          <t>Define business needs and evaluate solutions. Includes: Elicitation, process analysis, traceability and solution evaluation. Excludes: Product investment authority; technical architecture.</t>
        </is>
      </c>
      <c r="S9" s="12" t="inlineStr">
        <is>
          <r>
            <rPr>
              <rFont val="Calibri"/>
              <b val="1"/>
              <sz val="10"/>
            </rPr>
            <t>Comparable stage:</t>
          </r>
          <r>
            <rPr>
              <rFont val="Calibri"/>
              <sz val="10"/>
            </rPr>
            <t xml:space="preserve"> BA01-3 · Senior Business Analyst
Resolve conflicting needs and evaluate complex solution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requirements set traced to business needs, acceptance tests and realized outcomes</t>
          </r>
        </is>
      </c>
      <c r="T9" s="12" t="inlineStr">
        <is>
          <t>Radford / Mercer P3 / M2 · SFIA 4 Enable
Regnology — regulatory reporting: BA · Reg Reporting · Big Four consulting: Senior Consultant · IRIS Vs Market Benchmark — IIBA certification pathway: CCBA · Infosys / Accenture: JL4 · L9 Consultant</t>
        </is>
      </c>
      <c r="U9" s="12" t="inlineStr">
        <is>
          <t>B2 · Senior Specialist</t>
        </is>
      </c>
      <c r="V9" s="12" t="inlineStr">
        <is>
          <t>Framework + role-holders' themes · 3+ answered</t>
        </is>
      </c>
    </row>
    <row r="10" ht="106" customHeight="1">
      <c r="A10" s="82" t="inlineStr">
        <is>
          <t>RC-011</t>
        </is>
      </c>
      <c r="B10" s="12" t="inlineStr">
        <is>
          <t>Business Analysis</t>
        </is>
      </c>
      <c r="C10" s="12" t="inlineStr">
        <is>
          <t>Business Analysis</t>
        </is>
      </c>
      <c r="D10" s="20" t="inlineStr">
        <is>
          <t>B1</t>
        </is>
      </c>
      <c r="E10" s="21" t="inlineStr">
        <is>
          <t>Team Lead</t>
        </is>
      </c>
      <c r="F10" s="12" t="inlineStr">
        <is>
          <t>Manager</t>
        </is>
      </c>
      <c r="G10" s="12" t="inlineStr">
        <is>
          <t>Team Lead – Business Analysis</t>
        </is>
      </c>
      <c r="H10" s="12" t="inlineStr">
        <is>
          <t>Aroosa Ghole</t>
        </is>
      </c>
      <c r="I10" s="12" t="inlineStr">
        <is>
          <t>Technology</t>
        </is>
      </c>
      <c r="J10" s="12"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sub-family holders, all levels' answers:</t>
          </r>
          <r>
            <rPr>
              <rFont val="Calibri"/>
              <sz val="10"/>
            </rPr>
            <t xml:space="preserve"> business · requirements · bridge · analyst · between · technical</t>
          </r>
        </is>
      </c>
      <c r="K10" s="12"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sub-family holders, all levels' answers:</t>
          </r>
          <r>
            <rPr>
              <rFont val="Calibri"/>
              <sz val="10"/>
            </rPr>
            <t xml:space="preserve"> requirement · documentation · stakeholder · client · gathering · analysis</t>
          </r>
        </is>
      </c>
      <c r="L10" s="12" t="inlineStr">
        <is>
          <r>
            <rPr>
              <rFont val="Calibri"/>
              <sz val="10"/>
            </rPr>
            <t xml:space="preserve">Technical / QC / client calls for the domain
</t>
          </r>
          <r>
            <rPr>
              <rFont val="Calibri"/>
              <b val="1"/>
              <sz val="10"/>
            </rPr>
            <t>Common themes in sub-family holders, all levels' answers:</t>
          </r>
          <r>
            <rPr>
              <rFont val="Calibri"/>
              <sz val="10"/>
            </rPr>
            <t xml:space="preserve"> requirements · user · documentation · process · stories · assign</t>
          </r>
        </is>
      </c>
      <c r="M10" s="12" t="inlineStr">
        <is>
          <r>
            <rPr>
              <rFont val="Calibri"/>
              <b val="1"/>
              <sz val="10"/>
            </rPr>
            <t>Common themes in manager-set KRAs:</t>
          </r>
          <r>
            <rPr>
              <rFont val="Calibri"/>
              <sz val="10"/>
            </rPr>
            <t xml:space="preserve"> client · first · quality · contribute · update · establish</t>
          </r>
        </is>
      </c>
      <c r="N10" s="12" t="inlineStr">
        <is>
          <r>
            <rPr>
              <rFont val="Calibri"/>
              <b val="1"/>
              <sz val="10"/>
            </rPr>
            <t>Skills: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t>
          </r>
        </is>
      </c>
      <c r="O10"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10" s="12" t="inlineStr">
        <is>
          <t>4–7 yrs
Graduate + relevant qualification or certification preferred</t>
        </is>
      </c>
      <c r="Q10" s="12" t="inlineStr">
        <is>
          <t>Core 3 · Future-ready 3 · Functional 3 · Leadership 2
★ Business Analysis &amp; Requirements Engineering · Regulatory &amp; BFSI Domain</t>
        </is>
      </c>
      <c r="R10" s="12" t="inlineStr">
        <is>
          <t>Define business needs and evaluate solutions. Includes: Elicitation, process analysis, traceability and solution evaluation. Excludes: Product investment authority; technical architecture.</t>
        </is>
      </c>
      <c r="S10" s="12" t="inlineStr">
        <is>
          <r>
            <rPr>
              <rFont val="Calibri"/>
              <b val="1"/>
              <sz val="10"/>
            </rPr>
            <t>Comparable stage:</t>
          </r>
          <r>
            <rPr>
              <rFont val="Calibri"/>
              <sz val="10"/>
            </rPr>
            <t xml:space="preserve"> LD09-1 · Business Analysis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10" s="12" t="inlineStr">
        <is>
          <t>Radford / Mercer P3 / M2 · SFIA 4 Enable
Regnology — regulatory reporting: BA · Reg Reporting · Big Four consulting: Senior Consultant · IRIS Vs Market Benchmark — IIBA certification pathway: CCBA · Infosys / Accenture: JL4 · L9 Consultant</t>
        </is>
      </c>
      <c r="U10" s="12" t="inlineStr">
        <is>
          <t>B2 · Senior Specialist</t>
        </is>
      </c>
      <c r="V10" s="12" t="inlineStr">
        <is>
          <t>Framework + sub-family themes · 3+ answered</t>
        </is>
      </c>
    </row>
    <row r="11">
      <c r="A11" s="81" t="inlineStr">
        <is>
          <t>Customer Success &amp; Support</t>
        </is>
      </c>
    </row>
    <row r="12" ht="106" customHeight="1">
      <c r="A12" s="82" t="inlineStr">
        <is>
          <t>RC-029</t>
        </is>
      </c>
      <c r="B12" s="12" t="inlineStr">
        <is>
          <t>Customer Success &amp; Support</t>
        </is>
      </c>
      <c r="C12" s="12" t="inlineStr">
        <is>
          <t>Application &amp; Product Support</t>
        </is>
      </c>
      <c r="D12" s="16" t="inlineStr">
        <is>
          <t>A1</t>
        </is>
      </c>
      <c r="E12" s="17" t="inlineStr">
        <is>
          <t>Intern / Trainee</t>
        </is>
      </c>
      <c r="F12" s="12" t="inlineStr">
        <is>
          <t>IC</t>
        </is>
      </c>
      <c r="G12" s="12" t="inlineStr">
        <is>
          <t>Intern – Application &amp; Product Support</t>
        </is>
      </c>
      <c r="H12" s="12" t="inlineStr">
        <is>
          <t>Nehal Bohra</t>
        </is>
      </c>
      <c r="I12" s="12" t="inlineStr">
        <is>
          <t>Sales</t>
        </is>
      </c>
      <c r="J12" s="12" t="inlineStr">
        <is>
          <r>
            <rPr>
              <rFont val="Calibri"/>
              <sz val="10"/>
            </rPr>
            <t xml:space="preserve">Resolves client product and filing issues, troubleshoots, handles UAT/change requests and escalates to engineering. At A1: learning the role; all work reviewed.
</t>
          </r>
          <r>
            <rPr>
              <rFont val="Calibri"/>
              <b val="1"/>
              <sz val="10"/>
            </rPr>
            <t>Common themes in sub-family holders, all levels' answers:</t>
          </r>
          <r>
            <rPr>
              <rFont val="Calibri"/>
              <sz val="10"/>
            </rPr>
            <t xml:space="preserve"> support · clients · queries · provide · issues · resolving</t>
          </r>
        </is>
      </c>
      <c r="K12" s="12" t="inlineStr">
        <is>
          <r>
            <rPr>
              <rFont val="Calibri"/>
              <sz val="10"/>
            </rPr>
            <t xml:space="preserve">Resolves client product and filing issues, troubleshoots, handles UAT/change requests and escalates to engineering; Learning; follows worked examples; Learning tasks
</t>
          </r>
          <r>
            <rPr>
              <rFont val="Calibri"/>
              <b val="1"/>
              <sz val="10"/>
            </rPr>
            <t>Common themes in sub-family holders, all levels' answers:</t>
          </r>
          <r>
            <rPr>
              <rFont val="Calibri"/>
              <sz val="10"/>
            </rPr>
            <t xml:space="preserve"> support · issue · testing · communication · customer · ticket</t>
          </r>
        </is>
      </c>
      <c r="L12" s="12" t="inlineStr">
        <is>
          <r>
            <rPr>
              <rFont val="Calibri"/>
              <sz val="10"/>
            </rPr>
            <t xml:space="preserve">Needs approval / close guidance
</t>
          </r>
          <r>
            <rPr>
              <rFont val="Calibri"/>
              <b val="1"/>
              <sz val="10"/>
            </rPr>
            <t>Common themes in sub-family holders, all levels' answers:</t>
          </r>
          <r>
            <rPr>
              <rFont val="Calibri"/>
              <sz val="10"/>
            </rPr>
            <t xml:space="preserve"> issues · resolving · tickets · handle · erro · validation</t>
          </r>
        </is>
      </c>
      <c r="M12" s="12" t="inlineStr">
        <is>
          <t>—</t>
        </is>
      </c>
      <c r="N12" s="12" t="inlineStr">
        <is>
          <r>
            <rPr>
              <rFont val="Calibri"/>
              <b val="1"/>
              <sz val="10"/>
            </rPr>
            <t>Skills:</t>
          </r>
          <r>
            <rPr>
              <rFont val="Calibri"/>
              <sz val="10"/>
            </rPr>
            <t xml:space="preserve"> Tech Support · Domain Support · Communication · Domain Knowledge · Business Analysis · Platform knowledge · Sales
</t>
          </r>
          <r>
            <rPr>
              <rFont val="Calibri"/>
              <b val="1"/>
              <sz val="10"/>
            </rPr>
            <t>Tools:</t>
          </r>
          <r>
            <rPr>
              <rFont val="Calibri"/>
              <sz val="10"/>
            </rPr>
            <t xml:space="preserve"> MS Office · Faveo · Arelle · Excel · Claude · Copilot · Microsoft Excel · RBI cims portal</t>
          </r>
        </is>
      </c>
      <c r="O12"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12" s="12" t="inlineStr">
        <is>
          <t>0 yrs · fresher / intern
Pursuing or completed graduation / diploma</t>
        </is>
      </c>
      <c r="Q12" s="12" t="inlineStr">
        <is>
          <t>Core 1 · Future-ready 1 · Functional 1 · Leadership —
★ Product, Platform &amp; Domain Knowledge · Stakeholder &amp; Client Management</t>
        </is>
      </c>
      <c r="R12" s="12" t="inlineStr">
        <is>
          <t>Enable sustained customer value and issue resolution. Includes: Adoption, product support and customer education. Excludes: Employee IT support; initial client implementation.</t>
        </is>
      </c>
      <c r="S12" s="12" t="inlineStr">
        <is>
          <r>
            <rPr>
              <rFont val="Calibri"/>
              <b val="1"/>
              <sz val="10"/>
            </rPr>
            <t>Comparable stage:</t>
          </r>
          <r>
            <rPr>
              <rFont val="Calibri"/>
              <sz val="10"/>
            </rPr>
            <t xml:space="preserve"> CS01-0 · Product Support Intern
</t>
          </r>
          <r>
            <rPr>
              <rFont val="Calibri"/>
              <b val="1"/>
              <sz val="10"/>
            </rPr>
            <t>Assist with a supervised work sample:</t>
          </r>
          <r>
            <rPr>
              <rFont val="Calibri"/>
              <sz val="10"/>
            </rPr>
            <t xml:space="preserve"> diagnose cases and publish verified knowledge articles.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resolved complex case with diagnosis, customer explanation and reusable knowledge</t>
          </r>
        </is>
      </c>
      <c r="T12" s="12" t="inlineStr">
        <is>
          <r>
            <rPr>
              <rFont val="Calibri"/>
              <sz val="10"/>
            </rPr>
            <t xml:space="preserve">Radford / Mercer Entry / P1 · intern · SFIA 1 Follow
</t>
          </r>
          <r>
            <rPr>
              <rFont val="Calibri"/>
              <b val="1"/>
              <sz val="10"/>
            </rPr>
            <t>Workiva:</t>
          </r>
          <r>
            <rPr>
              <rFont val="Calibri"/>
              <sz val="10"/>
            </rPr>
            <t xml:space="preserve"> Customer Success intern</t>
          </r>
        </is>
      </c>
      <c r="U12" s="12" t="inlineStr">
        <is>
          <t>A2 · Associate</t>
        </is>
      </c>
      <c r="V12" s="12" t="inlineStr">
        <is>
          <t>Framework + sub-family themes · 3+ answered</t>
        </is>
      </c>
    </row>
    <row r="13" ht="106" customHeight="1">
      <c r="A13" s="82" t="inlineStr">
        <is>
          <t>RC-030</t>
        </is>
      </c>
      <c r="B13" s="12" t="inlineStr">
        <is>
          <t>Customer Success &amp; Support</t>
        </is>
      </c>
      <c r="C13" s="12" t="inlineStr">
        <is>
          <t>Application &amp; Product Support</t>
        </is>
      </c>
      <c r="D13" s="16" t="inlineStr">
        <is>
          <t>A2</t>
        </is>
      </c>
      <c r="E13" s="17" t="inlineStr">
        <is>
          <t>Associate</t>
        </is>
      </c>
      <c r="F13" s="12" t="inlineStr">
        <is>
          <t>IC</t>
        </is>
      </c>
      <c r="G13" s="12" t="inlineStr">
        <is>
          <t>Support Executive</t>
        </is>
      </c>
      <c r="H13" s="12" t="inlineStr">
        <is>
          <t>Hemand Thayil</t>
        </is>
      </c>
      <c r="I13" s="12" t="inlineStr">
        <is>
          <t>Technology</t>
        </is>
      </c>
      <c r="J13" s="12" t="inlineStr">
        <is>
          <r>
            <rPr>
              <rFont val="Calibri"/>
              <sz val="10"/>
            </rPr>
            <t xml:space="preserve">Resolves client product and filing issues, troubleshoots, handles UAT/change requests and escalates to engineering. At A2: standard work delivered independently.
</t>
          </r>
          <r>
            <rPr>
              <rFont val="Calibri"/>
              <b val="1"/>
              <sz val="10"/>
            </rPr>
            <t>Common themes in sub-family holders, all levels' answers:</t>
          </r>
          <r>
            <rPr>
              <rFont val="Calibri"/>
              <sz val="10"/>
            </rPr>
            <t xml:space="preserve"> support · clients · queries · provide · issues · resolving</t>
          </r>
        </is>
      </c>
      <c r="K13" s="12" t="inlineStr">
        <is>
          <r>
            <rPr>
              <rFont val="Calibri"/>
              <sz val="10"/>
            </rPr>
            <t xml:space="preserve">Resolves client product and filing issues, troubleshoots, handles UAT/change requests and escalates to engineering; Standard work of the discipline; Own deliverables · accuracy, TAT
</t>
          </r>
          <r>
            <rPr>
              <rFont val="Calibri"/>
              <b val="1"/>
              <sz val="10"/>
            </rPr>
            <t>Common themes in sub-family holders, all levels' answers:</t>
          </r>
          <r>
            <rPr>
              <rFont val="Calibri"/>
              <sz val="10"/>
            </rPr>
            <t xml:space="preserve"> support · issue · testing · communication · customer · ticket</t>
          </r>
        </is>
      </c>
      <c r="L13" s="12" t="inlineStr">
        <is>
          <r>
            <rPr>
              <rFont val="Calibri"/>
              <sz val="10"/>
            </rPr>
            <t xml:space="preserve">Chooses own approach within standards
</t>
          </r>
          <r>
            <rPr>
              <rFont val="Calibri"/>
              <b val="1"/>
              <sz val="10"/>
            </rPr>
            <t>Common themes in sub-family holders, all levels' answers:</t>
          </r>
          <r>
            <rPr>
              <rFont val="Calibri"/>
              <sz val="10"/>
            </rPr>
            <t xml:space="preserve"> issues · resolving · tickets · handle · erro · validation</t>
          </r>
        </is>
      </c>
      <c r="M13" s="12" t="inlineStr">
        <is>
          <t>—</t>
        </is>
      </c>
      <c r="N13" s="12" t="inlineStr">
        <is>
          <r>
            <rPr>
              <rFont val="Calibri"/>
              <b val="1"/>
              <sz val="10"/>
            </rPr>
            <t>Skills:</t>
          </r>
          <r>
            <rPr>
              <rFont val="Calibri"/>
              <sz val="10"/>
            </rPr>
            <t xml:space="preserve"> Tech Support · Domain Support · Communication · Domain Knowledge · Business Analysis · Platform knowledge · Sales
</t>
          </r>
          <r>
            <rPr>
              <rFont val="Calibri"/>
              <b val="1"/>
              <sz val="10"/>
            </rPr>
            <t>Tools:</t>
          </r>
          <r>
            <rPr>
              <rFont val="Calibri"/>
              <sz val="10"/>
            </rPr>
            <t xml:space="preserve"> MS Office · Faveo · Arelle · Excel · Claude · Copilot · Microsoft Excel · RBI cims portal</t>
          </r>
        </is>
      </c>
      <c r="O13"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13" s="12" t="inlineStr">
        <is>
          <t>0–2 yrs
Graduate · or diploma with experience</t>
        </is>
      </c>
      <c r="Q13" s="12" t="inlineStr">
        <is>
          <t>Core 2 · Future-ready 2 · Functional 2 · Leadership —
★ Product, Platform &amp; Domain Knowledge · Stakeholder &amp; Client Management</t>
        </is>
      </c>
      <c r="R13" s="12" t="inlineStr">
        <is>
          <t>Enable sustained customer value and issue resolution. Includes: Adoption, product support and customer education. Excludes: Employee IT support; initial client implementation.</t>
        </is>
      </c>
      <c r="S13" s="12" t="inlineStr">
        <is>
          <r>
            <rPr>
              <rFont val="Calibri"/>
              <b val="1"/>
              <sz val="10"/>
            </rPr>
            <t>Comparable stage:</t>
          </r>
          <r>
            <rPr>
              <rFont val="Calibri"/>
              <sz val="10"/>
            </rPr>
            <t xml:space="preserve"> CS01-1 · Associate Product Support Engineer
</t>
          </r>
          <r>
            <rPr>
              <rFont val="Calibri"/>
              <b val="1"/>
              <sz val="10"/>
            </rPr>
            <t>Complete defined parts under review:</t>
          </r>
          <r>
            <rPr>
              <rFont val="Calibri"/>
              <sz val="10"/>
            </rPr>
            <t xml:space="preserve"> diagnose cases and publish verified knowledge articles.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resolved complex case with diagnosis, customer explanation and reusable knowledge</t>
          </r>
        </is>
      </c>
      <c r="T13" s="12" t="inlineStr">
        <is>
          <t>Radford / Mercer P1–P2 · SFIA 2 Assist
IRIS Vs Competitor Benchmark — SaaS customer-success ladder: Support Associate · IRIS Vs Competitor Benchmark — support tiers: L1 Service Desk</t>
        </is>
      </c>
      <c r="U13" s="12" t="inlineStr">
        <is>
          <t>A3 · Senior Associate</t>
        </is>
      </c>
      <c r="V13" s="12" t="inlineStr">
        <is>
          <t>Framework + sub-family themes · 3+ answered</t>
        </is>
      </c>
    </row>
    <row r="14" ht="106" customHeight="1">
      <c r="A14" s="82" t="inlineStr">
        <is>
          <t>RC-031</t>
        </is>
      </c>
      <c r="B14" s="12" t="inlineStr">
        <is>
          <t>Customer Success &amp; Support</t>
        </is>
      </c>
      <c r="C14" s="12" t="inlineStr">
        <is>
          <t>Application &amp; Product Support</t>
        </is>
      </c>
      <c r="D14" s="16" t="inlineStr">
        <is>
          <t>A3</t>
        </is>
      </c>
      <c r="E14" s="17" t="inlineStr">
        <is>
          <t>Senior Associate</t>
        </is>
      </c>
      <c r="F14" s="12" t="inlineStr">
        <is>
          <t>IC</t>
        </is>
      </c>
      <c r="G14" s="12" t="inlineStr">
        <is>
          <t>Senior Support Executive · Support Specialist</t>
        </is>
      </c>
      <c r="H14" s="12" t="inlineStr">
        <is>
          <t>Nidhi Kulkarni, Shreekanth Samala</t>
        </is>
      </c>
      <c r="I14" s="12" t="inlineStr">
        <is>
          <t>Technology</t>
        </is>
      </c>
      <c r="J14" s="12" t="inlineStr">
        <is>
          <r>
            <rPr>
              <rFont val="Calibri"/>
              <sz val="10"/>
            </rPr>
            <t xml:space="preserve">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t>
          </r>
        </is>
      </c>
      <c r="K14" s="12" t="inlineStr">
        <is>
          <r>
            <rPr>
              <rFont val="Calibri"/>
              <sz val="10"/>
            </rPr>
            <t xml:space="preserve">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t>
          </r>
        </is>
      </c>
      <c r="L14" s="12" t="inlineStr">
        <is>
          <r>
            <rPr>
              <rFont val="Calibri"/>
              <sz val="10"/>
            </rPr>
            <t xml:space="preserve">Technical / QC / client calls on own work
</t>
          </r>
          <r>
            <rPr>
              <rFont val="Calibri"/>
              <b val="1"/>
              <sz val="10"/>
            </rPr>
            <t>Common themes in role-holders' answers:</t>
          </r>
          <r>
            <rPr>
              <rFont val="Calibri"/>
              <sz val="10"/>
            </rPr>
            <t xml:space="preserve"> issues · resolving · tickets · handle · erro · validation</t>
          </r>
        </is>
      </c>
      <c r="M14" s="12" t="inlineStr">
        <is>
          <r>
            <rPr>
              <rFont val="Calibri"/>
              <b val="1"/>
              <sz val="10"/>
            </rPr>
            <t>Common themes in manager-set KRAs:</t>
          </r>
          <r>
            <rPr>
              <rFont val="Calibri"/>
              <sz val="10"/>
            </rPr>
            <t xml:space="preserve"> resolve · accounts · maintain accurate · accurate up-to-date · escalations owned · tickets/queries sla</t>
          </r>
        </is>
      </c>
      <c r="N14" s="12" t="inlineStr">
        <is>
          <r>
            <rPr>
              <rFont val="Calibri"/>
              <b val="1"/>
              <sz val="10"/>
            </rPr>
            <t>Skills: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t>
          </r>
        </is>
      </c>
      <c r="O14"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4" s="12" t="inlineStr">
        <is>
          <t>2–4 yrs
Graduate; relevant certification preferred</t>
        </is>
      </c>
      <c r="Q14" s="12" t="inlineStr">
        <is>
          <t>Core 2 · Future-ready 2 · Functional 3 · Leadership —
★ Product, Platform &amp; Domain Knowledge · Stakeholder &amp; Client Management</t>
        </is>
      </c>
      <c r="R14" s="12" t="inlineStr">
        <is>
          <t>Enable sustained customer value and issue resolution. Includes: Adoption, product support and customer education. Excludes: Employee IT support; initial client implementation.</t>
        </is>
      </c>
      <c r="S14" s="12" t="inlineStr">
        <is>
          <r>
            <rPr>
              <rFont val="Calibri"/>
              <b val="1"/>
              <sz val="10"/>
            </rPr>
            <t>Comparable stage:</t>
          </r>
          <r>
            <rPr>
              <rFont val="Calibri"/>
              <sz val="10"/>
            </rPr>
            <t xml:space="preserve"> CS01-2 · Product Support Engineer
Diagnose cases and publish verified knowledge articles.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resolved complex case with diagnosis, customer explanation and reusable knowledge</t>
          </r>
        </is>
      </c>
      <c r="T14" s="12" t="inlineStr">
        <is>
          <t>Radford / Mercer P2 · SFIA 3 Apply
IRIS Vs Competitor Benchmark — SaaS customer-success ladder: Associate CSM · Regnology: Product Support Specialist · Reg Reporting · IRIS Vs Competitor Benchmark — support tiers: L2 Application Support</t>
        </is>
      </c>
      <c r="U14" s="12" t="inlineStr">
        <is>
          <t>B1 · Specialist</t>
        </is>
      </c>
      <c r="V14" s="12" t="inlineStr">
        <is>
          <t>Framework + role-holders' themes · 3+ answered</t>
        </is>
      </c>
    </row>
    <row r="15">
      <c r="A15" s="81" t="inlineStr">
        <is>
          <t>Engineering &amp; Architecture</t>
        </is>
      </c>
    </row>
    <row r="16" ht="132" customHeight="1">
      <c r="A16" s="82" t="inlineStr">
        <is>
          <t>RC-056</t>
        </is>
      </c>
      <c r="B16" s="12" t="inlineStr">
        <is>
          <t>Engineering &amp; Architecture</t>
        </is>
      </c>
      <c r="C16" s="12" t="inlineStr">
        <is>
          <t>Solution &amp; Technical Architecture</t>
        </is>
      </c>
      <c r="D16" s="24" t="inlineStr">
        <is>
          <t>B+</t>
        </is>
      </c>
      <c r="E16" s="25" t="inlineStr">
        <is>
          <t>Practice Lead · Player-Coach</t>
        </is>
      </c>
      <c r="F16" s="12" t="inlineStr">
        <is>
          <t>IC</t>
        </is>
      </c>
      <c r="G16" s="12" t="inlineStr">
        <is>
          <t>Practice Lead – Solution &amp; Technical Architecture · Player-Coach</t>
        </is>
      </c>
      <c r="H16" s="12" t="inlineStr">
        <is>
          <t>Jitendra Kumar</t>
        </is>
      </c>
      <c r="I16" s="12" t="inlineStr">
        <is>
          <t>Technology</t>
        </is>
      </c>
      <c r="J16" s="12" t="inlineStr">
        <is>
          <r>
            <rPr>
              <rFont val="Calibri"/>
              <sz val="10"/>
            </rPr>
            <t xml:space="preserve">Designs system / solution architecture, integrations and technical standards; guides build teams. At B+: a practice or product area: does the hardest hands-on work itself and leads 3–6 people · player-coach.
</t>
          </r>
          <r>
            <rPr>
              <rFont val="Calibri"/>
              <b val="1"/>
              <sz val="10"/>
            </rPr>
            <t>Common themes in role-holders' answers:</t>
          </r>
          <r>
            <rPr>
              <rFont val="Calibri"/>
              <sz val="10"/>
            </rPr>
            <t xml:space="preserve"> technical · client · design · understanding · solution · application</t>
          </r>
        </is>
      </c>
      <c r="K16" s="12" t="inlineStr">
        <is>
          <r>
            <rPr>
              <rFont val="Calibri"/>
              <sz val="10"/>
            </rPr>
            <t xml:space="preserve">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Common themes in role-holders' answers:</t>
          </r>
          <r>
            <rPr>
              <rFont val="Calibri"/>
              <sz val="10"/>
            </rPr>
            <t xml:space="preserve"> client · documentation · technical · solution · requirement · meeting</t>
          </r>
        </is>
      </c>
      <c r="L16" s="12" t="inlineStr">
        <is>
          <r>
            <rPr>
              <rFont val="Calibri"/>
              <sz val="10"/>
            </rPr>
            <t xml:space="preserve">Decides approach and priorities for the practice; escalates only cross-function trade-offs
</t>
          </r>
          <r>
            <rPr>
              <rFont val="Calibri"/>
              <b val="1"/>
              <sz val="10"/>
            </rPr>
            <t>Common themes in role-holders' answers:</t>
          </r>
          <r>
            <rPr>
              <rFont val="Calibri"/>
              <sz val="10"/>
            </rPr>
            <t xml:space="preserve"> approach</t>
          </r>
        </is>
      </c>
      <c r="M16" s="12" t="inlineStr">
        <is>
          <r>
            <rPr>
              <rFont val="Calibri"/>
              <b val="1"/>
              <sz val="10"/>
            </rPr>
            <t>Common themes in manager-set KRAs:</t>
          </r>
          <r>
            <rPr>
              <rFont val="Calibri"/>
              <sz val="10"/>
            </rPr>
            <t xml:space="preserve"> support · technical · project · completion · develop · year</t>
          </r>
        </is>
      </c>
      <c r="N16" s="12" t="inlineStr">
        <is>
          <r>
            <rPr>
              <rFont val="Calibri"/>
              <b val="1"/>
              <sz val="10"/>
            </rPr>
            <t>Skills:</t>
          </r>
          <r>
            <rPr>
              <rFont val="Calibri"/>
              <sz val="10"/>
            </rPr>
            <t xml:space="preserve"> Java · Spring Boot · NET MVC</t>
          </r>
        </is>
      </c>
      <c r="O16" s="12" t="inlineStr">
        <is>
          <r>
            <rPr>
              <rFont val="Calibri"/>
              <b val="1"/>
              <sz val="10"/>
            </rPr>
            <t>Owns:</t>
          </r>
          <r>
            <rPr>
              <rFont val="Calibri"/>
              <sz val="10"/>
            </rPr>
            <t xml:space="preserve"> A practice or product area: does the hardest hands-on work itself and leads 3–6 people · player-coach
</t>
          </r>
          <r>
            <rPr>
              <rFont val="Calibri"/>
              <b val="1"/>
              <sz val="10"/>
            </rPr>
            <t>Complexity:</t>
          </r>
          <r>
            <rPr>
              <rFont val="Calibri"/>
              <sz val="10"/>
            </rPr>
            <t xml:space="preserve"> Principal-level problems in own domain; sets technical or quality standards and still builds
</t>
          </r>
          <r>
            <rPr>
              <rFont val="Calibri"/>
              <b val="1"/>
              <sz val="10"/>
            </rPr>
            <t>Decisions:</t>
          </r>
          <r>
            <rPr>
              <rFont val="Calibri"/>
              <sz val="10"/>
            </rPr>
            <t xml:space="preserve"> Decides approach and priorities for the practice; escalates only cross-function trade-offs
</t>
          </r>
          <r>
            <rPr>
              <rFont val="Calibri"/>
              <b val="1"/>
              <sz val="10"/>
            </rPr>
            <t>Answers for:</t>
          </r>
          <r>
            <rPr>
              <rFont val="Calibri"/>
              <sz val="10"/>
            </rPr>
            <t xml:space="preserve"> Practice outcomes plus own deliverables; quality and delivery of the team
</t>
          </r>
          <r>
            <rPr>
              <rFont val="Calibri"/>
              <b val="1"/>
              <sz val="10"/>
            </rPr>
            <t>Leadership:</t>
          </r>
          <r>
            <rPr>
              <rFont val="Calibri"/>
              <sz val="10"/>
            </rPr>
            <t xml:space="preserve"> Leads 3–6 people · or a pod while remaining a hands-on expert; coaches, allocates, reviews</t>
          </r>
        </is>
      </c>
      <c r="P16" s="12" t="inlineStr">
        <is>
          <t>9–14 yrs
Postgraduate or professional qualification preferred</t>
        </is>
      </c>
      <c r="Q16" s="12" t="inlineStr">
        <is>
          <t>Core 4 · Future-ready 4 · Functional 4 · Leadership 4
★ System Design &amp; Architecture · Programming &amp; Tech-Stack Depth</t>
        </is>
      </c>
      <c r="R16" s="12" t="inlineStr">
        <is>
          <t>Define system architecture across components. Includes: Solution design, non-functional trade-offs and architecture standards. Excludes: Presales persuasion alone; routine software delivery.</t>
        </is>
      </c>
      <c r="S16" s="12" t="inlineStr">
        <is>
          <r>
            <rPr>
              <rFont val="Calibri"/>
              <b val="1"/>
              <sz val="10"/>
            </rPr>
            <t>Comparable stage:</t>
          </r>
          <r>
            <rPr>
              <rFont val="Calibri"/>
              <sz val="10"/>
            </rPr>
            <t xml:space="preserve"> ARC01-4 · Principal Solution Architect
Set cross-product architecture principles and govern justified exceptions.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design decision record with alternatives, cost and security trade-offs plus implementation validation</t>
          </r>
        </is>
      </c>
      <c r="T16" s="12" t="inlineStr">
        <is>
          <r>
            <rPr>
              <rFont val="Calibri"/>
              <sz val="10"/>
            </rPr>
            <t xml:space="preserve">Radford / Mercer P5–P6 / M4–M5 · SFIA 5 Ensure, advise
</t>
          </r>
          <r>
            <rPr>
              <rFont val="Calibri"/>
              <b val="1"/>
              <sz val="10"/>
            </rPr>
            <t>Google:</t>
          </r>
          <r>
            <rPr>
              <rFont val="Calibri"/>
              <sz val="10"/>
            </rPr>
            <t xml:space="preserve"> Tech Lead Manager · TLM · McKinsey player/coach · 3–5 reports · SaaS: player-coach team lead carrying own work</t>
          </r>
        </is>
      </c>
      <c r="U16" s="12" t="inlineStr">
        <is>
          <t>C1 · Principal</t>
        </is>
      </c>
      <c r="V16" s="12" t="inlineStr">
        <is>
          <t>Framework + role-holders' themes · 3+ answered</t>
        </is>
      </c>
    </row>
    <row r="17">
      <c r="A17" s="81" t="inlineStr">
        <is>
          <t>Engineering &amp; Development</t>
        </is>
      </c>
    </row>
    <row r="18" ht="119" customHeight="1">
      <c r="A18" s="82" t="inlineStr">
        <is>
          <t>RC-065</t>
        </is>
      </c>
      <c r="B18" s="12" t="inlineStr">
        <is>
          <t>Engineering &amp; Development</t>
        </is>
      </c>
      <c r="C18" s="12" t="inlineStr">
        <is>
          <t>Backend Development</t>
        </is>
      </c>
      <c r="D18" s="16" t="inlineStr">
        <is>
          <t>A1</t>
        </is>
      </c>
      <c r="E18" s="17" t="inlineStr">
        <is>
          <t>Intern / Trainee</t>
        </is>
      </c>
      <c r="F18" s="12" t="inlineStr">
        <is>
          <t>IC</t>
        </is>
      </c>
      <c r="G18" s="12" t="inlineStr">
        <is>
          <t>Trainee Software Engineer · Intern – Software Development</t>
        </is>
      </c>
      <c r="H18" s="12" t="inlineStr">
        <is>
          <t>Vinayak Dadasaheb Suryawanshi</t>
        </is>
      </c>
      <c r="I18" s="12" t="inlineStr">
        <is>
          <t>Technology</t>
        </is>
      </c>
      <c r="J18" s="12" t="inlineStr">
        <is>
          <r>
            <rPr>
              <rFont val="Calibri"/>
              <sz val="10"/>
            </rPr>
            <t xml:space="preserve">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t>
          </r>
        </is>
      </c>
      <c r="K18" s="12" t="inlineStr">
        <is>
          <r>
            <rPr>
              <rFont val="Calibri"/>
              <sz val="10"/>
            </rPr>
            <t xml:space="preserve">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t>
          </r>
        </is>
      </c>
      <c r="L18" s="12" t="inlineStr">
        <is>
          <r>
            <rPr>
              <rFont val="Calibri"/>
              <sz val="10"/>
            </rPr>
            <t xml:space="preserve">Needs approval / close guidance
</t>
          </r>
          <r>
            <rPr>
              <rFont val="Calibri"/>
              <b val="1"/>
              <sz val="10"/>
            </rPr>
            <t>Common themes in role-holders' answers:</t>
          </r>
          <r>
            <rPr>
              <rFont val="Calibri"/>
              <sz val="10"/>
            </rPr>
            <t xml:space="preserve"> decisions · technical</t>
          </r>
        </is>
      </c>
      <c r="M18" s="12" t="inlineStr">
        <is>
          <r>
            <rPr>
              <rFont val="Calibri"/>
              <b val="1"/>
              <sz val="10"/>
            </rPr>
            <t>Common themes in manager-set KRAs:</t>
          </r>
          <r>
            <rPr>
              <rFont val="Calibri"/>
              <sz val="10"/>
            </rPr>
            <t xml:space="preserve"> code · technical · agreed · deliver · application · maintain</t>
          </r>
        </is>
      </c>
      <c r="N18" s="12" t="inlineStr">
        <is>
          <r>
            <rPr>
              <rFont val="Calibri"/>
              <b val="1"/>
              <sz val="10"/>
            </rPr>
            <t>Skills:</t>
          </r>
          <r>
            <rPr>
              <rFont val="Calibri"/>
              <sz val="10"/>
            </rPr>
            <t xml:space="preserve"> Java · NET MVC</t>
          </r>
        </is>
      </c>
      <c r="O18"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18" s="12" t="inlineStr">
        <is>
          <t>0 yrs · fresher / intern
Pursuing or completed graduation / diploma</t>
        </is>
      </c>
      <c r="Q18" s="12" t="inlineStr">
        <is>
          <t>Core 1 · Future-ready 1 · Functional 1 · Leadership —
★ Programming &amp; Tech-Stack Depth · System Design &amp; Architecture</t>
        </is>
      </c>
      <c r="R18" s="12" t="inlineStr">
        <is>
          <t>Build and operate software capabilities. Includes: Application code, data/ML engineering and product reliability. Excludes: Product investment decisions; internal IT service desk.</t>
        </is>
      </c>
      <c r="S18" s="12" t="inlineStr">
        <is>
          <r>
            <rPr>
              <rFont val="Calibri"/>
              <b val="1"/>
              <sz val="10"/>
            </rPr>
            <t>Comparable stage:</t>
          </r>
          <r>
            <rPr>
              <rFont val="Calibri"/>
              <sz val="10"/>
            </rPr>
            <t xml:space="preserve"> ENG01-0 · Software Engineering Intern
</t>
          </r>
          <r>
            <rPr>
              <rFont val="Calibri"/>
              <b val="1"/>
              <sz val="10"/>
            </rPr>
            <t>Assist with a supervised work sample:</t>
          </r>
          <r>
            <rPr>
              <rFont val="Calibri"/>
              <sz val="10"/>
            </rPr>
            <t xml:space="preserve"> deliver tested apis and services with clear error handling.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service design and implementation with tests, failure handling and measured production behaviour</t>
          </r>
        </is>
      </c>
      <c r="T18" s="12" t="inlineStr">
        <is>
          <t>Radford / Mercer Entry / P1 · intern · SFIA 1 Follow
—</t>
        </is>
      </c>
      <c r="U18" s="12" t="inlineStr">
        <is>
          <t>A2 · Associate</t>
        </is>
      </c>
      <c r="V18" s="12" t="inlineStr">
        <is>
          <t>Framework + role-holders' themes · 3+ answered</t>
        </is>
      </c>
    </row>
    <row r="19" ht="119" customHeight="1">
      <c r="A19" s="82" t="inlineStr">
        <is>
          <t>RC-066</t>
        </is>
      </c>
      <c r="B19" s="12" t="inlineStr">
        <is>
          <t>Engineering &amp; Development</t>
        </is>
      </c>
      <c r="C19" s="12" t="inlineStr">
        <is>
          <t>Backend Development</t>
        </is>
      </c>
      <c r="D19" s="16" t="inlineStr">
        <is>
          <t>A2</t>
        </is>
      </c>
      <c r="E19" s="17" t="inlineStr">
        <is>
          <t>Associate</t>
        </is>
      </c>
      <c r="F19" s="12" t="inlineStr">
        <is>
          <t>IC</t>
        </is>
      </c>
      <c r="G19" s="12" t="inlineStr">
        <is>
          <t>Software Engineer</t>
        </is>
      </c>
      <c r="H19" s="12" t="inlineStr">
        <is>
          <t>Abhay Pandey, Sumeet Laxman Kurdia</t>
        </is>
      </c>
      <c r="I19" s="12" t="inlineStr">
        <is>
          <t>Technology</t>
        </is>
      </c>
      <c r="J19" s="12" t="inlineStr">
        <is>
          <r>
            <rPr>
              <rFont val="Calibri"/>
              <sz val="10"/>
            </rPr>
            <t xml:space="preserve">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t>
          </r>
        </is>
      </c>
      <c r="K19" s="12" t="inlineStr">
        <is>
          <r>
            <rPr>
              <rFont val="Calibri"/>
              <sz val="10"/>
            </rPr>
            <t xml:space="preserve">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t>
          </r>
        </is>
      </c>
      <c r="L19" s="12" t="inlineStr">
        <is>
          <r>
            <rPr>
              <rFont val="Calibri"/>
              <sz val="10"/>
            </rPr>
            <t xml:space="preserve">Chooses own approach within standards
</t>
          </r>
          <r>
            <rPr>
              <rFont val="Calibri"/>
              <b val="1"/>
              <sz val="10"/>
            </rPr>
            <t>Common themes in role-holders' answers:</t>
          </r>
          <r>
            <rPr>
              <rFont val="Calibri"/>
              <sz val="10"/>
            </rPr>
            <t xml:space="preserve"> implement · solutions · issues · structure · design</t>
          </r>
        </is>
      </c>
      <c r="M19" s="12" t="inlineStr">
        <is>
          <r>
            <rPr>
              <rFont val="Calibri"/>
              <b val="1"/>
              <sz val="10"/>
            </rPr>
            <t>Common themes in manager-set KRAs:</t>
          </r>
          <r>
            <rPr>
              <rFont val="Calibri"/>
              <sz val="10"/>
            </rPr>
            <t xml:space="preserve"> improve · deliver · modules · committed · coverage · automated</t>
          </r>
        </is>
      </c>
      <c r="N19" s="12" t="inlineStr">
        <is>
          <r>
            <rPr>
              <rFont val="Calibri"/>
              <b val="1"/>
              <sz val="10"/>
            </rPr>
            <t>Skills:</t>
          </r>
          <r>
            <rPr>
              <rFont val="Calibri"/>
              <sz val="10"/>
            </rPr>
            <t xml:space="preserve"> NET MVC · Java
</t>
          </r>
          <r>
            <rPr>
              <rFont val="Calibri"/>
              <b val="1"/>
              <sz val="10"/>
            </rPr>
            <t>Tools:</t>
          </r>
          <r>
            <rPr>
              <rFont val="Calibri"/>
              <sz val="10"/>
            </rPr>
            <t xml:space="preserve"> Postman · Oracle database</t>
          </r>
        </is>
      </c>
      <c r="O19"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19" s="12" t="inlineStr">
        <is>
          <t>0–2 yrs
Graduate · or diploma with experience</t>
        </is>
      </c>
      <c r="Q19" s="12" t="inlineStr">
        <is>
          <t>Core 2 · Future-ready 2 · Functional 2 · Leadership —
★ Programming &amp; Tech-Stack Depth · System Design &amp; Architecture</t>
        </is>
      </c>
      <c r="R19" s="12" t="inlineStr">
        <is>
          <t>Build and operate software capabilities. Includes: Application code, data/ML engineering and product reliability. Excludes: Product investment decisions; internal IT service desk.</t>
        </is>
      </c>
      <c r="S19" s="12" t="inlineStr">
        <is>
          <r>
            <rPr>
              <rFont val="Calibri"/>
              <b val="1"/>
              <sz val="10"/>
            </rPr>
            <t>Comparable stage:</t>
          </r>
          <r>
            <rPr>
              <rFont val="Calibri"/>
              <sz val="10"/>
            </rPr>
            <t xml:space="preserve"> ENG01-1 · Associate Software Engineer
</t>
          </r>
          <r>
            <rPr>
              <rFont val="Calibri"/>
              <b val="1"/>
              <sz val="10"/>
            </rPr>
            <t>Complete defined parts under review:</t>
          </r>
          <r>
            <rPr>
              <rFont val="Calibri"/>
              <sz val="10"/>
            </rPr>
            <t xml:space="preserve"> deliver tested apis and services with clear error handling.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service design and implementation with tests, failure handling and measured production behaviour</t>
          </r>
        </is>
      </c>
      <c r="T19" s="12" t="inlineStr">
        <is>
          <r>
            <rPr>
              <rFont val="Calibri"/>
              <sz val="10"/>
            </rPr>
            <t xml:space="preserve">Radford / Mercer P1–P2 · SFIA 2 Assist
</t>
          </r>
          <r>
            <rPr>
              <rFont val="Calibri"/>
              <b val="1"/>
              <sz val="10"/>
            </rPr>
            <t>Workiva:</t>
          </r>
          <r>
            <rPr>
              <rFont val="Calibri"/>
              <sz val="10"/>
            </rPr>
            <t xml:space="preserve"> Associate SE · Broadridge India: SE · Nasdaq / AxiomSL: SE · Salesforce: AMTS</t>
          </r>
        </is>
      </c>
      <c r="U19" s="12" t="inlineStr">
        <is>
          <t>A3 · Senior Associate</t>
        </is>
      </c>
      <c r="V19" s="12" t="inlineStr">
        <is>
          <t>Framework + role-holders' themes · 3+ answered</t>
        </is>
      </c>
    </row>
    <row r="20" ht="119" customHeight="1">
      <c r="A20" s="82" t="inlineStr">
        <is>
          <t>RC-067</t>
        </is>
      </c>
      <c r="B20" s="12" t="inlineStr">
        <is>
          <t>Engineering &amp; Development</t>
        </is>
      </c>
      <c r="C20" s="12" t="inlineStr">
        <is>
          <t>Backend Development</t>
        </is>
      </c>
      <c r="D20" s="16" t="inlineStr">
        <is>
          <t>A3</t>
        </is>
      </c>
      <c r="E20" s="17" t="inlineStr">
        <is>
          <t>Senior Associate</t>
        </is>
      </c>
      <c r="F20" s="12" t="inlineStr">
        <is>
          <t>IC</t>
        </is>
      </c>
      <c r="G20" s="12" t="inlineStr">
        <is>
          <t>Senior Software Engineer · Technical Specialist</t>
        </is>
      </c>
      <c r="H20" s="12" t="inlineStr">
        <is>
          <t>Akshata Sabale, Pratik Ekhande, Swapnil Shirke, Vaibhav Govind Gahat, Varsha Patil</t>
        </is>
      </c>
      <c r="I20" s="12" t="inlineStr">
        <is>
          <t>Technology</t>
        </is>
      </c>
      <c r="J20" s="12" t="inlineStr">
        <is>
          <r>
            <rPr>
              <rFont val="Calibri"/>
              <sz val="10"/>
            </rPr>
            <t xml:space="preserve">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t>
          </r>
        </is>
      </c>
      <c r="K20" s="12" t="inlineStr">
        <is>
          <r>
            <rPr>
              <rFont val="Calibri"/>
              <sz val="10"/>
            </rPr>
            <t xml:space="preserve">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t>
          </r>
        </is>
      </c>
      <c r="L20" s="12" t="inlineStr">
        <is>
          <r>
            <rPr>
              <rFont val="Calibri"/>
              <sz val="10"/>
            </rPr>
            <t xml:space="preserve">Technical / QC / client calls on own work
</t>
          </r>
          <r>
            <rPr>
              <rFont val="Calibri"/>
              <b val="1"/>
              <sz val="10"/>
            </rPr>
            <t>Common themes in role-holders' answers:</t>
          </r>
          <r>
            <rPr>
              <rFont val="Calibri"/>
              <sz val="10"/>
            </rPr>
            <t xml:space="preserve"> code · technical · implementation · bug · approach · decisions</t>
          </r>
        </is>
      </c>
      <c r="M20" s="12" t="inlineStr">
        <is>
          <r>
            <rPr>
              <rFont val="Calibri"/>
              <b val="1"/>
              <sz val="10"/>
            </rPr>
            <t>Common themes in manager-set KRAs:</t>
          </r>
          <r>
            <rPr>
              <rFont val="Calibri"/>
              <sz val="10"/>
            </rPr>
            <t xml:space="preserve"> year · coverage · code · quality · deliver · assigned</t>
          </r>
        </is>
      </c>
      <c r="N20" s="12" t="inlineStr">
        <is>
          <r>
            <rPr>
              <rFont val="Calibri"/>
              <b val="1"/>
              <sz val="10"/>
            </rPr>
            <t>Skills: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t>
          </r>
        </is>
      </c>
      <c r="O20"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20" s="12" t="inlineStr">
        <is>
          <t>2–4 yrs
Graduate; relevant certification preferred</t>
        </is>
      </c>
      <c r="Q20" s="12" t="inlineStr">
        <is>
          <t>Core 2 · Future-ready 2 · Functional 3 · Leadership —
★ Programming &amp; Tech-Stack Depth · System Design &amp; Architecture</t>
        </is>
      </c>
      <c r="R20" s="12" t="inlineStr">
        <is>
          <t>Build and operate software capabilities. Includes: Application code, data/ML engineering and product reliability. Excludes: Product investment decisions; internal IT service desk.</t>
        </is>
      </c>
      <c r="S20" s="12" t="inlineStr">
        <is>
          <r>
            <rPr>
              <rFont val="Calibri"/>
              <b val="1"/>
              <sz val="10"/>
            </rPr>
            <t>Comparable stage:</t>
          </r>
          <r>
            <rPr>
              <rFont val="Calibri"/>
              <sz val="10"/>
            </rPr>
            <t xml:space="preserve"> ENG01-2 · Software Engineer
Deliver tested APIs and services with clear error handling.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service design and implementation with tests, failure handling and measured production behaviour</t>
          </r>
        </is>
      </c>
      <c r="T20"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20" s="12" t="inlineStr">
        <is>
          <t>B1 · Specialist</t>
        </is>
      </c>
      <c r="V20" s="12" t="inlineStr">
        <is>
          <t>Framework + role-holders' themes · 3+ answered</t>
        </is>
      </c>
    </row>
    <row r="21" ht="119" customHeight="1">
      <c r="A21" s="82" t="inlineStr">
        <is>
          <t>RC-071</t>
        </is>
      </c>
      <c r="B21" s="12" t="inlineStr">
        <is>
          <t>Engineering &amp; Development</t>
        </is>
      </c>
      <c r="C21" s="12" t="inlineStr">
        <is>
          <t>Backend Development</t>
        </is>
      </c>
      <c r="D21" s="20" t="inlineStr">
        <is>
          <t>B3</t>
        </is>
      </c>
      <c r="E21" s="21" t="inlineStr">
        <is>
          <t>Lead Specialist</t>
        </is>
      </c>
      <c r="F21" s="12" t="inlineStr">
        <is>
          <t>IC</t>
        </is>
      </c>
      <c r="G21" s="12" t="inlineStr">
        <is>
          <t>Lead Software Engineer · Lead Software Engineer – POD Lead</t>
        </is>
      </c>
      <c r="H21" s="12" t="inlineStr">
        <is>
          <t>Ravi Ranjan</t>
        </is>
      </c>
      <c r="I21" s="12" t="inlineStr">
        <is>
          <t>Technology</t>
        </is>
      </c>
      <c r="J21" s="12" t="inlineStr">
        <is>
          <t>Builds back-end services, APIs, processing/validation logic and DB code; fixes defects and delivers change requests. At B3: a practice, or several teams through team leads.</t>
        </is>
      </c>
      <c r="K21" s="12" t="inlineStr">
        <is>
          <t>Builds back-end services, APIs, processing/validation logic and DB code; fixes defects and delivers change requests; Sets standards for a practice; cross-team problems; Several teams or a practice</t>
        </is>
      </c>
      <c r="L21" s="12" t="inlineStr">
        <is>
          <t>Commercial / strategic calls for the unit</t>
        </is>
      </c>
      <c r="M21" s="12" t="inlineStr">
        <is>
          <r>
            <rPr>
              <rFont val="Calibri"/>
              <b val="1"/>
              <sz val="10"/>
            </rPr>
            <t>Common themes in manager-set KRAs:</t>
          </r>
          <r>
            <rPr>
              <rFont val="Calibri"/>
              <sz val="10"/>
            </rPr>
            <t xml:space="preserve"> technical · defect · quality · agreed · deliver · reviews</t>
          </r>
        </is>
      </c>
      <c r="N21" s="12" t="inlineStr">
        <is>
          <r>
            <rPr>
              <rFont val="Calibri"/>
              <b val="1"/>
              <sz val="10"/>
            </rPr>
            <t>Skills:</t>
          </r>
          <r>
            <rPr>
              <rFont val="Calibri"/>
              <sz val="10"/>
            </rPr>
            <t xml:space="preserve"> Java · NET MVC</t>
          </r>
        </is>
      </c>
      <c r="O21"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21" s="12" t="inlineStr">
        <is>
          <t>8–12 yrs
Postgraduate or professional qualification preferred</t>
        </is>
      </c>
      <c r="Q21" s="12" t="inlineStr">
        <is>
          <t>Core 4 · Future-ready 3 · Functional 4 · Leadership 3
★ Programming &amp; Tech-Stack Depth · System Design &amp; Architecture</t>
        </is>
      </c>
      <c r="R21" s="12" t="inlineStr">
        <is>
          <t>Build and operate software capabilities. Includes: Application code, data/ML engineering and product reliability. Excludes: Product investment decisions; internal IT service desk.</t>
        </is>
      </c>
      <c r="S21" s="12" t="inlineStr">
        <is>
          <r>
            <rPr>
              <rFont val="Calibri"/>
              <b val="1"/>
              <sz val="10"/>
            </rPr>
            <t>Comparable stage:</t>
          </r>
          <r>
            <rPr>
              <rFont val="Calibri"/>
              <sz val="10"/>
            </rPr>
            <t xml:space="preserve"> ENG01-4 · Staff Software Engineer
Resolve architecture trade-offs across services and establish adopted standards.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service design and implementation with tests, failure handling and measured production behaviour</t>
          </r>
        </is>
      </c>
      <c r="T21" s="12" t="inlineStr">
        <is>
          <r>
            <rPr>
              <rFont val="Calibri"/>
              <sz val="10"/>
            </rPr>
            <t xml:space="preserve">Radford / Mercer P5 / M4 · SFIA 5 Ensure, advise
</t>
          </r>
          <r>
            <rPr>
              <rFont val="Calibri"/>
              <b val="1"/>
              <sz val="10"/>
            </rPr>
            <t>Workiva:</t>
          </r>
          <r>
            <rPr>
              <rFont val="Calibri"/>
              <sz val="10"/>
            </rPr>
            <t xml:space="preserve"> Staff SE · Broadridge India: Senior Lead SE · Nasdaq / AxiomSL: Lead SE · Salesforce: LMTS</t>
          </r>
        </is>
      </c>
      <c r="U21" s="12" t="inlineStr">
        <is>
          <t>C1 · Principal · or B+ · Player-Coach transition step if leading people hands-on</t>
        </is>
      </c>
      <c r="V21" s="12" t="inlineStr">
        <is>
          <t>Framework only · fewer than 3 answered</t>
        </is>
      </c>
    </row>
    <row r="22" ht="93" customHeight="1">
      <c r="A22" s="82" t="inlineStr">
        <is>
          <t>RC-074</t>
        </is>
      </c>
      <c r="B22" s="12" t="inlineStr">
        <is>
          <t>Engineering &amp; Development</t>
        </is>
      </c>
      <c r="C22" s="12" t="inlineStr">
        <is>
          <t>Data Engineering &amp; Database Development</t>
        </is>
      </c>
      <c r="D22" s="16" t="inlineStr">
        <is>
          <t>A3</t>
        </is>
      </c>
      <c r="E22" s="17" t="inlineStr">
        <is>
          <t>Senior Associate</t>
        </is>
      </c>
      <c r="F22" s="12" t="inlineStr">
        <is>
          <t>IC</t>
        </is>
      </c>
      <c r="G22" s="12" t="inlineStr">
        <is>
          <t>Senior Database Engineer · Database Specialist</t>
        </is>
      </c>
      <c r="H22" s="12" t="inlineStr">
        <is>
          <t>H Marenna, Prasad Bhoite, Tushar Kadu Nimbolkar</t>
        </is>
      </c>
      <c r="I22" s="12" t="inlineStr">
        <is>
          <t>Technology</t>
        </is>
      </c>
      <c r="J22" s="12" t="inlineStr">
        <is>
          <r>
            <rPr>
              <rFont val="Calibri"/>
              <sz val="10"/>
            </rPr>
            <t xml:space="preserve">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t>
          </r>
        </is>
      </c>
      <c r="K22" s="12" t="inlineStr">
        <is>
          <r>
            <rPr>
              <rFont val="Calibri"/>
              <sz val="10"/>
            </rPr>
            <t xml:space="preserve">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t>
          </r>
        </is>
      </c>
      <c r="L22" s="12" t="inlineStr">
        <is>
          <r>
            <rPr>
              <rFont val="Calibri"/>
              <sz val="10"/>
            </rPr>
            <t xml:space="preserve">Technical / QC / client calls on own work
</t>
          </r>
          <r>
            <rPr>
              <rFont val="Calibri"/>
              <b val="1"/>
              <sz val="10"/>
            </rPr>
            <t>Common themes in role-holders' answers:</t>
          </r>
          <r>
            <rPr>
              <rFont val="Calibri"/>
              <sz val="10"/>
            </rPr>
            <t xml:space="preserve"> issues · troubleshoot · independently · client · implement · technical</t>
          </r>
        </is>
      </c>
      <c r="M22" s="12" t="inlineStr">
        <is>
          <r>
            <rPr>
              <rFont val="Calibri"/>
              <b val="1"/>
              <sz val="10"/>
            </rPr>
            <t>Common themes in manager-set KRAs:</t>
          </r>
          <r>
            <rPr>
              <rFont val="Calibri"/>
              <sz val="10"/>
            </rPr>
            <t xml:space="preserve"> quality · deliver · project · timely · development · code</t>
          </r>
        </is>
      </c>
      <c r="N22" s="12" t="inlineStr">
        <is>
          <r>
            <rPr>
              <rFont val="Calibri"/>
              <b val="1"/>
              <sz val="10"/>
            </rPr>
            <t>Skills:</t>
          </r>
          <r>
            <rPr>
              <rFont val="Calibri"/>
              <sz val="10"/>
            </rPr>
            <t xml:space="preserve"> Sql · prompt engineering · debugging · ETL · Talend</t>
          </r>
        </is>
      </c>
      <c r="O2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22" s="12" t="inlineStr">
        <is>
          <t>2–4 yrs
Graduate; relevant certification preferred</t>
        </is>
      </c>
      <c r="Q22" s="12" t="inlineStr">
        <is>
          <t>Core 2 · Future-ready 2 · Functional 3 · Leadership —
★ Programming &amp; Tech-Stack Depth · System Design &amp; Architecture</t>
        </is>
      </c>
      <c r="R22" s="12" t="inlineStr">
        <is>
          <t>Build and operate software capabilities. Includes: Application code, data/ML engineering and product reliability. Excludes: Product investment decisions; internal IT service desk.</t>
        </is>
      </c>
      <c r="S22" s="12" t="inlineStr">
        <is>
          <r>
            <rPr>
              <rFont val="Calibri"/>
              <b val="1"/>
              <sz val="10"/>
            </rPr>
            <t>Comparable stage:</t>
          </r>
          <r>
            <rPr>
              <rFont val="Calibri"/>
              <sz val="10"/>
            </rPr>
            <t xml:space="preserve"> ENG05-2 · Data Engineer
Build validated data pipelines with documented schemas.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An idempotent pipeline with lineage, reconciliation and recovery tests</t>
          </r>
        </is>
      </c>
      <c r="T22"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22" s="12" t="inlineStr">
        <is>
          <t>B1 · Specialist</t>
        </is>
      </c>
      <c r="V22" s="12" t="inlineStr">
        <is>
          <t>Framework + role-holders' themes · 3+ answered</t>
        </is>
      </c>
    </row>
    <row r="23" ht="106" customHeight="1">
      <c r="A23" s="82" t="inlineStr">
        <is>
          <t>RC-075</t>
        </is>
      </c>
      <c r="B23" s="12" t="inlineStr">
        <is>
          <t>Engineering &amp; Development</t>
        </is>
      </c>
      <c r="C23" s="12" t="inlineStr">
        <is>
          <t>Data Engineering &amp; Database Development</t>
        </is>
      </c>
      <c r="D23" s="20" t="inlineStr">
        <is>
          <t>B1</t>
        </is>
      </c>
      <c r="E23" s="21" t="inlineStr">
        <is>
          <t>Specialist</t>
        </is>
      </c>
      <c r="F23" s="12" t="inlineStr">
        <is>
          <t>IC</t>
        </is>
      </c>
      <c r="G23" s="12" t="inlineStr">
        <is>
          <t>Database Specialist – POD Lead</t>
        </is>
      </c>
      <c r="H23" s="12" t="inlineStr">
        <is>
          <t>Jignasha Sawla</t>
        </is>
      </c>
      <c r="I23" s="12" t="inlineStr">
        <is>
          <t>Technology</t>
        </is>
      </c>
      <c r="J23" s="12" t="inlineStr">
        <is>
          <r>
            <rPr>
              <rFont val="Calibri"/>
              <sz val="10"/>
            </rPr>
            <t xml:space="preserve">Builds ETL pipelines, data models, stored procedures and data layers. At B1: a domain / module, or a small team.
</t>
          </r>
          <r>
            <rPr>
              <rFont val="Calibri"/>
              <b val="1"/>
              <sz val="10"/>
            </rPr>
            <t>Common themes in sub-family holders, all levels' answers:</t>
          </r>
          <r>
            <rPr>
              <rFont val="Calibri"/>
              <sz val="10"/>
            </rPr>
            <t xml:space="preserve"> business · support · data · solutions · build · reliable</t>
          </r>
        </is>
      </c>
      <c r="K23" s="12" t="inlineStr">
        <is>
          <r>
            <rPr>
              <rFont val="Calibri"/>
              <sz val="10"/>
            </rPr>
            <t xml:space="preserve">Builds ETL pipelines, data models, stored procedures and data layers; Domain specialist work; A domain or a small team
</t>
          </r>
          <r>
            <rPr>
              <rFont val="Calibri"/>
              <b val="1"/>
              <sz val="10"/>
            </rPr>
            <t>Common themes in sub-family holders, all levels' answers:</t>
          </r>
          <r>
            <rPr>
              <rFont val="Calibri"/>
              <sz val="10"/>
            </rPr>
            <t xml:space="preserve"> issue · support · development · data · resolution · deployment</t>
          </r>
        </is>
      </c>
      <c r="L23" s="12" t="inlineStr">
        <is>
          <r>
            <rPr>
              <rFont val="Calibri"/>
              <sz val="10"/>
            </rPr>
            <t xml:space="preserve">Technical / QC / client calls for the domain
</t>
          </r>
          <r>
            <rPr>
              <rFont val="Calibri"/>
              <b val="1"/>
              <sz val="10"/>
            </rPr>
            <t>Common themes in sub-family holders, all levels' answers:</t>
          </r>
          <r>
            <rPr>
              <rFont val="Calibri"/>
              <sz val="10"/>
            </rPr>
            <t xml:space="preserve"> issues · troubleshoot · independently · client · implement · technical</t>
          </r>
        </is>
      </c>
      <c r="M23" s="12" t="inlineStr">
        <is>
          <t>—</t>
        </is>
      </c>
      <c r="N23" s="12" t="inlineStr">
        <is>
          <r>
            <rPr>
              <rFont val="Calibri"/>
              <b val="1"/>
              <sz val="10"/>
            </rPr>
            <t>Skills:</t>
          </r>
          <r>
            <rPr>
              <rFont val="Calibri"/>
              <sz val="10"/>
            </rPr>
            <t xml:space="preserve"> Sql · prompt engineering · debugging · Database · ETL · Talend</t>
          </r>
        </is>
      </c>
      <c r="O23"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23" s="12" t="inlineStr">
        <is>
          <t>4–7 yrs
Graduate + relevant qualification or certification preferred</t>
        </is>
      </c>
      <c r="Q23" s="12" t="inlineStr">
        <is>
          <t>Core 3 · Future-ready 3 · Functional 3 · Leadership 1
★ Programming &amp; Tech-Stack Depth · System Design &amp; Architecture</t>
        </is>
      </c>
      <c r="R23" s="12" t="inlineStr">
        <is>
          <t>Build and operate software capabilities. Includes: Application code, data/ML engineering and product reliability. Excludes: Product investment decisions; internal IT service desk.</t>
        </is>
      </c>
      <c r="S23" s="12" t="inlineStr">
        <is>
          <r>
            <rPr>
              <rFont val="Calibri"/>
              <b val="1"/>
              <sz val="10"/>
            </rPr>
            <t>Comparable stage:</t>
          </r>
          <r>
            <rPr>
              <rFont val="Calibri"/>
              <sz val="10"/>
            </rPr>
            <t xml:space="preserve"> ENG05-3 · Senior Data Engineer
Own lineage, recovery, schema evolution and data contracts.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An idempotent pipeline with lineage, reconciliation and recovery tests</t>
          </r>
        </is>
      </c>
      <c r="T23"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Salesforce: MTS</t>
          </r>
        </is>
      </c>
      <c r="U23" s="12" t="inlineStr">
        <is>
          <t>B2 · Senior Specialist</t>
        </is>
      </c>
      <c r="V23" s="12" t="inlineStr">
        <is>
          <t>Framework + sub-family themes · 3+ answered</t>
        </is>
      </c>
    </row>
    <row r="24" ht="132" customHeight="1">
      <c r="A24" s="82" t="inlineStr">
        <is>
          <t>RC-083</t>
        </is>
      </c>
      <c r="B24" s="12" t="inlineStr">
        <is>
          <t>Engineering &amp; Development</t>
        </is>
      </c>
      <c r="C24" s="12" t="inlineStr">
        <is>
          <t>Full-Stack Development</t>
        </is>
      </c>
      <c r="D24" s="16" t="inlineStr">
        <is>
          <t>A1</t>
        </is>
      </c>
      <c r="E24" s="17" t="inlineStr">
        <is>
          <t>Intern / Trainee</t>
        </is>
      </c>
      <c r="F24" s="12" t="inlineStr">
        <is>
          <t>IC</t>
        </is>
      </c>
      <c r="G24" s="12" t="inlineStr">
        <is>
          <t>Trainee Software Engineer</t>
        </is>
      </c>
      <c r="H24" s="12" t="inlineStr">
        <is>
          <t>Atharv Sameer Shevade</t>
        </is>
      </c>
      <c r="I24" s="12" t="inlineStr">
        <is>
          <t>Technology</t>
        </is>
      </c>
      <c r="J24" s="12" t="inlineStr">
        <is>
          <r>
            <rPr>
              <rFont val="Calibri"/>
              <sz val="10"/>
            </rPr>
            <t xml:space="preserve">Builds features end to end — back-end services/APIs plus UI screens. At A1: learning the role; all work reviewed.
</t>
          </r>
          <r>
            <rPr>
              <rFont val="Calibri"/>
              <b val="1"/>
              <sz val="10"/>
            </rPr>
            <t>Common themes in role-holders' answers:</t>
          </r>
          <r>
            <rPr>
              <rFont val="Calibri"/>
              <sz val="10"/>
            </rPr>
            <t xml:space="preserve"> improving · software</t>
          </r>
        </is>
      </c>
      <c r="K24" s="12" t="inlineStr">
        <is>
          <r>
            <rPr>
              <rFont val="Calibri"/>
              <sz val="10"/>
            </rPr>
            <t xml:space="preserve">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t>
          </r>
        </is>
      </c>
      <c r="L24" s="12" t="inlineStr">
        <is>
          <r>
            <rPr>
              <rFont val="Calibri"/>
              <sz val="10"/>
            </rPr>
            <t xml:space="preserve">Needs approval / close guidance
</t>
          </r>
          <r>
            <rPr>
              <rFont val="Calibri"/>
              <b val="1"/>
              <sz val="10"/>
            </rPr>
            <t>Common themes in role-holders' answers:</t>
          </r>
          <r>
            <rPr>
              <rFont val="Calibri"/>
              <sz val="10"/>
            </rPr>
            <t xml:space="preserve"> approaches · implementation</t>
          </r>
        </is>
      </c>
      <c r="M24" s="12" t="inlineStr">
        <is>
          <r>
            <rPr>
              <rFont val="Calibri"/>
              <b val="1"/>
              <sz val="10"/>
            </rPr>
            <t>Common themes in manager-set KRAs:</t>
          </r>
          <r>
            <rPr>
              <rFont val="Calibri"/>
              <sz val="10"/>
            </rPr>
            <t xml:space="preserve"> complete · assigned · improve · code · technical · quality</t>
          </r>
        </is>
      </c>
      <c r="N24" s="12" t="inlineStr">
        <is>
          <r>
            <rPr>
              <rFont val="Calibri"/>
              <b val="1"/>
              <sz val="10"/>
            </rPr>
            <t>Skills:</t>
          </r>
          <r>
            <rPr>
              <rFont val="Calibri"/>
              <sz val="10"/>
            </rPr>
            <t xml:space="preserve"> React · Java · Angular · NET MVC
</t>
          </r>
          <r>
            <rPr>
              <rFont val="Calibri"/>
              <b val="1"/>
              <sz val="10"/>
            </rPr>
            <t>Tools:</t>
          </r>
          <r>
            <rPr>
              <rFont val="Calibri"/>
              <sz val="10"/>
            </rPr>
            <t xml:space="preserve"> Vs code · Postman</t>
          </r>
        </is>
      </c>
      <c r="O24"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24" s="12" t="inlineStr">
        <is>
          <t>0 yrs · fresher / intern
Pursuing or completed graduation / diploma</t>
        </is>
      </c>
      <c r="Q24" s="12" t="inlineStr">
        <is>
          <t>Core 1 · Future-ready 1 · Functional 1 · Leadership —
★ Programming &amp; Tech-Stack Depth · System Design &amp; Architecture</t>
        </is>
      </c>
      <c r="R24" s="12" t="inlineStr">
        <is>
          <t>Build and operate software capabilities. Includes: Application code, data/ML engineering and product reliability. Excludes: Product investment decisions; internal IT service desk.</t>
        </is>
      </c>
      <c r="S24" s="12" t="inlineStr">
        <is>
          <r>
            <rPr>
              <rFont val="Calibri"/>
              <b val="1"/>
              <sz val="10"/>
            </rPr>
            <t>Comparable stage:</t>
          </r>
          <r>
            <rPr>
              <rFont val="Calibri"/>
              <sz val="10"/>
            </rPr>
            <t xml:space="preserve"> ENG02-0 · Software Engineering Intern
</t>
          </r>
          <r>
            <rPr>
              <rFont val="Calibri"/>
              <b val="1"/>
              <sz val="10"/>
            </rPr>
            <t>Assist with a supervised work sample:</t>
          </r>
          <r>
            <rPr>
              <rFont val="Calibri"/>
              <sz val="10"/>
            </rPr>
            <t xml:space="preserve"> deliver a tested end-to-end feature across ui, api and storage.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working end-to-end journey with usability checks, test coverage and deployment evidence</t>
          </r>
        </is>
      </c>
      <c r="T24" s="12" t="inlineStr">
        <is>
          <t>Radford / Mercer Entry / P1 · intern · SFIA 1 Follow
—</t>
        </is>
      </c>
      <c r="U24" s="12" t="inlineStr">
        <is>
          <t>A2 · Associate</t>
        </is>
      </c>
      <c r="V24" s="12" t="inlineStr">
        <is>
          <t>Framework + role-holders' themes · 3+ answered</t>
        </is>
      </c>
    </row>
    <row r="25" ht="119" customHeight="1">
      <c r="A25" s="82" t="inlineStr">
        <is>
          <t>RC-085</t>
        </is>
      </c>
      <c r="B25" s="12" t="inlineStr">
        <is>
          <t>Engineering &amp; Development</t>
        </is>
      </c>
      <c r="C25" s="12" t="inlineStr">
        <is>
          <t>Full-Stack Development</t>
        </is>
      </c>
      <c r="D25" s="16" t="inlineStr">
        <is>
          <t>A3</t>
        </is>
      </c>
      <c r="E25" s="17" t="inlineStr">
        <is>
          <t>Senior Associate</t>
        </is>
      </c>
      <c r="F25" s="12" t="inlineStr">
        <is>
          <t>IC</t>
        </is>
      </c>
      <c r="G25" s="12" t="inlineStr">
        <is>
          <t>Senior Software Engineer · Technical Specialist</t>
        </is>
      </c>
      <c r="H25" s="12" t="inlineStr">
        <is>
          <t>Jay Gudhka</t>
        </is>
      </c>
      <c r="I25" s="12" t="inlineStr">
        <is>
          <t>Technology</t>
        </is>
      </c>
      <c r="J25" s="12" t="inlineStr">
        <is>
          <r>
            <rPr>
              <rFont val="Calibri"/>
              <sz val="10"/>
            </rPr>
            <t xml:space="preserve">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t>
          </r>
        </is>
      </c>
      <c r="K25" s="12" t="inlineStr">
        <is>
          <r>
            <rPr>
              <rFont val="Calibri"/>
              <sz val="10"/>
            </rPr>
            <t xml:space="preserve">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t>
          </r>
        </is>
      </c>
      <c r="L25" s="12" t="inlineStr">
        <is>
          <r>
            <rPr>
              <rFont val="Calibri"/>
              <sz val="10"/>
            </rPr>
            <t xml:space="preserve">Technical / QC / client calls on own work
</t>
          </r>
          <r>
            <rPr>
              <rFont val="Calibri"/>
              <b val="1"/>
              <sz val="10"/>
            </rPr>
            <t>Common themes in role-holders' answers:</t>
          </r>
          <r>
            <rPr>
              <rFont val="Calibri"/>
              <sz val="10"/>
            </rPr>
            <t xml:space="preserve"> code · implementation · design · feature · optimization · structure</t>
          </r>
        </is>
      </c>
      <c r="M25" s="12" t="inlineStr">
        <is>
          <r>
            <rPr>
              <rFont val="Calibri"/>
              <b val="1"/>
              <sz val="10"/>
            </rPr>
            <t>Common themes in manager-set KRAs:</t>
          </r>
          <r>
            <rPr>
              <rFont val="Calibri"/>
              <sz val="10"/>
            </rPr>
            <t xml:space="preserve"> complete · improve · code quality · assigned · year · deliver</t>
          </r>
        </is>
      </c>
      <c r="N25" s="12" t="inlineStr">
        <is>
          <r>
            <rPr>
              <rFont val="Calibri"/>
              <b val="1"/>
              <sz val="10"/>
            </rPr>
            <t>Skills: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t>
          </r>
        </is>
      </c>
      <c r="O25"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25" s="12" t="inlineStr">
        <is>
          <t>2–4 yrs
Graduate; relevant certification preferred</t>
        </is>
      </c>
      <c r="Q25" s="12" t="inlineStr">
        <is>
          <t>Core 2 · Future-ready 2 · Functional 3 · Leadership —
★ Programming &amp; Tech-Stack Depth · System Design &amp; Architecture</t>
        </is>
      </c>
      <c r="R25" s="12" t="inlineStr">
        <is>
          <t>Build and operate software capabilities. Includes: Application code, data/ML engineering and product reliability. Excludes: Product investment decisions; internal IT service desk.</t>
        </is>
      </c>
      <c r="S25" s="12" t="inlineStr">
        <is>
          <r>
            <rPr>
              <rFont val="Calibri"/>
              <b val="1"/>
              <sz val="10"/>
            </rPr>
            <t>Comparable stage:</t>
          </r>
          <r>
            <rPr>
              <rFont val="Calibri"/>
              <sz val="10"/>
            </rPr>
            <t xml:space="preserve"> ENG02-2 · Full Stack Engineer
Deliver a tested end-to-end feature across UI, API and storage.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working end-to-end journey with usability checks, test coverage and deployment evidence</t>
          </r>
        </is>
      </c>
      <c r="T25"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25" s="12" t="inlineStr">
        <is>
          <t>B1 · Specialist</t>
        </is>
      </c>
      <c r="V25" s="12" t="inlineStr">
        <is>
          <t>Framework + role-holders' themes · 3+ answered</t>
        </is>
      </c>
    </row>
    <row r="26">
      <c r="A26" s="81" t="inlineStr">
        <is>
          <t>Executive Leadership</t>
        </is>
      </c>
    </row>
    <row r="27" ht="106" customHeight="1">
      <c r="A27" s="82" t="inlineStr">
        <is>
          <t>RC-090</t>
        </is>
      </c>
      <c r="B27" s="12" t="inlineStr">
        <is>
          <t>Executive Leadership</t>
        </is>
      </c>
      <c r="C27" s="12" t="inlineStr">
        <is>
          <t>Business &amp; Functional Leadership</t>
        </is>
      </c>
      <c r="D27" s="28" t="inlineStr">
        <is>
          <t>D1</t>
        </is>
      </c>
      <c r="E27" s="29" t="inlineStr">
        <is>
          <t>Associate Vice President / Business Head</t>
        </is>
      </c>
      <c r="F27" s="12" t="inlineStr">
        <is>
          <t>Manager</t>
        </is>
      </c>
      <c r="G27" s="12" t="inlineStr">
        <is>
          <t>Senior Vice President – Customer Experience · Business Head – iDEAL</t>
        </is>
      </c>
      <c r="H27" s="12" t="inlineStr">
        <is>
          <t>Hemant Karale</t>
        </is>
      </c>
      <c r="I27" s="12" t="inlineStr">
        <is>
          <t>iDEAL Business Head</t>
        </is>
      </c>
      <c r="J27" s="12" t="inlineStr">
        <is>
          <t>Owns a business line or enterprise function end to end. At D1: a business line P&amp;L, region or enterprise function.</t>
        </is>
      </c>
      <c r="K27" s="12" t="inlineStr">
        <is>
          <t>Owns a business line or enterprise function end to end; Competing strategic, financial and regulatory priorities; Business-line P&amp;L and market position</t>
        </is>
      </c>
      <c r="L27" s="12" t="inlineStr">
        <is>
          <t>Sets business-line direction, pricing and investment</t>
        </is>
      </c>
      <c r="M27" s="12" t="inlineStr">
        <is>
          <t>—</t>
        </is>
      </c>
      <c r="N27" s="12" t="inlineStr">
        <is>
          <r>
            <rPr>
              <rFont val="Calibri"/>
              <b val="1"/>
              <sz val="10"/>
            </rPr>
            <t>Skills:</t>
          </r>
          <r>
            <rPr>
              <rFont val="Calibri"/>
              <sz val="10"/>
            </rPr>
            <t xml:space="preserve"> Product Management</t>
          </r>
        </is>
      </c>
      <c r="O27" s="12" t="inlineStr">
        <is>
          <r>
            <rPr>
              <rFont val="Calibri"/>
              <b val="1"/>
              <sz val="10"/>
            </rPr>
            <t>Owns:</t>
          </r>
          <r>
            <rPr>
              <rFont val="Calibri"/>
              <sz val="10"/>
            </rPr>
            <t xml:space="preserve"> A business line P&amp;L, region or enterprise function
</t>
          </r>
          <r>
            <rPr>
              <rFont val="Calibri"/>
              <b val="1"/>
              <sz val="10"/>
            </rPr>
            <t>Complexity:</t>
          </r>
          <r>
            <rPr>
              <rFont val="Calibri"/>
              <sz val="10"/>
            </rPr>
            <t xml:space="preserve"> Competing strategic, financial and regulatory priorities
</t>
          </r>
          <r>
            <rPr>
              <rFont val="Calibri"/>
              <b val="1"/>
              <sz val="10"/>
            </rPr>
            <t>Decisions:</t>
          </r>
          <r>
            <rPr>
              <rFont val="Calibri"/>
              <sz val="10"/>
            </rPr>
            <t xml:space="preserve"> Sets business-line direction, pricing and investment
</t>
          </r>
          <r>
            <rPr>
              <rFont val="Calibri"/>
              <b val="1"/>
              <sz val="10"/>
            </rPr>
            <t>Answers for:</t>
          </r>
          <r>
            <rPr>
              <rFont val="Calibri"/>
              <sz val="10"/>
            </rPr>
            <t xml:space="preserve"> Business-line P&amp;L and market position
</t>
          </r>
          <r>
            <rPr>
              <rFont val="Calibri"/>
              <b val="1"/>
              <sz val="10"/>
            </rPr>
            <t>Leadership:</t>
          </r>
          <r>
            <rPr>
              <rFont val="Calibri"/>
              <sz val="10"/>
            </rPr>
            <t xml:space="preserve"> Defines business strategy; builds the leadership bench</t>
          </r>
        </is>
      </c>
      <c r="P27" s="12" t="inlineStr">
        <is>
          <t>15–20 yrs
Postgraduate / professional qualification preferred</t>
        </is>
      </c>
      <c r="Q27" s="12" t="inlineStr">
        <is>
          <t>Core 5 · Future-ready 4 · Functional 4 · Leadership 5
★ Strategic Thinking &amp; Business Acumen · People Leadership &amp; Mentoring</t>
        </is>
      </c>
      <c r="R27" s="12" t="inlineStr">
        <is>
          <t>Integrate enterprise or business outcomes. Includes: Business-unit, enterprise and exceptional expert mandates. Excludes: A generic promotion destination without a new accountable role.</t>
        </is>
      </c>
      <c r="S27" s="12" t="inlineStr">
        <is>
          <r>
            <rPr>
              <rFont val="Calibri"/>
              <b val="1"/>
              <sz val="10"/>
            </rPr>
            <t>Comparable stage:</t>
          </r>
          <r>
            <rPr>
              <rFont val="Calibri"/>
              <sz val="10"/>
            </rPr>
            <t xml:space="preserve"> EX01 · Business Unit Head / General Manager
Own integrated commercial, operational, financial and risk outcomes for a defined business
</t>
          </r>
          <r>
            <rPr>
              <rFont val="Calibri"/>
              <b val="1"/>
              <sz val="10"/>
            </rPr>
            <t>Ready when:</t>
          </r>
          <r>
            <rPr>
              <rFont val="Calibri"/>
              <sz val="10"/>
            </rPr>
            <t xml:space="preserve"> A transition from functional leadership; size and delegated P&amp;L/resource mandate determine level.</t>
          </r>
        </is>
      </c>
      <c r="T27" s="12" t="inlineStr">
        <is>
          <t>Radford / Mercer E1–E2 · SFIA 6–7
IRIS Vs Market Benchmark — Aon Radford / Mercer executive codes: E1–E2 VP / Business Head · IRIS Vs Competitor Benchmark — regtech / SaaS executive titles: General Manager / VP</t>
        </is>
      </c>
      <c r="U27" s="12" t="inlineStr">
        <is>
          <t>D2 · —</t>
        </is>
      </c>
      <c r="V27" s="12" t="inlineStr">
        <is>
          <t>Framework only · fewer than 3 answered</t>
        </is>
      </c>
    </row>
    <row r="28">
      <c r="A28" s="81" t="inlineStr">
        <is>
          <t>Marketing &amp; Communications</t>
        </is>
      </c>
    </row>
    <row r="29" ht="119" customHeight="1">
      <c r="A29" s="82" t="inlineStr">
        <is>
          <t>RC-111</t>
        </is>
      </c>
      <c r="B29" s="12" t="inlineStr">
        <is>
          <t>Marketing &amp; Communications</t>
        </is>
      </c>
      <c r="C29" s="12" t="inlineStr">
        <is>
          <t>Content Marketing</t>
        </is>
      </c>
      <c r="D29" s="16" t="inlineStr">
        <is>
          <t>A2</t>
        </is>
      </c>
      <c r="E29" s="17" t="inlineStr">
        <is>
          <t>Associate</t>
        </is>
      </c>
      <c r="F29" s="12" t="inlineStr">
        <is>
          <t>IC</t>
        </is>
      </c>
      <c r="G29" s="12" t="inlineStr">
        <is>
          <t>Content Marketing Associate</t>
        </is>
      </c>
      <c r="H29" s="12" t="inlineStr">
        <is>
          <t>Muskan Jain</t>
        </is>
      </c>
      <c r="I29" s="12" t="inlineStr">
        <is>
          <t>Marketing</t>
        </is>
      </c>
      <c r="J29" s="12" t="inlineStr">
        <is>
          <r>
            <rPr>
              <rFont val="Calibri"/>
              <sz val="10"/>
            </rPr>
            <t xml:space="preserve">Writes blogs, web copy, collateral and social content. At A2: standard work delivered independently.
</t>
          </r>
          <r>
            <rPr>
              <rFont val="Calibri"/>
              <b val="1"/>
              <sz val="10"/>
            </rPr>
            <t>Common themes in role-holders' answers:</t>
          </r>
          <r>
            <rPr>
              <rFont val="Calibri"/>
              <sz val="10"/>
            </rPr>
            <t xml:space="preserve"> content · marketing · leads · generate · management · creation</t>
          </r>
        </is>
      </c>
      <c r="K29" s="12" t="inlineStr">
        <is>
          <r>
            <rPr>
              <rFont val="Calibri"/>
              <sz val="10"/>
            </rPr>
            <t xml:space="preserve">Writes blogs, web copy, collateral and social content; Standard work of the discipline; Own deliverables · accuracy, TAT
</t>
          </r>
          <r>
            <rPr>
              <rFont val="Calibri"/>
              <b val="1"/>
              <sz val="10"/>
            </rPr>
            <t>Common themes in role-holders' answers:</t>
          </r>
          <r>
            <rPr>
              <rFont val="Calibri"/>
              <sz val="10"/>
            </rPr>
            <t xml:space="preserve"> content · blogs · week · campaign</t>
          </r>
        </is>
      </c>
      <c r="L29" s="12" t="inlineStr">
        <is>
          <t>Chooses own approach within standards</t>
        </is>
      </c>
      <c r="M29" s="12" t="inlineStr">
        <is>
          <t>—</t>
        </is>
      </c>
      <c r="N29" s="12" t="inlineStr">
        <is>
          <r>
            <rPr>
              <rFont val="Calibri"/>
              <b val="1"/>
              <sz val="10"/>
            </rPr>
            <t>Skills:</t>
          </r>
          <r>
            <rPr>
              <rFont val="Calibri"/>
              <sz val="10"/>
            </rPr>
            <t xml:space="preserve"> Marketing · Research skills
</t>
          </r>
          <r>
            <rPr>
              <rFont val="Calibri"/>
              <b val="1"/>
              <sz val="10"/>
            </rPr>
            <t>Tools:</t>
          </r>
          <r>
            <rPr>
              <rFont val="Calibri"/>
              <sz val="10"/>
            </rPr>
            <t xml:space="preserve"> Canva · Hubspot · Semrush · Buffer</t>
          </r>
        </is>
      </c>
      <c r="O29"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29" s="12" t="inlineStr">
        <is>
          <t>0–2 yrs
Graduate · or diploma with experience</t>
        </is>
      </c>
      <c r="Q29" s="12" t="inlineStr">
        <is>
          <t>Core 2 · Future-ready 2 · Functional 2 · Leadership —
★ Marketing Tech &amp; Digital Marketing · Communication &amp; Presentation</t>
        </is>
      </c>
      <c r="R29" s="12" t="inlineStr">
        <is>
          <t>Create market understanding, demand and reputation. Includes: Content, demand, digital, product marketing, operations and communications. Excludes: Account closing; product UX design.</t>
        </is>
      </c>
      <c r="S29" s="12" t="inlineStr">
        <is>
          <r>
            <rPr>
              <rFont val="Calibri"/>
              <b val="1"/>
              <sz val="10"/>
            </rPr>
            <t>Comparable stage:</t>
          </r>
          <r>
            <rPr>
              <rFont val="Calibri"/>
              <sz val="10"/>
            </rPr>
            <t xml:space="preserve"> MKT01-1 · Content Associate
</t>
          </r>
          <r>
            <rPr>
              <rFont val="Calibri"/>
              <b val="1"/>
              <sz val="10"/>
            </rPr>
            <t>Complete defined parts under review:</t>
          </r>
          <r>
            <rPr>
              <rFont val="Calibri"/>
              <sz val="10"/>
            </rPr>
            <t xml:space="preserve"> produce accurate content for an identified audience and purpose.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content portfolio with source accuracy, audience fit and measured qualified engagement</t>
          </r>
        </is>
      </c>
      <c r="T29" s="12" t="inlineStr">
        <is>
          <t>Radford / Mercer P1–P2 · SFIA 2 Assist
IRIS Vs Market Benchmark — CIM proficiency scale: 2 Active learner · IRIS Vs Competitor Benchmark — SaaS marketing ladder: Marketing Associate</t>
        </is>
      </c>
      <c r="U29" s="12" t="inlineStr">
        <is>
          <t>A3 · Senior Associate</t>
        </is>
      </c>
      <c r="V29" s="12" t="inlineStr">
        <is>
          <t>Framework + role-holders' themes · 3+ answered</t>
        </is>
      </c>
    </row>
    <row r="30">
      <c r="A30" s="81" t="inlineStr">
        <is>
          <t>Product Management</t>
        </is>
      </c>
    </row>
    <row r="31" ht="93" customHeight="1">
      <c r="A31" s="82" t="inlineStr">
        <is>
          <t>RC-127</t>
        </is>
      </c>
      <c r="B31" s="12" t="inlineStr">
        <is>
          <t>Product Management</t>
        </is>
      </c>
      <c r="C31" s="12" t="inlineStr">
        <is>
          <t>Product Management</t>
        </is>
      </c>
      <c r="D31" s="20" t="inlineStr">
        <is>
          <t>B2</t>
        </is>
      </c>
      <c r="E31" s="21" t="inlineStr">
        <is>
          <t>Manager</t>
        </is>
      </c>
      <c r="F31" s="12" t="inlineStr">
        <is>
          <t>Manager</t>
        </is>
      </c>
      <c r="G31" s="12" t="inlineStr">
        <is>
          <t>Product Manager</t>
        </is>
      </c>
      <c r="H31" s="12" t="inlineStr">
        <is>
          <t>Dnyaneshwar Daund, Yuvraj Kharchane</t>
        </is>
      </c>
      <c r="I31" s="12" t="inlineStr">
        <is>
          <t>Product Management</t>
        </is>
      </c>
      <c r="J31" s="12" t="inlineStr">
        <is>
          <r>
            <rPr>
              <rFont val="Calibri"/>
              <sz val="10"/>
            </rPr>
            <t xml:space="preserve">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t>
          </r>
        </is>
      </c>
      <c r="K31" s="12" t="inlineStr">
        <is>
          <r>
            <rPr>
              <rFont val="Calibri"/>
              <sz val="10"/>
            </rPr>
            <t xml:space="preserve">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t>
          </r>
        </is>
      </c>
      <c r="L31" s="12" t="inlineStr">
        <is>
          <r>
            <rPr>
              <rFont val="Calibri"/>
              <sz val="10"/>
            </rPr>
            <t xml:space="preserve">Allocates people and sets team priorities
</t>
          </r>
          <r>
            <rPr>
              <rFont val="Calibri"/>
              <b val="1"/>
              <sz val="10"/>
            </rPr>
            <t>Common themes in role-holders' answers:</t>
          </r>
          <r>
            <rPr>
              <rFont val="Calibri"/>
              <sz val="10"/>
            </rPr>
            <t xml:space="preserve"> research</t>
          </r>
        </is>
      </c>
      <c r="M31" s="12" t="inlineStr">
        <is>
          <r>
            <rPr>
              <rFont val="Calibri"/>
              <b val="1"/>
              <sz val="10"/>
            </rPr>
            <t>Common themes in manager-set KRAs:</t>
          </r>
          <r>
            <rPr>
              <rFont val="Calibri"/>
              <sz val="10"/>
            </rPr>
            <t xml:space="preserve"> development participation · cash · market requirements · tech learning · support organizational · profitability</t>
          </r>
        </is>
      </c>
      <c r="N31" s="12" t="inlineStr">
        <is>
          <r>
            <rPr>
              <rFont val="Calibri"/>
              <b val="1"/>
              <sz val="10"/>
            </rPr>
            <t>Skills:</t>
          </r>
          <r>
            <rPr>
              <rFont val="Calibri"/>
              <sz val="10"/>
            </rPr>
            <t xml:space="preserve"> Product management</t>
          </r>
        </is>
      </c>
      <c r="O31"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31" s="12" t="inlineStr">
        <is>
          <t>6–9 yrs
Graduate or postgraduate; professional qualification preferred</t>
        </is>
      </c>
      <c r="Q31" s="12" t="inlineStr">
        <is>
          <t>Core 3 · Future-ready 3 · Functional 4 · Leadership 3
★ Product, Platform &amp; Domain Knowledge · Business Analysis &amp; Requirements Engineering</t>
        </is>
      </c>
      <c r="R31" s="12" t="inlineStr">
        <is>
          <t>Choose and organise product outcomes. Includes: Discovery, prioritisation, roadmap decisions and product operations. Excludes: Project schedule ownership alone; user research as a standalone discipline.</t>
        </is>
      </c>
      <c r="S31" s="12" t="inlineStr">
        <is>
          <r>
            <rPr>
              <rFont val="Calibri"/>
              <b val="1"/>
              <sz val="10"/>
            </rPr>
            <t>Comparable stage:</t>
          </r>
          <r>
            <rPr>
              <rFont val="Calibri"/>
              <sz val="10"/>
            </rPr>
            <t xml:space="preserve"> LD12-1 · Group Product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31" s="12" t="inlineStr">
        <is>
          <t>Radford / Mercer P4 / M3 · SFIA 4–5
IRIS Vs Competitor Benchmark — SaaS product ladder: Senior PM</t>
        </is>
      </c>
      <c r="U31" s="12" t="inlineStr">
        <is>
          <t>B3 · Lead Specialist</t>
        </is>
      </c>
      <c r="V31" s="12" t="inlineStr">
        <is>
          <t>Framework + role-holders' themes · 3+ answered</t>
        </is>
      </c>
    </row>
    <row r="32" ht="119" customHeight="1">
      <c r="A32" s="82" t="inlineStr">
        <is>
          <t>RC-130</t>
        </is>
      </c>
      <c r="B32" s="12" t="inlineStr">
        <is>
          <t>Product Management</t>
        </is>
      </c>
      <c r="C32" s="12" t="inlineStr">
        <is>
          <t>Product Operations &amp; Research</t>
        </is>
      </c>
      <c r="D32" s="16" t="inlineStr">
        <is>
          <t>A3</t>
        </is>
      </c>
      <c r="E32" s="17" t="inlineStr">
        <is>
          <t>Senior Associate</t>
        </is>
      </c>
      <c r="F32" s="12" t="inlineStr">
        <is>
          <t>IC</t>
        </is>
      </c>
      <c r="G32" s="12" t="inlineStr">
        <is>
          <t>Senior Product Analyst</t>
        </is>
      </c>
      <c r="H32" s="12" t="inlineStr">
        <is>
          <t>Srijith Menon</t>
        </is>
      </c>
      <c r="I32" s="12" t="inlineStr">
        <is>
          <t>Product Management</t>
        </is>
      </c>
      <c r="J32" s="12" t="inlineStr">
        <is>
          <t>Coordinates product activities and produces market / competitor research. At A3: varied work; reviews juniors; go-to for a process.</t>
        </is>
      </c>
      <c r="K32" s="12" t="inlineStr">
        <is>
          <t>Coordinates product activities and produces market / competitor research; Varied and non-standard work; handles exceptions; A module / process, or work with client or regulatory consequences</t>
        </is>
      </c>
      <c r="L32" s="12" t="inlineStr">
        <is>
          <t>Technical / QC / client calls on own work</t>
        </is>
      </c>
      <c r="M32" s="12" t="inlineStr">
        <is>
          <t>—</t>
        </is>
      </c>
      <c r="N32" s="12" t="inlineStr">
        <is>
          <t>—</t>
        </is>
      </c>
      <c r="O3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2" s="12" t="inlineStr">
        <is>
          <t>2–4 yrs
Graduate; relevant certification preferred</t>
        </is>
      </c>
      <c r="Q32" s="12" t="inlineStr">
        <is>
          <t>Core 2 · Future-ready 2 · Functional 3 · Leadership —
★ Product, Platform &amp; Domain Knowledge · Business Analysis &amp; Requirements Engineering</t>
        </is>
      </c>
      <c r="R32" s="12" t="inlineStr">
        <is>
          <t>Choose and organise product outcomes. Includes: Discovery, prioritisation, roadmap decisions and product operations. Excludes: Project schedule ownership alone; user research as a standalone discipline.</t>
        </is>
      </c>
      <c r="S32" s="12" t="inlineStr">
        <is>
          <r>
            <rPr>
              <rFont val="Calibri"/>
              <b val="1"/>
              <sz val="10"/>
            </rPr>
            <t>Comparable stage:</t>
          </r>
          <r>
            <rPr>
              <rFont val="Calibri"/>
              <sz val="10"/>
            </rPr>
            <t xml:space="preserve"> PRO02-2 · Product Operations Analyst
Maintain feedback, planning and product decision records.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repeatable product-decision process with reliable evidence and clear decision ownership</t>
          </r>
        </is>
      </c>
      <c r="T32" s="12" t="inlineStr">
        <is>
          <t>Radford / Mercer P2 · SFIA 3 Apply
IRIS Vs Competitor Benchmark — SaaS product ladder: Associate PM</t>
        </is>
      </c>
      <c r="U32" s="12" t="inlineStr">
        <is>
          <t>B1 · Specialist</t>
        </is>
      </c>
      <c r="V32" s="12" t="inlineStr">
        <is>
          <t>Framework only · fewer than 3 answered</t>
        </is>
      </c>
    </row>
    <row r="33">
      <c r="A33" s="81" t="inlineStr">
        <is>
          <t>Project &amp; Program Management</t>
        </is>
      </c>
    </row>
    <row r="34" ht="106" customHeight="1">
      <c r="A34" s="82" t="inlineStr">
        <is>
          <t>RC-134</t>
        </is>
      </c>
      <c r="B34" s="12" t="inlineStr">
        <is>
          <t>Project &amp; Program Management</t>
        </is>
      </c>
      <c r="C34" s="12" t="inlineStr">
        <is>
          <t>Project &amp; Program Delivery</t>
        </is>
      </c>
      <c r="D34" s="20" t="inlineStr">
        <is>
          <t>B1</t>
        </is>
      </c>
      <c r="E34" s="21" t="inlineStr">
        <is>
          <t>Specialist</t>
        </is>
      </c>
      <c r="F34" s="12" t="inlineStr">
        <is>
          <t>IC</t>
        </is>
      </c>
      <c r="G34" s="12" t="inlineStr">
        <is>
          <t>Associate Project Manager · Associate Project Manager – POD Lead · Project Manager – POD Lead</t>
        </is>
      </c>
      <c r="H34" s="12" t="inlineStr">
        <is>
          <t>Anand Usakoyal</t>
        </is>
      </c>
      <c r="I34" s="12" t="inlineStr">
        <is>
          <t>Technology</t>
        </is>
      </c>
      <c r="J34" s="12" t="inlineStr">
        <is>
          <r>
            <rPr>
              <rFont val="Calibri"/>
              <sz val="10"/>
            </rPr>
            <t xml:space="preserve">Plans and delivers projects/programmes to scope, time and cost; manages CRs, risks and stakeholders. At B1: a domain / module, or a small team.
</t>
          </r>
          <r>
            <rPr>
              <rFont val="Calibri"/>
              <b val="1"/>
              <sz val="10"/>
            </rPr>
            <t>Common themes in role-holders' answers:</t>
          </r>
          <r>
            <rPr>
              <rFont val="Calibri"/>
              <sz val="10"/>
            </rPr>
            <t xml:space="preserve"> business · understood · requirements · project</t>
          </r>
        </is>
      </c>
      <c r="K34" s="12" t="inlineStr">
        <is>
          <r>
            <rPr>
              <rFont val="Calibri"/>
              <sz val="10"/>
            </rPr>
            <t xml:space="preserve">Plans and delivers projects/programmes to scope, time and cost; manages CRs, risks and stakeholders; Domain specialist work; A domain or a small team
</t>
          </r>
          <r>
            <rPr>
              <rFont val="Calibri"/>
              <b val="1"/>
              <sz val="10"/>
            </rPr>
            <t>Common themes in role-holders' answers:</t>
          </r>
          <r>
            <rPr>
              <rFont val="Calibri"/>
              <sz val="10"/>
            </rPr>
            <t xml:space="preserve"> management · timelines · delivery · coordination · gathering · requirement</t>
          </r>
        </is>
      </c>
      <c r="L34" s="12" t="inlineStr">
        <is>
          <r>
            <rPr>
              <rFont val="Calibri"/>
              <sz val="10"/>
            </rPr>
            <t xml:space="preserve">Technical / QC / client calls for the domain
</t>
          </r>
          <r>
            <rPr>
              <rFont val="Calibri"/>
              <b val="1"/>
              <sz val="10"/>
            </rPr>
            <t>Common themes in role-holders' answers:</t>
          </r>
          <r>
            <rPr>
              <rFont val="Calibri"/>
              <sz val="10"/>
            </rPr>
            <t xml:space="preserve"> client · requirement</t>
          </r>
        </is>
      </c>
      <c r="M34" s="12" t="inlineStr">
        <is>
          <r>
            <rPr>
              <rFont val="Calibri"/>
              <b val="1"/>
              <sz val="10"/>
            </rPr>
            <t>Common themes in manager-set KRAs:</t>
          </r>
          <r>
            <rPr>
              <rFont val="Calibri"/>
              <sz val="10"/>
            </rPr>
            <t xml:space="preserve"> projects · support · maintain · pm · reporting · on-time</t>
          </r>
        </is>
      </c>
      <c r="N34" s="12" t="inlineStr">
        <is>
          <r>
            <rPr>
              <rFont val="Calibri"/>
              <b val="1"/>
              <sz val="10"/>
            </rPr>
            <t>Skills:</t>
          </r>
          <r>
            <rPr>
              <rFont val="Calibri"/>
              <sz val="10"/>
            </rPr>
            <t xml:space="preserve"> Project Management · Stakeholder Management
</t>
          </r>
          <r>
            <rPr>
              <rFont val="Calibri"/>
              <b val="1"/>
              <sz val="10"/>
            </rPr>
            <t>Tools:</t>
          </r>
          <r>
            <rPr>
              <rFont val="Calibri"/>
              <sz val="10"/>
            </rPr>
            <t xml:space="preserve"> Excel · Quick Scrum</t>
          </r>
        </is>
      </c>
      <c r="O34"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34" s="12" t="inlineStr">
        <is>
          <t>4–7 yrs
Graduate + relevant qualification or certification preferred</t>
        </is>
      </c>
      <c r="Q34" s="12" t="inlineStr">
        <is>
          <t>Core 3 · Future-ready 3 · Functional 3 · Leadership 1
★ Project, Program &amp; Agile Management · Stakeholder &amp; Client Management</t>
        </is>
      </c>
      <c r="R34" s="12" t="inlineStr">
        <is>
          <t>Deliver change and govern investment execution. Includes: Project, programme, portfolio and PMO work with distinct mandates. Excludes: Ongoing product strategy; routine service operations.</t>
        </is>
      </c>
      <c r="S34" s="12" t="inlineStr">
        <is>
          <r>
            <rPr>
              <rFont val="Calibri"/>
              <b val="1"/>
              <sz val="10"/>
            </rPr>
            <t>Comparable stage:</t>
          </r>
          <r>
            <rPr>
              <rFont val="Calibri"/>
              <sz val="10"/>
            </rPr>
            <t xml:space="preserve"> PMO01-3 · Senior Project Manager
Own complex dependencies, commercial changes and delivery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delivered project with baseline, managed changes, acceptance and benefit review</t>
          </r>
        </is>
      </c>
      <c r="T34" s="12" t="inlineStr">
        <is>
          <t>Radford / Mercer P3 / M2 · SFIA 4 Enable
IRIS Vs Competitor Benchmark — PMI pathway + SaaS delivery ladder: Project Manager · PMP</t>
        </is>
      </c>
      <c r="U34" s="12" t="inlineStr">
        <is>
          <t>B2 · Senior Specialist</t>
        </is>
      </c>
      <c r="V34" s="12" t="inlineStr">
        <is>
          <t>Framework + role-holders' themes · 3+ answered</t>
        </is>
      </c>
    </row>
    <row r="35">
      <c r="A35" s="81" t="inlineStr">
        <is>
          <t>Quality Assurance</t>
        </is>
      </c>
    </row>
    <row r="36" ht="106" customHeight="1">
      <c r="A36" s="82" t="inlineStr">
        <is>
          <t>RC-141</t>
        </is>
      </c>
      <c r="B36" s="12" t="inlineStr">
        <is>
          <t>Quality Assurance</t>
        </is>
      </c>
      <c r="C36" s="12" t="inlineStr">
        <is>
          <t>Functional &amp; Domain Testing</t>
        </is>
      </c>
      <c r="D36" s="16" t="inlineStr">
        <is>
          <t>A3</t>
        </is>
      </c>
      <c r="E36" s="17" t="inlineStr">
        <is>
          <t>Senior Associate</t>
        </is>
      </c>
      <c r="F36" s="12" t="inlineStr">
        <is>
          <t>IC</t>
        </is>
      </c>
      <c r="G36" s="12" t="inlineStr">
        <is>
          <t>Senior QA Engineer · QA Specialist</t>
        </is>
      </c>
      <c r="H36" s="12" t="inlineStr">
        <is>
          <t>Rohan Kailas Aher</t>
        </is>
      </c>
      <c r="I36" s="12" t="inlineStr">
        <is>
          <t>Quality Assurance</t>
        </is>
      </c>
      <c r="J36" s="12" t="inlineStr">
        <is>
          <r>
            <rPr>
              <rFont val="Calibri"/>
              <sz val="10"/>
            </rPr>
            <t xml:space="preserve">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t>
          </r>
        </is>
      </c>
      <c r="K36" s="12" t="inlineStr">
        <is>
          <r>
            <rPr>
              <rFont val="Calibri"/>
              <sz val="10"/>
            </rPr>
            <t xml:space="preserve">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t>
          </r>
        </is>
      </c>
      <c r="L36" s="12" t="inlineStr">
        <is>
          <r>
            <rPr>
              <rFont val="Calibri"/>
              <sz val="10"/>
            </rPr>
            <t xml:space="preserve">Technical / QC / client calls on own work
</t>
          </r>
          <r>
            <rPr>
              <rFont val="Calibri"/>
              <b val="1"/>
              <sz val="10"/>
            </rPr>
            <t>Common themes in role-holders' answers:</t>
          </r>
          <r>
            <rPr>
              <rFont val="Calibri"/>
              <sz val="10"/>
            </rPr>
            <t xml:space="preserve"> testing · prioritize · scenarios · independently · cases · routine</t>
          </r>
        </is>
      </c>
      <c r="M36" s="12" t="inlineStr">
        <is>
          <r>
            <rPr>
              <rFont val="Calibri"/>
              <b val="1"/>
              <sz val="10"/>
            </rPr>
            <t>Common themes in manager-set KRAs:</t>
          </r>
          <r>
            <rPr>
              <rFont val="Calibri"/>
              <sz val="10"/>
            </rPr>
            <t xml:space="preserve"> project · qa · quality · production · knowledge · test</t>
          </r>
        </is>
      </c>
      <c r="N36" s="12" t="inlineStr">
        <is>
          <r>
            <rPr>
              <rFont val="Calibri"/>
              <b val="1"/>
              <sz val="10"/>
            </rPr>
            <t>Skills: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t>
          </r>
        </is>
      </c>
      <c r="O36"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6" s="12" t="inlineStr">
        <is>
          <t>2–4 yrs
Graduate; relevant certification preferred</t>
        </is>
      </c>
      <c r="Q36" s="12" t="inlineStr">
        <is>
          <t>Core 2 · Future-ready 2 · Functional 3 · Leadership —
★ Test Automation &amp; QA Engineering · Product, Platform &amp; Domain Knowledge</t>
        </is>
      </c>
      <c r="R36" s="12" t="inlineStr">
        <is>
          <t>Provide systematic product-quality assurance. Includes: Test design, automation, risk-based coverage and quality architecture. Excludes: Data-production checking where the primary output is data.</t>
        </is>
      </c>
      <c r="S36" s="12" t="inlineStr">
        <is>
          <r>
            <rPr>
              <rFont val="Calibri"/>
              <b val="1"/>
              <sz val="10"/>
            </rPr>
            <t>Comparable stage:</t>
          </r>
          <r>
            <rPr>
              <rFont val="Calibri"/>
              <sz val="10"/>
            </rPr>
            <t xml:space="preserve"> QA01-2 · Test Engineer
Design tests from requirements and report reproducible defects.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risk-based test plan with traceability, reproducible defects and release recommendation</t>
          </r>
        </is>
      </c>
      <c r="T36" s="12" t="inlineStr">
        <is>
          <r>
            <rPr>
              <rFont val="Calibri"/>
              <sz val="10"/>
            </rPr>
            <t xml:space="preserve">Radford / Mercer P2 · SFIA 3 Apply
</t>
          </r>
          <r>
            <rPr>
              <rFont val="Calibri"/>
              <b val="1"/>
              <sz val="10"/>
            </rPr>
            <t>Workiva:</t>
          </r>
          <r>
            <rPr>
              <rFont val="Calibri"/>
              <sz val="10"/>
            </rPr>
            <t xml:space="preserve"> SE · Broadridge India: SE · Nasdaq / AxiomSL: SE · IRIS Vs Market Benchmark — ISTQB certification pathway: Foundation</t>
          </r>
        </is>
      </c>
      <c r="U36" s="12" t="inlineStr">
        <is>
          <t>B1 · Specialist</t>
        </is>
      </c>
      <c r="V36" s="12" t="inlineStr">
        <is>
          <t>Framework + role-holders' themes · 3+ answered</t>
        </is>
      </c>
    </row>
    <row r="37" ht="145" customHeight="1">
      <c r="A37" s="82" t="inlineStr">
        <is>
          <t>RC-143</t>
        </is>
      </c>
      <c r="B37" s="12" t="inlineStr">
        <is>
          <t>Quality Assurance</t>
        </is>
      </c>
      <c r="C37" s="12" t="inlineStr">
        <is>
          <t>Functional &amp; Domain Testing</t>
        </is>
      </c>
      <c r="D37" s="20" t="inlineStr">
        <is>
          <t>B1</t>
        </is>
      </c>
      <c r="E37" s="21" t="inlineStr">
        <is>
          <t>Team Lead</t>
        </is>
      </c>
      <c r="F37" s="12" t="inlineStr">
        <is>
          <t>Manager</t>
        </is>
      </c>
      <c r="G37" s="12" t="inlineStr">
        <is>
          <t>QA Manager</t>
        </is>
      </c>
      <c r="H37" s="12" t="inlineStr">
        <is>
          <t>Reena Gotal</t>
        </is>
      </c>
      <c r="I37" s="12" t="inlineStr">
        <is>
          <t>Quality Assurance</t>
        </is>
      </c>
      <c r="J37" s="12" t="inlineStr">
        <is>
          <r>
            <rPr>
              <rFont val="Calibri"/>
              <sz val="10"/>
            </rPr>
            <t xml:space="preserve">Designs and executes functional, regression and domain/AI-feature test cases; logs defects; supports sign-off. At B1: a domain / module, or a small team.
</t>
          </r>
          <r>
            <rPr>
              <rFont val="Calibri"/>
              <b val="1"/>
              <sz val="10"/>
            </rPr>
            <t>Common themes in sub-family holders, all levels' answers:</t>
          </r>
          <r>
            <rPr>
              <rFont val="Calibri"/>
              <sz val="10"/>
            </rPr>
            <t xml:space="preserve"> software · quality · product · requirements · user · before</t>
          </r>
        </is>
      </c>
      <c r="K37" s="12" t="inlineStr">
        <is>
          <r>
            <rPr>
              <rFont val="Calibri"/>
              <sz val="10"/>
            </rPr>
            <t xml:space="preserve">Designs and executes functional, regression and domain/AI-feature test cases; logs defects; supports sign-off; Domain specialist work; A domain or a small team
</t>
          </r>
          <r>
            <rPr>
              <rFont val="Calibri"/>
              <b val="1"/>
              <sz val="10"/>
            </rPr>
            <t>Common themes in sub-family holders, all levels' answers:</t>
          </r>
          <r>
            <rPr>
              <rFont val="Calibri"/>
              <sz val="10"/>
            </rPr>
            <t xml:space="preserve"> test · defect · reporting · regression · case · execution</t>
          </r>
        </is>
      </c>
      <c r="L37" s="12" t="inlineStr">
        <is>
          <r>
            <rPr>
              <rFont val="Calibri"/>
              <sz val="10"/>
            </rPr>
            <t xml:space="preserve">Technical / QC / client calls for the domain
</t>
          </r>
          <r>
            <rPr>
              <rFont val="Calibri"/>
              <b val="1"/>
              <sz val="10"/>
            </rPr>
            <t>Common themes in sub-family holders, all levels' answers:</t>
          </r>
          <r>
            <rPr>
              <rFont val="Calibri"/>
              <sz val="10"/>
            </rPr>
            <t xml:space="preserve"> test · prioritize · independently · scenarios · identify · issues</t>
          </r>
        </is>
      </c>
      <c r="M37" s="12" t="inlineStr">
        <is>
          <t>—</t>
        </is>
      </c>
      <c r="N37" s="12" t="inlineStr">
        <is>
          <r>
            <rPr>
              <rFont val="Calibri"/>
              <b val="1"/>
              <sz val="10"/>
            </rPr>
            <t>Skills:</t>
          </r>
          <r>
            <rPr>
              <rFont val="Calibri"/>
              <sz val="10"/>
            </rPr>
            <t xml:space="preserve"> Software testing · Test case design · regression testing · Functional testing · Manual Testing · Test Case execution · Analytical thinking · Attention to detail
</t>
          </r>
          <r>
            <rPr>
              <rFont val="Calibri"/>
              <b val="1"/>
              <sz val="10"/>
            </rPr>
            <t>Tools:</t>
          </r>
          <r>
            <rPr>
              <rFont val="Calibri"/>
              <sz val="10"/>
            </rPr>
            <t xml:space="preserve"> Quickscrum · Postman · Bug tracking tool · Mail access · Visual Studio · Notepad plus plus · Test management tool · Jira</t>
          </r>
        </is>
      </c>
      <c r="O37"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37" s="12" t="inlineStr">
        <is>
          <t>4–7 yrs
Graduate + relevant qualification or certification preferred</t>
        </is>
      </c>
      <c r="Q37" s="12" t="inlineStr">
        <is>
          <t>Core 3 · Future-ready 3 · Functional 3 · Leadership 2
★ Test Automation &amp; QA Engineering · Product, Platform &amp; Domain Knowledge</t>
        </is>
      </c>
      <c r="R37" s="12" t="inlineStr">
        <is>
          <t>Provide systematic product-quality assurance. Includes: Test design, automation, risk-based coverage and quality architecture. Excludes: Data-production checking where the primary output is data.</t>
        </is>
      </c>
      <c r="S37" s="12" t="inlineStr">
        <is>
          <r>
            <rPr>
              <rFont val="Calibri"/>
              <b val="1"/>
              <sz val="10"/>
            </rPr>
            <t>Comparable stage:</t>
          </r>
          <r>
            <rPr>
              <rFont val="Calibri"/>
              <sz val="10"/>
            </rPr>
            <t xml:space="preserve"> LD06-1 · Quality Engineering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37"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IRIS Vs Market Benchmark — ISTQB certification pathway: Advanced · Test Analyst</t>
          </r>
        </is>
      </c>
      <c r="U37" s="12" t="inlineStr">
        <is>
          <t>B2 · Senior Specialist</t>
        </is>
      </c>
      <c r="V37" s="12" t="inlineStr">
        <is>
          <t>Framework + sub-family themes · 3+ answered</t>
        </is>
      </c>
    </row>
    <row r="38" ht="106" customHeight="1">
      <c r="A38" s="82" t="inlineStr">
        <is>
          <t>RC-146</t>
        </is>
      </c>
      <c r="B38" s="12" t="inlineStr">
        <is>
          <t>Quality Assurance</t>
        </is>
      </c>
      <c r="C38" s="12" t="inlineStr">
        <is>
          <t>Test Automation</t>
        </is>
      </c>
      <c r="D38" s="16" t="inlineStr">
        <is>
          <t>A3</t>
        </is>
      </c>
      <c r="E38" s="17" t="inlineStr">
        <is>
          <t>Senior Associate</t>
        </is>
      </c>
      <c r="F38" s="12" t="inlineStr">
        <is>
          <t>IC</t>
        </is>
      </c>
      <c r="G38" s="12" t="inlineStr">
        <is>
          <t>Senior QA Automation Engineer</t>
        </is>
      </c>
      <c r="H38" s="12" t="inlineStr">
        <is>
          <t>Atharv Ravindra Bokade, Shubham Kamble, Tulasiram Chand</t>
        </is>
      </c>
      <c r="I38" s="12" t="inlineStr">
        <is>
          <t>Quality Assurance</t>
        </is>
      </c>
      <c r="J38" s="12" t="inlineStr">
        <is>
          <r>
            <rPr>
              <rFont val="Calibri"/>
              <sz val="10"/>
            </rPr>
            <t xml:space="preserve">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t>
          </r>
        </is>
      </c>
      <c r="K38" s="12" t="inlineStr">
        <is>
          <r>
            <rPr>
              <rFont val="Calibri"/>
              <sz val="10"/>
            </rPr>
            <t xml:space="preserve">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t>
          </r>
        </is>
      </c>
      <c r="L38" s="12" t="inlineStr">
        <is>
          <r>
            <rPr>
              <rFont val="Calibri"/>
              <sz val="10"/>
            </rPr>
            <t xml:space="preserve">Technical / QC / client calls on own work
</t>
          </r>
          <r>
            <rPr>
              <rFont val="Calibri"/>
              <b val="1"/>
              <sz val="10"/>
            </rPr>
            <t>Common themes in role-holders' answers:</t>
          </r>
          <r>
            <rPr>
              <rFont val="Calibri"/>
              <sz val="10"/>
            </rPr>
            <t xml:space="preserve"> testing</t>
          </r>
        </is>
      </c>
      <c r="M38" s="12" t="inlineStr">
        <is>
          <r>
            <rPr>
              <rFont val="Calibri"/>
              <b val="1"/>
              <sz val="10"/>
            </rPr>
            <t>Common themes in manager-set KRAs:</t>
          </r>
          <r>
            <rPr>
              <rFont val="Calibri"/>
              <sz val="10"/>
            </rPr>
            <t xml:space="preserve"> test coverage · business · automation · knowledge · activities · comprehensive</t>
          </r>
        </is>
      </c>
      <c r="N38" s="12" t="inlineStr">
        <is>
          <r>
            <rPr>
              <rFont val="Calibri"/>
              <b val="1"/>
              <sz val="10"/>
            </rPr>
            <t>Skills:</t>
          </r>
          <r>
            <rPr>
              <rFont val="Calibri"/>
              <sz val="10"/>
            </rPr>
            <t xml:space="preserve"> Software Testing · Manual testing · Playwright
</t>
          </r>
          <r>
            <rPr>
              <rFont val="Calibri"/>
              <b val="1"/>
              <sz val="10"/>
            </rPr>
            <t>Tools:</t>
          </r>
          <r>
            <rPr>
              <rFont val="Calibri"/>
              <sz val="10"/>
            </rPr>
            <t xml:space="preserve"> Postman</t>
          </r>
        </is>
      </c>
      <c r="O38"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8" s="12" t="inlineStr">
        <is>
          <t>2–4 yrs
Graduate; relevant certification preferred</t>
        </is>
      </c>
      <c r="Q38" s="12" t="inlineStr">
        <is>
          <t>Core 2 · Future-ready 2 · Functional 3 · Leadership —
★ Test Automation &amp; QA Engineering · Product, Platform &amp; Domain Knowledge</t>
        </is>
      </c>
      <c r="R38" s="12" t="inlineStr">
        <is>
          <t>Provide systematic product-quality assurance. Includes: Test design, automation, risk-based coverage and quality architecture. Excludes: Data-production checking where the primary output is data.</t>
        </is>
      </c>
      <c r="S38" s="12" t="inlineStr">
        <is>
          <r>
            <rPr>
              <rFont val="Calibri"/>
              <b val="1"/>
              <sz val="10"/>
            </rPr>
            <t>Comparable stage:</t>
          </r>
          <r>
            <rPr>
              <rFont val="Calibri"/>
              <sz val="10"/>
            </rPr>
            <t xml:space="preserve"> QA02-2 · Test Automation Engineer / SDET
Build reliable automated tests with useful failure signals.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maintained automation suite with reliable signals and reduced regression effort</t>
          </r>
        </is>
      </c>
      <c r="T38" s="12" t="inlineStr">
        <is>
          <r>
            <rPr>
              <rFont val="Calibri"/>
              <sz val="10"/>
            </rPr>
            <t xml:space="preserve">Radford / Mercer P2 · SFIA 3 Apply
</t>
          </r>
          <r>
            <rPr>
              <rFont val="Calibri"/>
              <b val="1"/>
              <sz val="10"/>
            </rPr>
            <t>Workiva:</t>
          </r>
          <r>
            <rPr>
              <rFont val="Calibri"/>
              <sz val="10"/>
            </rPr>
            <t xml:space="preserve"> SE · Broadridge India: SE · Nasdaq / AxiomSL: SE · IRIS Vs Market Benchmark — ISTQB certification pathway: Foundation</t>
          </r>
        </is>
      </c>
      <c r="U38" s="12" t="inlineStr">
        <is>
          <t>B1 · Specialist</t>
        </is>
      </c>
      <c r="V38" s="12" t="inlineStr">
        <is>
          <t>Framework + role-holders' themes · 3+ answered</t>
        </is>
      </c>
    </row>
    <row r="39">
      <c r="A39" s="81" t="inlineStr">
        <is>
          <t>Sales &amp; Business Development</t>
        </is>
      </c>
    </row>
    <row r="40" ht="106" customHeight="1">
      <c r="A40" s="82" t="inlineStr">
        <is>
          <t>RC-151</t>
        </is>
      </c>
      <c r="B40" s="12" t="inlineStr">
        <is>
          <t>Sales &amp; Business Development</t>
        </is>
      </c>
      <c r="C40" s="12" t="inlineStr">
        <is>
          <t>Enterprise Sales &amp; Account Management</t>
        </is>
      </c>
      <c r="D40" s="20" t="inlineStr">
        <is>
          <t>B1</t>
        </is>
      </c>
      <c r="E40" s="21" t="inlineStr">
        <is>
          <t>Specialist</t>
        </is>
      </c>
      <c r="F40" s="12" t="inlineStr">
        <is>
          <t>IC</t>
        </is>
      </c>
      <c r="G40" s="12" t="inlineStr">
        <is>
          <t>Account Executive – POD Lead · Account Executive</t>
        </is>
      </c>
      <c r="H40" s="12" t="inlineStr">
        <is>
          <t>Deepali Barai</t>
        </is>
      </c>
      <c r="I40" s="12" t="inlineStr">
        <is>
          <t>Sales</t>
        </is>
      </c>
      <c r="J40" s="12" t="inlineStr">
        <is>
          <r>
            <rPr>
              <rFont val="Calibri"/>
              <sz val="10"/>
            </rPr>
            <t xml:space="preserve">Runs discovery, demos, proposals and negotiations; closes and grows accounts. At B1: a domain / module, or a small team.
</t>
          </r>
          <r>
            <rPr>
              <rFont val="Calibri"/>
              <b val="1"/>
              <sz val="10"/>
            </rPr>
            <t>Common themes in sub-family holders, all levels' answers:</t>
          </r>
          <r>
            <rPr>
              <rFont val="Calibri"/>
              <sz val="10"/>
            </rPr>
            <t xml:space="preserve"> sales · company · revenue</t>
          </r>
        </is>
      </c>
      <c r="K40" s="12" t="inlineStr">
        <is>
          <r>
            <rPr>
              <rFont val="Calibri"/>
              <sz val="10"/>
            </rPr>
            <t xml:space="preserve">Runs discovery, demos, proposals and negotiations; closes and grows accounts; Domain specialist work; A domain or a small team
</t>
          </r>
          <r>
            <rPr>
              <rFont val="Calibri"/>
              <b val="1"/>
              <sz val="10"/>
            </rPr>
            <t>Common themes in sub-family holders, all levels' answers:</t>
          </r>
          <r>
            <rPr>
              <rFont val="Calibri"/>
              <sz val="10"/>
            </rPr>
            <t xml:space="preserve"> ups · follow</t>
          </r>
        </is>
      </c>
      <c r="L40" s="12" t="inlineStr">
        <is>
          <r>
            <rPr>
              <rFont val="Calibri"/>
              <sz val="10"/>
            </rPr>
            <t xml:space="preserve">Technical / QC / client calls for the domain
</t>
          </r>
          <r>
            <rPr>
              <rFont val="Calibri"/>
              <b val="1"/>
              <sz val="10"/>
            </rPr>
            <t>Common themes in sub-family holders, all levels' answers:</t>
          </r>
          <r>
            <rPr>
              <rFont val="Calibri"/>
              <sz val="10"/>
            </rPr>
            <t xml:space="preserve"> meeting</t>
          </r>
        </is>
      </c>
      <c r="M40" s="12" t="inlineStr">
        <is>
          <t>—</t>
        </is>
      </c>
      <c r="N40" s="12" t="inlineStr">
        <is>
          <r>
            <rPr>
              <rFont val="Calibri"/>
              <b val="1"/>
              <sz val="10"/>
            </rPr>
            <t>Skills:</t>
          </r>
          <r>
            <rPr>
              <rFont val="Calibri"/>
              <sz val="10"/>
            </rPr>
            <t xml:space="preserve"> Sales
</t>
          </r>
          <r>
            <rPr>
              <rFont val="Calibri"/>
              <b val="1"/>
              <sz val="10"/>
            </rPr>
            <t>Tools:</t>
          </r>
          <r>
            <rPr>
              <rFont val="Calibri"/>
              <sz val="10"/>
            </rPr>
            <t xml:space="preserve"> Excel</t>
          </r>
        </is>
      </c>
      <c r="O40"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40" s="12" t="inlineStr">
        <is>
          <t>4–7 yrs
Graduate + relevant qualification or certification preferred</t>
        </is>
      </c>
      <c r="Q40" s="12" t="inlineStr">
        <is>
          <t>Core 3 · Future-ready 3 · Functional 3 · Leadership 1
★ Sales, Negotiation &amp; Account Growth · Marketing Tech &amp; Digital Marketing</t>
        </is>
      </c>
      <c r="R40" s="12" t="inlineStr">
        <is>
          <t>Create and convert commercial opportunities. Includes: Prospecting, account sales, alliances, presales and sales operations. Excludes: Customer adoption unless sales accountability is primary.</t>
        </is>
      </c>
      <c r="S40" s="12" t="inlineStr">
        <is>
          <r>
            <rPr>
              <rFont val="Calibri"/>
              <b val="1"/>
              <sz val="10"/>
            </rPr>
            <t>Comparable stage:</t>
          </r>
          <r>
            <rPr>
              <rFont val="Calibri"/>
              <sz val="10"/>
            </rPr>
            <t xml:space="preserve"> SAL02-3 · Senior Account Executive
Own complex multi-stakeholder deals and commercial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An account strategy with verified buyer needs, commercial terms and forecast rationale</t>
          </r>
        </is>
      </c>
      <c r="T40" s="12" t="inlineStr">
        <is>
          <t>Radford / Mercer P3 / M2 · SFIA 4 Enable
IRIS Vs Competitor Benchmark — SaaS sales ladder — IC: Account Executive · SMB · IRIS Vs Competitor Benchmark — SaaS sales ladder — management: SDR Team Lead</t>
        </is>
      </c>
      <c r="U40" s="12" t="inlineStr">
        <is>
          <t>B2 · Senior Specialist</t>
        </is>
      </c>
      <c r="V40" s="12" t="inlineStr">
        <is>
          <t>Framework + sub-family themes · 3+ answered</t>
        </is>
      </c>
    </row>
    <row r="41" ht="106" customHeight="1">
      <c r="A41" s="82" t="inlineStr">
        <is>
          <t>RC-152</t>
        </is>
      </c>
      <c r="B41" s="12" t="inlineStr">
        <is>
          <t>Sales &amp; Business Development</t>
        </is>
      </c>
      <c r="C41" s="12" t="inlineStr">
        <is>
          <t>Enterprise Sales &amp; Account Management</t>
        </is>
      </c>
      <c r="D41" s="20" t="inlineStr">
        <is>
          <t>B2</t>
        </is>
      </c>
      <c r="E41" s="21" t="inlineStr">
        <is>
          <t>Senior Specialist</t>
        </is>
      </c>
      <c r="F41" s="12" t="inlineStr">
        <is>
          <t>IC</t>
        </is>
      </c>
      <c r="G41" s="12" t="inlineStr">
        <is>
          <t>Senior Account Executive</t>
        </is>
      </c>
      <c r="H41" s="12" t="inlineStr">
        <is>
          <t>Rohit Patil</t>
        </is>
      </c>
      <c r="I41" s="12" t="inlineStr">
        <is>
          <t>Sales</t>
        </is>
      </c>
      <c r="J41" s="12" t="inlineStr">
        <is>
          <r>
            <rPr>
              <rFont val="Calibri"/>
              <sz val="10"/>
            </rPr>
            <t xml:space="preserve">Runs discovery, demos, proposals and negotiations; closes and grows accounts. At B2: deep domain expertise, or one team.
</t>
          </r>
          <r>
            <rPr>
              <rFont val="Calibri"/>
              <b val="1"/>
              <sz val="10"/>
            </rPr>
            <t>Common themes in sub-family holders, all levels' answers:</t>
          </r>
          <r>
            <rPr>
              <rFont val="Calibri"/>
              <sz val="10"/>
            </rPr>
            <t xml:space="preserve"> sales · company · revenue</t>
          </r>
        </is>
      </c>
      <c r="K41" s="12" t="inlineStr">
        <is>
          <r>
            <rPr>
              <rFont val="Calibri"/>
              <sz val="10"/>
            </rPr>
            <t xml:space="preserve">Runs discovery, demos, proposals and negotiations; closes and grows accounts; Hardest problems in the domain; One team or a client portfolio
</t>
          </r>
          <r>
            <rPr>
              <rFont val="Calibri"/>
              <b val="1"/>
              <sz val="10"/>
            </rPr>
            <t>Common themes in sub-family holders, all levels' answers:</t>
          </r>
          <r>
            <rPr>
              <rFont val="Calibri"/>
              <sz val="10"/>
            </rPr>
            <t xml:space="preserve"> ups · follow</t>
          </r>
        </is>
      </c>
      <c r="L41" s="12" t="inlineStr">
        <is>
          <r>
            <rPr>
              <rFont val="Calibri"/>
              <sz val="10"/>
            </rPr>
            <t xml:space="preserve">Allocates people and sets team priorities
</t>
          </r>
          <r>
            <rPr>
              <rFont val="Calibri"/>
              <b val="1"/>
              <sz val="10"/>
            </rPr>
            <t>Common themes in sub-family holders, all levels' answers:</t>
          </r>
          <r>
            <rPr>
              <rFont val="Calibri"/>
              <sz val="10"/>
            </rPr>
            <t xml:space="preserve"> meeting</t>
          </r>
        </is>
      </c>
      <c r="M41" s="12" t="inlineStr">
        <is>
          <t>—</t>
        </is>
      </c>
      <c r="N41" s="12" t="inlineStr">
        <is>
          <r>
            <rPr>
              <rFont val="Calibri"/>
              <b val="1"/>
              <sz val="10"/>
            </rPr>
            <t>Skills:</t>
          </r>
          <r>
            <rPr>
              <rFont val="Calibri"/>
              <sz val="10"/>
            </rPr>
            <t xml:space="preserve"> Sales
</t>
          </r>
          <r>
            <rPr>
              <rFont val="Calibri"/>
              <b val="1"/>
              <sz val="10"/>
            </rPr>
            <t>Tools:</t>
          </r>
          <r>
            <rPr>
              <rFont val="Calibri"/>
              <sz val="10"/>
            </rPr>
            <t xml:space="preserve"> Excel</t>
          </r>
        </is>
      </c>
      <c r="O41"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41" s="12" t="inlineStr">
        <is>
          <t>6–9 yrs
Graduate or postgraduate; professional qualification preferred</t>
        </is>
      </c>
      <c r="Q41" s="12" t="inlineStr">
        <is>
          <t>Core 3 · Future-ready 3 · Functional 4 · Leadership 2
★ Sales, Negotiation &amp; Account Growth · Marketing Tech &amp; Digital Marketing</t>
        </is>
      </c>
      <c r="R41" s="12" t="inlineStr">
        <is>
          <t>Create and convert commercial opportunities. Includes: Prospecting, account sales, alliances, presales and sales operations. Excludes: Customer adoption unless sales accountability is primary.</t>
        </is>
      </c>
      <c r="S41" s="12" t="inlineStr">
        <is>
          <r>
            <rPr>
              <rFont val="Calibri"/>
              <b val="1"/>
              <sz val="10"/>
            </rPr>
            <t>Comparable stage:</t>
          </r>
          <r>
            <rPr>
              <rFont val="Calibri"/>
              <sz val="10"/>
            </rPr>
            <t xml:space="preserve"> SAL02-3 · Senior Account Executive
Own complex multi-stakeholder deals and commercial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An account strategy with verified buyer needs, commercial terms and forecast rationale</t>
          </r>
        </is>
      </c>
      <c r="T41" s="12" t="inlineStr">
        <is>
          <t>Radford / Mercer P4 / M3 · SFIA 4–5
IRIS Vs Competitor Benchmark — SaaS sales ladder — IC: Mid-Market AE · IRIS Vs Competitor Benchmark — SaaS sales ladder — management: Sales Manager</t>
        </is>
      </c>
      <c r="U41" s="12" t="inlineStr">
        <is>
          <t>B3 · Lead Specialist</t>
        </is>
      </c>
      <c r="V41" s="12" t="inlineStr">
        <is>
          <t>Framework + sub-family themes · 3+ answered</t>
        </is>
      </c>
    </row>
    <row r="42" ht="119" customHeight="1">
      <c r="A42" s="82" t="inlineStr">
        <is>
          <t>RC-159</t>
        </is>
      </c>
      <c r="B42" s="12" t="inlineStr">
        <is>
          <t>Sales &amp; Business Development</t>
        </is>
      </c>
      <c r="C42" s="12" t="inlineStr">
        <is>
          <t>Partnerships &amp; Alliances</t>
        </is>
      </c>
      <c r="D42" s="16" t="inlineStr">
        <is>
          <t>A3</t>
        </is>
      </c>
      <c r="E42" s="17" t="inlineStr">
        <is>
          <t>Senior Associate</t>
        </is>
      </c>
      <c r="F42" s="12" t="inlineStr">
        <is>
          <t>IC</t>
        </is>
      </c>
      <c r="G42" s="12" t="inlineStr">
        <is>
          <t>Senior Alliances Executive</t>
        </is>
      </c>
      <c r="H42" s="12" t="inlineStr">
        <is>
          <t>Shreya Sharma</t>
        </is>
      </c>
      <c r="I42" s="12" t="inlineStr">
        <is>
          <t>Sales</t>
        </is>
      </c>
      <c r="J42" s="12" t="inlineStr">
        <is>
          <t>Builds and manages partner / alliance revenue. At A3: varied work; reviews juniors; go-to for a process.</t>
        </is>
      </c>
      <c r="K42" s="12" t="inlineStr">
        <is>
          <t>Builds and manages partner / alliance revenue; Varied and non-standard work; handles exceptions; A module / process, or work with client or regulatory consequences</t>
        </is>
      </c>
      <c r="L42" s="12" t="inlineStr">
        <is>
          <t>Technical / QC / client calls on own work</t>
        </is>
      </c>
      <c r="M42" s="12" t="inlineStr">
        <is>
          <t>—</t>
        </is>
      </c>
      <c r="N42" s="12" t="inlineStr">
        <is>
          <r>
            <rPr>
              <rFont val="Calibri"/>
              <b val="1"/>
              <sz val="10"/>
            </rPr>
            <t>Skills:</t>
          </r>
          <r>
            <rPr>
              <rFont val="Calibri"/>
              <sz val="10"/>
            </rPr>
            <t xml:space="preserve"> Sales</t>
          </r>
        </is>
      </c>
      <c r="O4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42" s="12" t="inlineStr">
        <is>
          <t>2–4 yrs
Graduate; relevant certification preferred</t>
        </is>
      </c>
      <c r="Q42" s="12" t="inlineStr">
        <is>
          <t>Core 2 · Future-ready 2 · Functional 3 · Leadership —
★ Sales, Negotiation &amp; Account Growth · Marketing Tech &amp; Digital Marketing</t>
        </is>
      </c>
      <c r="R42" s="12" t="inlineStr">
        <is>
          <t>Create and convert commercial opportunities. Includes: Prospecting, account sales, alliances, presales and sales operations. Excludes: Customer adoption unless sales accountability is primary.</t>
        </is>
      </c>
      <c r="S42" s="12" t="inlineStr">
        <is>
          <r>
            <rPr>
              <rFont val="Calibri"/>
              <b val="1"/>
              <sz val="10"/>
            </rPr>
            <t>Comparable stage:</t>
          </r>
          <r>
            <rPr>
              <rFont val="Calibri"/>
              <sz val="10"/>
            </rPr>
            <t xml:space="preserve"> SAL05-2 · Partner Account Manager
Execute partner plans and track shared opportunities.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partnership business case with responsibilities, commercial model and delivered outcomes</t>
          </r>
        </is>
      </c>
      <c r="T42" s="12" t="inlineStr">
        <is>
          <t>Radford / Mercer P2 · SFIA 3 Apply
IRIS Vs Competitor Benchmark — SaaS sales ladder — IC: Senior SDR</t>
        </is>
      </c>
      <c r="U42" s="12" t="inlineStr">
        <is>
          <t>B1 · Specialist</t>
        </is>
      </c>
      <c r="V42" s="12" t="inlineStr">
        <is>
          <t>Framework only · fewer than 3 answered</t>
        </is>
      </c>
    </row>
  </sheetData>
  <autoFilter ref="A6:V42"/>
  <mergeCells count="19">
    <mergeCell ref="A2:V2"/>
    <mergeCell ref="O5:Q5"/>
    <mergeCell ref="A33:V33"/>
    <mergeCell ref="J5:N5"/>
    <mergeCell ref="T5:U5"/>
    <mergeCell ref="A17:V17"/>
    <mergeCell ref="A35:V35"/>
    <mergeCell ref="A28:V28"/>
    <mergeCell ref="A5:I5"/>
    <mergeCell ref="A30:V30"/>
    <mergeCell ref="A39:V39"/>
    <mergeCell ref="A15:V15"/>
    <mergeCell ref="V5"/>
    <mergeCell ref="A11:V11"/>
    <mergeCell ref="A1:V1"/>
    <mergeCell ref="A7:V7"/>
    <mergeCell ref="A3:V3"/>
    <mergeCell ref="R5:S5"/>
    <mergeCell ref="A26:V26"/>
  </mergeCells>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G68"/>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8" customWidth="1" min="3" max="3"/>
    <col width="8" customWidth="1" min="4" max="4"/>
    <col width="30" customWidth="1" min="5" max="5"/>
    <col width="66" customWidth="1" min="6" max="6"/>
    <col width="13" customWidth="1" min="7" max="7"/>
  </cols>
  <sheetData>
    <row r="1" ht="34" customHeight="1">
      <c r="A1" s="1" t="inlineStr">
        <is>
          <t>Decisions &amp; Actions — what needs a decision, who must supply what, and what happens next</t>
        </is>
      </c>
      <c r="G1" s="95" t="inlineStr">
        <is>
          <t>◂ Start Here</t>
        </is>
      </c>
    </row>
    <row r="2" ht="30" customHeight="1">
      <c r="A2" s="3" t="inlineStr">
        <is>
          <t>Sheet 4 · Each case gives the person, the level, the score and the reason in full, so it can be decided from this page. Red = an input or decision is needed.</t>
        </is>
      </c>
    </row>
    <row r="3">
      <c r="A3" s="4" t="inlineStr">
        <is>
          <t>IRIS · Job Architecture &amp; Job Design · Final v1.12 · October 2026 · Internal — Confidential</t>
        </is>
      </c>
    </row>
    <row r="4" ht="15" customHeight="1"/>
    <row r="5" ht="15" customHeight="1">
      <c r="A5" s="33" t="inlineStr">
        <is>
          <t>A · DECISIONS FOR YOU AND THE CALIBRATION PANEL</t>
        </is>
      </c>
    </row>
    <row r="6" ht="20" customHeight="1">
      <c r="A6" s="6" t="inlineStr">
        <is>
          <t>A1. Player-Coach placements — 1</t>
        </is>
      </c>
    </row>
    <row r="7" ht="15" customHeight="1">
      <c r="A7" s="32" t="inlineStr">
        <is>
          <t>Confirm the person still spends a real share of time on hands-on work, and that the team size is right.</t>
        </is>
      </c>
    </row>
    <row r="8" ht="15" customHeight="1">
      <c r="A8" s="8" t="inlineStr">
        <is>
          <t>Person</t>
        </is>
      </c>
      <c r="B8" s="8" t="inlineStr">
        <is>
          <t>Department</t>
        </is>
      </c>
      <c r="C8" s="8" t="inlineStr">
        <is>
          <t>Level</t>
        </is>
      </c>
      <c r="D8" s="8" t="inlineStr">
        <is>
          <t>Score</t>
        </is>
      </c>
      <c r="E8" s="8" t="inlineStr">
        <is>
          <t>Designation</t>
        </is>
      </c>
      <c r="F8" s="8" t="inlineStr">
        <is>
          <t>What to decide, and why</t>
        </is>
      </c>
    </row>
    <row r="9" ht="93" customHeight="1">
      <c r="A9" s="10" t="inlineStr">
        <is>
          <t>Jitendra Kumar</t>
        </is>
      </c>
      <c r="B9" s="12" t="inlineStr">
        <is>
          <t>Technology</t>
        </is>
      </c>
      <c r="C9" s="34" t="inlineStr">
        <is>
          <t>B+</t>
        </is>
      </c>
      <c r="D9" s="34" t="n">
        <v>6.25</v>
      </c>
      <c r="E9" s="12" t="inlineStr">
        <is>
          <t>Practice Lead – Solution &amp; Technical Architecture · Player-Coach</t>
        </is>
      </c>
      <c r="F9" s="80" t="inlineStr">
        <is>
          <r>
            <rPr>
              <rFont val="Calibri"/>
              <b val="1"/>
              <color rgb="009C0006"/>
              <sz val="10"/>
            </rPr>
            <t>Placed with tolerance:</t>
          </r>
          <r>
            <rPr>
              <rFont val="Calibri"/>
              <color rgb="009C0006"/>
              <sz val="10"/>
            </rPr>
            <t xml:space="preserve"> span 9 vs norm 3–6 · outside the ±2 tolerance. A small shortfall or a wider span is accepted and confirmed in calibration; Moved up to the B+ Player-Coach transition step: leads people and still does hands-on work; Player-Coach score 6.25 · needs 6.25 and complexity–accountability average 6.00 · needs 5.5. Tolerance: span 9 vs norm 3–6 · outside the ±2 tolerance.</t>
          </r>
        </is>
      </c>
    </row>
    <row r="10" ht="15" customHeight="1"/>
    <row r="11" ht="20" customHeight="1">
      <c r="A11" s="6" t="inlineStr">
        <is>
          <t>A2. Player-Coach candidates and watch list — 0</t>
        </is>
      </c>
    </row>
    <row r="12" ht="15" customHeight="1">
      <c r="A12" s="32" t="inlineStr">
        <is>
          <t>Candidates qualify on the numbers but have no evidence yet of their own hands-on work: confirm it, or leave them where they are.</t>
        </is>
      </c>
    </row>
    <row r="13" ht="15" customHeight="1">
      <c r="A13" s="32" t="inlineStr">
        <is>
          <t>None.</t>
        </is>
      </c>
    </row>
    <row r="14" ht="20" customHeight="1">
      <c r="A14" s="6" t="inlineStr">
        <is>
          <t>A3. Close calls — 0</t>
        </is>
      </c>
    </row>
    <row r="15" ht="15" customHeight="1">
      <c r="A15" s="32" t="inlineStr">
        <is>
          <t>The score decided the level and sits within 0.05 of a rounding point: compare with peers before confirming.</t>
        </is>
      </c>
    </row>
    <row r="16" ht="15" customHeight="1">
      <c r="A16" s="32" t="inlineStr">
        <is>
          <t>None.</t>
        </is>
      </c>
    </row>
    <row r="17" ht="20" customHeight="1">
      <c r="A17" s="6" t="inlineStr">
        <is>
          <t>A4. Near a gate — 2</t>
        </is>
      </c>
    </row>
    <row r="18" ht="15" customHeight="1">
      <c r="A18" s="32" t="inlineStr">
        <is>
          <t>A rule set the level, and the number behind it is within a quarter-point of changing it: a small change in one rating would move the person.</t>
        </is>
      </c>
    </row>
    <row r="19" ht="15" customHeight="1">
      <c r="A19" s="8" t="inlineStr">
        <is>
          <t>Person</t>
        </is>
      </c>
      <c r="B19" s="8" t="inlineStr">
        <is>
          <t>Department</t>
        </is>
      </c>
      <c r="C19" s="8" t="inlineStr">
        <is>
          <t>Level</t>
        </is>
      </c>
      <c r="D19" s="8" t="inlineStr">
        <is>
          <t>Score</t>
        </is>
      </c>
      <c r="E19" s="8" t="inlineStr">
        <is>
          <t>Designation</t>
        </is>
      </c>
      <c r="F19" s="8" t="inlineStr">
        <is>
          <t>What to decide, and why</t>
        </is>
      </c>
    </row>
    <row r="20" ht="41" customHeight="1">
      <c r="A20" s="10" t="inlineStr">
        <is>
          <t>Jitendra Kumar</t>
        </is>
      </c>
      <c r="B20" s="12" t="inlineStr">
        <is>
          <t>Technology</t>
        </is>
      </c>
      <c r="C20" s="34" t="inlineStr">
        <is>
          <t>B+</t>
        </is>
      </c>
      <c r="D20" s="34" t="n">
        <v>6.25</v>
      </c>
      <c r="E20" s="12" t="inlineStr">
        <is>
          <t>Practice Lead – Solution &amp; Technical Architecture · Player-Coach</t>
        </is>
      </c>
      <c r="F20" s="80" t="inlineStr">
        <is>
          <r>
            <rPr>
              <rFont val="Calibri"/>
              <b val="1"/>
              <color rgb="009C0006"/>
              <sz val="10"/>
            </rPr>
            <t>Player-Coach transition step placed within tolerance:</t>
          </r>
          <r>
            <rPr>
              <rFont val="Calibri"/>
              <color rgb="009C0006"/>
              <sz val="10"/>
            </rPr>
            <t xml:space="preserve"> span 9 vs norm 3–6 · outside the ±2 tolerance.</t>
          </r>
        </is>
      </c>
    </row>
    <row r="21" ht="28" customHeight="1">
      <c r="A21" s="10" t="inlineStr">
        <is>
          <t>Jay Gudhka</t>
        </is>
      </c>
      <c r="B21" s="12" t="inlineStr">
        <is>
          <t>Technology</t>
        </is>
      </c>
      <c r="C21" s="34" t="inlineStr">
        <is>
          <t>A3</t>
        </is>
      </c>
      <c r="D21" s="34" t="n">
        <v>3.52</v>
      </c>
      <c r="E21" s="12" t="inlineStr">
        <is>
          <t>Technical Specialist</t>
        </is>
      </c>
      <c r="F21" s="80" t="inlineStr">
        <is>
          <r>
            <rPr>
              <rFont val="Calibri"/>
              <b val="1"/>
              <color rgb="009C0006"/>
              <sz val="10"/>
            </rPr>
            <t>Top of band:</t>
          </r>
          <r>
            <rPr>
              <rFont val="Calibri"/>
              <color rgb="009C0006"/>
              <sz val="10"/>
            </rPr>
            <t xml:space="preserve"> 3.46 on Band B's weights, 0.04 short of the 3.5 needed to enter Band B.</t>
          </r>
        </is>
      </c>
    </row>
    <row r="22" ht="15" customHeight="1"/>
    <row r="23" ht="20" customHeight="1">
      <c r="A23" s="6" t="inlineStr">
        <is>
          <t>A5. Moves down · pay and title protected for one cycle — 2</t>
        </is>
      </c>
    </row>
    <row r="24" ht="15" customHeight="1">
      <c r="A24" s="32" t="inlineStr">
        <is>
          <t>Confirm the scope of the role and the review date.</t>
        </is>
      </c>
    </row>
    <row r="25" ht="15" customHeight="1">
      <c r="A25" s="8" t="inlineStr">
        <is>
          <t>Person</t>
        </is>
      </c>
      <c r="B25" s="8" t="inlineStr">
        <is>
          <t>Department</t>
        </is>
      </c>
      <c r="C25" s="8" t="inlineStr">
        <is>
          <t>Level</t>
        </is>
      </c>
      <c r="D25" s="8" t="inlineStr">
        <is>
          <t>Score</t>
        </is>
      </c>
      <c r="E25" s="8" t="inlineStr">
        <is>
          <t>Designation</t>
        </is>
      </c>
      <c r="F25" s="8" t="inlineStr">
        <is>
          <t>What to decide, and why</t>
        </is>
      </c>
    </row>
    <row r="26" ht="28" customHeight="1">
      <c r="A26" s="10" t="inlineStr">
        <is>
          <t>Jignasha Sawla</t>
        </is>
      </c>
      <c r="B26" s="12" t="inlineStr">
        <is>
          <t>Technology</t>
        </is>
      </c>
      <c r="C26" s="34" t="inlineStr">
        <is>
          <t>B1</t>
        </is>
      </c>
      <c r="D26" s="34" t="n">
        <v>4.06</v>
      </c>
      <c r="E26" s="12" t="inlineStr">
        <is>
          <t>Database Specialist – POD Lead</t>
        </is>
      </c>
      <c r="F26" s="80" t="inlineStr">
        <is>
          <t>Current L5 – Lead · IC → B1. No rule changed the level: the score decides.</t>
        </is>
      </c>
    </row>
    <row r="27" ht="28" customHeight="1">
      <c r="A27" s="10" t="inlineStr">
        <is>
          <t>Anand Usakoyal</t>
        </is>
      </c>
      <c r="B27" s="12" t="inlineStr">
        <is>
          <t>Technology</t>
        </is>
      </c>
      <c r="C27" s="34" t="inlineStr">
        <is>
          <t>B1</t>
        </is>
      </c>
      <c r="D27" s="34" t="n">
        <v>3.94</v>
      </c>
      <c r="E27" s="12" t="inlineStr">
        <is>
          <t>Associate Project Manager</t>
        </is>
      </c>
      <c r="F27" s="80" t="inlineStr">
        <is>
          <t>Current L5 – Lead · IC → B1. No rule changed the level: the score decides.</t>
        </is>
      </c>
    </row>
    <row r="28" ht="15" customHeight="1"/>
    <row r="29" ht="20" customHeight="1">
      <c r="A29" s="6" t="inlineStr">
        <is>
          <t>A6. Senior titles held by the structure gate — 0</t>
        </is>
      </c>
    </row>
    <row r="30" ht="15" customHeight="1">
      <c r="A30" s="32" t="inlineStr">
        <is>
          <t>Confirm whether the structure behind the title exists · team leads, a sub-function, a business line.</t>
        </is>
      </c>
    </row>
    <row r="31" ht="15" customHeight="1">
      <c r="A31" s="32" t="inlineStr">
        <is>
          <t>None.</t>
        </is>
      </c>
    </row>
    <row r="32" ht="20" customHeight="1">
      <c r="A32" s="6" t="inlineStr">
        <is>
          <t>A7. Provisional placements — 1</t>
        </is>
      </c>
    </row>
    <row r="33" ht="15" customHeight="1">
      <c r="A33" s="32" t="inlineStr">
        <is>
          <t>HR to confirm the experience record; the level is kept until then.</t>
        </is>
      </c>
    </row>
    <row r="34" ht="15" customHeight="1">
      <c r="A34" s="8" t="inlineStr">
        <is>
          <t>Person</t>
        </is>
      </c>
      <c r="B34" s="8" t="inlineStr">
        <is>
          <t>Department</t>
        </is>
      </c>
      <c r="C34" s="8" t="inlineStr">
        <is>
          <t>Level</t>
        </is>
      </c>
      <c r="D34" s="8" t="inlineStr">
        <is>
          <t>Score</t>
        </is>
      </c>
      <c r="E34" s="8" t="inlineStr">
        <is>
          <t>Designation</t>
        </is>
      </c>
      <c r="F34" s="8" t="inlineStr">
        <is>
          <t>What to decide, and why</t>
        </is>
      </c>
    </row>
    <row r="35" ht="28" customHeight="1">
      <c r="A35" s="10" t="inlineStr">
        <is>
          <t>Nidhi Kulkarni</t>
        </is>
      </c>
      <c r="B35" s="12" t="inlineStr">
        <is>
          <t>Technology</t>
        </is>
      </c>
      <c r="C35" s="34" t="inlineStr">
        <is>
          <t>A3</t>
        </is>
      </c>
      <c r="D35" s="34" t="n">
        <v>2.53</v>
      </c>
      <c r="E35" s="12" t="inlineStr">
        <is>
          <t>Senior Support Executive</t>
        </is>
      </c>
      <c r="F35" s="80" t="inlineStr">
        <is>
          <r>
            <rPr>
              <rFont val="Calibri"/>
              <b val="1"/>
              <color rgb="009C0006"/>
              <sz val="10"/>
            </rPr>
            <t>Provisional:</t>
          </r>
          <r>
            <rPr>
              <rFont val="Calibri"/>
              <color rgb="009C0006"/>
              <sz val="10"/>
            </rPr>
            <t xml:space="preserve"> experience to be confirmed by HR — level kept until confirmed</t>
          </r>
        </is>
      </c>
    </row>
    <row r="36" ht="15" customHeight="1"/>
    <row r="37" ht="15" customHeight="1">
      <c r="A37" s="33" t="inlineStr">
        <is>
          <t>B · INPUTS STILL NEEDED — BY OWNER · pay is needed for everyone and is set later</t>
        </is>
      </c>
    </row>
    <row r="38" ht="20" customHeight="1">
      <c r="A38" s="6" t="inlineStr">
        <is>
          <t>B · HR — 2</t>
        </is>
      </c>
    </row>
    <row r="39" ht="15" customHeight="1">
      <c r="A39" s="8" t="inlineStr">
        <is>
          <t>Person</t>
        </is>
      </c>
      <c r="B39" s="8" t="inlineStr">
        <is>
          <t>Department</t>
        </is>
      </c>
      <c r="C39" s="8" t="inlineStr">
        <is>
          <t>Level</t>
        </is>
      </c>
      <c r="D39" s="8" t="inlineStr">
        <is>
          <t>Score</t>
        </is>
      </c>
      <c r="E39" s="8" t="inlineStr">
        <is>
          <t>Designation</t>
        </is>
      </c>
      <c r="F39" s="8" t="inlineStr">
        <is>
          <t>Input needed</t>
        </is>
      </c>
    </row>
    <row r="40" ht="15" customHeight="1">
      <c r="A40" s="10" t="inlineStr">
        <is>
          <t>Nidhi Kulkarni</t>
        </is>
      </c>
      <c r="B40" s="12" t="inlineStr">
        <is>
          <t>Technology</t>
        </is>
      </c>
      <c r="C40" s="34" t="inlineStr">
        <is>
          <t>A3</t>
        </is>
      </c>
      <c r="D40" s="34" t="n">
        <v>2.53</v>
      </c>
      <c r="E40" s="12" t="inlineStr">
        <is>
          <t>Senior Support Executive</t>
        </is>
      </c>
      <c r="F40" s="80" t="inlineStr">
        <is>
          <t>Total experience · outside + at IRIS</t>
        </is>
      </c>
    </row>
    <row r="41" ht="15" customHeight="1">
      <c r="A41" s="10" t="inlineStr">
        <is>
          <t>Nidhi Kulkarni</t>
        </is>
      </c>
      <c r="B41" s="12" t="inlineStr">
        <is>
          <t>Technology</t>
        </is>
      </c>
      <c r="C41" s="34" t="inlineStr">
        <is>
          <t>A3</t>
        </is>
      </c>
      <c r="D41" s="34" t="n">
        <v>2.53</v>
      </c>
      <c r="E41" s="12" t="inlineStr">
        <is>
          <t>Senior Support Executive</t>
        </is>
      </c>
      <c r="F41" s="80" t="inlineStr">
        <is>
          <t>Confirm prior experience · provisional placement</t>
        </is>
      </c>
    </row>
    <row r="42" ht="15" customHeight="1"/>
    <row r="43" ht="20" customHeight="1">
      <c r="A43" s="6" t="inlineStr">
        <is>
          <t>B · Manager — 1</t>
        </is>
      </c>
    </row>
    <row r="44" ht="15" customHeight="1">
      <c r="A44" s="8" t="inlineStr">
        <is>
          <t>Person</t>
        </is>
      </c>
      <c r="B44" s="8" t="inlineStr">
        <is>
          <t>Department</t>
        </is>
      </c>
      <c r="C44" s="8" t="inlineStr">
        <is>
          <t>Level</t>
        </is>
      </c>
      <c r="D44" s="8" t="inlineStr">
        <is>
          <t>Score</t>
        </is>
      </c>
      <c r="E44" s="8" t="inlineStr">
        <is>
          <t>Designation</t>
        </is>
      </c>
      <c r="F44" s="8" t="inlineStr">
        <is>
          <t>Input needed</t>
        </is>
      </c>
    </row>
    <row r="45" ht="15" customHeight="1">
      <c r="A45" s="10" t="inlineStr">
        <is>
          <t>Swapnil Shirke</t>
        </is>
      </c>
      <c r="B45" s="12" t="inlineStr">
        <is>
          <t>Technology</t>
        </is>
      </c>
      <c r="C45" s="34" t="inlineStr">
        <is>
          <t>A3</t>
        </is>
      </c>
      <c r="D45" s="34" t="n">
        <v>2.91</v>
      </c>
      <c r="E45" s="12" t="inlineStr">
        <is>
          <t>Senior Software Engineer</t>
        </is>
      </c>
      <c r="F45" s="80" t="inlineStr">
        <is>
          <t>Confirm the reporting line</t>
        </is>
      </c>
    </row>
    <row r="46" ht="15" customHeight="1"/>
    <row r="47" ht="15" customHeight="1">
      <c r="A47" s="33" t="inlineStr">
        <is>
          <t>C · HOW THE STRUCTURE CHANGED IN THIS BUSINESS</t>
        </is>
      </c>
    </row>
    <row r="48" ht="20" customHeight="1">
      <c r="A48" s="6" t="inlineStr">
        <is>
          <t>C. Job families — before → after</t>
        </is>
      </c>
    </row>
    <row r="49" ht="15" customHeight="1">
      <c r="A49" s="8" t="inlineStr">
        <is>
          <t>Job family · now</t>
        </is>
      </c>
      <c r="B49" s="8" t="inlineStr">
        <is>
          <t>People</t>
        </is>
      </c>
      <c r="C49" s="83" t="inlineStr"/>
      <c r="D49" s="83" t="inlineStr"/>
      <c r="E49" s="8" t="inlineStr">
        <is>
          <t>Status</t>
        </is>
      </c>
      <c r="F49" s="8" t="inlineStr">
        <is>
          <t>What happened</t>
        </is>
      </c>
    </row>
    <row r="50" ht="28" customHeight="1">
      <c r="A50" s="10" t="inlineStr">
        <is>
          <t>Engineering &amp; Development</t>
        </is>
      </c>
      <c r="B50" s="34" t="n">
        <v>15</v>
      </c>
      <c r="C50" s="12" t="inlineStr"/>
      <c r="D50" s="12" t="inlineStr"/>
      <c r="E50" s="12" t="inlineStr">
        <is>
          <t>Regrouped</t>
        </is>
      </c>
      <c r="F50" s="12" t="inlineStr">
        <is>
          <t>Kept its name; part moved to Customer Success &amp; Support</t>
        </is>
      </c>
    </row>
    <row r="51" ht="15" customHeight="1">
      <c r="A51" s="10" t="inlineStr">
        <is>
          <t>Business Analysis</t>
        </is>
      </c>
      <c r="B51" s="34" t="n">
        <v>13</v>
      </c>
      <c r="C51" s="12" t="inlineStr"/>
      <c r="D51" s="12" t="inlineStr"/>
      <c r="E51" s="12" t="inlineStr">
        <is>
          <t>As is</t>
        </is>
      </c>
      <c r="F51" s="12" t="inlineStr">
        <is>
          <t>Unchanged</t>
        </is>
      </c>
    </row>
    <row r="52" ht="15" customHeight="1">
      <c r="A52" s="10" t="inlineStr">
        <is>
          <t>Quality Assurance</t>
        </is>
      </c>
      <c r="B52" s="34" t="n">
        <v>5</v>
      </c>
      <c r="C52" s="12" t="inlineStr"/>
      <c r="D52" s="12" t="inlineStr"/>
      <c r="E52" s="12" t="inlineStr">
        <is>
          <t>As is</t>
        </is>
      </c>
      <c r="F52" s="12" t="inlineStr">
        <is>
          <t>Unchanged</t>
        </is>
      </c>
    </row>
    <row r="53" ht="28" customHeight="1">
      <c r="A53" s="10" t="inlineStr">
        <is>
          <t>Customer Success &amp; Support</t>
        </is>
      </c>
      <c r="B53" s="34" t="n">
        <v>4</v>
      </c>
      <c r="C53" s="12" t="inlineStr"/>
      <c r="D53" s="12" t="inlineStr"/>
      <c r="E53" s="12" t="inlineStr">
        <is>
          <t>New</t>
        </is>
      </c>
      <c r="F53" s="12" t="inlineStr">
        <is>
          <t>Created from Product/Project · Employee Master ×2; Sales &amp; Business Development; Engineering &amp; Development</t>
        </is>
      </c>
    </row>
    <row r="54" ht="15" customHeight="1">
      <c r="A54" s="10" t="inlineStr">
        <is>
          <t>Product Management</t>
        </is>
      </c>
      <c r="B54" s="34" t="n">
        <v>3</v>
      </c>
      <c r="C54" s="12" t="inlineStr"/>
      <c r="D54" s="12" t="inlineStr"/>
      <c r="E54" s="12" t="inlineStr">
        <is>
          <t>Regrouped</t>
        </is>
      </c>
      <c r="F54" s="12" t="inlineStr">
        <is>
          <t>Kept its name; joined from Executive Leadership</t>
        </is>
      </c>
    </row>
    <row r="55" ht="28" customHeight="1">
      <c r="A55" s="10" t="inlineStr">
        <is>
          <t>Sales &amp; Business Development</t>
        </is>
      </c>
      <c r="B55" s="34" t="n">
        <v>3</v>
      </c>
      <c r="C55" s="12" t="inlineStr"/>
      <c r="D55" s="12" t="inlineStr"/>
      <c r="E55" s="12" t="inlineStr">
        <is>
          <t>Regrouped</t>
        </is>
      </c>
      <c r="F55" s="12" t="inlineStr">
        <is>
          <t>Kept its name; joined from Sales, Marketing &amp; Support · Employee Master; part moved to Customer Success &amp; Support</t>
        </is>
      </c>
    </row>
    <row r="56" ht="28" customHeight="1">
      <c r="A56" s="10" t="inlineStr">
        <is>
          <t>Marketing &amp; Communications</t>
        </is>
      </c>
      <c r="B56" s="34" t="n">
        <v>1</v>
      </c>
      <c r="C56" s="12" t="inlineStr"/>
      <c r="D56" s="12" t="inlineStr"/>
      <c r="E56" s="12" t="inlineStr">
        <is>
          <t>As is</t>
        </is>
      </c>
      <c r="F56" s="12" t="inlineStr">
        <is>
          <t>Unchanged</t>
        </is>
      </c>
    </row>
    <row r="57" ht="28" customHeight="1">
      <c r="A57" s="10" t="inlineStr">
        <is>
          <t>Engineering &amp; Architecture</t>
        </is>
      </c>
      <c r="B57" s="34" t="n">
        <v>1</v>
      </c>
      <c r="C57" s="12" t="inlineStr"/>
      <c r="D57" s="12" t="inlineStr"/>
      <c r="E57" s="12" t="inlineStr">
        <is>
          <t>As is</t>
        </is>
      </c>
      <c r="F57" s="12" t="inlineStr">
        <is>
          <t>Unchanged</t>
        </is>
      </c>
    </row>
    <row r="58" ht="28" customHeight="1">
      <c r="A58" s="10" t="inlineStr">
        <is>
          <t>Project &amp; Program Management</t>
        </is>
      </c>
      <c r="B58" s="34" t="n">
        <v>1</v>
      </c>
      <c r="C58" s="12" t="inlineStr"/>
      <c r="D58" s="12" t="inlineStr"/>
      <c r="E58" s="12" t="inlineStr">
        <is>
          <t>As is</t>
        </is>
      </c>
      <c r="F58" s="12" t="inlineStr">
        <is>
          <t>Unchanged</t>
        </is>
      </c>
    </row>
    <row r="59" ht="15" customHeight="1">
      <c r="A59" s="10" t="inlineStr">
        <is>
          <t>Executive Leadership</t>
        </is>
      </c>
      <c r="B59" s="34" t="n">
        <v>1</v>
      </c>
      <c r="C59" s="12" t="inlineStr"/>
      <c r="D59" s="12" t="inlineStr"/>
      <c r="E59" s="12" t="inlineStr">
        <is>
          <t>Regrouped</t>
        </is>
      </c>
      <c r="F59" s="12" t="inlineStr">
        <is>
          <t>Kept its name; part moved to Product Management</t>
        </is>
      </c>
    </row>
    <row r="60" ht="15" customHeight="1"/>
    <row r="61" ht="28" customHeight="1">
      <c r="A61" s="32" t="inlineStr">
        <is>
          <r>
            <rPr>
              <rFont val="Calibri"/>
              <b val="1"/>
              <i val="1"/>
              <color rgb="00595959"/>
              <sz val="10"/>
            </rPr>
            <t>Status:</t>
          </r>
          <r>
            <rPr>
              <rFont val="Calibri"/>
              <i val="1"/>
              <color rgb="00595959"/>
              <sz val="10"/>
            </rPr>
            <t xml:space="preserve"> As is = same name and people · Renamed = one old name became one new name · Regrouped = existing name, people joined or left · New = formed from old names.</t>
          </r>
        </is>
      </c>
    </row>
    <row r="62" ht="20" customHeight="1">
      <c r="A62" s="6" t="inlineStr">
        <is>
          <t>D · What happens next</t>
        </is>
      </c>
    </row>
    <row r="63" ht="15" customHeight="1">
      <c r="A63" s="8" t="inlineStr">
        <is>
          <t>Step</t>
        </is>
      </c>
      <c r="B63" s="83" t="inlineStr"/>
      <c r="C63" s="83" t="inlineStr"/>
      <c r="D63" s="83" t="inlineStr"/>
      <c r="E63" s="8" t="inlineStr">
        <is>
          <t>Who</t>
        </is>
      </c>
      <c r="F63" s="8" t="inlineStr">
        <is>
          <t>What</t>
        </is>
      </c>
    </row>
    <row r="64" ht="28" customHeight="1">
      <c r="A64" s="10" t="inlineStr">
        <is>
          <t>1. Validate</t>
        </is>
      </c>
      <c r="B64" s="12" t="inlineStr"/>
      <c r="C64" s="12" t="inlineStr"/>
      <c r="D64" s="12" t="inlineStr"/>
      <c r="E64" s="12" t="inlineStr">
        <is>
          <t>You and your managers</t>
        </is>
      </c>
      <c r="F64" s="12" t="inlineStr">
        <is>
          <t>Mark Agree / Change / Discuss for each person on sheet 2; give the reason for every change</t>
        </is>
      </c>
    </row>
    <row r="65" ht="28" customHeight="1">
      <c r="A65" s="10" t="inlineStr">
        <is>
          <t>2. Supply inputs</t>
        </is>
      </c>
      <c r="B65" s="12" t="inlineStr"/>
      <c r="C65" s="12" t="inlineStr"/>
      <c r="D65" s="12" t="inlineStr"/>
      <c r="E65" s="12" t="inlineStr">
        <is>
          <t>Owners in section B</t>
        </is>
      </c>
      <c r="F65" s="12" t="inlineStr">
        <is>
          <r>
            <rPr>
              <rFont val="Calibri"/>
              <b val="1"/>
              <sz val="10"/>
            </rPr>
            <t>Clear the red cells:</t>
          </r>
          <r>
            <rPr>
              <rFont val="Calibri"/>
              <sz val="10"/>
            </rPr>
            <t xml:space="preserve"> experience records, KRAs, reporting lines, scope confirmations</t>
          </r>
        </is>
      </c>
    </row>
    <row r="66" ht="28" customHeight="1">
      <c r="A66" s="10" t="inlineStr">
        <is>
          <t>3. Calibrate</t>
        </is>
      </c>
      <c r="B66" s="12" t="inlineStr"/>
      <c r="C66" s="12" t="inlineStr"/>
      <c r="D66" s="12" t="inlineStr"/>
      <c r="E66" s="12" t="inlineStr">
        <is>
          <t>Cross-business panel</t>
        </is>
      </c>
      <c r="F66" s="12" t="inlineStr">
        <is>
          <t>Decides section A cases against peers in other businesses, and all C-band and higher placements</t>
        </is>
      </c>
    </row>
    <row r="67" ht="28" customHeight="1">
      <c r="A67" s="10" t="inlineStr">
        <is>
          <t>4. Approve</t>
        </is>
      </c>
      <c r="B67" s="12" t="inlineStr"/>
      <c r="C67" s="12" t="inlineStr"/>
      <c r="D67" s="12" t="inlineStr"/>
      <c r="E67" s="12" t="inlineStr">
        <is>
          <t>HR; CEO for model changes</t>
        </is>
      </c>
      <c r="F67" s="12" t="inlineStr">
        <is>
          <t>HR approves placements; moves down are protected for one cycle; designations take effect</t>
        </is>
      </c>
    </row>
    <row r="68" ht="28" customHeight="1">
      <c r="A68" s="10" t="inlineStr">
        <is>
          <t>5. Price</t>
        </is>
      </c>
      <c r="B68" s="12" t="inlineStr"/>
      <c r="C68" s="12" t="inlineStr"/>
      <c r="D68" s="12" t="inlineStr"/>
      <c r="E68" s="12" t="inlineStr">
        <is>
          <t>HR</t>
        </is>
      </c>
      <c r="F68" s="12" t="inlineStr">
        <is>
          <t>Pay ranges per level from a purchased market survey; nothing changes pay before then</t>
        </is>
      </c>
    </row>
  </sheetData>
  <mergeCells count="28">
    <mergeCell ref="A16:F16"/>
    <mergeCell ref="A37:F37"/>
    <mergeCell ref="A12:F12"/>
    <mergeCell ref="A18:F18"/>
    <mergeCell ref="A3:F3"/>
    <mergeCell ref="A2:F2"/>
    <mergeCell ref="A33:F33"/>
    <mergeCell ref="A47:F47"/>
    <mergeCell ref="A14:F14"/>
    <mergeCell ref="A5:F5"/>
    <mergeCell ref="A23:F23"/>
    <mergeCell ref="A32:F32"/>
    <mergeCell ref="A17:F17"/>
    <mergeCell ref="A62:F62"/>
    <mergeCell ref="A29:F29"/>
    <mergeCell ref="A43:F43"/>
    <mergeCell ref="A38:F38"/>
    <mergeCell ref="A13:F13"/>
    <mergeCell ref="A31:F31"/>
    <mergeCell ref="A48:F48"/>
    <mergeCell ref="A30:F30"/>
    <mergeCell ref="A15:F15"/>
    <mergeCell ref="A24:F24"/>
    <mergeCell ref="A11:F11"/>
    <mergeCell ref="A1:F1"/>
    <mergeCell ref="A61:F61"/>
    <mergeCell ref="A6:F6"/>
    <mergeCell ref="A7:F7"/>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6.xml><?xml version="1.0" encoding="utf-8"?>
<worksheet xmlns="http://schemas.openxmlformats.org/spreadsheetml/2006/main">
  <sheetPr>
    <tabColor rgb="002E75B6"/>
    <outlinePr summaryBelow="1" summaryRight="1"/>
    <pageSetUpPr fitToPage="1"/>
  </sheetPr>
  <dimension ref="A1:Q35"/>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iDEAL: department → band → level, competencies and overlaps</t>
        </is>
      </c>
      <c r="Q1" s="95" t="inlineStr">
        <is>
          <t>◂ Start Here</t>
        </is>
      </c>
    </row>
    <row r="2" ht="32" customHeight="1">
      <c r="A2" s="3" t="inlineStr">
        <is>
          <t>Sheet 5 · 47 people in 6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65" t="inlineStr">
        <is>
          <t>Department</t>
        </is>
      </c>
      <c r="B6" s="65" t="inlineStr">
        <is>
          <t>Band</t>
        </is>
      </c>
      <c r="C6" s="65" t="inlineStr">
        <is>
          <t>Level</t>
        </is>
      </c>
      <c r="D6" s="65" t="inlineStr">
        <is>
          <t>Level title</t>
        </is>
      </c>
      <c r="E6" s="65" t="inlineStr">
        <is>
          <t>Job family</t>
        </is>
      </c>
      <c r="F6" s="65" t="inlineStr">
        <is>
          <t>Sub-family</t>
        </is>
      </c>
      <c r="G6" s="65" t="inlineStr">
        <is>
          <t>Designation</t>
        </is>
      </c>
      <c r="H6" s="65" t="inlineStr">
        <is>
          <t>Track</t>
        </is>
      </c>
      <c r="I6" s="65" t="inlineStr">
        <is>
          <t>Holders</t>
        </is>
      </c>
      <c r="J6" s="65" t="inlineStr">
        <is>
          <t>Ladder in this sub-family here · level: designation</t>
        </is>
      </c>
      <c r="K6" s="65" t="inlineStr">
        <is>
          <t>★ Must-have competencies</t>
        </is>
      </c>
      <c r="L6" s="65" t="inlineStr">
        <is>
          <t>Other functional competencies</t>
        </is>
      </c>
      <c r="M6" s="65" t="inlineStr">
        <is>
          <t>Proficiency needed</t>
        </is>
      </c>
      <c r="N6" s="65" t="inlineStr">
        <is>
          <t>Credentials</t>
        </is>
      </c>
      <c r="O6" s="65" t="inlineStr">
        <is>
          <t>Overlap within iDEAL · same work in other departments</t>
        </is>
      </c>
      <c r="P6" s="65" t="inlineStr">
        <is>
          <t>Overlap across IRIS · same work in other products</t>
        </is>
      </c>
    </row>
    <row r="7" ht="68" customHeight="1">
      <c r="A7" s="12" t="inlineStr">
        <is>
          <t>Marketing</t>
        </is>
      </c>
      <c r="B7" s="17" t="inlineStr">
        <is>
          <t>A · Practitioner</t>
        </is>
      </c>
      <c r="C7" s="17" t="inlineStr">
        <is>
          <t>A2</t>
        </is>
      </c>
      <c r="D7" s="12" t="inlineStr">
        <is>
          <t>Associate</t>
        </is>
      </c>
      <c r="E7" s="12" t="inlineStr">
        <is>
          <t>Marketing &amp; Communications</t>
        </is>
      </c>
      <c r="F7" s="12" t="inlineStr">
        <is>
          <t>Content Marketing</t>
        </is>
      </c>
      <c r="G7" s="12" t="inlineStr">
        <is>
          <t>Content Marketing Associate</t>
        </is>
      </c>
      <c r="H7" s="12" t="inlineStr">
        <is>
          <t>IC</t>
        </is>
      </c>
      <c r="I7" s="12" t="n">
        <v>1</v>
      </c>
      <c r="J7" s="12" t="inlineStr">
        <is>
          <r>
            <rPr>
              <rFont val="Calibri"/>
              <b val="1"/>
              <sz val="10"/>
            </rPr>
            <t>A2:</t>
          </r>
          <r>
            <rPr>
              <rFont val="Calibri"/>
              <sz val="10"/>
            </rPr>
            <t xml:space="preserve"> Content Marketing Associate</t>
          </r>
        </is>
      </c>
      <c r="K7" s="12" t="inlineStr">
        <is>
          <t>Marketing Tech &amp; Digital Marketing · Communication &amp; Presentation</t>
        </is>
      </c>
      <c r="L7" s="12" t="inlineStr">
        <is>
          <t>Data Analytics, BI &amp; Visualisation · AI, GenAI &amp; Prompt Engineering · Product, Platform &amp; Domain Knowledge · Strategic Thinking &amp; Business Acumen</t>
        </is>
      </c>
      <c r="M7" s="12" t="inlineStr">
        <is>
          <t>Core 2 · Future-ready 2 · Functional 2 · Leadership —</t>
        </is>
      </c>
      <c r="N7" s="12" t="inlineStr">
        <is>
          <t>Google / HubSpot certifications</t>
        </is>
      </c>
      <c r="O7" s="12" t="inlineStr">
        <is>
          <t>None — only this department</t>
        </is>
      </c>
      <c r="P7" s="17" t="inlineStr">
        <is>
          <t>CARBON 4
Same title</t>
        </is>
      </c>
    </row>
    <row r="8" ht="55" customHeight="1">
      <c r="A8" s="12" t="inlineStr">
        <is>
          <t>Product Management</t>
        </is>
      </c>
      <c r="B8" s="17" t="inlineStr">
        <is>
          <t>A · Practitioner</t>
        </is>
      </c>
      <c r="C8" s="17" t="inlineStr">
        <is>
          <t>A3</t>
        </is>
      </c>
      <c r="D8" s="12" t="inlineStr">
        <is>
          <t>Senior Associate</t>
        </is>
      </c>
      <c r="E8" s="12" t="inlineStr">
        <is>
          <t>Product Management</t>
        </is>
      </c>
      <c r="F8" s="12" t="inlineStr">
        <is>
          <t>Product Operations &amp; Research</t>
        </is>
      </c>
      <c r="G8" s="12" t="inlineStr">
        <is>
          <t>Senior Product Analyst</t>
        </is>
      </c>
      <c r="H8" s="12" t="inlineStr">
        <is>
          <t>IC</t>
        </is>
      </c>
      <c r="I8" s="12" t="n">
        <v>1</v>
      </c>
      <c r="J8" s="12" t="inlineStr">
        <is>
          <r>
            <rPr>
              <rFont val="Calibri"/>
              <b val="1"/>
              <sz val="10"/>
            </rPr>
            <t>A3:</t>
          </r>
          <r>
            <rPr>
              <rFont val="Calibri"/>
              <sz val="10"/>
            </rPr>
            <t xml:space="preserve"> Senior Product Analyst</t>
          </r>
        </is>
      </c>
      <c r="K8" s="12" t="inlineStr">
        <is>
          <t>Product, Platform &amp; Domain Knowledge · Business Analysis &amp; Requirements Engineering</t>
        </is>
      </c>
      <c r="L8" s="12" t="inlineStr">
        <is>
          <t>Data Analytics, BI &amp; Visualisation · Strategic Thinking &amp; Business Acumen · Stakeholder &amp; Client Management · AI, GenAI &amp; Prompt Engineering</t>
        </is>
      </c>
      <c r="M8" s="12" t="inlineStr">
        <is>
          <t>Core 2 · Future-ready 2 · Functional 3 · Leadership —</t>
        </is>
      </c>
      <c r="N8" s="12" t="inlineStr">
        <is>
          <t>Internal product certification; CBAP / CCBA · optional</t>
        </is>
      </c>
      <c r="O8" s="12" t="inlineStr">
        <is>
          <t>None — only this department</t>
        </is>
      </c>
      <c r="P8" s="12" t="inlineStr">
        <is>
          <t>None — only iDEAL</t>
        </is>
      </c>
    </row>
    <row r="9" ht="55" customHeight="1">
      <c r="A9" s="12" t="inlineStr">
        <is>
          <t>Product Management</t>
        </is>
      </c>
      <c r="B9" s="21" t="inlineStr">
        <is>
          <t>B · Specialist / Manager</t>
        </is>
      </c>
      <c r="C9" s="21" t="inlineStr">
        <is>
          <t>B2</t>
        </is>
      </c>
      <c r="D9" s="12" t="inlineStr">
        <is>
          <t>Manager</t>
        </is>
      </c>
      <c r="E9" s="12" t="inlineStr">
        <is>
          <t>Product Management</t>
        </is>
      </c>
      <c r="F9" s="12" t="inlineStr">
        <is>
          <t>Product Management</t>
        </is>
      </c>
      <c r="G9" s="12" t="inlineStr">
        <is>
          <t>Product Manager</t>
        </is>
      </c>
      <c r="H9" s="12" t="inlineStr">
        <is>
          <t>People Manager</t>
        </is>
      </c>
      <c r="I9" s="12" t="n">
        <v>2</v>
      </c>
      <c r="J9" s="12" t="inlineStr">
        <is>
          <r>
            <rPr>
              <rFont val="Calibri"/>
              <b val="1"/>
              <sz val="10"/>
            </rPr>
            <t>B2:</t>
          </r>
          <r>
            <rPr>
              <rFont val="Calibri"/>
              <sz val="10"/>
            </rPr>
            <t xml:space="preserve"> Product Manager</t>
          </r>
        </is>
      </c>
      <c r="K9" s="12" t="inlineStr">
        <is>
          <t>Product, Platform &amp; Domain Knowledge · Business Analysis &amp; Requirements Engineering</t>
        </is>
      </c>
      <c r="L9" s="12" t="inlineStr">
        <is>
          <t>Data Analytics, BI &amp; Visualisation · Strategic Thinking &amp; Business Acumen · Stakeholder &amp; Client Management · AI, GenAI &amp; Prompt Engineering</t>
        </is>
      </c>
      <c r="M9" s="12" t="inlineStr">
        <is>
          <t>Core 3 · Future-ready 3 · Functional 4 · Leadership 3</t>
        </is>
      </c>
      <c r="N9" s="12" t="inlineStr">
        <is>
          <t>Internal product certification; CBAP / CCBA · optional</t>
        </is>
      </c>
      <c r="O9" s="12" t="inlineStr">
        <is>
          <t>None — only this department</t>
        </is>
      </c>
      <c r="P9" s="17" t="inlineStr">
        <is>
          <t>Datatech 3 · CARBON 1
Same title</t>
        </is>
      </c>
    </row>
    <row r="10" ht="55" customHeight="1">
      <c r="A10" s="12" t="inlineStr">
        <is>
          <t>Quality Assurance</t>
        </is>
      </c>
      <c r="B10" s="17" t="inlineStr">
        <is>
          <t>A · Practitioner</t>
        </is>
      </c>
      <c r="C10" s="17" t="inlineStr">
        <is>
          <t>A3</t>
        </is>
      </c>
      <c r="D10" s="12" t="inlineStr">
        <is>
          <t>Senior Associate</t>
        </is>
      </c>
      <c r="E10" s="12" t="inlineStr">
        <is>
          <t>Quality Assurance</t>
        </is>
      </c>
      <c r="F10" s="12" t="inlineStr">
        <is>
          <t>Functional &amp; Domain Testing</t>
        </is>
      </c>
      <c r="G10" s="12" t="inlineStr">
        <is>
          <t>Senior QA Engineer</t>
        </is>
      </c>
      <c r="H10" s="12" t="inlineStr">
        <is>
          <t>IC</t>
        </is>
      </c>
      <c r="I10" s="12" t="n">
        <v>1</v>
      </c>
      <c r="J10" s="12" t="inlineStr">
        <is>
          <r>
            <rPr>
              <rFont val="Calibri"/>
              <b val="1"/>
              <sz val="10"/>
            </rPr>
            <t>A3:</t>
          </r>
          <r>
            <rPr>
              <rFont val="Calibri"/>
              <sz val="10"/>
            </rPr>
            <t xml:space="preserve"> Senior QA Engineer → B1: QA Manager</t>
          </r>
        </is>
      </c>
      <c r="K10" s="12" t="inlineStr">
        <is>
          <t>Test Automation &amp; QA Engineering · Product, Platform &amp; Domain Knowledge</t>
        </is>
      </c>
      <c r="L10" s="12" t="inlineStr">
        <is>
          <t>Database, SQL &amp; Data Engineering · AI, GenAI &amp; Prompt Engineering · Process Improvement &amp; Quality Mindset · Communication &amp; Presentation</t>
        </is>
      </c>
      <c r="M10" s="12" t="inlineStr">
        <is>
          <t>Core 2 · Future-ready 2 · Functional 3 · Leadership —</t>
        </is>
      </c>
      <c r="N10" s="12" t="inlineStr">
        <is>
          <t>ISTQB Foundation / Advanced; Internal product certification</t>
        </is>
      </c>
      <c r="O10" s="12" t="inlineStr">
        <is>
          <t>None — only this department</t>
        </is>
      </c>
      <c r="P10" s="17" t="inlineStr">
        <is>
          <r>
            <rPr>
              <rFont val="Calibri"/>
              <sz val="10"/>
            </rPr>
            <t xml:space="preserve">iFile 11 · CARBON 7 · Datatech 1
</t>
          </r>
          <r>
            <rPr>
              <rFont val="Calibri"/>
              <b val="1"/>
              <sz val="10"/>
            </rPr>
            <t>Titled there:</t>
          </r>
          <r>
            <rPr>
              <rFont val="Calibri"/>
              <sz val="10"/>
            </rPr>
            <t xml:space="preserve"> QA Specialist / Senior QA Engineer</t>
          </r>
        </is>
      </c>
    </row>
    <row r="11" ht="55" customHeight="1">
      <c r="A11" s="12" t="inlineStr">
        <is>
          <t>Quality Assurance</t>
        </is>
      </c>
      <c r="B11" s="17" t="inlineStr">
        <is>
          <t>A · Practitioner</t>
        </is>
      </c>
      <c r="C11" s="17" t="inlineStr">
        <is>
          <t>A3</t>
        </is>
      </c>
      <c r="D11" s="12" t="inlineStr">
        <is>
          <t>Senior Associate</t>
        </is>
      </c>
      <c r="E11" s="12" t="inlineStr">
        <is>
          <t>Quality Assurance</t>
        </is>
      </c>
      <c r="F11" s="12" t="inlineStr">
        <is>
          <t>Test Automation</t>
        </is>
      </c>
      <c r="G11" s="12" t="inlineStr">
        <is>
          <t>Senior QA Automation Engineer</t>
        </is>
      </c>
      <c r="H11" s="12" t="inlineStr">
        <is>
          <t>IC</t>
        </is>
      </c>
      <c r="I11" s="12" t="n">
        <v>3</v>
      </c>
      <c r="J11" s="12" t="inlineStr">
        <is>
          <r>
            <rPr>
              <rFont val="Calibri"/>
              <b val="1"/>
              <sz val="10"/>
            </rPr>
            <t>A3:</t>
          </r>
          <r>
            <rPr>
              <rFont val="Calibri"/>
              <sz val="10"/>
            </rPr>
            <t xml:space="preserve"> Senior QA Automation Engineer</t>
          </r>
        </is>
      </c>
      <c r="K11" s="12" t="inlineStr">
        <is>
          <t>Test Automation &amp; QA Engineering · Product, Platform &amp; Domain Knowledge</t>
        </is>
      </c>
      <c r="L11" s="12" t="inlineStr">
        <is>
          <t>Database, SQL &amp; Data Engineering · AI, GenAI &amp; Prompt Engineering · Process Improvement &amp; Quality Mindset · Communication &amp; Presentation</t>
        </is>
      </c>
      <c r="M11" s="12" t="inlineStr">
        <is>
          <t>Core 2 · Future-ready 2 · Functional 3 · Leadership —</t>
        </is>
      </c>
      <c r="N11" s="12" t="inlineStr">
        <is>
          <t>ISTQB Foundation / Advanced; Internal product certification</t>
        </is>
      </c>
      <c r="O11" s="12" t="inlineStr">
        <is>
          <t>None — only this department</t>
        </is>
      </c>
      <c r="P11" s="17" t="inlineStr">
        <is>
          <t>CARBON 1 · iFile 1 · Datatech 1
Same title</t>
        </is>
      </c>
    </row>
    <row r="12" ht="55" customHeight="1">
      <c r="A12" s="12" t="inlineStr">
        <is>
          <t>Quality Assurance</t>
        </is>
      </c>
      <c r="B12" s="21" t="inlineStr">
        <is>
          <t>B · Specialist / Manager</t>
        </is>
      </c>
      <c r="C12" s="21" t="inlineStr">
        <is>
          <t>B1</t>
        </is>
      </c>
      <c r="D12" s="12" t="inlineStr">
        <is>
          <t>Team Lead</t>
        </is>
      </c>
      <c r="E12" s="12" t="inlineStr">
        <is>
          <t>Quality Assurance</t>
        </is>
      </c>
      <c r="F12" s="12" t="inlineStr">
        <is>
          <t>Functional &amp; Domain Testing</t>
        </is>
      </c>
      <c r="G12" s="12" t="inlineStr">
        <is>
          <t>QA Manager</t>
        </is>
      </c>
      <c r="H12" s="12" t="inlineStr">
        <is>
          <t>People Manager</t>
        </is>
      </c>
      <c r="I12" s="12" t="n">
        <v>1</v>
      </c>
      <c r="J12" s="12" t="inlineStr">
        <is>
          <r>
            <rPr>
              <rFont val="Calibri"/>
              <b val="1"/>
              <sz val="10"/>
            </rPr>
            <t>A3:</t>
          </r>
          <r>
            <rPr>
              <rFont val="Calibri"/>
              <sz val="10"/>
            </rPr>
            <t xml:space="preserve"> Senior QA Engineer → B1: QA Manager</t>
          </r>
        </is>
      </c>
      <c r="K12" s="12" t="inlineStr">
        <is>
          <t>Test Automation &amp; QA Engineering · Product, Platform &amp; Domain Knowledge</t>
        </is>
      </c>
      <c r="L12" s="12" t="inlineStr">
        <is>
          <t>Database, SQL &amp; Data Engineering · AI, GenAI &amp; Prompt Engineering · Process Improvement &amp; Quality Mindset · Communication &amp; Presentation</t>
        </is>
      </c>
      <c r="M12" s="12" t="inlineStr">
        <is>
          <t>Core 3 · Future-ready 3 · Functional 3 · Leadership 2</t>
        </is>
      </c>
      <c r="N12" s="12" t="inlineStr">
        <is>
          <t>ISTQB Foundation / Advanced; Internal product certification</t>
        </is>
      </c>
      <c r="O12" s="12" t="inlineStr">
        <is>
          <t>None — only this department</t>
        </is>
      </c>
      <c r="P12" s="17" t="inlineStr">
        <is>
          <r>
            <rPr>
              <rFont val="Calibri"/>
              <sz val="10"/>
            </rPr>
            <t xml:space="preserve">iFile 3
</t>
          </r>
          <r>
            <rPr>
              <rFont val="Calibri"/>
              <b val="1"/>
              <sz val="10"/>
            </rPr>
            <t>Titled there:</t>
          </r>
          <r>
            <rPr>
              <rFont val="Calibri"/>
              <sz val="10"/>
            </rPr>
            <t xml:space="preserve"> QA Specialist – POD Lead</t>
          </r>
        </is>
      </c>
    </row>
    <row r="13" ht="55" customHeight="1">
      <c r="A13" s="12" t="inlineStr">
        <is>
          <t>Sales</t>
        </is>
      </c>
      <c r="B13" s="17" t="inlineStr">
        <is>
          <t>A · Practitioner</t>
        </is>
      </c>
      <c r="C13" s="17" t="inlineStr">
        <is>
          <t>A1</t>
        </is>
      </c>
      <c r="D13" s="12" t="inlineStr">
        <is>
          <t>Intern / Trainee</t>
        </is>
      </c>
      <c r="E13" s="12" t="inlineStr">
        <is>
          <t>Customer Success &amp; Support</t>
        </is>
      </c>
      <c r="F13" s="12" t="inlineStr">
        <is>
          <t>Application &amp; Product Support</t>
        </is>
      </c>
      <c r="G13" s="12" t="inlineStr">
        <is>
          <t>Intern – Application &amp; Product Support</t>
        </is>
      </c>
      <c r="H13" s="12" t="inlineStr">
        <is>
          <t>IC</t>
        </is>
      </c>
      <c r="I13" s="12" t="n">
        <v>1</v>
      </c>
      <c r="J13" s="12" t="inlineStr">
        <is>
          <r>
            <rPr>
              <rFont val="Calibri"/>
              <b val="1"/>
              <sz val="10"/>
            </rPr>
            <t>A1:</t>
          </r>
          <r>
            <rPr>
              <rFont val="Calibri"/>
              <sz val="10"/>
            </rPr>
            <t xml:space="preserve"> Intern – Application &amp; Product Support</t>
          </r>
        </is>
      </c>
      <c r="K13" s="12" t="inlineStr">
        <is>
          <t>Product, Platform &amp; Domain Knowledge · Stakeholder &amp; Client Management</t>
        </is>
      </c>
      <c r="L13" s="12" t="inlineStr">
        <is>
          <t>Communication &amp; Presentation · Database, SQL &amp; Data Engineering · Regulatory &amp; BFSI Domain · Process Improvement &amp; Quality Mindset</t>
        </is>
      </c>
      <c r="M13" s="12" t="inlineStr">
        <is>
          <t>Core 1 · Future-ready 1 · Functional 1 · Leadership —</t>
        </is>
      </c>
      <c r="N13" s="12" t="inlineStr">
        <is>
          <t>Internal product certification</t>
        </is>
      </c>
      <c r="O13" s="12" t="inlineStr">
        <is>
          <t>None — only this department</t>
        </is>
      </c>
      <c r="P13" s="17" t="inlineStr">
        <is>
          <t>iFile 1
Same title</t>
        </is>
      </c>
    </row>
    <row r="14" ht="55" customHeight="1">
      <c r="A14" s="12" t="inlineStr">
        <is>
          <t>Sales</t>
        </is>
      </c>
      <c r="B14" s="17" t="inlineStr">
        <is>
          <t>A · Practitioner</t>
        </is>
      </c>
      <c r="C14" s="17" t="inlineStr">
        <is>
          <t>A3</t>
        </is>
      </c>
      <c r="D14" s="12" t="inlineStr">
        <is>
          <t>Senior Associate</t>
        </is>
      </c>
      <c r="E14" s="12" t="inlineStr">
        <is>
          <t>Sales &amp; Business Development</t>
        </is>
      </c>
      <c r="F14" s="12" t="inlineStr">
        <is>
          <t>Partnerships &amp; Alliances</t>
        </is>
      </c>
      <c r="G14" s="12" t="inlineStr">
        <is>
          <t>Senior Alliances Executive</t>
        </is>
      </c>
      <c r="H14" s="12" t="inlineStr">
        <is>
          <t>IC</t>
        </is>
      </c>
      <c r="I14" s="12" t="n">
        <v>1</v>
      </c>
      <c r="J14" s="12" t="inlineStr">
        <is>
          <r>
            <rPr>
              <rFont val="Calibri"/>
              <b val="1"/>
              <sz val="10"/>
            </rPr>
            <t>A3:</t>
          </r>
          <r>
            <rPr>
              <rFont val="Calibri"/>
              <sz val="10"/>
            </rPr>
            <t xml:space="preserve"> Senior Alliances Executive</t>
          </r>
        </is>
      </c>
      <c r="K14" s="12" t="inlineStr">
        <is>
          <t>Sales, Negotiation &amp; Account Growth · Marketing Tech &amp; Digital Marketing</t>
        </is>
      </c>
      <c r="L14" s="12" t="inlineStr">
        <is>
          <t>Stakeholder &amp; Client Management · Communication &amp; Presentation · Product, Platform &amp; Domain Knowledge · Strategic Thinking &amp; Business Acumen</t>
        </is>
      </c>
      <c r="M14" s="12" t="inlineStr">
        <is>
          <t>Core 2 · Future-ready 2 · Functional 3 · Leadership —</t>
        </is>
      </c>
      <c r="N14" s="12" t="inlineStr">
        <is>
          <t>Google / HubSpot certifications</t>
        </is>
      </c>
      <c r="O14" s="12" t="inlineStr">
        <is>
          <t>None — only this department</t>
        </is>
      </c>
      <c r="P14" s="12" t="inlineStr">
        <is>
          <t>None — only iDEAL</t>
        </is>
      </c>
    </row>
    <row r="15" ht="55" customHeight="1">
      <c r="A15" s="12" t="inlineStr">
        <is>
          <t>Sales</t>
        </is>
      </c>
      <c r="B15" s="21" t="inlineStr">
        <is>
          <t>B · Specialist / Manager</t>
        </is>
      </c>
      <c r="C15" s="21" t="inlineStr">
        <is>
          <t>B1</t>
        </is>
      </c>
      <c r="D15" s="12" t="inlineStr">
        <is>
          <t>Specialist</t>
        </is>
      </c>
      <c r="E15" s="12" t="inlineStr">
        <is>
          <t>Sales &amp; Business Development</t>
        </is>
      </c>
      <c r="F15" s="12" t="inlineStr">
        <is>
          <t>Enterprise Sales &amp; Account Management</t>
        </is>
      </c>
      <c r="G15" s="12" t="inlineStr">
        <is>
          <t>Account Executive</t>
        </is>
      </c>
      <c r="H15" s="12" t="inlineStr">
        <is>
          <t>IC</t>
        </is>
      </c>
      <c r="I15" s="12" t="n">
        <v>1</v>
      </c>
      <c r="J15" s="12" t="inlineStr">
        <is>
          <r>
            <rPr>
              <rFont val="Calibri"/>
              <b val="1"/>
              <sz val="10"/>
            </rPr>
            <t>B1:</t>
          </r>
          <r>
            <rPr>
              <rFont val="Calibri"/>
              <sz val="10"/>
            </rPr>
            <t xml:space="preserve"> Account Executive → B2: Senior Account Executive</t>
          </r>
        </is>
      </c>
      <c r="K15" s="12" t="inlineStr">
        <is>
          <t>Sales, Negotiation &amp; Account Growth · Marketing Tech &amp; Digital Marketing</t>
        </is>
      </c>
      <c r="L15" s="12" t="inlineStr">
        <is>
          <t>Stakeholder &amp; Client Management · Communication &amp; Presentation · Product, Platform &amp; Domain Knowledge · Strategic Thinking &amp; Business Acumen</t>
        </is>
      </c>
      <c r="M15" s="12" t="inlineStr">
        <is>
          <t>Core 3 · Future-ready 3 · Functional 3 · Leadership 1</t>
        </is>
      </c>
      <c r="N15" s="12" t="inlineStr">
        <is>
          <t>Google / HubSpot certifications</t>
        </is>
      </c>
      <c r="O15" s="12" t="inlineStr">
        <is>
          <t>None — only this department</t>
        </is>
      </c>
      <c r="P15" s="17" t="inlineStr">
        <is>
          <r>
            <rPr>
              <rFont val="Calibri"/>
              <sz val="10"/>
            </rPr>
            <t xml:space="preserve">iFile 1
</t>
          </r>
          <r>
            <rPr>
              <rFont val="Calibri"/>
              <b val="1"/>
              <sz val="10"/>
            </rPr>
            <t>Titled there:</t>
          </r>
          <r>
            <rPr>
              <rFont val="Calibri"/>
              <sz val="10"/>
            </rPr>
            <t xml:space="preserve"> Account Executive – POD Lead</t>
          </r>
        </is>
      </c>
    </row>
    <row r="16" ht="55" customHeight="1">
      <c r="A16" s="12" t="inlineStr">
        <is>
          <t>Sales</t>
        </is>
      </c>
      <c r="B16" s="21" t="inlineStr">
        <is>
          <t>B · Specialist / Manager</t>
        </is>
      </c>
      <c r="C16" s="21" t="inlineStr">
        <is>
          <t>B2</t>
        </is>
      </c>
      <c r="D16" s="12" t="inlineStr">
        <is>
          <t>Senior Specialist</t>
        </is>
      </c>
      <c r="E16" s="12" t="inlineStr">
        <is>
          <t>Sales &amp; Business Development</t>
        </is>
      </c>
      <c r="F16" s="12" t="inlineStr">
        <is>
          <t>Enterprise Sales &amp; Account Management</t>
        </is>
      </c>
      <c r="G16" s="12" t="inlineStr">
        <is>
          <t>Senior Account Executive</t>
        </is>
      </c>
      <c r="H16" s="12" t="inlineStr">
        <is>
          <t>IC</t>
        </is>
      </c>
      <c r="I16" s="12" t="n">
        <v>1</v>
      </c>
      <c r="J16" s="12" t="inlineStr">
        <is>
          <r>
            <rPr>
              <rFont val="Calibri"/>
              <b val="1"/>
              <sz val="10"/>
            </rPr>
            <t>B1:</t>
          </r>
          <r>
            <rPr>
              <rFont val="Calibri"/>
              <sz val="10"/>
            </rPr>
            <t xml:space="preserve"> Account Executive → B2: Senior Account Executive</t>
          </r>
        </is>
      </c>
      <c r="K16" s="12" t="inlineStr">
        <is>
          <t>Sales, Negotiation &amp; Account Growth · Marketing Tech &amp; Digital Marketing</t>
        </is>
      </c>
      <c r="L16" s="12" t="inlineStr">
        <is>
          <t>Stakeholder &amp; Client Management · Communication &amp; Presentation · Product, Platform &amp; Domain Knowledge · Strategic Thinking &amp; Business Acumen</t>
        </is>
      </c>
      <c r="M16" s="12" t="inlineStr">
        <is>
          <t>Core 3 · Future-ready 3 · Functional 4 · Leadership 2</t>
        </is>
      </c>
      <c r="N16" s="12" t="inlineStr">
        <is>
          <t>Google / HubSpot certifications</t>
        </is>
      </c>
      <c r="O16" s="12" t="inlineStr">
        <is>
          <t>None — only this department</t>
        </is>
      </c>
      <c r="P16" s="12" t="inlineStr">
        <is>
          <t>None — only iDEAL</t>
        </is>
      </c>
    </row>
    <row r="17" ht="55" customHeight="1">
      <c r="A17" s="12" t="inlineStr">
        <is>
          <t>Technology</t>
        </is>
      </c>
      <c r="B17" s="17" t="inlineStr">
        <is>
          <t>A · Practitioner</t>
        </is>
      </c>
      <c r="C17" s="17" t="inlineStr">
        <is>
          <t>A1</t>
        </is>
      </c>
      <c r="D17" s="12" t="inlineStr">
        <is>
          <t>Intern / Trainee</t>
        </is>
      </c>
      <c r="E17" s="12" t="inlineStr">
        <is>
          <t>Engineering &amp; Development</t>
        </is>
      </c>
      <c r="F17" s="12" t="inlineStr">
        <is>
          <t>Backend Development</t>
        </is>
      </c>
      <c r="G17" s="12" t="inlineStr">
        <is>
          <t>Trainee Software Engineer</t>
        </is>
      </c>
      <c r="H17" s="12" t="inlineStr">
        <is>
          <t>IC</t>
        </is>
      </c>
      <c r="I17" s="12" t="n">
        <v>1</v>
      </c>
      <c r="J17" s="12" t="inlineStr">
        <is>
          <r>
            <rPr>
              <rFont val="Calibri"/>
              <b val="1"/>
              <sz val="10"/>
            </rPr>
            <t>A1:</t>
          </r>
          <r>
            <rPr>
              <rFont val="Calibri"/>
              <sz val="10"/>
            </rPr>
            <t xml:space="preserve"> Trainee Software Engineer → A2: Software Engineer → A3: Senior Software Engineer → B3: Lead Software Engineer</t>
          </r>
        </is>
      </c>
      <c r="K17" s="12" t="inlineStr">
        <is>
          <t>Programming &amp; Tech-Stack Depth · System Design &amp; Architecture</t>
        </is>
      </c>
      <c r="L17" s="12" t="inlineStr">
        <is>
          <t>Database, SQL &amp; Data Engineering · Cloud, DevOps &amp; CI/CD · AI, GenAI &amp; Prompt Engineering · Product, Platform &amp; Domain Knowledge</t>
        </is>
      </c>
      <c r="M17" s="12" t="inlineStr">
        <is>
          <t>Core 1 · Future-ready 1 · Functional 1 · Leadership —</t>
        </is>
      </c>
      <c r="N17" s="12" t="inlineStr">
        <is>
          <t>Cloud / language certifications · optional; AWS / Azure architect · optional</t>
        </is>
      </c>
      <c r="O17" s="12" t="inlineStr">
        <is>
          <t>None — only this department</t>
        </is>
      </c>
      <c r="P17" s="17" t="inlineStr">
        <is>
          <r>
            <rPr>
              <rFont val="Calibri"/>
              <sz val="10"/>
            </rPr>
            <t xml:space="preserve">iFile 2 · CARBON 1
</t>
          </r>
          <r>
            <rPr>
              <rFont val="Calibri"/>
              <b val="1"/>
              <sz val="10"/>
            </rPr>
            <t>Titled there:</t>
          </r>
          <r>
            <rPr>
              <rFont val="Calibri"/>
              <sz val="10"/>
            </rPr>
            <t xml:space="preserve"> Intern – Software Development / Trainee Software Engineer</t>
          </r>
        </is>
      </c>
    </row>
    <row r="18" ht="55" customHeight="1">
      <c r="A18" s="12" t="inlineStr">
        <is>
          <t>Technology</t>
        </is>
      </c>
      <c r="B18" s="17" t="inlineStr">
        <is>
          <t>A · Practitioner</t>
        </is>
      </c>
      <c r="C18" s="17" t="inlineStr">
        <is>
          <t>A1</t>
        </is>
      </c>
      <c r="D18" s="12" t="inlineStr">
        <is>
          <t>Intern / Trainee</t>
        </is>
      </c>
      <c r="E18" s="12" t="inlineStr">
        <is>
          <t>Engineering &amp; Development</t>
        </is>
      </c>
      <c r="F18" s="12" t="inlineStr">
        <is>
          <t>Full-Stack Development</t>
        </is>
      </c>
      <c r="G18" s="12" t="inlineStr">
        <is>
          <t>Trainee Software Engineer</t>
        </is>
      </c>
      <c r="H18" s="12" t="inlineStr">
        <is>
          <t>IC</t>
        </is>
      </c>
      <c r="I18" s="12" t="n">
        <v>1</v>
      </c>
      <c r="J18" s="12" t="inlineStr">
        <is>
          <r>
            <rPr>
              <rFont val="Calibri"/>
              <b val="1"/>
              <sz val="10"/>
            </rPr>
            <t>A1:</t>
          </r>
          <r>
            <rPr>
              <rFont val="Calibri"/>
              <sz val="10"/>
            </rPr>
            <t xml:space="preserve"> Trainee Software Engineer → A3: Technical Specialist</t>
          </r>
        </is>
      </c>
      <c r="K18" s="12" t="inlineStr">
        <is>
          <t>Programming &amp; Tech-Stack Depth · System Design &amp; Architecture</t>
        </is>
      </c>
      <c r="L18" s="12" t="inlineStr">
        <is>
          <t>Database, SQL &amp; Data Engineering · Cloud, DevOps &amp; CI/CD · AI, GenAI &amp; Prompt Engineering · Product, Platform &amp; Domain Knowledge</t>
        </is>
      </c>
      <c r="M18" s="12" t="inlineStr">
        <is>
          <t>Core 1 · Future-ready 1 · Functional 1 · Leadership —</t>
        </is>
      </c>
      <c r="N18" s="12" t="inlineStr">
        <is>
          <t>Cloud / language certifications · optional; AWS / Azure architect · optional</t>
        </is>
      </c>
      <c r="O18" s="12" t="inlineStr">
        <is>
          <t>None — only this department</t>
        </is>
      </c>
      <c r="P18" s="17" t="inlineStr">
        <is>
          <t>iFile 2 · CARBON 1
Same title</t>
        </is>
      </c>
    </row>
    <row r="19" ht="55" customHeight="1">
      <c r="A19" s="12" t="inlineStr">
        <is>
          <t>Technology</t>
        </is>
      </c>
      <c r="B19" s="17" t="inlineStr">
        <is>
          <t>A · Practitioner</t>
        </is>
      </c>
      <c r="C19" s="17" t="inlineStr">
        <is>
          <t>A2</t>
        </is>
      </c>
      <c r="D19" s="12" t="inlineStr">
        <is>
          <t>Associate</t>
        </is>
      </c>
      <c r="E19" s="12" t="inlineStr">
        <is>
          <t>Customer Success &amp; Support</t>
        </is>
      </c>
      <c r="F19" s="12" t="inlineStr">
        <is>
          <t>Application &amp; Product Support</t>
        </is>
      </c>
      <c r="G19" s="12" t="inlineStr">
        <is>
          <t>Support Executive</t>
        </is>
      </c>
      <c r="H19" s="12" t="inlineStr">
        <is>
          <t>IC</t>
        </is>
      </c>
      <c r="I19" s="12" t="n">
        <v>1</v>
      </c>
      <c r="J19" s="12" t="inlineStr">
        <is>
          <r>
            <rPr>
              <rFont val="Calibri"/>
              <b val="1"/>
              <sz val="10"/>
            </rPr>
            <t>A2:</t>
          </r>
          <r>
            <rPr>
              <rFont val="Calibri"/>
              <sz val="10"/>
            </rPr>
            <t xml:space="preserve"> Support Executive → A3: Senior Support Executive / Support Specialist</t>
          </r>
        </is>
      </c>
      <c r="K19" s="12" t="inlineStr">
        <is>
          <t>Product, Platform &amp; Domain Knowledge · Stakeholder &amp; Client Management</t>
        </is>
      </c>
      <c r="L19" s="12" t="inlineStr">
        <is>
          <t>Communication &amp; Presentation · Database, SQL &amp; Data Engineering · Regulatory &amp; BFSI Domain · Process Improvement &amp; Quality Mindset</t>
        </is>
      </c>
      <c r="M19" s="12" t="inlineStr">
        <is>
          <t>Core 2 · Future-ready 2 · Functional 2 · Leadership —</t>
        </is>
      </c>
      <c r="N19" s="12" t="inlineStr">
        <is>
          <t>Internal product certification</t>
        </is>
      </c>
      <c r="O19" s="12" t="inlineStr">
        <is>
          <t>None — only this department</t>
        </is>
      </c>
      <c r="P19" s="17" t="inlineStr">
        <is>
          <t>iFile 1
Same title</t>
        </is>
      </c>
    </row>
    <row r="20" ht="55" customHeight="1">
      <c r="A20" s="12" t="inlineStr">
        <is>
          <t>Technology</t>
        </is>
      </c>
      <c r="B20" s="17" t="inlineStr">
        <is>
          <t>A · Practitioner</t>
        </is>
      </c>
      <c r="C20" s="17" t="inlineStr">
        <is>
          <t>A2</t>
        </is>
      </c>
      <c r="D20" s="12" t="inlineStr">
        <is>
          <t>Associate</t>
        </is>
      </c>
      <c r="E20" s="12" t="inlineStr">
        <is>
          <t>Engineering &amp; Development</t>
        </is>
      </c>
      <c r="F20" s="12" t="inlineStr">
        <is>
          <t>Backend Development</t>
        </is>
      </c>
      <c r="G20" s="12" t="inlineStr">
        <is>
          <t>Software Engineer</t>
        </is>
      </c>
      <c r="H20" s="12" t="inlineStr">
        <is>
          <t>IC</t>
        </is>
      </c>
      <c r="I20" s="12" t="n">
        <v>2</v>
      </c>
      <c r="J20" s="12" t="inlineStr">
        <is>
          <r>
            <rPr>
              <rFont val="Calibri"/>
              <b val="1"/>
              <sz val="10"/>
            </rPr>
            <t>A1:</t>
          </r>
          <r>
            <rPr>
              <rFont val="Calibri"/>
              <sz val="10"/>
            </rPr>
            <t xml:space="preserve"> Trainee Software Engineer → A2: Software Engineer → A3: Senior Software Engineer → B3: Lead Software Engineer</t>
          </r>
        </is>
      </c>
      <c r="K20" s="12" t="inlineStr">
        <is>
          <t>Programming &amp; Tech-Stack Depth · System Design &amp; Architecture</t>
        </is>
      </c>
      <c r="L20" s="12" t="inlineStr">
        <is>
          <t>Database, SQL &amp; Data Engineering · Cloud, DevOps &amp; CI/CD · AI, GenAI &amp; Prompt Engineering · Product, Platform &amp; Domain Knowledge</t>
        </is>
      </c>
      <c r="M20" s="12" t="inlineStr">
        <is>
          <t>Core 2 · Future-ready 2 · Functional 2 · Leadership —</t>
        </is>
      </c>
      <c r="N20" s="12" t="inlineStr">
        <is>
          <t>Cloud / language certifications · optional; AWS / Azure architect · optional</t>
        </is>
      </c>
      <c r="O20" s="12" t="inlineStr">
        <is>
          <t>None — only this department</t>
        </is>
      </c>
      <c r="P20" s="17" t="inlineStr">
        <is>
          <t>iFile 3 · CARBON 1 · Datatech 1
Same title</t>
        </is>
      </c>
    </row>
    <row r="21" ht="55" customHeight="1">
      <c r="A21" s="12" t="inlineStr">
        <is>
          <t>Technology</t>
        </is>
      </c>
      <c r="B21" s="17" t="inlineStr">
        <is>
          <t>A · Practitioner</t>
        </is>
      </c>
      <c r="C21" s="17" t="inlineStr">
        <is>
          <t>A3</t>
        </is>
      </c>
      <c r="D21" s="12" t="inlineStr">
        <is>
          <t>Senior Associate</t>
        </is>
      </c>
      <c r="E21" s="12" t="inlineStr">
        <is>
          <t>Business Analysis</t>
        </is>
      </c>
      <c r="F21" s="12" t="inlineStr">
        <is>
          <t>Business Analysis</t>
        </is>
      </c>
      <c r="G21" s="12" t="inlineStr">
        <is>
          <t>Senior Business Analyst</t>
        </is>
      </c>
      <c r="H21" s="12" t="inlineStr">
        <is>
          <t>IC</t>
        </is>
      </c>
      <c r="I21" s="12" t="n">
        <v>8</v>
      </c>
      <c r="J21" s="12"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1" s="12" t="inlineStr">
        <is>
          <t>Business Analysis &amp; Requirements Engineering · Regulatory &amp; BFSI Domain</t>
        </is>
      </c>
      <c r="L21" s="12" t="inlineStr">
        <is>
          <t>Product, Platform &amp; Domain Knowledge · Database, SQL &amp; Data Engineering · Stakeholder &amp; Client Management · Communication &amp; Presentation</t>
        </is>
      </c>
      <c r="M21" s="12" t="inlineStr">
        <is>
          <t>Core 2 · Future-ready 2 · Functional 3 · Leadership —</t>
        </is>
      </c>
      <c r="N21" s="12" t="inlineStr">
        <is>
          <t>CBAP / CCBA · optional; Domain certifications · optional</t>
        </is>
      </c>
      <c r="O21" s="12" t="inlineStr">
        <is>
          <t>None — only this department</t>
        </is>
      </c>
      <c r="P21" s="17" t="inlineStr">
        <is>
          <r>
            <rPr>
              <rFont val="Calibri"/>
              <sz val="10"/>
            </rPr>
            <t xml:space="preserve">iFile 8
</t>
          </r>
          <r>
            <rPr>
              <rFont val="Calibri"/>
              <b val="1"/>
              <sz val="10"/>
            </rPr>
            <t>Titled there:</t>
          </r>
          <r>
            <rPr>
              <rFont val="Calibri"/>
              <sz val="10"/>
            </rPr>
            <t xml:space="preserve"> Business Analysis Specialist / Senior Business Analyst</t>
          </r>
        </is>
      </c>
    </row>
    <row r="22" ht="55" customHeight="1">
      <c r="A22" s="12" t="inlineStr">
        <is>
          <t>Technology</t>
        </is>
      </c>
      <c r="B22" s="17" t="inlineStr">
        <is>
          <t>A · Practitioner</t>
        </is>
      </c>
      <c r="C22" s="17" t="inlineStr">
        <is>
          <t>A3</t>
        </is>
      </c>
      <c r="D22" s="12" t="inlineStr">
        <is>
          <t>Senior Associate</t>
        </is>
      </c>
      <c r="E22" s="12" t="inlineStr">
        <is>
          <t>Customer Success &amp; Support</t>
        </is>
      </c>
      <c r="F22" s="12" t="inlineStr">
        <is>
          <t>Application &amp; Product Support</t>
        </is>
      </c>
      <c r="G22" s="12" t="inlineStr">
        <is>
          <t>Senior Support Executive</t>
        </is>
      </c>
      <c r="H22" s="12" t="inlineStr">
        <is>
          <t>IC</t>
        </is>
      </c>
      <c r="I22" s="12" t="n">
        <v>1</v>
      </c>
      <c r="J22" s="12" t="inlineStr">
        <is>
          <r>
            <rPr>
              <rFont val="Calibri"/>
              <b val="1"/>
              <sz val="10"/>
            </rPr>
            <t>A2:</t>
          </r>
          <r>
            <rPr>
              <rFont val="Calibri"/>
              <sz val="10"/>
            </rPr>
            <t xml:space="preserve"> Support Executive → A3: Senior Support Executive / Support Specialist</t>
          </r>
        </is>
      </c>
      <c r="K22" s="12" t="inlineStr">
        <is>
          <t>Product, Platform &amp; Domain Knowledge · Stakeholder &amp; Client Management</t>
        </is>
      </c>
      <c r="L22" s="12" t="inlineStr">
        <is>
          <t>Communication &amp; Presentation · Database, SQL &amp; Data Engineering · Regulatory &amp; BFSI Domain · Process Improvement &amp; Quality Mindset</t>
        </is>
      </c>
      <c r="M22" s="12" t="inlineStr">
        <is>
          <t>Core 2 · Future-ready 2 · Functional 3 · Leadership —</t>
        </is>
      </c>
      <c r="N22" s="12" t="inlineStr">
        <is>
          <t>Internal product certification</t>
        </is>
      </c>
      <c r="O22" s="12" t="inlineStr">
        <is>
          <t>None — only this department</t>
        </is>
      </c>
      <c r="P22" s="17" t="inlineStr">
        <is>
          <t>iFile 8 · CARBON 7
Same title</t>
        </is>
      </c>
    </row>
    <row r="23" ht="55" customHeight="1">
      <c r="A23" s="12" t="inlineStr">
        <is>
          <t>Technology</t>
        </is>
      </c>
      <c r="B23" s="17" t="inlineStr">
        <is>
          <t>A · Practitioner</t>
        </is>
      </c>
      <c r="C23" s="17" t="inlineStr">
        <is>
          <t>A3</t>
        </is>
      </c>
      <c r="D23" s="12" t="inlineStr">
        <is>
          <t>Senior Associate</t>
        </is>
      </c>
      <c r="E23" s="12" t="inlineStr">
        <is>
          <t>Customer Success &amp; Support</t>
        </is>
      </c>
      <c r="F23" s="12" t="inlineStr">
        <is>
          <t>Application &amp; Product Support</t>
        </is>
      </c>
      <c r="G23" s="12" t="inlineStr">
        <is>
          <t>Support Specialist</t>
        </is>
      </c>
      <c r="H23" s="12" t="inlineStr">
        <is>
          <t>IC</t>
        </is>
      </c>
      <c r="I23" s="12" t="n">
        <v>1</v>
      </c>
      <c r="J23" s="12" t="inlineStr">
        <is>
          <r>
            <rPr>
              <rFont val="Calibri"/>
              <b val="1"/>
              <sz val="10"/>
            </rPr>
            <t>A2:</t>
          </r>
          <r>
            <rPr>
              <rFont val="Calibri"/>
              <sz val="10"/>
            </rPr>
            <t xml:space="preserve"> Support Executive → A3: Senior Support Executive / Support Specialist</t>
          </r>
        </is>
      </c>
      <c r="K23" s="12" t="inlineStr">
        <is>
          <t>Product, Platform &amp; Domain Knowledge · Stakeholder &amp; Client Management</t>
        </is>
      </c>
      <c r="L23" s="12" t="inlineStr">
        <is>
          <t>Communication &amp; Presentation · Database, SQL &amp; Data Engineering · Regulatory &amp; BFSI Domain · Process Improvement &amp; Quality Mindset</t>
        </is>
      </c>
      <c r="M23" s="12" t="inlineStr">
        <is>
          <t>Core 2 · Future-ready 2 · Functional 3 · Leadership —</t>
        </is>
      </c>
      <c r="N23" s="12" t="inlineStr">
        <is>
          <t>Internal product certification</t>
        </is>
      </c>
      <c r="O23" s="12" t="inlineStr">
        <is>
          <t>None — only this department</t>
        </is>
      </c>
      <c r="P23" s="17" t="inlineStr">
        <is>
          <r>
            <rPr>
              <rFont val="Calibri"/>
              <sz val="10"/>
            </rPr>
            <t xml:space="preserve">iFile 8 · CARBON 7
</t>
          </r>
          <r>
            <rPr>
              <rFont val="Calibri"/>
              <b val="1"/>
              <sz val="10"/>
            </rPr>
            <t>Titled there:</t>
          </r>
          <r>
            <rPr>
              <rFont val="Calibri"/>
              <sz val="10"/>
            </rPr>
            <t xml:space="preserve"> Senior Support Executive</t>
          </r>
        </is>
      </c>
    </row>
    <row r="24" ht="55" customHeight="1">
      <c r="A24" s="12" t="inlineStr">
        <is>
          <t>Technology</t>
        </is>
      </c>
      <c r="B24" s="17" t="inlineStr">
        <is>
          <t>A · Practitioner</t>
        </is>
      </c>
      <c r="C24" s="17" t="inlineStr">
        <is>
          <t>A3</t>
        </is>
      </c>
      <c r="D24" s="12" t="inlineStr">
        <is>
          <t>Senior Associate</t>
        </is>
      </c>
      <c r="E24" s="12" t="inlineStr">
        <is>
          <t>Engineering &amp; Development</t>
        </is>
      </c>
      <c r="F24" s="12" t="inlineStr">
        <is>
          <t>Backend Development</t>
        </is>
      </c>
      <c r="G24" s="12" t="inlineStr">
        <is>
          <t>Senior Software Engineer</t>
        </is>
      </c>
      <c r="H24" s="12" t="inlineStr">
        <is>
          <t>IC</t>
        </is>
      </c>
      <c r="I24" s="12" t="n">
        <v>5</v>
      </c>
      <c r="J24" s="12" t="inlineStr">
        <is>
          <r>
            <rPr>
              <rFont val="Calibri"/>
              <b val="1"/>
              <sz val="10"/>
            </rPr>
            <t>A1:</t>
          </r>
          <r>
            <rPr>
              <rFont val="Calibri"/>
              <sz val="10"/>
            </rPr>
            <t xml:space="preserve"> Trainee Software Engineer → A2: Software Engineer → A3: Senior Software Engineer → B3: Lead Software Engineer</t>
          </r>
        </is>
      </c>
      <c r="K24" s="12" t="inlineStr">
        <is>
          <t>Programming &amp; Tech-Stack Depth · System Design &amp; Architecture</t>
        </is>
      </c>
      <c r="L24" s="12" t="inlineStr">
        <is>
          <t>Database, SQL &amp; Data Engineering · Cloud, DevOps &amp; CI/CD · AI, GenAI &amp; Prompt Engineering · Product, Platform &amp; Domain Knowledge</t>
        </is>
      </c>
      <c r="M24" s="12" t="inlineStr">
        <is>
          <t>Core 2 · Future-ready 2 · Functional 3 · Leadership —</t>
        </is>
      </c>
      <c r="N24" s="12" t="inlineStr">
        <is>
          <t>Cloud / language certifications · optional; AWS / Azure architect · optional</t>
        </is>
      </c>
      <c r="O24" s="12" t="inlineStr">
        <is>
          <t>None — only this department</t>
        </is>
      </c>
      <c r="P24" s="17" t="inlineStr">
        <is>
          <r>
            <rPr>
              <rFont val="Calibri"/>
              <sz val="10"/>
            </rPr>
            <t xml:space="preserve">iFile 33 · CARBON 9 · Datatech 2
</t>
          </r>
          <r>
            <rPr>
              <rFont val="Calibri"/>
              <b val="1"/>
              <sz val="10"/>
            </rPr>
            <t>Titled there:</t>
          </r>
          <r>
            <rPr>
              <rFont val="Calibri"/>
              <sz val="10"/>
            </rPr>
            <t xml:space="preserve"> Senior Software Engineer / Technical Specialist</t>
          </r>
        </is>
      </c>
    </row>
    <row r="25" ht="55" customHeight="1">
      <c r="A25" s="12" t="inlineStr">
        <is>
          <t>Technology</t>
        </is>
      </c>
      <c r="B25" s="17" t="inlineStr">
        <is>
          <t>A · Practitioner</t>
        </is>
      </c>
      <c r="C25" s="17" t="inlineStr">
        <is>
          <t>A3</t>
        </is>
      </c>
      <c r="D25" s="12" t="inlineStr">
        <is>
          <t>Senior Associate</t>
        </is>
      </c>
      <c r="E25" s="12" t="inlineStr">
        <is>
          <t>Engineering &amp; Development</t>
        </is>
      </c>
      <c r="F25" s="12" t="inlineStr">
        <is>
          <t>Data Engineering &amp; Database Development</t>
        </is>
      </c>
      <c r="G25" s="12" t="inlineStr">
        <is>
          <t>Senior Database Engineer</t>
        </is>
      </c>
      <c r="H25" s="12" t="inlineStr">
        <is>
          <t>IC</t>
        </is>
      </c>
      <c r="I25" s="12" t="n">
        <v>3</v>
      </c>
      <c r="J25" s="12" t="inlineStr">
        <is>
          <r>
            <rPr>
              <rFont val="Calibri"/>
              <b val="1"/>
              <sz val="10"/>
            </rPr>
            <t>A3:</t>
          </r>
          <r>
            <rPr>
              <rFont val="Calibri"/>
              <sz val="10"/>
            </rPr>
            <t xml:space="preserve"> Senior Database Engineer → B1: Database Specialist – POD Lead</t>
          </r>
        </is>
      </c>
      <c r="K25" s="12" t="inlineStr">
        <is>
          <t>Programming &amp; Tech-Stack Depth · System Design &amp; Architecture</t>
        </is>
      </c>
      <c r="L25" s="12" t="inlineStr">
        <is>
          <t>Database, SQL &amp; Data Engineering · Cloud, DevOps &amp; CI/CD · AI, GenAI &amp; Prompt Engineering · Product, Platform &amp; Domain Knowledge</t>
        </is>
      </c>
      <c r="M25" s="12" t="inlineStr">
        <is>
          <t>Core 2 · Future-ready 2 · Functional 3 · Leadership —</t>
        </is>
      </c>
      <c r="N25" s="12" t="inlineStr">
        <is>
          <t>Cloud / language certifications · optional; AWS / Azure architect · optional</t>
        </is>
      </c>
      <c r="O25" s="12" t="inlineStr">
        <is>
          <t>None — only this department</t>
        </is>
      </c>
      <c r="P25" s="17" t="inlineStr">
        <is>
          <r>
            <rPr>
              <rFont val="Calibri"/>
              <sz val="10"/>
            </rPr>
            <t xml:space="preserve">iFile 3
</t>
          </r>
          <r>
            <rPr>
              <rFont val="Calibri"/>
              <b val="1"/>
              <sz val="10"/>
            </rPr>
            <t>Titled there:</t>
          </r>
          <r>
            <rPr>
              <rFont val="Calibri"/>
              <sz val="10"/>
            </rPr>
            <t xml:space="preserve"> Database Specialist / Senior Database Engineer</t>
          </r>
        </is>
      </c>
    </row>
    <row r="26" ht="55" customHeight="1">
      <c r="A26" s="12" t="inlineStr">
        <is>
          <t>Technology</t>
        </is>
      </c>
      <c r="B26" s="17" t="inlineStr">
        <is>
          <t>A · Practitioner</t>
        </is>
      </c>
      <c r="C26" s="17" t="inlineStr">
        <is>
          <t>A3</t>
        </is>
      </c>
      <c r="D26" s="12" t="inlineStr">
        <is>
          <t>Senior Associate</t>
        </is>
      </c>
      <c r="E26" s="12" t="inlineStr">
        <is>
          <t>Engineering &amp; Development</t>
        </is>
      </c>
      <c r="F26" s="12" t="inlineStr">
        <is>
          <t>Full-Stack Development</t>
        </is>
      </c>
      <c r="G26" s="12" t="inlineStr">
        <is>
          <t>Technical Specialist</t>
        </is>
      </c>
      <c r="H26" s="12" t="inlineStr">
        <is>
          <t>IC</t>
        </is>
      </c>
      <c r="I26" s="12" t="n">
        <v>1</v>
      </c>
      <c r="J26" s="12" t="inlineStr">
        <is>
          <r>
            <rPr>
              <rFont val="Calibri"/>
              <b val="1"/>
              <sz val="10"/>
            </rPr>
            <t>A1:</t>
          </r>
          <r>
            <rPr>
              <rFont val="Calibri"/>
              <sz val="10"/>
            </rPr>
            <t xml:space="preserve"> Trainee Software Engineer → A3: Technical Specialist</t>
          </r>
        </is>
      </c>
      <c r="K26" s="12" t="inlineStr">
        <is>
          <t>Programming &amp; Tech-Stack Depth · System Design &amp; Architecture</t>
        </is>
      </c>
      <c r="L26" s="12" t="inlineStr">
        <is>
          <t>Database, SQL &amp; Data Engineering · Cloud, DevOps &amp; CI/CD · AI, GenAI &amp; Prompt Engineering · Product, Platform &amp; Domain Knowledge</t>
        </is>
      </c>
      <c r="M26" s="12" t="inlineStr">
        <is>
          <t>Core 2 · Future-ready 2 · Functional 3 · Leadership —</t>
        </is>
      </c>
      <c r="N26" s="12" t="inlineStr">
        <is>
          <t>Cloud / language certifications · optional; AWS / Azure architect · optional</t>
        </is>
      </c>
      <c r="O26" s="12" t="inlineStr">
        <is>
          <t>None — only this department</t>
        </is>
      </c>
      <c r="P26" s="17" t="inlineStr">
        <is>
          <r>
            <rPr>
              <rFont val="Calibri"/>
              <sz val="10"/>
            </rPr>
            <t xml:space="preserve">CARBON 10 · iFile 8
</t>
          </r>
          <r>
            <rPr>
              <rFont val="Calibri"/>
              <b val="1"/>
              <sz val="10"/>
            </rPr>
            <t>Titled there:</t>
          </r>
          <r>
            <rPr>
              <rFont val="Calibri"/>
              <sz val="10"/>
            </rPr>
            <t xml:space="preserve"> Senior Software Engineer / Technical Specialist</t>
          </r>
        </is>
      </c>
    </row>
    <row r="27" ht="55" customHeight="1">
      <c r="A27" s="12" t="inlineStr">
        <is>
          <t>Technology</t>
        </is>
      </c>
      <c r="B27" s="21" t="inlineStr">
        <is>
          <t>B · Specialist / Manager</t>
        </is>
      </c>
      <c r="C27" s="21" t="inlineStr">
        <is>
          <t>B1</t>
        </is>
      </c>
      <c r="D27" s="12" t="inlineStr">
        <is>
          <t>Specialist</t>
        </is>
      </c>
      <c r="E27" s="12" t="inlineStr">
        <is>
          <t>Business Analysis</t>
        </is>
      </c>
      <c r="F27" s="12" t="inlineStr">
        <is>
          <t>Business Analysis</t>
        </is>
      </c>
      <c r="G27" s="12" t="inlineStr">
        <is>
          <t>Business Analysis Specialist</t>
        </is>
      </c>
      <c r="H27" s="12" t="inlineStr">
        <is>
          <t>IC</t>
        </is>
      </c>
      <c r="I27" s="12" t="n">
        <v>2</v>
      </c>
      <c r="J27" s="12"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7" s="12" t="inlineStr">
        <is>
          <t>Business Analysis &amp; Requirements Engineering · Regulatory &amp; BFSI Domain</t>
        </is>
      </c>
      <c r="L27" s="12" t="inlineStr">
        <is>
          <t>Product, Platform &amp; Domain Knowledge · Database, SQL &amp; Data Engineering · Stakeholder &amp; Client Management · Communication &amp; Presentation</t>
        </is>
      </c>
      <c r="M27" s="12" t="inlineStr">
        <is>
          <t>Core 3 · Future-ready 3 · Functional 3 · Leadership 1</t>
        </is>
      </c>
      <c r="N27" s="12" t="inlineStr">
        <is>
          <t>CBAP / CCBA · optional; Domain certifications · optional</t>
        </is>
      </c>
      <c r="O27" s="12" t="inlineStr">
        <is>
          <t>None — only this department</t>
        </is>
      </c>
      <c r="P27" s="17"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28" ht="55" customHeight="1">
      <c r="A28" s="12" t="inlineStr">
        <is>
          <t>Technology</t>
        </is>
      </c>
      <c r="B28" s="21" t="inlineStr">
        <is>
          <t>B · Specialist / Manager</t>
        </is>
      </c>
      <c r="C28" s="21" t="inlineStr">
        <is>
          <t>B1</t>
        </is>
      </c>
      <c r="D28" s="12" t="inlineStr">
        <is>
          <t>Specialist · POD Lead</t>
        </is>
      </c>
      <c r="E28" s="12" t="inlineStr">
        <is>
          <t>Business Analysis</t>
        </is>
      </c>
      <c r="F28" s="12" t="inlineStr">
        <is>
          <t>Business Analysis</t>
        </is>
      </c>
      <c r="G28" s="12" t="inlineStr">
        <is>
          <t>Business Analysis Specialist – POD Lead</t>
        </is>
      </c>
      <c r="H28" s="12" t="inlineStr">
        <is>
          <t>POD Lead</t>
        </is>
      </c>
      <c r="I28" s="12" t="n">
        <v>1</v>
      </c>
      <c r="J28" s="12"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8" s="12" t="inlineStr">
        <is>
          <t>Business Analysis &amp; Requirements Engineering · Regulatory &amp; BFSI Domain</t>
        </is>
      </c>
      <c r="L28" s="12" t="inlineStr">
        <is>
          <t>Product, Platform &amp; Domain Knowledge · Database, SQL &amp; Data Engineering · Stakeholder &amp; Client Management · Communication &amp; Presentation</t>
        </is>
      </c>
      <c r="M28" s="12" t="inlineStr">
        <is>
          <t>Core 3 · Future-ready 3 · Functional 3 · Leadership 1</t>
        </is>
      </c>
      <c r="N28" s="12" t="inlineStr">
        <is>
          <t>CBAP / CCBA · optional; Domain certifications · optional</t>
        </is>
      </c>
      <c r="O28" s="12" t="inlineStr">
        <is>
          <t>None — only this department</t>
        </is>
      </c>
      <c r="P28" s="17"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29" ht="55" customHeight="1">
      <c r="A29" s="12" t="inlineStr">
        <is>
          <t>Technology</t>
        </is>
      </c>
      <c r="B29" s="21" t="inlineStr">
        <is>
          <t>B · Specialist / Manager</t>
        </is>
      </c>
      <c r="C29" s="21" t="inlineStr">
        <is>
          <t>B1</t>
        </is>
      </c>
      <c r="D29" s="12" t="inlineStr">
        <is>
          <t>Specialist</t>
        </is>
      </c>
      <c r="E29" s="12" t="inlineStr">
        <is>
          <t>Business Analysis</t>
        </is>
      </c>
      <c r="F29" s="12" t="inlineStr">
        <is>
          <t>Business Analysis</t>
        </is>
      </c>
      <c r="G29" s="12" t="inlineStr">
        <is>
          <t>Senior Business Analysis Specialist</t>
        </is>
      </c>
      <c r="H29" s="12" t="inlineStr">
        <is>
          <t>IC</t>
        </is>
      </c>
      <c r="I29" s="12" t="n">
        <v>1</v>
      </c>
      <c r="J29" s="12"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9" s="12" t="inlineStr">
        <is>
          <t>Business Analysis &amp; Requirements Engineering · Regulatory &amp; BFSI Domain</t>
        </is>
      </c>
      <c r="L29" s="12" t="inlineStr">
        <is>
          <t>Product, Platform &amp; Domain Knowledge · Database, SQL &amp; Data Engineering · Stakeholder &amp; Client Management · Communication &amp; Presentation</t>
        </is>
      </c>
      <c r="M29" s="12" t="inlineStr">
        <is>
          <t>Core 3 · Future-ready 3 · Functional 3 · Leadership 1</t>
        </is>
      </c>
      <c r="N29" s="12" t="inlineStr">
        <is>
          <t>CBAP / CCBA · optional; Domain certifications · optional</t>
        </is>
      </c>
      <c r="O29" s="12" t="inlineStr">
        <is>
          <t>None — only this department</t>
        </is>
      </c>
      <c r="P29" s="17"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30" ht="55" customHeight="1">
      <c r="A30" s="12" t="inlineStr">
        <is>
          <t>Technology</t>
        </is>
      </c>
      <c r="B30" s="21" t="inlineStr">
        <is>
          <t>B · Specialist / Manager</t>
        </is>
      </c>
      <c r="C30" s="21" t="inlineStr">
        <is>
          <t>B1</t>
        </is>
      </c>
      <c r="D30" s="12" t="inlineStr">
        <is>
          <t>Team Lead</t>
        </is>
      </c>
      <c r="E30" s="12" t="inlineStr">
        <is>
          <t>Business Analysis</t>
        </is>
      </c>
      <c r="F30" s="12" t="inlineStr">
        <is>
          <t>Business Analysis</t>
        </is>
      </c>
      <c r="G30" s="12" t="inlineStr">
        <is>
          <t>Team Lead – Business Analysis</t>
        </is>
      </c>
      <c r="H30" s="12" t="inlineStr">
        <is>
          <t>People Manager</t>
        </is>
      </c>
      <c r="I30" s="12" t="n">
        <v>1</v>
      </c>
      <c r="J30" s="12"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30" s="12" t="inlineStr">
        <is>
          <t>Business Analysis &amp; Requirements Engineering · Regulatory &amp; BFSI Domain</t>
        </is>
      </c>
      <c r="L30" s="12" t="inlineStr">
        <is>
          <t>Product, Platform &amp; Domain Knowledge · Database, SQL &amp; Data Engineering · Stakeholder &amp; Client Management · Communication &amp; Presentation</t>
        </is>
      </c>
      <c r="M30" s="12" t="inlineStr">
        <is>
          <t>Core 3 · Future-ready 3 · Functional 3 · Leadership 2</t>
        </is>
      </c>
      <c r="N30" s="12" t="inlineStr">
        <is>
          <t>CBAP / CCBA · optional; Domain certifications · optional</t>
        </is>
      </c>
      <c r="O30" s="12" t="inlineStr">
        <is>
          <t>None — only this department</t>
        </is>
      </c>
      <c r="P30" s="17"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31" ht="55" customHeight="1">
      <c r="A31" s="12" t="inlineStr">
        <is>
          <t>Technology</t>
        </is>
      </c>
      <c r="B31" s="21" t="inlineStr">
        <is>
          <t>B · Specialist / Manager</t>
        </is>
      </c>
      <c r="C31" s="21" t="inlineStr">
        <is>
          <t>B1</t>
        </is>
      </c>
      <c r="D31" s="12" t="inlineStr">
        <is>
          <t>Specialist · POD Lead</t>
        </is>
      </c>
      <c r="E31" s="12" t="inlineStr">
        <is>
          <t>Engineering &amp; Development</t>
        </is>
      </c>
      <c r="F31" s="12" t="inlineStr">
        <is>
          <t>Data Engineering &amp; Database Development</t>
        </is>
      </c>
      <c r="G31" s="12" t="inlineStr">
        <is>
          <t>Database Specialist – POD Lead</t>
        </is>
      </c>
      <c r="H31" s="12" t="inlineStr">
        <is>
          <t>POD Lead</t>
        </is>
      </c>
      <c r="I31" s="12" t="n">
        <v>1</v>
      </c>
      <c r="J31" s="12" t="inlineStr">
        <is>
          <r>
            <rPr>
              <rFont val="Calibri"/>
              <b val="1"/>
              <sz val="10"/>
            </rPr>
            <t>A3:</t>
          </r>
          <r>
            <rPr>
              <rFont val="Calibri"/>
              <sz val="10"/>
            </rPr>
            <t xml:space="preserve"> Senior Database Engineer → B1: Database Specialist – POD Lead</t>
          </r>
        </is>
      </c>
      <c r="K31" s="12" t="inlineStr">
        <is>
          <t>Programming &amp; Tech-Stack Depth · System Design &amp; Architecture</t>
        </is>
      </c>
      <c r="L31" s="12" t="inlineStr">
        <is>
          <t>Database, SQL &amp; Data Engineering · Cloud, DevOps &amp; CI/CD · AI, GenAI &amp; Prompt Engineering · Product, Platform &amp; Domain Knowledge</t>
        </is>
      </c>
      <c r="M31" s="12" t="inlineStr">
        <is>
          <t>Core 3 · Future-ready 3 · Functional 3 · Leadership 1</t>
        </is>
      </c>
      <c r="N31" s="12" t="inlineStr">
        <is>
          <t>Cloud / language certifications · optional; AWS / Azure architect · optional</t>
        </is>
      </c>
      <c r="O31" s="12" t="inlineStr">
        <is>
          <t>None — only this department</t>
        </is>
      </c>
      <c r="P31" s="12" t="inlineStr">
        <is>
          <t>None — only iDEAL</t>
        </is>
      </c>
    </row>
    <row r="32" ht="68" customHeight="1">
      <c r="A32" s="12" t="inlineStr">
        <is>
          <t>Technology</t>
        </is>
      </c>
      <c r="B32" s="21" t="inlineStr">
        <is>
          <t>B · Specialist / Manager</t>
        </is>
      </c>
      <c r="C32" s="21" t="inlineStr">
        <is>
          <t>B1</t>
        </is>
      </c>
      <c r="D32" s="12" t="inlineStr">
        <is>
          <t>Specialist</t>
        </is>
      </c>
      <c r="E32" s="12" t="inlineStr">
        <is>
          <t>Project &amp; Program Management</t>
        </is>
      </c>
      <c r="F32" s="12" t="inlineStr">
        <is>
          <t>Project &amp; Program Delivery</t>
        </is>
      </c>
      <c r="G32" s="12" t="inlineStr">
        <is>
          <t>Associate Project Manager</t>
        </is>
      </c>
      <c r="H32" s="12" t="inlineStr">
        <is>
          <t>IC</t>
        </is>
      </c>
      <c r="I32" s="12" t="n">
        <v>1</v>
      </c>
      <c r="J32" s="12" t="inlineStr">
        <is>
          <r>
            <rPr>
              <rFont val="Calibri"/>
              <b val="1"/>
              <sz val="10"/>
            </rPr>
            <t>B1:</t>
          </r>
          <r>
            <rPr>
              <rFont val="Calibri"/>
              <sz val="10"/>
            </rPr>
            <t xml:space="preserve"> Associate Project Manager</t>
          </r>
        </is>
      </c>
      <c r="K32" s="12" t="inlineStr">
        <is>
          <t>Project, Program &amp; Agile Management · Stakeholder &amp; Client Management</t>
        </is>
      </c>
      <c r="L32" s="12" t="inlineStr">
        <is>
          <t>Communication &amp; Presentation · Process Improvement &amp; Quality Mindset · Strategic Thinking &amp; Business Acumen · Product, Platform &amp; Domain Knowledge</t>
        </is>
      </c>
      <c r="M32" s="12" t="inlineStr">
        <is>
          <t>Core 3 · Future-ready 3 · Functional 3 · Leadership 1</t>
        </is>
      </c>
      <c r="N32" s="12" t="inlineStr">
        <is>
          <t>PMP / PRINCE2 / CSM / SAFe</t>
        </is>
      </c>
      <c r="O32" s="12" t="inlineStr">
        <is>
          <t>None — only this department</t>
        </is>
      </c>
      <c r="P32" s="17" t="inlineStr">
        <is>
          <r>
            <rPr>
              <rFont val="Calibri"/>
              <sz val="10"/>
            </rPr>
            <t xml:space="preserve">iFile 3
</t>
          </r>
          <r>
            <rPr>
              <rFont val="Calibri"/>
              <b val="1"/>
              <sz val="10"/>
            </rPr>
            <t>Titled there:</t>
          </r>
          <r>
            <rPr>
              <rFont val="Calibri"/>
              <sz val="10"/>
            </rPr>
            <t xml:space="preserve"> Associate Project Manager / Associate Project Manager – POD Lead / Project Manager – POD Lead</t>
          </r>
        </is>
      </c>
    </row>
    <row r="33" ht="55" customHeight="1">
      <c r="A33" s="12" t="inlineStr">
        <is>
          <t>Technology</t>
        </is>
      </c>
      <c r="B33" s="21" t="inlineStr">
        <is>
          <t>B · Specialist / Manager</t>
        </is>
      </c>
      <c r="C33" s="21" t="inlineStr">
        <is>
          <t>B3</t>
        </is>
      </c>
      <c r="D33" s="12" t="inlineStr">
        <is>
          <t>Lead Specialist</t>
        </is>
      </c>
      <c r="E33" s="12" t="inlineStr">
        <is>
          <t>Engineering &amp; Development</t>
        </is>
      </c>
      <c r="F33" s="12" t="inlineStr">
        <is>
          <t>Backend Development</t>
        </is>
      </c>
      <c r="G33" s="12" t="inlineStr">
        <is>
          <t>Lead Software Engineer</t>
        </is>
      </c>
      <c r="H33" s="12" t="inlineStr">
        <is>
          <t>IC</t>
        </is>
      </c>
      <c r="I33" s="12" t="n">
        <v>1</v>
      </c>
      <c r="J33" s="12" t="inlineStr">
        <is>
          <r>
            <rPr>
              <rFont val="Calibri"/>
              <b val="1"/>
              <sz val="10"/>
            </rPr>
            <t>A1:</t>
          </r>
          <r>
            <rPr>
              <rFont val="Calibri"/>
              <sz val="10"/>
            </rPr>
            <t xml:space="preserve"> Trainee Software Engineer → A2: Software Engineer → A3: Senior Software Engineer → B3: Lead Software Engineer</t>
          </r>
        </is>
      </c>
      <c r="K33" s="12" t="inlineStr">
        <is>
          <t>Programming &amp; Tech-Stack Depth · System Design &amp; Architecture</t>
        </is>
      </c>
      <c r="L33" s="12" t="inlineStr">
        <is>
          <t>Database, SQL &amp; Data Engineering · Cloud, DevOps &amp; CI/CD · AI, GenAI &amp; Prompt Engineering · Product, Platform &amp; Domain Knowledge</t>
        </is>
      </c>
      <c r="M33" s="12" t="inlineStr">
        <is>
          <t>Core 4 · Future-ready 3 · Functional 4 · Leadership 3</t>
        </is>
      </c>
      <c r="N33" s="12" t="inlineStr">
        <is>
          <t>Cloud / language certifications · optional; AWS / Azure architect · optional</t>
        </is>
      </c>
      <c r="O33" s="12" t="inlineStr">
        <is>
          <t>None — only this department</t>
        </is>
      </c>
      <c r="P33" s="17" t="inlineStr">
        <is>
          <r>
            <rPr>
              <rFont val="Calibri"/>
              <sz val="10"/>
            </rPr>
            <t xml:space="preserve">iFile 2 · CARBON 1
</t>
          </r>
          <r>
            <rPr>
              <rFont val="Calibri"/>
              <b val="1"/>
              <sz val="10"/>
            </rPr>
            <t>Titled there:</t>
          </r>
          <r>
            <rPr>
              <rFont val="Calibri"/>
              <sz val="10"/>
            </rPr>
            <t xml:space="preserve"> Lead Software Engineer / Lead Software Engineer – POD Lead / Senior Engineering Manager</t>
          </r>
        </is>
      </c>
    </row>
    <row r="34" ht="55" customHeight="1">
      <c r="A34" s="12" t="inlineStr">
        <is>
          <t>Technology</t>
        </is>
      </c>
      <c r="B34" s="25" t="inlineStr">
        <is>
          <t>B+ · Player-Coach</t>
        </is>
      </c>
      <c r="C34" s="25" t="inlineStr">
        <is>
          <t>B+</t>
        </is>
      </c>
      <c r="D34" s="12" t="inlineStr">
        <is>
          <t>Practice Lead · Player-Coach</t>
        </is>
      </c>
      <c r="E34" s="12" t="inlineStr">
        <is>
          <t>Engineering &amp; Architecture</t>
        </is>
      </c>
      <c r="F34" s="12" t="inlineStr">
        <is>
          <t>Solution &amp; Technical Architecture</t>
        </is>
      </c>
      <c r="G34" s="12" t="inlineStr">
        <is>
          <t>Practice Lead – Solution &amp; Technical Architecture · Player-Coach</t>
        </is>
      </c>
      <c r="H34" s="12" t="inlineStr">
        <is>
          <t>Player-Coach</t>
        </is>
      </c>
      <c r="I34" s="12" t="n">
        <v>1</v>
      </c>
      <c r="J34" s="12" t="inlineStr">
        <is>
          <t>B+: Practice Lead – Solution &amp; Technical Architecture · Player-Coach</t>
        </is>
      </c>
      <c r="K34" s="12" t="inlineStr">
        <is>
          <t>System Design &amp; Architecture · Programming &amp; Tech-Stack Depth</t>
        </is>
      </c>
      <c r="L34" s="12" t="inlineStr">
        <is>
          <t>Cloud, DevOps &amp; CI/CD · Cybersecurity &amp; Infrastructure · Stakeholder &amp; Client Management · Strategic Thinking &amp; Business Acumen</t>
        </is>
      </c>
      <c r="M34" s="12" t="inlineStr">
        <is>
          <t>Core 4 · Future-ready 4 · Functional 4 · Leadership 4</t>
        </is>
      </c>
      <c r="N34" s="12" t="inlineStr">
        <is>
          <t>AWS / Azure architect · optional; Cloud / language certifications · optional</t>
        </is>
      </c>
      <c r="O34" s="12" t="inlineStr">
        <is>
          <t>None — only this department</t>
        </is>
      </c>
      <c r="P34" s="17" t="inlineStr">
        <is>
          <t>iFile 4
Same title</t>
        </is>
      </c>
    </row>
    <row r="35" ht="55" customHeight="1">
      <c r="A35" s="12" t="inlineStr">
        <is>
          <t>iDEAL Business Head</t>
        </is>
      </c>
      <c r="B35" s="29" t="inlineStr">
        <is>
          <t>D · Business leadership</t>
        </is>
      </c>
      <c r="C35" s="29" t="inlineStr">
        <is>
          <t>D1</t>
        </is>
      </c>
      <c r="D35" s="12" t="inlineStr">
        <is>
          <t>Associate Vice President / Business Head</t>
        </is>
      </c>
      <c r="E35" s="12" t="inlineStr">
        <is>
          <t>Executive Leadership</t>
        </is>
      </c>
      <c r="F35" s="12" t="inlineStr">
        <is>
          <t>Business &amp; Functional Leadership</t>
        </is>
      </c>
      <c r="G35" s="12" t="inlineStr">
        <is>
          <t>Business Head – iDEAL</t>
        </is>
      </c>
      <c r="H35" s="12" t="inlineStr">
        <is>
          <t>People Manager</t>
        </is>
      </c>
      <c r="I35" s="12" t="n">
        <v>1</v>
      </c>
      <c r="J35" s="12" t="inlineStr">
        <is>
          <r>
            <rPr>
              <rFont val="Calibri"/>
              <b val="1"/>
              <sz val="10"/>
            </rPr>
            <t>D1:</t>
          </r>
          <r>
            <rPr>
              <rFont val="Calibri"/>
              <sz val="10"/>
            </rPr>
            <t xml:space="preserve"> Business Head – iDEAL</t>
          </r>
        </is>
      </c>
      <c r="K35" s="12" t="inlineStr">
        <is>
          <t>Strategic Thinking &amp; Business Acumen · People Leadership &amp; Mentoring</t>
        </is>
      </c>
      <c r="L35" s="12" t="inlineStr">
        <is>
          <t>Stakeholder &amp; Client Management · Product, Platform &amp; Domain Knowledge · Regulatory &amp; BFSI Domain · Communication &amp; Presentation</t>
        </is>
      </c>
      <c r="M35" s="12" t="inlineStr">
        <is>
          <t>Core 5 · Future-ready 4 · Functional 4 · Leadership 5</t>
        </is>
      </c>
      <c r="N35" s="12" t="inlineStr">
        <is>
          <t>MBA / PGDM · preferred at C+</t>
        </is>
      </c>
      <c r="O35" s="12" t="inlineStr">
        <is>
          <t>None — only this department</t>
        </is>
      </c>
      <c r="P35" s="17" t="inlineStr">
        <is>
          <r>
            <rPr>
              <rFont val="Calibri"/>
              <sz val="10"/>
            </rPr>
            <t xml:space="preserve">CARBON 1
</t>
          </r>
          <r>
            <rPr>
              <rFont val="Calibri"/>
              <b val="1"/>
              <sz val="10"/>
            </rPr>
            <t>Titled there:</t>
          </r>
          <r>
            <rPr>
              <rFont val="Calibri"/>
              <sz val="10"/>
            </rPr>
            <t xml:space="preserve"> Senior Vice President – Customer Experience</t>
          </r>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Z86"/>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95" t="inlineStr">
        <is>
          <t>◂ Start Here</t>
        </is>
      </c>
    </row>
    <row r="2" ht="30" customHeight="1">
      <c r="A2" s="3" t="inlineStr">
        <is>
          <t>6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88" t="inlineStr">
        <is>
          <t>Experience &amp; Qualification weight — Bands A–B</t>
        </is>
      </c>
      <c r="B6" s="89" t="n">
        <v>10</v>
      </c>
      <c r="C6" s="32" t="inlineStr">
        <is>
          <t>Band A, Band B and B+ · Corporate functions rows add 5 for professional qualifications</t>
        </is>
      </c>
    </row>
    <row r="7">
      <c r="A7" s="88" t="inlineStr">
        <is>
          <t>Experience &amp; Qualification weight — Bands C–E</t>
        </is>
      </c>
      <c r="B7" s="89" t="n">
        <v>5</v>
      </c>
      <c r="C7" s="32" t="inlineStr">
        <is>
          <t>Band C, C+ and Bands D–E · Corporate functions rows add 5 for professional qualifications</t>
        </is>
      </c>
    </row>
    <row r="8">
      <c r="A8" s="32"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7" t="inlineStr">
        <is>
          <t>1. Find your department and role group in the matrix below · filter the Department column.</t>
        </is>
      </c>
    </row>
    <row r="12">
      <c r="A12" s="7" t="inlineStr">
        <is>
          <t>2. Change the yellow weights in steps of 5%. Each row should add up to about 100% — the 'Used' columns show the weights actually applied.</t>
        </is>
      </c>
    </row>
    <row r="13">
      <c r="A13" s="7" t="inlineStr">
        <is>
          <t>3. Look at sheet 2: points, the score and 'Level the score indicates' have already changed for everyone in that department and role group.</t>
        </is>
      </c>
    </row>
    <row r="14">
      <c r="A14" s="7"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65" t="inlineStr">
        <is>
          <t>Weight row</t>
        </is>
      </c>
      <c r="B16" s="65" t="inlineStr">
        <is>
          <t>Business</t>
        </is>
      </c>
      <c r="C16" s="65" t="inlineStr">
        <is>
          <t>Department</t>
        </is>
      </c>
      <c r="D16" s="65" t="inlineStr">
        <is>
          <t>Role group</t>
        </is>
      </c>
      <c r="E16" s="65" t="inlineStr">
        <is>
          <t>People</t>
        </is>
      </c>
      <c r="F16" s="65" t="inlineStr">
        <is>
          <t>Main type of work</t>
        </is>
      </c>
      <c r="G16" s="8" t="inlineStr">
        <is>
          <t>How hard %</t>
        </is>
      </c>
      <c r="H16" s="8" t="inlineStr">
        <is>
          <t>Decides alone %</t>
        </is>
      </c>
      <c r="I16" s="8" t="inlineStr">
        <is>
          <t>Answers for %</t>
        </is>
      </c>
      <c r="J16" s="8" t="inlineStr">
        <is>
          <t>Leads %</t>
        </is>
      </c>
      <c r="K16" s="8" t="inlineStr">
        <is>
          <t>Experience %</t>
        </is>
      </c>
      <c r="L16" s="8" t="inlineStr">
        <is>
          <t>Business impact %</t>
        </is>
      </c>
      <c r="M16" s="8" t="inlineStr">
        <is>
          <t>Entered total</t>
        </is>
      </c>
      <c r="N16" s="65" t="inlineStr">
        <is>
          <t>Used · How hard</t>
        </is>
      </c>
      <c r="O16" s="65" t="inlineStr">
        <is>
          <t>Used · Decides alone</t>
        </is>
      </c>
      <c r="P16" s="65" t="inlineStr">
        <is>
          <t>Used · Answers for</t>
        </is>
      </c>
      <c r="Q16" s="65" t="inlineStr">
        <is>
          <t>Used · Leads</t>
        </is>
      </c>
      <c r="R16" s="65" t="inlineStr">
        <is>
          <t>Used · Experience</t>
        </is>
      </c>
      <c r="S16" s="65" t="inlineStr">
        <is>
          <t>Used · Business impact</t>
        </is>
      </c>
      <c r="T16" s="65" t="inlineStr">
        <is>
          <t>Why changed · leader</t>
        </is>
      </c>
      <c r="U16" s="90" t="inlineStr">
        <is>
          <t>Default · How hard</t>
        </is>
      </c>
      <c r="V16" s="90" t="inlineStr">
        <is>
          <t>Default · Decides alone</t>
        </is>
      </c>
      <c r="W16" s="90" t="inlineStr">
        <is>
          <t>Default · Answers for</t>
        </is>
      </c>
      <c r="X16" s="90" t="inlineStr">
        <is>
          <t>Default · Leads</t>
        </is>
      </c>
      <c r="Y16" s="90" t="inlineStr">
        <is>
          <t>Default · Experience</t>
        </is>
      </c>
      <c r="Z16" s="90" t="inlineStr">
        <is>
          <t>Default · Business impact</t>
        </is>
      </c>
    </row>
    <row r="17" ht="30" customHeight="1">
      <c r="A17" s="12" t="inlineStr">
        <is>
          <t>iDEAL · Marketing · Band A · Early career</t>
        </is>
      </c>
      <c r="B17" s="12" t="inlineStr">
        <is>
          <t>iDEAL</t>
        </is>
      </c>
      <c r="C17" s="12" t="inlineStr">
        <is>
          <t>Marketing</t>
        </is>
      </c>
      <c r="D17" s="10" t="inlineStr">
        <is>
          <t>Band A · Early career</t>
        </is>
      </c>
      <c r="E17" s="34" t="n">
        <v>1</v>
      </c>
      <c r="F17" s="12" t="inlineStr">
        <is>
          <t>Sales &amp; marketing</t>
        </is>
      </c>
      <c r="G17" s="91" t="n">
        <v>54</v>
      </c>
      <c r="H17" s="91" t="n">
        <v>21</v>
      </c>
      <c r="I17" s="91" t="n">
        <v>4</v>
      </c>
      <c r="J17" s="91" t="n">
        <v>0</v>
      </c>
      <c r="K17" s="91">
        <f>WM_EXP_AB</f>
        <v>10</v>
      </c>
      <c r="L17" s="91" t="n">
        <v>11</v>
      </c>
      <c r="M17" s="92">
        <f>SUM(G17:L17)</f>
        <v>100</v>
      </c>
      <c r="N17" s="93">
        <f>IF((G17+H17+I17+J17+L17)=0,0,G17*(100-MAX(0,MIN(100,K17)))/(G17+H17+I17+J17+L17))/100</f>
        <v>0.54</v>
      </c>
      <c r="O17" s="93">
        <f>IF((G17+H17+I17+J17+L17)=0,0,H17*(100-MAX(0,MIN(100,K17)))/(G17+H17+I17+J17+L17))/100</f>
        <v>0.21</v>
      </c>
      <c r="P17" s="93">
        <f>IF((G17+H17+I17+J17+L17)=0,0,I17*(100-MAX(0,MIN(100,K17)))/(G17+H17+I17+J17+L17))/100</f>
        <v>0.04</v>
      </c>
      <c r="Q17" s="93">
        <f>IF((G17+H17+I17+J17+L17)=0,0,J17*(100-MAX(0,MIN(100,K17)))/(G17+H17+I17+J17+L17))/100</f>
        <v>0</v>
      </c>
      <c r="R17" s="93">
        <f>MAX(0,MIN(100,K17))/100</f>
        <v>0.1</v>
      </c>
      <c r="S17" s="93">
        <f>IF((G17+H17+I17+J17+L17)=0,0,L17*(100-MAX(0,MIN(100,K17)))/(G17+H17+I17+J17+L17))/100</f>
        <v>0.11</v>
      </c>
      <c r="T17" s="74" t="n"/>
      <c r="U17" s="94" t="n">
        <v>54</v>
      </c>
      <c r="V17" s="94" t="n">
        <v>21</v>
      </c>
      <c r="W17" s="94" t="n">
        <v>4</v>
      </c>
      <c r="X17" s="94" t="n">
        <v>0</v>
      </c>
      <c r="Y17" s="94" t="n">
        <v>10</v>
      </c>
      <c r="Z17" s="94" t="n">
        <v>11</v>
      </c>
    </row>
    <row r="18" ht="30" customHeight="1">
      <c r="A18" s="12" t="inlineStr">
        <is>
          <t>iDEAL · Product Management · Band A · Early career</t>
        </is>
      </c>
      <c r="B18" s="12" t="inlineStr">
        <is>
          <t>iDEAL</t>
        </is>
      </c>
      <c r="C18" s="12" t="inlineStr">
        <is>
          <t>Product Management</t>
        </is>
      </c>
      <c r="D18" s="10" t="inlineStr">
        <is>
          <t>Band A · Early career</t>
        </is>
      </c>
      <c r="E18" s="34" t="n">
        <v>1</v>
      </c>
      <c r="F18" s="12" t="inlineStr">
        <is>
          <t>Product &amp; programme</t>
        </is>
      </c>
      <c r="G18" s="91" t="n">
        <v>54</v>
      </c>
      <c r="H18" s="91" t="n">
        <v>21</v>
      </c>
      <c r="I18" s="91" t="n">
        <v>9</v>
      </c>
      <c r="J18" s="91" t="n">
        <v>0</v>
      </c>
      <c r="K18" s="91">
        <f>WM_EXP_AB</f>
        <v>10</v>
      </c>
      <c r="L18" s="91" t="n">
        <v>6</v>
      </c>
      <c r="M18" s="92">
        <f>SUM(G18:L18)</f>
        <v>100</v>
      </c>
      <c r="N18" s="93">
        <f>IF((G18+H18+I18+J18+L18)=0,0,G18*(100-MAX(0,MIN(100,K18)))/(G18+H18+I18+J18+L18))/100</f>
        <v>0.54</v>
      </c>
      <c r="O18" s="93">
        <f>IF((G18+H18+I18+J18+L18)=0,0,H18*(100-MAX(0,MIN(100,K18)))/(G18+H18+I18+J18+L18))/100</f>
        <v>0.21</v>
      </c>
      <c r="P18" s="93">
        <f>IF((G18+H18+I18+J18+L18)=0,0,I18*(100-MAX(0,MIN(100,K18)))/(G18+H18+I18+J18+L18))/100</f>
        <v>0.09</v>
      </c>
      <c r="Q18" s="93">
        <f>IF((G18+H18+I18+J18+L18)=0,0,J18*(100-MAX(0,MIN(100,K18)))/(G18+H18+I18+J18+L18))/100</f>
        <v>0</v>
      </c>
      <c r="R18" s="93">
        <f>MAX(0,MIN(100,K18))/100</f>
        <v>0.1</v>
      </c>
      <c r="S18" s="93">
        <f>IF((G18+H18+I18+J18+L18)=0,0,L18*(100-MAX(0,MIN(100,K18)))/(G18+H18+I18+J18+L18))/100</f>
        <v>0.06</v>
      </c>
      <c r="T18" s="74" t="n"/>
      <c r="U18" s="94" t="n">
        <v>54</v>
      </c>
      <c r="V18" s="94" t="n">
        <v>21</v>
      </c>
      <c r="W18" s="94" t="n">
        <v>9</v>
      </c>
      <c r="X18" s="94" t="n">
        <v>0</v>
      </c>
      <c r="Y18" s="94" t="n">
        <v>10</v>
      </c>
      <c r="Z18" s="94" t="n">
        <v>6</v>
      </c>
    </row>
    <row r="19" ht="30" customHeight="1">
      <c r="A19" s="12" t="inlineStr">
        <is>
          <t>iDEAL · Product Management · Band B · People Manager</t>
        </is>
      </c>
      <c r="B19" s="12" t="inlineStr">
        <is>
          <t>iDEAL</t>
        </is>
      </c>
      <c r="C19" s="12" t="inlineStr">
        <is>
          <t>Product Management</t>
        </is>
      </c>
      <c r="D19" s="10" t="inlineStr">
        <is>
          <t>Band B · People Manager</t>
        </is>
      </c>
      <c r="E19" s="34" t="n">
        <v>2</v>
      </c>
      <c r="F19" s="12" t="inlineStr">
        <is>
          <t>Product &amp; programme</t>
        </is>
      </c>
      <c r="G19" s="91" t="n">
        <v>32</v>
      </c>
      <c r="H19" s="91" t="n">
        <v>23</v>
      </c>
      <c r="I19" s="91" t="n">
        <v>11</v>
      </c>
      <c r="J19" s="91" t="n">
        <v>15</v>
      </c>
      <c r="K19" s="91">
        <f>WM_EXP_AB</f>
        <v>10</v>
      </c>
      <c r="L19" s="91" t="n">
        <v>9</v>
      </c>
      <c r="M19" s="92">
        <f>SUM(G19:L19)</f>
        <v>100</v>
      </c>
      <c r="N19" s="93">
        <f>IF((G19+H19+I19+J19+L19)=0,0,G19*(100-MAX(0,MIN(100,K19)))/(G19+H19+I19+J19+L19))/100</f>
        <v>0.32</v>
      </c>
      <c r="O19" s="93">
        <f>IF((G19+H19+I19+J19+L19)=0,0,H19*(100-MAX(0,MIN(100,K19)))/(G19+H19+I19+J19+L19))/100</f>
        <v>0.23</v>
      </c>
      <c r="P19" s="93">
        <f>IF((G19+H19+I19+J19+L19)=0,0,I19*(100-MAX(0,MIN(100,K19)))/(G19+H19+I19+J19+L19))/100</f>
        <v>0.11</v>
      </c>
      <c r="Q19" s="93">
        <f>IF((G19+H19+I19+J19+L19)=0,0,J19*(100-MAX(0,MIN(100,K19)))/(G19+H19+I19+J19+L19))/100</f>
        <v>0.15</v>
      </c>
      <c r="R19" s="93">
        <f>MAX(0,MIN(100,K19))/100</f>
        <v>0.1</v>
      </c>
      <c r="S19" s="93">
        <f>IF((G19+H19+I19+J19+L19)=0,0,L19*(100-MAX(0,MIN(100,K19)))/(G19+H19+I19+J19+L19))/100</f>
        <v>0.09</v>
      </c>
      <c r="T19" s="74" t="n"/>
      <c r="U19" s="94" t="n">
        <v>32</v>
      </c>
      <c r="V19" s="94" t="n">
        <v>23</v>
      </c>
      <c r="W19" s="94" t="n">
        <v>11</v>
      </c>
      <c r="X19" s="94" t="n">
        <v>15</v>
      </c>
      <c r="Y19" s="94" t="n">
        <v>10</v>
      </c>
      <c r="Z19" s="94" t="n">
        <v>9</v>
      </c>
    </row>
    <row r="20" ht="30" customHeight="1">
      <c r="A20" s="12" t="inlineStr">
        <is>
          <t>iDEAL · Quality Assurance · Band A · Early career</t>
        </is>
      </c>
      <c r="B20" s="12" t="inlineStr">
        <is>
          <t>iDEAL</t>
        </is>
      </c>
      <c r="C20" s="12" t="inlineStr">
        <is>
          <t>Quality Assurance</t>
        </is>
      </c>
      <c r="D20" s="10" t="inlineStr">
        <is>
          <t>Band A · Early career</t>
        </is>
      </c>
      <c r="E20" s="34" t="n">
        <v>4</v>
      </c>
      <c r="F20" s="12" t="inlineStr">
        <is>
          <t>Technology &amp; engineering</t>
        </is>
      </c>
      <c r="G20" s="91" t="n">
        <v>64</v>
      </c>
      <c r="H20" s="91" t="n">
        <v>16</v>
      </c>
      <c r="I20" s="91" t="n">
        <v>4</v>
      </c>
      <c r="J20" s="91" t="n">
        <v>0</v>
      </c>
      <c r="K20" s="91">
        <f>WM_EXP_AB</f>
        <v>10</v>
      </c>
      <c r="L20" s="91" t="n">
        <v>6</v>
      </c>
      <c r="M20" s="92">
        <f>SUM(G20:L20)</f>
        <v>100</v>
      </c>
      <c r="N20" s="93">
        <f>IF((G20+H20+I20+J20+L20)=0,0,G20*(100-MAX(0,MIN(100,K20)))/(G20+H20+I20+J20+L20))/100</f>
        <v>0.64</v>
      </c>
      <c r="O20" s="93">
        <f>IF((G20+H20+I20+J20+L20)=0,0,H20*(100-MAX(0,MIN(100,K20)))/(G20+H20+I20+J20+L20))/100</f>
        <v>0.16</v>
      </c>
      <c r="P20" s="93">
        <f>IF((G20+H20+I20+J20+L20)=0,0,I20*(100-MAX(0,MIN(100,K20)))/(G20+H20+I20+J20+L20))/100</f>
        <v>0.04</v>
      </c>
      <c r="Q20" s="93">
        <f>IF((G20+H20+I20+J20+L20)=0,0,J20*(100-MAX(0,MIN(100,K20)))/(G20+H20+I20+J20+L20))/100</f>
        <v>0</v>
      </c>
      <c r="R20" s="93">
        <f>MAX(0,MIN(100,K20))/100</f>
        <v>0.1</v>
      </c>
      <c r="S20" s="93">
        <f>IF((G20+H20+I20+J20+L20)=0,0,L20*(100-MAX(0,MIN(100,K20)))/(G20+H20+I20+J20+L20))/100</f>
        <v>0.06</v>
      </c>
      <c r="T20" s="74" t="n"/>
      <c r="U20" s="94" t="n">
        <v>64</v>
      </c>
      <c r="V20" s="94" t="n">
        <v>16</v>
      </c>
      <c r="W20" s="94" t="n">
        <v>4</v>
      </c>
      <c r="X20" s="94" t="n">
        <v>0</v>
      </c>
      <c r="Y20" s="94" t="n">
        <v>10</v>
      </c>
      <c r="Z20" s="94" t="n">
        <v>6</v>
      </c>
    </row>
    <row r="21" ht="30" customHeight="1">
      <c r="A21" s="12" t="inlineStr">
        <is>
          <t>iDEAL · Quality Assurance · Band B · People Manager</t>
        </is>
      </c>
      <c r="B21" s="12" t="inlineStr">
        <is>
          <t>iDEAL</t>
        </is>
      </c>
      <c r="C21" s="12" t="inlineStr">
        <is>
          <t>Quality Assurance</t>
        </is>
      </c>
      <c r="D21" s="10" t="inlineStr">
        <is>
          <t>Band B · People Manager</t>
        </is>
      </c>
      <c r="E21" s="34" t="n">
        <v>1</v>
      </c>
      <c r="F21" s="12" t="inlineStr">
        <is>
          <t>Technology &amp; engineering</t>
        </is>
      </c>
      <c r="G21" s="91" t="n">
        <v>42</v>
      </c>
      <c r="H21" s="91" t="n">
        <v>18</v>
      </c>
      <c r="I21" s="91" t="n">
        <v>6</v>
      </c>
      <c r="J21" s="91" t="n">
        <v>15</v>
      </c>
      <c r="K21" s="91">
        <f>WM_EXP_AB</f>
        <v>10</v>
      </c>
      <c r="L21" s="91" t="n">
        <v>9</v>
      </c>
      <c r="M21" s="92">
        <f>SUM(G21:L21)</f>
        <v>100</v>
      </c>
      <c r="N21" s="93">
        <f>IF((G21+H21+I21+J21+L21)=0,0,G21*(100-MAX(0,MIN(100,K21)))/(G21+H21+I21+J21+L21))/100</f>
        <v>0.42</v>
      </c>
      <c r="O21" s="93">
        <f>IF((G21+H21+I21+J21+L21)=0,0,H21*(100-MAX(0,MIN(100,K21)))/(G21+H21+I21+J21+L21))/100</f>
        <v>0.18</v>
      </c>
      <c r="P21" s="93">
        <f>IF((G21+H21+I21+J21+L21)=0,0,I21*(100-MAX(0,MIN(100,K21)))/(G21+H21+I21+J21+L21))/100</f>
        <v>0.06</v>
      </c>
      <c r="Q21" s="93">
        <f>IF((G21+H21+I21+J21+L21)=0,0,J21*(100-MAX(0,MIN(100,K21)))/(G21+H21+I21+J21+L21))/100</f>
        <v>0.15</v>
      </c>
      <c r="R21" s="93">
        <f>MAX(0,MIN(100,K21))/100</f>
        <v>0.1</v>
      </c>
      <c r="S21" s="93">
        <f>IF((G21+H21+I21+J21+L21)=0,0,L21*(100-MAX(0,MIN(100,K21)))/(G21+H21+I21+J21+L21))/100</f>
        <v>0.09</v>
      </c>
      <c r="T21" s="74" t="n"/>
      <c r="U21" s="94" t="n">
        <v>42</v>
      </c>
      <c r="V21" s="94" t="n">
        <v>18</v>
      </c>
      <c r="W21" s="94" t="n">
        <v>6</v>
      </c>
      <c r="X21" s="94" t="n">
        <v>15</v>
      </c>
      <c r="Y21" s="94" t="n">
        <v>10</v>
      </c>
      <c r="Z21" s="94" t="n">
        <v>9</v>
      </c>
    </row>
    <row r="22" ht="30" customHeight="1">
      <c r="A22" s="12" t="inlineStr">
        <is>
          <t>iDEAL · Sales · Band A · Early career</t>
        </is>
      </c>
      <c r="B22" s="12" t="inlineStr">
        <is>
          <t>iDEAL</t>
        </is>
      </c>
      <c r="C22" s="12" t="inlineStr">
        <is>
          <t>Sales</t>
        </is>
      </c>
      <c r="D22" s="10" t="inlineStr">
        <is>
          <t>Band A · Early career</t>
        </is>
      </c>
      <c r="E22" s="34" t="n">
        <v>1</v>
      </c>
      <c r="F22" s="12" t="inlineStr">
        <is>
          <t>Sales &amp; marketing</t>
        </is>
      </c>
      <c r="G22" s="91" t="n">
        <v>54</v>
      </c>
      <c r="H22" s="91" t="n">
        <v>21</v>
      </c>
      <c r="I22" s="91" t="n">
        <v>4</v>
      </c>
      <c r="J22" s="91" t="n">
        <v>0</v>
      </c>
      <c r="K22" s="91">
        <f>WM_EXP_AB</f>
        <v>10</v>
      </c>
      <c r="L22" s="91" t="n">
        <v>11</v>
      </c>
      <c r="M22" s="92">
        <f>SUM(G22:L22)</f>
        <v>100</v>
      </c>
      <c r="N22" s="93">
        <f>IF((G22+H22+I22+J22+L22)=0,0,G22*(100-MAX(0,MIN(100,K22)))/(G22+H22+I22+J22+L22))/100</f>
        <v>0.54</v>
      </c>
      <c r="O22" s="93">
        <f>IF((G22+H22+I22+J22+L22)=0,0,H22*(100-MAX(0,MIN(100,K22)))/(G22+H22+I22+J22+L22))/100</f>
        <v>0.21</v>
      </c>
      <c r="P22" s="93">
        <f>IF((G22+H22+I22+J22+L22)=0,0,I22*(100-MAX(0,MIN(100,K22)))/(G22+H22+I22+J22+L22))/100</f>
        <v>0.04</v>
      </c>
      <c r="Q22" s="93">
        <f>IF((G22+H22+I22+J22+L22)=0,0,J22*(100-MAX(0,MIN(100,K22)))/(G22+H22+I22+J22+L22))/100</f>
        <v>0</v>
      </c>
      <c r="R22" s="93">
        <f>MAX(0,MIN(100,K22))/100</f>
        <v>0.1</v>
      </c>
      <c r="S22" s="93">
        <f>IF((G22+H22+I22+J22+L22)=0,0,L22*(100-MAX(0,MIN(100,K22)))/(G22+H22+I22+J22+L22))/100</f>
        <v>0.11</v>
      </c>
      <c r="T22" s="74" t="n"/>
      <c r="U22" s="94" t="n">
        <v>54</v>
      </c>
      <c r="V22" s="94" t="n">
        <v>21</v>
      </c>
      <c r="W22" s="94" t="n">
        <v>4</v>
      </c>
      <c r="X22" s="94" t="n">
        <v>0</v>
      </c>
      <c r="Y22" s="94" t="n">
        <v>10</v>
      </c>
      <c r="Z22" s="94" t="n">
        <v>11</v>
      </c>
    </row>
    <row r="23" ht="30" customHeight="1">
      <c r="A23" s="12" t="inlineStr">
        <is>
          <t>iDEAL · Sales · Band B · Expert / POD Lead</t>
        </is>
      </c>
      <c r="B23" s="12" t="inlineStr">
        <is>
          <t>iDEAL</t>
        </is>
      </c>
      <c r="C23" s="12" t="inlineStr">
        <is>
          <t>Sales</t>
        </is>
      </c>
      <c r="D23" s="10" t="inlineStr">
        <is>
          <t>Band B · Expert / POD Lead</t>
        </is>
      </c>
      <c r="E23" s="34" t="n">
        <v>2</v>
      </c>
      <c r="F23" s="12" t="inlineStr">
        <is>
          <t>Sales &amp; marketing</t>
        </is>
      </c>
      <c r="G23" s="91" t="n">
        <v>46</v>
      </c>
      <c r="H23" s="91" t="n">
        <v>22</v>
      </c>
      <c r="I23" s="91" t="n">
        <v>5</v>
      </c>
      <c r="J23" s="91" t="n">
        <v>5</v>
      </c>
      <c r="K23" s="91">
        <f>WM_EXP_AB</f>
        <v>10</v>
      </c>
      <c r="L23" s="91" t="n">
        <v>12</v>
      </c>
      <c r="M23" s="92">
        <f>SUM(G23:L23)</f>
        <v>100</v>
      </c>
      <c r="N23" s="93">
        <f>IF((G23+H23+I23+J23+L23)=0,0,G23*(100-MAX(0,MIN(100,K23)))/(G23+H23+I23+J23+L23))/100</f>
        <v>0.46</v>
      </c>
      <c r="O23" s="93">
        <f>IF((G23+H23+I23+J23+L23)=0,0,H23*(100-MAX(0,MIN(100,K23)))/(G23+H23+I23+J23+L23))/100</f>
        <v>0.22</v>
      </c>
      <c r="P23" s="93">
        <f>IF((G23+H23+I23+J23+L23)=0,0,I23*(100-MAX(0,MIN(100,K23)))/(G23+H23+I23+J23+L23))/100</f>
        <v>0.05</v>
      </c>
      <c r="Q23" s="93">
        <f>IF((G23+H23+I23+J23+L23)=0,0,J23*(100-MAX(0,MIN(100,K23)))/(G23+H23+I23+J23+L23))/100</f>
        <v>0.05</v>
      </c>
      <c r="R23" s="93">
        <f>MAX(0,MIN(100,K23))/100</f>
        <v>0.1</v>
      </c>
      <c r="S23" s="93">
        <f>IF((G23+H23+I23+J23+L23)=0,0,L23*(100-MAX(0,MIN(100,K23)))/(G23+H23+I23+J23+L23))/100</f>
        <v>0.12</v>
      </c>
      <c r="T23" s="74" t="n"/>
      <c r="U23" s="94" t="n">
        <v>46</v>
      </c>
      <c r="V23" s="94" t="n">
        <v>22</v>
      </c>
      <c r="W23" s="94" t="n">
        <v>5</v>
      </c>
      <c r="X23" s="94" t="n">
        <v>5</v>
      </c>
      <c r="Y23" s="94" t="n">
        <v>10</v>
      </c>
      <c r="Z23" s="94" t="n">
        <v>12</v>
      </c>
    </row>
    <row r="24" ht="30" customHeight="1">
      <c r="A24" s="12" t="inlineStr">
        <is>
          <t>iDEAL · Technology · Band A · Early career</t>
        </is>
      </c>
      <c r="B24" s="12" t="inlineStr">
        <is>
          <t>iDEAL</t>
        </is>
      </c>
      <c r="C24" s="12" t="inlineStr">
        <is>
          <t>Technology</t>
        </is>
      </c>
      <c r="D24" s="10" t="inlineStr">
        <is>
          <t>Band A · Early career</t>
        </is>
      </c>
      <c r="E24" s="34" t="n">
        <v>22</v>
      </c>
      <c r="F24" s="12" t="inlineStr">
        <is>
          <t>Technology &amp; engineering</t>
        </is>
      </c>
      <c r="G24" s="91" t="n">
        <v>64</v>
      </c>
      <c r="H24" s="91" t="n">
        <v>16</v>
      </c>
      <c r="I24" s="91" t="n">
        <v>4</v>
      </c>
      <c r="J24" s="91" t="n">
        <v>0</v>
      </c>
      <c r="K24" s="91">
        <f>WM_EXP_AB</f>
        <v>10</v>
      </c>
      <c r="L24" s="91" t="n">
        <v>6</v>
      </c>
      <c r="M24" s="92">
        <f>SUM(G24:L24)</f>
        <v>100</v>
      </c>
      <c r="N24" s="93">
        <f>IF((G24+H24+I24+J24+L24)=0,0,G24*(100-MAX(0,MIN(100,K24)))/(G24+H24+I24+J24+L24))/100</f>
        <v>0.64</v>
      </c>
      <c r="O24" s="93">
        <f>IF((G24+H24+I24+J24+L24)=0,0,H24*(100-MAX(0,MIN(100,K24)))/(G24+H24+I24+J24+L24))/100</f>
        <v>0.16</v>
      </c>
      <c r="P24" s="93">
        <f>IF((G24+H24+I24+J24+L24)=0,0,I24*(100-MAX(0,MIN(100,K24)))/(G24+H24+I24+J24+L24))/100</f>
        <v>0.04</v>
      </c>
      <c r="Q24" s="93">
        <f>IF((G24+H24+I24+J24+L24)=0,0,J24*(100-MAX(0,MIN(100,K24)))/(G24+H24+I24+J24+L24))/100</f>
        <v>0</v>
      </c>
      <c r="R24" s="93">
        <f>MAX(0,MIN(100,K24))/100</f>
        <v>0.1</v>
      </c>
      <c r="S24" s="93">
        <f>IF((G24+H24+I24+J24+L24)=0,0,L24*(100-MAX(0,MIN(100,K24)))/(G24+H24+I24+J24+L24))/100</f>
        <v>0.06</v>
      </c>
      <c r="T24" s="74" t="n"/>
      <c r="U24" s="94" t="n">
        <v>64</v>
      </c>
      <c r="V24" s="94" t="n">
        <v>16</v>
      </c>
      <c r="W24" s="94" t="n">
        <v>4</v>
      </c>
      <c r="X24" s="94" t="n">
        <v>0</v>
      </c>
      <c r="Y24" s="94" t="n">
        <v>10</v>
      </c>
      <c r="Z24" s="94" t="n">
        <v>6</v>
      </c>
    </row>
    <row r="25" ht="30" customHeight="1">
      <c r="A25" s="12" t="inlineStr">
        <is>
          <t>iDEAL · Technology · Band B · Expert / POD Lead</t>
        </is>
      </c>
      <c r="B25" s="12" t="inlineStr">
        <is>
          <t>iDEAL</t>
        </is>
      </c>
      <c r="C25" s="12" t="inlineStr">
        <is>
          <t>Technology</t>
        </is>
      </c>
      <c r="D25" s="10" t="inlineStr">
        <is>
          <t>Band B · Expert / POD Lead</t>
        </is>
      </c>
      <c r="E25" s="34" t="n">
        <v>7</v>
      </c>
      <c r="F25" s="12" t="inlineStr">
        <is>
          <t>Technology &amp; engineering</t>
        </is>
      </c>
      <c r="G25" s="91" t="n">
        <v>56</v>
      </c>
      <c r="H25" s="91" t="n">
        <v>17</v>
      </c>
      <c r="I25" s="91" t="n">
        <v>5</v>
      </c>
      <c r="J25" s="91" t="n">
        <v>5</v>
      </c>
      <c r="K25" s="91">
        <f>WM_EXP_AB</f>
        <v>10</v>
      </c>
      <c r="L25" s="91" t="n">
        <v>7</v>
      </c>
      <c r="M25" s="92">
        <f>SUM(G25:L25)</f>
        <v>100</v>
      </c>
      <c r="N25" s="93">
        <f>IF((G25+H25+I25+J25+L25)=0,0,G25*(100-MAX(0,MIN(100,K25)))/(G25+H25+I25+J25+L25))/100</f>
        <v>0.56</v>
      </c>
      <c r="O25" s="93">
        <f>IF((G25+H25+I25+J25+L25)=0,0,H25*(100-MAX(0,MIN(100,K25)))/(G25+H25+I25+J25+L25))/100</f>
        <v>0.17</v>
      </c>
      <c r="P25" s="93">
        <f>IF((G25+H25+I25+J25+L25)=0,0,I25*(100-MAX(0,MIN(100,K25)))/(G25+H25+I25+J25+L25))/100</f>
        <v>0.05</v>
      </c>
      <c r="Q25" s="93">
        <f>IF((G25+H25+I25+J25+L25)=0,0,J25*(100-MAX(0,MIN(100,K25)))/(G25+H25+I25+J25+L25))/100</f>
        <v>0.05</v>
      </c>
      <c r="R25" s="93">
        <f>MAX(0,MIN(100,K25))/100</f>
        <v>0.1</v>
      </c>
      <c r="S25" s="93">
        <f>IF((G25+H25+I25+J25+L25)=0,0,L25*(100-MAX(0,MIN(100,K25)))/(G25+H25+I25+J25+L25))/100</f>
        <v>0.07</v>
      </c>
      <c r="T25" s="74" t="n"/>
      <c r="U25" s="94" t="n">
        <v>56</v>
      </c>
      <c r="V25" s="94" t="n">
        <v>17</v>
      </c>
      <c r="W25" s="94" t="n">
        <v>5</v>
      </c>
      <c r="X25" s="94" t="n">
        <v>5</v>
      </c>
      <c r="Y25" s="94" t="n">
        <v>10</v>
      </c>
      <c r="Z25" s="94" t="n">
        <v>7</v>
      </c>
    </row>
    <row r="26" ht="30" customHeight="1">
      <c r="A26" s="12" t="inlineStr">
        <is>
          <t>iDEAL · Technology · Band B · People Manager</t>
        </is>
      </c>
      <c r="B26" s="12" t="inlineStr">
        <is>
          <t>iDEAL</t>
        </is>
      </c>
      <c r="C26" s="12" t="inlineStr">
        <is>
          <t>Technology</t>
        </is>
      </c>
      <c r="D26" s="10" t="inlineStr">
        <is>
          <t>Band B · People Manager</t>
        </is>
      </c>
      <c r="E26" s="34" t="n">
        <v>1</v>
      </c>
      <c r="F26" s="12" t="inlineStr">
        <is>
          <t>Technology &amp; engineering</t>
        </is>
      </c>
      <c r="G26" s="91" t="n">
        <v>42</v>
      </c>
      <c r="H26" s="91" t="n">
        <v>18</v>
      </c>
      <c r="I26" s="91" t="n">
        <v>6</v>
      </c>
      <c r="J26" s="91" t="n">
        <v>15</v>
      </c>
      <c r="K26" s="91">
        <f>WM_EXP_AB</f>
        <v>10</v>
      </c>
      <c r="L26" s="91" t="n">
        <v>9</v>
      </c>
      <c r="M26" s="92">
        <f>SUM(G26:L26)</f>
        <v>100</v>
      </c>
      <c r="N26" s="93">
        <f>IF((G26+H26+I26+J26+L26)=0,0,G26*(100-MAX(0,MIN(100,K26)))/(G26+H26+I26+J26+L26))/100</f>
        <v>0.42</v>
      </c>
      <c r="O26" s="93">
        <f>IF((G26+H26+I26+J26+L26)=0,0,H26*(100-MAX(0,MIN(100,K26)))/(G26+H26+I26+J26+L26))/100</f>
        <v>0.18</v>
      </c>
      <c r="P26" s="93">
        <f>IF((G26+H26+I26+J26+L26)=0,0,I26*(100-MAX(0,MIN(100,K26)))/(G26+H26+I26+J26+L26))/100</f>
        <v>0.06</v>
      </c>
      <c r="Q26" s="93">
        <f>IF((G26+H26+I26+J26+L26)=0,0,J26*(100-MAX(0,MIN(100,K26)))/(G26+H26+I26+J26+L26))/100</f>
        <v>0.15</v>
      </c>
      <c r="R26" s="93">
        <f>MAX(0,MIN(100,K26))/100</f>
        <v>0.1</v>
      </c>
      <c r="S26" s="93">
        <f>IF((G26+H26+I26+J26+L26)=0,0,L26*(100-MAX(0,MIN(100,K26)))/(G26+H26+I26+J26+L26))/100</f>
        <v>0.09</v>
      </c>
      <c r="T26" s="74" t="n"/>
      <c r="U26" s="94" t="n">
        <v>42</v>
      </c>
      <c r="V26" s="94" t="n">
        <v>18</v>
      </c>
      <c r="W26" s="94" t="n">
        <v>6</v>
      </c>
      <c r="X26" s="94" t="n">
        <v>15</v>
      </c>
      <c r="Y26" s="94" t="n">
        <v>10</v>
      </c>
      <c r="Z26" s="94" t="n">
        <v>9</v>
      </c>
    </row>
    <row r="27" ht="30" customHeight="1">
      <c r="A27" s="12" t="inlineStr">
        <is>
          <t>iDEAL · Technology · B+ · Player-Coach</t>
        </is>
      </c>
      <c r="B27" s="12" t="inlineStr">
        <is>
          <t>iDEAL</t>
        </is>
      </c>
      <c r="C27" s="12" t="inlineStr">
        <is>
          <t>Technology</t>
        </is>
      </c>
      <c r="D27" s="10" t="inlineStr">
        <is>
          <t>B+ · Player-Coach</t>
        </is>
      </c>
      <c r="E27" s="34" t="n">
        <v>1</v>
      </c>
      <c r="F27" s="12" t="inlineStr">
        <is>
          <t>Technology &amp; engineering</t>
        </is>
      </c>
      <c r="G27" s="91" t="n">
        <v>49</v>
      </c>
      <c r="H27" s="91" t="n">
        <v>18</v>
      </c>
      <c r="I27" s="91" t="n">
        <v>5</v>
      </c>
      <c r="J27" s="91" t="n">
        <v>10</v>
      </c>
      <c r="K27" s="91">
        <f>WM_EXP_AB</f>
        <v>10</v>
      </c>
      <c r="L27" s="91" t="n">
        <v>8</v>
      </c>
      <c r="M27" s="92">
        <f>SUM(G27:L27)</f>
        <v>100</v>
      </c>
      <c r="N27" s="93">
        <f>IF((G27+H27+I27+J27+L27)=0,0,G27*(100-MAX(0,MIN(100,K27)))/(G27+H27+I27+J27+L27))/100</f>
        <v>0.49</v>
      </c>
      <c r="O27" s="93">
        <f>IF((G27+H27+I27+J27+L27)=0,0,H27*(100-MAX(0,MIN(100,K27)))/(G27+H27+I27+J27+L27))/100</f>
        <v>0.18</v>
      </c>
      <c r="P27" s="93">
        <f>IF((G27+H27+I27+J27+L27)=0,0,I27*(100-MAX(0,MIN(100,K27)))/(G27+H27+I27+J27+L27))/100</f>
        <v>0.05</v>
      </c>
      <c r="Q27" s="93">
        <f>IF((G27+H27+I27+J27+L27)=0,0,J27*(100-MAX(0,MIN(100,K27)))/(G27+H27+I27+J27+L27))/100</f>
        <v>0.1</v>
      </c>
      <c r="R27" s="93">
        <f>MAX(0,MIN(100,K27))/100</f>
        <v>0.1</v>
      </c>
      <c r="S27" s="93">
        <f>IF((G27+H27+I27+J27+L27)=0,0,L27*(100-MAX(0,MIN(100,K27)))/(G27+H27+I27+J27+L27))/100</f>
        <v>0.08</v>
      </c>
      <c r="T27" s="74" t="n"/>
      <c r="U27" s="94" t="n">
        <v>49</v>
      </c>
      <c r="V27" s="94" t="n">
        <v>18</v>
      </c>
      <c r="W27" s="94" t="n">
        <v>5</v>
      </c>
      <c r="X27" s="94" t="n">
        <v>10</v>
      </c>
      <c r="Y27" s="94" t="n">
        <v>10</v>
      </c>
      <c r="Z27" s="94" t="n">
        <v>8</v>
      </c>
    </row>
    <row r="28" ht="30" customHeight="1">
      <c r="A28" s="12" t="inlineStr">
        <is>
          <t>iDEAL · iDEAL Business Head · Bands D–E · Leadership</t>
        </is>
      </c>
      <c r="B28" s="12" t="inlineStr">
        <is>
          <t>iDEAL</t>
        </is>
      </c>
      <c r="C28" s="12" t="inlineStr">
        <is>
          <t>iDEAL Business Head</t>
        </is>
      </c>
      <c r="D28" s="10" t="inlineStr">
        <is>
          <t>Bands D–E · Leadership</t>
        </is>
      </c>
      <c r="E28" s="34" t="n">
        <v>1</v>
      </c>
      <c r="F28" s="12" t="inlineStr">
        <is>
          <t>General management</t>
        </is>
      </c>
      <c r="G28" s="91" t="n">
        <v>37</v>
      </c>
      <c r="H28" s="91" t="n">
        <v>19</v>
      </c>
      <c r="I28" s="91" t="n">
        <v>11</v>
      </c>
      <c r="J28" s="91" t="n">
        <v>20</v>
      </c>
      <c r="K28" s="91">
        <f>WM_EXP_CE</f>
        <v>5</v>
      </c>
      <c r="L28" s="91" t="n">
        <v>8</v>
      </c>
      <c r="M28" s="92">
        <f>SUM(G28:L28)</f>
        <v>100</v>
      </c>
      <c r="N28" s="93">
        <f>IF((G28+H28+I28+J28+L28)=0,0,G28*(100-MAX(0,MIN(100,K28)))/(G28+H28+I28+J28+L28))/100</f>
        <v>0.37</v>
      </c>
      <c r="O28" s="93">
        <f>IF((G28+H28+I28+J28+L28)=0,0,H28*(100-MAX(0,MIN(100,K28)))/(G28+H28+I28+J28+L28))/100</f>
        <v>0.19</v>
      </c>
      <c r="P28" s="93">
        <f>IF((G28+H28+I28+J28+L28)=0,0,I28*(100-MAX(0,MIN(100,K28)))/(G28+H28+I28+J28+L28))/100</f>
        <v>0.11</v>
      </c>
      <c r="Q28" s="93">
        <f>IF((G28+H28+I28+J28+L28)=0,0,J28*(100-MAX(0,MIN(100,K28)))/(G28+H28+I28+J28+L28))/100</f>
        <v>0.2</v>
      </c>
      <c r="R28" s="93">
        <f>MAX(0,MIN(100,K28))/100</f>
        <v>0.05</v>
      </c>
      <c r="S28" s="93">
        <f>IF((G28+H28+I28+J28+L28)=0,0,L28*(100-MAX(0,MIN(100,K28)))/(G28+H28+I28+J28+L28))/100</f>
        <v>0.08</v>
      </c>
      <c r="T28" s="74" t="n"/>
      <c r="U28" s="94" t="n">
        <v>37</v>
      </c>
      <c r="V28" s="94" t="n">
        <v>19</v>
      </c>
      <c r="W28" s="94" t="n">
        <v>11</v>
      </c>
      <c r="X28" s="94" t="n">
        <v>20</v>
      </c>
      <c r="Y28" s="94" t="n">
        <v>5</v>
      </c>
      <c r="Z28" s="94" t="n">
        <v>8</v>
      </c>
    </row>
    <row r="29" ht="15" customHeight="1"/>
    <row r="30" ht="20" customHeight="1">
      <c r="A30" s="6" t="inlineStr">
        <is>
          <t>WHAT EACH FACTOR MEANS — and when to give it more weight</t>
        </is>
      </c>
    </row>
    <row r="31" ht="15" customHeight="1">
      <c r="A31" s="8" t="inlineStr">
        <is>
          <t>Factor</t>
        </is>
      </c>
      <c r="B31" s="85" t="n"/>
      <c r="C31" s="8" t="inlineStr">
        <is>
          <t>What it measures</t>
        </is>
      </c>
      <c r="D31" s="84" t="n"/>
      <c r="E31" s="84" t="n"/>
      <c r="F31" s="84" t="n"/>
      <c r="G31" s="84" t="n"/>
      <c r="H31" s="85" t="n"/>
      <c r="I31" s="8" t="inlineStr">
        <is>
          <t>Give it more weight when…</t>
        </is>
      </c>
      <c r="J31" s="84" t="n"/>
      <c r="K31" s="84" t="n"/>
      <c r="L31" s="84" t="n"/>
      <c r="M31" s="84" t="n"/>
      <c r="N31" s="84" t="n"/>
      <c r="O31" s="84" t="n"/>
      <c r="P31" s="84" t="n"/>
      <c r="Q31" s="84" t="n"/>
      <c r="R31" s="84" t="n"/>
      <c r="S31" s="84" t="n"/>
      <c r="T31" s="85" t="n"/>
    </row>
    <row r="32" ht="15" customHeight="1">
      <c r="A32" s="10" t="inlineStr">
        <is>
          <t>Complexity &amp; Expertise</t>
        </is>
      </c>
      <c r="B32" s="85" t="n"/>
      <c r="C32" s="12" t="inlineStr">
        <is>
          <t>How hard and how specialised the work is</t>
        </is>
      </c>
      <c r="D32" s="84" t="n"/>
      <c r="E32" s="84" t="n"/>
      <c r="F32" s="84" t="n"/>
      <c r="G32" s="84" t="n"/>
      <c r="H32" s="85" t="n"/>
      <c r="I32" s="12" t="inlineStr">
        <is>
          <r>
            <rPr>
              <rFont val="Calibri"/>
              <b val="1"/>
              <sz val="10"/>
            </rPr>
            <t>The job's value is deep expertise:</t>
          </r>
          <r>
            <rPr>
              <rFont val="Calibri"/>
              <sz val="10"/>
            </rPr>
            <t xml:space="preserve"> architecture, actuarial, taxonomy design</t>
          </r>
        </is>
      </c>
      <c r="J32" s="84" t="n"/>
      <c r="K32" s="84" t="n"/>
      <c r="L32" s="84" t="n"/>
      <c r="M32" s="84" t="n"/>
      <c r="N32" s="84" t="n"/>
      <c r="O32" s="84" t="n"/>
      <c r="P32" s="84" t="n"/>
      <c r="Q32" s="84" t="n"/>
      <c r="R32" s="84" t="n"/>
      <c r="S32" s="84" t="n"/>
      <c r="T32" s="85" t="n"/>
    </row>
    <row r="33" ht="15" customHeight="1">
      <c r="A33" s="10" t="inlineStr">
        <is>
          <t>Autonomy &amp; Decision</t>
        </is>
      </c>
      <c r="B33" s="85" t="n"/>
      <c r="C33" s="12" t="inlineStr">
        <is>
          <t>What the person decides without asking</t>
        </is>
      </c>
      <c r="D33" s="84" t="n"/>
      <c r="E33" s="84" t="n"/>
      <c r="F33" s="84" t="n"/>
      <c r="G33" s="84" t="n"/>
      <c r="H33" s="85" t="n"/>
      <c r="I33" s="12" t="inlineStr">
        <is>
          <r>
            <rPr>
              <rFont val="Calibri"/>
              <b val="1"/>
              <sz val="10"/>
            </rPr>
            <t>The job is trusted to act alone:</t>
          </r>
          <r>
            <rPr>
              <rFont val="Calibri"/>
              <sz val="10"/>
            </rPr>
            <t xml:space="preserve"> product calls, deals, client decisions</t>
          </r>
        </is>
      </c>
      <c r="J33" s="84" t="n"/>
      <c r="K33" s="84" t="n"/>
      <c r="L33" s="84" t="n"/>
      <c r="M33" s="84" t="n"/>
      <c r="N33" s="84" t="n"/>
      <c r="O33" s="84" t="n"/>
      <c r="P33" s="84" t="n"/>
      <c r="Q33" s="84" t="n"/>
      <c r="R33" s="84" t="n"/>
      <c r="S33" s="84" t="n"/>
      <c r="T33" s="85" t="n"/>
    </row>
    <row r="34" ht="15" customHeight="1">
      <c r="A34" s="10" t="inlineStr">
        <is>
          <t>Accountability &amp; Impact</t>
        </is>
      </c>
      <c r="B34" s="85" t="n"/>
      <c r="C34" s="12" t="inlineStr">
        <is>
          <t>What the job answers for — its scope</t>
        </is>
      </c>
      <c r="D34" s="84" t="n"/>
      <c r="E34" s="84" t="n"/>
      <c r="F34" s="84" t="n"/>
      <c r="G34" s="84" t="n"/>
      <c r="H34" s="85" t="n"/>
      <c r="I34" s="12" t="inlineStr">
        <is>
          <t>Results, risk or quality of an area rest on this job</t>
        </is>
      </c>
      <c r="J34" s="84" t="n"/>
      <c r="K34" s="84" t="n"/>
      <c r="L34" s="84" t="n"/>
      <c r="M34" s="84" t="n"/>
      <c r="N34" s="84" t="n"/>
      <c r="O34" s="84" t="n"/>
      <c r="P34" s="84" t="n"/>
      <c r="Q34" s="84" t="n"/>
      <c r="R34" s="84" t="n"/>
      <c r="S34" s="84" t="n"/>
      <c r="T34" s="85" t="n"/>
    </row>
    <row r="35" ht="15" customHeight="1">
      <c r="A35" s="10" t="inlineStr">
        <is>
          <t>Leadership &amp; Strategy</t>
        </is>
      </c>
      <c r="B35" s="85" t="n"/>
      <c r="C35" s="12" t="inlineStr">
        <is>
          <t>Leading people or setting direction</t>
        </is>
      </c>
      <c r="D35" s="84" t="n"/>
      <c r="E35" s="84" t="n"/>
      <c r="F35" s="84" t="n"/>
      <c r="G35" s="84" t="n"/>
      <c r="H35" s="85" t="n"/>
      <c r="I35" s="12" t="inlineStr">
        <is>
          <t>The job's results come through a team or through direction it sets</t>
        </is>
      </c>
      <c r="J35" s="84" t="n"/>
      <c r="K35" s="84" t="n"/>
      <c r="L35" s="84" t="n"/>
      <c r="M35" s="84" t="n"/>
      <c r="N35" s="84" t="n"/>
      <c r="O35" s="84" t="n"/>
      <c r="P35" s="84" t="n"/>
      <c r="Q35" s="84" t="n"/>
      <c r="R35" s="84" t="n"/>
      <c r="S35" s="84" t="n"/>
      <c r="T35" s="85" t="n"/>
    </row>
    <row r="36" ht="15" customHeight="1">
      <c r="A36" s="10" t="inlineStr">
        <is>
          <t>Experience &amp; Qualification</t>
        </is>
      </c>
      <c r="B36" s="85" t="n"/>
      <c r="C36" s="12" t="inlineStr">
        <is>
          <t>Years in the field and qualifications</t>
        </is>
      </c>
      <c r="D36" s="84" t="n"/>
      <c r="E36" s="84" t="n"/>
      <c r="F36" s="84" t="n"/>
      <c r="G36" s="84" t="n"/>
      <c r="H36" s="85" t="n"/>
      <c r="I36" s="12" t="inlineStr">
        <is>
          <t>A licence or long experience is itself the requirement — kept low by design</t>
        </is>
      </c>
      <c r="J36" s="84" t="n"/>
      <c r="K36" s="84" t="n"/>
      <c r="L36" s="84" t="n"/>
      <c r="M36" s="84" t="n"/>
      <c r="N36" s="84" t="n"/>
      <c r="O36" s="84" t="n"/>
      <c r="P36" s="84" t="n"/>
      <c r="Q36" s="84" t="n"/>
      <c r="R36" s="84" t="n"/>
      <c r="S36" s="84" t="n"/>
      <c r="T36" s="85" t="n"/>
    </row>
    <row r="37" ht="15" customHeight="1">
      <c r="A37" s="10" t="inlineStr">
        <is>
          <t>Business Impact</t>
        </is>
      </c>
      <c r="B37" s="85" t="n"/>
      <c r="C37" s="12" t="inlineStr">
        <is>
          <t>The difference the job makes to revenue, clients, compliance or cost</t>
        </is>
      </c>
      <c r="D37" s="84" t="n"/>
      <c r="E37" s="84" t="n"/>
      <c r="F37" s="84" t="n"/>
      <c r="G37" s="84" t="n"/>
      <c r="H37" s="85" t="n"/>
      <c r="I37" s="12" t="inlineStr">
        <is>
          <r>
            <rPr>
              <rFont val="Calibri"/>
              <b val="1"/>
              <sz val="10"/>
            </rPr>
            <t>Results are visible in business numbers:</t>
          </r>
          <r>
            <rPr>
              <rFont val="Calibri"/>
              <sz val="10"/>
            </rPr>
            <t xml:space="preserve"> sales, client retention, filings, savings</t>
          </r>
        </is>
      </c>
      <c r="J37" s="84" t="n"/>
      <c r="K37" s="84" t="n"/>
      <c r="L37" s="84" t="n"/>
      <c r="M37" s="84" t="n"/>
      <c r="N37" s="84" t="n"/>
      <c r="O37" s="84" t="n"/>
      <c r="P37" s="84" t="n"/>
      <c r="Q37" s="84" t="n"/>
      <c r="R37" s="84" t="n"/>
      <c r="S37" s="84" t="n"/>
      <c r="T37" s="85" t="n"/>
    </row>
    <row r="38" ht="15" customHeight="1"/>
    <row r="39" ht="15" customHeight="1">
      <c r="A39" s="32"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40" ht="15" customHeight="1">
      <c r="A40" s="32"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41" ht="15" customHeight="1">
      <c r="A41" s="32"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42" ht="20" customHeight="1">
      <c r="A42" s="6" t="inlineStr">
        <is>
          <t>WHAT A WEIGHT MEANS</t>
        </is>
      </c>
    </row>
    <row r="43" ht="15" customHeight="1">
      <c r="A43" s="8" t="inlineStr">
        <is>
          <t>Weight</t>
        </is>
      </c>
      <c r="B43" s="85" t="n"/>
      <c r="C43" s="8" t="inlineStr">
        <is>
          <t>What it means for the score</t>
        </is>
      </c>
      <c r="D43" s="84" t="n"/>
      <c r="E43" s="84" t="n"/>
      <c r="F43" s="84" t="n"/>
      <c r="G43" s="84" t="n"/>
      <c r="H43" s="84" t="n"/>
      <c r="I43" s="84" t="n"/>
      <c r="J43" s="84" t="n"/>
      <c r="K43" s="84" t="n"/>
      <c r="L43" s="84" t="n"/>
      <c r="M43" s="84" t="n"/>
      <c r="N43" s="84" t="n"/>
      <c r="O43" s="84" t="n"/>
      <c r="P43" s="84" t="n"/>
      <c r="Q43" s="84" t="n"/>
      <c r="R43" s="84" t="n"/>
      <c r="S43" s="84" t="n"/>
      <c r="T43" s="85" t="n"/>
    </row>
    <row r="44" ht="15" customHeight="1">
      <c r="A44" s="10" t="inlineStr">
        <is>
          <t>0%</t>
        </is>
      </c>
      <c r="B44" s="85" t="n"/>
      <c r="C44" s="12" t="inlineStr">
        <is>
          <t>Ignored for this role group — the rating does not count at all</t>
        </is>
      </c>
      <c r="D44" s="84" t="n"/>
      <c r="E44" s="84" t="n"/>
      <c r="F44" s="84" t="n"/>
      <c r="G44" s="84" t="n"/>
      <c r="H44" s="84" t="n"/>
      <c r="I44" s="84" t="n"/>
      <c r="J44" s="84" t="n"/>
      <c r="K44" s="84" t="n"/>
      <c r="L44" s="84" t="n"/>
      <c r="M44" s="84" t="n"/>
      <c r="N44" s="84" t="n"/>
      <c r="O44" s="84" t="n"/>
      <c r="P44" s="84" t="n"/>
      <c r="Q44" s="84" t="n"/>
      <c r="R44" s="84" t="n"/>
      <c r="S44" s="84" t="n"/>
      <c r="T44" s="85" t="n"/>
    </row>
    <row r="45" ht="15" customHeight="1">
      <c r="A45" s="10" t="inlineStr">
        <is>
          <t>5%</t>
        </is>
      </c>
      <c r="B45" s="85" t="n"/>
      <c r="C45" s="12" t="inlineStr">
        <is>
          <t>Minor — a tie-breaker; a 1-point change in the rating moves the score by 0.05</t>
        </is>
      </c>
      <c r="D45" s="84" t="n"/>
      <c r="E45" s="84" t="n"/>
      <c r="F45" s="84" t="n"/>
      <c r="G45" s="84" t="n"/>
      <c r="H45" s="84" t="n"/>
      <c r="I45" s="84" t="n"/>
      <c r="J45" s="84" t="n"/>
      <c r="K45" s="84" t="n"/>
      <c r="L45" s="84" t="n"/>
      <c r="M45" s="84" t="n"/>
      <c r="N45" s="84" t="n"/>
      <c r="O45" s="84" t="n"/>
      <c r="P45" s="84" t="n"/>
      <c r="Q45" s="84" t="n"/>
      <c r="R45" s="84" t="n"/>
      <c r="S45" s="84" t="n"/>
      <c r="T45" s="85" t="n"/>
    </row>
    <row r="46" ht="15" customHeight="1">
      <c r="A46" s="10" t="inlineStr">
        <is>
          <t>10%</t>
        </is>
      </c>
      <c r="B46" s="85" t="n"/>
      <c r="C46" s="12" t="inlineStr">
        <is>
          <t>Counts a little — a 1-point change moves the score by 0.10</t>
        </is>
      </c>
      <c r="D46" s="84" t="n"/>
      <c r="E46" s="84" t="n"/>
      <c r="F46" s="84" t="n"/>
      <c r="G46" s="84" t="n"/>
      <c r="H46" s="84" t="n"/>
      <c r="I46" s="84" t="n"/>
      <c r="J46" s="84" t="n"/>
      <c r="K46" s="84" t="n"/>
      <c r="L46" s="84" t="n"/>
      <c r="M46" s="84" t="n"/>
      <c r="N46" s="84" t="n"/>
      <c r="O46" s="84" t="n"/>
      <c r="P46" s="84" t="n"/>
      <c r="Q46" s="84" t="n"/>
      <c r="R46" s="84" t="n"/>
      <c r="S46" s="84" t="n"/>
      <c r="T46" s="85" t="n"/>
    </row>
    <row r="47" ht="15" customHeight="1">
      <c r="A47" s="10" t="inlineStr">
        <is>
          <t>15–20%</t>
        </is>
      </c>
      <c r="B47" s="85" t="n"/>
      <c r="C47" s="12" t="inlineStr">
        <is>
          <t>Important — one of the main things this role is judged on</t>
        </is>
      </c>
      <c r="D47" s="84" t="n"/>
      <c r="E47" s="84" t="n"/>
      <c r="F47" s="84" t="n"/>
      <c r="G47" s="84" t="n"/>
      <c r="H47" s="84" t="n"/>
      <c r="I47" s="84" t="n"/>
      <c r="J47" s="84" t="n"/>
      <c r="K47" s="84" t="n"/>
      <c r="L47" s="84" t="n"/>
      <c r="M47" s="84" t="n"/>
      <c r="N47" s="84" t="n"/>
      <c r="O47" s="84" t="n"/>
      <c r="P47" s="84" t="n"/>
      <c r="Q47" s="84" t="n"/>
      <c r="R47" s="84" t="n"/>
      <c r="S47" s="84" t="n"/>
      <c r="T47" s="85" t="n"/>
    </row>
    <row r="48" ht="15" customHeight="1">
      <c r="A48" s="10" t="inlineStr">
        <is>
          <t>25–30%</t>
        </is>
      </c>
      <c r="B48" s="85" t="n"/>
      <c r="C48" s="12" t="inlineStr">
        <is>
          <t>Leading factor — this is what the role is mostly about</t>
        </is>
      </c>
      <c r="D48" s="84" t="n"/>
      <c r="E48" s="84" t="n"/>
      <c r="F48" s="84" t="n"/>
      <c r="G48" s="84" t="n"/>
      <c r="H48" s="84" t="n"/>
      <c r="I48" s="84" t="n"/>
      <c r="J48" s="84" t="n"/>
      <c r="K48" s="84" t="n"/>
      <c r="L48" s="84" t="n"/>
      <c r="M48" s="84" t="n"/>
      <c r="N48" s="84" t="n"/>
      <c r="O48" s="84" t="n"/>
      <c r="P48" s="84" t="n"/>
      <c r="Q48" s="84" t="n"/>
      <c r="R48" s="84" t="n"/>
      <c r="S48" s="84" t="n"/>
      <c r="T48" s="85" t="n"/>
    </row>
    <row r="49" ht="15" customHeight="1">
      <c r="A49" s="10" t="inlineStr">
        <is>
          <t>35%+</t>
        </is>
      </c>
      <c r="B49" s="85" t="n"/>
      <c r="C49" s="12" t="inlineStr">
        <is>
          <t>Dominant — use rarely; one factor then decides most of the score</t>
        </is>
      </c>
      <c r="D49" s="84" t="n"/>
      <c r="E49" s="84" t="n"/>
      <c r="F49" s="84" t="n"/>
      <c r="G49" s="84" t="n"/>
      <c r="H49" s="84" t="n"/>
      <c r="I49" s="84" t="n"/>
      <c r="J49" s="84" t="n"/>
      <c r="K49" s="84" t="n"/>
      <c r="L49" s="84" t="n"/>
      <c r="M49" s="84" t="n"/>
      <c r="N49" s="84" t="n"/>
      <c r="O49" s="84" t="n"/>
      <c r="P49" s="84" t="n"/>
      <c r="Q49" s="84" t="n"/>
      <c r="R49" s="84" t="n"/>
      <c r="S49" s="84" t="n"/>
      <c r="T49" s="85" t="n"/>
    </row>
    <row r="50" ht="15" customHeight="1"/>
    <row r="51" ht="28" customHeight="1">
      <c r="A51" s="7"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52" ht="20" customHeight="1">
      <c r="A52" s="6" t="inlineStr">
        <is>
          <t>RULES OF THUMB</t>
        </is>
      </c>
    </row>
    <row r="53" ht="15" customHeight="1">
      <c r="A53" s="7" t="inlineStr">
        <is>
          <t>• Start from the default row and change it in steps of 5%; small changes are safer than big ones.</t>
        </is>
      </c>
    </row>
    <row r="54" ht="15" customHeight="1">
      <c r="A54" s="7" t="inlineStr">
        <is>
          <t>• Keep each row's six weights adding up to about 100%. If they don't, the sheet scales the five non-Experience weights so they do — the 'Used' columns show the real weights.</t>
        </is>
      </c>
    </row>
    <row r="55" ht="15" customHeight="1">
      <c r="A55" s="7" t="inlineStr">
        <is>
          <t>• Experience &amp; Qualification is set once for everyone in the Settings block above · Bands A–B and Bands C–E. Change it there, not row by row; a number typed in a row's Experience cell overrides the setting for that row.</t>
        </is>
      </c>
    </row>
    <row r="56" ht="15" customHeight="1">
      <c r="A56" s="7" t="inlineStr">
        <is>
          <t>• Leaders of the same role group in different departments should differ only for a real reason · for example, sales roles count Business Impact more. Note the reason in the last column.</t>
        </is>
      </c>
    </row>
    <row r="57" ht="15" customHeight="1">
      <c r="A57" s="7" t="inlineStr">
        <is>
          <t>• Your edits change points, the score and 'Level the score indicates' on sheet 2 at once. The final level — with the fair-play checks — is confirmed when HR imports your edits and re-runs the model.</t>
        </is>
      </c>
    </row>
    <row r="58" ht="20" customHeight="1">
      <c r="A58" s="6" t="inlineStr">
        <is>
          <t>WHERE THE DEFAULT WEIGHTS COME FROM</t>
        </is>
      </c>
    </row>
    <row r="59" ht="28" customHeight="1">
      <c r="A59" s="32"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60" ht="15" customHeight="1">
      <c r="A60" s="8" t="inlineStr">
        <is>
          <t>Factor</t>
        </is>
      </c>
      <c r="B60" s="84" t="n"/>
      <c r="C60" s="84" t="n"/>
      <c r="D60" s="84" t="n"/>
      <c r="E60" s="84" t="n"/>
      <c r="F60" s="85" t="n"/>
      <c r="G60" s="8" t="inlineStr">
        <is>
          <t>This file — average of its scored roles</t>
        </is>
      </c>
      <c r="H60" s="84" t="n"/>
      <c r="I60" s="84" t="n"/>
      <c r="J60" s="85" t="n"/>
      <c r="K60" s="8" t="inlineStr">
        <is>
          <t>Published plans — average</t>
        </is>
      </c>
      <c r="L60" s="84" t="n"/>
      <c r="M60" s="84" t="n"/>
      <c r="N60" s="85" t="n"/>
      <c r="O60" s="8" t="inlineStr">
        <is>
          <t>Published plans — range</t>
        </is>
      </c>
      <c r="P60" s="84" t="n"/>
      <c r="Q60" s="84" t="n"/>
      <c r="R60" s="84" t="n"/>
      <c r="S60" s="84" t="n"/>
      <c r="T60" s="85" t="n"/>
    </row>
    <row r="61" ht="15" customHeight="1">
      <c r="A61" s="10" t="inlineStr">
        <is>
          <t>Complexity &amp; Expertise</t>
        </is>
      </c>
      <c r="B61" s="84" t="n"/>
      <c r="C61" s="84" t="n"/>
      <c r="D61" s="84" t="n"/>
      <c r="E61" s="84" t="n"/>
      <c r="F61" s="85" t="n"/>
      <c r="G61" s="12" t="inlineStr">
        <is>
          <t>57.8%</t>
        </is>
      </c>
      <c r="H61" s="84" t="n"/>
      <c r="I61" s="84" t="n"/>
      <c r="J61" s="85" t="n"/>
      <c r="K61" s="12" t="inlineStr">
        <is>
          <t>42.8%</t>
        </is>
      </c>
      <c r="L61" s="84" t="n"/>
      <c r="M61" s="84" t="n"/>
      <c r="N61" s="85" t="n"/>
      <c r="O61" s="12" t="inlineStr">
        <is>
          <t>38–52%</t>
        </is>
      </c>
      <c r="P61" s="84" t="n"/>
      <c r="Q61" s="84" t="n"/>
      <c r="R61" s="84" t="n"/>
      <c r="S61" s="84" t="n"/>
      <c r="T61" s="85" t="n"/>
    </row>
    <row r="62" ht="15" customHeight="1">
      <c r="A62" s="10" t="inlineStr">
        <is>
          <t>Autonomy &amp; Decision</t>
        </is>
      </c>
      <c r="B62" s="84" t="n"/>
      <c r="C62" s="84" t="n"/>
      <c r="D62" s="84" t="n"/>
      <c r="E62" s="84" t="n"/>
      <c r="F62" s="85" t="n"/>
      <c r="G62" s="12" t="inlineStr">
        <is>
          <t>17.3%</t>
        </is>
      </c>
      <c r="H62" s="84" t="n"/>
      <c r="I62" s="84" t="n"/>
      <c r="J62" s="85" t="n"/>
      <c r="K62" s="12" t="inlineStr">
        <is>
          <t>14.9%</t>
        </is>
      </c>
      <c r="L62" s="84" t="n"/>
      <c r="M62" s="84" t="n"/>
      <c r="N62" s="85" t="n"/>
      <c r="O62" s="12" t="inlineStr">
        <is>
          <t>7–30%</t>
        </is>
      </c>
      <c r="P62" s="84" t="n"/>
      <c r="Q62" s="84" t="n"/>
      <c r="R62" s="84" t="n"/>
      <c r="S62" s="84" t="n"/>
      <c r="T62" s="85" t="n"/>
    </row>
    <row r="63" ht="15" customHeight="1">
      <c r="A63" s="10" t="inlineStr">
        <is>
          <t>Accountability &amp; Impact</t>
        </is>
      </c>
      <c r="B63" s="84" t="n"/>
      <c r="C63" s="84" t="n"/>
      <c r="D63" s="84" t="n"/>
      <c r="E63" s="84" t="n"/>
      <c r="F63" s="85" t="n"/>
      <c r="G63" s="12" t="inlineStr">
        <is>
          <t>4.9%</t>
        </is>
      </c>
      <c r="H63" s="84" t="n"/>
      <c r="I63" s="84" t="n"/>
      <c r="J63" s="85" t="n"/>
      <c r="K63" s="12" t="inlineStr">
        <is>
          <t>15.1%</t>
        </is>
      </c>
      <c r="L63" s="84" t="n"/>
      <c r="M63" s="84" t="n"/>
      <c r="N63" s="85" t="n"/>
      <c r="O63" s="12" t="inlineStr">
        <is>
          <t>6–20%</t>
        </is>
      </c>
      <c r="P63" s="84" t="n"/>
      <c r="Q63" s="84" t="n"/>
      <c r="R63" s="84" t="n"/>
      <c r="S63" s="84" t="n"/>
      <c r="T63" s="85" t="n"/>
    </row>
    <row r="64" ht="15" customHeight="1">
      <c r="A64" s="10" t="inlineStr">
        <is>
          <t>Leadership &amp; Strategy</t>
        </is>
      </c>
      <c r="B64" s="84" t="n"/>
      <c r="C64" s="84" t="n"/>
      <c r="D64" s="84" t="n"/>
      <c r="E64" s="84" t="n"/>
      <c r="F64" s="85" t="n"/>
      <c r="G64" s="12" t="inlineStr">
        <is>
          <t>3.1%</t>
        </is>
      </c>
      <c r="H64" s="84" t="n"/>
      <c r="I64" s="84" t="n"/>
      <c r="J64" s="85" t="n"/>
      <c r="K64" s="12" t="inlineStr">
        <is>
          <t>20.6%</t>
        </is>
      </c>
      <c r="L64" s="84" t="n"/>
      <c r="M64" s="84" t="n"/>
      <c r="N64" s="85" t="n"/>
      <c r="O64" s="12" t="inlineStr">
        <is>
          <t>8–30%</t>
        </is>
      </c>
      <c r="P64" s="84" t="n"/>
      <c r="Q64" s="84" t="n"/>
      <c r="R64" s="84" t="n"/>
      <c r="S64" s="84" t="n"/>
      <c r="T64" s="85" t="n"/>
    </row>
    <row r="65" ht="15" customHeight="1">
      <c r="A65" s="10" t="inlineStr">
        <is>
          <t>Business Impact</t>
        </is>
      </c>
      <c r="B65" s="84" t="n"/>
      <c r="C65" s="84" t="n"/>
      <c r="D65" s="84" t="n"/>
      <c r="E65" s="84" t="n"/>
      <c r="F65" s="85" t="n"/>
      <c r="G65" s="12" t="inlineStr">
        <is>
          <t>7.0%</t>
        </is>
      </c>
      <c r="H65" s="84" t="n"/>
      <c r="I65" s="84" t="n"/>
      <c r="J65" s="85" t="n"/>
      <c r="K65" s="12" t="inlineStr">
        <is>
          <t>6.7%</t>
        </is>
      </c>
      <c r="L65" s="84" t="n"/>
      <c r="M65" s="84" t="n"/>
      <c r="N65" s="85" t="n"/>
      <c r="O65" s="12" t="inlineStr">
        <is>
          <t>0–10%</t>
        </is>
      </c>
      <c r="P65" s="84" t="n"/>
      <c r="Q65" s="84" t="n"/>
      <c r="R65" s="84" t="n"/>
      <c r="S65" s="84" t="n"/>
      <c r="T65" s="85" t="n"/>
    </row>
    <row r="66" ht="15" customHeight="1">
      <c r="A66" s="10" t="inlineStr">
        <is>
          <t>Experience &amp; Qualification</t>
        </is>
      </c>
      <c r="B66" s="84" t="n"/>
      <c r="C66" s="84" t="n"/>
      <c r="D66" s="84" t="n"/>
      <c r="E66" s="84" t="n"/>
      <c r="F66" s="85" t="n"/>
      <c r="G66" s="12" t="inlineStr">
        <is>
          <t>9.9%</t>
        </is>
      </c>
      <c r="H66" s="84" t="n"/>
      <c r="I66" s="84" t="n"/>
      <c r="J66" s="85" t="n"/>
      <c r="K66" s="12" t="inlineStr">
        <is>
          <t>not scored separately</t>
        </is>
      </c>
      <c r="L66" s="84" t="n"/>
      <c r="M66" s="84" t="n"/>
      <c r="N66" s="85" t="n"/>
      <c r="O66" s="12" t="inlineStr">
        <is>
          <t>Hay, Mercer IPE and WTW fold experience into knowledge</t>
        </is>
      </c>
      <c r="P66" s="84" t="n"/>
      <c r="Q66" s="84" t="n"/>
      <c r="R66" s="84" t="n"/>
      <c r="S66" s="84" t="n"/>
      <c r="T66" s="85" t="n"/>
    </row>
    <row r="67" ht="15" customHeight="1"/>
    <row r="68" ht="20" customHeight="1">
      <c r="A68" s="6" t="inlineStr">
        <is>
          <t>WHAT A RATING MEANS — the same 1-to-12 scale for every factor, every department, every band</t>
        </is>
      </c>
    </row>
    <row r="69" ht="15" customHeight="1">
      <c r="A69" s="32" t="inlineStr">
        <is>
          <t>A rating is the floor of the ladder that this side of the job looks like: 4 = B1-level, 8 = C2-level. Managers can change a person's Business Impact rating on sheet 2 · yellow; the other ratings are set from the evidence and changed through validation.</t>
        </is>
      </c>
    </row>
    <row r="70" ht="15" customHeight="1">
      <c r="A70" s="8" t="inlineStr">
        <is>
          <t>Rating · level</t>
        </is>
      </c>
      <c r="B70" s="85" t="n"/>
      <c r="C70" s="8" t="inlineStr">
        <is>
          <t>Complexity</t>
        </is>
      </c>
      <c r="D70" s="84" t="n"/>
      <c r="E70" s="85" t="n"/>
      <c r="F70" s="8" t="inlineStr">
        <is>
          <t>Autonomy</t>
        </is>
      </c>
      <c r="G70" s="84" t="n"/>
      <c r="H70" s="85" t="n"/>
      <c r="I70" s="8" t="inlineStr">
        <is>
          <t>Accountability</t>
        </is>
      </c>
      <c r="J70" s="84" t="n"/>
      <c r="K70" s="85" t="n"/>
      <c r="L70" s="8" t="inlineStr">
        <is>
          <t>Leadership</t>
        </is>
      </c>
      <c r="M70" s="84" t="n"/>
      <c r="N70" s="85" t="n"/>
      <c r="O70" s="8" t="inlineStr">
        <is>
          <t>Experience</t>
        </is>
      </c>
      <c r="P70" s="84" t="n"/>
      <c r="Q70" s="85" t="n"/>
      <c r="R70" s="8" t="inlineStr">
        <is>
          <t>Business impact</t>
        </is>
      </c>
      <c r="S70" s="84" t="n"/>
      <c r="T70" s="85" t="n"/>
    </row>
    <row r="71" ht="28" customHeight="1">
      <c r="A71" s="10" t="inlineStr">
        <is>
          <t>12 · E2</t>
        </is>
      </c>
      <c r="B71" s="85" t="n"/>
      <c r="C71" s="12" t="inlineStr">
        <is>
          <t>Enterprise-wide uncertainty, transformation and external forces</t>
        </is>
      </c>
      <c r="D71" s="84" t="n"/>
      <c r="E71" s="85" t="n"/>
      <c r="F71" s="12" t="inlineStr">
        <is>
          <t>Accountable to the board</t>
        </is>
      </c>
      <c r="G71" s="84" t="n"/>
      <c r="H71" s="85" t="n"/>
      <c r="I71" s="12" t="inlineStr">
        <is>
          <t>Enterprise results, risk, culture and long-term viability</t>
        </is>
      </c>
      <c r="J71" s="84" t="n"/>
      <c r="K71" s="85" t="n"/>
      <c r="L71" s="12" t="inlineStr">
        <is>
          <t>Sets enterprise strategy; leads the executive team</t>
        </is>
      </c>
      <c r="M71" s="84" t="n"/>
      <c r="N71" s="85" t="n"/>
      <c r="O71" s="12" t="inlineStr">
        <is>
          <t>About 28 yrs</t>
        </is>
      </c>
      <c r="P71" s="84" t="n"/>
      <c r="Q71" s="85" t="n"/>
      <c r="R71" s="12" t="inlineStr">
        <is>
          <t>Answers for the whole company's results and long-term value</t>
        </is>
      </c>
      <c r="S71" s="84" t="n"/>
      <c r="T71" s="85" t="n"/>
    </row>
    <row r="72" ht="28" customHeight="1">
      <c r="A72" s="10" t="inlineStr">
        <is>
          <t>11 · E1</t>
        </is>
      </c>
      <c r="B72" s="85" t="n"/>
      <c r="C72" s="12" t="inlineStr">
        <is>
          <t>Enterprise-level functional strategy</t>
        </is>
      </c>
      <c r="D72" s="84" t="n"/>
      <c r="E72" s="85" t="n"/>
      <c r="F72" s="12" t="inlineStr">
        <is>
          <t>Sets enterprise priorities for the function</t>
        </is>
      </c>
      <c r="G72" s="84" t="n"/>
      <c r="H72" s="85" t="n"/>
      <c r="I72" s="12" t="inlineStr">
        <is>
          <t>Enterprise-wide functional results</t>
        </is>
      </c>
      <c r="J72" s="84" t="n"/>
      <c r="K72" s="85" t="n"/>
      <c r="L72" s="12" t="inlineStr">
        <is>
          <t>Shapes enterprise strategy</t>
        </is>
      </c>
      <c r="M72" s="84" t="n"/>
      <c r="N72" s="85" t="n"/>
      <c r="O72" s="12" t="inlineStr">
        <is>
          <t>About 24 yrs</t>
        </is>
      </c>
      <c r="P72" s="84" t="n"/>
      <c r="Q72" s="85" t="n"/>
      <c r="R72" s="12" t="inlineStr">
        <is>
          <t>Shapes company-wide results through a function</t>
        </is>
      </c>
      <c r="S72" s="84" t="n"/>
      <c r="T72" s="85" t="n"/>
    </row>
    <row r="73" ht="28" customHeight="1">
      <c r="A73" s="10" t="inlineStr">
        <is>
          <t>10 · D2</t>
        </is>
      </c>
      <c r="B73" s="85" t="n"/>
      <c r="C73" s="12" t="inlineStr">
        <is>
          <t>Portfolio-level strategic, financial and regulatory trade-offs</t>
        </is>
      </c>
      <c r="D73" s="84" t="n"/>
      <c r="E73" s="85" t="n"/>
      <c r="F73" s="12" t="inlineStr">
        <is>
          <t>Sets direction across business lines</t>
        </is>
      </c>
      <c r="G73" s="84" t="n"/>
      <c r="H73" s="85" t="n"/>
      <c r="I73" s="12" t="inlineStr">
        <is>
          <t>Multi-business results</t>
        </is>
      </c>
      <c r="J73" s="84" t="n"/>
      <c r="K73" s="85" t="n"/>
      <c r="L73" s="12" t="inlineStr">
        <is>
          <t>Builds the leadership team across businesses</t>
        </is>
      </c>
      <c r="M73" s="84" t="n"/>
      <c r="N73" s="85" t="n"/>
      <c r="O73" s="12" t="inlineStr">
        <is>
          <t>About 21 yrs</t>
        </is>
      </c>
      <c r="P73" s="84" t="n"/>
      <c r="Q73" s="85" t="n"/>
      <c r="R73" s="12" t="inlineStr">
        <is>
          <t>Owns the results of several business lines</t>
        </is>
      </c>
      <c r="S73" s="84" t="n"/>
      <c r="T73" s="85" t="n"/>
    </row>
    <row r="74" ht="28" customHeight="1">
      <c r="A74" s="10" t="inlineStr">
        <is>
          <t>9 · D1</t>
        </is>
      </c>
      <c r="B74" s="85" t="n"/>
      <c r="C74" s="12" t="inlineStr">
        <is>
          <t>Competing strategic, financial and regulatory priorities</t>
        </is>
      </c>
      <c r="D74" s="84" t="n"/>
      <c r="E74" s="85" t="n"/>
      <c r="F74" s="12" t="inlineStr">
        <is>
          <t>Sets business-line direction, pricing and investment</t>
        </is>
      </c>
      <c r="G74" s="84" t="n"/>
      <c r="H74" s="85" t="n"/>
      <c r="I74" s="12" t="inlineStr">
        <is>
          <t>Business-line P&amp;L and market position</t>
        </is>
      </c>
      <c r="J74" s="84" t="n"/>
      <c r="K74" s="85" t="n"/>
      <c r="L74" s="12" t="inlineStr">
        <is>
          <t>Defines business strategy; builds the leadership bench</t>
        </is>
      </c>
      <c r="M74" s="84" t="n"/>
      <c r="N74" s="85" t="n"/>
      <c r="O74" s="12" t="inlineStr">
        <is>
          <t>About 17.5 yrs</t>
        </is>
      </c>
      <c r="P74" s="84" t="n"/>
      <c r="Q74" s="85" t="n"/>
      <c r="R74" s="12" t="inlineStr">
        <is>
          <t>Owns a business line's P&amp;L and growth, or a company-wide function</t>
        </is>
      </c>
      <c r="S74" s="84" t="n"/>
      <c r="T74" s="85" t="n"/>
    </row>
    <row r="75" ht="41" customHeight="1">
      <c r="A75" s="10" t="inlineStr">
        <is>
          <t>8.5 · C+</t>
        </is>
      </c>
      <c r="B75" s="85" t="n"/>
      <c r="C75" s="12" t="inlineStr">
        <is>
          <t>Function-wide and cross-product problems; personally handles the most critical client or technical work</t>
        </is>
      </c>
      <c r="D75" s="84" t="n"/>
      <c r="E75" s="85" t="n"/>
      <c r="F75" s="12" t="inlineStr">
        <is>
          <t>Sets direction for the function; business-line trade-offs go to the Business Head</t>
        </is>
      </c>
      <c r="G75" s="84" t="n"/>
      <c r="H75" s="85" t="n"/>
      <c r="I75" s="12" t="inlineStr">
        <is>
          <t>Function results, budget and key-client outcomes; carries own book or principal delivery</t>
        </is>
      </c>
      <c r="J75" s="84" t="n"/>
      <c r="K75" s="85" t="n"/>
      <c r="L75" s="12" t="inlineStr">
        <is>
          <t>Leads managers and leads and 10+ people in the function while staying hands-on</t>
        </is>
      </c>
      <c r="M75" s="84" t="n"/>
      <c r="N75" s="85" t="n"/>
      <c r="O75" s="12" t="inlineStr">
        <is>
          <t>About 16 yrs</t>
        </is>
      </c>
      <c r="P75" s="84" t="n"/>
      <c r="Q75" s="85" t="n"/>
      <c r="R75" s="12" t="inlineStr">
        <is>
          <t>Drives a function's results and personally wins or delivers key work</t>
        </is>
      </c>
      <c r="S75" s="84" t="n"/>
      <c r="T75" s="85" t="n"/>
    </row>
    <row r="76" ht="28" customHeight="1">
      <c r="A76" s="10" t="inlineStr">
        <is>
          <t>8 · C2</t>
        </is>
      </c>
      <c r="B76" s="85" t="n"/>
      <c r="C76" s="12" t="inlineStr">
        <is>
          <t>Function-wide or company-wide problems; creates methods and standards</t>
        </is>
      </c>
      <c r="D76" s="84" t="n"/>
      <c r="E76" s="85" t="n"/>
      <c r="F76" s="12" t="inlineStr">
        <is>
          <t>Sets direction for a function</t>
        </is>
      </c>
      <c r="G76" s="84" t="n"/>
      <c r="H76" s="85" t="n"/>
      <c r="I76" s="12" t="inlineStr">
        <is>
          <t>Function results, budget and risk</t>
        </is>
      </c>
      <c r="J76" s="84" t="n"/>
      <c r="K76" s="85" t="n"/>
      <c r="L76" s="12" t="inlineStr">
        <is>
          <t>Leads a function; shapes functional strategy</t>
        </is>
      </c>
      <c r="M76" s="84" t="n"/>
      <c r="N76" s="85" t="n"/>
      <c r="O76" s="12" t="inlineStr">
        <is>
          <t>About 14.5 yrs</t>
        </is>
      </c>
      <c r="P76" s="84" t="n"/>
      <c r="Q76" s="85" t="n"/>
      <c r="R76" s="12" t="inlineStr">
        <is>
          <t>Drives a function's or department's results and costs</t>
        </is>
      </c>
      <c r="S76" s="84" t="n"/>
      <c r="T76" s="85" t="n"/>
    </row>
    <row r="77" ht="28" customHeight="1">
      <c r="A77" s="10" t="inlineStr">
        <is>
          <t>7 · C1</t>
        </is>
      </c>
      <c r="B77" s="85" t="n"/>
      <c r="C77" s="12" t="inlineStr">
        <is>
          <t>Ambiguous, cross-product problems</t>
        </is>
      </c>
      <c r="D77" s="84" t="n"/>
      <c r="E77" s="85" t="n"/>
      <c r="F77" s="12" t="inlineStr">
        <is>
          <t>Sets direction for a sub-function or domain</t>
        </is>
      </c>
      <c r="G77" s="84" t="n"/>
      <c r="H77" s="85" t="n"/>
      <c r="I77" s="12" t="inlineStr">
        <is>
          <t>Sub-function results or domain quality across products</t>
        </is>
      </c>
      <c r="J77" s="84" t="n"/>
      <c r="K77" s="85" t="n"/>
      <c r="L77" s="12" t="inlineStr">
        <is>
          <t>Leads managers or a community of practice</t>
        </is>
      </c>
      <c r="M77" s="84" t="n"/>
      <c r="N77" s="85" t="n"/>
      <c r="O77" s="12" t="inlineStr">
        <is>
          <t>About 12 yrs</t>
        </is>
      </c>
      <c r="P77" s="84" t="n"/>
      <c r="Q77" s="85" t="n"/>
      <c r="R77" s="12" t="inlineStr">
        <is>
          <t>Changes results across a sub-function or across products</t>
        </is>
      </c>
      <c r="S77" s="84" t="n"/>
      <c r="T77" s="85" t="n"/>
    </row>
    <row r="78" ht="54" customHeight="1">
      <c r="A78" s="10" t="inlineStr">
        <is>
          <t>6.5 · B+</t>
        </is>
      </c>
      <c r="B78" s="85" t="n"/>
      <c r="C78" s="12" t="inlineStr">
        <is>
          <t>Principal-level problems in own domain; sets technical or quality standards and still builds</t>
        </is>
      </c>
      <c r="D78" s="84" t="n"/>
      <c r="E78" s="85" t="n"/>
      <c r="F78" s="12" t="inlineStr">
        <is>
          <t>Decides approach and priorities for the practice; escalates only cross-function trade-offs</t>
        </is>
      </c>
      <c r="G78" s="84" t="n"/>
      <c r="H78" s="85" t="n"/>
      <c r="I78" s="12" t="inlineStr">
        <is>
          <t>Practice outcomes plus own deliverables; quality and delivery of the team</t>
        </is>
      </c>
      <c r="J78" s="84" t="n"/>
      <c r="K78" s="85" t="n"/>
      <c r="L78" s="12" t="inlineStr">
        <is>
          <t>Leads 3–6 people · or a pod while remaining a hands-on expert; coaches, allocates, reviews</t>
        </is>
      </c>
      <c r="M78" s="84" t="n"/>
      <c r="N78" s="85" t="n"/>
      <c r="O78" s="12" t="inlineStr">
        <is>
          <t>About 11–12 yrs</t>
        </is>
      </c>
      <c r="P78" s="84" t="n"/>
      <c r="Q78" s="85" t="n"/>
      <c r="R78" s="12" t="inlineStr">
        <is>
          <t>Drives a practice's results while delivering the hardest work</t>
        </is>
      </c>
      <c r="S78" s="84" t="n"/>
      <c r="T78" s="85" t="n"/>
    </row>
    <row r="79" ht="41" customHeight="1">
      <c r="A79" s="10" t="inlineStr">
        <is>
          <t>6 · B3</t>
        </is>
      </c>
      <c r="B79" s="85" t="n"/>
      <c r="C79" s="12" t="inlineStr">
        <is>
          <t>Sets standards for a practice; cross-team problems</t>
        </is>
      </c>
      <c r="D79" s="84" t="n"/>
      <c r="E79" s="85" t="n"/>
      <c r="F79" s="12" t="inlineStr">
        <is>
          <t>Commercial / strategic calls for the unit</t>
        </is>
      </c>
      <c r="G79" s="84" t="n"/>
      <c r="H79" s="85" t="n"/>
      <c r="I79" s="12" t="inlineStr">
        <is>
          <t>Several teams or a practice</t>
        </is>
      </c>
      <c r="J79" s="84" t="n"/>
      <c r="K79" s="85" t="n"/>
      <c r="L79" s="12" t="inlineStr">
        <is>
          <r>
            <rPr>
              <rFont val="Calibri"/>
              <b val="1"/>
              <sz val="10"/>
            </rPr>
            <t>IC:</t>
          </r>
          <r>
            <rPr>
              <rFont val="Calibri"/>
              <sz val="10"/>
            </rPr>
            <t xml:space="preserve"> leads a practice · People: team leads / managers report in</t>
          </r>
        </is>
      </c>
      <c r="M79" s="84" t="n"/>
      <c r="N79" s="85" t="n"/>
      <c r="O79" s="12" t="inlineStr">
        <is>
          <t>About 10 yrs</t>
        </is>
      </c>
      <c r="P79" s="84" t="n"/>
      <c r="Q79" s="85" t="n"/>
      <c r="R79" s="12" t="inlineStr">
        <is>
          <t>Shapes the results of a practice or several teams</t>
        </is>
      </c>
      <c r="S79" s="84" t="n"/>
      <c r="T79" s="85" t="n"/>
    </row>
    <row r="80" ht="41" customHeight="1">
      <c r="A80" s="10" t="inlineStr">
        <is>
          <t>5 · B2</t>
        </is>
      </c>
      <c r="B80" s="85" t="n"/>
      <c r="C80" s="12" t="inlineStr">
        <is>
          <t>Hardest problems in the domain</t>
        </is>
      </c>
      <c r="D80" s="84" t="n"/>
      <c r="E80" s="85" t="n"/>
      <c r="F80" s="12" t="inlineStr">
        <is>
          <t>Allocates people and sets team priorities</t>
        </is>
      </c>
      <c r="G80" s="84" t="n"/>
      <c r="H80" s="85" t="n"/>
      <c r="I80" s="12" t="inlineStr">
        <is>
          <t>One team or a client portfolio</t>
        </is>
      </c>
      <c r="J80" s="84" t="n"/>
      <c r="K80" s="85" t="n"/>
      <c r="L80" s="12" t="inlineStr">
        <is>
          <r>
            <rPr>
              <rFont val="Calibri"/>
              <b val="1"/>
              <sz val="10"/>
            </rPr>
            <t>IC:</t>
          </r>
          <r>
            <rPr>
              <rFont val="Calibri"/>
              <sz val="10"/>
            </rPr>
            <t xml:space="preserve"> guides others in the domain · People: manages a team of 6+</t>
          </r>
        </is>
      </c>
      <c r="M80" s="84" t="n"/>
      <c r="N80" s="85" t="n"/>
      <c r="O80" s="12" t="inlineStr">
        <is>
          <t>About 7.5 yrs</t>
        </is>
      </c>
      <c r="P80" s="84" t="n"/>
      <c r="Q80" s="85" t="n"/>
      <c r="R80" s="12" t="inlineStr">
        <is>
          <t>Visible effect on a team's or client portfolio's revenue, quality or compliance</t>
        </is>
      </c>
      <c r="S80" s="84" t="n"/>
      <c r="T80" s="85" t="n"/>
    </row>
    <row r="81" ht="41" customHeight="1">
      <c r="A81" s="10" t="inlineStr">
        <is>
          <t>4 · B1</t>
        </is>
      </c>
      <c r="B81" s="85" t="n"/>
      <c r="C81" s="12" t="inlineStr">
        <is>
          <t>Domain specialist work</t>
        </is>
      </c>
      <c r="D81" s="84" t="n"/>
      <c r="E81" s="85" t="n"/>
      <c r="F81" s="12" t="inlineStr">
        <is>
          <t>Technical / QC / client calls for the domain</t>
        </is>
      </c>
      <c r="G81" s="84" t="n"/>
      <c r="H81" s="85" t="n"/>
      <c r="I81" s="12" t="inlineStr">
        <is>
          <t>A domain or a small team</t>
        </is>
      </c>
      <c r="J81" s="84" t="n"/>
      <c r="K81" s="85" t="n"/>
      <c r="L81" s="12" t="inlineStr">
        <is>
          <r>
            <rPr>
              <rFont val="Calibri"/>
              <b val="1"/>
              <sz val="10"/>
            </rPr>
            <t>IC:</t>
          </r>
          <r>
            <rPr>
              <rFont val="Calibri"/>
              <sz val="10"/>
            </rPr>
            <t xml:space="preserve"> mentors and reviews · People: hands-on team lead of 3–5</t>
          </r>
        </is>
      </c>
      <c r="M81" s="84" t="n"/>
      <c r="N81" s="85" t="n"/>
      <c r="O81" s="12" t="inlineStr">
        <is>
          <t>About 5.5 yrs</t>
        </is>
      </c>
      <c r="P81" s="84" t="n"/>
      <c r="Q81" s="85" t="n"/>
      <c r="R81" s="12" t="inlineStr">
        <is>
          <t>Moves a module's, product area's or client account's results</t>
        </is>
      </c>
      <c r="S81" s="84" t="n"/>
      <c r="T81" s="85" t="n"/>
    </row>
    <row r="82" ht="41" customHeight="1">
      <c r="A82" s="10" t="inlineStr">
        <is>
          <t>3 · A3</t>
        </is>
      </c>
      <c r="B82" s="85" t="n"/>
      <c r="C82" s="12" t="inlineStr">
        <is>
          <t>Varied and non-standard work; handles exceptions</t>
        </is>
      </c>
      <c r="D82" s="84" t="n"/>
      <c r="E82" s="85" t="n"/>
      <c r="F82" s="12" t="inlineStr">
        <is>
          <t>Technical / QC / client calls on own work</t>
        </is>
      </c>
      <c r="G82" s="84" t="n"/>
      <c r="H82" s="85" t="n"/>
      <c r="I82" s="12" t="inlineStr">
        <is>
          <t>A module / process, or work with client or regulatory consequences</t>
        </is>
      </c>
      <c r="J82" s="84" t="n"/>
      <c r="K82" s="85" t="n"/>
      <c r="L82" s="12" t="inlineStr">
        <is>
          <t>Not scored in Band A</t>
        </is>
      </c>
      <c r="M82" s="84" t="n"/>
      <c r="N82" s="85" t="n"/>
      <c r="O82" s="12" t="inlineStr">
        <is>
          <t>About 3 yrs</t>
        </is>
      </c>
      <c r="P82" s="84" t="n"/>
      <c r="Q82" s="85" t="n"/>
      <c r="R82" s="12" t="inlineStr">
        <is>
          <t>A process or client deliverable depends on this work</t>
        </is>
      </c>
      <c r="S82" s="84" t="n"/>
      <c r="T82" s="85" t="n"/>
    </row>
    <row r="83" ht="28" customHeight="1">
      <c r="A83" s="10" t="inlineStr">
        <is>
          <t>2 · A2</t>
        </is>
      </c>
      <c r="B83" s="85" t="n"/>
      <c r="C83" s="12" t="inlineStr">
        <is>
          <t>Standard work of the discipline</t>
        </is>
      </c>
      <c r="D83" s="84" t="n"/>
      <c r="E83" s="85" t="n"/>
      <c r="F83" s="12" t="inlineStr">
        <is>
          <t>Chooses own approach within standards</t>
        </is>
      </c>
      <c r="G83" s="84" t="n"/>
      <c r="H83" s="85" t="n"/>
      <c r="I83" s="12" t="inlineStr">
        <is>
          <t>Own deliverables · accuracy, TAT</t>
        </is>
      </c>
      <c r="J83" s="84" t="n"/>
      <c r="K83" s="85" t="n"/>
      <c r="L83" s="12" t="inlineStr">
        <is>
          <t>Not scored in Band A</t>
        </is>
      </c>
      <c r="M83" s="84" t="n"/>
      <c r="N83" s="85" t="n"/>
      <c r="O83" s="12" t="inlineStr">
        <is>
          <t>About 1 yr</t>
        </is>
      </c>
      <c r="P83" s="84" t="n"/>
      <c r="Q83" s="85" t="n"/>
      <c r="R83" s="12" t="inlineStr">
        <is>
          <t>Own deliverables feed a team's output and turnaround</t>
        </is>
      </c>
      <c r="S83" s="84" t="n"/>
      <c r="T83" s="85" t="n"/>
    </row>
    <row r="84" ht="28" customHeight="1">
      <c r="A84" s="10" t="inlineStr">
        <is>
          <t>1 · A1</t>
        </is>
      </c>
      <c r="B84" s="85" t="n"/>
      <c r="C84" s="12" t="inlineStr">
        <is>
          <t>Learning; follows worked examples</t>
        </is>
      </c>
      <c r="D84" s="84" t="n"/>
      <c r="E84" s="85" t="n"/>
      <c r="F84" s="12" t="inlineStr">
        <is>
          <t>Needs approval / close guidance</t>
        </is>
      </c>
      <c r="G84" s="84" t="n"/>
      <c r="H84" s="85" t="n"/>
      <c r="I84" s="12" t="inlineStr">
        <is>
          <t>Learning tasks</t>
        </is>
      </c>
      <c r="J84" s="84" t="n"/>
      <c r="K84" s="85" t="n"/>
      <c r="L84" s="12" t="inlineStr">
        <is>
          <t>Not scored in Band A</t>
        </is>
      </c>
      <c r="M84" s="84" t="n"/>
      <c r="N84" s="85" t="n"/>
      <c r="O84" s="12" t="inlineStr">
        <is>
          <t>No experience yet</t>
        </is>
      </c>
      <c r="P84" s="84" t="n"/>
      <c r="Q84" s="85" t="n"/>
      <c r="R84" s="12" t="inlineStr">
        <is>
          <t>Learning; little direct effect on business results yet</t>
        </is>
      </c>
      <c r="S84" s="84" t="n"/>
      <c r="T84" s="85" t="n"/>
    </row>
    <row r="85" ht="15" customHeight="1"/>
    <row r="86" ht="15" customHeight="1">
      <c r="A86" s="32"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K61:N61"/>
    <mergeCell ref="I72:K72"/>
    <mergeCell ref="A58:T58"/>
    <mergeCell ref="I32:T32"/>
    <mergeCell ref="A40:T40"/>
    <mergeCell ref="A66:F66"/>
    <mergeCell ref="A73:B73"/>
    <mergeCell ref="F76:H76"/>
    <mergeCell ref="C80:E80"/>
    <mergeCell ref="L74:N74"/>
    <mergeCell ref="R83:T83"/>
    <mergeCell ref="A15:T15"/>
    <mergeCell ref="L83:N83"/>
    <mergeCell ref="A51:T51"/>
    <mergeCell ref="A70:B70"/>
    <mergeCell ref="K65:N65"/>
    <mergeCell ref="C43:T43"/>
    <mergeCell ref="L76:N76"/>
    <mergeCell ref="K62:N62"/>
    <mergeCell ref="C71:E71"/>
    <mergeCell ref="I33:T33"/>
    <mergeCell ref="R75:T75"/>
    <mergeCell ref="O70:Q70"/>
    <mergeCell ref="I79:K79"/>
    <mergeCell ref="I73:K73"/>
    <mergeCell ref="O64:T64"/>
    <mergeCell ref="A74:B74"/>
    <mergeCell ref="I82:K82"/>
    <mergeCell ref="R77:T77"/>
    <mergeCell ref="R72:T72"/>
    <mergeCell ref="I35:T35"/>
    <mergeCell ref="C32:H32"/>
    <mergeCell ref="O76:Q76"/>
    <mergeCell ref="A76:B76"/>
    <mergeCell ref="A33:B33"/>
    <mergeCell ref="A2:T2"/>
    <mergeCell ref="I74:K74"/>
    <mergeCell ref="I34:T34"/>
    <mergeCell ref="A42:T42"/>
    <mergeCell ref="C77:E77"/>
    <mergeCell ref="A64:F64"/>
    <mergeCell ref="F78:H78"/>
    <mergeCell ref="A35:B35"/>
    <mergeCell ref="G66:J66"/>
    <mergeCell ref="O77:Q77"/>
    <mergeCell ref="A60:F60"/>
    <mergeCell ref="C74:E74"/>
    <mergeCell ref="R79:T79"/>
    <mergeCell ref="I36:T36"/>
    <mergeCell ref="O83:Q83"/>
    <mergeCell ref="A48:B48"/>
    <mergeCell ref="L71:N71"/>
    <mergeCell ref="O63:T63"/>
    <mergeCell ref="C75:E75"/>
    <mergeCell ref="A30:T30"/>
    <mergeCell ref="C84:E84"/>
    <mergeCell ref="A45:B45"/>
    <mergeCell ref="R74:T74"/>
    <mergeCell ref="A59:T59"/>
    <mergeCell ref="I37:T37"/>
    <mergeCell ref="O84:Q84"/>
    <mergeCell ref="O75:Q75"/>
    <mergeCell ref="L73:N73"/>
    <mergeCell ref="A79:B79"/>
    <mergeCell ref="R76:T76"/>
    <mergeCell ref="O80:Q80"/>
    <mergeCell ref="C36:H36"/>
    <mergeCell ref="A46:B46"/>
    <mergeCell ref="C70:E70"/>
    <mergeCell ref="A37:B37"/>
    <mergeCell ref="O79:Q79"/>
    <mergeCell ref="A8:I8"/>
    <mergeCell ref="A54:T54"/>
    <mergeCell ref="A62:F62"/>
    <mergeCell ref="F77:H77"/>
    <mergeCell ref="I78:K78"/>
    <mergeCell ref="A41:T41"/>
    <mergeCell ref="C81:E81"/>
    <mergeCell ref="G61:J61"/>
    <mergeCell ref="O72:Q72"/>
    <mergeCell ref="O81:Q81"/>
    <mergeCell ref="A56:T56"/>
    <mergeCell ref="K64:N64"/>
    <mergeCell ref="A71:B71"/>
    <mergeCell ref="C37:H37"/>
    <mergeCell ref="L77:N77"/>
    <mergeCell ref="O78:Q78"/>
    <mergeCell ref="I81:K81"/>
    <mergeCell ref="K63:N63"/>
    <mergeCell ref="G62:J62"/>
    <mergeCell ref="C6:H6"/>
    <mergeCell ref="C79:E79"/>
    <mergeCell ref="A53:T53"/>
    <mergeCell ref="C73:E73"/>
    <mergeCell ref="A61:F61"/>
    <mergeCell ref="R84:T84"/>
    <mergeCell ref="R78:T78"/>
    <mergeCell ref="C45:T45"/>
    <mergeCell ref="A10:T10"/>
    <mergeCell ref="L78:N78"/>
    <mergeCell ref="A68:T68"/>
    <mergeCell ref="I76:K76"/>
    <mergeCell ref="A34:B34"/>
    <mergeCell ref="G65:J65"/>
    <mergeCell ref="A77:B77"/>
    <mergeCell ref="A83:B83"/>
    <mergeCell ref="R80:T80"/>
    <mergeCell ref="C47:T47"/>
    <mergeCell ref="A49:B49"/>
    <mergeCell ref="A39:T39"/>
    <mergeCell ref="I75:K75"/>
    <mergeCell ref="F79:H79"/>
    <mergeCell ref="A36:B36"/>
    <mergeCell ref="C44:T44"/>
    <mergeCell ref="R70:T70"/>
    <mergeCell ref="A11:T11"/>
    <mergeCell ref="A1:T1"/>
    <mergeCell ref="F81:H81"/>
    <mergeCell ref="G60:J60"/>
    <mergeCell ref="A78:B78"/>
    <mergeCell ref="L79:N79"/>
    <mergeCell ref="O62:T62"/>
    <mergeCell ref="F71:H71"/>
    <mergeCell ref="A75:B75"/>
    <mergeCell ref="A80:B80"/>
    <mergeCell ref="L81:N81"/>
    <mergeCell ref="O60:T60"/>
    <mergeCell ref="C72:E72"/>
    <mergeCell ref="A63:F63"/>
    <mergeCell ref="F82:H82"/>
    <mergeCell ref="A12:T12"/>
    <mergeCell ref="I84:K84"/>
    <mergeCell ref="A32:B32"/>
    <mergeCell ref="O66:T66"/>
    <mergeCell ref="A57:T57"/>
    <mergeCell ref="C78:E78"/>
    <mergeCell ref="I31:T31"/>
    <mergeCell ref="C34:H34"/>
    <mergeCell ref="A14:T14"/>
    <mergeCell ref="C49:T49"/>
    <mergeCell ref="L82:N82"/>
    <mergeCell ref="I80:K80"/>
    <mergeCell ref="A43:B43"/>
    <mergeCell ref="I70:K70"/>
    <mergeCell ref="L75:N75"/>
    <mergeCell ref="F84:H84"/>
    <mergeCell ref="A52:T52"/>
    <mergeCell ref="A65:F65"/>
    <mergeCell ref="F80:H80"/>
    <mergeCell ref="G64:J64"/>
    <mergeCell ref="A82:B82"/>
    <mergeCell ref="O65:T65"/>
    <mergeCell ref="C31:H31"/>
    <mergeCell ref="I71:K71"/>
    <mergeCell ref="F75:H75"/>
    <mergeCell ref="F70:H70"/>
    <mergeCell ref="G63:J63"/>
    <mergeCell ref="O74:Q74"/>
    <mergeCell ref="K66:N66"/>
    <mergeCell ref="F72:H72"/>
    <mergeCell ref="C76:E76"/>
    <mergeCell ref="O71:Q71"/>
    <mergeCell ref="C46:T46"/>
    <mergeCell ref="L84:N84"/>
    <mergeCell ref="A69:T69"/>
    <mergeCell ref="I83:K83"/>
    <mergeCell ref="A84:B84"/>
    <mergeCell ref="O61:T61"/>
    <mergeCell ref="C82:E82"/>
    <mergeCell ref="R81:T81"/>
    <mergeCell ref="C7:H7"/>
    <mergeCell ref="L72:N72"/>
    <mergeCell ref="O73:Q73"/>
    <mergeCell ref="C48:T48"/>
    <mergeCell ref="O82:Q82"/>
    <mergeCell ref="L80:N80"/>
    <mergeCell ref="R71:T71"/>
    <mergeCell ref="A3:T3"/>
    <mergeCell ref="A47:B47"/>
    <mergeCell ref="A55:T55"/>
    <mergeCell ref="L70:N70"/>
    <mergeCell ref="A86:T86"/>
    <mergeCell ref="K60:N60"/>
    <mergeCell ref="F73:H73"/>
    <mergeCell ref="C83:E83"/>
    <mergeCell ref="R73:T73"/>
    <mergeCell ref="A5:T5"/>
    <mergeCell ref="C33:H33"/>
    <mergeCell ref="I77:K77"/>
    <mergeCell ref="R82:T82"/>
    <mergeCell ref="A72:B72"/>
    <mergeCell ref="A81:B81"/>
    <mergeCell ref="C35:H35"/>
    <mergeCell ref="A44:B44"/>
    <mergeCell ref="F74:H74"/>
    <mergeCell ref="F83:H83"/>
    <mergeCell ref="A31:B31"/>
    <mergeCell ref="A13:T13"/>
  </mergeCells>
  <conditionalFormatting sqref="G17:G28">
    <cfRule type="colorScale" priority="1">
      <colorScale>
        <cfvo type="num" val="0"/>
        <cfvo type="num" val="40"/>
        <color rgb="00FFFFFF"/>
        <color rgb="00A9D08E"/>
      </colorScale>
    </cfRule>
  </conditionalFormatting>
  <conditionalFormatting sqref="H17:H28">
    <cfRule type="colorScale" priority="2">
      <colorScale>
        <cfvo type="num" val="0"/>
        <cfvo type="num" val="40"/>
        <color rgb="00FFFFFF"/>
        <color rgb="00A9D08E"/>
      </colorScale>
    </cfRule>
  </conditionalFormatting>
  <conditionalFormatting sqref="I17:I28">
    <cfRule type="colorScale" priority="3">
      <colorScale>
        <cfvo type="num" val="0"/>
        <cfvo type="num" val="40"/>
        <color rgb="00FFFFFF"/>
        <color rgb="00A9D08E"/>
      </colorScale>
    </cfRule>
  </conditionalFormatting>
  <conditionalFormatting sqref="J17:J28">
    <cfRule type="colorScale" priority="4">
      <colorScale>
        <cfvo type="num" val="0"/>
        <cfvo type="num" val="40"/>
        <color rgb="00FFFFFF"/>
        <color rgb="00A9D08E"/>
      </colorScale>
    </cfRule>
  </conditionalFormatting>
  <conditionalFormatting sqref="K17:K28">
    <cfRule type="colorScale" priority="5">
      <colorScale>
        <cfvo type="num" val="0"/>
        <cfvo type="num" val="40"/>
        <color rgb="00FFFFFF"/>
        <color rgb="00A9D08E"/>
      </colorScale>
    </cfRule>
  </conditionalFormatting>
  <conditionalFormatting sqref="L17:L28">
    <cfRule type="colorScale" priority="6">
      <colorScale>
        <cfvo type="num" val="0"/>
        <cfvo type="num" val="40"/>
        <color rgb="00FFFFFF"/>
        <color rgb="00A9D08E"/>
      </colorScale>
    </cfRule>
  </conditionalFormatting>
  <dataValidations count="2">
    <dataValidation sqref="G17:L28"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iDEAL (simplified product edition)</dc:title>
  <dcterms:created xmlns:dcterms="http://purl.org/dc/terms/" xmlns:xsi="http://www.w3.org/2001/XMLSchema-instance" xsi:type="dcterms:W3CDTF">2026-10-12T06:11:38Z</dcterms:created>
  <dcterms:modified xmlns:dcterms="http://purl.org/dc/terms/" xmlns:xsi="http://www.w3.org/2001/XMLSchema-instance" xsi:type="dcterms:W3CDTF">2026-10-12T06:13:45Z</dcterms:modified>
</cp:coreProperties>
</file>